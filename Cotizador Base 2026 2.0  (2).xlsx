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tizador" sheetId="1" r:id="rId5"/>
    <sheet state="visible" name="Excepciones" sheetId="2" r:id="rId6"/>
    <sheet state="visible" name="Precios" sheetId="3" r:id="rId7"/>
    <sheet state="visible" name="AuxCP" sheetId="4" r:id="rId8"/>
    <sheet state="visible" name="coti antiguo" sheetId="5" r:id="rId9"/>
    <sheet state="visible" name="aux antiguo" sheetId="6" r:id="rId10"/>
  </sheets>
  <definedNames/>
  <calcPr/>
</workbook>
</file>

<file path=xl/sharedStrings.xml><?xml version="1.0" encoding="utf-8"?>
<sst xmlns="http://schemas.openxmlformats.org/spreadsheetml/2006/main" count="1141" uniqueCount="348">
  <si>
    <t>!</t>
  </si>
  <si>
    <t>Zona</t>
  </si>
  <si>
    <t>COPAGO</t>
  </si>
  <si>
    <t>CP</t>
  </si>
  <si>
    <t>COTIZACIÓN</t>
  </si>
  <si>
    <t>PROMOCIONES ACTUALES</t>
  </si>
  <si>
    <t>Asegurados</t>
  </si>
  <si>
    <t>Promo</t>
  </si>
  <si>
    <t>Fecha nacimiento</t>
  </si>
  <si>
    <t>Edad</t>
  </si>
  <si>
    <t>DESCUENTOS</t>
  </si>
  <si>
    <t>Go</t>
  </si>
  <si>
    <t>Plena Vital</t>
  </si>
  <si>
    <t>Plena Total Vital</t>
  </si>
  <si>
    <t>Adeslas Plena</t>
  </si>
  <si>
    <t>Adeslas Plena Plus</t>
  </si>
  <si>
    <t>Adeslas Plena Total</t>
  </si>
  <si>
    <t>Adeslas Plena Extra 150</t>
  </si>
  <si>
    <t>Adeslas Seniors</t>
  </si>
  <si>
    <t>Adeslas Plena Total Seniors</t>
  </si>
  <si>
    <t>Adeslas NIF</t>
  </si>
  <si>
    <t>Adeslas Pymes TOTAL</t>
  </si>
  <si>
    <t>Adeslas Extra NIF</t>
  </si>
  <si>
    <t>Adeslas CIF</t>
  </si>
  <si>
    <t>Adeslas Extra CIF</t>
  </si>
  <si>
    <t>Adeslas Empresas</t>
  </si>
  <si>
    <t>Adeslas Extra Empresas</t>
  </si>
  <si>
    <t>Plurianuales</t>
  </si>
  <si>
    <t>2 meses gratis</t>
  </si>
  <si>
    <t>Día</t>
  </si>
  <si>
    <t>Mes</t>
  </si>
  <si>
    <t>Año</t>
  </si>
  <si>
    <t>&gt;=2</t>
  </si>
  <si>
    <t>3 meses gratis (2 el primer año)</t>
  </si>
  <si>
    <t>SIN DENTAL</t>
  </si>
  <si>
    <t>Anuales Sin dental</t>
  </si>
  <si>
    <t>1 mes gratis</t>
  </si>
  <si>
    <t>Descuento contra comisión</t>
  </si>
  <si>
    <t>CON DENTAL</t>
  </si>
  <si>
    <t>2 meses gratis (1 el primer año)</t>
  </si>
  <si>
    <t>PRECIO SIN DESCUENTO</t>
  </si>
  <si>
    <t>Anuales Con dental</t>
  </si>
  <si>
    <t>¿Es Anual?</t>
  </si>
  <si>
    <t>PRIMA ANUAL</t>
  </si>
  <si>
    <t>No</t>
  </si>
  <si>
    <t>SIN DESCUENTO</t>
  </si>
  <si>
    <t>🔻</t>
  </si>
  <si>
    <t>VALOR DE VENTA</t>
  </si>
  <si>
    <t>SIN DTO
SIN DENTAL</t>
  </si>
  <si>
    <t>SIN DTO
CON DENTAL</t>
  </si>
  <si>
    <t>Producto</t>
  </si>
  <si>
    <t>Excepcion</t>
  </si>
  <si>
    <t>Plena</t>
  </si>
  <si>
    <t>Plena Plus</t>
  </si>
  <si>
    <t>Plena Total</t>
  </si>
  <si>
    <t>Negocios CIF</t>
  </si>
  <si>
    <t>Extra Negocios CIF</t>
  </si>
  <si>
    <t>Empresas</t>
  </si>
  <si>
    <t>Extra Empresas</t>
  </si>
  <si>
    <t>Seniors</t>
  </si>
  <si>
    <t>Seniors total</t>
  </si>
  <si>
    <t>Pymes Total</t>
  </si>
  <si>
    <t>Negocios NIF</t>
  </si>
  <si>
    <t>Extra Negocios NIF &lt;3</t>
  </si>
  <si>
    <t>Extra Negocios NIF &gt;3</t>
  </si>
  <si>
    <t>Plena Extra 150</t>
  </si>
  <si>
    <t>Edad minima</t>
  </si>
  <si>
    <t>Edad maxima</t>
  </si>
  <si>
    <t>Precio</t>
  </si>
  <si>
    <t>Nº Asegurados</t>
  </si>
  <si>
    <t>DENTAL</t>
  </si>
  <si>
    <t>TOTAL</t>
  </si>
  <si>
    <t>Tramo edad</t>
  </si>
  <si>
    <t>Adeslas Go 1</t>
  </si>
  <si>
    <t>Adeslas Go 2</t>
  </si>
  <si>
    <t>Adeslas Go 3</t>
  </si>
  <si>
    <t>Adeslas Go 4</t>
  </si>
  <si>
    <t>Adeslas Plena Vital 1</t>
  </si>
  <si>
    <t>Adeslas Plena Vital 2</t>
  </si>
  <si>
    <t>Adeslas Plena Vital 3</t>
  </si>
  <si>
    <t>Adeslas Plena Vital 4</t>
  </si>
  <si>
    <t>Adeslas Plena 1</t>
  </si>
  <si>
    <t>Adeslas Plena 2</t>
  </si>
  <si>
    <t>Adeslas Plena 3</t>
  </si>
  <si>
    <t>Adeslas Plena 4</t>
  </si>
  <si>
    <t>Adeslas Plena Plus 1</t>
  </si>
  <si>
    <t>Adeslas Plena Plus 2</t>
  </si>
  <si>
    <t>Adeslas Plena Plus 3</t>
  </si>
  <si>
    <t>Adeslas Plena Plus 4</t>
  </si>
  <si>
    <t>Adeslas Plena Total 1</t>
  </si>
  <si>
    <t>Adeslas Plena Total 2</t>
  </si>
  <si>
    <t>Adeslas Plena Total 3</t>
  </si>
  <si>
    <t>Adeslas Plena Total 4</t>
  </si>
  <si>
    <t>Tramo edad (1 a 4 aseg)</t>
  </si>
  <si>
    <t>Adeslas Negocios CIF 1</t>
  </si>
  <si>
    <t>Adeslas Negocios CIF 2</t>
  </si>
  <si>
    <t>Adeslas Negocios CIF 3</t>
  </si>
  <si>
    <t>Adeslas Negocios CIF 4</t>
  </si>
  <si>
    <t>Adeslas Extra Negocios CIF 1</t>
  </si>
  <si>
    <t>Adeslas Extra Negocios CIF 2</t>
  </si>
  <si>
    <t>Adeslas Extra Negocios CIF 3</t>
  </si>
  <si>
    <t>Adeslas Extra Negocios CIF 4</t>
  </si>
  <si>
    <t>Tramo edad (5 o + aseg)</t>
  </si>
  <si>
    <t>Adeslas Empresas 1</t>
  </si>
  <si>
    <t>Adeslas Empresas 2</t>
  </si>
  <si>
    <t>Adeslas Empresas 3</t>
  </si>
  <si>
    <t>Adeslas Empresas 4</t>
  </si>
  <si>
    <t>Adeslas Extra Empresas 1</t>
  </si>
  <si>
    <t>Adeslas Extra Empresas 2</t>
  </si>
  <si>
    <t>Adeslas Extra Empresas 3</t>
  </si>
  <si>
    <t>Adeslas Extra Empresas 4</t>
  </si>
  <si>
    <t>Adeslas Seniors 1</t>
  </si>
  <si>
    <t>Adeslas Seniors 2</t>
  </si>
  <si>
    <t>Adeslas Seniors 3</t>
  </si>
  <si>
    <t>Adeslas Seniors 4</t>
  </si>
  <si>
    <t>Adeslas Plena Total Seniors 1</t>
  </si>
  <si>
    <t>Adeslas Plena Total Seniors 2</t>
  </si>
  <si>
    <t>Adeslas Plena Total Seniors 3</t>
  </si>
  <si>
    <t>Adeslas Plena Total Seniors 4</t>
  </si>
  <si>
    <t>Adeslas Pymes Total 1</t>
  </si>
  <si>
    <t>Adeslas Pymes Total 2</t>
  </si>
  <si>
    <t>Adeslas Pymes Total 3</t>
  </si>
  <si>
    <t>Adeslas Pymes Total 4</t>
  </si>
  <si>
    <t>Adeslas Negocios NIF 1</t>
  </si>
  <si>
    <t>Adeslas Negocios NIF 2</t>
  </si>
  <si>
    <t>Adeslas Negocios NIF 3</t>
  </si>
  <si>
    <t>Adeslas Negocios NIF 4</t>
  </si>
  <si>
    <t>Tramo edad (1 o 2 aseg)</t>
  </si>
  <si>
    <t>Adeslas Extra Negocios NIF 1</t>
  </si>
  <si>
    <t>Adeslas Extra Negocios NIF 2</t>
  </si>
  <si>
    <t>Adeslas Extra Negocios NIF 3</t>
  </si>
  <si>
    <t>Adeslas Extra Negocios NIF 4</t>
  </si>
  <si>
    <t>Tramo edad (3 o + aseg)</t>
  </si>
  <si>
    <t>Adeslas Plena Extra 150 1</t>
  </si>
  <si>
    <t>Adeslas Plena Extra 150 2</t>
  </si>
  <si>
    <t>Adeslas Plena Extra 150 3</t>
  </si>
  <si>
    <t>Adeslas Plena Extra 150 4</t>
  </si>
  <si>
    <t>Adeslas Plena Total Vital 1</t>
  </si>
  <si>
    <t>Adeslas Plena Total Vital 2</t>
  </si>
  <si>
    <t>Adeslas Plena Total Vital 3</t>
  </si>
  <si>
    <t>Adeslas Plena Total Vital 4</t>
  </si>
  <si>
    <t>Go 1</t>
  </si>
  <si>
    <t>No asegurable</t>
  </si>
  <si>
    <t>Go 2</t>
  </si>
  <si>
    <t>Go 3</t>
  </si>
  <si>
    <t>PRECIO NUEVO CON 10% DTO</t>
  </si>
  <si>
    <t>Adeslas Negocios CIF y Dental 1</t>
  </si>
  <si>
    <t>Adeslas Negocios CIF y Dental 2</t>
  </si>
  <si>
    <t>Adeslas Negocios CIF y Dental 3</t>
  </si>
  <si>
    <t>Adeslas Negocios CIF y Dental 4</t>
  </si>
  <si>
    <t>Adeslas Extra Negocios CIF y dental 1</t>
  </si>
  <si>
    <t>Adeslas Extra Negocios CIF y dental 2</t>
  </si>
  <si>
    <t>Adeslas Extra Negocios CIF y dental 3</t>
  </si>
  <si>
    <t>Adeslas Extra Negocios CIF y dental 4</t>
  </si>
  <si>
    <t>Adeslas Empresas  y dental 1</t>
  </si>
  <si>
    <t>Adeslas Empresas  y dental 2</t>
  </si>
  <si>
    <t>Adeslas Empresas  y dental 3</t>
  </si>
  <si>
    <t>Adeslas Empresas  y dental 4</t>
  </si>
  <si>
    <t>Adeslas Extra Empresas  y dental 1</t>
  </si>
  <si>
    <t>Adeslas Extra Empresas  y dental 2</t>
  </si>
  <si>
    <t>Adeslas Extra Empresas  y dental 3</t>
  </si>
  <si>
    <t>Adeslas Extra Empresas  y dental 4</t>
  </si>
  <si>
    <t>Go 4</t>
  </si>
  <si>
    <t>Go 5</t>
  </si>
  <si>
    <t>Go 6</t>
  </si>
  <si>
    <t>Plena Vital 1</t>
  </si>
  <si>
    <t>Plena Vital 2</t>
  </si>
  <si>
    <t>Plena Vital 3</t>
  </si>
  <si>
    <t>Plena Vital 4</t>
  </si>
  <si>
    <t>Plena Vital 5</t>
  </si>
  <si>
    <t>Plena Vital 6</t>
  </si>
  <si>
    <t>Plena 1</t>
  </si>
  <si>
    <t>Plena 2</t>
  </si>
  <si>
    <t>Plena 3</t>
  </si>
  <si>
    <t>Plena 4</t>
  </si>
  <si>
    <t>Plena 5</t>
  </si>
  <si>
    <t>Plena 6</t>
  </si>
  <si>
    <t>Plena Plus 1</t>
  </si>
  <si>
    <t>Plena Plus 2</t>
  </si>
  <si>
    <t>Plena Plus 3</t>
  </si>
  <si>
    <t>Plena Plus 4</t>
  </si>
  <si>
    <t>Plena Plus 5</t>
  </si>
  <si>
    <t>Plena Plus 6</t>
  </si>
  <si>
    <t>Plena Total 1</t>
  </si>
  <si>
    <t>Plena Total 2</t>
  </si>
  <si>
    <t>Plena Total 3</t>
  </si>
  <si>
    <t>Plena Total 4</t>
  </si>
  <si>
    <t>Plena Total 5</t>
  </si>
  <si>
    <t>Plena Total 6</t>
  </si>
  <si>
    <t>Negocios CIF 1</t>
  </si>
  <si>
    <t>Negocios CIF 2</t>
  </si>
  <si>
    <t>Negocios CIF 3</t>
  </si>
  <si>
    <t>Negocios CIF 4</t>
  </si>
  <si>
    <t>Negocios CIF 5</t>
  </si>
  <si>
    <t>Negocios CIF 6</t>
  </si>
  <si>
    <t>Extra Negocios CIF 1</t>
  </si>
  <si>
    <t>Extra Negocios CIF 2</t>
  </si>
  <si>
    <t>Extra Negocios CIF 3</t>
  </si>
  <si>
    <t>Extra Negocios CIF 4</t>
  </si>
  <si>
    <t>Extra Negocios CIF 5</t>
  </si>
  <si>
    <t>Extra Negocios CIF 6</t>
  </si>
  <si>
    <t>Empresas 1</t>
  </si>
  <si>
    <t>Empresas 2</t>
  </si>
  <si>
    <t>Empresas 3</t>
  </si>
  <si>
    <t>Empresas 4</t>
  </si>
  <si>
    <t>Empresas 5</t>
  </si>
  <si>
    <t>Empresas 6</t>
  </si>
  <si>
    <t>Extra Empresas 1</t>
  </si>
  <si>
    <t>Extra Empresas 2</t>
  </si>
  <si>
    <t>Extra Empresas 3</t>
  </si>
  <si>
    <t>Extra Empresas 4</t>
  </si>
  <si>
    <t>Extra Empresas 5</t>
  </si>
  <si>
    <t>Extra Empresas 6</t>
  </si>
  <si>
    <t>Seniors 1</t>
  </si>
  <si>
    <t>Seniors 2</t>
  </si>
  <si>
    <t>Seniors 3</t>
  </si>
  <si>
    <t>Seniors 4</t>
  </si>
  <si>
    <t>Seniors 5</t>
  </si>
  <si>
    <t>Seniors 6</t>
  </si>
  <si>
    <t>Seniors total 1</t>
  </si>
  <si>
    <t>Seniors total 2</t>
  </si>
  <si>
    <t>Seniors total 3</t>
  </si>
  <si>
    <t>Seniors total 4</t>
  </si>
  <si>
    <t>Seniors total 5</t>
  </si>
  <si>
    <t>Seniors total 6</t>
  </si>
  <si>
    <t>Pymes Total 1</t>
  </si>
  <si>
    <t>Pymes Total 2</t>
  </si>
  <si>
    <t>Pymes Total 3</t>
  </si>
  <si>
    <t>Pymes Total 4</t>
  </si>
  <si>
    <t>Pymes Total 5</t>
  </si>
  <si>
    <t>Pymes Total 6</t>
  </si>
  <si>
    <t>Negocios NIF 1</t>
  </si>
  <si>
    <t>Negocios NIF 2</t>
  </si>
  <si>
    <t>Negocios NIF 3</t>
  </si>
  <si>
    <t>Negocios NIF 4</t>
  </si>
  <si>
    <t>Negocios NIF 5</t>
  </si>
  <si>
    <t>Negocios NIF 6</t>
  </si>
  <si>
    <t>Extra Negocios NIF 1</t>
  </si>
  <si>
    <t>Extra Negocios NIF 2</t>
  </si>
  <si>
    <t>Extra Negocios NIF 3</t>
  </si>
  <si>
    <t>Extra Negocios NIF 4</t>
  </si>
  <si>
    <t>Extra Negocios NIF 5</t>
  </si>
  <si>
    <t>Extra Negocios NIF 6</t>
  </si>
  <si>
    <t>Plena Extra 150 1</t>
  </si>
  <si>
    <t>Plena Extra 150 2</t>
  </si>
  <si>
    <t>Plena Extra 150 3</t>
  </si>
  <si>
    <t>Plena Extra 150 4</t>
  </si>
  <si>
    <t>Plena Extra 150 5</t>
  </si>
  <si>
    <t>Plena Extra 150 6</t>
  </si>
  <si>
    <t>Plena Total Vital 1</t>
  </si>
  <si>
    <t>Plena Total Vital 2</t>
  </si>
  <si>
    <t>Plena Total Vital 3</t>
  </si>
  <si>
    <t>Plena Total Vital 4</t>
  </si>
  <si>
    <t>Plena Total Vital 5</t>
  </si>
  <si>
    <t>Plena Total Vital 6</t>
  </si>
  <si>
    <t>Extra Negocios NIF 1 1</t>
  </si>
  <si>
    <t>Extra Negocios NIF 2 1</t>
  </si>
  <si>
    <t>Extra Negocios NIF 3 1</t>
  </si>
  <si>
    <t>Extra Negocios NIF 4 1</t>
  </si>
  <si>
    <t>Extra Negocios NIF 5 1</t>
  </si>
  <si>
    <t>Extra Negocios NIF 6 1</t>
  </si>
  <si>
    <t>Extra Negocios NIF 1 2</t>
  </si>
  <si>
    <t>Extra Negocios NIF 2 2</t>
  </si>
  <si>
    <t>Extra Negocios NIF 3 2</t>
  </si>
  <si>
    <t>Extra Negocios NIF 4 2</t>
  </si>
  <si>
    <t>Extra Negocios NIF 5 2</t>
  </si>
  <si>
    <t>Extra Negocios NIF 6 2</t>
  </si>
  <si>
    <t>PROVINCIAS</t>
  </si>
  <si>
    <t>Cod Prov</t>
  </si>
  <si>
    <t>Zona 1</t>
  </si>
  <si>
    <t>EDAD</t>
  </si>
  <si>
    <t>TARIFA HOMBRE</t>
  </si>
  <si>
    <t>Alava</t>
  </si>
  <si>
    <t>x</t>
  </si>
  <si>
    <t>PR COMERCIAL</t>
  </si>
  <si>
    <t>Albacete</t>
  </si>
  <si>
    <t>Alicante_Alacant</t>
  </si>
  <si>
    <t>Almeria</t>
  </si>
  <si>
    <t>Avila</t>
  </si>
  <si>
    <t>Badajoz</t>
  </si>
  <si>
    <t>Barcelona</t>
  </si>
  <si>
    <t>Bilbao</t>
  </si>
  <si>
    <t>Burgos</t>
  </si>
  <si>
    <t>Caceres</t>
  </si>
  <si>
    <t>Cadiz</t>
  </si>
  <si>
    <t>Castellon_Castello</t>
  </si>
  <si>
    <t>Ceuta</t>
  </si>
  <si>
    <t>Ciudad_Real</t>
  </si>
  <si>
    <t>Cordoba</t>
  </si>
  <si>
    <t>Coruña__A</t>
  </si>
  <si>
    <t>Cuenca</t>
  </si>
  <si>
    <t>Donostia_San_Sebastian</t>
  </si>
  <si>
    <t>Girona</t>
  </si>
  <si>
    <t>Granada</t>
  </si>
  <si>
    <t>Guadalajara</t>
  </si>
  <si>
    <t>Huelva</t>
  </si>
  <si>
    <t>Huesca</t>
  </si>
  <si>
    <t>Jaen</t>
  </si>
  <si>
    <t>La_Rioja</t>
  </si>
  <si>
    <t>Leon</t>
  </si>
  <si>
    <t>Lleida</t>
  </si>
  <si>
    <t>Lugo</t>
  </si>
  <si>
    <t>Madrid</t>
  </si>
  <si>
    <t>Malaga</t>
  </si>
  <si>
    <t>Melilla</t>
  </si>
  <si>
    <t>Murcia</t>
  </si>
  <si>
    <t>Navarra</t>
  </si>
  <si>
    <t>Ourense</t>
  </si>
  <si>
    <t>Oviedo</t>
  </si>
  <si>
    <t>Palencia</t>
  </si>
  <si>
    <t>Palma</t>
  </si>
  <si>
    <t>Palmas_de_Gran_Canaria__Las</t>
  </si>
  <si>
    <t>Pontevedra</t>
  </si>
  <si>
    <t>Salamanca</t>
  </si>
  <si>
    <t>Santa_Cruz_de_Tenerife</t>
  </si>
  <si>
    <t>Santander</t>
  </si>
  <si>
    <t>Segovia</t>
  </si>
  <si>
    <t>Sevilla</t>
  </si>
  <si>
    <t>Soria</t>
  </si>
  <si>
    <t>Tarragona</t>
  </si>
  <si>
    <t>Teruel</t>
  </si>
  <si>
    <t>Toledo</t>
  </si>
  <si>
    <t>Valencia</t>
  </si>
  <si>
    <t>Valladolid</t>
  </si>
  <si>
    <t>Zamora</t>
  </si>
  <si>
    <t>Zaragoza</t>
  </si>
  <si>
    <t>Adeslas Go</t>
  </si>
  <si>
    <t>Adeslas Plena Vital</t>
  </si>
  <si>
    <t>Adeslas Plena Total Vital</t>
  </si>
  <si>
    <t>Precios medios Año 1</t>
  </si>
  <si>
    <t>OFERTA</t>
  </si>
  <si>
    <t>DINERO</t>
  </si>
  <si>
    <t>CUANDO</t>
  </si>
  <si>
    <t>Excepción Go</t>
  </si>
  <si>
    <t>Excepción Senior</t>
  </si>
  <si>
    <t>Excepción Total</t>
  </si>
  <si>
    <t>Excepción Plena VITAL</t>
  </si>
  <si>
    <t>Excepción Plena y Plena PLUS</t>
  </si>
  <si>
    <t>Excepción NIF</t>
  </si>
  <si>
    <t>Excepción Pymes Total</t>
  </si>
  <si>
    <t>Excepción Senior Total</t>
  </si>
  <si>
    <t>Excepción Plena Total</t>
  </si>
  <si>
    <t>Excepción Plena Extra</t>
  </si>
  <si>
    <t>Excepción Empresas</t>
  </si>
  <si>
    <t>Excepción CIF</t>
  </si>
  <si>
    <t>Excepción Plena total vital</t>
  </si>
  <si>
    <t>PRECIO NUEVO CON 7,02% DTO</t>
  </si>
  <si>
    <t>Dto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</si>
</sst>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\ [$€-1]"/>
    <numFmt numFmtId="165" formatCode="#,##0.00&quot;€&quot;"/>
    <numFmt numFmtId="166" formatCode="#,##0&quot;€&quot;"/>
    <numFmt numFmtId="167" formatCode="#,##0\ [$€-1]"/>
  </numFmts>
  <fonts count="38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sz val="14.0"/>
      <color rgb="FFFFFFFF"/>
      <name val="Arial"/>
      <scheme val="minor"/>
    </font>
    <font/>
    <font>
      <sz val="9.0"/>
      <color theme="1"/>
      <name val="Arial"/>
      <scheme val="minor"/>
    </font>
    <font>
      <b/>
      <color rgb="FFFF9900"/>
      <name val="Arial"/>
      <scheme val="minor"/>
    </font>
    <font>
      <b/>
      <color rgb="FFA64D79"/>
      <name val="Arial"/>
      <scheme val="minor"/>
    </font>
    <font>
      <b/>
      <color rgb="FF39B4E1"/>
      <name val="Arial"/>
      <scheme val="minor"/>
    </font>
    <font>
      <b/>
      <color rgb="FF38761D"/>
      <name val="Arial"/>
      <scheme val="minor"/>
    </font>
    <font>
      <b/>
      <color rgb="FFBF9000"/>
      <name val="Arial"/>
      <scheme val="minor"/>
    </font>
    <font>
      <b/>
      <sz val="10.0"/>
      <color rgb="FFA64D79"/>
      <name val="Arial"/>
      <scheme val="minor"/>
    </font>
    <font>
      <color rgb="FFFFFFFF"/>
      <name val="Arial"/>
      <scheme val="minor"/>
    </font>
    <font>
      <color rgb="FFCCCCCC"/>
      <name val="Arial"/>
      <scheme val="minor"/>
    </font>
    <font>
      <color theme="1"/>
      <name val="Arial"/>
    </font>
    <font>
      <b/>
      <color theme="1"/>
      <name val="Arial"/>
      <scheme val="minor"/>
    </font>
    <font>
      <sz val="8.0"/>
      <color rgb="FF000000"/>
      <name val="Arial"/>
      <scheme val="minor"/>
    </font>
    <font>
      <color rgb="FFFF0000"/>
      <name val="Arial"/>
      <scheme val="minor"/>
    </font>
    <font>
      <b/>
      <i/>
      <color theme="1"/>
      <name val="Arial"/>
      <scheme val="minor"/>
    </font>
    <font>
      <b/>
      <u/>
      <sz val="16.0"/>
      <color rgb="FFFFFFFF"/>
      <name val="Arial"/>
      <scheme val="minor"/>
    </font>
    <font>
      <b/>
      <u/>
      <sz val="16.0"/>
      <color rgb="FFFFFFFF"/>
      <name val="Arial"/>
      <scheme val="minor"/>
    </font>
    <font>
      <b/>
      <u/>
      <sz val="16.0"/>
      <color rgb="FFFFFFFF"/>
      <name val="Arial"/>
      <scheme val="minor"/>
    </font>
    <font>
      <b/>
      <i/>
      <color theme="1"/>
      <name val="Arial"/>
    </font>
    <font>
      <b/>
      <sz val="12.0"/>
      <color theme="1"/>
      <name val="Arial"/>
      <scheme val="minor"/>
    </font>
    <font>
      <color rgb="FF434343"/>
      <name val="Arial"/>
      <scheme val="minor"/>
    </font>
    <font>
      <color rgb="FF434343"/>
      <name val="Arial"/>
    </font>
    <font>
      <color rgb="FFD9D9D9"/>
      <name val="Arial"/>
      <scheme val="minor"/>
    </font>
    <font>
      <sz val="10.0"/>
      <color theme="1"/>
      <name val="Arial"/>
    </font>
    <font>
      <sz val="14.0"/>
      <color rgb="FF000000"/>
      <name val="Calibri"/>
    </font>
    <font>
      <i/>
      <sz val="14.0"/>
      <color rgb="FF4D4D4D"/>
      <name val="Helvetica"/>
    </font>
    <font>
      <sz val="10.0"/>
      <color rgb="FF000000"/>
      <name val="Arial"/>
    </font>
    <font>
      <b/>
      <sz val="8.0"/>
      <color rgb="FF000000"/>
      <name val="Arial"/>
    </font>
    <font>
      <sz val="8.0"/>
      <color rgb="FF000000"/>
      <name val="Calibri"/>
    </font>
    <font>
      <sz val="8.0"/>
      <color rgb="FF000000"/>
      <name val="Arial"/>
    </font>
    <font>
      <b/>
      <color rgb="FFFF0000"/>
      <name val="Arial"/>
      <scheme val="minor"/>
    </font>
    <font>
      <color rgb="FFD9D9D9"/>
      <name val="Arial"/>
    </font>
    <font>
      <b/>
      <color rgb="FFD9D9D9"/>
      <name val="Arial"/>
    </font>
    <font>
      <b/>
      <color rgb="FFD9D9D9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39B4E1"/>
        <bgColor rgb="FF39B4E1"/>
      </patternFill>
    </fill>
    <fill>
      <patternFill patternType="solid">
        <fgColor rgb="FFD9EAD3"/>
        <bgColor rgb="FFD9EAD3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4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right style="thin">
        <color rgb="FFD9D9D9"/>
      </right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ck">
        <color rgb="FF000000"/>
      </left>
      <top style="thick">
        <color rgb="FF000000"/>
      </top>
      <bottom style="dotted">
        <color rgb="FF434343"/>
      </bottom>
    </border>
    <border>
      <top style="thick">
        <color rgb="FF000000"/>
      </top>
      <bottom style="dotted">
        <color rgb="FF434343"/>
      </bottom>
    </border>
    <border>
      <right style="thick">
        <color rgb="FF000000"/>
      </right>
      <top style="thick">
        <color rgb="FF000000"/>
      </top>
      <bottom style="dotted">
        <color rgb="FF434343"/>
      </bottom>
    </border>
    <border>
      <left style="thick">
        <color rgb="FF000000"/>
      </left>
    </border>
    <border>
      <right style="thick">
        <color rgb="FF000000"/>
      </right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bottom style="dotted">
        <color rgb="FF434343"/>
      </bottom>
    </border>
    <border>
      <bottom style="dotted">
        <color rgb="FF434343"/>
      </bottom>
    </border>
    <border>
      <right style="thick">
        <color rgb="FF000000"/>
      </right>
      <bottom style="dotted">
        <color rgb="FF434343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dotted">
        <color rgb="FFEFEFEF"/>
      </right>
    </border>
    <border>
      <right style="dotted">
        <color rgb="FFEFEFEF"/>
      </right>
      <bottom style="thin">
        <color rgb="FF000000"/>
      </bottom>
    </border>
  </borders>
  <cellStyleXfs count="1">
    <xf borderId="0" fillId="0" fontId="0" numFmtId="0" applyAlignment="1" applyFont="1"/>
  </cellStyleXfs>
  <cellXfs count="2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vertical="center"/>
    </xf>
    <xf borderId="0" fillId="0" fontId="1" numFmtId="164" xfId="0" applyAlignment="1" applyFont="1" applyNumberFormat="1">
      <alignment horizontal="center" readingOrder="0" shrinkToFit="0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readingOrder="0" vertical="center"/>
    </xf>
    <xf borderId="1" fillId="2" fontId="1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2" fillId="3" fontId="3" numFmtId="0" xfId="0" applyAlignment="1" applyBorder="1" applyFill="1" applyFont="1">
      <alignment horizontal="center"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3" fontId="3" numFmtId="0" xfId="0" applyAlignment="1" applyBorder="1" applyFont="1">
      <alignment horizontal="center" readingOrder="0" shrinkToFit="0" vertical="center" wrapText="1"/>
    </xf>
    <xf borderId="6" fillId="3" fontId="3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vertical="center"/>
    </xf>
    <xf borderId="0" fillId="0" fontId="5" numFmtId="0" xfId="0" applyAlignment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readingOrder="0" shrinkToFit="0" wrapText="1"/>
    </xf>
    <xf borderId="8" fillId="0" fontId="6" numFmtId="0" xfId="0" applyAlignment="1" applyBorder="1" applyFont="1">
      <alignment horizontal="center" readingOrder="0" shrinkToFit="0" vertical="center" wrapText="1"/>
    </xf>
    <xf borderId="8" fillId="0" fontId="7" numFmtId="0" xfId="0" applyAlignment="1" applyBorder="1" applyFont="1">
      <alignment horizontal="center" readingOrder="0" shrinkToFit="0" vertical="center" wrapText="1"/>
    </xf>
    <xf borderId="8" fillId="0" fontId="8" numFmtId="0" xfId="0" applyAlignment="1" applyBorder="1" applyFont="1">
      <alignment horizontal="center" readingOrder="0" shrinkToFit="0" vertical="center" wrapText="1"/>
    </xf>
    <xf borderId="8" fillId="0" fontId="9" numFmtId="0" xfId="0" applyAlignment="1" applyBorder="1" applyFont="1">
      <alignment horizontal="center" readingOrder="0" shrinkToFit="0" vertical="center" wrapText="1"/>
    </xf>
    <xf borderId="9" fillId="0" fontId="10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10" fillId="0" fontId="1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ill="1" applyFont="1">
      <alignment readingOrder="0" vertical="center"/>
    </xf>
    <xf borderId="1" fillId="4" fontId="1" numFmtId="0" xfId="0" applyAlignment="1" applyBorder="1" applyFont="1">
      <alignment horizontal="center" readingOrder="0" vertical="center"/>
    </xf>
    <xf borderId="0" fillId="3" fontId="12" numFmtId="0" xfId="0" applyAlignment="1" applyFont="1">
      <alignment horizontal="center" readingOrder="0" vertical="center"/>
    </xf>
    <xf borderId="0" fillId="0" fontId="12" numFmtId="0" xfId="0" applyAlignment="1" applyFont="1">
      <alignment horizontal="center" vertical="center"/>
    </xf>
    <xf borderId="0" fillId="5" fontId="12" numFmtId="0" xfId="0" applyAlignment="1" applyFill="1" applyFont="1">
      <alignment horizontal="center" readingOrder="0" vertical="center"/>
    </xf>
    <xf borderId="11" fillId="0" fontId="4" numFmtId="0" xfId="0" applyBorder="1" applyFont="1"/>
    <xf borderId="12" fillId="0" fontId="1" numFmtId="0" xfId="0" applyAlignment="1" applyBorder="1" applyFont="1">
      <alignment horizontal="center" readingOrder="0" shrinkToFit="0" wrapText="1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0" fillId="0" fontId="13" numFmtId="0" xfId="0" applyAlignment="1" applyFont="1">
      <alignment horizontal="center" readingOrder="0" vertical="center"/>
    </xf>
    <xf borderId="0" fillId="2" fontId="14" numFmtId="0" xfId="0" applyAlignment="1" applyFont="1">
      <alignment horizontal="center" readingOrder="0" vertical="center"/>
    </xf>
    <xf borderId="0" fillId="2" fontId="14" numFmtId="3" xfId="0" applyAlignment="1" applyFont="1" applyNumberFormat="1">
      <alignment horizontal="center" readingOrder="0" vertical="center"/>
    </xf>
    <xf borderId="0" fillId="0" fontId="12" numFmtId="3" xfId="0" applyAlignment="1" applyFont="1" applyNumberFormat="1">
      <alignment horizontal="center" vertical="center"/>
    </xf>
    <xf borderId="1" fillId="6" fontId="1" numFmtId="9" xfId="0" applyAlignment="1" applyBorder="1" applyFill="1" applyFont="1" applyNumberFormat="1">
      <alignment horizontal="center" readingOrder="0" vertical="center"/>
    </xf>
    <xf borderId="7" fillId="0" fontId="15" numFmtId="0" xfId="0" applyAlignment="1" applyBorder="1" applyFont="1">
      <alignment horizontal="center" readingOrder="0" shrinkToFit="0" vertical="center" wrapText="1"/>
    </xf>
    <xf borderId="8" fillId="0" fontId="1" numFmtId="164" xfId="0" applyAlignment="1" applyBorder="1" applyFont="1" applyNumberFormat="1">
      <alignment horizontal="center" vertical="center"/>
    </xf>
    <xf borderId="8" fillId="7" fontId="1" numFmtId="164" xfId="0" applyAlignment="1" applyBorder="1" applyFill="1" applyFont="1" applyNumberFormat="1">
      <alignment horizontal="center" vertical="center"/>
    </xf>
    <xf borderId="8" fillId="0" fontId="1" numFmtId="0" xfId="0" applyAlignment="1" applyBorder="1" applyFont="1">
      <alignment horizontal="center" vertical="center"/>
    </xf>
    <xf borderId="9" fillId="7" fontId="1" numFmtId="164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0" fillId="0" fontId="2" numFmtId="164" xfId="0" applyAlignment="1" applyBorder="1" applyFont="1" applyNumberFormat="1">
      <alignment horizontal="center" vertical="center"/>
    </xf>
    <xf borderId="1" fillId="4" fontId="1" numFmtId="0" xfId="0" applyAlignment="1" applyBorder="1" applyFont="1">
      <alignment readingOrder="0"/>
    </xf>
    <xf borderId="1" fillId="4" fontId="1" numFmtId="0" xfId="0" applyAlignment="1" applyBorder="1" applyFont="1">
      <alignment horizontal="center" readingOrder="0"/>
    </xf>
    <xf borderId="0" fillId="0" fontId="16" numFmtId="0" xfId="0" applyAlignment="1" applyFont="1">
      <alignment horizontal="center" readingOrder="0" shrinkToFit="0" vertical="bottom" wrapText="1"/>
    </xf>
    <xf borderId="16" fillId="7" fontId="15" numFmtId="0" xfId="0" applyAlignment="1" applyBorder="1" applyFont="1">
      <alignment horizontal="center" readingOrder="0" shrinkToFit="0" vertical="center" wrapText="1"/>
    </xf>
    <xf borderId="0" fillId="7" fontId="1" numFmtId="164" xfId="0" applyAlignment="1" applyFont="1" applyNumberFormat="1">
      <alignment horizontal="center" vertical="center"/>
    </xf>
    <xf borderId="17" fillId="7" fontId="1" numFmtId="164" xfId="0" applyAlignment="1" applyBorder="1" applyFont="1" applyNumberFormat="1">
      <alignment horizontal="center" vertical="center"/>
    </xf>
    <xf borderId="0" fillId="7" fontId="17" numFmtId="164" xfId="0" applyAlignment="1" applyFont="1" applyNumberFormat="1">
      <alignment horizontal="center" vertical="center"/>
    </xf>
    <xf borderId="10" fillId="7" fontId="17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readingOrder="0" vertical="center"/>
    </xf>
    <xf borderId="0" fillId="2" fontId="1" numFmtId="9" xfId="0" applyAlignment="1" applyFont="1" applyNumberFormat="1">
      <alignment horizontal="center" readingOrder="0" vertical="center"/>
    </xf>
    <xf borderId="12" fillId="8" fontId="18" numFmtId="0" xfId="0" applyAlignment="1" applyBorder="1" applyFill="1" applyFont="1">
      <alignment horizontal="center" readingOrder="0" shrinkToFit="0" vertical="center" wrapText="1"/>
    </xf>
    <xf borderId="13" fillId="8" fontId="18" numFmtId="0" xfId="0" applyAlignment="1" applyBorder="1" applyFont="1">
      <alignment horizontal="center" vertical="center"/>
    </xf>
    <xf borderId="13" fillId="8" fontId="18" numFmtId="164" xfId="0" applyAlignment="1" applyBorder="1" applyFont="1" applyNumberFormat="1">
      <alignment horizontal="center" vertical="center"/>
    </xf>
    <xf borderId="14" fillId="8" fontId="18" numFmtId="164" xfId="0" applyAlignment="1" applyBorder="1" applyFont="1" applyNumberFormat="1">
      <alignment horizontal="center" vertical="center"/>
    </xf>
    <xf borderId="0" fillId="8" fontId="18" numFmtId="0" xfId="0" applyAlignment="1" applyFont="1">
      <alignment horizontal="center" vertical="center"/>
    </xf>
    <xf borderId="10" fillId="8" fontId="18" numFmtId="0" xfId="0" applyAlignment="1" applyBorder="1" applyFont="1">
      <alignment horizontal="center" vertical="center"/>
    </xf>
    <xf borderId="12" fillId="9" fontId="19" numFmtId="0" xfId="0" applyAlignment="1" applyBorder="1" applyFill="1" applyFont="1">
      <alignment horizontal="center" readingOrder="0" shrinkToFit="0" vertical="center" wrapText="1"/>
    </xf>
    <xf borderId="18" fillId="9" fontId="20" numFmtId="0" xfId="0" applyAlignment="1" applyBorder="1" applyFont="1">
      <alignment horizontal="center" readingOrder="0" shrinkToFit="0" vertical="center" wrapText="1"/>
    </xf>
    <xf borderId="19" fillId="9" fontId="21" numFmtId="0" xfId="0" applyAlignment="1" applyBorder="1" applyFont="1">
      <alignment horizontal="center" readingOrder="0" shrinkToFit="0" vertical="center" wrapText="1"/>
    </xf>
    <xf borderId="0" fillId="2" fontId="14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textRotation="0" vertical="center" wrapText="1"/>
    </xf>
    <xf borderId="8" fillId="0" fontId="14" numFmtId="164" xfId="0" applyAlignment="1" applyBorder="1" applyFont="1" applyNumberFormat="1">
      <alignment vertical="center"/>
    </xf>
    <xf borderId="8" fillId="0" fontId="14" numFmtId="164" xfId="0" applyAlignment="1" applyBorder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12" numFmtId="9" xfId="0" applyAlignment="1" applyFont="1" applyNumberFormat="1">
      <alignment horizontal="center" readingOrder="0" vertical="center"/>
    </xf>
    <xf borderId="16" fillId="8" fontId="18" numFmtId="0" xfId="0" applyAlignment="1" applyBorder="1" applyFont="1">
      <alignment horizontal="center" readingOrder="0" shrinkToFit="0" vertical="center" wrapText="1"/>
    </xf>
    <xf borderId="0" fillId="8" fontId="22" numFmtId="164" xfId="0" applyAlignment="1" applyFont="1" applyNumberFormat="1">
      <alignment horizontal="center" vertical="center"/>
    </xf>
    <xf borderId="0" fillId="8" fontId="18" numFmtId="0" xfId="0" applyAlignment="1" applyFont="1">
      <alignment horizontal="center" readingOrder="0" shrinkToFit="0" vertical="center" wrapText="1"/>
    </xf>
    <xf borderId="0" fillId="8" fontId="18" numFmtId="164" xfId="0" applyAlignment="1" applyFont="1" applyNumberFormat="1">
      <alignment horizontal="center" readingOrder="0" shrinkToFit="0" vertical="center" wrapText="1"/>
    </xf>
    <xf borderId="10" fillId="8" fontId="18" numFmtId="164" xfId="0" applyAlignment="1" applyBorder="1" applyFont="1" applyNumberFormat="1">
      <alignment horizontal="center" readingOrder="0" shrinkToFit="0" vertical="center" wrapText="1"/>
    </xf>
    <xf borderId="16" fillId="10" fontId="15" numFmtId="0" xfId="0" applyAlignment="1" applyBorder="1" applyFill="1" applyFont="1">
      <alignment horizontal="center" readingOrder="0" shrinkToFit="0" vertical="center" wrapText="1"/>
    </xf>
    <xf borderId="0" fillId="10" fontId="14" numFmtId="164" xfId="0" applyAlignment="1" applyFont="1" applyNumberFormat="1">
      <alignment vertical="center"/>
    </xf>
    <xf borderId="0" fillId="10" fontId="14" numFmtId="164" xfId="0" applyAlignment="1" applyFont="1" applyNumberFormat="1">
      <alignment horizontal="center" vertical="center"/>
    </xf>
    <xf borderId="0" fillId="10" fontId="1" numFmtId="164" xfId="0" applyAlignment="1" applyFont="1" applyNumberFormat="1">
      <alignment horizontal="center" vertical="center"/>
    </xf>
    <xf borderId="10" fillId="10" fontId="1" numFmtId="164" xfId="0" applyAlignment="1" applyBorder="1" applyFont="1" applyNumberFormat="1">
      <alignment horizontal="center" vertical="center"/>
    </xf>
    <xf borderId="12" fillId="6" fontId="15" numFmtId="0" xfId="0" applyAlignment="1" applyBorder="1" applyFont="1">
      <alignment horizontal="center" readingOrder="0" shrinkToFit="0" vertical="center" wrapText="1"/>
    </xf>
    <xf borderId="13" fillId="6" fontId="14" numFmtId="164" xfId="0" applyAlignment="1" applyBorder="1" applyFont="1" applyNumberFormat="1">
      <alignment vertical="center"/>
    </xf>
    <xf borderId="13" fillId="6" fontId="1" numFmtId="164" xfId="0" applyAlignment="1" applyBorder="1" applyFont="1" applyNumberFormat="1">
      <alignment horizontal="center" vertical="center"/>
    </xf>
    <xf borderId="13" fillId="7" fontId="1" numFmtId="164" xfId="0" applyAlignment="1" applyBorder="1" applyFont="1" applyNumberFormat="1">
      <alignment horizontal="center" vertical="center"/>
    </xf>
    <xf borderId="14" fillId="7" fontId="1" numFmtId="164" xfId="0" applyAlignment="1" applyBorder="1" applyFont="1" applyNumberFormat="1">
      <alignment horizontal="center" vertical="center"/>
    </xf>
    <xf borderId="0" fillId="6" fontId="1" numFmtId="164" xfId="0" applyAlignment="1" applyFont="1" applyNumberFormat="1">
      <alignment horizontal="center" vertical="center"/>
    </xf>
    <xf borderId="10" fillId="6" fontId="1" numFmtId="164" xfId="0" applyAlignment="1" applyBorder="1" applyFont="1" applyNumberFormat="1">
      <alignment horizontal="center" vertical="center"/>
    </xf>
    <xf borderId="7" fillId="11" fontId="15" numFmtId="0" xfId="0" applyAlignment="1" applyBorder="1" applyFill="1" applyFont="1">
      <alignment horizontal="center" readingOrder="0" shrinkToFit="0" vertical="center" wrapText="1"/>
    </xf>
    <xf borderId="8" fillId="11" fontId="1" numFmtId="164" xfId="0" applyAlignment="1" applyBorder="1" applyFont="1" applyNumberFormat="1">
      <alignment horizontal="center" vertical="center"/>
    </xf>
    <xf borderId="0" fillId="11" fontId="1" numFmtId="164" xfId="0" applyAlignment="1" applyFont="1" applyNumberFormat="1">
      <alignment horizontal="center" vertical="center"/>
    </xf>
    <xf borderId="9" fillId="11" fontId="1" numFmtId="164" xfId="0" applyAlignment="1" applyBorder="1" applyFont="1" applyNumberFormat="1">
      <alignment horizontal="center" vertical="center"/>
    </xf>
    <xf borderId="20" fillId="11" fontId="1" numFmtId="164" xfId="0" applyAlignment="1" applyBorder="1" applyFont="1" applyNumberFormat="1">
      <alignment horizontal="center" vertical="center"/>
    </xf>
    <xf borderId="21" fillId="11" fontId="1" numFmtId="164" xfId="0" applyAlignment="1" applyBorder="1" applyFont="1" applyNumberFormat="1">
      <alignment horizontal="center" vertical="center"/>
    </xf>
    <xf borderId="17" fillId="8" fontId="18" numFmtId="164" xfId="0" applyAlignment="1" applyBorder="1" applyFont="1" applyNumberFormat="1">
      <alignment horizontal="center" readingOrder="0" shrinkToFit="0" vertical="center" wrapText="1"/>
    </xf>
    <xf borderId="10" fillId="8" fontId="18" numFmtId="0" xfId="0" applyAlignment="1" applyBorder="1" applyFont="1">
      <alignment horizontal="center" readingOrder="0" shrinkToFit="0" vertical="center" wrapText="1"/>
    </xf>
    <xf borderId="17" fillId="10" fontId="1" numFmtId="164" xfId="0" applyAlignment="1" applyBorder="1" applyFont="1" applyNumberFormat="1">
      <alignment horizontal="center" vertical="center"/>
    </xf>
    <xf borderId="14" fillId="6" fontId="1" numFmtId="164" xfId="0" applyAlignment="1" applyBorder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22" fillId="4" fontId="23" numFmtId="0" xfId="0" applyAlignment="1" applyBorder="1" applyFont="1">
      <alignment horizontal="center" readingOrder="0" vertical="center"/>
    </xf>
    <xf borderId="23" fillId="0" fontId="4" numFmtId="0" xfId="0" applyBorder="1" applyFont="1"/>
    <xf borderId="23" fillId="0" fontId="1" numFmtId="0" xfId="0" applyAlignment="1" applyBorder="1" applyFont="1">
      <alignment horizontal="center" readingOrder="0" shrinkToFit="0" vertical="center" wrapText="1"/>
    </xf>
    <xf borderId="24" fillId="0" fontId="1" numFmtId="0" xfId="0" applyAlignment="1" applyBorder="1" applyFont="1">
      <alignment horizontal="center" readingOrder="0" shrinkToFit="0" vertical="center" wrapText="1"/>
    </xf>
    <xf borderId="23" fillId="10" fontId="1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vertical="center"/>
    </xf>
    <xf borderId="25" fillId="0" fontId="4" numFmtId="0" xfId="0" applyBorder="1" applyFont="1"/>
    <xf borderId="22" fillId="0" fontId="1" numFmtId="0" xfId="0" applyAlignment="1" applyBorder="1" applyFon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12" fontId="1" numFmtId="164" xfId="0" applyAlignment="1" applyBorder="1" applyFill="1" applyFont="1" applyNumberFormat="1">
      <alignment horizontal="center" vertical="center"/>
    </xf>
    <xf borderId="24" fillId="12" fontId="1" numFmtId="164" xfId="0" applyAlignment="1" applyBorder="1" applyFont="1" applyNumberFormat="1">
      <alignment horizontal="center" vertical="center"/>
    </xf>
    <xf borderId="24" fillId="0" fontId="1" numFmtId="164" xfId="0" applyAlignment="1" applyBorder="1" applyFont="1" applyNumberFormat="1">
      <alignment horizontal="center" vertical="center"/>
    </xf>
    <xf borderId="26" fillId="0" fontId="1" numFmtId="0" xfId="0" applyAlignment="1" applyBorder="1" applyFont="1">
      <alignment horizontal="center" readingOrder="0" vertical="center"/>
    </xf>
    <xf borderId="0" fillId="12" fontId="1" numFmtId="164" xfId="0" applyAlignment="1" applyFont="1" applyNumberFormat="1">
      <alignment horizontal="center" vertical="center"/>
    </xf>
    <xf borderId="10" fillId="12" fontId="1" numFmtId="164" xfId="0" applyAlignment="1" applyBorder="1" applyFont="1" applyNumberFormat="1">
      <alignment horizontal="center" vertical="center"/>
    </xf>
    <xf borderId="10" fillId="0" fontId="1" numFmtId="164" xfId="0" applyAlignment="1" applyBorder="1" applyFont="1" applyNumberFormat="1">
      <alignment horizontal="center" vertical="center"/>
    </xf>
    <xf borderId="0" fillId="0" fontId="24" numFmtId="0" xfId="0" applyAlignment="1" applyFont="1">
      <alignment readingOrder="0"/>
    </xf>
    <xf borderId="0" fillId="0" fontId="24" numFmtId="0" xfId="0" applyFont="1"/>
    <xf borderId="0" fillId="0" fontId="25" numFmtId="0" xfId="0" applyAlignment="1" applyFont="1">
      <alignment vertical="bottom"/>
    </xf>
    <xf borderId="0" fillId="0" fontId="26" numFmtId="0" xfId="0" applyFont="1"/>
    <xf borderId="0" fillId="0" fontId="25" numFmtId="0" xfId="0" applyAlignment="1" applyFont="1">
      <alignment readingOrder="0" shrinkToFit="0" vertical="bottom" wrapText="0"/>
    </xf>
    <xf borderId="0" fillId="0" fontId="14" numFmtId="0" xfId="0" applyAlignment="1" applyFont="1">
      <alignment vertical="bottom"/>
    </xf>
    <xf borderId="25" fillId="0" fontId="1" numFmtId="0" xfId="0" applyAlignment="1" applyBorder="1" applyFont="1">
      <alignment horizontal="center" readingOrder="0" vertical="center"/>
    </xf>
    <xf borderId="11" fillId="0" fontId="1" numFmtId="0" xfId="0" applyBorder="1" applyFont="1"/>
    <xf borderId="11" fillId="0" fontId="1" numFmtId="164" xfId="0" applyAlignment="1" applyBorder="1" applyFont="1" applyNumberFormat="1">
      <alignment horizontal="center" vertical="center"/>
    </xf>
    <xf borderId="11" fillId="12" fontId="1" numFmtId="164" xfId="0" applyAlignment="1" applyBorder="1" applyFont="1" applyNumberFormat="1">
      <alignment horizontal="center" vertical="center"/>
    </xf>
    <xf borderId="15" fillId="12" fontId="1" numFmtId="164" xfId="0" applyAlignment="1" applyBorder="1" applyFont="1" applyNumberFormat="1">
      <alignment horizontal="center" vertical="center"/>
    </xf>
    <xf borderId="15" fillId="0" fontId="1" numFmtId="164" xfId="0" applyAlignment="1" applyBorder="1" applyFont="1" applyNumberFormat="1">
      <alignment horizontal="center" vertical="center"/>
    </xf>
    <xf borderId="0" fillId="0" fontId="15" numFmtId="0" xfId="0" applyFont="1"/>
    <xf borderId="23" fillId="12" fontId="1" numFmtId="0" xfId="0" applyAlignment="1" applyBorder="1" applyFont="1">
      <alignment horizontal="center" vertical="center"/>
    </xf>
    <xf borderId="24" fillId="12" fontId="1" numFmtId="0" xfId="0" applyAlignment="1" applyBorder="1" applyFont="1">
      <alignment horizontal="center" vertical="center"/>
    </xf>
    <xf borderId="24" fillId="12" fontId="2" numFmtId="164" xfId="0" applyAlignment="1" applyBorder="1" applyFont="1" applyNumberFormat="1">
      <alignment horizontal="center" vertical="center"/>
    </xf>
    <xf borderId="0" fillId="12" fontId="1" numFmtId="0" xfId="0" applyAlignment="1" applyFont="1">
      <alignment horizontal="center" vertical="center"/>
    </xf>
    <xf borderId="10" fillId="12" fontId="1" numFmtId="0" xfId="0" applyAlignment="1" applyBorder="1" applyFont="1">
      <alignment horizontal="center" vertical="center"/>
    </xf>
    <xf borderId="10" fillId="12" fontId="2" numFmtId="164" xfId="0" applyAlignment="1" applyBorder="1" applyFont="1" applyNumberFormat="1">
      <alignment horizontal="center" vertical="center"/>
    </xf>
    <xf borderId="11" fillId="12" fontId="1" numFmtId="0" xfId="0" applyAlignment="1" applyBorder="1" applyFont="1">
      <alignment horizontal="center" vertical="center"/>
    </xf>
    <xf borderId="15" fillId="12" fontId="1" numFmtId="0" xfId="0" applyAlignment="1" applyBorder="1" applyFont="1">
      <alignment horizontal="center" vertical="center"/>
    </xf>
    <xf borderId="15" fillId="12" fontId="2" numFmtId="164" xfId="0" applyAlignment="1" applyBorder="1" applyFont="1" applyNumberFormat="1">
      <alignment horizontal="center" vertical="center"/>
    </xf>
    <xf borderId="24" fillId="0" fontId="2" numFmtId="164" xfId="0" applyAlignment="1" applyBorder="1" applyFont="1" applyNumberFormat="1">
      <alignment horizontal="center" vertical="center"/>
    </xf>
    <xf borderId="15" fillId="0" fontId="2" numFmtId="164" xfId="0" applyAlignment="1" applyBorder="1" applyFont="1" applyNumberFormat="1">
      <alignment horizontal="center" vertical="center"/>
    </xf>
    <xf borderId="0" fillId="0" fontId="1" numFmtId="0" xfId="0" applyFont="1"/>
    <xf borderId="0" fillId="0" fontId="27" numFmtId="0" xfId="0" applyAlignment="1" applyFont="1">
      <alignment horizontal="left" readingOrder="0"/>
    </xf>
    <xf borderId="0" fillId="0" fontId="27" numFmtId="164" xfId="0" applyAlignment="1" applyFont="1" applyNumberFormat="1">
      <alignment horizontal="left" readingOrder="0"/>
    </xf>
    <xf borderId="11" fillId="4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 readingOrder="0"/>
    </xf>
    <xf borderId="11" fillId="10" fontId="1" numFmtId="0" xfId="0" applyAlignment="1" applyBorder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27" fillId="4" fontId="28" numFmtId="3" xfId="0" applyAlignment="1" applyBorder="1" applyFont="1" applyNumberFormat="1">
      <alignment horizontal="center" readingOrder="0" shrinkToFit="0" wrapText="0"/>
    </xf>
    <xf borderId="0" fillId="4" fontId="29" numFmtId="166" xfId="0" applyAlignment="1" applyFont="1" applyNumberFormat="1">
      <alignment horizontal="center" readingOrder="0" shrinkToFit="0" vertical="bottom" wrapText="0"/>
    </xf>
    <xf borderId="27" fillId="4" fontId="28" numFmtId="0" xfId="0" applyAlignment="1" applyBorder="1" applyFont="1">
      <alignment horizontal="center" readingOrder="0" shrinkToFit="0" wrapText="0"/>
    </xf>
    <xf borderId="0" fillId="4" fontId="29" numFmtId="165" xfId="0" applyAlignment="1" applyFont="1" applyNumberFormat="1">
      <alignment horizontal="center" readingOrder="0" shrinkToFit="0" vertical="bottom" wrapText="0"/>
    </xf>
    <xf borderId="0" fillId="4" fontId="1" numFmtId="0" xfId="0" applyAlignment="1" applyFont="1">
      <alignment horizontal="center" readingOrder="0"/>
    </xf>
    <xf borderId="0" fillId="4" fontId="1" numFmtId="0" xfId="0" applyAlignment="1" applyFont="1">
      <alignment readingOrder="0"/>
    </xf>
    <xf borderId="0" fillId="4" fontId="1" numFmtId="164" xfId="0" applyAlignment="1" applyFont="1" applyNumberFormat="1">
      <alignment horizontal="center" readingOrder="0"/>
    </xf>
    <xf borderId="0" fillId="0" fontId="28" numFmtId="0" xfId="0" applyAlignment="1" applyFont="1">
      <alignment horizontal="center" readingOrder="0" shrinkToFit="0" wrapText="0"/>
    </xf>
    <xf borderId="27" fillId="10" fontId="28" numFmtId="0" xfId="0" applyAlignment="1" applyBorder="1" applyFont="1">
      <alignment horizontal="center" readingOrder="0" shrinkToFit="0" wrapText="0"/>
    </xf>
    <xf borderId="0" fillId="10" fontId="29" numFmtId="166" xfId="0" applyAlignment="1" applyFont="1" applyNumberFormat="1">
      <alignment horizontal="center" readingOrder="0" shrinkToFit="0" vertical="bottom" wrapText="0"/>
    </xf>
    <xf borderId="27" fillId="0" fontId="28" numFmtId="0" xfId="0" applyAlignment="1" applyBorder="1" applyFont="1">
      <alignment horizontal="center" readingOrder="0" shrinkToFit="0" wrapText="0"/>
    </xf>
    <xf borderId="0" fillId="0" fontId="29" numFmtId="165" xfId="0" applyAlignment="1" applyFont="1" applyNumberFormat="1">
      <alignment horizontal="center" readingOrder="0" shrinkToFit="0" vertical="bottom" wrapText="0"/>
    </xf>
    <xf borderId="0" fillId="0" fontId="29" numFmtId="166" xfId="0" applyAlignment="1" applyFont="1" applyNumberFormat="1">
      <alignment horizontal="center" readingOrder="0" shrinkToFit="0" vertical="bottom" wrapText="0"/>
    </xf>
    <xf borderId="0" fillId="4" fontId="28" numFmtId="0" xfId="0" applyAlignment="1" applyFont="1">
      <alignment horizontal="center" readingOrder="0" shrinkToFit="0" wrapText="0"/>
    </xf>
    <xf borderId="0" fillId="0" fontId="29" numFmtId="0" xfId="0" applyAlignment="1" applyFont="1">
      <alignment horizontal="center" readingOrder="0" shrinkToFit="0" vertical="bottom" wrapText="0"/>
    </xf>
    <xf borderId="0" fillId="0" fontId="1" numFmtId="166" xfId="0" applyAlignment="1" applyFont="1" applyNumberFormat="1">
      <alignment horizontal="center" readingOrder="0"/>
    </xf>
    <xf borderId="0" fillId="10" fontId="29" numFmtId="165" xfId="0" applyAlignment="1" applyFont="1" applyNumberFormat="1">
      <alignment horizontal="center" readingOrder="0" shrinkToFit="0" vertical="bottom" wrapText="0"/>
    </xf>
    <xf borderId="0" fillId="0" fontId="1" numFmtId="165" xfId="0" applyAlignment="1" applyFont="1" applyNumberFormat="1">
      <alignment horizontal="center" readingOrder="0"/>
    </xf>
    <xf borderId="0" fillId="0" fontId="30" numFmtId="164" xfId="0" applyAlignment="1" applyFont="1" applyNumberFormat="1">
      <alignment horizontal="left" readingOrder="0" shrinkToFit="0" wrapText="0"/>
    </xf>
    <xf borderId="0" fillId="0" fontId="27" numFmtId="164" xfId="0" applyAlignment="1" applyFont="1" applyNumberFormat="1">
      <alignment horizontal="left"/>
    </xf>
    <xf borderId="0" fillId="0" fontId="27" numFmtId="0" xfId="0" applyAlignment="1" applyFont="1">
      <alignment horizontal="left"/>
    </xf>
    <xf borderId="0" fillId="0" fontId="1" numFmtId="164" xfId="0" applyFont="1" applyNumberFormat="1"/>
    <xf borderId="28" fillId="0" fontId="31" numFmtId="0" xfId="0" applyAlignment="1" applyBorder="1" applyFont="1">
      <alignment readingOrder="0" vertical="bottom"/>
    </xf>
    <xf borderId="28" fillId="0" fontId="2" numFmtId="0" xfId="0" applyAlignment="1" applyBorder="1" applyFont="1">
      <alignment readingOrder="0" vertical="bottom"/>
    </xf>
    <xf borderId="1" fillId="0" fontId="32" numFmtId="0" xfId="0" applyAlignment="1" applyBorder="1" applyFont="1">
      <alignment readingOrder="0" vertical="bottom"/>
    </xf>
    <xf borderId="28" fillId="0" fontId="32" numFmtId="0" xfId="0" applyAlignment="1" applyBorder="1" applyFont="1">
      <alignment readingOrder="0" vertical="bottom"/>
    </xf>
    <xf borderId="28" fillId="0" fontId="33" numFmtId="0" xfId="0" applyAlignment="1" applyBorder="1" applyFont="1">
      <alignment horizontal="right" readingOrder="0" vertical="bottom"/>
    </xf>
    <xf borderId="1" fillId="0" fontId="32" numFmtId="4" xfId="0" applyAlignment="1" applyBorder="1" applyFont="1" applyNumberFormat="1">
      <alignment readingOrder="0" vertical="bottom"/>
    </xf>
    <xf borderId="0" fillId="0" fontId="34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shrinkToFit="0" wrapText="1"/>
    </xf>
    <xf borderId="0" fillId="0" fontId="1" numFmtId="9" xfId="0" applyAlignment="1" applyFont="1" applyNumberFormat="1">
      <alignment horizontal="center" readingOrder="0" shrinkToFit="0" wrapText="1"/>
    </xf>
    <xf borderId="29" fillId="3" fontId="3" numFmtId="0" xfId="0" applyAlignment="1" applyBorder="1" applyFont="1">
      <alignment horizontal="center" readingOrder="0" shrinkToFit="0" vertical="center" wrapText="1"/>
    </xf>
    <xf borderId="30" fillId="0" fontId="4" numFmtId="0" xfId="0" applyBorder="1" applyFont="1"/>
    <xf borderId="31" fillId="0" fontId="4" numFmtId="0" xfId="0" applyBorder="1" applyFont="1"/>
    <xf borderId="32" fillId="0" fontId="1" numFmtId="0" xfId="0" applyAlignment="1" applyBorder="1" applyFont="1">
      <alignment horizontal="center" readingOrder="0" shrinkToFit="0" wrapText="1"/>
    </xf>
    <xf borderId="0" fillId="0" fontId="6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33" fillId="0" fontId="11" numFmtId="0" xfId="0" applyAlignment="1" applyBorder="1" applyFont="1">
      <alignment horizontal="center" readingOrder="0" shrinkToFit="0" vertical="center" wrapText="1"/>
    </xf>
    <xf borderId="34" fillId="0" fontId="4" numFmtId="0" xfId="0" applyBorder="1" applyFont="1"/>
    <xf borderId="0" fillId="2" fontId="1" numFmtId="0" xfId="0" applyAlignment="1" applyFont="1">
      <alignment horizontal="center" readingOrder="0" vertical="center"/>
    </xf>
    <xf borderId="0" fillId="2" fontId="1" numFmtId="3" xfId="0" applyAlignment="1" applyFont="1" applyNumberFormat="1">
      <alignment horizontal="center" readingOrder="0" vertical="center"/>
    </xf>
    <xf borderId="32" fillId="0" fontId="15" numFmtId="0" xfId="0" applyAlignment="1" applyBorder="1" applyFont="1">
      <alignment horizontal="center" readingOrder="0" shrinkToFit="0" vertical="center" wrapText="1"/>
    </xf>
    <xf borderId="33" fillId="0" fontId="2" numFmtId="0" xfId="0" applyAlignment="1" applyBorder="1" applyFont="1">
      <alignment horizontal="center" vertical="center"/>
    </xf>
    <xf borderId="32" fillId="7" fontId="15" numFmtId="0" xfId="0" applyAlignment="1" applyBorder="1" applyFont="1">
      <alignment horizontal="center" readingOrder="0" shrinkToFit="0" vertical="center" wrapText="1"/>
    </xf>
    <xf borderId="33" fillId="7" fontId="17" numFmtId="164" xfId="0" applyAlignment="1" applyBorder="1" applyFont="1" applyNumberFormat="1">
      <alignment horizontal="center" vertical="center"/>
    </xf>
    <xf borderId="32" fillId="8" fontId="18" numFmtId="0" xfId="0" applyAlignment="1" applyBorder="1" applyFont="1">
      <alignment horizontal="center" readingOrder="0" shrinkToFit="0" vertical="center" wrapText="1"/>
    </xf>
    <xf borderId="0" fillId="8" fontId="18" numFmtId="164" xfId="0" applyAlignment="1" applyFont="1" applyNumberFormat="1">
      <alignment horizontal="center" vertical="center"/>
    </xf>
    <xf borderId="33" fillId="8" fontId="18" numFmtId="0" xfId="0" applyAlignment="1" applyBorder="1" applyFont="1">
      <alignment horizontal="center" vertical="center"/>
    </xf>
    <xf borderId="32" fillId="3" fontId="3" numFmtId="0" xfId="0" applyAlignment="1" applyBorder="1" applyFont="1">
      <alignment horizontal="center" readingOrder="0" shrinkToFit="0" vertical="center" wrapText="1"/>
    </xf>
    <xf borderId="33" fillId="0" fontId="4" numFmtId="0" xfId="0" applyBorder="1" applyFont="1"/>
    <xf borderId="32" fillId="0" fontId="1" numFmtId="0" xfId="0" applyAlignment="1" applyBorder="1" applyFont="1">
      <alignment horizontal="center" vertical="center"/>
    </xf>
    <xf borderId="33" fillId="0" fontId="1" numFmtId="0" xfId="0" applyAlignment="1" applyBorder="1" applyFont="1">
      <alignment vertical="center"/>
    </xf>
    <xf borderId="35" fillId="3" fontId="3" numFmtId="0" xfId="0" applyAlignment="1" applyBorder="1" applyFont="1">
      <alignment horizontal="center" readingOrder="0" shrinkToFit="0" vertical="center" wrapText="1"/>
    </xf>
    <xf borderId="36" fillId="0" fontId="4" numFmtId="0" xfId="0" applyBorder="1" applyFont="1"/>
    <xf borderId="37" fillId="0" fontId="4" numFmtId="0" xfId="0" applyBorder="1" applyFont="1"/>
    <xf borderId="0" fillId="0" fontId="1" numFmtId="167" xfId="0" applyAlignment="1" applyFont="1" applyNumberFormat="1">
      <alignment horizontal="center" vertical="center"/>
    </xf>
    <xf borderId="33" fillId="0" fontId="2" numFmtId="167" xfId="0" applyAlignment="1" applyBorder="1" applyFont="1" applyNumberFormat="1">
      <alignment horizontal="center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2" numFmtId="0" xfId="0" applyFont="1"/>
    <xf borderId="38" fillId="7" fontId="15" numFmtId="0" xfId="0" applyAlignment="1" applyBorder="1" applyFont="1">
      <alignment horizontal="center" readingOrder="0" shrinkToFit="0" vertical="center" wrapText="1"/>
    </xf>
    <xf borderId="39" fillId="7" fontId="1" numFmtId="164" xfId="0" applyAlignment="1" applyBorder="1" applyFont="1" applyNumberFormat="1">
      <alignment horizontal="center" vertical="center"/>
    </xf>
    <xf borderId="39" fillId="7" fontId="1" numFmtId="49" xfId="0" applyAlignment="1" applyBorder="1" applyFont="1" applyNumberFormat="1">
      <alignment horizontal="center" vertical="center"/>
    </xf>
    <xf borderId="40" fillId="7" fontId="1" numFmtId="164" xfId="0" applyAlignment="1" applyBorder="1" applyFont="1" applyNumberFormat="1">
      <alignment horizontal="center" vertical="center"/>
    </xf>
    <xf borderId="0" fillId="0" fontId="35" numFmtId="0" xfId="0" applyAlignment="1" applyFont="1">
      <alignment vertical="bottom"/>
    </xf>
    <xf borderId="0" fillId="0" fontId="35" numFmtId="0" xfId="0" applyAlignment="1" applyFont="1">
      <alignment horizontal="right" vertical="bottom"/>
    </xf>
    <xf borderId="0" fillId="0" fontId="35" numFmtId="0" xfId="0" applyAlignment="1" applyFont="1">
      <alignment shrinkToFit="0" vertical="bottom" wrapText="0"/>
    </xf>
    <xf borderId="22" fillId="0" fontId="1" numFmtId="0" xfId="0" applyBorder="1" applyFont="1"/>
    <xf borderId="23" fillId="0" fontId="1" numFmtId="0" xfId="0" applyAlignment="1" applyBorder="1" applyFont="1">
      <alignment horizontal="center" readingOrder="0" shrinkToFit="0" wrapText="1"/>
    </xf>
    <xf borderId="23" fillId="6" fontId="1" numFmtId="0" xfId="0" applyAlignment="1" applyBorder="1" applyFont="1">
      <alignment horizontal="center" readingOrder="0" shrinkToFit="0" vertical="center" wrapText="1"/>
    </xf>
    <xf borderId="24" fillId="6" fontId="1" numFmtId="0" xfId="0" applyAlignment="1" applyBorder="1" applyFont="1">
      <alignment horizontal="center" readingOrder="0" shrinkToFit="0" vertical="center" wrapText="1"/>
    </xf>
    <xf borderId="0" fillId="0" fontId="26" numFmtId="0" xfId="0" applyAlignment="1" applyFont="1">
      <alignment readingOrder="0" vertical="center"/>
    </xf>
    <xf borderId="25" fillId="0" fontId="1" numFmtId="0" xfId="0" applyBorder="1" applyFont="1"/>
    <xf borderId="11" fillId="0" fontId="1" numFmtId="0" xfId="0" applyAlignment="1" applyBorder="1" applyFont="1">
      <alignment horizontal="center" readingOrder="0" shrinkToFit="0" wrapText="1"/>
    </xf>
    <xf borderId="0" fillId="0" fontId="35" numFmtId="0" xfId="0" applyAlignment="1" applyFont="1">
      <alignment readingOrder="0" shrinkToFit="0" vertical="bottom" wrapText="0"/>
    </xf>
    <xf borderId="41" fillId="0" fontId="1" numFmtId="164" xfId="0" applyAlignment="1" applyBorder="1" applyFont="1" applyNumberFormat="1">
      <alignment horizontal="center" vertical="center"/>
    </xf>
    <xf borderId="41" fillId="0" fontId="2" numFmtId="164" xfId="0" applyAlignment="1" applyBorder="1" applyFont="1" applyNumberFormat="1">
      <alignment horizontal="center" vertical="center"/>
    </xf>
    <xf borderId="0" fillId="0" fontId="36" numFmtId="0" xfId="0" applyAlignment="1" applyFont="1">
      <alignment readingOrder="0" shrinkToFit="0" vertical="bottom" wrapText="0"/>
    </xf>
    <xf borderId="0" fillId="0" fontId="37" numFmtId="0" xfId="0" applyFont="1"/>
    <xf borderId="0" fillId="0" fontId="36" numFmtId="0" xfId="0" applyAlignment="1" applyFont="1">
      <alignment vertical="bottom"/>
    </xf>
    <xf borderId="41" fillId="0" fontId="2" numFmtId="164" xfId="0" applyAlignment="1" applyBorder="1" applyFont="1" applyNumberFormat="1">
      <alignment horizontal="center" readingOrder="0" vertical="center"/>
    </xf>
    <xf borderId="0" fillId="0" fontId="26" numFmtId="0" xfId="0" applyAlignment="1" applyFont="1">
      <alignment readingOrder="0"/>
    </xf>
    <xf borderId="42" fillId="0" fontId="1" numFmtId="164" xfId="0" applyAlignment="1" applyBorder="1" applyFont="1" applyNumberFormat="1">
      <alignment horizontal="center" vertical="center"/>
    </xf>
    <xf borderId="42" fillId="0" fontId="2" numFmtId="164" xfId="0" applyAlignment="1" applyBorder="1" applyFont="1" applyNumberFormat="1">
      <alignment horizontal="center" vertical="center"/>
    </xf>
    <xf borderId="11" fillId="0" fontId="2" numFmtId="164" xfId="0" applyAlignment="1" applyBorder="1" applyFont="1" applyNumberFormat="1">
      <alignment horizontal="center" vertical="center"/>
    </xf>
    <xf borderId="11" fillId="10" fontId="1" numFmtId="0" xfId="0" applyAlignment="1" applyBorder="1" applyFont="1">
      <alignment horizontal="center" readingOrder="0" vertical="center"/>
    </xf>
    <xf borderId="0" fillId="10" fontId="1" numFmtId="0" xfId="0" applyAlignment="1" applyFont="1">
      <alignment horizontal="center" readingOrder="0"/>
    </xf>
    <xf borderId="0" fillId="10" fontId="1" numFmtId="9" xfId="0" applyAlignment="1" applyFont="1" applyNumberFormat="1">
      <alignment horizontal="center" readingOrder="0"/>
    </xf>
  </cellXfs>
  <cellStyles count="1">
    <cellStyle xfId="0" name="Normal" builtinId="0"/>
  </cellStyles>
  <dxfs count="6">
    <dxf>
      <font>
        <color rgb="FFFFFFFF"/>
      </font>
      <fill>
        <patternFill patternType="none"/>
      </fill>
      <border/>
    </dxf>
    <dxf>
      <font>
        <color rgb="FF000000"/>
      </font>
      <fill>
        <patternFill patternType="none"/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b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>
        <color rgb="FFEFEFEF"/>
      </font>
      <fill>
        <patternFill patternType="solid">
          <fgColor rgb="FFEFEFEF"/>
          <bgColor rgb="FFEFEFE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142875</xdr:rowOff>
    </xdr:from>
    <xdr:ext cx="1581150" cy="6381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142875</xdr:rowOff>
    </xdr:from>
    <xdr:ext cx="1581150" cy="6381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38"/>
    <col customWidth="1" min="2" max="4" width="6.88"/>
    <col customWidth="1" min="5" max="6" width="2.63"/>
    <col customWidth="1" min="8" max="8" width="2.38"/>
    <col customWidth="1" min="10" max="10" width="4.25"/>
    <col customWidth="1" min="11" max="11" width="11.75"/>
    <col customWidth="1" min="12" max="12" width="4.13"/>
    <col customWidth="1" min="13" max="13" width="14.75"/>
    <col customWidth="1" min="14" max="14" width="10.63"/>
    <col customWidth="1" min="15" max="15" width="12.38"/>
    <col customWidth="1" min="16" max="16" width="12.25"/>
    <col customWidth="1" min="17" max="18" width="12.38"/>
    <col customWidth="1" min="19" max="19" width="12.25"/>
    <col customWidth="1" min="20" max="20" width="12.38"/>
    <col customWidth="1" min="21" max="21" width="11.75"/>
    <col customWidth="1" min="22" max="22" width="12.25"/>
    <col customWidth="1" min="23" max="23" width="12.0"/>
    <col customWidth="1" min="24" max="24" width="12.5"/>
    <col customWidth="1" hidden="1" min="25" max="26" width="10.63"/>
    <col customWidth="1" hidden="1" min="27" max="29" width="13.5"/>
    <col customWidth="1" hidden="1" min="30" max="30" width="69.0"/>
    <col customWidth="1" hidden="1" min="31" max="31" width="28.5"/>
    <col customWidth="1" hidden="1" min="32" max="32" width="12.25"/>
    <col customWidth="1" hidden="1" min="33" max="33" width="24.5"/>
    <col customWidth="1" hidden="1" min="34" max="41" width="7.0"/>
    <col hidden="1" min="42" max="52" width="12.63"/>
  </cols>
  <sheetData>
    <row r="1" ht="29.25" customHeight="1">
      <c r="A1" s="1" t="s">
        <v>0</v>
      </c>
      <c r="B1" s="2"/>
      <c r="C1" s="2"/>
      <c r="D1" s="3"/>
      <c r="E1" s="4"/>
      <c r="F1" s="4"/>
      <c r="G1" s="4"/>
      <c r="H1" s="5"/>
      <c r="I1" s="3"/>
      <c r="K1" s="6"/>
      <c r="L1" s="5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ht="18.75" customHeight="1">
      <c r="B2" s="2"/>
      <c r="D2" s="3"/>
      <c r="E2" s="4"/>
      <c r="F2" s="4"/>
      <c r="G2" s="3"/>
      <c r="H2" s="5"/>
      <c r="I2" s="7" t="str">
        <f>IF(LEN(I3)=5,VLOOKUP(LEFT(I3,2),AuxCP!C:E,3,0),VLOOKUP("0"&amp;LEFT(I3,1),AuxCP!C:E,3,0))</f>
        <v>Valencia</v>
      </c>
      <c r="K2" s="6" t="s">
        <v>1</v>
      </c>
      <c r="L2" s="5"/>
      <c r="N2" s="1" t="s">
        <v>2</v>
      </c>
      <c r="O2" s="8" t="s">
        <v>2</v>
      </c>
      <c r="P2" s="8" t="s">
        <v>2</v>
      </c>
      <c r="Q2" s="6" t="s">
        <v>2</v>
      </c>
      <c r="R2" s="6"/>
      <c r="S2" s="6"/>
      <c r="T2" s="6"/>
      <c r="U2" s="6" t="s">
        <v>2</v>
      </c>
      <c r="V2" s="6" t="s">
        <v>2</v>
      </c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ht="27.0" customHeight="1">
      <c r="A3" s="9"/>
      <c r="B3" s="10"/>
      <c r="C3" s="10"/>
      <c r="D3" s="10"/>
      <c r="E3" s="10"/>
      <c r="F3" s="10"/>
      <c r="G3" s="10" t="s">
        <v>3</v>
      </c>
      <c r="H3" s="10"/>
      <c r="I3" s="11">
        <v>46019.0</v>
      </c>
      <c r="J3" s="10"/>
      <c r="K3" s="12">
        <f>IF(LEN(I3)=5,VLOOKUP(LEFT(I3,2),AuxCP!C:D,2,0),VLOOKUP("0"&amp;LEFT(I3,1),AuxCP!C:D,2,0))</f>
        <v>2</v>
      </c>
      <c r="L3" s="4"/>
      <c r="M3" s="13" t="s">
        <v>4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5"/>
      <c r="Y3" s="16"/>
      <c r="Z3" s="16"/>
      <c r="AA3" s="16"/>
      <c r="AB3" s="16"/>
      <c r="AC3" s="17"/>
      <c r="AD3" s="9"/>
      <c r="AE3" s="18" t="s">
        <v>5</v>
      </c>
      <c r="AF3" s="18" t="s">
        <v>6</v>
      </c>
      <c r="AG3" s="18" t="s">
        <v>7</v>
      </c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</row>
    <row r="4" ht="20.25" customHeight="1">
      <c r="B4" s="3" t="s">
        <v>8</v>
      </c>
      <c r="E4" s="4"/>
      <c r="F4" s="4"/>
      <c r="G4" s="3" t="s">
        <v>9</v>
      </c>
      <c r="H4" s="5"/>
      <c r="I4" s="3"/>
      <c r="K4" s="19" t="s">
        <v>10</v>
      </c>
      <c r="L4" s="5"/>
      <c r="M4" s="20"/>
      <c r="N4" s="21" t="s">
        <v>11</v>
      </c>
      <c r="O4" s="22" t="s">
        <v>12</v>
      </c>
      <c r="P4" s="23" t="s">
        <v>13</v>
      </c>
      <c r="Q4" s="22" t="s">
        <v>14</v>
      </c>
      <c r="R4" s="22" t="s">
        <v>15</v>
      </c>
      <c r="S4" s="23" t="s">
        <v>16</v>
      </c>
      <c r="T4" s="22" t="s">
        <v>17</v>
      </c>
      <c r="U4" s="24" t="s">
        <v>18</v>
      </c>
      <c r="V4" s="24" t="s">
        <v>19</v>
      </c>
      <c r="W4" s="22" t="s">
        <v>20</v>
      </c>
      <c r="X4" s="25" t="s">
        <v>21</v>
      </c>
      <c r="Y4" s="26" t="s">
        <v>22</v>
      </c>
      <c r="Z4" s="26" t="s">
        <v>23</v>
      </c>
      <c r="AA4" s="26" t="s">
        <v>24</v>
      </c>
      <c r="AB4" s="26" t="s">
        <v>25</v>
      </c>
      <c r="AC4" s="27" t="s">
        <v>26</v>
      </c>
      <c r="AD4" s="9"/>
      <c r="AE4" s="28" t="s">
        <v>27</v>
      </c>
      <c r="AF4" s="29">
        <v>1.0</v>
      </c>
      <c r="AG4" s="28" t="s">
        <v>28</v>
      </c>
      <c r="AH4" s="9"/>
      <c r="AI4" s="9"/>
      <c r="AJ4" s="9"/>
      <c r="AK4" s="9"/>
      <c r="AL4" s="9"/>
      <c r="AM4" s="9"/>
      <c r="AN4" s="9"/>
      <c r="AO4" s="9"/>
      <c r="AP4" s="9"/>
    </row>
    <row r="5" ht="20.25" customHeight="1">
      <c r="A5" s="9"/>
      <c r="B5" s="30" t="s">
        <v>29</v>
      </c>
      <c r="C5" s="30" t="s">
        <v>30</v>
      </c>
      <c r="D5" s="30" t="s">
        <v>31</v>
      </c>
      <c r="E5" s="4"/>
      <c r="F5" s="4"/>
      <c r="G5" s="30"/>
      <c r="H5" s="31"/>
      <c r="I5" s="32" t="s">
        <v>9</v>
      </c>
      <c r="J5" s="9"/>
      <c r="K5" s="33"/>
      <c r="L5" s="4"/>
      <c r="M5" s="34"/>
      <c r="N5" s="35"/>
      <c r="O5" s="35"/>
      <c r="P5" s="35"/>
      <c r="Q5" s="35"/>
      <c r="R5" s="35"/>
      <c r="S5" s="35"/>
      <c r="T5" s="35"/>
      <c r="U5" s="35"/>
      <c r="V5" s="35"/>
      <c r="W5" s="35"/>
      <c r="X5" s="36"/>
      <c r="Y5" s="33"/>
      <c r="Z5" s="33"/>
      <c r="AA5" s="33"/>
      <c r="AB5" s="33"/>
      <c r="AC5" s="37"/>
      <c r="AD5" s="9"/>
      <c r="AE5" s="28" t="s">
        <v>27</v>
      </c>
      <c r="AF5" s="29" t="s">
        <v>32</v>
      </c>
      <c r="AG5" s="28" t="s">
        <v>33</v>
      </c>
      <c r="AH5" s="9"/>
      <c r="AI5" s="9"/>
      <c r="AJ5" s="9"/>
      <c r="AK5" s="9"/>
      <c r="AL5" s="9"/>
      <c r="AM5" s="9"/>
      <c r="AN5" s="9"/>
      <c r="AO5" s="9"/>
      <c r="AP5" s="9"/>
      <c r="AR5" s="9"/>
      <c r="AS5" s="9"/>
      <c r="AT5" s="9"/>
      <c r="AU5" s="9"/>
      <c r="AV5" s="9"/>
      <c r="AW5" s="9"/>
      <c r="AX5" s="9"/>
      <c r="AY5" s="9"/>
    </row>
    <row r="6" ht="34.5" customHeight="1">
      <c r="A6" s="38">
        <v>1.0</v>
      </c>
      <c r="B6" s="39"/>
      <c r="C6" s="39"/>
      <c r="D6" s="39"/>
      <c r="E6" s="4"/>
      <c r="F6" s="4"/>
      <c r="G6" s="40">
        <v>33.0</v>
      </c>
      <c r="H6" s="4"/>
      <c r="I6" s="41">
        <f t="shared" ref="I6:I20" si="3">IF(G6=0,TRUNC((TODAY()-DATE(D6,C6,B6))/365.25,0),G6)</f>
        <v>33</v>
      </c>
      <c r="J6" s="4"/>
      <c r="K6" s="42">
        <f>IF(K10="Sí",0.06+K8,K8)</f>
        <v>0</v>
      </c>
      <c r="L6" s="5"/>
      <c r="M6" s="43" t="s">
        <v>34</v>
      </c>
      <c r="N6" s="44">
        <f>IF((SUM(N57:N71))=0,"",SUM(N57:N71))</f>
        <v>108.9</v>
      </c>
      <c r="O6" s="44">
        <f>IF((SUM(O21:O35))=0,"",SUM(O21:O35))</f>
        <v>323.1</v>
      </c>
      <c r="P6" s="45"/>
      <c r="Q6" s="44">
        <f t="shared" ref="Q6:R6" si="1">IF((SUM(Q21:Q35))=0,"",SUM(Q21:Q35))</f>
        <v>358.2</v>
      </c>
      <c r="R6" s="44">
        <f t="shared" si="1"/>
        <v>504</v>
      </c>
      <c r="S6" s="45"/>
      <c r="T6" s="44">
        <f>IF((SUM(T21:T35))=0,"",SUM(T21:T35))</f>
        <v>630.9</v>
      </c>
      <c r="U6" s="46" t="str">
        <f>IF(SUM(U21:U35)=0,"",IF(COUNT($I$6:$I$20)&gt;=4,SUM(U21:U35)*0.9, SUM(U21:U35)))</f>
        <v/>
      </c>
      <c r="V6" s="45"/>
      <c r="W6" s="44">
        <f>IF((SUM(W21:W35))=0,"",SUM(W21:W35))</f>
        <v>492</v>
      </c>
      <c r="X6" s="47"/>
      <c r="Y6" s="48">
        <f t="shared" ref="Y6:AC6" si="2">IF(COUNT($I$6:$I$13)&gt;4,SUM(Y21:Y28)*0.9, SUM(Y21:Y28))</f>
        <v>0</v>
      </c>
      <c r="Z6" s="48">
        <f t="shared" si="2"/>
        <v>290</v>
      </c>
      <c r="AA6" s="48">
        <f t="shared" si="2"/>
        <v>405</v>
      </c>
      <c r="AB6" s="48">
        <f t="shared" si="2"/>
        <v>267.5</v>
      </c>
      <c r="AC6" s="49">
        <f t="shared" si="2"/>
        <v>359.5</v>
      </c>
      <c r="AE6" s="50" t="s">
        <v>35</v>
      </c>
      <c r="AF6" s="51">
        <v>1.0</v>
      </c>
      <c r="AG6" s="28" t="s">
        <v>36</v>
      </c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4"/>
      <c r="AW6" s="4"/>
      <c r="AX6" s="4"/>
    </row>
    <row r="7" ht="34.5" customHeight="1">
      <c r="A7" s="38">
        <v>2.0</v>
      </c>
      <c r="B7" s="39"/>
      <c r="C7" s="39"/>
      <c r="D7" s="39"/>
      <c r="E7" s="4"/>
      <c r="F7" s="4"/>
      <c r="G7" s="40">
        <v>43.0</v>
      </c>
      <c r="H7" s="4"/>
      <c r="I7" s="41">
        <f t="shared" si="3"/>
        <v>43</v>
      </c>
      <c r="J7" s="4"/>
      <c r="K7" s="52" t="s">
        <v>37</v>
      </c>
      <c r="L7" s="5"/>
      <c r="M7" s="53" t="s">
        <v>38</v>
      </c>
      <c r="N7" s="54">
        <f>IF((SUM(N75:N89))=0,"",SUM(N75:N89))</f>
        <v>126.75</v>
      </c>
      <c r="O7" s="54">
        <f t="shared" ref="O7:X7" si="4">IF((SUM(O39:O53))=0,"",SUM(O39:O53))</f>
        <v>340.95</v>
      </c>
      <c r="P7" s="54">
        <f t="shared" si="4"/>
        <v>391.5</v>
      </c>
      <c r="Q7" s="54">
        <f t="shared" si="4"/>
        <v>376.05</v>
      </c>
      <c r="R7" s="54">
        <f t="shared" si="4"/>
        <v>521.85</v>
      </c>
      <c r="S7" s="54">
        <f t="shared" si="4"/>
        <v>599.4</v>
      </c>
      <c r="T7" s="54">
        <f t="shared" si="4"/>
        <v>718.85</v>
      </c>
      <c r="U7" s="54" t="str">
        <f t="shared" si="4"/>
        <v/>
      </c>
      <c r="V7" s="54" t="str">
        <f t="shared" si="4"/>
        <v/>
      </c>
      <c r="W7" s="54">
        <f t="shared" si="4"/>
        <v>509.85</v>
      </c>
      <c r="X7" s="55">
        <f t="shared" si="4"/>
        <v>348</v>
      </c>
      <c r="Y7" s="54" t="str">
        <f>IF(OR(Y$6="",Y$6=0),"",Y6+VLOOKUP(COUNT($I$6:$I$13),Precios!$F:$H,3,0))</f>
        <v/>
      </c>
      <c r="Z7" s="56"/>
      <c r="AA7" s="56"/>
      <c r="AB7" s="56"/>
      <c r="AC7" s="57"/>
      <c r="AD7" s="58"/>
      <c r="AE7" s="50" t="s">
        <v>35</v>
      </c>
      <c r="AF7" s="29" t="s">
        <v>32</v>
      </c>
      <c r="AG7" s="28" t="s">
        <v>39</v>
      </c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4"/>
      <c r="AW7" s="4"/>
      <c r="AX7" s="4"/>
    </row>
    <row r="8" ht="34.5" customHeight="1">
      <c r="A8" s="38">
        <v>3.0</v>
      </c>
      <c r="B8" s="39"/>
      <c r="C8" s="39"/>
      <c r="D8" s="39"/>
      <c r="E8" s="4"/>
      <c r="F8" s="4"/>
      <c r="G8" s="40">
        <v>55.0</v>
      </c>
      <c r="H8" s="4"/>
      <c r="I8" s="41">
        <f t="shared" si="3"/>
        <v>55</v>
      </c>
      <c r="J8" s="4"/>
      <c r="K8" s="59">
        <v>0.0</v>
      </c>
      <c r="L8" s="5"/>
      <c r="M8" s="60" t="s">
        <v>40</v>
      </c>
      <c r="N8" s="61"/>
      <c r="O8" s="61"/>
      <c r="P8" s="62">
        <f>IF(SUM(P75:P89)=0,"",SUM(P75:P89))</f>
        <v>391.5</v>
      </c>
      <c r="Q8" s="61"/>
      <c r="R8" s="61"/>
      <c r="S8" s="62">
        <f>IF(SUM(S75:S89)=0,"",SUM(S75:S89))</f>
        <v>599.4</v>
      </c>
      <c r="T8" s="61"/>
      <c r="U8" s="61"/>
      <c r="V8" s="61" t="str">
        <f>IF(SUM(V75:V89)=0,"",SUM(V75:V89))</f>
        <v/>
      </c>
      <c r="W8" s="61"/>
      <c r="X8" s="63">
        <f>IF(SUM(X75:X89)=0,"",SUM(X75:X89))</f>
        <v>348</v>
      </c>
      <c r="Y8" s="64"/>
      <c r="Z8" s="64"/>
      <c r="AA8" s="64"/>
      <c r="AB8" s="64"/>
      <c r="AC8" s="65"/>
      <c r="AD8" s="9"/>
      <c r="AE8" s="50" t="s">
        <v>41</v>
      </c>
      <c r="AF8" s="51">
        <v>1.0</v>
      </c>
      <c r="AG8" s="28" t="s">
        <v>28</v>
      </c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4"/>
      <c r="AW8" s="4"/>
      <c r="AX8" s="4"/>
    </row>
    <row r="9" ht="34.5" customHeight="1">
      <c r="A9" s="38">
        <v>4.0</v>
      </c>
      <c r="B9" s="39"/>
      <c r="C9" s="39"/>
      <c r="D9" s="39"/>
      <c r="E9" s="4"/>
      <c r="F9" s="4"/>
      <c r="G9" s="40">
        <v>66.0</v>
      </c>
      <c r="H9" s="4"/>
      <c r="I9" s="41">
        <f t="shared" si="3"/>
        <v>66</v>
      </c>
      <c r="J9" s="4"/>
      <c r="K9" s="52" t="s">
        <v>42</v>
      </c>
      <c r="L9" s="5"/>
      <c r="M9" s="66" t="s">
        <v>43</v>
      </c>
      <c r="N9" s="35"/>
      <c r="O9" s="35"/>
      <c r="P9" s="35"/>
      <c r="Q9" s="35"/>
      <c r="R9" s="35"/>
      <c r="S9" s="35"/>
      <c r="T9" s="35"/>
      <c r="U9" s="35"/>
      <c r="V9" s="35"/>
      <c r="W9" s="35"/>
      <c r="X9" s="36"/>
      <c r="Y9" s="67"/>
      <c r="Z9" s="67"/>
      <c r="AA9" s="67"/>
      <c r="AB9" s="67"/>
      <c r="AC9" s="68"/>
      <c r="AD9" s="9"/>
      <c r="AE9" s="58"/>
      <c r="AF9" s="9"/>
      <c r="AG9" s="9"/>
      <c r="AH9" s="9"/>
      <c r="AI9" s="9"/>
      <c r="AJ9" s="9"/>
      <c r="AK9" s="58"/>
      <c r="AL9" s="9"/>
      <c r="AM9" s="9"/>
      <c r="AN9" s="9"/>
      <c r="AO9" s="9"/>
      <c r="AP9" s="9"/>
      <c r="AQ9" s="9"/>
      <c r="AR9" s="9"/>
      <c r="AS9" s="4"/>
      <c r="AT9" s="4"/>
      <c r="AU9" s="4"/>
    </row>
    <row r="10" ht="39.75" customHeight="1">
      <c r="A10" s="38">
        <v>5.0</v>
      </c>
      <c r="B10" s="39"/>
      <c r="C10" s="39"/>
      <c r="D10" s="39"/>
      <c r="E10" s="4"/>
      <c r="F10" s="4"/>
      <c r="G10" s="69"/>
      <c r="H10" s="4"/>
      <c r="I10" s="31" t="str">
        <f t="shared" si="3"/>
        <v>#NUM!</v>
      </c>
      <c r="J10" s="4"/>
      <c r="K10" s="70" t="s">
        <v>44</v>
      </c>
      <c r="L10" s="71"/>
      <c r="M10" s="43" t="s">
        <v>34</v>
      </c>
      <c r="N10" s="72">
        <f>IF((SUM(N57:N71)*12)=0,"",SUM(N57:N71)*12)</f>
        <v>1306.8</v>
      </c>
      <c r="O10" s="73">
        <f>IF((SUM(O21:O35)*12)=0,"",SUM(O21:O35)*12)</f>
        <v>3877.2</v>
      </c>
      <c r="P10" s="45"/>
      <c r="Q10" s="73">
        <f t="shared" ref="Q10:R10" si="5">IF((SUM(Q21:Q35)*12)=0,"",SUM(Q21:Q35)*12)</f>
        <v>4298.4</v>
      </c>
      <c r="R10" s="73">
        <f t="shared" si="5"/>
        <v>6048</v>
      </c>
      <c r="S10" s="45"/>
      <c r="T10" s="73">
        <f>IF((SUM(T21:T35)*12)=0,"",SUM(T21:T35)*12)</f>
        <v>7570.8</v>
      </c>
      <c r="U10" s="73" t="str">
        <f>IF(IFERROR(IF(AND($K$8&gt;1%,$K$10="Sí"),U$57*(1-($K$6-$K$8))*(1-$K$8)*12,IF(AND($K$6&gt;0%,$K$6&lt;11%),U$57*(1-$K$6)*12,IF($K$6=0,U$57*12))),"")=0,"",IFERROR(IF(AND($K$8&gt;1%,$K$10="Sí"),U$57*(1-($K$6-$K$8))*(1-$K$8)*12,IF(AND($K$6&gt;0%,$K$6&lt;11%),U$57*(1-$K$6)*12,IF($K$6=0,U$57*12))),""))</f>
        <v/>
      </c>
      <c r="V10" s="45"/>
      <c r="W10" s="73">
        <f>IF((SUM(W21:W35)*12)=0,"",SUM(W21:W35)*12)</f>
        <v>5904</v>
      </c>
      <c r="X10" s="47"/>
      <c r="Y10" s="74" t="str">
        <f>IFERROR(IF(IF(AND($K$8&gt;1%,$K$10="Sí"),Y$57*(1-($K$6-$K$8))*(1-$K$8)*12,IF(AND($K$6&gt;0%,$K$6&lt;11%),Y$57*(1-$K$6)*12,IF($K$6=0,Y$57*12)))=0,"",IF(AND($K$8&gt;1%,$K$10="Sí"),Y$57*(1-($K$6-$K$8))*(1-$K$8)*12,IF(AND($K$6&gt;0%,$K$6&lt;11%),Y$57*(1-$K$6)*12,IF($K$6=0,Y$57*12)))),"")</f>
        <v/>
      </c>
      <c r="Z10" s="74">
        <f t="shared" ref="Z10:AC10" si="6">IFERROR(IF(AND($K$8&gt;1%,$K$10="Sí"),Z$57*(1-($K$6-$K$8))*(1-$K$8)*12,IF(AND($K$6&gt;0%,$K$6&lt;11%),Z$57*(1-$K$6)*12,IF($K$6=0,Z$57*12))),"")</f>
        <v>624</v>
      </c>
      <c r="AA10" s="74">
        <f t="shared" si="6"/>
        <v>918</v>
      </c>
      <c r="AB10" s="74">
        <f t="shared" si="6"/>
        <v>702</v>
      </c>
      <c r="AC10" s="49">
        <f t="shared" si="6"/>
        <v>978</v>
      </c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</row>
    <row r="11" ht="39.75" customHeight="1">
      <c r="A11" s="38">
        <v>6.0</v>
      </c>
      <c r="B11" s="69"/>
      <c r="C11" s="69"/>
      <c r="D11" s="69"/>
      <c r="E11" s="4"/>
      <c r="F11" s="4"/>
      <c r="G11" s="69"/>
      <c r="H11" s="4"/>
      <c r="I11" s="31" t="str">
        <f t="shared" si="3"/>
        <v>#NUM!</v>
      </c>
      <c r="J11" s="4"/>
      <c r="K11" s="75">
        <f t="shared" ref="K11:K13" si="9">$K$6</f>
        <v>0</v>
      </c>
      <c r="L11" s="71"/>
      <c r="M11" s="76" t="s">
        <v>45</v>
      </c>
      <c r="N11" s="77">
        <f t="shared" ref="N11:O11" si="7">IF((SUM(N57:N71)*12)=0,"",SUM(N57:N71)*12)</f>
        <v>1306.8</v>
      </c>
      <c r="O11" s="77">
        <f t="shared" si="7"/>
        <v>3877.2</v>
      </c>
      <c r="P11" s="54"/>
      <c r="Q11" s="77">
        <f t="shared" ref="Q11:R11" si="8">IF((SUM(Q57:Q71)*12)=0,"",SUM(Q57:Q71)*12)</f>
        <v>4298.4</v>
      </c>
      <c r="R11" s="77">
        <f t="shared" si="8"/>
        <v>6048</v>
      </c>
      <c r="S11" s="54"/>
      <c r="T11" s="77">
        <f>IF((SUM(T57:T71)*12)=0,"",SUM(T57:T71)*12)</f>
        <v>7570.8</v>
      </c>
      <c r="U11" s="77" t="str">
        <f>IFERROR(__xludf.DUMMYFUNCTION("IFERROR(IF($U$10="""","""",IF($K$10=""Sí"",IF($I6="""","""",IF(VLOOKUP(LEFT(U$37,SEARCH(""☃"",SUBSTITUTE(U$37,"" "",""☃"",LEN(U$37)-LEN(SUBSTITUTE(U$37,"" "",""""))))-1),Excepciones!$A:$B,2,0)&gt;=0,IFERROR(INDEX(filter(Precios!$D:$D,(Precios!$A:$A&lt;=$I6)*(Pr"&amp;"ecios!$B:$B&gt;=$I6)*(Precios!$C:$C=U$37))*12,1),""""),""""))*0.94,IF($I6="""","""",IF(VLOOKUP(LEFT(U$37,SEARCH(""☃"",SUBSTITUTE(U$37,"" "",""☃"",LEN(U$37)-LEN(SUBSTITUTE(U$37,"" "",""""))))-1),Excepciones!$A:$B,2,0)&gt;=0,IFERROR(INDEX(filter(Precios!$D:$D,(Pr"&amp;"ecios!$A:$A&lt;=$I6)*(Precios!$B:$B&gt;=$I6)*(Precios!$C:$C=U$37))*12,1),""""),"""")))),"""")"),"")</f>
        <v/>
      </c>
      <c r="V11" s="54"/>
      <c r="W11" s="77">
        <f>IF((SUM(W57:W71)*12)=0,"",SUM(W57:W71)*12)</f>
        <v>5904</v>
      </c>
      <c r="X11" s="55"/>
      <c r="Y11" s="78" t="str">
        <f>IF(OR(Y8="",Y8=0),"",Y8*12)</f>
        <v/>
      </c>
      <c r="Z11" s="79">
        <f>IFERROR(__xludf.DUMMYFUNCTION("IFERROR(IF($K$10=""Sí"",IF($I6="""","""",IF(VLOOKUP(LEFT(Z$37,SEARCH(""☃"",SUBSTITUTE(Z$37,"" "",""☃"",LEN(Z$37)-LEN(SUBSTITUTE(Z$37,"" "",""""))))-1),Excepciones!$A:$B,2,0)&gt;=0,IFERROR(INDEX(filter(Precios!$D:$D,(Precios!$A:$A&lt;=$I6)*(Precios!$B:$B&gt;=$I6)*("&amp;"Precios!$C:$C=Z$37))*12,1),""""),""""))*0.94,IF($I6="""","""",IF(VLOOKUP(LEFT(Z$37,SEARCH(""☃"",SUBSTITUTE(Z$37,"" "",""☃"",LEN(Z$37)-LEN(SUBSTITUTE(Z$37,"" "",""""))))-1),Excepciones!$A:$B,2,0)&gt;=0,IFERROR(INDEX(filter(Precios!$D:$D,(Precios!$A:$A&lt;=$I6)*("&amp;"Precios!$B:$B&gt;=$I6)*(Precios!$C:$C=Z$37))*12,1),""""),""""))),"""")"),624.0)</f>
        <v>624</v>
      </c>
      <c r="AA11" s="79">
        <f>IFERROR(__xludf.DUMMYFUNCTION("IFERROR(IF($K$10=""Sí"",IF($I6="""","""",IF(VLOOKUP(LEFT(AA$37,SEARCH(""☃"",SUBSTITUTE(AA$37,"" "",""☃"",LEN(AA$37)-LEN(SUBSTITUTE(AA$37,"" "",""""))))-1),Excepciones!$A:$B,2,0)&gt;=0,IFERROR(INDEX(filter(Precios!$D:$D,(Precios!$A:$A&lt;=$I6)*(Precios!$B:$B&gt;=$I"&amp;"6)*(Precios!$C:$C=AA$37))*12,1),""""),""""))*0.94,IF($I6="""","""",IF(VLOOKUP(LEFT(AA$37,SEARCH(""☃"",SUBSTITUTE(AA$37,"" "",""☃"",LEN(AA$37)-LEN(SUBSTITUTE(AA$37,"" "",""""))))-1),Excepciones!$A:$B,2,0)&gt;=0,IFERROR(INDEX(filter(Precios!$D:$D,(Precios!$A:$"&amp;"A&lt;=$I6)*(Precios!$B:$B&gt;=$I6)*(Precios!$C:$C=AA$37))*12,1),""""),""""))),"""")"),918.0)</f>
        <v>918</v>
      </c>
      <c r="AB11" s="79">
        <f>IFERROR(__xludf.DUMMYFUNCTION("IFERROR(IF($K$10=""Sí"",IF($I6="""","""",IF(VLOOKUP(LEFT(AB$37,SEARCH(""☃"",SUBSTITUTE(AB$37,"" "",""☃"",LEN(AB$37)-LEN(SUBSTITUTE(AB$37,"" "",""""))))-1),Excepciones!$A:$B,2,0)&gt;=0,IFERROR(INDEX(filter(Precios!$D:$D,(Precios!$A:$A&lt;=$I6)*(Precios!$B:$B&gt;=$I"&amp;"6)*(Precios!$C:$C=AB$37))*12,1),""""),""""))*0.94,IF($I6="""","""",IF(VLOOKUP(LEFT(AB$37,SEARCH(""☃"",SUBSTITUTE(AB$37,"" "",""☃"",LEN(AB$37)-LEN(SUBSTITUTE(AB$37,"" "",""""))))-1),Excepciones!$A:$B,2,0)&gt;=0,IFERROR(INDEX(filter(Precios!$D:$D,(Precios!$A:$"&amp;"A&lt;=$I6)*(Precios!$B:$B&gt;=$I6)*(Precios!$C:$C=AB$37))*12,1),""""),""""))),"""")"),702.0)</f>
        <v>702</v>
      </c>
      <c r="AC11" s="80">
        <f>IFERROR(__xludf.DUMMYFUNCTION("IFERROR(IF($K$10=""Sí"",IF($I6="""","""",IF(VLOOKUP(LEFT(AC$37,SEARCH(""☃"",SUBSTITUTE(AC$37,"" "",""☃"",LEN(AC$37)-LEN(SUBSTITUTE(AC$37,"" "",""""))))-1),Excepciones!$A:$B,2,0)&gt;=0,IFERROR(INDEX(filter(Precios!$D:$D,(Precios!$A:$A&lt;=$I6)*(Precios!$B:$B&gt;=$I"&amp;"6)*(Precios!$C:$C=AC$37))*12,1),""""),""""))*0.94,IF($I6="""","""",IF(VLOOKUP(LEFT(AC$37,SEARCH(""☃"",SUBSTITUTE(AC$37,"" "",""☃"",LEN(AC$37)-LEN(SUBSTITUTE(AC$37,"" "",""""))))-1),Excepciones!$A:$B,2,0)&gt;=0,IFERROR(INDEX(filter(Precios!$D:$D,(Precios!$A:$"&amp;"A&lt;=$I6)*(Precios!$B:$B&gt;=$I6)*(Precios!$C:$C=AC$37))*12,1),""""),""""))),"""")"),978.0)</f>
        <v>978</v>
      </c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</row>
    <row r="12" ht="39.75" customHeight="1">
      <c r="A12" s="38">
        <v>7.0</v>
      </c>
      <c r="B12" s="69"/>
      <c r="C12" s="69"/>
      <c r="D12" s="69"/>
      <c r="E12" s="4"/>
      <c r="F12" s="4"/>
      <c r="G12" s="69"/>
      <c r="H12" s="4"/>
      <c r="I12" s="31" t="str">
        <f t="shared" si="3"/>
        <v>#NUM!</v>
      </c>
      <c r="J12" s="4"/>
      <c r="K12" s="75">
        <f t="shared" si="9"/>
        <v>0</v>
      </c>
      <c r="L12" s="71"/>
      <c r="M12" s="81" t="s">
        <v>46</v>
      </c>
      <c r="N12" s="82">
        <f t="shared" ref="N12:O12" si="10">IF(N10="","",N13-N11)</f>
        <v>0</v>
      </c>
      <c r="O12" s="83">
        <f t="shared" si="10"/>
        <v>0</v>
      </c>
      <c r="P12" s="54"/>
      <c r="Q12" s="83">
        <f t="shared" ref="Q12:R12" si="11">IF(Q10="","",Q13-Q11)</f>
        <v>0</v>
      </c>
      <c r="R12" s="83">
        <f t="shared" si="11"/>
        <v>0</v>
      </c>
      <c r="S12" s="54"/>
      <c r="T12" s="83">
        <f t="shared" ref="T12:U12" si="12">IF(T10="","",T13-T11)</f>
        <v>0</v>
      </c>
      <c r="U12" s="83" t="str">
        <f t="shared" si="12"/>
        <v/>
      </c>
      <c r="V12" s="54"/>
      <c r="W12" s="83">
        <f>IF(W10="","",W13-W11)</f>
        <v>0</v>
      </c>
      <c r="X12" s="55"/>
      <c r="Y12" s="84" t="str">
        <f t="shared" ref="Y12:AC12" si="13">IF(Y10="","",Y13-Y11)</f>
        <v/>
      </c>
      <c r="Z12" s="84">
        <f t="shared" si="13"/>
        <v>0</v>
      </c>
      <c r="AA12" s="84">
        <f t="shared" si="13"/>
        <v>0</v>
      </c>
      <c r="AB12" s="84">
        <f t="shared" si="13"/>
        <v>0</v>
      </c>
      <c r="AC12" s="85">
        <f t="shared" si="13"/>
        <v>0</v>
      </c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</row>
    <row r="13" ht="39.75" customHeight="1">
      <c r="A13" s="38">
        <v>8.0</v>
      </c>
      <c r="B13" s="69"/>
      <c r="C13" s="69"/>
      <c r="D13" s="69"/>
      <c r="E13" s="4"/>
      <c r="F13" s="4"/>
      <c r="G13" s="69"/>
      <c r="H13" s="4"/>
      <c r="I13" s="31" t="str">
        <f t="shared" si="3"/>
        <v>#NUM!</v>
      </c>
      <c r="J13" s="4"/>
      <c r="K13" s="75">
        <f t="shared" si="9"/>
        <v>0</v>
      </c>
      <c r="L13" s="71"/>
      <c r="M13" s="86" t="s">
        <v>47</v>
      </c>
      <c r="N13" s="87">
        <f>N11</f>
        <v>1306.8</v>
      </c>
      <c r="O13" s="88">
        <f>IF($K$10="Sí",IF($K$6=0.11,O10*0.82,IF($K$6=0.1,O10*0.84,IF($K$6=0.09,O10*0.86,IF($K$6=0.08,O10*0.88,IF($K$6=0.07,O10*0.89,O10))))),IF($K$6=0.05,O10*0.82,IF($K$6=0.04,O10*0.84,IF($K$6=0.03,O10*0.86,IF($K$6=0.02,O10*0.88,IF($K$6=0.01,O10*0.89,O10))))))</f>
        <v>3877.2</v>
      </c>
      <c r="P13" s="89"/>
      <c r="Q13" s="88">
        <f t="shared" ref="Q13:R13" si="14">IF($K$10="Sí",IF($K$6=0.11,Q10*0.82,IF($K$6=0.1,Q10*0.84,IF($K$6=0.09,Q10*0.86,IF($K$6=0.08,Q10*0.88,IF($K$6=0.07,Q10*0.89,Q10))))),IF($K$6=0.05,Q10*0.82,IF($K$6=0.04,Q10*0.84,IF($K$6=0.03,Q10*0.86,IF($K$6=0.02,Q10*0.88,IF($K$6=0.01,Q10*0.89,Q10))))))</f>
        <v>4298.4</v>
      </c>
      <c r="R13" s="88">
        <f t="shared" si="14"/>
        <v>6048</v>
      </c>
      <c r="S13" s="89"/>
      <c r="T13" s="88">
        <f t="shared" ref="T13:U13" si="15">IF($K$10="Sí",IF($K$6=0.11,T10*0.82,IF($K$6=0.1,T10*0.84,IF($K$6=0.09,T10*0.86,IF($K$6=0.08,T10*0.88,IF($K$6=0.07,T10*0.89,T10))))),IF($K$6=0.05,T10*0.82,IF($K$6=0.04,T10*0.84,IF($K$6=0.03,T10*0.86,IF($K$6=0.02,T10*0.88,IF($K$6=0.01,T10*0.89,T10))))))</f>
        <v>7570.8</v>
      </c>
      <c r="U13" s="88" t="str">
        <f t="shared" si="15"/>
        <v/>
      </c>
      <c r="V13" s="89"/>
      <c r="W13" s="88">
        <f>IF($K$10="Sí",IF($K$6=0.11,W10*0.82,IF($K$6=0.1,W10*0.84,IF($K$6=0.09,W10*0.86,IF($K$6=0.08,W10*0.88,IF($K$6=0.07,W10*0.89,W10))))),IF($K$6=0.05,W10*0.82,IF($K$6=0.04,W10*0.84,IF($K$6=0.03,W10*0.86,IF($K$6=0.02,W10*0.88,IF($K$6=0.01,W10*0.89,W10))))))</f>
        <v>5904</v>
      </c>
      <c r="X13" s="90"/>
      <c r="Y13" s="91"/>
      <c r="Z13" s="91">
        <f t="shared" ref="Z13:AC13" si="16">IF($K$10="Sí",IF($K$6=0.16,Z10*0.82,IF($K$6=0.15,Z10*0.84,IF($K$6=0.14,Z10*0.86,IF($K$6=0.13,Z10*0.88,IF($K$6=0.12,Z10*0.89,IF($K$6=0.11,Z10*0.91,IF($K$6=0.1,Z10*0.93,IF($K$6=0.09,Z10*0.95,IF($K$6=0.08,Z10*0.96,IF($K$6=0.07,Z10*0.98,Z10)))))))))),IF($K$6=0.1,Z10*0.82,IF($K$6=0.09,Z10*0.84,IF($K$6=0.08,Z10*0.86,IF($K$6=0.07,Z10*0.88,IF($K$6=0.06,Z10*0.89,IF($K$6=0.05,Z10*0.91,IF($K$6=0.04,Z10*0.93,IF($K$6=0.03,Z10*0.95,IF($K$6=0.02,Z10*0.96,IF($K$6=0.01,Z10*0.98,Z10)))))))))))</f>
        <v>624</v>
      </c>
      <c r="AA13" s="91">
        <f t="shared" si="16"/>
        <v>918</v>
      </c>
      <c r="AB13" s="91">
        <f t="shared" si="16"/>
        <v>702</v>
      </c>
      <c r="AC13" s="92">
        <f t="shared" si="16"/>
        <v>978</v>
      </c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</row>
    <row r="14" ht="39.75" customHeight="1">
      <c r="A14" s="38">
        <v>9.0</v>
      </c>
      <c r="B14" s="69"/>
      <c r="C14" s="69"/>
      <c r="D14" s="69"/>
      <c r="E14" s="4"/>
      <c r="F14" s="4"/>
      <c r="G14" s="69"/>
      <c r="I14" s="31" t="str">
        <f t="shared" si="3"/>
        <v>#NUM!</v>
      </c>
      <c r="L14" s="71"/>
      <c r="M14" s="93" t="s">
        <v>38</v>
      </c>
      <c r="N14" s="94">
        <f>IF((SUM(N75:N89)*12)=0,"",SUM(N75:N89)*12)</f>
        <v>1521</v>
      </c>
      <c r="O14" s="94">
        <f t="shared" ref="O14:W14" si="17">IF((SUM(O39:O53)*12)=0,"",SUM(O39:O53)*12)</f>
        <v>4091.4</v>
      </c>
      <c r="P14" s="95">
        <f t="shared" si="17"/>
        <v>4698</v>
      </c>
      <c r="Q14" s="94">
        <f t="shared" si="17"/>
        <v>4512.6</v>
      </c>
      <c r="R14" s="94">
        <f t="shared" si="17"/>
        <v>6262.2</v>
      </c>
      <c r="S14" s="94">
        <f t="shared" si="17"/>
        <v>7192.8</v>
      </c>
      <c r="T14" s="94">
        <f t="shared" si="17"/>
        <v>8626.2</v>
      </c>
      <c r="U14" s="94" t="str">
        <f t="shared" si="17"/>
        <v/>
      </c>
      <c r="V14" s="94" t="str">
        <f t="shared" si="17"/>
        <v/>
      </c>
      <c r="W14" s="94">
        <f t="shared" si="17"/>
        <v>6118.2</v>
      </c>
      <c r="X14" s="96">
        <f>IF((SUM(X39:X53)*12*0.9)=0,"",SUM(X39:X53)*12*0.9)</f>
        <v>3758.4</v>
      </c>
      <c r="Y14" s="97" t="str">
        <f t="shared" ref="Y14:AC14" si="18">IF(OR(Y7="",Y7=0),"",Y7*12)</f>
        <v/>
      </c>
      <c r="Z14" s="97" t="str">
        <f t="shared" si="18"/>
        <v/>
      </c>
      <c r="AA14" s="97" t="str">
        <f t="shared" si="18"/>
        <v/>
      </c>
      <c r="AB14" s="97" t="str">
        <f t="shared" si="18"/>
        <v/>
      </c>
      <c r="AC14" s="98" t="str">
        <f t="shared" si="18"/>
        <v/>
      </c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</row>
    <row r="15" ht="39.75" customHeight="1">
      <c r="A15" s="38">
        <v>10.0</v>
      </c>
      <c r="B15" s="69"/>
      <c r="C15" s="69"/>
      <c r="D15" s="69"/>
      <c r="E15" s="4"/>
      <c r="F15" s="4"/>
      <c r="G15" s="69"/>
      <c r="I15" s="31" t="str">
        <f t="shared" si="3"/>
        <v>#NUM!</v>
      </c>
      <c r="L15" s="71"/>
      <c r="M15" s="76" t="s">
        <v>45</v>
      </c>
      <c r="N15" s="79">
        <f t="shared" ref="N15:X15" si="19">IF((SUM(N75:N89)*12)=0,"",SUM(N75:N89)*12)</f>
        <v>1521</v>
      </c>
      <c r="O15" s="79">
        <f t="shared" si="19"/>
        <v>4091.4</v>
      </c>
      <c r="P15" s="79">
        <f t="shared" si="19"/>
        <v>4698</v>
      </c>
      <c r="Q15" s="79">
        <f t="shared" si="19"/>
        <v>4512.6</v>
      </c>
      <c r="R15" s="79">
        <f t="shared" si="19"/>
        <v>6262.2</v>
      </c>
      <c r="S15" s="79">
        <f t="shared" si="19"/>
        <v>7192.8</v>
      </c>
      <c r="T15" s="79">
        <f t="shared" si="19"/>
        <v>8626.2</v>
      </c>
      <c r="U15" s="79" t="str">
        <f t="shared" si="19"/>
        <v/>
      </c>
      <c r="V15" s="79" t="str">
        <f t="shared" si="19"/>
        <v/>
      </c>
      <c r="W15" s="79">
        <f t="shared" si="19"/>
        <v>6118.2</v>
      </c>
      <c r="X15" s="99">
        <f t="shared" si="19"/>
        <v>4176</v>
      </c>
      <c r="Y15" s="78"/>
      <c r="Z15" s="78"/>
      <c r="AA15" s="78"/>
      <c r="AB15" s="78"/>
      <c r="AC15" s="100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</row>
    <row r="16" ht="39.75" customHeight="1">
      <c r="A16" s="38">
        <v>11.0</v>
      </c>
      <c r="B16" s="69"/>
      <c r="C16" s="69"/>
      <c r="D16" s="69"/>
      <c r="E16" s="4"/>
      <c r="F16" s="4"/>
      <c r="G16" s="69"/>
      <c r="I16" s="31" t="str">
        <f t="shared" si="3"/>
        <v>#NUM!</v>
      </c>
      <c r="L16" s="71"/>
      <c r="M16" s="81" t="s">
        <v>46</v>
      </c>
      <c r="N16" s="84">
        <f t="shared" ref="N16:X16" si="20">IF(N14="","",N17-N15)</f>
        <v>0</v>
      </c>
      <c r="O16" s="84">
        <f t="shared" si="20"/>
        <v>0</v>
      </c>
      <c r="P16" s="84">
        <f t="shared" si="20"/>
        <v>0</v>
      </c>
      <c r="Q16" s="84">
        <f t="shared" si="20"/>
        <v>0</v>
      </c>
      <c r="R16" s="84">
        <f t="shared" si="20"/>
        <v>0</v>
      </c>
      <c r="S16" s="84">
        <f t="shared" si="20"/>
        <v>0</v>
      </c>
      <c r="T16" s="84">
        <f t="shared" si="20"/>
        <v>0</v>
      </c>
      <c r="U16" s="84" t="str">
        <f t="shared" si="20"/>
        <v/>
      </c>
      <c r="V16" s="84" t="str">
        <f t="shared" si="20"/>
        <v/>
      </c>
      <c r="W16" s="84">
        <f t="shared" si="20"/>
        <v>0</v>
      </c>
      <c r="X16" s="101">
        <f t="shared" si="20"/>
        <v>-417.6</v>
      </c>
      <c r="Y16" s="84"/>
      <c r="Z16" s="84"/>
      <c r="AA16" s="84"/>
      <c r="AB16" s="84"/>
      <c r="AC16" s="85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</row>
    <row r="17" ht="39.75" customHeight="1">
      <c r="A17" s="38">
        <v>12.0</v>
      </c>
      <c r="B17" s="69"/>
      <c r="C17" s="69"/>
      <c r="D17" s="69"/>
      <c r="E17" s="4"/>
      <c r="F17" s="4"/>
      <c r="G17" s="69"/>
      <c r="I17" s="31" t="str">
        <f t="shared" si="3"/>
        <v>#NUM!</v>
      </c>
      <c r="L17" s="71"/>
      <c r="M17" s="86" t="s">
        <v>47</v>
      </c>
      <c r="N17" s="88">
        <f>N14</f>
        <v>1521</v>
      </c>
      <c r="O17" s="88">
        <f>IF($K$10="Sí",IF($K$6=0.11,O14*0.82,IF($K$6=0.1,O14*0.84,IF($K$6=0.09,O14*0.86,IF($K$6=0.08,O14*0.88,IF($K$6=0.07,O14*0.89,O14))))),IF($K$6=0.05,O14*0.82,IF($K$6=0.04,O14*0.84,IF($K$6=0.03,O14*0.86,IF($K$6=0.02,O14*0.88,IF($K$6=0.01,O14*0.89,O14))))))</f>
        <v>4091.4</v>
      </c>
      <c r="P17" s="88">
        <f>P14</f>
        <v>4698</v>
      </c>
      <c r="Q17" s="88">
        <f t="shared" ref="Q17:R17" si="21">IF($K$10="Sí",IF($K$6=0.11,Q14*0.82,IF($K$6=0.1,Q14*0.84,IF($K$6=0.09,Q14*0.86,IF($K$6=0.08,Q14*0.88,IF($K$6=0.07,Q14*0.89,Q14))))),IF($K$6=0.05,Q14*0.82,IF($K$6=0.04,Q14*0.84,IF($K$6=0.03,Q14*0.86,IF($K$6=0.02,Q14*0.88,IF($K$6=0.01,Q14*0.89,Q14))))))</f>
        <v>4512.6</v>
      </c>
      <c r="R17" s="88">
        <f t="shared" si="21"/>
        <v>6262.2</v>
      </c>
      <c r="S17" s="88">
        <f>S14</f>
        <v>7192.8</v>
      </c>
      <c r="T17" s="88">
        <f t="shared" ref="T17:U17" si="22">IF($K$10="Sí",IF($K$6=0.11,T14*0.82,IF($K$6=0.1,T14*0.84,IF($K$6=0.09,T14*0.86,IF($K$6=0.08,T14*0.88,IF($K$6=0.07,T14*0.89,T14))))),IF($K$6=0.05,T14*0.82,IF($K$6=0.04,T14*0.84,IF($K$6=0.03,T14*0.86,IF($K$6=0.02,T14*0.88,IF($K$6=0.01,T14*0.89,T14))))))</f>
        <v>8626.2</v>
      </c>
      <c r="U17" s="88" t="str">
        <f t="shared" si="22"/>
        <v/>
      </c>
      <c r="V17" s="88" t="str">
        <f>V14</f>
        <v/>
      </c>
      <c r="W17" s="88">
        <f>IF($K$10="Sí",IF($K$6=0.11,W14*0.82,IF($K$6=0.1,W14*0.84,IF($K$6=0.09,W14*0.86,IF($K$6=0.08,W14*0.88,IF($K$6=0.07,W14*0.89,W14))))),IF($K$6=0.05,W14*0.82,IF($K$6=0.04,W14*0.84,IF($K$6=0.03,W14*0.86,IF($K$6=0.02,W14*0.88,IF($K$6=0.01,W14*0.89,W14))))))</f>
        <v>6118.2</v>
      </c>
      <c r="X17" s="102">
        <f>X14</f>
        <v>3758.4</v>
      </c>
      <c r="Y17" s="91"/>
      <c r="Z17" s="91"/>
      <c r="AA17" s="91"/>
      <c r="AB17" s="91"/>
      <c r="AC17" s="92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</row>
    <row r="18" ht="33.75" customHeight="1">
      <c r="A18" s="38">
        <v>13.0</v>
      </c>
      <c r="B18" s="69"/>
      <c r="C18" s="69"/>
      <c r="D18" s="69"/>
      <c r="E18" s="4"/>
      <c r="F18" s="4"/>
      <c r="G18" s="69"/>
      <c r="I18" s="31" t="str">
        <f t="shared" si="3"/>
        <v>#NUM!</v>
      </c>
      <c r="L18" s="5"/>
      <c r="M18" s="4"/>
      <c r="N18" s="4"/>
      <c r="O18" s="4"/>
      <c r="P18" s="4"/>
      <c r="Q18" s="4"/>
      <c r="R18" s="4"/>
      <c r="S18" s="103"/>
      <c r="T18" s="4"/>
      <c r="U18" s="4"/>
      <c r="V18" s="103"/>
      <c r="W18" s="4"/>
      <c r="X18" s="48"/>
      <c r="Y18" s="4"/>
      <c r="Z18" s="4"/>
      <c r="AA18" s="9"/>
      <c r="AB18" s="9"/>
      <c r="AC18" s="9"/>
      <c r="AD18" s="9"/>
      <c r="AE18" s="58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</row>
    <row r="19" ht="33.75" customHeight="1">
      <c r="A19" s="38">
        <v>14.0</v>
      </c>
      <c r="B19" s="69"/>
      <c r="C19" s="69"/>
      <c r="D19" s="69"/>
      <c r="E19" s="4"/>
      <c r="F19" s="4"/>
      <c r="G19" s="69"/>
      <c r="I19" s="31" t="str">
        <f t="shared" si="3"/>
        <v>#NUM!</v>
      </c>
      <c r="L19" s="104" t="s">
        <v>34</v>
      </c>
      <c r="M19" s="105"/>
      <c r="N19" s="106" t="str">
        <f>"Go"&amp;" "&amp;$K$3</f>
        <v>Go 2</v>
      </c>
      <c r="O19" s="106" t="str">
        <f>"Plena Vital"&amp;" "&amp;$K$3</f>
        <v>Plena Vital 2</v>
      </c>
      <c r="P19" s="106" t="str">
        <f>"Plena Total vital"&amp;" "&amp;$K$3</f>
        <v>Plena Total vital 2</v>
      </c>
      <c r="Q19" s="106" t="str">
        <f>"Plena"&amp;" "&amp;$K$3</f>
        <v>Plena 2</v>
      </c>
      <c r="R19" s="106" t="str">
        <f>"Plena Plus"&amp;" "&amp;$K$3</f>
        <v>Plena Plus 2</v>
      </c>
      <c r="S19" s="106" t="str">
        <f>"Plena Total"&amp;" "&amp;$K$3</f>
        <v>Plena Total 2</v>
      </c>
      <c r="T19" s="106" t="str">
        <f>"Plena Extra 150"&amp;" "&amp;$K$3</f>
        <v>Plena Extra 150 2</v>
      </c>
      <c r="U19" s="106" t="str">
        <f>"Seniors"&amp;" "&amp;$K$3</f>
        <v>Seniors 2</v>
      </c>
      <c r="V19" s="106" t="str">
        <f>"Seniors total"&amp;" "&amp;$K$3</f>
        <v>Seniors total 2</v>
      </c>
      <c r="W19" s="106" t="str">
        <f>"Negocios NIF"&amp;" "&amp;$K$3</f>
        <v>Negocios NIF 2</v>
      </c>
      <c r="X19" s="107" t="str">
        <f>"Pymes TOTAL"&amp;" "&amp;$K$3</f>
        <v>Pymes TOTAL 2</v>
      </c>
      <c r="Y19" s="108" t="str">
        <f>IF(OR(COUNT(#REF!)=1,COUNT(#REF!)=2),"Extra Negocios NIF"&amp;" "&amp;$K$3&amp;" "&amp;COUNT(#REF!),"Extra Negocios NIF"&amp;" "&amp;$K$3)</f>
        <v>Extra Negocios NIF 2</v>
      </c>
      <c r="Z19" s="106" t="str">
        <f>"Negocios CIF"&amp;" "&amp;$K$3</f>
        <v>Negocios CIF 2</v>
      </c>
      <c r="AA19" s="106" t="str">
        <f>"Extra Negocios CIF"&amp;" "&amp;$K$3</f>
        <v>Extra Negocios CIF 2</v>
      </c>
      <c r="AB19" s="106" t="str">
        <f>"Empresas"&amp;" "&amp;$K$3</f>
        <v>Empresas 2</v>
      </c>
      <c r="AC19" s="107" t="str">
        <f>"Extra Empresas"&amp;" "&amp;$K$3</f>
        <v>Extra Empresas 2</v>
      </c>
      <c r="AD19" s="9"/>
      <c r="AE19" s="48"/>
      <c r="AF19" s="48"/>
      <c r="AG19" s="48"/>
      <c r="AH19" s="48"/>
      <c r="AI19" s="48"/>
      <c r="AJ19" s="109"/>
      <c r="AK19" s="10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</row>
    <row r="20" ht="33.75" customHeight="1">
      <c r="A20" s="38">
        <v>15.0</v>
      </c>
      <c r="B20" s="69"/>
      <c r="C20" s="69"/>
      <c r="D20" s="69"/>
      <c r="E20" s="4"/>
      <c r="F20" s="4"/>
      <c r="G20" s="69"/>
      <c r="I20" s="31" t="str">
        <f t="shared" si="3"/>
        <v>#NUM!</v>
      </c>
      <c r="L20" s="110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7"/>
      <c r="Y20" s="33"/>
      <c r="Z20" s="33"/>
      <c r="AA20" s="33"/>
      <c r="AB20" s="33"/>
      <c r="AC20" s="37"/>
      <c r="AD20" s="9"/>
      <c r="AJ20" s="109"/>
      <c r="AK20" s="10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</row>
    <row r="21" ht="33.75" customHeight="1">
      <c r="L21" s="111">
        <v>1.0</v>
      </c>
      <c r="M21" s="112"/>
      <c r="N21" s="112">
        <f t="shared" ref="N21:N35" si="25">N57</f>
        <v>19.35</v>
      </c>
      <c r="O21" s="112">
        <f t="shared" ref="O21:O35" si="26">IF(OR(O57="",O57=0),"",O57*(1-$K$8))</f>
        <v>45.45</v>
      </c>
      <c r="P21" s="113"/>
      <c r="Q21" s="112">
        <f t="shared" ref="Q21:R21" si="23">IF(OR(Q57="",Q57=0),"",Q57*(1-$K$8))</f>
        <v>55.8</v>
      </c>
      <c r="R21" s="112">
        <f t="shared" si="23"/>
        <v>67.5</v>
      </c>
      <c r="S21" s="113"/>
      <c r="T21" s="112">
        <f t="shared" ref="T21:U21" si="24">IF(OR(T57="",T57=0),"",T57*(1-$K$8))</f>
        <v>99</v>
      </c>
      <c r="U21" s="112" t="str">
        <f t="shared" si="24"/>
        <v/>
      </c>
      <c r="V21" s="113"/>
      <c r="W21" s="112">
        <f>IFERROR(__xludf.DUMMYFUNCTION("IFERROR(IF($I6="""","""",IF(VLOOKUP(LEFT(W$37,SEARCH(""☃"",SUBSTITUTE(W$37,"" "",""☃"",LEN(W$37)-LEN(SUBSTITUTE(W$37,"" "",""""))))-1),Excepciones!$A:$B,2,0)&gt;=0,IFERROR(INDEX(filter(Precios!$D:$D,(Precios!$A:$A&lt;=$I6)*(Precios!$B:$B&gt;=$I6)*(Precios!$C:$C=W$"&amp;"37)),1)*(1-$K$6),""No asegurable""),""No asegurable"")),"""")"),63.5)</f>
        <v>63.5</v>
      </c>
      <c r="X21" s="114"/>
      <c r="Y21" s="112" t="str">
        <f>IFERROR(__xludf.DUMMYFUNCTION("IFERROR(IF($I6="""","""",IF(VLOOKUP(LEFT(Y$37,SEARCH(""☃"",SUBSTITUTE(Y$37,"" "",""☃"",LEN(Y$37)-LEN(SUBSTITUTE(Y$37,"" "",""""))))-1),Excepciones!$A:$B,2,0)&gt;=0,IFERROR((INDEX(filter(Precios!$D:$D,(Precios!$A:$A&lt;=$I6)*(Precios!$B:$B&gt;=$I6)*(Precios!$C:$C=Y"&amp;"$37)),1)*(1-$K$6)+VLOOKUP($L21,Precios!$F:$G,2,0)),""No asegurable""),""No asegurable"")),"""")"),"")</f>
        <v/>
      </c>
      <c r="Z21" s="112">
        <f>IFERROR(__xludf.DUMMYFUNCTION("IFERROR(IF($I6="""","""",IF(VLOOKUP(LEFT(Z$37,SEARCH(""☃"",SUBSTITUTE(Z$37,"" "",""☃"",LEN(Z$37)-LEN(SUBSTITUTE(Z$37,"" "",""""))))-1),Excepciones!$A:$B,2,0)&gt;=0,IFERROR(INDEX(filter(Precios!$D:$D,(Precios!$A:$A&lt;=$I6)*(Precios!$B:$B&gt;=$I6)*(Precios!$C:$C=Z$"&amp;"37)),1)*(1-$K$6),""No asegurable""),""No asegurable"")),"""")"),52.0)</f>
        <v>52</v>
      </c>
      <c r="AA21" s="112">
        <f>IFERROR(__xludf.DUMMYFUNCTION("IFERROR(IF($I6="""","""",IF(VLOOKUP(LEFT(AA$37,SEARCH(""☃"",SUBSTITUTE(AA$37,"" "",""☃"",LEN(AA$37)-LEN(SUBSTITUTE(AA$37,"" "",""""))))-1),Excepciones!$A:$B,2,0)&gt;=0,IFERROR(INDEX(filter(Precios!$D:$D,(Precios!$A:$A&lt;=$I6)*(Precios!$B:$B&gt;=$I6)*(Precios!$C:$"&amp;"C=AA$37)),1)*(1-$K$6),""No asegurable""),""No asegurable"")),"""")"),76.5)</f>
        <v>76.5</v>
      </c>
      <c r="AB21" s="112">
        <f>IFERROR(__xludf.DUMMYFUNCTION("IFERROR(IF($I6="""","""",IF(VLOOKUP(LEFT(AB$37,SEARCH(""☃"",SUBSTITUTE(AB$37,"" "",""☃"",LEN(AB$37)-LEN(SUBSTITUTE(AB$37,"" "",""""))))-1),Excepciones!$A:$B,2,0)&gt;=0,IFERROR(INDEX(filter(Precios!$D:$D,(Precios!$A:$A&lt;=$I6)*(Precios!$B:$B&gt;=$I6)*(Precios!$C:$"&amp;"C=AB$37)),1)*(1-$K$6),""No asegurable""),""No asegurable"")),"""")"),58.5)</f>
        <v>58.5</v>
      </c>
      <c r="AC21" s="115">
        <f>IFERROR(__xludf.DUMMYFUNCTION("IFERROR(IF($I6="""","""",IF(VLOOKUP(LEFT(AC$37,SEARCH(""☃"",SUBSTITUTE(AC$37,"" "",""☃"",LEN(AC$37)-LEN(SUBSTITUTE(AC$37,"" "",""""))))-1),Excepciones!$A:$B,2,0)&gt;=0,IFERROR(INDEX(filter(Precios!$D:$D,(Precios!$A:$A&lt;=$I6)*(Precios!$B:$B&gt;=$I6)*(Precios!$C:$"&amp;"C=AC$37)),1)*(1-$K$6),""No asegurable""),""No asegurable"")),"""")"),81.5)</f>
        <v>81.5</v>
      </c>
      <c r="AD21" s="9"/>
      <c r="AJ21" s="109"/>
      <c r="AK21" s="10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</row>
    <row r="22" ht="33.75" customHeight="1">
      <c r="L22" s="116">
        <v>2.0</v>
      </c>
      <c r="M22" s="48"/>
      <c r="N22" s="48">
        <f t="shared" si="25"/>
        <v>19.35</v>
      </c>
      <c r="O22" s="48">
        <f t="shared" si="26"/>
        <v>45.45</v>
      </c>
      <c r="P22" s="117"/>
      <c r="Q22" s="48">
        <f t="shared" ref="Q22:R22" si="27">IF(OR(Q58="",Q58=0),"",Q58*(1-$K$8))</f>
        <v>55.8</v>
      </c>
      <c r="R22" s="48">
        <f t="shared" si="27"/>
        <v>67.5</v>
      </c>
      <c r="S22" s="117"/>
      <c r="T22" s="48">
        <f t="shared" ref="T22:U22" si="28">IF(OR(T58="",T58=0),"",T58*(1-$K$8))</f>
        <v>99</v>
      </c>
      <c r="U22" s="48" t="str">
        <f t="shared" si="28"/>
        <v/>
      </c>
      <c r="V22" s="117"/>
      <c r="W22" s="48">
        <f>IFERROR(__xludf.DUMMYFUNCTION("IFERROR(IF($I7="""","""",IF(VLOOKUP(LEFT(W$37,SEARCH(""☃"",SUBSTITUTE(W$37,"" "",""☃"",LEN(W$37)-LEN(SUBSTITUTE(W$37,"" "",""""))))-1),Excepciones!$A:$B,2,0)&gt;=0,IFERROR(INDEX(filter(Precios!$D:$D,(Precios!$A:$A&lt;=$I7)*(Precios!$B:$B&gt;=$I7)*(Precios!$C:$C=W$"&amp;"37)),1)*(1-$K$6),""No asegurable""),""No asegurable"")),"""")"),63.5)</f>
        <v>63.5</v>
      </c>
      <c r="X22" s="118"/>
      <c r="Y22" s="48" t="str">
        <f>IFERROR(__xludf.DUMMYFUNCTION("IFERROR(IF($I7="""","""",IF(VLOOKUP(LEFT(Y$37,SEARCH(""☃"",SUBSTITUTE(Y$37,"" "",""☃"",LEN(Y$37)-LEN(SUBSTITUTE(Y$37,"" "",""""))))-1),Excepciones!$A:$B,2,0)&gt;=0,IFERROR((INDEX(filter(Precios!$D:$D,(Precios!$A:$A&lt;=$I7)*(Precios!$B:$B&gt;=$I7)*(Precios!$C:$C=Y"&amp;"$37)),1)*(1-$K$6)+VLOOKUP($L22,Precios!$F:$G,2,0)),""No asegurable""),""No asegurable"")),"""")"),"")</f>
        <v/>
      </c>
      <c r="Z22" s="48">
        <f>IFERROR(__xludf.DUMMYFUNCTION("IFERROR(IF($I7="""","""",IF(VLOOKUP(LEFT(Z$37,SEARCH(""☃"",SUBSTITUTE(Z$37,"" "",""☃"",LEN(Z$37)-LEN(SUBSTITUTE(Z$37,"" "",""""))))-1),Excepciones!$A:$B,2,0)&gt;=0,IFERROR(INDEX(filter(Precios!$D:$D,(Precios!$A:$A&lt;=$I7)*(Precios!$B:$B&gt;=$I7)*(Precios!$C:$C=Z$"&amp;"37)),1)*(1-$K$6),""No asegurable""),""No asegurable"")),"""")"),52.0)</f>
        <v>52</v>
      </c>
      <c r="AA22" s="48">
        <f>IFERROR(__xludf.DUMMYFUNCTION("IFERROR(IF($I7="""","""",IF(VLOOKUP(LEFT(AA$37,SEARCH(""☃"",SUBSTITUTE(AA$37,"" "",""☃"",LEN(AA$37)-LEN(SUBSTITUTE(AA$37,"" "",""""))))-1),Excepciones!$A:$B,2,0)&gt;=0,IFERROR(INDEX(filter(Precios!$D:$D,(Precios!$A:$A&lt;=$I7)*(Precios!$B:$B&gt;=$I7)*(Precios!$C:$"&amp;"C=AA$37)),1)*(1-$K$6),""No asegurable""),""No asegurable"")),"""")"),76.5)</f>
        <v>76.5</v>
      </c>
      <c r="AB22" s="48">
        <f>IFERROR(__xludf.DUMMYFUNCTION("IFERROR(IF($I7="""","""",IF(VLOOKUP(LEFT(AB$37,SEARCH(""☃"",SUBSTITUTE(AB$37,"" "",""☃"",LEN(AB$37)-LEN(SUBSTITUTE(AB$37,"" "",""""))))-1),Excepciones!$A:$B,2,0)&gt;=0,IFERROR(INDEX(filter(Precios!$D:$D,(Precios!$A:$A&lt;=$I7)*(Precios!$B:$B&gt;=$I7)*(Precios!$C:$"&amp;"C=AB$37)),1)*(1-$K$6),""No asegurable""),""No asegurable"")),"""")"),58.5)</f>
        <v>58.5</v>
      </c>
      <c r="AC22" s="119">
        <f>IFERROR(__xludf.DUMMYFUNCTION("IFERROR(IF($I7="""","""",IF(VLOOKUP(LEFT(AC$37,SEARCH(""☃"",SUBSTITUTE(AC$37,"" "",""☃"",LEN(AC$37)-LEN(SUBSTITUTE(AC$37,"" "",""""))))-1),Excepciones!$A:$B,2,0)&gt;=0,IFERROR(INDEX(filter(Precios!$D:$D,(Precios!$A:$A&lt;=$I7)*(Precios!$B:$B&gt;=$I7)*(Precios!$C:$"&amp;"C=AC$37)),1)*(1-$K$6),""No asegurable""),""No asegurable"")),"""")"),81.5)</f>
        <v>81.5</v>
      </c>
      <c r="AD22" s="48"/>
      <c r="AJ22" s="109"/>
      <c r="AK22" s="10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</row>
    <row r="23" ht="33.75" customHeight="1">
      <c r="L23" s="116">
        <v>3.0</v>
      </c>
      <c r="M23" s="48"/>
      <c r="N23" s="48">
        <f t="shared" si="25"/>
        <v>35.1</v>
      </c>
      <c r="O23" s="48">
        <f t="shared" si="26"/>
        <v>85.5</v>
      </c>
      <c r="P23" s="117"/>
      <c r="Q23" s="48">
        <f t="shared" ref="Q23:R23" si="29">IF(OR(Q59="",Q59=0),"",Q59*(1-$K$8))</f>
        <v>96.3</v>
      </c>
      <c r="R23" s="48">
        <f t="shared" si="29"/>
        <v>139.5</v>
      </c>
      <c r="S23" s="117"/>
      <c r="T23" s="48">
        <f t="shared" ref="T23:U23" si="30">IF(OR(T59="",T59=0),"",T59*(1-$K$8))</f>
        <v>162</v>
      </c>
      <c r="U23" s="48" t="str">
        <f t="shared" si="30"/>
        <v/>
      </c>
      <c r="V23" s="117"/>
      <c r="W23" s="48">
        <f>IFERROR(__xludf.DUMMYFUNCTION("IFERROR(IF($I8="""","""",IF(VLOOKUP(LEFT(W$37,SEARCH(""☃"",SUBSTITUTE(W$37,"" "",""☃"",LEN(W$37)-LEN(SUBSTITUTE(W$37,"" "",""""))))-1),Excepciones!$A:$B,2,0)&gt;=0,IFERROR(INDEX(filter(Precios!$D:$D,(Precios!$A:$A&lt;=$I8)*(Precios!$B:$B&gt;=$I8)*(Precios!$C:$C=W$"&amp;"37)),1)*(1-$K$6),""No asegurable""),""No asegurable"")),"""")"),127.0)</f>
        <v>127</v>
      </c>
      <c r="X23" s="118"/>
      <c r="Y23" s="48" t="str">
        <f>IFERROR(__xludf.DUMMYFUNCTION("IFERROR(IF($I8="""","""",IF(VLOOKUP(LEFT(Y$37,SEARCH(""☃"",SUBSTITUTE(Y$37,"" "",""☃"",LEN(Y$37)-LEN(SUBSTITUTE(Y$37,"" "",""""))))-1),Excepciones!$A:$B,2,0)&gt;=0,IFERROR((INDEX(filter(Precios!$D:$D,(Precios!$A:$A&lt;=$I8)*(Precios!$B:$B&gt;=$I8)*(Precios!$C:$C=Y"&amp;"$37)),1)*(1-$K$6)+VLOOKUP($L23,Precios!$F:$G,2,0)),""No asegurable""),""No asegurable"")),"""")"),"")</f>
        <v/>
      </c>
      <c r="Z23" s="48">
        <f>IFERROR(__xludf.DUMMYFUNCTION("IFERROR(IF($I8="""","""",IF(VLOOKUP(LEFT(Z$37,SEARCH(""☃"",SUBSTITUTE(Z$37,"" "",""☃"",LEN(Z$37)-LEN(SUBSTITUTE(Z$37,"" "",""""))))-1),Excepciones!$A:$B,2,0)&gt;=0,IFERROR(INDEX(filter(Precios!$D:$D,(Precios!$A:$A&lt;=$I8)*(Precios!$B:$B&gt;=$I8)*(Precios!$C:$C=Z$"&amp;"37)),1)*(1-$K$6),""No asegurable""),""No asegurable"")),"""")"),81.0)</f>
        <v>81</v>
      </c>
      <c r="AA23" s="48">
        <f>IFERROR(__xludf.DUMMYFUNCTION("IFERROR(IF($I8="""","""",IF(VLOOKUP(LEFT(AA$37,SEARCH(""☃"",SUBSTITUTE(AA$37,"" "",""☃"",LEN(AA$37)-LEN(SUBSTITUTE(AA$37,"" "",""""))))-1),Excepciones!$A:$B,2,0)&gt;=0,IFERROR(INDEX(filter(Precios!$D:$D,(Precios!$A:$A&lt;=$I8)*(Precios!$B:$B&gt;=$I8)*(Precios!$C:$"&amp;"C=AA$37)),1)*(1-$K$6),""No asegurable""),""No asegurable"")),"""")"),115.0)</f>
        <v>115</v>
      </c>
      <c r="AB23" s="48">
        <f>IFERROR(__xludf.DUMMYFUNCTION("IFERROR(IF($I8="""","""",IF(VLOOKUP(LEFT(AB$37,SEARCH(""☃"",SUBSTITUTE(AB$37,"" "",""☃"",LEN(AB$37)-LEN(SUBSTITUTE(AB$37,"" "",""""))))-1),Excepciones!$A:$B,2,0)&gt;=0,IFERROR(INDEX(filter(Precios!$D:$D,(Precios!$A:$A&lt;=$I8)*(Precios!$B:$B&gt;=$I8)*(Precios!$C:$"&amp;"C=AB$37)),1)*(1-$K$6),""No asegurable""),""No asegurable"")),"""")"),58.5)</f>
        <v>58.5</v>
      </c>
      <c r="AC23" s="119">
        <f>IFERROR(__xludf.DUMMYFUNCTION("IFERROR(IF($I8="""","""",IF(VLOOKUP(LEFT(AC$37,SEARCH(""☃"",SUBSTITUTE(AC$37,"" "",""☃"",LEN(AC$37)-LEN(SUBSTITUTE(AC$37,"" "",""""))))-1),Excepciones!$A:$B,2,0)&gt;=0,IFERROR(INDEX(filter(Precios!$D:$D,(Precios!$A:$A&lt;=$I8)*(Precios!$B:$B&gt;=$I8)*(Precios!$C:$"&amp;"C=AC$37)),1)*(1-$K$6),""No asegurable""),""No asegurable"")),"""")"),81.5)</f>
        <v>81.5</v>
      </c>
      <c r="AD23" s="9"/>
      <c r="AJ23" s="109"/>
      <c r="AK23" s="10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</row>
    <row r="24" ht="33.75" customHeight="1">
      <c r="L24" s="116">
        <v>4.0</v>
      </c>
      <c r="M24" s="48"/>
      <c r="N24" s="48">
        <f t="shared" si="25"/>
        <v>35.1</v>
      </c>
      <c r="O24" s="48">
        <f t="shared" si="26"/>
        <v>146.7</v>
      </c>
      <c r="P24" s="117"/>
      <c r="Q24" s="48">
        <f t="shared" ref="Q24:R24" si="31">IF(OR(Q60="",Q60=0),"",Q60*(1-$K$8))</f>
        <v>150.3</v>
      </c>
      <c r="R24" s="48">
        <f t="shared" si="31"/>
        <v>229.5</v>
      </c>
      <c r="S24" s="117"/>
      <c r="T24" s="48">
        <f t="shared" ref="T24:U24" si="32">IF(OR(T60="",T60=0),"",T60*(1-$K$8))</f>
        <v>270.9</v>
      </c>
      <c r="U24" s="48" t="str">
        <f t="shared" si="32"/>
        <v/>
      </c>
      <c r="V24" s="117"/>
      <c r="W24" s="48">
        <f>IFERROR(__xludf.DUMMYFUNCTION("IFERROR(IF($I9="""","""",IF(VLOOKUP(LEFT(W$37,SEARCH(""☃"",SUBSTITUTE(W$37,"" "",""☃"",LEN(W$37)-LEN(SUBSTITUTE(W$37,"" "",""""))))-1),Excepciones!$A:$B,2,0)&gt;=0,IFERROR(INDEX(filter(Precios!$D:$D,(Precios!$A:$A&lt;=$I9)*(Precios!$B:$B&gt;=$I9)*(Precios!$C:$C=W$"&amp;"37)),1)*(1-$K$6),""No asegurable""),""No asegurable"")),"""")"),238.0)</f>
        <v>238</v>
      </c>
      <c r="X24" s="118"/>
      <c r="Y24" s="48" t="str">
        <f>IFERROR(__xludf.DUMMYFUNCTION("IFERROR(IF($I9="""","""",IF(VLOOKUP(LEFT(Y$37,SEARCH(""☃"",SUBSTITUTE(Y$37,"" "",""☃"",LEN(Y$37)-LEN(SUBSTITUTE(Y$37,"" "",""""))))-1),Excepciones!$A:$B,2,0)&gt;=0,IFERROR((INDEX(filter(Precios!$D:$D,(Precios!$A:$A&lt;=$I9)*(Precios!$B:$B&gt;=$I9)*(Precios!$C:$C=Y"&amp;"$37)),1)*(1-$K$6)+VLOOKUP($L24,Precios!$F:$G,2,0)),""No asegurable""),""No asegurable"")),"""")"),"")</f>
        <v/>
      </c>
      <c r="Z24" s="48">
        <f>IFERROR(__xludf.DUMMYFUNCTION("IFERROR(IF($I9="""","""",IF(VLOOKUP(LEFT(Z$37,SEARCH(""☃"",SUBSTITUTE(Z$37,"" "",""☃"",LEN(Z$37)-LEN(SUBSTITUTE(Z$37,"" "",""""))))-1),Excepciones!$A:$B,2,0)&gt;=0,IFERROR(INDEX(filter(Precios!$D:$D,(Precios!$A:$A&lt;=$I9)*(Precios!$B:$B&gt;=$I9)*(Precios!$C:$C=Z$"&amp;"37)),1)*(1-$K$6),""No asegurable""),""No asegurable"")),"""")"),105.0)</f>
        <v>105</v>
      </c>
      <c r="AA24" s="48">
        <f>IFERROR(__xludf.DUMMYFUNCTION("IFERROR(IF($I9="""","""",IF(VLOOKUP(LEFT(AA$37,SEARCH(""☃"",SUBSTITUTE(AA$37,"" "",""☃"",LEN(AA$37)-LEN(SUBSTITUTE(AA$37,"" "",""""))))-1),Excepciones!$A:$B,2,0)&gt;=0,IFERROR(INDEX(filter(Precios!$D:$D,(Precios!$A:$A&lt;=$I9)*(Precios!$B:$B&gt;=$I9)*(Precios!$C:$"&amp;"C=AA$37)),1)*(1-$K$6),""No asegurable""),""No asegurable"")),"""")"),137.0)</f>
        <v>137</v>
      </c>
      <c r="AB24" s="48">
        <f>IFERROR(__xludf.DUMMYFUNCTION("IFERROR(IF($I9="""","""",IF(VLOOKUP(LEFT(AB$37,SEARCH(""☃"",SUBSTITUTE(AB$37,"" "",""☃"",LEN(AB$37)-LEN(SUBSTITUTE(AB$37,"" "",""""))))-1),Excepciones!$A:$B,2,0)&gt;=0,IFERROR(INDEX(filter(Precios!$D:$D,(Precios!$A:$A&lt;=$I9)*(Precios!$B:$B&gt;=$I9)*(Precios!$C:$"&amp;"C=AB$37)),1)*(1-$K$6),""No asegurable""),""No asegurable"")),"""")"),92.0)</f>
        <v>92</v>
      </c>
      <c r="AC24" s="119">
        <f>IFERROR(__xludf.DUMMYFUNCTION("IFERROR(IF($I9="""","""",IF(VLOOKUP(LEFT(AC$37,SEARCH(""☃"",SUBSTITUTE(AC$37,"" "",""☃"",LEN(AC$37)-LEN(SUBSTITUTE(AC$37,"" "",""""))))-1),Excepciones!$A:$B,2,0)&gt;=0,IFERROR(INDEX(filter(Precios!$D:$D,(Precios!$A:$A&lt;=$I9)*(Precios!$B:$B&gt;=$I9)*(Precios!$C:$"&amp;"C=AC$37)),1)*(1-$K$6),""No asegurable""),""No asegurable"")),"""")"),115.0)</f>
        <v>115</v>
      </c>
      <c r="AD24" s="48"/>
      <c r="AJ24" s="109"/>
      <c r="AK24" s="10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</row>
    <row r="25" ht="32.25" customHeight="1">
      <c r="L25" s="116">
        <v>5.0</v>
      </c>
      <c r="M25" s="48"/>
      <c r="N25" s="48" t="str">
        <f t="shared" si="25"/>
        <v/>
      </c>
      <c r="O25" s="48" t="str">
        <f t="shared" si="26"/>
        <v/>
      </c>
      <c r="P25" s="117"/>
      <c r="Q25" s="48" t="str">
        <f t="shared" ref="Q25:R25" si="33">IF(OR(Q61="",Q61=0),"",Q61*(1-$K$8))</f>
        <v/>
      </c>
      <c r="R25" s="48" t="str">
        <f t="shared" si="33"/>
        <v/>
      </c>
      <c r="S25" s="117"/>
      <c r="T25" s="48" t="str">
        <f t="shared" ref="T25:U25" si="34">IF(OR(T61="",T61=0),"",T61*(1-$K$8))</f>
        <v/>
      </c>
      <c r="U25" s="48" t="str">
        <f t="shared" si="34"/>
        <v/>
      </c>
      <c r="V25" s="117"/>
      <c r="W25" s="48" t="str">
        <f>IFERROR(__xludf.DUMMYFUNCTION("IFERROR(IF($I10="""","""",IF(VLOOKUP(LEFT(W$37,SEARCH(""☃"",SUBSTITUTE(W$37,"" "",""☃"",LEN(W$37)-LEN(SUBSTITUTE(W$37,"" "",""""))))-1),Excepciones!$A:$B,2,0)&gt;=0,IFERROR(INDEX(filter(Precios!$D:$D,(Precios!$A:$A&lt;=$I10)*(Precios!$B:$B&gt;=$I10)*(Precios!$C:$C"&amp;"=W$37)),1)*(1-$K$6),""No asegurable""),""No asegurable"")),"""")"),"")</f>
        <v/>
      </c>
      <c r="X25" s="118"/>
      <c r="Y25" s="48" t="str">
        <f>IFERROR(__xludf.DUMMYFUNCTION("IFERROR(IF($I10="""","""",IF(VLOOKUP(LEFT(Y$37,SEARCH(""☃"",SUBSTITUTE(Y$37,"" "",""☃"",LEN(Y$37)-LEN(SUBSTITUTE(Y$37,"" "",""""))))-1),Excepciones!$A:$B,2,0)&gt;=0,IFERROR((INDEX(filter(Precios!$D:$D,(Precios!$A:$A&lt;=$I10)*(Precios!$B:$B&gt;=$I10)*(Precios!$C:$"&amp;"C=Y$37)),1)*(1-$K$6)+VLOOKUP($L25,Precios!$F:$G,2,0)),""No asegurable""),""No asegurable"")),"""")"),"")</f>
        <v/>
      </c>
      <c r="Z25" s="48" t="str">
        <f>IFERROR(__xludf.DUMMYFUNCTION("IFERROR(IF($I10="""","""",IF(VLOOKUP(LEFT(Z$37,SEARCH(""☃"",SUBSTITUTE(Z$37,"" "",""☃"",LEN(Z$37)-LEN(SUBSTITUTE(Z$37,"" "",""""))))-1),Excepciones!$A:$B,2,0)&gt;=0,IFERROR(INDEX(filter(Precios!$D:$D,(Precios!$A:$A&lt;=$I10)*(Precios!$B:$B&gt;=$I10)*(Precios!$C:$C"&amp;"=Z$37)),1)*(1-$K$6),""No asegurable""),""No asegurable"")),"""")"),"")</f>
        <v/>
      </c>
      <c r="AA25" s="48" t="str">
        <f>IFERROR(__xludf.DUMMYFUNCTION("IFERROR(IF($I10="""","""",IF(VLOOKUP(LEFT(AA$37,SEARCH(""☃"",SUBSTITUTE(AA$37,"" "",""☃"",LEN(AA$37)-LEN(SUBSTITUTE(AA$37,"" "",""""))))-1),Excepciones!$A:$B,2,0)&gt;=0,IFERROR(INDEX(filter(Precios!$D:$D,(Precios!$A:$A&lt;=$I10)*(Precios!$B:$B&gt;=$I10)*(Precios!$"&amp;"C:$C=AA$37)),1)*(1-$K$6),""No asegurable""),""No asegurable"")),"""")"),"")</f>
        <v/>
      </c>
      <c r="AB25" s="48" t="str">
        <f>IFERROR(__xludf.DUMMYFUNCTION("IFERROR(IF($I10="""","""",IF(VLOOKUP(LEFT(AB$37,SEARCH(""☃"",SUBSTITUTE(AB$37,"" "",""☃"",LEN(AB$37)-LEN(SUBSTITUTE(AB$37,"" "",""""))))-1),Excepciones!$A:$B,2,0)&gt;=0,IFERROR(INDEX(filter(Precios!$D:$D,(Precios!$A:$A&lt;=$I10)*(Precios!$B:$B&gt;=$I10)*(Precios!$"&amp;"C:$C=AB$37)),1)*(1-$K$6),""No asegurable""),""No asegurable"")),"""")"),"")</f>
        <v/>
      </c>
      <c r="AC25" s="119" t="str">
        <f>IFERROR(__xludf.DUMMYFUNCTION("IFERROR(IF($I10="""","""",IF(VLOOKUP(LEFT(AC$37,SEARCH(""☃"",SUBSTITUTE(AC$37,"" "",""☃"",LEN(AC$37)-LEN(SUBSTITUTE(AC$37,"" "",""""))))-1),Excepciones!$A:$B,2,0)&gt;=0,IFERROR(INDEX(filter(Precios!$D:$D,(Precios!$A:$A&lt;=$I10)*(Precios!$B:$B&gt;=$I10)*(Precios!$"&amp;"C:$C=AC$37)),1)*(1-$K$6),""No asegurable""),""No asegurable"")),"""")"),"")</f>
        <v/>
      </c>
      <c r="AJ25" s="109"/>
      <c r="AK25" s="10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</row>
    <row r="26" ht="32.25" customHeight="1">
      <c r="B26" s="120"/>
      <c r="C26" s="121"/>
      <c r="D26" s="121"/>
      <c r="E26" s="121"/>
      <c r="F26" s="121"/>
      <c r="G26" s="121"/>
      <c r="H26" s="121"/>
      <c r="I26" s="122"/>
      <c r="K26" s="123"/>
      <c r="L26" s="116">
        <v>6.0</v>
      </c>
      <c r="M26" s="48"/>
      <c r="N26" s="48" t="str">
        <f t="shared" si="25"/>
        <v/>
      </c>
      <c r="O26" s="48" t="str">
        <f t="shared" si="26"/>
        <v/>
      </c>
      <c r="P26" s="117"/>
      <c r="Q26" s="48" t="str">
        <f t="shared" ref="Q26:R26" si="35">IF(OR(Q62="",Q62=0),"",Q62*(1-$K$8))</f>
        <v/>
      </c>
      <c r="R26" s="48" t="str">
        <f t="shared" si="35"/>
        <v/>
      </c>
      <c r="S26" s="117"/>
      <c r="T26" s="48" t="str">
        <f t="shared" ref="T26:U26" si="36">IF(OR(T62="",T62=0),"",T62*(1-$K$8))</f>
        <v/>
      </c>
      <c r="U26" s="48" t="str">
        <f t="shared" si="36"/>
        <v/>
      </c>
      <c r="V26" s="117"/>
      <c r="W26" s="48" t="str">
        <f>IFERROR(__xludf.DUMMYFUNCTION("IFERROR(IF($I11="""","""",IF(VLOOKUP(LEFT(W$37,SEARCH(""☃"",SUBSTITUTE(W$37,"" "",""☃"",LEN(W$37)-LEN(SUBSTITUTE(W$37,"" "",""""))))-1),Excepciones!$A:$B,2,0)&gt;=0,IFERROR(INDEX(filter(Precios!$D:$D,(Precios!$A:$A&lt;=$I11)*(Precios!$B:$B&gt;=$I11)*(Precios!$C:$C"&amp;"=W$37)),1)*(1-$K$6),""No asegurable""),""No asegurable"")),"""")"),"")</f>
        <v/>
      </c>
      <c r="X26" s="118"/>
      <c r="Y26" s="48" t="str">
        <f>IFERROR(__xludf.DUMMYFUNCTION("IFERROR(IF($I11="""","""",IF(VLOOKUP(LEFT(Y$37,SEARCH(""☃"",SUBSTITUTE(Y$37,"" "",""☃"",LEN(Y$37)-LEN(SUBSTITUTE(Y$37,"" "",""""))))-1),Excepciones!$A:$B,2,0)&gt;=0,IFERROR((INDEX(filter(Precios!$D:$D,(Precios!$A:$A&lt;=$I11)*(Precios!$B:$B&gt;=$I11)*(Precios!$C:$"&amp;"C=Y$37)),1)*(1-$K$6)+VLOOKUP($L26,Precios!$F:$G,2,0)),""No asegurable""),""No asegurable"")),"""")"),"")</f>
        <v/>
      </c>
      <c r="Z26" s="48" t="str">
        <f>IFERROR(__xludf.DUMMYFUNCTION("IFERROR(IF($I11="""","""",IF(VLOOKUP(LEFT(Z$37,SEARCH(""☃"",SUBSTITUTE(Z$37,"" "",""☃"",LEN(Z$37)-LEN(SUBSTITUTE(Z$37,"" "",""""))))-1),Excepciones!$A:$B,2,0)&gt;=0,IFERROR(INDEX(filter(Precios!$D:$D,(Precios!$A:$A&lt;=$I11)*(Precios!$B:$B&gt;=$I11)*(Precios!$C:$C"&amp;"=Z$37)),1)*(1-$K$6),""No asegurable""),""No asegurable"")),"""")"),"")</f>
        <v/>
      </c>
      <c r="AA26" s="48" t="str">
        <f>IFERROR(__xludf.DUMMYFUNCTION("IFERROR(IF($I11="""","""",IF(VLOOKUP(LEFT(AA$37,SEARCH(""☃"",SUBSTITUTE(AA$37,"" "",""☃"",LEN(AA$37)-LEN(SUBSTITUTE(AA$37,"" "",""""))))-1),Excepciones!$A:$B,2,0)&gt;=0,IFERROR(INDEX(filter(Precios!$D:$D,(Precios!$A:$A&lt;=$I11)*(Precios!$B:$B&gt;=$I11)*(Precios!$"&amp;"C:$C=AA$37)),1)*(1-$K$6),""No asegurable""),""No asegurable"")),"""")"),"")</f>
        <v/>
      </c>
      <c r="AB26" s="48" t="str">
        <f>IFERROR(__xludf.DUMMYFUNCTION("IFERROR(IF($I11="""","""",IF(VLOOKUP(LEFT(AB$37,SEARCH(""☃"",SUBSTITUTE(AB$37,"" "",""☃"",LEN(AB$37)-LEN(SUBSTITUTE(AB$37,"" "",""""))))-1),Excepciones!$A:$B,2,0)&gt;=0,IFERROR(INDEX(filter(Precios!$D:$D,(Precios!$A:$A&lt;=$I11)*(Precios!$B:$B&gt;=$I11)*(Precios!$"&amp;"C:$C=AB$37)),1)*(1-$K$6),""No asegurable""),""No asegurable"")),"""")"),"")</f>
        <v/>
      </c>
      <c r="AC26" s="119" t="str">
        <f>IFERROR(__xludf.DUMMYFUNCTION("IFERROR(IF($I11="""","""",IF(VLOOKUP(LEFT(AC$37,SEARCH(""☃"",SUBSTITUTE(AC$37,"" "",""☃"",LEN(AC$37)-LEN(SUBSTITUTE(AC$37,"" "",""""))))-1),Excepciones!$A:$B,2,0)&gt;=0,IFERROR(INDEX(filter(Precios!$D:$D,(Precios!$A:$A&lt;=$I11)*(Precios!$B:$B&gt;=$I11)*(Precios!$"&amp;"C:$C=AC$37)),1)*(1-$K$6),""No asegurable""),""No asegurable"")),"""")"),"")</f>
        <v/>
      </c>
      <c r="AJ26" s="109"/>
      <c r="AK26" s="10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</row>
    <row r="27" ht="32.25" customHeight="1">
      <c r="B27" s="124"/>
      <c r="C27" s="121"/>
      <c r="D27" s="121"/>
      <c r="E27" s="121"/>
      <c r="F27" s="121"/>
      <c r="G27" s="121"/>
      <c r="H27" s="121"/>
      <c r="I27" s="122"/>
      <c r="K27" s="123"/>
      <c r="L27" s="116">
        <v>7.0</v>
      </c>
      <c r="M27" s="48"/>
      <c r="N27" s="48" t="str">
        <f t="shared" si="25"/>
        <v/>
      </c>
      <c r="O27" s="48" t="str">
        <f t="shared" si="26"/>
        <v/>
      </c>
      <c r="P27" s="117"/>
      <c r="Q27" s="48" t="str">
        <f t="shared" ref="Q27:R27" si="37">IF(OR(Q63="",Q63=0),"",Q63*(1-$K$8))</f>
        <v/>
      </c>
      <c r="R27" s="48" t="str">
        <f t="shared" si="37"/>
        <v/>
      </c>
      <c r="S27" s="117"/>
      <c r="T27" s="48" t="str">
        <f t="shared" ref="T27:U27" si="38">IF(OR(T63="",T63=0),"",T63*(1-$K$8))</f>
        <v/>
      </c>
      <c r="U27" s="48" t="str">
        <f t="shared" si="38"/>
        <v/>
      </c>
      <c r="V27" s="117"/>
      <c r="W27" s="48" t="str">
        <f>IFERROR(__xludf.DUMMYFUNCTION("IFERROR(IF($I12="""","""",IF(VLOOKUP(LEFT(W$37,SEARCH(""☃"",SUBSTITUTE(W$37,"" "",""☃"",LEN(W$37)-LEN(SUBSTITUTE(W$37,"" "",""""))))-1),Excepciones!$A:$B,2,0)&gt;=0,IFERROR(INDEX(filter(Precios!$D:$D,(Precios!$A:$A&lt;=$I12)*(Precios!$B:$B&gt;=$I12)*(Precios!$C:$C"&amp;"=W$37)),1)*(1-$K$6),""No asegurable""),""No asegurable"")),"""")"),"")</f>
        <v/>
      </c>
      <c r="X27" s="118"/>
      <c r="Y27" s="48" t="str">
        <f>IFERROR(__xludf.DUMMYFUNCTION("IFERROR(IF($I12="""","""",IF(VLOOKUP(LEFT(Y$37,SEARCH(""☃"",SUBSTITUTE(Y$37,"" "",""☃"",LEN(Y$37)-LEN(SUBSTITUTE(Y$37,"" "",""""))))-1),Excepciones!$A:$B,2,0)&gt;=0,IFERROR((INDEX(filter(Precios!$D:$D,(Precios!$A:$A&lt;=$I12)*(Precios!$B:$B&gt;=$I12)*(Precios!$C:$"&amp;"C=Y$37)),1)*(1-$K$6)+VLOOKUP($L27,Precios!$F:$G,2,0)),""No asegurable""),""No asegurable"")),"""")"),"")</f>
        <v/>
      </c>
      <c r="Z27" s="48" t="str">
        <f>IFERROR(__xludf.DUMMYFUNCTION("IFERROR(IF($I12="""","""",IF(VLOOKUP(LEFT(Z$37,SEARCH(""☃"",SUBSTITUTE(Z$37,"" "",""☃"",LEN(Z$37)-LEN(SUBSTITUTE(Z$37,"" "",""""))))-1),Excepciones!$A:$B,2,0)&gt;=0,IFERROR(INDEX(filter(Precios!$D:$D,(Precios!$A:$A&lt;=$I12)*(Precios!$B:$B&gt;=$I12)*(Precios!$C:$C"&amp;"=Z$37)),1)*(1-$K$6),""No asegurable""),""No asegurable"")),"""")"),"")</f>
        <v/>
      </c>
      <c r="AA27" s="48" t="str">
        <f>IFERROR(__xludf.DUMMYFUNCTION("IFERROR(IF($I12="""","""",IF(VLOOKUP(LEFT(AA$37,SEARCH(""☃"",SUBSTITUTE(AA$37,"" "",""☃"",LEN(AA$37)-LEN(SUBSTITUTE(AA$37,"" "",""""))))-1),Excepciones!$A:$B,2,0)&gt;=0,IFERROR(INDEX(filter(Precios!$D:$D,(Precios!$A:$A&lt;=$I12)*(Precios!$B:$B&gt;=$I12)*(Precios!$"&amp;"C:$C=AA$37)),1)*(1-$K$6),""No asegurable""),""No asegurable"")),"""")"),"")</f>
        <v/>
      </c>
      <c r="AB27" s="48" t="str">
        <f>IFERROR(__xludf.DUMMYFUNCTION("IFERROR(IF($I12="""","""",IF(VLOOKUP(LEFT(AB$37,SEARCH(""☃"",SUBSTITUTE(AB$37,"" "",""☃"",LEN(AB$37)-LEN(SUBSTITUTE(AB$37,"" "",""""))))-1),Excepciones!$A:$B,2,0)&gt;=0,IFERROR(INDEX(filter(Precios!$D:$D,(Precios!$A:$A&lt;=$I12)*(Precios!$B:$B&gt;=$I12)*(Precios!$"&amp;"C:$C=AB$37)),1)*(1-$K$6),""No asegurable""),""No asegurable"")),"""")"),"")</f>
        <v/>
      </c>
      <c r="AC27" s="119" t="str">
        <f>IFERROR(__xludf.DUMMYFUNCTION("IFERROR(IF($I12="""","""",IF(VLOOKUP(LEFT(AC$37,SEARCH(""☃"",SUBSTITUTE(AC$37,"" "",""☃"",LEN(AC$37)-LEN(SUBSTITUTE(AC$37,"" "",""""))))-1),Excepciones!$A:$B,2,0)&gt;=0,IFERROR(INDEX(filter(Precios!$D:$D,(Precios!$A:$A&lt;=$I12)*(Precios!$B:$B&gt;=$I12)*(Precios!$"&amp;"C:$C=AC$37)),1)*(1-$K$6),""No asegurable""),""No asegurable"")),"""")"),"")</f>
        <v/>
      </c>
      <c r="AJ27" s="109"/>
      <c r="AK27" s="10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</row>
    <row r="28" ht="32.25" customHeight="1">
      <c r="B28" s="124"/>
      <c r="C28" s="121"/>
      <c r="D28" s="121"/>
      <c r="E28" s="121"/>
      <c r="F28" s="121"/>
      <c r="G28" s="121"/>
      <c r="H28" s="121"/>
      <c r="I28" s="122"/>
      <c r="K28" s="123"/>
      <c r="L28" s="116">
        <v>8.0</v>
      </c>
      <c r="M28" s="48"/>
      <c r="N28" s="48" t="str">
        <f t="shared" si="25"/>
        <v/>
      </c>
      <c r="O28" s="48" t="str">
        <f t="shared" si="26"/>
        <v/>
      </c>
      <c r="P28" s="117"/>
      <c r="Q28" s="48" t="str">
        <f t="shared" ref="Q28:R28" si="39">IF(OR(Q64="",Q64=0),"",Q64*(1-$K$8))</f>
        <v/>
      </c>
      <c r="R28" s="48" t="str">
        <f t="shared" si="39"/>
        <v/>
      </c>
      <c r="S28" s="117"/>
      <c r="T28" s="48" t="str">
        <f t="shared" ref="T28:U28" si="40">IF(OR(T64="",T64=0),"",T64*(1-$K$8))</f>
        <v/>
      </c>
      <c r="U28" s="48" t="str">
        <f t="shared" si="40"/>
        <v/>
      </c>
      <c r="V28" s="117"/>
      <c r="W28" s="48" t="str">
        <f>IFERROR(__xludf.DUMMYFUNCTION("IFERROR(IF($I13="""","""",IF(VLOOKUP(LEFT(W$37,SEARCH(""☃"",SUBSTITUTE(W$37,"" "",""☃"",LEN(W$37)-LEN(SUBSTITUTE(W$37,"" "",""""))))-1),Excepciones!$A:$B,2,0)&gt;=0,IFERROR(INDEX(filter(Precios!$D:$D,(Precios!$A:$A&lt;=$I13)*(Precios!$B:$B&gt;=$I13)*(Precios!$C:$C"&amp;"=W$37)),1)*(1-$K$6),""No asegurable""),""No asegurable"")),"""")"),"")</f>
        <v/>
      </c>
      <c r="X28" s="118"/>
      <c r="Y28" s="48" t="str">
        <f>IFERROR(__xludf.DUMMYFUNCTION("IFERROR(IF($I13="""","""",IF(VLOOKUP(LEFT(Y$37,SEARCH(""☃"",SUBSTITUTE(Y$37,"" "",""☃"",LEN(Y$37)-LEN(SUBSTITUTE(Y$37,"" "",""""))))-1),Excepciones!$A:$B,2,0)&gt;=0,IFERROR((INDEX(filter(Precios!$D:$D,(Precios!$A:$A&lt;=$I13)*(Precios!$B:$B&gt;=$I13)*(Precios!$C:$"&amp;"C=Y$37)),1)*(1-$K$6)+VLOOKUP($L28,Precios!$F:$G,2,0)),""No asegurable""),""No asegurable"")),"""")"),"")</f>
        <v/>
      </c>
      <c r="Z28" s="48" t="str">
        <f>IFERROR(__xludf.DUMMYFUNCTION("IFERROR(IF($I13="""","""",IF(VLOOKUP(LEFT(Z$37,SEARCH(""☃"",SUBSTITUTE(Z$37,"" "",""☃"",LEN(Z$37)-LEN(SUBSTITUTE(Z$37,"" "",""""))))-1),Excepciones!$A:$B,2,0)&gt;=0,IFERROR(INDEX(filter(Precios!$D:$D,(Precios!$A:$A&lt;=$I13)*(Precios!$B:$B&gt;=$I13)*(Precios!$C:$C"&amp;"=Z$37)),1)*(1-$K$6),""No asegurable""),""No asegurable"")),"""")"),"")</f>
        <v/>
      </c>
      <c r="AA28" s="48" t="str">
        <f>IFERROR(__xludf.DUMMYFUNCTION("IFERROR(IF($I13="""","""",IF(VLOOKUP(LEFT(AA$37,SEARCH(""☃"",SUBSTITUTE(AA$37,"" "",""☃"",LEN(AA$37)-LEN(SUBSTITUTE(AA$37,"" "",""""))))-1),Excepciones!$A:$B,2,0)&gt;=0,IFERROR(INDEX(filter(Precios!$D:$D,(Precios!$A:$A&lt;=$I13)*(Precios!$B:$B&gt;=$I13)*(Precios!$"&amp;"C:$C=AA$37)),1)*(1-$K$6),""No asegurable""),""No asegurable"")),"""")"),"")</f>
        <v/>
      </c>
      <c r="AB28" s="48" t="str">
        <f>IFERROR(__xludf.DUMMYFUNCTION("IFERROR(IF($I13="""","""",IF(VLOOKUP(LEFT(AB$37,SEARCH(""☃"",SUBSTITUTE(AB$37,"" "",""☃"",LEN(AB$37)-LEN(SUBSTITUTE(AB$37,"" "",""""))))-1),Excepciones!$A:$B,2,0)&gt;=0,IFERROR(INDEX(filter(Precios!$D:$D,(Precios!$A:$A&lt;=$I13)*(Precios!$B:$B&gt;=$I13)*(Precios!$"&amp;"C:$C=AB$37)),1)*(1-$K$6),""No asegurable""),""No asegurable"")),"""")"),"")</f>
        <v/>
      </c>
      <c r="AC28" s="119" t="str">
        <f>IFERROR(__xludf.DUMMYFUNCTION("IFERROR(IF($I13="""","""",IF(VLOOKUP(LEFT(AC$37,SEARCH(""☃"",SUBSTITUTE(AC$37,"" "",""☃"",LEN(AC$37)-LEN(SUBSTITUTE(AC$37,"" "",""""))))-1),Excepciones!$A:$B,2,0)&gt;=0,IFERROR(INDEX(filter(Precios!$D:$D,(Precios!$A:$A&lt;=$I13)*(Precios!$B:$B&gt;=$I13)*(Precios!$"&amp;"C:$C=AC$37)),1)*(1-$K$6),""No asegurable""),""No asegurable"")),"""")"),"")</f>
        <v/>
      </c>
      <c r="AJ28" s="109"/>
      <c r="AK28" s="10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</row>
    <row r="29" ht="28.5" customHeight="1">
      <c r="B29" s="124"/>
      <c r="C29" s="122"/>
      <c r="D29" s="121"/>
      <c r="E29" s="121"/>
      <c r="F29" s="121"/>
      <c r="G29" s="121"/>
      <c r="H29" s="121"/>
      <c r="I29" s="122"/>
      <c r="J29" s="122"/>
      <c r="K29" s="123"/>
      <c r="L29" s="116">
        <v>9.0</v>
      </c>
      <c r="N29" s="48" t="str">
        <f t="shared" si="25"/>
        <v/>
      </c>
      <c r="O29" s="48" t="str">
        <f t="shared" si="26"/>
        <v/>
      </c>
      <c r="P29" s="117"/>
      <c r="Q29" s="48" t="str">
        <f t="shared" ref="Q29:R29" si="41">IF(OR(Q65="",Q65=0),"",Q65*(1-$K$8))</f>
        <v/>
      </c>
      <c r="R29" s="48" t="str">
        <f t="shared" si="41"/>
        <v/>
      </c>
      <c r="S29" s="117"/>
      <c r="T29" s="48" t="str">
        <f t="shared" ref="T29:U29" si="42">IF(OR(T65="",T65=0),"",T65*(1-$K$8))</f>
        <v/>
      </c>
      <c r="U29" s="48" t="str">
        <f t="shared" si="42"/>
        <v/>
      </c>
      <c r="V29" s="117"/>
      <c r="W29" s="48" t="str">
        <f>IFERROR(__xludf.DUMMYFUNCTION("IFERROR(IF($I14="""","""",IF(VLOOKUP(LEFT(W$37,SEARCH(""☃"",SUBSTITUTE(W$37,"" "",""☃"",LEN(W$37)-LEN(SUBSTITUTE(W$37,"" "",""""))))-1),Excepciones!$A:$B,2,0)&gt;=0,IFERROR(INDEX(filter(Precios!$D:$D,(Precios!$A:$A&lt;=$I14)*(Precios!$B:$B&gt;=$I14)*(Precios!$C:$C"&amp;"=W$37)),1)*(1-$K$6),""No asegurable""),""No asegurable"")),"""")"),"")</f>
        <v/>
      </c>
      <c r="X29" s="118"/>
      <c r="Y29" s="48" t="str">
        <f>IFERROR(__xludf.DUMMYFUNCTION("IFERROR(IF($I14="""","""",IF(VLOOKUP(LEFT(Y$37,SEARCH(""☃"",SUBSTITUTE(Y$37,"" "",""☃"",LEN(Y$37)-LEN(SUBSTITUTE(Y$37,"" "",""""))))-1),Excepciones!$A:$B,2,0)&gt;=0,IFERROR((INDEX(filter(Precios!$D:$D,(Precios!$A:$A&lt;=$I14)*(Precios!$B:$B&gt;=$I14)*(Precios!$C:$"&amp;"C=Y$37)),1)*(1-$K$6)+VLOOKUP($L29,Precios!$F:$G,2,0)),""No asegurable""),""No asegurable"")),"""")"),"")</f>
        <v/>
      </c>
      <c r="Z29" s="48" t="str">
        <f>IFERROR(__xludf.DUMMYFUNCTION("IFERROR(IF($I14="""","""",IF(VLOOKUP(LEFT(Z$37,SEARCH(""☃"",SUBSTITUTE(Z$37,"" "",""☃"",LEN(Z$37)-LEN(SUBSTITUTE(Z$37,"" "",""""))))-1),Excepciones!$A:$B,2,0)&gt;=0,IFERROR(INDEX(filter(Precios!$D:$D,(Precios!$A:$A&lt;=$I14)*(Precios!$B:$B&gt;=$I14)*(Precios!$C:$C"&amp;"=Z$37)),1)*(1-$K$6),""No asegurable""),""No asegurable"")),"""")"),"")</f>
        <v/>
      </c>
      <c r="AA29" s="48" t="str">
        <f>IFERROR(__xludf.DUMMYFUNCTION("IFERROR(IF($I14="""","""",IF(VLOOKUP(LEFT(AA$37,SEARCH(""☃"",SUBSTITUTE(AA$37,"" "",""☃"",LEN(AA$37)-LEN(SUBSTITUTE(AA$37,"" "",""""))))-1),Excepciones!$A:$B,2,0)&gt;=0,IFERROR(INDEX(filter(Precios!$D:$D,(Precios!$A:$A&lt;=$I14)*(Precios!$B:$B&gt;=$I14)*(Precios!$"&amp;"C:$C=AA$37)),1)*(1-$K$6),""No asegurable""),""No asegurable"")),"""")"),"")</f>
        <v/>
      </c>
      <c r="AB29" s="48" t="str">
        <f>IFERROR(__xludf.DUMMYFUNCTION("IFERROR(IF($I14="""","""",IF(VLOOKUP(LEFT(AB$37,SEARCH(""☃"",SUBSTITUTE(AB$37,"" "",""☃"",LEN(AB$37)-LEN(SUBSTITUTE(AB$37,"" "",""""))))-1),Excepciones!$A:$B,2,0)&gt;=0,IFERROR(INDEX(filter(Precios!$D:$D,(Precios!$A:$A&lt;=$I14)*(Precios!$B:$B&gt;=$I14)*(Precios!$"&amp;"C:$C=AB$37)),1)*(1-$K$6),""No asegurable""),""No asegurable"")),"""")"),"")</f>
        <v/>
      </c>
      <c r="AC29" s="119" t="str">
        <f>IFERROR(__xludf.DUMMYFUNCTION("IFERROR(IF($I14="""","""",IF(VLOOKUP(LEFT(AC$37,SEARCH(""☃"",SUBSTITUTE(AC$37,"" "",""☃"",LEN(AC$37)-LEN(SUBSTITUTE(AC$37,"" "",""""))))-1),Excepciones!$A:$B,2,0)&gt;=0,IFERROR(INDEX(filter(Precios!$D:$D,(Precios!$A:$A&lt;=$I14)*(Precios!$B:$B&gt;=$I14)*(Precios!$"&amp;"C:$C=AC$37)),1)*(1-$K$6),""No asegurable""),""No asegurable"")),"""")"),"")</f>
        <v/>
      </c>
      <c r="AE29" s="5"/>
      <c r="AF29" s="5"/>
      <c r="AG29" s="5"/>
      <c r="AH29" s="125"/>
      <c r="AI29" s="125"/>
      <c r="AJ29" s="5"/>
      <c r="AK29" s="125"/>
      <c r="AL29" s="125"/>
    </row>
    <row r="30" ht="28.5" customHeight="1">
      <c r="B30" s="124"/>
      <c r="C30" s="122"/>
      <c r="D30" s="121"/>
      <c r="E30" s="121"/>
      <c r="F30" s="121"/>
      <c r="G30" s="121"/>
      <c r="H30" s="121"/>
      <c r="I30" s="122"/>
      <c r="J30" s="122"/>
      <c r="K30" s="123"/>
      <c r="L30" s="116">
        <v>10.0</v>
      </c>
      <c r="N30" s="48" t="str">
        <f t="shared" si="25"/>
        <v/>
      </c>
      <c r="O30" s="48" t="str">
        <f t="shared" si="26"/>
        <v/>
      </c>
      <c r="P30" s="117"/>
      <c r="Q30" s="48" t="str">
        <f t="shared" ref="Q30:R30" si="43">IF(OR(Q66="",Q66=0),"",Q66*(1-$K$8))</f>
        <v/>
      </c>
      <c r="R30" s="48" t="str">
        <f t="shared" si="43"/>
        <v/>
      </c>
      <c r="S30" s="117"/>
      <c r="T30" s="48" t="str">
        <f t="shared" ref="T30:U30" si="44">IF(OR(T66="",T66=0),"",T66*(1-$K$8))</f>
        <v/>
      </c>
      <c r="U30" s="48" t="str">
        <f t="shared" si="44"/>
        <v/>
      </c>
      <c r="V30" s="117"/>
      <c r="W30" s="48" t="str">
        <f>IFERROR(__xludf.DUMMYFUNCTION("IFERROR(IF($I15="""","""",IF(VLOOKUP(LEFT(W$37,SEARCH(""☃"",SUBSTITUTE(W$37,"" "",""☃"",LEN(W$37)-LEN(SUBSTITUTE(W$37,"" "",""""))))-1),Excepciones!$A:$B,2,0)&gt;=0,IFERROR(INDEX(filter(Precios!$D:$D,(Precios!$A:$A&lt;=$I15)*(Precios!$B:$B&gt;=$I15)*(Precios!$C:$C"&amp;"=W$37)),1)*(1-$K$6),""No asegurable""),""No asegurable"")),"""")"),"")</f>
        <v/>
      </c>
      <c r="X30" s="118"/>
      <c r="Y30" s="48" t="str">
        <f>IFERROR(__xludf.DUMMYFUNCTION("IFERROR(IF($I15="""","""",IF(VLOOKUP(LEFT(Y$37,SEARCH(""☃"",SUBSTITUTE(Y$37,"" "",""☃"",LEN(Y$37)-LEN(SUBSTITUTE(Y$37,"" "",""""))))-1),Excepciones!$A:$B,2,0)&gt;=0,IFERROR((INDEX(filter(Precios!$D:$D,(Precios!$A:$A&lt;=$I15)*(Precios!$B:$B&gt;=$I15)*(Precios!$C:$"&amp;"C=Y$37)),1)*(1-$K$6)+VLOOKUP($L30,Precios!$F:$G,2,0)),""No asegurable""),""No asegurable"")),"""")"),"")</f>
        <v/>
      </c>
      <c r="Z30" s="48" t="str">
        <f>IFERROR(__xludf.DUMMYFUNCTION("IFERROR(IF($I15="""","""",IF(VLOOKUP(LEFT(Z$37,SEARCH(""☃"",SUBSTITUTE(Z$37,"" "",""☃"",LEN(Z$37)-LEN(SUBSTITUTE(Z$37,"" "",""""))))-1),Excepciones!$A:$B,2,0)&gt;=0,IFERROR(INDEX(filter(Precios!$D:$D,(Precios!$A:$A&lt;=$I15)*(Precios!$B:$B&gt;=$I15)*(Precios!$C:$C"&amp;"=Z$37)),1)*(1-$K$6),""No asegurable""),""No asegurable"")),"""")"),"")</f>
        <v/>
      </c>
      <c r="AA30" s="48" t="str">
        <f>IFERROR(__xludf.DUMMYFUNCTION("IFERROR(IF($I15="""","""",IF(VLOOKUP(LEFT(AA$37,SEARCH(""☃"",SUBSTITUTE(AA$37,"" "",""☃"",LEN(AA$37)-LEN(SUBSTITUTE(AA$37,"" "",""""))))-1),Excepciones!$A:$B,2,0)&gt;=0,IFERROR(INDEX(filter(Precios!$D:$D,(Precios!$A:$A&lt;=$I15)*(Precios!$B:$B&gt;=$I15)*(Precios!$"&amp;"C:$C=AA$37)),1)*(1-$K$6),""No asegurable""),""No asegurable"")),"""")"),"")</f>
        <v/>
      </c>
      <c r="AB30" s="48" t="str">
        <f>IFERROR(__xludf.DUMMYFUNCTION("IFERROR(IF($I15="""","""",IF(VLOOKUP(LEFT(AB$37,SEARCH(""☃"",SUBSTITUTE(AB$37,"" "",""☃"",LEN(AB$37)-LEN(SUBSTITUTE(AB$37,"" "",""""))))-1),Excepciones!$A:$B,2,0)&gt;=0,IFERROR(INDEX(filter(Precios!$D:$D,(Precios!$A:$A&lt;=$I15)*(Precios!$B:$B&gt;=$I15)*(Precios!$"&amp;"C:$C=AB$37)),1)*(1-$K$6),""No asegurable""),""No asegurable"")),"""")"),"")</f>
        <v/>
      </c>
      <c r="AC30" s="119" t="str">
        <f>IFERROR(__xludf.DUMMYFUNCTION("IFERROR(IF($I15="""","""",IF(VLOOKUP(LEFT(AC$37,SEARCH(""☃"",SUBSTITUTE(AC$37,"" "",""☃"",LEN(AC$37)-LEN(SUBSTITUTE(AC$37,"" "",""""))))-1),Excepciones!$A:$B,2,0)&gt;=0,IFERROR(INDEX(filter(Precios!$D:$D,(Precios!$A:$A&lt;=$I15)*(Precios!$B:$B&gt;=$I15)*(Precios!$"&amp;"C:$C=AC$37)),1)*(1-$K$6),""No asegurable""),""No asegurable"")),"""")"),"")</f>
        <v/>
      </c>
      <c r="AE30" s="5"/>
      <c r="AF30" s="5"/>
      <c r="AG30" s="5"/>
      <c r="AH30" s="125"/>
      <c r="AI30" s="125"/>
      <c r="AJ30" s="5"/>
      <c r="AK30" s="125"/>
      <c r="AL30" s="125"/>
    </row>
    <row r="31" ht="28.5" customHeight="1">
      <c r="B31" s="124"/>
      <c r="C31" s="122"/>
      <c r="D31" s="121"/>
      <c r="E31" s="121"/>
      <c r="F31" s="121"/>
      <c r="G31" s="121"/>
      <c r="H31" s="121"/>
      <c r="I31" s="122"/>
      <c r="J31" s="122"/>
      <c r="K31" s="123"/>
      <c r="L31" s="116">
        <v>11.0</v>
      </c>
      <c r="N31" s="48" t="str">
        <f t="shared" si="25"/>
        <v/>
      </c>
      <c r="O31" s="48" t="str">
        <f t="shared" si="26"/>
        <v/>
      </c>
      <c r="P31" s="117"/>
      <c r="Q31" s="48" t="str">
        <f t="shared" ref="Q31:R31" si="45">IF(OR(Q67="",Q67=0),"",Q67*(1-$K$8))</f>
        <v/>
      </c>
      <c r="R31" s="48" t="str">
        <f t="shared" si="45"/>
        <v/>
      </c>
      <c r="S31" s="117"/>
      <c r="T31" s="48" t="str">
        <f t="shared" ref="T31:U31" si="46">IF(OR(T67="",T67=0),"",T67*(1-$K$8))</f>
        <v/>
      </c>
      <c r="U31" s="48" t="str">
        <f t="shared" si="46"/>
        <v/>
      </c>
      <c r="V31" s="117"/>
      <c r="W31" s="48" t="str">
        <f>IFERROR(__xludf.DUMMYFUNCTION("IFERROR(IF($I16="""","""",IF(VLOOKUP(LEFT(W$37,SEARCH(""☃"",SUBSTITUTE(W$37,"" "",""☃"",LEN(W$37)-LEN(SUBSTITUTE(W$37,"" "",""""))))-1),Excepciones!$A:$B,2,0)&gt;=0,IFERROR(INDEX(filter(Precios!$D:$D,(Precios!$A:$A&lt;=$I16)*(Precios!$B:$B&gt;=$I16)*(Precios!$C:$C"&amp;"=W$37)),1)*(1-$K$6),""No asegurable""),""No asegurable"")),"""")"),"")</f>
        <v/>
      </c>
      <c r="X31" s="118"/>
      <c r="Y31" s="48" t="str">
        <f>IFERROR(__xludf.DUMMYFUNCTION("IFERROR(IF($I16="""","""",IF(VLOOKUP(LEFT(Y$37,SEARCH(""☃"",SUBSTITUTE(Y$37,"" "",""☃"",LEN(Y$37)-LEN(SUBSTITUTE(Y$37,"" "",""""))))-1),Excepciones!$A:$B,2,0)&gt;=0,IFERROR((INDEX(filter(Precios!$D:$D,(Precios!$A:$A&lt;=$I16)*(Precios!$B:$B&gt;=$I16)*(Precios!$C:$"&amp;"C=Y$37)),1)*(1-$K$6)+VLOOKUP($L31,Precios!$F:$G,2,0)),""No asegurable""),""No asegurable"")),"""")"),"")</f>
        <v/>
      </c>
      <c r="Z31" s="48" t="str">
        <f>IFERROR(__xludf.DUMMYFUNCTION("IFERROR(IF($I16="""","""",IF(VLOOKUP(LEFT(Z$37,SEARCH(""☃"",SUBSTITUTE(Z$37,"" "",""☃"",LEN(Z$37)-LEN(SUBSTITUTE(Z$37,"" "",""""))))-1),Excepciones!$A:$B,2,0)&gt;=0,IFERROR(INDEX(filter(Precios!$D:$D,(Precios!$A:$A&lt;=$I16)*(Precios!$B:$B&gt;=$I16)*(Precios!$C:$C"&amp;"=Z$37)),1)*(1-$K$6),""No asegurable""),""No asegurable"")),"""")"),"")</f>
        <v/>
      </c>
      <c r="AA31" s="48" t="str">
        <f>IFERROR(__xludf.DUMMYFUNCTION("IFERROR(IF($I16="""","""",IF(VLOOKUP(LEFT(AA$37,SEARCH(""☃"",SUBSTITUTE(AA$37,"" "",""☃"",LEN(AA$37)-LEN(SUBSTITUTE(AA$37,"" "",""""))))-1),Excepciones!$A:$B,2,0)&gt;=0,IFERROR(INDEX(filter(Precios!$D:$D,(Precios!$A:$A&lt;=$I16)*(Precios!$B:$B&gt;=$I16)*(Precios!$"&amp;"C:$C=AA$37)),1)*(1-$K$6),""No asegurable""),""No asegurable"")),"""")"),"")</f>
        <v/>
      </c>
      <c r="AB31" s="48" t="str">
        <f>IFERROR(__xludf.DUMMYFUNCTION("IFERROR(IF($I16="""","""",IF(VLOOKUP(LEFT(AB$37,SEARCH(""☃"",SUBSTITUTE(AB$37,"" "",""☃"",LEN(AB$37)-LEN(SUBSTITUTE(AB$37,"" "",""""))))-1),Excepciones!$A:$B,2,0)&gt;=0,IFERROR(INDEX(filter(Precios!$D:$D,(Precios!$A:$A&lt;=$I16)*(Precios!$B:$B&gt;=$I16)*(Precios!$"&amp;"C:$C=AB$37)),1)*(1-$K$6),""No asegurable""),""No asegurable"")),"""")"),"")</f>
        <v/>
      </c>
      <c r="AC31" s="119" t="str">
        <f>IFERROR(__xludf.DUMMYFUNCTION("IFERROR(IF($I16="""","""",IF(VLOOKUP(LEFT(AC$37,SEARCH(""☃"",SUBSTITUTE(AC$37,"" "",""☃"",LEN(AC$37)-LEN(SUBSTITUTE(AC$37,"" "",""""))))-1),Excepciones!$A:$B,2,0)&gt;=0,IFERROR(INDEX(filter(Precios!$D:$D,(Precios!$A:$A&lt;=$I16)*(Precios!$B:$B&gt;=$I16)*(Precios!$"&amp;"C:$C=AC$37)),1)*(1-$K$6),""No asegurable""),""No asegurable"")),"""")"),"")</f>
        <v/>
      </c>
      <c r="AE31" s="5"/>
      <c r="AF31" s="5"/>
      <c r="AG31" s="5"/>
      <c r="AH31" s="125"/>
      <c r="AI31" s="125"/>
      <c r="AJ31" s="5"/>
      <c r="AK31" s="125"/>
      <c r="AL31" s="125"/>
    </row>
    <row r="32" ht="28.5" customHeight="1">
      <c r="B32" s="124"/>
      <c r="C32" s="122"/>
      <c r="D32" s="121"/>
      <c r="E32" s="121"/>
      <c r="F32" s="121"/>
      <c r="G32" s="121"/>
      <c r="H32" s="121"/>
      <c r="I32" s="122"/>
      <c r="J32" s="122"/>
      <c r="K32" s="123"/>
      <c r="L32" s="116">
        <v>12.0</v>
      </c>
      <c r="N32" s="48" t="str">
        <f t="shared" si="25"/>
        <v/>
      </c>
      <c r="O32" s="48" t="str">
        <f t="shared" si="26"/>
        <v/>
      </c>
      <c r="P32" s="117"/>
      <c r="Q32" s="48" t="str">
        <f t="shared" ref="Q32:R32" si="47">IF(OR(Q68="",Q68=0),"",Q68*(1-$K$8))</f>
        <v/>
      </c>
      <c r="R32" s="48" t="str">
        <f t="shared" si="47"/>
        <v/>
      </c>
      <c r="S32" s="117"/>
      <c r="T32" s="48" t="str">
        <f t="shared" ref="T32:U32" si="48">IF(OR(T68="",T68=0),"",T68*(1-$K$8))</f>
        <v/>
      </c>
      <c r="U32" s="48" t="str">
        <f t="shared" si="48"/>
        <v/>
      </c>
      <c r="V32" s="117"/>
      <c r="W32" s="48" t="str">
        <f>IFERROR(__xludf.DUMMYFUNCTION("IFERROR(IF($I17="""","""",IF(VLOOKUP(LEFT(W$37,SEARCH(""☃"",SUBSTITUTE(W$37,"" "",""☃"",LEN(W$37)-LEN(SUBSTITUTE(W$37,"" "",""""))))-1),Excepciones!$A:$B,2,0)&gt;=0,IFERROR(INDEX(filter(Precios!$D:$D,(Precios!$A:$A&lt;=$I17)*(Precios!$B:$B&gt;=$I17)*(Precios!$C:$C"&amp;"=W$37)),1)*(1-$K$6),""No asegurable""),""No asegurable"")),"""")"),"")</f>
        <v/>
      </c>
      <c r="X32" s="118"/>
      <c r="Y32" s="48" t="str">
        <f>IFERROR(__xludf.DUMMYFUNCTION("IFERROR(IF($I17="""","""",IF(VLOOKUP(LEFT(Y$37,SEARCH(""☃"",SUBSTITUTE(Y$37,"" "",""☃"",LEN(Y$37)-LEN(SUBSTITUTE(Y$37,"" "",""""))))-1),Excepciones!$A:$B,2,0)&gt;=0,IFERROR((INDEX(filter(Precios!$D:$D,(Precios!$A:$A&lt;=$I17)*(Precios!$B:$B&gt;=$I17)*(Precios!$C:$"&amp;"C=Y$37)),1)*(1-$K$6)+VLOOKUP($L32,Precios!$F:$G,2,0)),""No asegurable""),""No asegurable"")),"""")"),"")</f>
        <v/>
      </c>
      <c r="Z32" s="48" t="str">
        <f>IFERROR(__xludf.DUMMYFUNCTION("IFERROR(IF($I17="""","""",IF(VLOOKUP(LEFT(Z$37,SEARCH(""☃"",SUBSTITUTE(Z$37,"" "",""☃"",LEN(Z$37)-LEN(SUBSTITUTE(Z$37,"" "",""""))))-1),Excepciones!$A:$B,2,0)&gt;=0,IFERROR(INDEX(filter(Precios!$D:$D,(Precios!$A:$A&lt;=$I17)*(Precios!$B:$B&gt;=$I17)*(Precios!$C:$C"&amp;"=Z$37)),1)*(1-$K$6),""No asegurable""),""No asegurable"")),"""")"),"")</f>
        <v/>
      </c>
      <c r="AA32" s="48" t="str">
        <f>IFERROR(__xludf.DUMMYFUNCTION("IFERROR(IF($I17="""","""",IF(VLOOKUP(LEFT(AA$37,SEARCH(""☃"",SUBSTITUTE(AA$37,"" "",""☃"",LEN(AA$37)-LEN(SUBSTITUTE(AA$37,"" "",""""))))-1),Excepciones!$A:$B,2,0)&gt;=0,IFERROR(INDEX(filter(Precios!$D:$D,(Precios!$A:$A&lt;=$I17)*(Precios!$B:$B&gt;=$I17)*(Precios!$"&amp;"C:$C=AA$37)),1)*(1-$K$6),""No asegurable""),""No asegurable"")),"""")"),"")</f>
        <v/>
      </c>
      <c r="AB32" s="48" t="str">
        <f>IFERROR(__xludf.DUMMYFUNCTION("IFERROR(IF($I17="""","""",IF(VLOOKUP(LEFT(AB$37,SEARCH(""☃"",SUBSTITUTE(AB$37,"" "",""☃"",LEN(AB$37)-LEN(SUBSTITUTE(AB$37,"" "",""""))))-1),Excepciones!$A:$B,2,0)&gt;=0,IFERROR(INDEX(filter(Precios!$D:$D,(Precios!$A:$A&lt;=$I17)*(Precios!$B:$B&gt;=$I17)*(Precios!$"&amp;"C:$C=AB$37)),1)*(1-$K$6),""No asegurable""),""No asegurable"")),"""")"),"")</f>
        <v/>
      </c>
      <c r="AC32" s="119" t="str">
        <f>IFERROR(__xludf.DUMMYFUNCTION("IFERROR(IF($I17="""","""",IF(VLOOKUP(LEFT(AC$37,SEARCH(""☃"",SUBSTITUTE(AC$37,"" "",""☃"",LEN(AC$37)-LEN(SUBSTITUTE(AC$37,"" "",""""))))-1),Excepciones!$A:$B,2,0)&gt;=0,IFERROR(INDEX(filter(Precios!$D:$D,(Precios!$A:$A&lt;=$I17)*(Precios!$B:$B&gt;=$I17)*(Precios!$"&amp;"C:$C=AC$37)),1)*(1-$K$6),""No asegurable""),""No asegurable"")),"""")"),"")</f>
        <v/>
      </c>
      <c r="AE32" s="5"/>
      <c r="AF32" s="5"/>
      <c r="AG32" s="5"/>
      <c r="AH32" s="125"/>
      <c r="AI32" s="125"/>
      <c r="AJ32" s="5"/>
      <c r="AK32" s="125"/>
      <c r="AL32" s="125"/>
    </row>
    <row r="33" ht="28.5" customHeight="1">
      <c r="B33" s="124"/>
      <c r="C33" s="122"/>
      <c r="D33" s="121"/>
      <c r="E33" s="121"/>
      <c r="F33" s="121"/>
      <c r="G33" s="121"/>
      <c r="H33" s="121"/>
      <c r="I33" s="122"/>
      <c r="J33" s="122"/>
      <c r="K33" s="123"/>
      <c r="L33" s="116">
        <v>13.0</v>
      </c>
      <c r="N33" s="48" t="str">
        <f t="shared" si="25"/>
        <v/>
      </c>
      <c r="O33" s="48" t="str">
        <f t="shared" si="26"/>
        <v/>
      </c>
      <c r="P33" s="117"/>
      <c r="Q33" s="48" t="str">
        <f t="shared" ref="Q33:R33" si="49">IF(OR(Q69="",Q69=0),"",Q69*(1-$K$8))</f>
        <v/>
      </c>
      <c r="R33" s="48" t="str">
        <f t="shared" si="49"/>
        <v/>
      </c>
      <c r="S33" s="117"/>
      <c r="T33" s="48" t="str">
        <f t="shared" ref="T33:U33" si="50">IF(OR(T69="",T69=0),"",T69*(1-$K$8))</f>
        <v/>
      </c>
      <c r="U33" s="48" t="str">
        <f t="shared" si="50"/>
        <v/>
      </c>
      <c r="V33" s="117"/>
      <c r="W33" s="48" t="str">
        <f>IFERROR(__xludf.DUMMYFUNCTION("IFERROR(IF($I18="""","""",IF(VLOOKUP(LEFT(W$37,SEARCH(""☃"",SUBSTITUTE(W$37,"" "",""☃"",LEN(W$37)-LEN(SUBSTITUTE(W$37,"" "",""""))))-1),Excepciones!$A:$B,2,0)&gt;=0,IFERROR(INDEX(filter(Precios!$D:$D,(Precios!$A:$A&lt;=$I18)*(Precios!$B:$B&gt;=$I18)*(Precios!$C:$C"&amp;"=W$37)),1)*(1-$K$6),""No asegurable""),""No asegurable"")),"""")"),"")</f>
        <v/>
      </c>
      <c r="X33" s="118"/>
      <c r="Y33" s="48" t="str">
        <f>IFERROR(__xludf.DUMMYFUNCTION("IFERROR(IF($I18="""","""",IF(VLOOKUP(LEFT(Y$37,SEARCH(""☃"",SUBSTITUTE(Y$37,"" "",""☃"",LEN(Y$37)-LEN(SUBSTITUTE(Y$37,"" "",""""))))-1),Excepciones!$A:$B,2,0)&gt;=0,IFERROR((INDEX(filter(Precios!$D:$D,(Precios!$A:$A&lt;=$I18)*(Precios!$B:$B&gt;=$I18)*(Precios!$C:$"&amp;"C=Y$37)),1)*(1-$K$6)+VLOOKUP($L33,Precios!$F:$G,2,0)),""No asegurable""),""No asegurable"")),"""")"),"")</f>
        <v/>
      </c>
      <c r="Z33" s="48" t="str">
        <f>IFERROR(__xludf.DUMMYFUNCTION("IFERROR(IF($I18="""","""",IF(VLOOKUP(LEFT(Z$37,SEARCH(""☃"",SUBSTITUTE(Z$37,"" "",""☃"",LEN(Z$37)-LEN(SUBSTITUTE(Z$37,"" "",""""))))-1),Excepciones!$A:$B,2,0)&gt;=0,IFERROR(INDEX(filter(Precios!$D:$D,(Precios!$A:$A&lt;=$I18)*(Precios!$B:$B&gt;=$I18)*(Precios!$C:$C"&amp;"=Z$37)),1)*(1-$K$6),""No asegurable""),""No asegurable"")),"""")"),"")</f>
        <v/>
      </c>
      <c r="AA33" s="48" t="str">
        <f>IFERROR(__xludf.DUMMYFUNCTION("IFERROR(IF($I18="""","""",IF(VLOOKUP(LEFT(AA$37,SEARCH(""☃"",SUBSTITUTE(AA$37,"" "",""☃"",LEN(AA$37)-LEN(SUBSTITUTE(AA$37,"" "",""""))))-1),Excepciones!$A:$B,2,0)&gt;=0,IFERROR(INDEX(filter(Precios!$D:$D,(Precios!$A:$A&lt;=$I18)*(Precios!$B:$B&gt;=$I18)*(Precios!$"&amp;"C:$C=AA$37)),1)*(1-$K$6),""No asegurable""),""No asegurable"")),"""")"),"")</f>
        <v/>
      </c>
      <c r="AB33" s="48" t="str">
        <f>IFERROR(__xludf.DUMMYFUNCTION("IFERROR(IF($I18="""","""",IF(VLOOKUP(LEFT(AB$37,SEARCH(""☃"",SUBSTITUTE(AB$37,"" "",""☃"",LEN(AB$37)-LEN(SUBSTITUTE(AB$37,"" "",""""))))-1),Excepciones!$A:$B,2,0)&gt;=0,IFERROR(INDEX(filter(Precios!$D:$D,(Precios!$A:$A&lt;=$I18)*(Precios!$B:$B&gt;=$I18)*(Precios!$"&amp;"C:$C=AB$37)),1)*(1-$K$6),""No asegurable""),""No asegurable"")),"""")"),"")</f>
        <v/>
      </c>
      <c r="AC33" s="119" t="str">
        <f>IFERROR(__xludf.DUMMYFUNCTION("IFERROR(IF($I18="""","""",IF(VLOOKUP(LEFT(AC$37,SEARCH(""☃"",SUBSTITUTE(AC$37,"" "",""☃"",LEN(AC$37)-LEN(SUBSTITUTE(AC$37,"" "",""""))))-1),Excepciones!$A:$B,2,0)&gt;=0,IFERROR(INDEX(filter(Precios!$D:$D,(Precios!$A:$A&lt;=$I18)*(Precios!$B:$B&gt;=$I18)*(Precios!$"&amp;"C:$C=AC$37)),1)*(1-$K$6),""No asegurable""),""No asegurable"")),"""")"),"")</f>
        <v/>
      </c>
      <c r="AE33" s="5"/>
      <c r="AF33" s="5"/>
      <c r="AG33" s="5"/>
      <c r="AH33" s="125"/>
      <c r="AI33" s="125"/>
      <c r="AJ33" s="5"/>
      <c r="AK33" s="125"/>
      <c r="AL33" s="125"/>
    </row>
    <row r="34" ht="28.5" customHeight="1">
      <c r="B34" s="124"/>
      <c r="C34" s="122"/>
      <c r="D34" s="121"/>
      <c r="E34" s="121"/>
      <c r="F34" s="121"/>
      <c r="G34" s="121"/>
      <c r="H34" s="121"/>
      <c r="I34" s="122"/>
      <c r="J34" s="122"/>
      <c r="K34" s="123"/>
      <c r="L34" s="116">
        <v>14.0</v>
      </c>
      <c r="N34" s="48" t="str">
        <f t="shared" si="25"/>
        <v/>
      </c>
      <c r="O34" s="48" t="str">
        <f t="shared" si="26"/>
        <v/>
      </c>
      <c r="P34" s="117"/>
      <c r="Q34" s="48" t="str">
        <f t="shared" ref="Q34:R34" si="51">IF(OR(Q70="",Q70=0),"",Q70*(1-$K$8))</f>
        <v/>
      </c>
      <c r="R34" s="48" t="str">
        <f t="shared" si="51"/>
        <v/>
      </c>
      <c r="S34" s="117"/>
      <c r="T34" s="48" t="str">
        <f t="shared" ref="T34:U34" si="52">IF(OR(T70="",T70=0),"",T70*(1-$K$8))</f>
        <v/>
      </c>
      <c r="U34" s="48" t="str">
        <f t="shared" si="52"/>
        <v/>
      </c>
      <c r="V34" s="117"/>
      <c r="W34" s="48" t="str">
        <f>IFERROR(__xludf.DUMMYFUNCTION("IFERROR(IF($I19="""","""",IF(VLOOKUP(LEFT(W$37,SEARCH(""☃"",SUBSTITUTE(W$37,"" "",""☃"",LEN(W$37)-LEN(SUBSTITUTE(W$37,"" "",""""))))-1),Excepciones!$A:$B,2,0)&gt;=0,IFERROR(INDEX(filter(Precios!$D:$D,(Precios!$A:$A&lt;=$I19)*(Precios!$B:$B&gt;=$I19)*(Precios!$C:$C"&amp;"=W$37)),1)*(1-$K$6),""No asegurable""),""No asegurable"")),"""")"),"")</f>
        <v/>
      </c>
      <c r="X34" s="118"/>
      <c r="Y34" s="48" t="str">
        <f>IFERROR(__xludf.DUMMYFUNCTION("IFERROR(IF($I19="""","""",IF(VLOOKUP(LEFT(Y$37,SEARCH(""☃"",SUBSTITUTE(Y$37,"" "",""☃"",LEN(Y$37)-LEN(SUBSTITUTE(Y$37,"" "",""""))))-1),Excepciones!$A:$B,2,0)&gt;=0,IFERROR((INDEX(filter(Precios!$D:$D,(Precios!$A:$A&lt;=$I19)*(Precios!$B:$B&gt;=$I19)*(Precios!$C:$"&amp;"C=Y$37)),1)*(1-$K$6)+VLOOKUP($L34,Precios!$F:$G,2,0)),""No asegurable""),""No asegurable"")),"""")"),"")</f>
        <v/>
      </c>
      <c r="Z34" s="48" t="str">
        <f>IFERROR(__xludf.DUMMYFUNCTION("IFERROR(IF($I19="""","""",IF(VLOOKUP(LEFT(Z$37,SEARCH(""☃"",SUBSTITUTE(Z$37,"" "",""☃"",LEN(Z$37)-LEN(SUBSTITUTE(Z$37,"" "",""""))))-1),Excepciones!$A:$B,2,0)&gt;=0,IFERROR(INDEX(filter(Precios!$D:$D,(Precios!$A:$A&lt;=$I19)*(Precios!$B:$B&gt;=$I19)*(Precios!$C:$C"&amp;"=Z$37)),1)*(1-$K$6),""No asegurable""),""No asegurable"")),"""")"),"")</f>
        <v/>
      </c>
      <c r="AA34" s="48" t="str">
        <f>IFERROR(__xludf.DUMMYFUNCTION("IFERROR(IF($I19="""","""",IF(VLOOKUP(LEFT(AA$37,SEARCH(""☃"",SUBSTITUTE(AA$37,"" "",""☃"",LEN(AA$37)-LEN(SUBSTITUTE(AA$37,"" "",""""))))-1),Excepciones!$A:$B,2,0)&gt;=0,IFERROR(INDEX(filter(Precios!$D:$D,(Precios!$A:$A&lt;=$I19)*(Precios!$B:$B&gt;=$I19)*(Precios!$"&amp;"C:$C=AA$37)),1)*(1-$K$6),""No asegurable""),""No asegurable"")),"""")"),"")</f>
        <v/>
      </c>
      <c r="AB34" s="48" t="str">
        <f>IFERROR(__xludf.DUMMYFUNCTION("IFERROR(IF($I19="""","""",IF(VLOOKUP(LEFT(AB$37,SEARCH(""☃"",SUBSTITUTE(AB$37,"" "",""☃"",LEN(AB$37)-LEN(SUBSTITUTE(AB$37,"" "",""""))))-1),Excepciones!$A:$B,2,0)&gt;=0,IFERROR(INDEX(filter(Precios!$D:$D,(Precios!$A:$A&lt;=$I19)*(Precios!$B:$B&gt;=$I19)*(Precios!$"&amp;"C:$C=AB$37)),1)*(1-$K$6),""No asegurable""),""No asegurable"")),"""")"),"")</f>
        <v/>
      </c>
      <c r="AC34" s="119" t="str">
        <f>IFERROR(__xludf.DUMMYFUNCTION("IFERROR(IF($I19="""","""",IF(VLOOKUP(LEFT(AC$37,SEARCH(""☃"",SUBSTITUTE(AC$37,"" "",""☃"",LEN(AC$37)-LEN(SUBSTITUTE(AC$37,"" "",""""))))-1),Excepciones!$A:$B,2,0)&gt;=0,IFERROR(INDEX(filter(Precios!$D:$D,(Precios!$A:$A&lt;=$I19)*(Precios!$B:$B&gt;=$I19)*(Precios!$"&amp;"C:$C=AC$37)),1)*(1-$K$6),""No asegurable""),""No asegurable"")),"""")"),"")</f>
        <v/>
      </c>
      <c r="AE34" s="5"/>
      <c r="AF34" s="5"/>
      <c r="AG34" s="5"/>
      <c r="AH34" s="125"/>
      <c r="AI34" s="125"/>
      <c r="AJ34" s="5"/>
      <c r="AK34" s="125"/>
      <c r="AL34" s="125"/>
    </row>
    <row r="35" ht="28.5" customHeight="1">
      <c r="B35" s="124"/>
      <c r="C35" s="122"/>
      <c r="D35" s="121"/>
      <c r="E35" s="121"/>
      <c r="F35" s="121"/>
      <c r="G35" s="121"/>
      <c r="H35" s="121"/>
      <c r="I35" s="122"/>
      <c r="J35" s="122"/>
      <c r="K35" s="123"/>
      <c r="L35" s="126">
        <v>15.0</v>
      </c>
      <c r="M35" s="127"/>
      <c r="N35" s="128" t="str">
        <f t="shared" si="25"/>
        <v/>
      </c>
      <c r="O35" s="128" t="str">
        <f t="shared" si="26"/>
        <v/>
      </c>
      <c r="P35" s="129"/>
      <c r="Q35" s="128" t="str">
        <f t="shared" ref="Q35:R35" si="53">IF(OR(Q71="",Q71=0),"",Q71*(1-$K$8))</f>
        <v/>
      </c>
      <c r="R35" s="128" t="str">
        <f t="shared" si="53"/>
        <v/>
      </c>
      <c r="S35" s="129"/>
      <c r="T35" s="128" t="str">
        <f t="shared" ref="T35:U35" si="54">IF(OR(T71="",T71=0),"",T71*(1-$K$8))</f>
        <v/>
      </c>
      <c r="U35" s="128" t="str">
        <f t="shared" si="54"/>
        <v/>
      </c>
      <c r="V35" s="129"/>
      <c r="W35" s="128" t="str">
        <f>IFERROR(__xludf.DUMMYFUNCTION("IFERROR(IF($I20="""","""",IF(VLOOKUP(LEFT(W$37,SEARCH(""☃"",SUBSTITUTE(W$37,"" "",""☃"",LEN(W$37)-LEN(SUBSTITUTE(W$37,"" "",""""))))-1),Excepciones!$A:$B,2,0)&gt;=0,IFERROR(INDEX(filter(Precios!$D:$D,(Precios!$A:$A&lt;=$I20)*(Precios!$B:$B&gt;=$I20)*(Precios!$C:$C"&amp;"=W$37)),1)*(1-$K$6),""No asegurable""),""No asegurable"")),"""")"),"")</f>
        <v/>
      </c>
      <c r="X35" s="130"/>
      <c r="Y35" s="128" t="str">
        <f>IFERROR(__xludf.DUMMYFUNCTION("IFERROR(IF($I20="""","""",IF(VLOOKUP(LEFT(Y$37,SEARCH(""☃"",SUBSTITUTE(Y$37,"" "",""☃"",LEN(Y$37)-LEN(SUBSTITUTE(Y$37,"" "",""""))))-1),Excepciones!$A:$B,2,0)&gt;=0,IFERROR((INDEX(filter(Precios!$D:$D,(Precios!$A:$A&lt;=$I20)*(Precios!$B:$B&gt;=$I20)*(Precios!$C:$"&amp;"C=Y$37)),1)*(1-$K$6)+VLOOKUP($L35,Precios!$F:$G,2,0)),""No asegurable""),""No asegurable"")),"""")"),"")</f>
        <v/>
      </c>
      <c r="Z35" s="128" t="str">
        <f>IFERROR(__xludf.DUMMYFUNCTION("IFERROR(IF($I20="""","""",IF(VLOOKUP(LEFT(Z$37,SEARCH(""☃"",SUBSTITUTE(Z$37,"" "",""☃"",LEN(Z$37)-LEN(SUBSTITUTE(Z$37,"" "",""""))))-1),Excepciones!$A:$B,2,0)&gt;=0,IFERROR(INDEX(filter(Precios!$D:$D,(Precios!$A:$A&lt;=$I20)*(Precios!$B:$B&gt;=$I20)*(Precios!$C:$C"&amp;"=Z$37)),1)*(1-$K$6),""No asegurable""),""No asegurable"")),"""")"),"")</f>
        <v/>
      </c>
      <c r="AA35" s="128" t="str">
        <f>IFERROR(__xludf.DUMMYFUNCTION("IFERROR(IF($I20="""","""",IF(VLOOKUP(LEFT(AA$37,SEARCH(""☃"",SUBSTITUTE(AA$37,"" "",""☃"",LEN(AA$37)-LEN(SUBSTITUTE(AA$37,"" "",""""))))-1),Excepciones!$A:$B,2,0)&gt;=0,IFERROR(INDEX(filter(Precios!$D:$D,(Precios!$A:$A&lt;=$I20)*(Precios!$B:$B&gt;=$I20)*(Precios!$"&amp;"C:$C=AA$37)),1)*(1-$K$6),""No asegurable""),""No asegurable"")),"""")"),"")</f>
        <v/>
      </c>
      <c r="AB35" s="128" t="str">
        <f>IFERROR(__xludf.DUMMYFUNCTION("IFERROR(IF($I20="""","""",IF(VLOOKUP(LEFT(AB$37,SEARCH(""☃"",SUBSTITUTE(AB$37,"" "",""☃"",LEN(AB$37)-LEN(SUBSTITUTE(AB$37,"" "",""""))))-1),Excepciones!$A:$B,2,0)&gt;=0,IFERROR(INDEX(filter(Precios!$D:$D,(Precios!$A:$A&lt;=$I20)*(Precios!$B:$B&gt;=$I20)*(Precios!$"&amp;"C:$C=AB$37)),1)*(1-$K$6),""No asegurable""),""No asegurable"")),"""")"),"")</f>
        <v/>
      </c>
      <c r="AC35" s="131" t="str">
        <f>IFERROR(__xludf.DUMMYFUNCTION("IFERROR(IF($I20="""","""",IF(VLOOKUP(LEFT(AC$37,SEARCH(""☃"",SUBSTITUTE(AC$37,"" "",""☃"",LEN(AC$37)-LEN(SUBSTITUTE(AC$37,"" "",""""))))-1),Excepciones!$A:$B,2,0)&gt;=0,IFERROR(INDEX(filter(Precios!$D:$D,(Precios!$A:$A&lt;=$I20)*(Precios!$B:$B&gt;=$I20)*(Precios!$"&amp;"C:$C=AC$37)),1)*(1-$K$6),""No asegurable""),""No asegurable"")),"""")"),"")</f>
        <v/>
      </c>
      <c r="AE35" s="5"/>
      <c r="AF35" s="5"/>
      <c r="AG35" s="5"/>
      <c r="AH35" s="125"/>
      <c r="AI35" s="125"/>
      <c r="AJ35" s="5"/>
      <c r="AK35" s="125"/>
      <c r="AL35" s="125"/>
    </row>
    <row r="36" ht="28.5" customHeight="1">
      <c r="B36" s="124"/>
      <c r="C36" s="122"/>
      <c r="D36" s="121"/>
      <c r="E36" s="121"/>
      <c r="F36" s="121"/>
      <c r="G36" s="121"/>
      <c r="H36" s="121"/>
      <c r="I36" s="122"/>
      <c r="K36" s="123"/>
      <c r="L36" s="132"/>
      <c r="AE36" s="5"/>
      <c r="AF36" s="5"/>
      <c r="AG36" s="5"/>
      <c r="AH36" s="125"/>
      <c r="AI36" s="125"/>
      <c r="AJ36" s="5"/>
      <c r="AK36" s="125"/>
      <c r="AL36" s="125"/>
    </row>
    <row r="37" ht="27.75" customHeight="1">
      <c r="B37" s="121"/>
      <c r="C37" s="121"/>
      <c r="D37" s="121"/>
      <c r="E37" s="121"/>
      <c r="F37" s="121"/>
      <c r="G37" s="121"/>
      <c r="H37" s="121"/>
      <c r="I37" s="121"/>
      <c r="J37" s="121"/>
      <c r="K37" s="123"/>
      <c r="L37" s="104" t="s">
        <v>38</v>
      </c>
      <c r="M37" s="105"/>
      <c r="N37" s="106" t="str">
        <f>"Go"&amp;" "&amp;$K$3</f>
        <v>Go 2</v>
      </c>
      <c r="O37" s="106" t="str">
        <f>"Plena Vital"&amp;" "&amp;$K$3</f>
        <v>Plena Vital 2</v>
      </c>
      <c r="P37" s="106" t="str">
        <f>"Plena Total vital"&amp;" "&amp;$K$3</f>
        <v>Plena Total vital 2</v>
      </c>
      <c r="Q37" s="106" t="str">
        <f>"Plena"&amp;" "&amp;$K$3</f>
        <v>Plena 2</v>
      </c>
      <c r="R37" s="106" t="str">
        <f>"Plena Plus"&amp;" "&amp;$K$3</f>
        <v>Plena Plus 2</v>
      </c>
      <c r="S37" s="106" t="str">
        <f>"Plena Total"&amp;" "&amp;$K$3</f>
        <v>Plena Total 2</v>
      </c>
      <c r="T37" s="106" t="str">
        <f>"Plena Extra 150"&amp;" "&amp;$K$3</f>
        <v>Plena Extra 150 2</v>
      </c>
      <c r="U37" s="106" t="str">
        <f>"Seniors"&amp;" "&amp;$K$3</f>
        <v>Seniors 2</v>
      </c>
      <c r="V37" s="106" t="str">
        <f>"Seniors total"&amp;" "&amp;$K$3</f>
        <v>Seniors total 2</v>
      </c>
      <c r="W37" s="106" t="str">
        <f>"Negocios NIF"&amp;" "&amp;$K$3</f>
        <v>Negocios NIF 2</v>
      </c>
      <c r="X37" s="107" t="str">
        <f>"Pymes TOTAL"&amp;" "&amp;$K$3</f>
        <v>Pymes TOTAL 2</v>
      </c>
      <c r="Y37" s="108" t="str">
        <f>IF(OR(COUNT(I6:I13)=1,COUNT(I6:I13)=2),"Extra Negocios NIF"&amp;" "&amp;$K$3&amp;" "&amp;COUNT(I6:I13),"Extra Negocios NIF"&amp;" "&amp;$K$3)</f>
        <v>Extra Negocios NIF 2</v>
      </c>
      <c r="Z37" s="106" t="str">
        <f>"Negocios CIF"&amp;" "&amp;$K$3</f>
        <v>Negocios CIF 2</v>
      </c>
      <c r="AA37" s="106" t="str">
        <f>"Extra Negocios CIF"&amp;" "&amp;$K$3</f>
        <v>Extra Negocios CIF 2</v>
      </c>
      <c r="AB37" s="106" t="str">
        <f>"Empresas"&amp;" "&amp;$K$3</f>
        <v>Empresas 2</v>
      </c>
      <c r="AC37" s="107" t="str">
        <f>"Extra Empresas"&amp;" "&amp;$K$3</f>
        <v>Extra Empresas 2</v>
      </c>
      <c r="AE37" s="5"/>
      <c r="AF37" s="5"/>
      <c r="AG37" s="5"/>
      <c r="AH37" s="125"/>
      <c r="AI37" s="125"/>
      <c r="AJ37" s="5"/>
      <c r="AK37" s="125"/>
      <c r="AL37" s="125"/>
    </row>
    <row r="38" ht="27.75" customHeight="1"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10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7"/>
      <c r="Y38" s="33"/>
      <c r="Z38" s="33"/>
      <c r="AA38" s="33"/>
      <c r="AB38" s="33"/>
      <c r="AC38" s="37"/>
      <c r="AE38" s="5"/>
      <c r="AF38" s="5"/>
      <c r="AG38" s="5"/>
      <c r="AH38" s="125"/>
      <c r="AI38" s="125"/>
      <c r="AJ38" s="5"/>
      <c r="AK38" s="125"/>
      <c r="AL38" s="125"/>
    </row>
    <row r="39" ht="27.75" customHeight="1">
      <c r="B39" s="123"/>
      <c r="C39" s="123"/>
      <c r="D39" s="123"/>
      <c r="E39" s="123"/>
      <c r="F39" s="123"/>
      <c r="G39" s="123"/>
      <c r="H39" s="123"/>
      <c r="I39" s="123"/>
      <c r="J39" s="123"/>
      <c r="K39" s="123"/>
      <c r="L39" s="111">
        <v>1.0</v>
      </c>
      <c r="M39" s="112"/>
      <c r="N39" s="112">
        <f t="shared" ref="N39:N53" si="56">N75</f>
        <v>23.8125</v>
      </c>
      <c r="O39" s="112">
        <f t="shared" ref="O39:V39" si="55">IF(OR(O75="",O75=0),"",O75*(1-$K$8))</f>
        <v>49.9125</v>
      </c>
      <c r="P39" s="112">
        <f t="shared" si="55"/>
        <v>54.9</v>
      </c>
      <c r="Q39" s="112">
        <f t="shared" si="55"/>
        <v>60.2625</v>
      </c>
      <c r="R39" s="112">
        <f t="shared" si="55"/>
        <v>71.9625</v>
      </c>
      <c r="S39" s="112">
        <f t="shared" si="55"/>
        <v>92.7</v>
      </c>
      <c r="T39" s="112">
        <f t="shared" si="55"/>
        <v>114.4625</v>
      </c>
      <c r="U39" s="112" t="str">
        <f t="shared" si="55"/>
        <v/>
      </c>
      <c r="V39" s="112" t="str">
        <f t="shared" si="55"/>
        <v/>
      </c>
      <c r="W39" s="112">
        <f>IFERROR(__xludf.DUMMYFUNCTION("IFERROR(IF($I6="""","""",IF(VLOOKUP(LEFT(W$37,SEARCH(""☃"",SUBSTITUTE(W$37,"" "",""☃"",LEN(W$37)-LEN(SUBSTITUTE(W$37,"" "",""""))))-1),Excepciones!$A:$B,2,0)&gt;=0,IFERROR((INDEX(filter(Precios!$D:$D,(Precios!$A:$A&lt;=$I6)*(Precios!$B:$B&gt;=$I6)*(Precios!$C:$C=W"&amp;"$37)),1)*(1-$K$6)+VLOOKUP(COUNT($I$6:$I$13),Precios!$F:$G,2,0)),""No asegurable""),""No asegurable"")),"""")"),67.9625)</f>
        <v>67.9625</v>
      </c>
      <c r="X39" s="115">
        <f t="shared" ref="X39:X53" si="58">IF(OR($K$10="Sí",X75=""),"",IF($K$8&gt;0,X75*(1-($K$8)*2),X75))</f>
        <v>62</v>
      </c>
      <c r="Y39" s="112" t="str">
        <f>IFERROR(__xludf.DUMMYFUNCTION("IFERROR(IF($I6="""","""",IF(VLOOKUP(LEFT(Y$37,SEARCH(""☃"",SUBSTITUTE(Y$37,"" "",""☃"",LEN(Y$37)-LEN(SUBSTITUTE(Y$37,"" "",""""))))-1),Excepciones!$A:$B,2,0)&gt;=0,IFERROR(INDEX(filter(Precios!$D:$D,(Precios!$A:$A&lt;=$I6)*(Precios!$B:$B&gt;=$I6)*(Precios!$C:$C=Y$"&amp;"37)),1)*(1-$K$6),""No asegurable""),""No asegurable"")),"""")"),"")</f>
        <v/>
      </c>
      <c r="Z39" s="113"/>
      <c r="AA39" s="113"/>
      <c r="AB39" s="113"/>
      <c r="AC39" s="114"/>
      <c r="AE39" s="5"/>
      <c r="AF39" s="5"/>
      <c r="AG39" s="5"/>
      <c r="AH39" s="125"/>
      <c r="AI39" s="125"/>
      <c r="AJ39" s="5"/>
      <c r="AK39" s="125"/>
      <c r="AL39" s="125"/>
    </row>
    <row r="40" ht="27.75" customHeight="1"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16">
        <v>2.0</v>
      </c>
      <c r="M40" s="48"/>
      <c r="N40" s="48">
        <f t="shared" si="56"/>
        <v>23.8125</v>
      </c>
      <c r="O40" s="48">
        <f t="shared" ref="O40:V40" si="57">IF(OR(O76="",O76=0),"",O76*(1-$K$8))</f>
        <v>49.9125</v>
      </c>
      <c r="P40" s="48">
        <f t="shared" si="57"/>
        <v>54.9</v>
      </c>
      <c r="Q40" s="48">
        <f t="shared" si="57"/>
        <v>60.2625</v>
      </c>
      <c r="R40" s="48">
        <f t="shared" si="57"/>
        <v>71.9625</v>
      </c>
      <c r="S40" s="48">
        <f t="shared" si="57"/>
        <v>92.7</v>
      </c>
      <c r="T40" s="48">
        <f t="shared" si="57"/>
        <v>114.4625</v>
      </c>
      <c r="U40" s="48" t="str">
        <f t="shared" si="57"/>
        <v/>
      </c>
      <c r="V40" s="48" t="str">
        <f t="shared" si="57"/>
        <v/>
      </c>
      <c r="W40" s="48">
        <f>IFERROR(__xludf.DUMMYFUNCTION("IFERROR(IF($I7="""","""",IF(VLOOKUP(LEFT(W$37,SEARCH(""☃"",SUBSTITUTE(W$37,"" "",""☃"",LEN(W$37)-LEN(SUBSTITUTE(W$37,"" "",""""))))-1),Excepciones!$A:$B,2,0)&gt;=0,IFERROR((INDEX(filter(Precios!$D:$D,(Precios!$A:$A&lt;=$I7)*(Precios!$B:$B&gt;=$I7)*(Precios!$C:$C=W"&amp;"$37)),1)*(1-$K$6)+VLOOKUP(COUNT($I$6:$I$13),Precios!$F:$G,2,0)),""No asegurable""),""No asegurable"")),"""")"),67.9625)</f>
        <v>67.9625</v>
      </c>
      <c r="X40" s="119">
        <f t="shared" si="58"/>
        <v>62</v>
      </c>
      <c r="Y40" s="48" t="str">
        <f>IFERROR(__xludf.DUMMYFUNCTION("IFERROR(IF($I7="""","""",IF(VLOOKUP(LEFT(Y$37,SEARCH(""☃"",SUBSTITUTE(Y$37,"" "",""☃"",LEN(Y$37)-LEN(SUBSTITUTE(Y$37,"" "",""""))))-1),Excepciones!$A:$B,2,0)&gt;=0,IFERROR(INDEX(filter(Precios!$D:$D,(Precios!$A:$A&lt;=$I7)*(Precios!$B:$B&gt;=$I7)*(Precios!$C:$C=Y$"&amp;"37)),1)*(1-$K$6),""No asegurable""),""No asegurable"")),"""")"),"")</f>
        <v/>
      </c>
      <c r="Z40" s="117"/>
      <c r="AA40" s="117"/>
      <c r="AB40" s="117"/>
      <c r="AC40" s="118"/>
      <c r="AE40" s="5"/>
      <c r="AF40" s="5"/>
      <c r="AG40" s="5"/>
      <c r="AH40" s="125"/>
      <c r="AI40" s="125"/>
      <c r="AJ40" s="5"/>
      <c r="AK40" s="125"/>
      <c r="AL40" s="125"/>
    </row>
    <row r="41" ht="27.75" customHeight="1">
      <c r="K41" s="123"/>
      <c r="L41" s="116">
        <v>3.0</v>
      </c>
      <c r="M41" s="48"/>
      <c r="N41" s="48">
        <f t="shared" si="56"/>
        <v>39.5625</v>
      </c>
      <c r="O41" s="48">
        <f t="shared" ref="O41:V41" si="59">IF(OR(O77="",O77=0),"",O77*(1-$K$8))</f>
        <v>89.9625</v>
      </c>
      <c r="P41" s="48">
        <f t="shared" si="59"/>
        <v>100.8</v>
      </c>
      <c r="Q41" s="48">
        <f t="shared" si="59"/>
        <v>100.7625</v>
      </c>
      <c r="R41" s="48">
        <f t="shared" si="59"/>
        <v>143.9625</v>
      </c>
      <c r="S41" s="48">
        <f t="shared" si="59"/>
        <v>158.4</v>
      </c>
      <c r="T41" s="48">
        <f t="shared" si="59"/>
        <v>184.4625</v>
      </c>
      <c r="U41" s="48" t="str">
        <f t="shared" si="59"/>
        <v/>
      </c>
      <c r="V41" s="48" t="str">
        <f t="shared" si="59"/>
        <v/>
      </c>
      <c r="W41" s="48">
        <f>IFERROR(__xludf.DUMMYFUNCTION("IFERROR(IF($I8="""","""",IF(VLOOKUP(LEFT(W$37,SEARCH(""☃"",SUBSTITUTE(W$37,"" "",""☃"",LEN(W$37)-LEN(SUBSTITUTE(W$37,"" "",""""))))-1),Excepciones!$A:$B,2,0)&gt;=0,IFERROR((INDEX(filter(Precios!$D:$D,(Precios!$A:$A&lt;=$I8)*(Precios!$B:$B&gt;=$I8)*(Precios!$C:$C=W"&amp;"$37)),1)*(1-$K$6)+VLOOKUP(COUNT($I$6:$I$13),Precios!$F:$G,2,0)),""No asegurable""),""No asegurable"")),"""")"),131.4625)</f>
        <v>131.4625</v>
      </c>
      <c r="X41" s="119">
        <f t="shared" si="58"/>
        <v>95</v>
      </c>
      <c r="Y41" s="48" t="str">
        <f>IFERROR(__xludf.DUMMYFUNCTION("IFERROR(IF($I8="""","""",IF(VLOOKUP(LEFT(Y$37,SEARCH(""☃"",SUBSTITUTE(Y$37,"" "",""☃"",LEN(Y$37)-LEN(SUBSTITUTE(Y$37,"" "",""""))))-1),Excepciones!$A:$B,2,0)&gt;=0,IFERROR(INDEX(filter(Precios!$D:$D,(Precios!$A:$A&lt;=$I8)*(Precios!$B:$B&gt;=$I8)*(Precios!$C:$C=Y$"&amp;"37)),1)*(1-$K$6),""No asegurable""),""No asegurable"")),"""")"),"")</f>
        <v/>
      </c>
      <c r="Z41" s="117"/>
      <c r="AA41" s="117"/>
      <c r="AB41" s="117"/>
      <c r="AC41" s="118"/>
      <c r="AD41" s="5"/>
      <c r="AE41" s="5"/>
      <c r="AF41" s="5"/>
      <c r="AG41" s="5"/>
      <c r="AH41" s="125"/>
      <c r="AI41" s="125"/>
      <c r="AJ41" s="5"/>
      <c r="AK41" s="125"/>
      <c r="AL41" s="125"/>
    </row>
    <row r="42" ht="27.75" customHeight="1">
      <c r="L42" s="116">
        <v>4.0</v>
      </c>
      <c r="M42" s="48"/>
      <c r="N42" s="48">
        <f t="shared" si="56"/>
        <v>39.5625</v>
      </c>
      <c r="O42" s="48">
        <f t="shared" ref="O42:V42" si="60">IF(OR(O78="",O78=0),"",O78*(1-$K$8))</f>
        <v>151.1625</v>
      </c>
      <c r="P42" s="48">
        <f t="shared" si="60"/>
        <v>180.9</v>
      </c>
      <c r="Q42" s="48">
        <f t="shared" si="60"/>
        <v>154.7625</v>
      </c>
      <c r="R42" s="48">
        <f t="shared" si="60"/>
        <v>233.9625</v>
      </c>
      <c r="S42" s="48">
        <f t="shared" si="60"/>
        <v>255.6</v>
      </c>
      <c r="T42" s="48">
        <f t="shared" si="60"/>
        <v>305.4625</v>
      </c>
      <c r="U42" s="48" t="str">
        <f t="shared" si="60"/>
        <v/>
      </c>
      <c r="V42" s="48" t="str">
        <f t="shared" si="60"/>
        <v/>
      </c>
      <c r="W42" s="48">
        <f>IFERROR(__xludf.DUMMYFUNCTION("IFERROR(IF($I9="""","""",IF(VLOOKUP(LEFT(W$37,SEARCH(""☃"",SUBSTITUTE(W$37,"" "",""☃"",LEN(W$37)-LEN(SUBSTITUTE(W$37,"" "",""""))))-1),Excepciones!$A:$B,2,0)&gt;=0,IFERROR((INDEX(filter(Precios!$D:$D,(Precios!$A:$A&lt;=$I9)*(Precios!$B:$B&gt;=$I9)*(Precios!$C:$C=W"&amp;"$37)),1)*(1-$K$6)+VLOOKUP(COUNT($I$6:$I$13),Precios!$F:$G,2,0)),""No asegurable""),""No asegurable"")),"""")"),242.4625)</f>
        <v>242.4625</v>
      </c>
      <c r="X42" s="119">
        <f t="shared" si="58"/>
        <v>129</v>
      </c>
      <c r="Y42" s="48" t="str">
        <f>IFERROR(__xludf.DUMMYFUNCTION("IFERROR(IF($I9="""","""",IF(VLOOKUP(LEFT(Y$37,SEARCH(""☃"",SUBSTITUTE(Y$37,"" "",""☃"",LEN(Y$37)-LEN(SUBSTITUTE(Y$37,"" "",""""))))-1),Excepciones!$A:$B,2,0)&gt;=0,IFERROR(INDEX(filter(Precios!$D:$D,(Precios!$A:$A&lt;=$I9)*(Precios!$B:$B&gt;=$I9)*(Precios!$C:$C=Y$"&amp;"37)),1)*(1-$K$6),""No asegurable""),""No asegurable"")),"""")"),"")</f>
        <v/>
      </c>
      <c r="Z42" s="117"/>
      <c r="AA42" s="117"/>
      <c r="AB42" s="117"/>
      <c r="AC42" s="118"/>
      <c r="AD42" s="5"/>
      <c r="AE42" s="5"/>
      <c r="AF42" s="5"/>
      <c r="AG42" s="5"/>
      <c r="AH42" s="125"/>
      <c r="AI42" s="125"/>
      <c r="AJ42" s="5"/>
      <c r="AK42" s="125"/>
      <c r="AL42" s="125"/>
    </row>
    <row r="43" ht="27.75" customHeight="1">
      <c r="L43" s="116">
        <v>5.0</v>
      </c>
      <c r="M43" s="48"/>
      <c r="N43" s="48" t="str">
        <f t="shared" si="56"/>
        <v/>
      </c>
      <c r="O43" s="48" t="str">
        <f t="shared" ref="O43:V43" si="61">IF(OR(O79="",O79=0),"",O79*(1-$K$8))</f>
        <v/>
      </c>
      <c r="P43" s="48" t="str">
        <f t="shared" si="61"/>
        <v/>
      </c>
      <c r="Q43" s="48" t="str">
        <f t="shared" si="61"/>
        <v/>
      </c>
      <c r="R43" s="48" t="str">
        <f t="shared" si="61"/>
        <v/>
      </c>
      <c r="S43" s="48" t="str">
        <f t="shared" si="61"/>
        <v/>
      </c>
      <c r="T43" s="48" t="str">
        <f t="shared" si="61"/>
        <v/>
      </c>
      <c r="U43" s="48" t="str">
        <f t="shared" si="61"/>
        <v/>
      </c>
      <c r="V43" s="48" t="str">
        <f t="shared" si="61"/>
        <v/>
      </c>
      <c r="W43" s="48" t="str">
        <f>IFERROR(__xludf.DUMMYFUNCTION("IFERROR(IF($I10="""","""",IF(VLOOKUP(LEFT(W$37,SEARCH(""☃"",SUBSTITUTE(W$37,"" "",""☃"",LEN(W$37)-LEN(SUBSTITUTE(W$37,"" "",""""))))-1),Excepciones!$A:$B,2,0)&gt;=0,IFERROR((INDEX(filter(Precios!$D:$D,(Precios!$A:$A&lt;=$I10)*(Precios!$B:$B&gt;=$I10)*(Precios!$C:$"&amp;"C=W$37)),1)*(1-$K$6)+VLOOKUP(COUNT($I$6:$I$13),Precios!$F:$G,2,0)),""No asegurable""),""No asegurable"")),"""")"),"")</f>
        <v/>
      </c>
      <c r="X43" s="119" t="str">
        <f t="shared" si="58"/>
        <v/>
      </c>
      <c r="Y43" s="48" t="str">
        <f>IFERROR(__xludf.DUMMYFUNCTION("IFERROR(IF($I10="""","""",IF(VLOOKUP(LEFT(Y$37,SEARCH(""☃"",SUBSTITUTE(Y$37,"" "",""☃"",LEN(Y$37)-LEN(SUBSTITUTE(Y$37,"" "",""""))))-1),Excepciones!$A:$B,2,0)&gt;=0,IFERROR(INDEX(filter(Precios!$D:$D,(Precios!$A:$A&lt;=$I10)*(Precios!$B:$B&gt;=$I10)*(Precios!$C:$C"&amp;"=Y$37)),1)*(1-$K$6),""No asegurable""),""No asegurable"")),"""")"),"")</f>
        <v/>
      </c>
      <c r="Z43" s="117"/>
      <c r="AA43" s="117"/>
      <c r="AB43" s="117"/>
      <c r="AC43" s="118"/>
      <c r="AD43" s="5"/>
      <c r="AE43" s="5"/>
      <c r="AF43" s="5"/>
      <c r="AG43" s="5"/>
      <c r="AH43" s="125"/>
      <c r="AI43" s="125"/>
      <c r="AJ43" s="5"/>
      <c r="AK43" s="125"/>
      <c r="AL43" s="125"/>
    </row>
    <row r="44" ht="27.75" customHeight="1">
      <c r="L44" s="116">
        <v>6.0</v>
      </c>
      <c r="M44" s="48"/>
      <c r="N44" s="48" t="str">
        <f t="shared" si="56"/>
        <v/>
      </c>
      <c r="O44" s="48" t="str">
        <f t="shared" ref="O44:V44" si="62">IF(OR(O80="",O80=0),"",O80*(1-$K$8))</f>
        <v/>
      </c>
      <c r="P44" s="48" t="str">
        <f t="shared" si="62"/>
        <v/>
      </c>
      <c r="Q44" s="48" t="str">
        <f t="shared" si="62"/>
        <v/>
      </c>
      <c r="R44" s="48" t="str">
        <f t="shared" si="62"/>
        <v/>
      </c>
      <c r="S44" s="48" t="str">
        <f t="shared" si="62"/>
        <v/>
      </c>
      <c r="T44" s="48" t="str">
        <f t="shared" si="62"/>
        <v/>
      </c>
      <c r="U44" s="48" t="str">
        <f t="shared" si="62"/>
        <v/>
      </c>
      <c r="V44" s="48" t="str">
        <f t="shared" si="62"/>
        <v/>
      </c>
      <c r="W44" s="48" t="str">
        <f>IFERROR(__xludf.DUMMYFUNCTION("IFERROR(IF($I11="""","""",IF(VLOOKUP(LEFT(W$37,SEARCH(""☃"",SUBSTITUTE(W$37,"" "",""☃"",LEN(W$37)-LEN(SUBSTITUTE(W$37,"" "",""""))))-1),Excepciones!$A:$B,2,0)&gt;=0,IFERROR((INDEX(filter(Precios!$D:$D,(Precios!$A:$A&lt;=$I11)*(Precios!$B:$B&gt;=$I11)*(Precios!$C:$"&amp;"C=W$37)),1)*(1-$K$6)+VLOOKUP(COUNT($I$6:$I$13),Precios!$F:$G,2,0)),""No asegurable""),""No asegurable"")),"""")"),"")</f>
        <v/>
      </c>
      <c r="X44" s="119" t="str">
        <f t="shared" si="58"/>
        <v/>
      </c>
      <c r="Y44" s="48" t="str">
        <f>IFERROR(__xludf.DUMMYFUNCTION("IFERROR(IF($I11="""","""",IF(VLOOKUP(LEFT(Y$37,SEARCH(""☃"",SUBSTITUTE(Y$37,"" "",""☃"",LEN(Y$37)-LEN(SUBSTITUTE(Y$37,"" "",""""))))-1),Excepciones!$A:$B,2,0)&gt;=0,IFERROR(INDEX(filter(Precios!$D:$D,(Precios!$A:$A&lt;=$I11)*(Precios!$B:$B&gt;=$I11)*(Precios!$C:$C"&amp;"=Y$37)),1)*(1-$K$6),""No asegurable""),""No asegurable"")),"""")"),"")</f>
        <v/>
      </c>
      <c r="Z44" s="117"/>
      <c r="AA44" s="117"/>
      <c r="AB44" s="117"/>
      <c r="AC44" s="118"/>
      <c r="AD44" s="5"/>
      <c r="AE44" s="5"/>
      <c r="AF44" s="5"/>
      <c r="AG44" s="5"/>
      <c r="AH44" s="125"/>
      <c r="AI44" s="125"/>
      <c r="AJ44" s="5"/>
      <c r="AK44" s="125"/>
      <c r="AL44" s="125"/>
    </row>
    <row r="45" ht="27.75" customHeight="1">
      <c r="L45" s="116">
        <v>7.0</v>
      </c>
      <c r="M45" s="48"/>
      <c r="N45" s="48" t="str">
        <f t="shared" si="56"/>
        <v/>
      </c>
      <c r="O45" s="48" t="str">
        <f t="shared" ref="O45:V45" si="63">IF(OR(O81="",O81=0),"",O81*(1-$K$8))</f>
        <v/>
      </c>
      <c r="P45" s="48" t="str">
        <f t="shared" si="63"/>
        <v/>
      </c>
      <c r="Q45" s="48" t="str">
        <f t="shared" si="63"/>
        <v/>
      </c>
      <c r="R45" s="48" t="str">
        <f t="shared" si="63"/>
        <v/>
      </c>
      <c r="S45" s="48" t="str">
        <f t="shared" si="63"/>
        <v/>
      </c>
      <c r="T45" s="48" t="str">
        <f t="shared" si="63"/>
        <v/>
      </c>
      <c r="U45" s="48" t="str">
        <f t="shared" si="63"/>
        <v/>
      </c>
      <c r="V45" s="48" t="str">
        <f t="shared" si="63"/>
        <v/>
      </c>
      <c r="W45" s="48" t="str">
        <f>IFERROR(__xludf.DUMMYFUNCTION("IFERROR(IF($I12="""","""",IF(VLOOKUP(LEFT(W$37,SEARCH(""☃"",SUBSTITUTE(W$37,"" "",""☃"",LEN(W$37)-LEN(SUBSTITUTE(W$37,"" "",""""))))-1),Excepciones!$A:$B,2,0)&gt;=0,IFERROR((INDEX(filter(Precios!$D:$D,(Precios!$A:$A&lt;=$I12)*(Precios!$B:$B&gt;=$I12)*(Precios!$C:$"&amp;"C=W$37)),1)*(1-$K$6)+VLOOKUP(COUNT($I$6:$I$13),Precios!$F:$G,2,0)),""No asegurable""),""No asegurable"")),"""")"),"")</f>
        <v/>
      </c>
      <c r="X45" s="119" t="str">
        <f t="shared" si="58"/>
        <v/>
      </c>
      <c r="Y45" s="48" t="str">
        <f>IFERROR(__xludf.DUMMYFUNCTION("IFERROR(IF($I12="""","""",IF(VLOOKUP(LEFT(Y$37,SEARCH(""☃"",SUBSTITUTE(Y$37,"" "",""☃"",LEN(Y$37)-LEN(SUBSTITUTE(Y$37,"" "",""""))))-1),Excepciones!$A:$B,2,0)&gt;=0,IFERROR(INDEX(filter(Precios!$D:$D,(Precios!$A:$A&lt;=$I12)*(Precios!$B:$B&gt;=$I12)*(Precios!$C:$C"&amp;"=Y$37)),1)*(1-$K$6),""No asegurable""),""No asegurable"")),"""")"),"")</f>
        <v/>
      </c>
      <c r="Z45" s="117"/>
      <c r="AA45" s="117"/>
      <c r="AB45" s="117"/>
      <c r="AC45" s="118"/>
      <c r="AD45" s="5"/>
      <c r="AE45" s="5"/>
      <c r="AF45" s="5"/>
      <c r="AG45" s="5"/>
      <c r="AH45" s="125"/>
      <c r="AI45" s="125"/>
      <c r="AJ45" s="5"/>
      <c r="AK45" s="125"/>
      <c r="AL45" s="125"/>
    </row>
    <row r="46" ht="24.75" customHeight="1">
      <c r="L46" s="116">
        <v>8.0</v>
      </c>
      <c r="M46" s="48"/>
      <c r="N46" s="48" t="str">
        <f t="shared" si="56"/>
        <v/>
      </c>
      <c r="O46" s="48" t="str">
        <f t="shared" ref="O46:V46" si="64">IF(OR(O82="",O82=0),"",O82*(1-$K$8))</f>
        <v/>
      </c>
      <c r="P46" s="48" t="str">
        <f t="shared" si="64"/>
        <v/>
      </c>
      <c r="Q46" s="48" t="str">
        <f t="shared" si="64"/>
        <v/>
      </c>
      <c r="R46" s="48" t="str">
        <f t="shared" si="64"/>
        <v/>
      </c>
      <c r="S46" s="48" t="str">
        <f t="shared" si="64"/>
        <v/>
      </c>
      <c r="T46" s="48" t="str">
        <f t="shared" si="64"/>
        <v/>
      </c>
      <c r="U46" s="48" t="str">
        <f t="shared" si="64"/>
        <v/>
      </c>
      <c r="V46" s="48" t="str">
        <f t="shared" si="64"/>
        <v/>
      </c>
      <c r="W46" s="48" t="str">
        <f>IFERROR(__xludf.DUMMYFUNCTION("IFERROR(IF($I13="""","""",IF(VLOOKUP(LEFT(W$37,SEARCH(""☃"",SUBSTITUTE(W$37,"" "",""☃"",LEN(W$37)-LEN(SUBSTITUTE(W$37,"" "",""""))))-1),Excepciones!$A:$B,2,0)&gt;=0,IFERROR((INDEX(filter(Precios!$D:$D,(Precios!$A:$A&lt;=$I13)*(Precios!$B:$B&gt;=$I13)*(Precios!$C:$"&amp;"C=W$37)),1)*(1-$K$6)+VLOOKUP(COUNT($I$6:$I$13),Precios!$F:$G,2,0)),""No asegurable""),""No asegurable"")),"""")"),"")</f>
        <v/>
      </c>
      <c r="X46" s="119" t="str">
        <f t="shared" si="58"/>
        <v/>
      </c>
      <c r="Y46" s="48" t="str">
        <f>IFERROR(__xludf.DUMMYFUNCTION("IFERROR(IF($I13="""","""",IF(VLOOKUP(LEFT(Y$37,SEARCH(""☃"",SUBSTITUTE(Y$37,"" "",""☃"",LEN(Y$37)-LEN(SUBSTITUTE(Y$37,"" "",""""))))-1),Excepciones!$A:$B,2,0)&gt;=0,IFERROR(INDEX(filter(Precios!$D:$D,(Precios!$A:$A&lt;=$I13)*(Precios!$B:$B&gt;=$I13)*(Precios!$C:$C"&amp;"=Y$37)),1)*(1-$K$6),""No asegurable""),""No asegurable"")),"""")"),"")</f>
        <v/>
      </c>
      <c r="Z46" s="117"/>
      <c r="AA46" s="117"/>
      <c r="AB46" s="117"/>
      <c r="AC46" s="118"/>
      <c r="AD46" s="5"/>
      <c r="AE46" s="5"/>
      <c r="AF46" s="5"/>
      <c r="AG46" s="5"/>
      <c r="AH46" s="125"/>
      <c r="AI46" s="125"/>
      <c r="AJ46" s="5"/>
      <c r="AK46" s="125"/>
      <c r="AL46" s="125"/>
    </row>
    <row r="47" ht="24.75" customHeight="1">
      <c r="L47" s="116">
        <v>9.0</v>
      </c>
      <c r="M47" s="48"/>
      <c r="N47" s="48" t="str">
        <f t="shared" si="56"/>
        <v/>
      </c>
      <c r="O47" s="48" t="str">
        <f t="shared" ref="O47:V47" si="65">IF(OR(O83="",O83=0),"",O83*(1-$K$8))</f>
        <v/>
      </c>
      <c r="P47" s="48" t="str">
        <f t="shared" si="65"/>
        <v/>
      </c>
      <c r="Q47" s="48" t="str">
        <f t="shared" si="65"/>
        <v/>
      </c>
      <c r="R47" s="48" t="str">
        <f t="shared" si="65"/>
        <v/>
      </c>
      <c r="S47" s="48" t="str">
        <f t="shared" si="65"/>
        <v/>
      </c>
      <c r="T47" s="48" t="str">
        <f t="shared" si="65"/>
        <v/>
      </c>
      <c r="U47" s="48" t="str">
        <f t="shared" si="65"/>
        <v/>
      </c>
      <c r="V47" s="48" t="str">
        <f t="shared" si="65"/>
        <v/>
      </c>
      <c r="W47" s="48" t="str">
        <f>IFERROR(__xludf.DUMMYFUNCTION("IFERROR(IF($I14="""","""",IF(VLOOKUP(LEFT(W$37,SEARCH(""☃"",SUBSTITUTE(W$37,"" "",""☃"",LEN(W$37)-LEN(SUBSTITUTE(W$37,"" "",""""))))-1),Excepciones!$A:$B,2,0)&gt;=0,IFERROR((INDEX(filter(Precios!$D:$D,(Precios!$A:$A&lt;=$I14)*(Precios!$B:$B&gt;=$I14)*(Precios!$C:$"&amp;"C=W$37)),1)*(1-$K$6)+VLOOKUP(COUNT($I$6:$I$13),Precios!$F:$G,2,0)),""No asegurable""),""No asegurable"")),"""")"),"")</f>
        <v/>
      </c>
      <c r="X47" s="119" t="str">
        <f t="shared" si="58"/>
        <v/>
      </c>
      <c r="Y47" s="48" t="str">
        <f>IFERROR(__xludf.DUMMYFUNCTION("IFERROR(IF($I14="""","""",IF(VLOOKUP(LEFT(Y$37,SEARCH(""☃"",SUBSTITUTE(Y$37,"" "",""☃"",LEN(Y$37)-LEN(SUBSTITUTE(Y$37,"" "",""""))))-1),Excepciones!$A:$B,2,0)&gt;=0,IFERROR(INDEX(filter(Precios!$D:$D,(Precios!$A:$A&lt;=$I14)*(Precios!$B:$B&gt;=$I14)*(Precios!$C:$C"&amp;"=Y$37)),1)*(1-$K$6),""No asegurable""),""No asegurable"")),"""")"),"")</f>
        <v/>
      </c>
      <c r="Z47" s="117"/>
      <c r="AA47" s="117"/>
      <c r="AB47" s="117"/>
      <c r="AC47" s="118"/>
      <c r="AD47" s="5"/>
      <c r="AE47" s="5"/>
      <c r="AF47" s="5"/>
      <c r="AG47" s="5"/>
      <c r="AH47" s="125"/>
      <c r="AI47" s="125"/>
      <c r="AJ47" s="5"/>
      <c r="AK47" s="125"/>
      <c r="AL47" s="125"/>
    </row>
    <row r="48" ht="24.75" customHeight="1">
      <c r="L48" s="116">
        <v>10.0</v>
      </c>
      <c r="M48" s="48"/>
      <c r="N48" s="48" t="str">
        <f t="shared" si="56"/>
        <v/>
      </c>
      <c r="O48" s="48" t="str">
        <f t="shared" ref="O48:V48" si="66">IF(OR(O84="",O84=0),"",O84*(1-$K$8))</f>
        <v/>
      </c>
      <c r="P48" s="48" t="str">
        <f t="shared" si="66"/>
        <v/>
      </c>
      <c r="Q48" s="48" t="str">
        <f t="shared" si="66"/>
        <v/>
      </c>
      <c r="R48" s="48" t="str">
        <f t="shared" si="66"/>
        <v/>
      </c>
      <c r="S48" s="48" t="str">
        <f t="shared" si="66"/>
        <v/>
      </c>
      <c r="T48" s="48" t="str">
        <f t="shared" si="66"/>
        <v/>
      </c>
      <c r="U48" s="48" t="str">
        <f t="shared" si="66"/>
        <v/>
      </c>
      <c r="V48" s="48" t="str">
        <f t="shared" si="66"/>
        <v/>
      </c>
      <c r="W48" s="48" t="str">
        <f>IFERROR(__xludf.DUMMYFUNCTION("IFERROR(IF($I15="""","""",IF(VLOOKUP(LEFT(W$37,SEARCH(""☃"",SUBSTITUTE(W$37,"" "",""☃"",LEN(W$37)-LEN(SUBSTITUTE(W$37,"" "",""""))))-1),Excepciones!$A:$B,2,0)&gt;=0,IFERROR((INDEX(filter(Precios!$D:$D,(Precios!$A:$A&lt;=$I15)*(Precios!$B:$B&gt;=$I15)*(Precios!$C:$"&amp;"C=W$37)),1)*(1-$K$6)+VLOOKUP(COUNT($I$6:$I$13),Precios!$F:$G,2,0)),""No asegurable""),""No asegurable"")),"""")"),"")</f>
        <v/>
      </c>
      <c r="X48" s="119" t="str">
        <f t="shared" si="58"/>
        <v/>
      </c>
      <c r="Y48" s="48" t="str">
        <f>IFERROR(__xludf.DUMMYFUNCTION("IFERROR(IF($I15="""","""",IF(VLOOKUP(LEFT(Y$37,SEARCH(""☃"",SUBSTITUTE(Y$37,"" "",""☃"",LEN(Y$37)-LEN(SUBSTITUTE(Y$37,"" "",""""))))-1),Excepciones!$A:$B,2,0)&gt;=0,IFERROR(INDEX(filter(Precios!$D:$D,(Precios!$A:$A&lt;=$I15)*(Precios!$B:$B&gt;=$I15)*(Precios!$C:$C"&amp;"=Y$37)),1)*(1-$K$6),""No asegurable""),""No asegurable"")),"""")"),"")</f>
        <v/>
      </c>
      <c r="Z48" s="117"/>
      <c r="AA48" s="117"/>
      <c r="AB48" s="117"/>
      <c r="AC48" s="118"/>
      <c r="AD48" s="5"/>
      <c r="AE48" s="5"/>
      <c r="AF48" s="5"/>
      <c r="AG48" s="5"/>
      <c r="AH48" s="125"/>
      <c r="AI48" s="125"/>
      <c r="AJ48" s="5"/>
      <c r="AK48" s="125"/>
      <c r="AL48" s="125"/>
    </row>
    <row r="49" ht="24.75" customHeight="1">
      <c r="L49" s="116">
        <v>11.0</v>
      </c>
      <c r="M49" s="48"/>
      <c r="N49" s="48" t="str">
        <f t="shared" si="56"/>
        <v/>
      </c>
      <c r="O49" s="48" t="str">
        <f t="shared" ref="O49:V49" si="67">IF(OR(O85="",O85=0),"",O85*(1-$K$8))</f>
        <v/>
      </c>
      <c r="P49" s="48" t="str">
        <f t="shared" si="67"/>
        <v/>
      </c>
      <c r="Q49" s="48" t="str">
        <f t="shared" si="67"/>
        <v/>
      </c>
      <c r="R49" s="48" t="str">
        <f t="shared" si="67"/>
        <v/>
      </c>
      <c r="S49" s="48" t="str">
        <f t="shared" si="67"/>
        <v/>
      </c>
      <c r="T49" s="48" t="str">
        <f t="shared" si="67"/>
        <v/>
      </c>
      <c r="U49" s="48" t="str">
        <f t="shared" si="67"/>
        <v/>
      </c>
      <c r="V49" s="48" t="str">
        <f t="shared" si="67"/>
        <v/>
      </c>
      <c r="W49" s="48" t="str">
        <f>IFERROR(__xludf.DUMMYFUNCTION("IFERROR(IF($I16="""","""",IF(VLOOKUP(LEFT(W$37,SEARCH(""☃"",SUBSTITUTE(W$37,"" "",""☃"",LEN(W$37)-LEN(SUBSTITUTE(W$37,"" "",""""))))-1),Excepciones!$A:$B,2,0)&gt;=0,IFERROR((INDEX(filter(Precios!$D:$D,(Precios!$A:$A&lt;=$I16)*(Precios!$B:$B&gt;=$I16)*(Precios!$C:$"&amp;"C=W$37)),1)*(1-$K$6)+VLOOKUP(COUNT($I$6:$I$13),Precios!$F:$G,2,0)),""No asegurable""),""No asegurable"")),"""")"),"")</f>
        <v/>
      </c>
      <c r="X49" s="119" t="str">
        <f t="shared" si="58"/>
        <v/>
      </c>
      <c r="Y49" s="48" t="str">
        <f>IFERROR(__xludf.DUMMYFUNCTION("IFERROR(IF($I16="""","""",IF(VLOOKUP(LEFT(Y$37,SEARCH(""☃"",SUBSTITUTE(Y$37,"" "",""☃"",LEN(Y$37)-LEN(SUBSTITUTE(Y$37,"" "",""""))))-1),Excepciones!$A:$B,2,0)&gt;=0,IFERROR(INDEX(filter(Precios!$D:$D,(Precios!$A:$A&lt;=$I16)*(Precios!$B:$B&gt;=$I16)*(Precios!$C:$C"&amp;"=Y$37)),1)*(1-$K$6),""No asegurable""),""No asegurable"")),"""")"),"")</f>
        <v/>
      </c>
      <c r="Z49" s="117"/>
      <c r="AA49" s="117"/>
      <c r="AB49" s="117"/>
      <c r="AC49" s="118"/>
      <c r="AD49" s="5"/>
      <c r="AE49" s="5"/>
      <c r="AF49" s="5"/>
      <c r="AG49" s="5"/>
      <c r="AH49" s="125"/>
      <c r="AI49" s="125"/>
      <c r="AJ49" s="5"/>
      <c r="AK49" s="125"/>
      <c r="AL49" s="125"/>
    </row>
    <row r="50" ht="24.75" customHeight="1">
      <c r="L50" s="116">
        <v>12.0</v>
      </c>
      <c r="M50" s="48"/>
      <c r="N50" s="48" t="str">
        <f t="shared" si="56"/>
        <v/>
      </c>
      <c r="O50" s="48" t="str">
        <f t="shared" ref="O50:V50" si="68">IF(OR(O86="",O86=0),"",O86*(1-$K$8))</f>
        <v/>
      </c>
      <c r="P50" s="48" t="str">
        <f t="shared" si="68"/>
        <v/>
      </c>
      <c r="Q50" s="48" t="str">
        <f t="shared" si="68"/>
        <v/>
      </c>
      <c r="R50" s="48" t="str">
        <f t="shared" si="68"/>
        <v/>
      </c>
      <c r="S50" s="48" t="str">
        <f t="shared" si="68"/>
        <v/>
      </c>
      <c r="T50" s="48" t="str">
        <f t="shared" si="68"/>
        <v/>
      </c>
      <c r="U50" s="48" t="str">
        <f t="shared" si="68"/>
        <v/>
      </c>
      <c r="V50" s="48" t="str">
        <f t="shared" si="68"/>
        <v/>
      </c>
      <c r="W50" s="48" t="str">
        <f>IFERROR(__xludf.DUMMYFUNCTION("IFERROR(IF($I17="""","""",IF(VLOOKUP(LEFT(W$37,SEARCH(""☃"",SUBSTITUTE(W$37,"" "",""☃"",LEN(W$37)-LEN(SUBSTITUTE(W$37,"" "",""""))))-1),Excepciones!$A:$B,2,0)&gt;=0,IFERROR((INDEX(filter(Precios!$D:$D,(Precios!$A:$A&lt;=$I17)*(Precios!$B:$B&gt;=$I17)*(Precios!$C:$"&amp;"C=W$37)),1)*(1-$K$6)+VLOOKUP(COUNT($I$6:$I$13),Precios!$F:$G,2,0)),""No asegurable""),""No asegurable"")),"""")"),"")</f>
        <v/>
      </c>
      <c r="X50" s="119" t="str">
        <f t="shared" si="58"/>
        <v/>
      </c>
      <c r="Y50" s="48" t="str">
        <f>IFERROR(__xludf.DUMMYFUNCTION("IFERROR(IF($I17="""","""",IF(VLOOKUP(LEFT(Y$37,SEARCH(""☃"",SUBSTITUTE(Y$37,"" "",""☃"",LEN(Y$37)-LEN(SUBSTITUTE(Y$37,"" "",""""))))-1),Excepciones!$A:$B,2,0)&gt;=0,IFERROR(INDEX(filter(Precios!$D:$D,(Precios!$A:$A&lt;=$I17)*(Precios!$B:$B&gt;=$I17)*(Precios!$C:$C"&amp;"=Y$37)),1)*(1-$K$6),""No asegurable""),""No asegurable"")),"""")"),"")</f>
        <v/>
      </c>
      <c r="Z50" s="117"/>
      <c r="AA50" s="117"/>
      <c r="AB50" s="117"/>
      <c r="AC50" s="118"/>
      <c r="AD50" s="5"/>
      <c r="AE50" s="5"/>
      <c r="AF50" s="5"/>
      <c r="AG50" s="5"/>
      <c r="AH50" s="125"/>
      <c r="AI50" s="125"/>
      <c r="AJ50" s="5"/>
      <c r="AK50" s="125"/>
      <c r="AL50" s="125"/>
    </row>
    <row r="51" ht="24.75" customHeight="1">
      <c r="L51" s="116">
        <v>13.0</v>
      </c>
      <c r="M51" s="48"/>
      <c r="N51" s="48" t="str">
        <f t="shared" si="56"/>
        <v/>
      </c>
      <c r="O51" s="48" t="str">
        <f t="shared" ref="O51:V51" si="69">IF(OR(O87="",O87=0),"",O87*(1-$K$8))</f>
        <v/>
      </c>
      <c r="P51" s="48" t="str">
        <f t="shared" si="69"/>
        <v/>
      </c>
      <c r="Q51" s="48" t="str">
        <f t="shared" si="69"/>
        <v/>
      </c>
      <c r="R51" s="48" t="str">
        <f t="shared" si="69"/>
        <v/>
      </c>
      <c r="S51" s="48" t="str">
        <f t="shared" si="69"/>
        <v/>
      </c>
      <c r="T51" s="48" t="str">
        <f t="shared" si="69"/>
        <v/>
      </c>
      <c r="U51" s="48" t="str">
        <f t="shared" si="69"/>
        <v/>
      </c>
      <c r="V51" s="48" t="str">
        <f t="shared" si="69"/>
        <v/>
      </c>
      <c r="W51" s="48" t="str">
        <f>IFERROR(__xludf.DUMMYFUNCTION("IFERROR(IF($I18="""","""",IF(VLOOKUP(LEFT(W$37,SEARCH(""☃"",SUBSTITUTE(W$37,"" "",""☃"",LEN(W$37)-LEN(SUBSTITUTE(W$37,"" "",""""))))-1),Excepciones!$A:$B,2,0)&gt;=0,IFERROR((INDEX(filter(Precios!$D:$D,(Precios!$A:$A&lt;=$I18)*(Precios!$B:$B&gt;=$I18)*(Precios!$C:$"&amp;"C=W$37)),1)*(1-$K$6)+VLOOKUP(COUNT($I$6:$I$13),Precios!$F:$G,2,0)),""No asegurable""),""No asegurable"")),"""")"),"")</f>
        <v/>
      </c>
      <c r="X51" s="119" t="str">
        <f t="shared" si="58"/>
        <v/>
      </c>
      <c r="Y51" s="48" t="str">
        <f>IFERROR(__xludf.DUMMYFUNCTION("IFERROR(IF($I18="""","""",IF(VLOOKUP(LEFT(Y$37,SEARCH(""☃"",SUBSTITUTE(Y$37,"" "",""☃"",LEN(Y$37)-LEN(SUBSTITUTE(Y$37,"" "",""""))))-1),Excepciones!$A:$B,2,0)&gt;=0,IFERROR(INDEX(filter(Precios!$D:$D,(Precios!$A:$A&lt;=$I18)*(Precios!$B:$B&gt;=$I18)*(Precios!$C:$C"&amp;"=Y$37)),1)*(1-$K$6),""No asegurable""),""No asegurable"")),"""")"),"")</f>
        <v/>
      </c>
      <c r="Z51" s="117"/>
      <c r="AA51" s="117"/>
      <c r="AB51" s="117"/>
      <c r="AC51" s="118"/>
      <c r="AD51" s="5"/>
      <c r="AE51" s="5"/>
      <c r="AF51" s="5"/>
      <c r="AG51" s="5"/>
      <c r="AH51" s="125"/>
      <c r="AI51" s="125"/>
      <c r="AJ51" s="5"/>
      <c r="AK51" s="125"/>
      <c r="AL51" s="125"/>
    </row>
    <row r="52" ht="24.75" customHeight="1">
      <c r="L52" s="116">
        <v>14.0</v>
      </c>
      <c r="M52" s="48"/>
      <c r="N52" s="48" t="str">
        <f t="shared" si="56"/>
        <v/>
      </c>
      <c r="O52" s="48" t="str">
        <f t="shared" ref="O52:V52" si="70">IF(OR(O88="",O88=0),"",O88*(1-$K$8))</f>
        <v/>
      </c>
      <c r="P52" s="48" t="str">
        <f t="shared" si="70"/>
        <v/>
      </c>
      <c r="Q52" s="48" t="str">
        <f t="shared" si="70"/>
        <v/>
      </c>
      <c r="R52" s="48" t="str">
        <f t="shared" si="70"/>
        <v/>
      </c>
      <c r="S52" s="48" t="str">
        <f t="shared" si="70"/>
        <v/>
      </c>
      <c r="T52" s="48" t="str">
        <f t="shared" si="70"/>
        <v/>
      </c>
      <c r="U52" s="48" t="str">
        <f t="shared" si="70"/>
        <v/>
      </c>
      <c r="V52" s="48" t="str">
        <f t="shared" si="70"/>
        <v/>
      </c>
      <c r="W52" s="48" t="str">
        <f>IFERROR(__xludf.DUMMYFUNCTION("IFERROR(IF($I19="""","""",IF(VLOOKUP(LEFT(W$37,SEARCH(""☃"",SUBSTITUTE(W$37,"" "",""☃"",LEN(W$37)-LEN(SUBSTITUTE(W$37,"" "",""""))))-1),Excepciones!$A:$B,2,0)&gt;=0,IFERROR((INDEX(filter(Precios!$D:$D,(Precios!$A:$A&lt;=$I19)*(Precios!$B:$B&gt;=$I19)*(Precios!$C:$"&amp;"C=W$37)),1)*(1-$K$6)+VLOOKUP(COUNT($I$6:$I$13),Precios!$F:$G,2,0)),""No asegurable""),""No asegurable"")),"""")"),"")</f>
        <v/>
      </c>
      <c r="X52" s="119" t="str">
        <f t="shared" si="58"/>
        <v/>
      </c>
      <c r="Y52" s="48" t="str">
        <f>IFERROR(__xludf.DUMMYFUNCTION("IFERROR(IF($I19="""","""",IF(VLOOKUP(LEFT(Y$37,SEARCH(""☃"",SUBSTITUTE(Y$37,"" "",""☃"",LEN(Y$37)-LEN(SUBSTITUTE(Y$37,"" "",""""))))-1),Excepciones!$A:$B,2,0)&gt;=0,IFERROR(INDEX(filter(Precios!$D:$D,(Precios!$A:$A&lt;=$I19)*(Precios!$B:$B&gt;=$I19)*(Precios!$C:$C"&amp;"=Y$37)),1)*(1-$K$6),""No asegurable""),""No asegurable"")),"""")"),"")</f>
        <v/>
      </c>
      <c r="Z52" s="117"/>
      <c r="AA52" s="117"/>
      <c r="AB52" s="117"/>
      <c r="AC52" s="118"/>
      <c r="AD52" s="5"/>
      <c r="AE52" s="5"/>
      <c r="AF52" s="5"/>
      <c r="AG52" s="5"/>
      <c r="AH52" s="125"/>
      <c r="AI52" s="125"/>
      <c r="AJ52" s="5"/>
      <c r="AK52" s="125"/>
      <c r="AL52" s="125"/>
    </row>
    <row r="53" ht="24.75" customHeight="1">
      <c r="L53" s="126">
        <v>15.0</v>
      </c>
      <c r="M53" s="128"/>
      <c r="N53" s="128" t="str">
        <f t="shared" si="56"/>
        <v/>
      </c>
      <c r="O53" s="128" t="str">
        <f t="shared" ref="O53:V53" si="71">IF(OR(O89="",O89=0),"",O89*(1-$K$8))</f>
        <v/>
      </c>
      <c r="P53" s="128" t="str">
        <f t="shared" si="71"/>
        <v/>
      </c>
      <c r="Q53" s="128" t="str">
        <f t="shared" si="71"/>
        <v/>
      </c>
      <c r="R53" s="128" t="str">
        <f t="shared" si="71"/>
        <v/>
      </c>
      <c r="S53" s="128" t="str">
        <f t="shared" si="71"/>
        <v/>
      </c>
      <c r="T53" s="128" t="str">
        <f t="shared" si="71"/>
        <v/>
      </c>
      <c r="U53" s="128" t="str">
        <f t="shared" si="71"/>
        <v/>
      </c>
      <c r="V53" s="128" t="str">
        <f t="shared" si="71"/>
        <v/>
      </c>
      <c r="W53" s="128" t="str">
        <f>IFERROR(__xludf.DUMMYFUNCTION("IFERROR(IF($I20="""","""",IF(VLOOKUP(LEFT(W$37,SEARCH(""☃"",SUBSTITUTE(W$37,"" "",""☃"",LEN(W$37)-LEN(SUBSTITUTE(W$37,"" "",""""))))-1),Excepciones!$A:$B,2,0)&gt;=0,IFERROR((INDEX(filter(Precios!$D:$D,(Precios!$A:$A&lt;=$I20)*(Precios!$B:$B&gt;=$I20)*(Precios!$C:$"&amp;"C=W$37)),1)*(1-$K$6)+VLOOKUP(COUNT($I$6:$I$13),Precios!$F:$G,2,0)),""No asegurable""),""No asegurable"")),"""")"),"")</f>
        <v/>
      </c>
      <c r="X53" s="131" t="str">
        <f t="shared" si="58"/>
        <v/>
      </c>
      <c r="Y53" s="128" t="str">
        <f>IFERROR(__xludf.DUMMYFUNCTION("IFERROR(IF($I20="""","""",IF(VLOOKUP(LEFT(Y$37,SEARCH(""☃"",SUBSTITUTE(Y$37,"" "",""☃"",LEN(Y$37)-LEN(SUBSTITUTE(Y$37,"" "",""""))))-1),Excepciones!$A:$B,2,0)&gt;=0,IFERROR(INDEX(filter(Precios!$D:$D,(Precios!$A:$A&lt;=$I20)*(Precios!$B:$B&gt;=$I20)*(Precios!$C:$C"&amp;"=Y$37)),1)*(1-$K$6),""No asegurable""),""No asegurable"")),"""")"),"")</f>
        <v/>
      </c>
      <c r="Z53" s="129"/>
      <c r="AA53" s="129"/>
      <c r="AB53" s="129"/>
      <c r="AC53" s="130"/>
      <c r="AD53" s="5"/>
      <c r="AE53" s="5"/>
      <c r="AF53" s="5"/>
      <c r="AG53" s="5"/>
      <c r="AH53" s="125"/>
      <c r="AI53" s="125"/>
      <c r="AJ53" s="5"/>
      <c r="AK53" s="125"/>
      <c r="AL53" s="125"/>
    </row>
    <row r="54" ht="28.5" customHeight="1"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125"/>
      <c r="AI54" s="125"/>
      <c r="AJ54" s="5"/>
      <c r="AK54" s="125"/>
      <c r="AL54" s="125"/>
    </row>
    <row r="55" ht="26.25" customHeight="1">
      <c r="L55" s="104" t="s">
        <v>48</v>
      </c>
      <c r="M55" s="105"/>
      <c r="N55" s="106" t="str">
        <f>"Go"&amp;" "&amp;$K$3</f>
        <v>Go 2</v>
      </c>
      <c r="O55" s="106" t="str">
        <f>"Plena Vital"&amp;" "&amp;$K$3</f>
        <v>Plena Vital 2</v>
      </c>
      <c r="P55" s="106" t="str">
        <f>"Plena Total vital"&amp;" "&amp;$K$3</f>
        <v>Plena Total vital 2</v>
      </c>
      <c r="Q55" s="106" t="str">
        <f>"Plena"&amp;" "&amp;$K$3</f>
        <v>Plena 2</v>
      </c>
      <c r="R55" s="106" t="str">
        <f>"Plena Plus"&amp;" "&amp;$K$3</f>
        <v>Plena Plus 2</v>
      </c>
      <c r="S55" s="106" t="str">
        <f>"Plena Total"&amp;" "&amp;$K$3</f>
        <v>Plena Total 2</v>
      </c>
      <c r="T55" s="106" t="str">
        <f>"Plena Extra 150"&amp;" "&amp;$K$3</f>
        <v>Plena Extra 150 2</v>
      </c>
      <c r="U55" s="106" t="str">
        <f>"Seniors"&amp;" "&amp;$K$3</f>
        <v>Seniors 2</v>
      </c>
      <c r="V55" s="106" t="str">
        <f>"Seniors total"&amp;" "&amp;$K$3</f>
        <v>Seniors total 2</v>
      </c>
      <c r="W55" s="106" t="str">
        <f>"Negocios NIF"&amp;" "&amp;$K$3</f>
        <v>Negocios NIF 2</v>
      </c>
      <c r="X55" s="107" t="str">
        <f>"Pymes TOTAL"&amp;" "&amp;$K$3</f>
        <v>Pymes TOTAL 2</v>
      </c>
      <c r="Y55" s="106" t="str">
        <f>IF(OR(COUNT(I36:I42)=1,COUNT(I36:I42)=2),"Extra Negocios NIF"&amp;" "&amp;$K$3&amp;" "&amp;COUNT(I36:I42),"Extra Negocios NIF"&amp;" "&amp;$K$3)</f>
        <v>Extra Negocios NIF 2</v>
      </c>
      <c r="Z55" s="106" t="str">
        <f>"Negocios CIF"&amp;" "&amp;$K$3</f>
        <v>Negocios CIF 2</v>
      </c>
      <c r="AA55" s="106" t="str">
        <f>"Extra Negocios CIF"&amp;" "&amp;$K$3</f>
        <v>Extra Negocios CIF 2</v>
      </c>
      <c r="AB55" s="106" t="str">
        <f>"Empresas"&amp;" "&amp;$K$3</f>
        <v>Empresas 2</v>
      </c>
      <c r="AC55" s="107" t="str">
        <f>"Extra Empresas"&amp;" "&amp;$K$3</f>
        <v>Extra Empresas 2</v>
      </c>
      <c r="AD55" s="5"/>
      <c r="AE55" s="5"/>
      <c r="AF55" s="5"/>
      <c r="AG55" s="5"/>
      <c r="AH55" s="125"/>
      <c r="AI55" s="125"/>
      <c r="AJ55" s="5"/>
      <c r="AK55" s="125"/>
      <c r="AL55" s="125"/>
    </row>
    <row r="56" ht="26.25" customHeight="1">
      <c r="L56" s="110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7"/>
      <c r="Y56" s="33"/>
      <c r="Z56" s="33"/>
      <c r="AA56" s="33"/>
      <c r="AB56" s="33"/>
      <c r="AC56" s="37"/>
      <c r="AD56" s="5"/>
      <c r="AE56" s="5"/>
      <c r="AF56" s="5"/>
      <c r="AG56" s="5"/>
      <c r="AH56" s="125"/>
      <c r="AI56" s="125"/>
      <c r="AJ56" s="5"/>
      <c r="AK56" s="125"/>
      <c r="AL56" s="125"/>
    </row>
    <row r="57" ht="26.25" customHeight="1">
      <c r="L57" s="111">
        <v>1.0</v>
      </c>
      <c r="M57" s="112"/>
      <c r="N57" s="112">
        <f>IFERROR(__xludf.DUMMYFUNCTION("IFERROR(IF($I6="""","""",IF($K$8&gt;0,"""",IF(COUNT($I$6:$I$13)&gt;1,0.9,1)*IF(VLOOKUP(LEFT(N$37,SEARCH(""☃"",SUBSTITUTE(N$37,"" "",""☃"",LEN(N$37)-LEN(SUBSTITUTE(N$37,"" "",""""))))-1),Excepciones!$A:$B,2,0)&gt;=0,IFERROR(INDEX(FILTER(Precios!$D:$D,(Precios!$A:$A"&amp;"&lt;=$I6)*(Precios!$B:$B&gt;=$I6)*(Precios!$C:$C=N$37)),1)*(1-$K$6),""No asegurable""),""No asegurable""))),"""")
"),19.35)</f>
        <v>19.35</v>
      </c>
      <c r="O57" s="112">
        <f>IFERROR(__xludf.DUMMYFUNCTION("IFERROR(IF(IF(COUNT($I$6:$I$13)&gt;3,0.9,1)*IF(VLOOKUP(LEFT(O$37,SEARCH(""☃"",SUBSTITUTE(O$37,"" "",""☃"",LEN(O$37)-LEN(SUBSTITUTE(O$37,"" "",""""))))-1),Excepciones!$A:$B,2,0)&gt;=0,IFERROR(INDEX(FILTER(Precios!$D:$D,(Precios!$A:$A&lt;=$I6)*(Precios!$B:$B&gt;=$I6)*("&amp;"Precios!$C:$C=O$37)),1)*(IF($K$10=""Sí"",0.94,1)),""""),"""")=0,"""",IF(COUNT($I$6:$I$13)&gt;3,0.9,1)*IF(VLOOKUP(LEFT(O$37,SEARCH(""☃"",SUBSTITUTE(O$37,"" "",""☃"",LEN(O$37)-LEN(SUBSTITUTE(O$37,"" "",""""))))-1),Excepciones!$A:$B,2,0)&gt;=0,IFERROR(INDEX(FILTER"&amp;"(Precios!$D:$D,(Precios!$A:$A&lt;=$I6)*(Precios!$B:$B&gt;=$I6)*(Precios!$C:$C=O$37)),1)*(IF($K$10=""Sí"",0.94,1)),""""),"""")),"""")
"),45.45)</f>
        <v>45.45</v>
      </c>
      <c r="P57" s="133"/>
      <c r="Q57" s="112">
        <f>IFERROR(__xludf.DUMMYFUNCTION("IFERROR(IF(IF(COUNT($I$6:$I$13)&gt;3,0.9,1)*IF(VLOOKUP(LEFT(Q$37,SEARCH(""☃"",SUBSTITUTE(Q$37,"" "",""☃"",LEN(Q$37)-LEN(SUBSTITUTE(Q$37,"" "",""""))))-1),Excepciones!$A:$B,2,0)&gt;=0,IFERROR(INDEX(FILTER(Precios!$D:$D,(Precios!$A:$A&lt;=$I6)*(Precios!$B:$B&gt;=$I6)*("&amp;"Precios!$C:$C=Q$37)),1)*(IF($K$10=""Sí"",0.94,1)),""""),"""")=0,"""",IF(COUNT($I$6:$I$13)&gt;3,0.9,1)*IF(VLOOKUP(LEFT(Q$37,SEARCH(""☃"",SUBSTITUTE(Q$37,"" "",""☃"",LEN(Q$37)-LEN(SUBSTITUTE(Q$37,"" "",""""))))-1),Excepciones!$A:$B,2,0)&gt;=0,IFERROR(INDEX(FILTER"&amp;"(Precios!$D:$D,(Precios!$A:$A&lt;=$I6)*(Precios!$B:$B&gt;=$I6)*(Precios!$C:$C=Q$37)),1)*(IF($K$10=""Sí"",0.94,1)),""""),"""")),"""")
"),55.800000000000004)</f>
        <v>55.8</v>
      </c>
      <c r="R57" s="112">
        <f>IFERROR(__xludf.DUMMYFUNCTION("IFERROR(IF(IF(COUNT($I$6:$I$13)&gt;3,0.9,1)*IF(VLOOKUP(LEFT(R$37,SEARCH(""☃"",SUBSTITUTE(R$37,"" "",""☃"",LEN(R$37)-LEN(SUBSTITUTE(R$37,"" "",""""))))-1),Excepciones!$A:$B,2,0)&gt;=0,IFERROR(INDEX(FILTER(Precios!$D:$D,(Precios!$A:$A&lt;=$I6)*(Precios!$B:$B&gt;=$I6)*("&amp;"Precios!$C:$C=R$37)),1)*(IF($K$10=""Sí"",0.94,1)),""""),"""")=0,"""",IF(COUNT($I$6:$I$13)&gt;3,0.9,1)*IF(VLOOKUP(LEFT(R$37,SEARCH(""☃"",SUBSTITUTE(R$37,"" "",""☃"",LEN(R$37)-LEN(SUBSTITUTE(R$37,"" "",""""))))-1),Excepciones!$A:$B,2,0)&gt;=0,IFERROR(INDEX(FILTER"&amp;"(Precios!$D:$D,(Precios!$A:$A&lt;=$I6)*(Precios!$B:$B&gt;=$I6)*(Precios!$C:$C=R$37)),1)*(IF($K$10=""Sí"",0.94,1)),""""),"""")),"""")
"),67.5)</f>
        <v>67.5</v>
      </c>
      <c r="S57" s="133"/>
      <c r="T57" s="112">
        <f>IFERROR(__xludf.DUMMYFUNCTION("IFERROR(IF(IF(COUNT($I$6:$I$13)&gt;3,0.9,1)*IF(VLOOKUP(LEFT(T$37,SEARCH(""☃"",SUBSTITUTE(T$37,"" "",""☃"",LEN(T$37)-LEN(SUBSTITUTE(T$37,"" "",""""))))-1),Excepciones!$A:$B,2,0)&gt;=0,IFERROR(INDEX(FILTER(Precios!$D:$D,(Precios!$A:$A&lt;=$I6)*(Precios!$B:$B&gt;=$I6)*("&amp;"Precios!$C:$C=T$37)),1)*(IF($K$10=""Sí"",0.94,1)),""""),"""")=0,"""",IF(COUNT($I$6:$I$13)&gt;3,0.9,1)*IF(VLOOKUP(LEFT(T$37,SEARCH(""☃"",SUBSTITUTE(T$37,"" "",""☃"",LEN(T$37)-LEN(SUBSTITUTE(T$37,"" "",""""))))-1),Excepciones!$A:$B,2,0)&gt;=0,IFERROR(INDEX(FILTER"&amp;"(Precios!$D:$D,(Precios!$A:$A&lt;=$I6)*(Precios!$B:$B&gt;=$I6)*(Precios!$C:$C=T$37)),1)*(IF($K$10=""Sí"",0.94,1)),""""),"""")),"""")
"),99.0)</f>
        <v>99</v>
      </c>
      <c r="U57" s="112" t="str">
        <f>IFERROR(__xludf.DUMMYFUNCTION("IFERROR(IF(IF(COUNT($I$6:$I$13)&gt;=3,0.9,1)*IF(VLOOKUP(LEFT(U$37,SEARCH(""☃"",SUBSTITUTE(U$37,"" "",""☃"",LEN(U$37)-LEN(SUBSTITUTE(U$37,"" "",""""))))-1),Excepciones!$A:$B,2,0)&gt;=0,IFERROR(INDEX(FILTER(Precios!$D:$D,(Precios!$A:$A&lt;=$I6)*(Precios!$B:$B&gt;=$I6)*"&amp;"(Precios!$C:$C=U$37)),1)*(IF($K$10=""Sí"",0.94,1)),""""),"""")=0,"""",IF(COUNT($I$6:$I$13)&gt;=3,0.9,1)*IF(VLOOKUP(LEFT(U$37,SEARCH(""☃"",SUBSTITUTE(U$37,"" "",""☃"",LEN(U$37)-LEN(SUBSTITUTE(U$37,"" "",""""))))-1),Excepciones!$A:$B,2,0)&gt;=0,IFERROR(INDEX(FILT"&amp;"ER(Precios!$D:$D,(Precios!$A:$A&lt;=$I6)*(Precios!$B:$B&gt;=$I6)*(Precios!$C:$C=U$37)),1)*(IF($K$10=""Sí"",0.94,1)),""""),"""")),"""")
"),"")</f>
        <v/>
      </c>
      <c r="V57" s="112"/>
      <c r="W57" s="112">
        <f>IFERROR(__xludf.DUMMYFUNCTION("IFERROR(IF($I6="""","""",IF(VLOOKUP(LEFT(W$37,SEARCH(""☃"",SUBSTITUTE(W$37,"" "",""☃"",LEN(W$37)-LEN(SUBSTITUTE(W$37,"" "",""""))))-1),Excepciones!$A:$B,2,0)&gt;=0,IFERROR(INDEX(filter(Precios!$D:$D,(Precios!$A:$A&lt;=$I6)*(Precios!$B:$B&gt;=$I6)*(Precios!$C:$C=W$"&amp;"37)),1)*1,""""),"""")),"""")"),63.5)</f>
        <v>63.5</v>
      </c>
      <c r="X57" s="134"/>
      <c r="Y57" s="112" t="str">
        <f>IFERROR(__xludf.DUMMYFUNCTION("IFERROR(IF($I6="""","""",IF(VLOOKUP(LEFT(Y$37,SEARCH(""☃"",SUBSTITUTE(Y$37,"" "",""☃"",LEN(Y$37)-LEN(SUBSTITUTE(Y$37,"" "",""""))))-1),Excepciones!$A:$B,2,0)&gt;=0,IFERROR(INDEX(filter(Precios!$D:$D,(Precios!$A:$A&lt;=$I6)*(Precios!$B:$B&gt;=$I6)*(Precios!$C:$C=Y$"&amp;"37)),1)*1,""No asegurable""),""No asegurable"")),"""")"),"")</f>
        <v/>
      </c>
      <c r="Z57" s="112">
        <f>IFERROR(__xludf.DUMMYFUNCTION("IFERROR(IF($I6="""","""",IF(VLOOKUP(LEFT(Z$37,SEARCH(""☃"",SUBSTITUTE(Z$37,"" "",""☃"",LEN(Z$37)-LEN(SUBSTITUTE(Z$37,"" "",""""))))-1),Excepciones!$A:$B,2,0)&gt;=0,IFERROR(INDEX(filter(Precios!$D:$D,(Precios!$A:$A&lt;=$I6)*(Precios!$B:$B&gt;=$I6)*(Precios!$C:$C=Z$"&amp;"37)),1)*1,""No asegurable""),""No asegurable"")),"""")"),52.0)</f>
        <v>52</v>
      </c>
      <c r="AA57" s="112">
        <f>IFERROR(__xludf.DUMMYFUNCTION("IFERROR(IF($I6="""","""",IF(VLOOKUP(LEFT(AA$37,SEARCH(""☃"",SUBSTITUTE(AA$37,"" "",""☃"",LEN(AA$37)-LEN(SUBSTITUTE(AA$37,"" "",""""))))-1),Excepciones!$A:$B,2,0)&gt;=0,IFERROR(INDEX(filter(Precios!$D:$D,(Precios!$A:$A&lt;=$I6)*(Precios!$B:$B&gt;=$I6)*(Precios!$C:$"&amp;"C=AA$37)),1)*1,""No asegurable""),""No asegurable"")),"""")"),76.5)</f>
        <v>76.5</v>
      </c>
      <c r="AB57" s="112">
        <f>IFERROR(__xludf.DUMMYFUNCTION("IFERROR(IF($I6="""","""",IF(VLOOKUP(LEFT(AB$37,SEARCH(""☃"",SUBSTITUTE(AB$37,"" "",""☃"",LEN(AB$37)-LEN(SUBSTITUTE(AB$37,"" "",""""))))-1),Excepciones!$A:$B,2,0)&gt;=0,IFERROR(INDEX(filter(Precios!$D:$D,(Precios!$A:$A&lt;=$I6)*(Precios!$B:$B&gt;=$I6)*(Precios!$C:$"&amp;"C=AB$37)),1)*1,""No asegurable""),""No asegurable"")),"""")"),58.5)</f>
        <v>58.5</v>
      </c>
      <c r="AC57" s="135">
        <f>IFERROR(__xludf.DUMMYFUNCTION("IFERROR(IF($I6="""","""",IF(VLOOKUP(LEFT(AC$37,SEARCH(""☃"",SUBSTITUTE(AC$37,"" "",""☃"",LEN(AC$37)-LEN(SUBSTITUTE(AC$37,"" "",""""))))-1),Excepciones!$A:$B,2,0)&gt;=0,IFERROR(INDEX(filter(Precios!$D:$D,(Precios!$A:$A&lt;=$I6)*(Precios!$B:$B&gt;=$I6)*(Precios!$C:$"&amp;"C=AC$37)),1)*1,""No asegurable""),""No asegurable"")),"""")"),81.5)</f>
        <v>81.5</v>
      </c>
      <c r="AD57" s="5"/>
      <c r="AE57" s="5"/>
      <c r="AF57" s="5"/>
      <c r="AG57" s="5"/>
      <c r="AH57" s="125"/>
      <c r="AI57" s="125"/>
      <c r="AJ57" s="5"/>
      <c r="AK57" s="125"/>
      <c r="AL57" s="125"/>
    </row>
    <row r="58" ht="26.25" customHeight="1">
      <c r="L58" s="116">
        <v>2.0</v>
      </c>
      <c r="M58" s="48"/>
      <c r="N58" s="48">
        <f>IFERROR(__xludf.DUMMYFUNCTION("IFERROR(IF($I7="""","""",IF($K$8&gt;0,"""",IF(COUNT($I$6:$I$13)&gt;1,0.9,1)*IF(VLOOKUP(LEFT(N$37,SEARCH(""☃"",SUBSTITUTE(N$37,"" "",""☃"",LEN(N$37)-LEN(SUBSTITUTE(N$37,"" "",""""))))-1),Excepciones!$A:$B,2,0)&gt;=0,IFERROR(INDEX(FILTER(Precios!$D:$D,(Precios!$A:$A"&amp;"&lt;=$I7)*(Precios!$B:$B&gt;=$I7)*(Precios!$C:$C=N$37)),1)*(1-$K$6),""No asegurable""),""No asegurable""))),"""")
"),19.35)</f>
        <v>19.35</v>
      </c>
      <c r="O58" s="48">
        <f>IFERROR(__xludf.DUMMYFUNCTION("IFERROR(IF(IF(COUNT($I$6:$I$13)&gt;3,0.9,1)*IF(VLOOKUP(LEFT(O$37,SEARCH(""☃"",SUBSTITUTE(O$37,"" "",""☃"",LEN(O$37)-LEN(SUBSTITUTE(O$37,"" "",""""))))-1),Excepciones!$A:$B,2,0)&gt;=0,IFERROR(INDEX(FILTER(Precios!$D:$D,(Precios!$A:$A&lt;=$I7)*(Precios!$B:$B&gt;=$I7)*("&amp;"Precios!$C:$C=O$37)),1)*(IF($K$10=""Sí"",0.94,1)),""""),"""")=0,"""",IF(COUNT($I$6:$I$13)&gt;3,0.9,1)*IF(VLOOKUP(LEFT(O$37,SEARCH(""☃"",SUBSTITUTE(O$37,"" "",""☃"",LEN(O$37)-LEN(SUBSTITUTE(O$37,"" "",""""))))-1),Excepciones!$A:$B,2,0)&gt;=0,IFERROR(INDEX(FILTER"&amp;"(Precios!$D:$D,(Precios!$A:$A&lt;=$I7)*(Precios!$B:$B&gt;=$I7)*(Precios!$C:$C=O$37)),1)*(IF($K$10=""Sí"",0.94,1)),""""),"""")),"""")
"),45.45)</f>
        <v>45.45</v>
      </c>
      <c r="P58" s="136"/>
      <c r="Q58" s="48">
        <f>IFERROR(__xludf.DUMMYFUNCTION("IFERROR(IF(IF(COUNT($I$6:$I$13)&gt;3,0.9,1)*IF(VLOOKUP(LEFT(Q$37,SEARCH(""☃"",SUBSTITUTE(Q$37,"" "",""☃"",LEN(Q$37)-LEN(SUBSTITUTE(Q$37,"" "",""""))))-1),Excepciones!$A:$B,2,0)&gt;=0,IFERROR(INDEX(FILTER(Precios!$D:$D,(Precios!$A:$A&lt;=$I7)*(Precios!$B:$B&gt;=$I7)*("&amp;"Precios!$C:$C=Q$37)),1)*(IF($K$10=""Sí"",0.94,1)),""""),"""")=0,"""",IF(COUNT($I$6:$I$13)&gt;3,0.9,1)*IF(VLOOKUP(LEFT(Q$37,SEARCH(""☃"",SUBSTITUTE(Q$37,"" "",""☃"",LEN(Q$37)-LEN(SUBSTITUTE(Q$37,"" "",""""))))-1),Excepciones!$A:$B,2,0)&gt;=0,IFERROR(INDEX(FILTER"&amp;"(Precios!$D:$D,(Precios!$A:$A&lt;=$I7)*(Precios!$B:$B&gt;=$I7)*(Precios!$C:$C=Q$37)),1)*(IF($K$10=""Sí"",0.94,1)),""""),"""")),"""")
"),55.800000000000004)</f>
        <v>55.8</v>
      </c>
      <c r="R58" s="48">
        <f>IFERROR(__xludf.DUMMYFUNCTION("IFERROR(IF(IF(COUNT($I$6:$I$13)&gt;3,0.9,1)*IF(VLOOKUP(LEFT(R$37,SEARCH(""☃"",SUBSTITUTE(R$37,"" "",""☃"",LEN(R$37)-LEN(SUBSTITUTE(R$37,"" "",""""))))-1),Excepciones!$A:$B,2,0)&gt;=0,IFERROR(INDEX(FILTER(Precios!$D:$D,(Precios!$A:$A&lt;=$I7)*(Precios!$B:$B&gt;=$I7)*("&amp;"Precios!$C:$C=R$37)),1)*(IF($K$10=""Sí"",0.94,1)),""""),"""")=0,"""",IF(COUNT($I$6:$I$13)&gt;3,0.9,1)*IF(VLOOKUP(LEFT(R$37,SEARCH(""☃"",SUBSTITUTE(R$37,"" "",""☃"",LEN(R$37)-LEN(SUBSTITUTE(R$37,"" "",""""))))-1),Excepciones!$A:$B,2,0)&gt;=0,IFERROR(INDEX(FILTER"&amp;"(Precios!$D:$D,(Precios!$A:$A&lt;=$I7)*(Precios!$B:$B&gt;=$I7)*(Precios!$C:$C=R$37)),1)*(IF($K$10=""Sí"",0.94,1)),""""),"""")),"""")
"),67.5)</f>
        <v>67.5</v>
      </c>
      <c r="S58" s="136"/>
      <c r="T58" s="48">
        <f>IFERROR(__xludf.DUMMYFUNCTION("IFERROR(IF(IF(COUNT($I$6:$I$13)&gt;3,0.9,1)*IF(VLOOKUP(LEFT(T$37,SEARCH(""☃"",SUBSTITUTE(T$37,"" "",""☃"",LEN(T$37)-LEN(SUBSTITUTE(T$37,"" "",""""))))-1),Excepciones!$A:$B,2,0)&gt;=0,IFERROR(INDEX(FILTER(Precios!$D:$D,(Precios!$A:$A&lt;=$I7)*(Precios!$B:$B&gt;=$I7)*("&amp;"Precios!$C:$C=T$37)),1)*(IF($K$10=""Sí"",0.94,1)),""""),"""")=0,"""",IF(COUNT($I$6:$I$13)&gt;3,0.9,1)*IF(VLOOKUP(LEFT(T$37,SEARCH(""☃"",SUBSTITUTE(T$37,"" "",""☃"",LEN(T$37)-LEN(SUBSTITUTE(T$37,"" "",""""))))-1),Excepciones!$A:$B,2,0)&gt;=0,IFERROR(INDEX(FILTER"&amp;"(Precios!$D:$D,(Precios!$A:$A&lt;=$I7)*(Precios!$B:$B&gt;=$I7)*(Precios!$C:$C=T$37)),1)*(IF($K$10=""Sí"",0.94,1)),""""),"""")),"""")
"),99.0)</f>
        <v>99</v>
      </c>
      <c r="U58" s="48" t="str">
        <f>IFERROR(__xludf.DUMMYFUNCTION("IFERROR(IF(IF(COUNT($I$6:$I$13)&gt;=3,0.9,1)*IF(VLOOKUP(LEFT(U$37,SEARCH(""☃"",SUBSTITUTE(U$37,"" "",""☃"",LEN(U$37)-LEN(SUBSTITUTE(U$37,"" "",""""))))-1),Excepciones!$A:$B,2,0)&gt;=0,IFERROR(INDEX(FILTER(Precios!$D:$D,(Precios!$A:$A&lt;=$I7)*(Precios!$B:$B&gt;=$I7)*"&amp;"(Precios!$C:$C=U$37)),1)*(IF($K$10=""Sí"",0.94,1)),""""),"""")=0,"""",IF(COUNT($I$6:$I$13)&gt;=3,0.9,1)*IF(VLOOKUP(LEFT(U$37,SEARCH(""☃"",SUBSTITUTE(U$37,"" "",""☃"",LEN(U$37)-LEN(SUBSTITUTE(U$37,"" "",""""))))-1),Excepciones!$A:$B,2,0)&gt;=0,IFERROR(INDEX(FILT"&amp;"ER(Precios!$D:$D,(Precios!$A:$A&lt;=$I7)*(Precios!$B:$B&gt;=$I7)*(Precios!$C:$C=U$37)),1)*(IF($K$10=""Sí"",0.94,1)),""""),"""")),"""")
"),"")</f>
        <v/>
      </c>
      <c r="V58" s="48"/>
      <c r="W58" s="48">
        <f>IFERROR(__xludf.DUMMYFUNCTION("IFERROR(IF($I7="""","""",IF(VLOOKUP(LEFT(W$37,SEARCH(""☃"",SUBSTITUTE(W$37,"" "",""☃"",LEN(W$37)-LEN(SUBSTITUTE(W$37,"" "",""""))))-1),Excepciones!$A:$B,2,0)&gt;=0,IFERROR(INDEX(filter(Precios!$D:$D,(Precios!$A:$A&lt;=$I7)*(Precios!$B:$B&gt;=$I7)*(Precios!$C:$C=W$"&amp;"37)),1)*1,""""),"""")),"""")"),63.5)</f>
        <v>63.5</v>
      </c>
      <c r="X58" s="137"/>
      <c r="Y58" s="48" t="str">
        <f>IFERROR(__xludf.DUMMYFUNCTION("IFERROR(IF($I7="""","""",IF(VLOOKUP(LEFT(Y$37,SEARCH(""☃"",SUBSTITUTE(Y$37,"" "",""☃"",LEN(Y$37)-LEN(SUBSTITUTE(Y$37,"" "",""""))))-1),Excepciones!$A:$B,2,0)&gt;=0,IFERROR(INDEX(filter(Precios!$D:$D,(Precios!$A:$A&lt;=$I7)*(Precios!$B:$B&gt;=$I7)*(Precios!$C:$C=Y$"&amp;"37)),1)*1,""No asegurable""),""No asegurable"")),"""")"),"")</f>
        <v/>
      </c>
      <c r="Z58" s="48">
        <f>IFERROR(__xludf.DUMMYFUNCTION("IFERROR(IF($I7="""","""",IF(VLOOKUP(LEFT(Z$37,SEARCH(""☃"",SUBSTITUTE(Z$37,"" "",""☃"",LEN(Z$37)-LEN(SUBSTITUTE(Z$37,"" "",""""))))-1),Excepciones!$A:$B,2,0)&gt;=0,IFERROR(INDEX(filter(Precios!$D:$D,(Precios!$A:$A&lt;=$I7)*(Precios!$B:$B&gt;=$I7)*(Precios!$C:$C=Z$"&amp;"37)),1)*1,""No asegurable""),""No asegurable"")),"""")"),52.0)</f>
        <v>52</v>
      </c>
      <c r="AA58" s="48">
        <f>IFERROR(__xludf.DUMMYFUNCTION("IFERROR(IF($I7="""","""",IF(VLOOKUP(LEFT(AA$37,SEARCH(""☃"",SUBSTITUTE(AA$37,"" "",""☃"",LEN(AA$37)-LEN(SUBSTITUTE(AA$37,"" "",""""))))-1),Excepciones!$A:$B,2,0)&gt;=0,IFERROR(INDEX(filter(Precios!$D:$D,(Precios!$A:$A&lt;=$I7)*(Precios!$B:$B&gt;=$I7)*(Precios!$C:$"&amp;"C=AA$37)),1)*1,""No asegurable""),""No asegurable"")),"""")"),76.5)</f>
        <v>76.5</v>
      </c>
      <c r="AB58" s="48">
        <f>IFERROR(__xludf.DUMMYFUNCTION("IFERROR(IF($I7="""","""",IF(VLOOKUP(LEFT(AB$37,SEARCH(""☃"",SUBSTITUTE(AB$37,"" "",""☃"",LEN(AB$37)-LEN(SUBSTITUTE(AB$37,"" "",""""))))-1),Excepciones!$A:$B,2,0)&gt;=0,IFERROR(INDEX(filter(Precios!$D:$D,(Precios!$A:$A&lt;=$I7)*(Precios!$B:$B&gt;=$I7)*(Precios!$C:$"&amp;"C=AB$37)),1)*1,""No asegurable""),""No asegurable"")),"""")"),58.5)</f>
        <v>58.5</v>
      </c>
      <c r="AC58" s="138">
        <f>IFERROR(__xludf.DUMMYFUNCTION("IFERROR(IF($I7="""","""",IF(VLOOKUP(LEFT(AC$37,SEARCH(""☃"",SUBSTITUTE(AC$37,"" "",""☃"",LEN(AC$37)-LEN(SUBSTITUTE(AC$37,"" "",""""))))-1),Excepciones!$A:$B,2,0)&gt;=0,IFERROR(INDEX(filter(Precios!$D:$D,(Precios!$A:$A&lt;=$I7)*(Precios!$B:$B&gt;=$I7)*(Precios!$C:$"&amp;"C=AC$37)),1)*1,""No asegurable""),""No asegurable"")),"""")"),81.5)</f>
        <v>81.5</v>
      </c>
      <c r="AD58" s="5"/>
      <c r="AE58" s="5"/>
      <c r="AF58" s="5"/>
      <c r="AG58" s="5"/>
      <c r="AH58" s="125"/>
      <c r="AI58" s="125"/>
      <c r="AJ58" s="5"/>
      <c r="AK58" s="125"/>
      <c r="AL58" s="125"/>
    </row>
    <row r="59" ht="26.25" customHeight="1">
      <c r="L59" s="116">
        <v>3.0</v>
      </c>
      <c r="M59" s="48"/>
      <c r="N59" s="48">
        <f>IFERROR(__xludf.DUMMYFUNCTION("IFERROR(IF($I8="""","""",IF($K$8&gt;0,"""",IF(COUNT($I$6:$I$13)&gt;1,0.9,1)*IF(VLOOKUP(LEFT(N$37,SEARCH(""☃"",SUBSTITUTE(N$37,"" "",""☃"",LEN(N$37)-LEN(SUBSTITUTE(N$37,"" "",""""))))-1),Excepciones!$A:$B,2,0)&gt;=0,IFERROR(INDEX(FILTER(Precios!$D:$D,(Precios!$A:$A"&amp;"&lt;=$I8)*(Precios!$B:$B&gt;=$I8)*(Precios!$C:$C=N$37)),1)*(1-$K$6),""No asegurable""),""No asegurable""))),"""")
"),35.1)</f>
        <v>35.1</v>
      </c>
      <c r="O59" s="48">
        <f>IFERROR(__xludf.DUMMYFUNCTION("IFERROR(IF(IF(COUNT($I$6:$I$13)&gt;3,0.9,1)*IF(VLOOKUP(LEFT(O$37,SEARCH(""☃"",SUBSTITUTE(O$37,"" "",""☃"",LEN(O$37)-LEN(SUBSTITUTE(O$37,"" "",""""))))-1),Excepciones!$A:$B,2,0)&gt;=0,IFERROR(INDEX(FILTER(Precios!$D:$D,(Precios!$A:$A&lt;=$I8)*(Precios!$B:$B&gt;=$I8)*("&amp;"Precios!$C:$C=O$37)),1)*(IF($K$10=""Sí"",0.94,1)),""""),"""")=0,"""",IF(COUNT($I$6:$I$13)&gt;3,0.9,1)*IF(VLOOKUP(LEFT(O$37,SEARCH(""☃"",SUBSTITUTE(O$37,"" "",""☃"",LEN(O$37)-LEN(SUBSTITUTE(O$37,"" "",""""))))-1),Excepciones!$A:$B,2,0)&gt;=0,IFERROR(INDEX(FILTER"&amp;"(Precios!$D:$D,(Precios!$A:$A&lt;=$I8)*(Precios!$B:$B&gt;=$I8)*(Precios!$C:$C=O$37)),1)*(IF($K$10=""Sí"",0.94,1)),""""),"""")),"""")
"),85.5)</f>
        <v>85.5</v>
      </c>
      <c r="P59" s="136"/>
      <c r="Q59" s="48">
        <f>IFERROR(__xludf.DUMMYFUNCTION("IFERROR(IF(IF(COUNT($I$6:$I$13)&gt;3,0.9,1)*IF(VLOOKUP(LEFT(Q$37,SEARCH(""☃"",SUBSTITUTE(Q$37,"" "",""☃"",LEN(Q$37)-LEN(SUBSTITUTE(Q$37,"" "",""""))))-1),Excepciones!$A:$B,2,0)&gt;=0,IFERROR(INDEX(FILTER(Precios!$D:$D,(Precios!$A:$A&lt;=$I8)*(Precios!$B:$B&gt;=$I8)*("&amp;"Precios!$C:$C=Q$37)),1)*(IF($K$10=""Sí"",0.94,1)),""""),"""")=0,"""",IF(COUNT($I$6:$I$13)&gt;3,0.9,1)*IF(VLOOKUP(LEFT(Q$37,SEARCH(""☃"",SUBSTITUTE(Q$37,"" "",""☃"",LEN(Q$37)-LEN(SUBSTITUTE(Q$37,"" "",""""))))-1),Excepciones!$A:$B,2,0)&gt;=0,IFERROR(INDEX(FILTER"&amp;"(Precios!$D:$D,(Precios!$A:$A&lt;=$I8)*(Precios!$B:$B&gt;=$I8)*(Precios!$C:$C=Q$37)),1)*(IF($K$10=""Sí"",0.94,1)),""""),"""")),"""")
"),96.3)</f>
        <v>96.3</v>
      </c>
      <c r="R59" s="48">
        <f>IFERROR(__xludf.DUMMYFUNCTION("IFERROR(IF(IF(COUNT($I$6:$I$13)&gt;3,0.9,1)*IF(VLOOKUP(LEFT(R$37,SEARCH(""☃"",SUBSTITUTE(R$37,"" "",""☃"",LEN(R$37)-LEN(SUBSTITUTE(R$37,"" "",""""))))-1),Excepciones!$A:$B,2,0)&gt;=0,IFERROR(INDEX(FILTER(Precios!$D:$D,(Precios!$A:$A&lt;=$I8)*(Precios!$B:$B&gt;=$I8)*("&amp;"Precios!$C:$C=R$37)),1)*(IF($K$10=""Sí"",0.94,1)),""""),"""")=0,"""",IF(COUNT($I$6:$I$13)&gt;3,0.9,1)*IF(VLOOKUP(LEFT(R$37,SEARCH(""☃"",SUBSTITUTE(R$37,"" "",""☃"",LEN(R$37)-LEN(SUBSTITUTE(R$37,"" "",""""))))-1),Excepciones!$A:$B,2,0)&gt;=0,IFERROR(INDEX(FILTER"&amp;"(Precios!$D:$D,(Precios!$A:$A&lt;=$I8)*(Precios!$B:$B&gt;=$I8)*(Precios!$C:$C=R$37)),1)*(IF($K$10=""Sí"",0.94,1)),""""),"""")),"""")
"),139.5)</f>
        <v>139.5</v>
      </c>
      <c r="S59" s="136"/>
      <c r="T59" s="48">
        <f>IFERROR(__xludf.DUMMYFUNCTION("IFERROR(IF(IF(COUNT($I$6:$I$13)&gt;3,0.9,1)*IF(VLOOKUP(LEFT(T$37,SEARCH(""☃"",SUBSTITUTE(T$37,"" "",""☃"",LEN(T$37)-LEN(SUBSTITUTE(T$37,"" "",""""))))-1),Excepciones!$A:$B,2,0)&gt;=0,IFERROR(INDEX(FILTER(Precios!$D:$D,(Precios!$A:$A&lt;=$I8)*(Precios!$B:$B&gt;=$I8)*("&amp;"Precios!$C:$C=T$37)),1)*(IF($K$10=""Sí"",0.94,1)),""""),"""")=0,"""",IF(COUNT($I$6:$I$13)&gt;3,0.9,1)*IF(VLOOKUP(LEFT(T$37,SEARCH(""☃"",SUBSTITUTE(T$37,"" "",""☃"",LEN(T$37)-LEN(SUBSTITUTE(T$37,"" "",""""))))-1),Excepciones!$A:$B,2,0)&gt;=0,IFERROR(INDEX(FILTER"&amp;"(Precios!$D:$D,(Precios!$A:$A&lt;=$I8)*(Precios!$B:$B&gt;=$I8)*(Precios!$C:$C=T$37)),1)*(IF($K$10=""Sí"",0.94,1)),""""),"""")),"""")
"),162.0)</f>
        <v>162</v>
      </c>
      <c r="U59" s="48" t="str">
        <f>IFERROR(__xludf.DUMMYFUNCTION("IFERROR(IF(IF(COUNT($I$6:$I$13)&gt;=3,0.9,1)*IF(VLOOKUP(LEFT(U$37,SEARCH(""☃"",SUBSTITUTE(U$37,"" "",""☃"",LEN(U$37)-LEN(SUBSTITUTE(U$37,"" "",""""))))-1),Excepciones!$A:$B,2,0)&gt;=0,IFERROR(INDEX(FILTER(Precios!$D:$D,(Precios!$A:$A&lt;=$I8)*(Precios!$B:$B&gt;=$I8)*"&amp;"(Precios!$C:$C=U$37)),1)*(IF($K$10=""Sí"",0.94,1)),""""),"""")=0,"""",IF(COUNT($I$6:$I$13)&gt;=3,0.9,1)*IF(VLOOKUP(LEFT(U$37,SEARCH(""☃"",SUBSTITUTE(U$37,"" "",""☃"",LEN(U$37)-LEN(SUBSTITUTE(U$37,"" "",""""))))-1),Excepciones!$A:$B,2,0)&gt;=0,IFERROR(INDEX(FILT"&amp;"ER(Precios!$D:$D,(Precios!$A:$A&lt;=$I8)*(Precios!$B:$B&gt;=$I8)*(Precios!$C:$C=U$37)),1)*(IF($K$10=""Sí"",0.94,1)),""""),"""")),"""")
"),"")</f>
        <v/>
      </c>
      <c r="V59" s="48"/>
      <c r="W59" s="48">
        <f>IFERROR(__xludf.DUMMYFUNCTION("IFERROR(IF($I8="""","""",IF(VLOOKUP(LEFT(W$37,SEARCH(""☃"",SUBSTITUTE(W$37,"" "",""☃"",LEN(W$37)-LEN(SUBSTITUTE(W$37,"" "",""""))))-1),Excepciones!$A:$B,2,0)&gt;=0,IFERROR(INDEX(filter(Precios!$D:$D,(Precios!$A:$A&lt;=$I8)*(Precios!$B:$B&gt;=$I8)*(Precios!$C:$C=W$"&amp;"37)),1)*1,""""),"""")),"""")"),127.0)</f>
        <v>127</v>
      </c>
      <c r="X59" s="137"/>
      <c r="Y59" s="48" t="str">
        <f>IFERROR(__xludf.DUMMYFUNCTION("IFERROR(IF($I8="""","""",IF(VLOOKUP(LEFT(Y$37,SEARCH(""☃"",SUBSTITUTE(Y$37,"" "",""☃"",LEN(Y$37)-LEN(SUBSTITUTE(Y$37,"" "",""""))))-1),Excepciones!$A:$B,2,0)&gt;=0,IFERROR(INDEX(filter(Precios!$D:$D,(Precios!$A:$A&lt;=$I8)*(Precios!$B:$B&gt;=$I8)*(Precios!$C:$C=Y$"&amp;"37)),1)*1,""No asegurable""),""No asegurable"")),"""")"),"")</f>
        <v/>
      </c>
      <c r="Z59" s="48">
        <f>IFERROR(__xludf.DUMMYFUNCTION("IFERROR(IF($I8="""","""",IF(VLOOKUP(LEFT(Z$37,SEARCH(""☃"",SUBSTITUTE(Z$37,"" "",""☃"",LEN(Z$37)-LEN(SUBSTITUTE(Z$37,"" "",""""))))-1),Excepciones!$A:$B,2,0)&gt;=0,IFERROR(INDEX(filter(Precios!$D:$D,(Precios!$A:$A&lt;=$I8)*(Precios!$B:$B&gt;=$I8)*(Precios!$C:$C=Z$"&amp;"37)),1)*1,""No asegurable""),""No asegurable"")),"""")"),81.0)</f>
        <v>81</v>
      </c>
      <c r="AA59" s="48">
        <f>IFERROR(__xludf.DUMMYFUNCTION("IFERROR(IF($I8="""","""",IF(VLOOKUP(LEFT(AA$37,SEARCH(""☃"",SUBSTITUTE(AA$37,"" "",""☃"",LEN(AA$37)-LEN(SUBSTITUTE(AA$37,"" "",""""))))-1),Excepciones!$A:$B,2,0)&gt;=0,IFERROR(INDEX(filter(Precios!$D:$D,(Precios!$A:$A&lt;=$I8)*(Precios!$B:$B&gt;=$I8)*(Precios!$C:$"&amp;"C=AA$37)),1)*1,""No asegurable""),""No asegurable"")),"""")"),115.0)</f>
        <v>115</v>
      </c>
      <c r="AB59" s="48">
        <f>IFERROR(__xludf.DUMMYFUNCTION("IFERROR(IF($I8="""","""",IF(VLOOKUP(LEFT(AB$37,SEARCH(""☃"",SUBSTITUTE(AB$37,"" "",""☃"",LEN(AB$37)-LEN(SUBSTITUTE(AB$37,"" "",""""))))-1),Excepciones!$A:$B,2,0)&gt;=0,IFERROR(INDEX(filter(Precios!$D:$D,(Precios!$A:$A&lt;=$I8)*(Precios!$B:$B&gt;=$I8)*(Precios!$C:$"&amp;"C=AB$37)),1)*1,""No asegurable""),""No asegurable"")),"""")"),58.5)</f>
        <v>58.5</v>
      </c>
      <c r="AC59" s="138">
        <f>IFERROR(__xludf.DUMMYFUNCTION("IFERROR(IF($I8="""","""",IF(VLOOKUP(LEFT(AC$37,SEARCH(""☃"",SUBSTITUTE(AC$37,"" "",""☃"",LEN(AC$37)-LEN(SUBSTITUTE(AC$37,"" "",""""))))-1),Excepciones!$A:$B,2,0)&gt;=0,IFERROR(INDEX(filter(Precios!$D:$D,(Precios!$A:$A&lt;=$I8)*(Precios!$B:$B&gt;=$I8)*(Precios!$C:$"&amp;"C=AC$37)),1)*1,""No asegurable""),""No asegurable"")),"""")"),81.5)</f>
        <v>81.5</v>
      </c>
      <c r="AD59" s="5"/>
      <c r="AE59" s="5"/>
      <c r="AF59" s="5"/>
      <c r="AG59" s="5"/>
      <c r="AH59" s="125"/>
      <c r="AI59" s="125"/>
      <c r="AJ59" s="5"/>
      <c r="AK59" s="125"/>
      <c r="AL59" s="125"/>
    </row>
    <row r="60" ht="26.25" customHeight="1">
      <c r="L60" s="116">
        <v>4.0</v>
      </c>
      <c r="M60" s="48"/>
      <c r="N60" s="48">
        <f>IFERROR(__xludf.DUMMYFUNCTION("IFERROR(IF($I9="""","""",IF($K$8&gt;0,"""",IF(COUNT($I$6:$I$13)&gt;1,0.9,1)*IF(VLOOKUP(LEFT(N$37,SEARCH(""☃"",SUBSTITUTE(N$37,"" "",""☃"",LEN(N$37)-LEN(SUBSTITUTE(N$37,"" "",""""))))-1),Excepciones!$A:$B,2,0)&gt;=0,IFERROR(INDEX(FILTER(Precios!$D:$D,(Precios!$A:$A"&amp;"&lt;=$I9)*(Precios!$B:$B&gt;=$I9)*(Precios!$C:$C=N$37)),1)*(1-$K$6),""No asegurable""),""No asegurable""))),"""")
"),35.1)</f>
        <v>35.1</v>
      </c>
      <c r="O60" s="48">
        <f>IFERROR(__xludf.DUMMYFUNCTION("IFERROR(IF(IF(COUNT($I$6:$I$13)&gt;3,0.9,1)*IF(VLOOKUP(LEFT(O$37,SEARCH(""☃"",SUBSTITUTE(O$37,"" "",""☃"",LEN(O$37)-LEN(SUBSTITUTE(O$37,"" "",""""))))-1),Excepciones!$A:$B,2,0)&gt;=0,IFERROR(INDEX(FILTER(Precios!$D:$D,(Precios!$A:$A&lt;=$I9)*(Precios!$B:$B&gt;=$I9)*("&amp;"Precios!$C:$C=O$37)),1)*(IF($K$10=""Sí"",0.94,1)),""""),"""")=0,"""",IF(COUNT($I$6:$I$13)&gt;3,0.9,1)*IF(VLOOKUP(LEFT(O$37,SEARCH(""☃"",SUBSTITUTE(O$37,"" "",""☃"",LEN(O$37)-LEN(SUBSTITUTE(O$37,"" "",""""))))-1),Excepciones!$A:$B,2,0)&gt;=0,IFERROR(INDEX(FILTER"&amp;"(Precios!$D:$D,(Precios!$A:$A&lt;=$I9)*(Precios!$B:$B&gt;=$I9)*(Precios!$C:$C=O$37)),1)*(IF($K$10=""Sí"",0.94,1)),""""),"""")),"""")
"),146.70000000000002)</f>
        <v>146.7</v>
      </c>
      <c r="P60" s="136"/>
      <c r="Q60" s="48">
        <f>IFERROR(__xludf.DUMMYFUNCTION("IFERROR(IF(IF(COUNT($I$6:$I$13)&gt;3,0.9,1)*IF(VLOOKUP(LEFT(Q$37,SEARCH(""☃"",SUBSTITUTE(Q$37,"" "",""☃"",LEN(Q$37)-LEN(SUBSTITUTE(Q$37,"" "",""""))))-1),Excepciones!$A:$B,2,0)&gt;=0,IFERROR(INDEX(FILTER(Precios!$D:$D,(Precios!$A:$A&lt;=$I9)*(Precios!$B:$B&gt;=$I9)*("&amp;"Precios!$C:$C=Q$37)),1)*(IF($K$10=""Sí"",0.94,1)),""""),"""")=0,"""",IF(COUNT($I$6:$I$13)&gt;3,0.9,1)*IF(VLOOKUP(LEFT(Q$37,SEARCH(""☃"",SUBSTITUTE(Q$37,"" "",""☃"",LEN(Q$37)-LEN(SUBSTITUTE(Q$37,"" "",""""))))-1),Excepciones!$A:$B,2,0)&gt;=0,IFERROR(INDEX(FILTER"&amp;"(Precios!$D:$D,(Precios!$A:$A&lt;=$I9)*(Precios!$B:$B&gt;=$I9)*(Precios!$C:$C=Q$37)),1)*(IF($K$10=""Sí"",0.94,1)),""""),"""")),"""")
"),150.3)</f>
        <v>150.3</v>
      </c>
      <c r="R60" s="48">
        <f>IFERROR(__xludf.DUMMYFUNCTION("IFERROR(IF(IF(COUNT($I$6:$I$13)&gt;3,0.9,1)*IF(VLOOKUP(LEFT(R$37,SEARCH(""☃"",SUBSTITUTE(R$37,"" "",""☃"",LEN(R$37)-LEN(SUBSTITUTE(R$37,"" "",""""))))-1),Excepciones!$A:$B,2,0)&gt;=0,IFERROR(INDEX(FILTER(Precios!$D:$D,(Precios!$A:$A&lt;=$I9)*(Precios!$B:$B&gt;=$I9)*("&amp;"Precios!$C:$C=R$37)),1)*(IF($K$10=""Sí"",0.94,1)),""""),"""")=0,"""",IF(COUNT($I$6:$I$13)&gt;3,0.9,1)*IF(VLOOKUP(LEFT(R$37,SEARCH(""☃"",SUBSTITUTE(R$37,"" "",""☃"",LEN(R$37)-LEN(SUBSTITUTE(R$37,"" "",""""))))-1),Excepciones!$A:$B,2,0)&gt;=0,IFERROR(INDEX(FILTER"&amp;"(Precios!$D:$D,(Precios!$A:$A&lt;=$I9)*(Precios!$B:$B&gt;=$I9)*(Precios!$C:$C=R$37)),1)*(IF($K$10=""Sí"",0.94,1)),""""),"""")),"""")
"),229.5)</f>
        <v>229.5</v>
      </c>
      <c r="S60" s="136"/>
      <c r="T60" s="48">
        <f>IFERROR(__xludf.DUMMYFUNCTION("IFERROR(IF(IF(COUNT($I$6:$I$13)&gt;3,0.9,1)*IF(VLOOKUP(LEFT(T$37,SEARCH(""☃"",SUBSTITUTE(T$37,"" "",""☃"",LEN(T$37)-LEN(SUBSTITUTE(T$37,"" "",""""))))-1),Excepciones!$A:$B,2,0)&gt;=0,IFERROR(INDEX(FILTER(Precios!$D:$D,(Precios!$A:$A&lt;=$I9)*(Precios!$B:$B&gt;=$I9)*("&amp;"Precios!$C:$C=T$37)),1)*(IF($K$10=""Sí"",0.94,1)),""""),"""")=0,"""",IF(COUNT($I$6:$I$13)&gt;3,0.9,1)*IF(VLOOKUP(LEFT(T$37,SEARCH(""☃"",SUBSTITUTE(T$37,"" "",""☃"",LEN(T$37)-LEN(SUBSTITUTE(T$37,"" "",""""))))-1),Excepciones!$A:$B,2,0)&gt;=0,IFERROR(INDEX(FILTER"&amp;"(Precios!$D:$D,(Precios!$A:$A&lt;=$I9)*(Precios!$B:$B&gt;=$I9)*(Precios!$C:$C=T$37)),1)*(IF($K$10=""Sí"",0.94,1)),""""),"""")),"""")
"),270.90000000000003)</f>
        <v>270.9</v>
      </c>
      <c r="U60" s="48" t="str">
        <f>IFERROR(__xludf.DUMMYFUNCTION("IFERROR(IF(IF(COUNT($I$6:$I$13)&gt;=3,0.9,1)*IF(VLOOKUP(LEFT(U$37,SEARCH(""☃"",SUBSTITUTE(U$37,"" "",""☃"",LEN(U$37)-LEN(SUBSTITUTE(U$37,"" "",""""))))-1),Excepciones!$A:$B,2,0)&gt;=0,IFERROR(INDEX(FILTER(Precios!$D:$D,(Precios!$A:$A&lt;=$I9)*(Precios!$B:$B&gt;=$I9)*"&amp;"(Precios!$C:$C=U$37)),1)*(IF($K$10=""Sí"",0.94,1)),""""),"""")=0,"""",IF(COUNT($I$6:$I$13)&gt;=3,0.9,1)*IF(VLOOKUP(LEFT(U$37,SEARCH(""☃"",SUBSTITUTE(U$37,"" "",""☃"",LEN(U$37)-LEN(SUBSTITUTE(U$37,"" "",""""))))-1),Excepciones!$A:$B,2,0)&gt;=0,IFERROR(INDEX(FILT"&amp;"ER(Precios!$D:$D,(Precios!$A:$A&lt;=$I9)*(Precios!$B:$B&gt;=$I9)*(Precios!$C:$C=U$37)),1)*(IF($K$10=""Sí"",0.94,1)),""""),"""")),"""")
"),"")</f>
        <v/>
      </c>
      <c r="V60" s="48"/>
      <c r="W60" s="48">
        <f>IFERROR(__xludf.DUMMYFUNCTION("IFERROR(IF($I9="""","""",IF(VLOOKUP(LEFT(W$37,SEARCH(""☃"",SUBSTITUTE(W$37,"" "",""☃"",LEN(W$37)-LEN(SUBSTITUTE(W$37,"" "",""""))))-1),Excepciones!$A:$B,2,0)&gt;=0,IFERROR(INDEX(filter(Precios!$D:$D,(Precios!$A:$A&lt;=$I9)*(Precios!$B:$B&gt;=$I9)*(Precios!$C:$C=W$"&amp;"37)),1)*1,""""),"""")),"""")"),238.0)</f>
        <v>238</v>
      </c>
      <c r="X60" s="137"/>
      <c r="Y60" s="48" t="str">
        <f>IFERROR(__xludf.DUMMYFUNCTION("IFERROR(IF($I9="""","""",IF(VLOOKUP(LEFT(Y$37,SEARCH(""☃"",SUBSTITUTE(Y$37,"" "",""☃"",LEN(Y$37)-LEN(SUBSTITUTE(Y$37,"" "",""""))))-1),Excepciones!$A:$B,2,0)&gt;=0,IFERROR(INDEX(filter(Precios!$D:$D,(Precios!$A:$A&lt;=$I9)*(Precios!$B:$B&gt;=$I9)*(Precios!$C:$C=Y$"&amp;"37)),1)*1,""No asegurable""),""No asegurable"")),"""")"),"")</f>
        <v/>
      </c>
      <c r="Z60" s="48">
        <f>IFERROR(__xludf.DUMMYFUNCTION("IFERROR(IF($I9="""","""",IF(VLOOKUP(LEFT(Z$37,SEARCH(""☃"",SUBSTITUTE(Z$37,"" "",""☃"",LEN(Z$37)-LEN(SUBSTITUTE(Z$37,"" "",""""))))-1),Excepciones!$A:$B,2,0)&gt;=0,IFERROR(INDEX(filter(Precios!$D:$D,(Precios!$A:$A&lt;=$I9)*(Precios!$B:$B&gt;=$I9)*(Precios!$C:$C=Z$"&amp;"37)),1)*1,""No asegurable""),""No asegurable"")),"""")"),105.0)</f>
        <v>105</v>
      </c>
      <c r="AA60" s="48">
        <f>IFERROR(__xludf.DUMMYFUNCTION("IFERROR(IF($I9="""","""",IF(VLOOKUP(LEFT(AA$37,SEARCH(""☃"",SUBSTITUTE(AA$37,"" "",""☃"",LEN(AA$37)-LEN(SUBSTITUTE(AA$37,"" "",""""))))-1),Excepciones!$A:$B,2,0)&gt;=0,IFERROR(INDEX(filter(Precios!$D:$D,(Precios!$A:$A&lt;=$I9)*(Precios!$B:$B&gt;=$I9)*(Precios!$C:$"&amp;"C=AA$37)),1)*1,""No asegurable""),""No asegurable"")),"""")"),137.0)</f>
        <v>137</v>
      </c>
      <c r="AB60" s="48">
        <f>IFERROR(__xludf.DUMMYFUNCTION("IFERROR(IF($I9="""","""",IF(VLOOKUP(LEFT(AB$37,SEARCH(""☃"",SUBSTITUTE(AB$37,"" "",""☃"",LEN(AB$37)-LEN(SUBSTITUTE(AB$37,"" "",""""))))-1),Excepciones!$A:$B,2,0)&gt;=0,IFERROR(INDEX(filter(Precios!$D:$D,(Precios!$A:$A&lt;=$I9)*(Precios!$B:$B&gt;=$I9)*(Precios!$C:$"&amp;"C=AB$37)),1)*1,""No asegurable""),""No asegurable"")),"""")"),92.0)</f>
        <v>92</v>
      </c>
      <c r="AC60" s="138">
        <f>IFERROR(__xludf.DUMMYFUNCTION("IFERROR(IF($I9="""","""",IF(VLOOKUP(LEFT(AC$37,SEARCH(""☃"",SUBSTITUTE(AC$37,"" "",""☃"",LEN(AC$37)-LEN(SUBSTITUTE(AC$37,"" "",""""))))-1),Excepciones!$A:$B,2,0)&gt;=0,IFERROR(INDEX(filter(Precios!$D:$D,(Precios!$A:$A&lt;=$I9)*(Precios!$B:$B&gt;=$I9)*(Precios!$C:$"&amp;"C=AC$37)),1)*1,""No asegurable""),""No asegurable"")),"""")"),115.0)</f>
        <v>115</v>
      </c>
      <c r="AD60" s="5"/>
      <c r="AE60" s="5"/>
      <c r="AF60" s="5"/>
      <c r="AG60" s="5"/>
      <c r="AH60" s="125"/>
      <c r="AI60" s="125"/>
      <c r="AJ60" s="5"/>
      <c r="AK60" s="125"/>
      <c r="AL60" s="125"/>
    </row>
    <row r="61" ht="26.25" customHeight="1">
      <c r="L61" s="116">
        <v>5.0</v>
      </c>
      <c r="M61" s="48"/>
      <c r="N61" s="48" t="str">
        <f>IFERROR(__xludf.DUMMYFUNCTION("IFERROR(IF($I10="""","""",IF($K$8&gt;0,"""",IF(COUNT($I$6:$I$13)&gt;1,0.9,1)*IF(VLOOKUP(LEFT(N$37,SEARCH(""☃"",SUBSTITUTE(N$37,"" "",""☃"",LEN(N$37)-LEN(SUBSTITUTE(N$37,"" "",""""))))-1),Excepciones!$A:$B,2,0)&gt;=0,IFERROR(INDEX(FILTER(Precios!$D:$D,(Precios!$A:$"&amp;"A&lt;=$I10)*(Precios!$B:$B&gt;=$I10)*(Precios!$C:$C=N$37)),1)*(1-$K$6),""No asegurable""),""No asegurable""))),"""")
"),"")</f>
        <v/>
      </c>
      <c r="O61" s="48" t="str">
        <f>IFERROR(__xludf.DUMMYFUNCTION("IFERROR(IF(IF(COUNT($I$6:$I$13)&gt;3,0.9,1)*IF(VLOOKUP(LEFT(O$37,SEARCH(""☃"",SUBSTITUTE(O$37,"" "",""☃"",LEN(O$37)-LEN(SUBSTITUTE(O$37,"" "",""""))))-1),Excepciones!$A:$B,2,0)&gt;=0,IFERROR(INDEX(FILTER(Precios!$D:$D,(Precios!$A:$A&lt;=$I10)*(Precios!$B:$B&gt;=$I10)"&amp;"*(Precios!$C:$C=O$37)),1)*(IF($K$10=""Sí"",0.94,1)),""""),"""")=0,"""",IF(COUNT($I$6:$I$13)&gt;3,0.9,1)*IF(VLOOKUP(LEFT(O$37,SEARCH(""☃"",SUBSTITUTE(O$37,"" "",""☃"",LEN(O$37)-LEN(SUBSTITUTE(O$37,"" "",""""))))-1),Excepciones!$A:$B,2,0)&gt;=0,IFERROR(INDEX(FILT"&amp;"ER(Precios!$D:$D,(Precios!$A:$A&lt;=$I10)*(Precios!$B:$B&gt;=$I10)*(Precios!$C:$C=O$37)),1)*(IF($K$10=""Sí"",0.94,1)),""""),"""")),"""")
"),"")</f>
        <v/>
      </c>
      <c r="P61" s="136"/>
      <c r="Q61" s="48" t="str">
        <f>IFERROR(__xludf.DUMMYFUNCTION("IFERROR(IF(IF(COUNT($I$6:$I$13)&gt;3,0.9,1)*IF(VLOOKUP(LEFT(Q$37,SEARCH(""☃"",SUBSTITUTE(Q$37,"" "",""☃"",LEN(Q$37)-LEN(SUBSTITUTE(Q$37,"" "",""""))))-1),Excepciones!$A:$B,2,0)&gt;=0,IFERROR(INDEX(FILTER(Precios!$D:$D,(Precios!$A:$A&lt;=$I10)*(Precios!$B:$B&gt;=$I10)"&amp;"*(Precios!$C:$C=Q$37)),1)*(IF($K$10=""Sí"",0.94,1)),""""),"""")=0,"""",IF(COUNT($I$6:$I$13)&gt;3,0.9,1)*IF(VLOOKUP(LEFT(Q$37,SEARCH(""☃"",SUBSTITUTE(Q$37,"" "",""☃"",LEN(Q$37)-LEN(SUBSTITUTE(Q$37,"" "",""""))))-1),Excepciones!$A:$B,2,0)&gt;=0,IFERROR(INDEX(FILT"&amp;"ER(Precios!$D:$D,(Precios!$A:$A&lt;=$I10)*(Precios!$B:$B&gt;=$I10)*(Precios!$C:$C=Q$37)),1)*(IF($K$10=""Sí"",0.94,1)),""""),"""")),"""")
"),"")</f>
        <v/>
      </c>
      <c r="R61" s="48" t="str">
        <f>IFERROR(__xludf.DUMMYFUNCTION("IFERROR(IF(IF(COUNT($I$6:$I$13)&gt;3,0.9,1)*IF(VLOOKUP(LEFT(R$37,SEARCH(""☃"",SUBSTITUTE(R$37,"" "",""☃"",LEN(R$37)-LEN(SUBSTITUTE(R$37,"" "",""""))))-1),Excepciones!$A:$B,2,0)&gt;=0,IFERROR(INDEX(FILTER(Precios!$D:$D,(Precios!$A:$A&lt;=$I10)*(Precios!$B:$B&gt;=$I10)"&amp;"*(Precios!$C:$C=R$37)),1)*(IF($K$10=""Sí"",0.94,1)),""""),"""")=0,"""",IF(COUNT($I$6:$I$13)&gt;3,0.9,1)*IF(VLOOKUP(LEFT(R$37,SEARCH(""☃"",SUBSTITUTE(R$37,"" "",""☃"",LEN(R$37)-LEN(SUBSTITUTE(R$37,"" "",""""))))-1),Excepciones!$A:$B,2,0)&gt;=0,IFERROR(INDEX(FILT"&amp;"ER(Precios!$D:$D,(Precios!$A:$A&lt;=$I10)*(Precios!$B:$B&gt;=$I10)*(Precios!$C:$C=R$37)),1)*(IF($K$10=""Sí"",0.94,1)),""""),"""")),"""")
"),"")</f>
        <v/>
      </c>
      <c r="S61" s="136"/>
      <c r="T61" s="48" t="str">
        <f>IFERROR(__xludf.DUMMYFUNCTION("IFERROR(IF(IF(COUNT($I$6:$I$13)&gt;3,0.9,1)*IF(VLOOKUP(LEFT(T$37,SEARCH(""☃"",SUBSTITUTE(T$37,"" "",""☃"",LEN(T$37)-LEN(SUBSTITUTE(T$37,"" "",""""))))-1),Excepciones!$A:$B,2,0)&gt;=0,IFERROR(INDEX(FILTER(Precios!$D:$D,(Precios!$A:$A&lt;=$I10)*(Precios!$B:$B&gt;=$I10)"&amp;"*(Precios!$C:$C=T$37)),1)*(IF($K$10=""Sí"",0.94,1)),""""),"""")=0,"""",IF(COUNT($I$6:$I$13)&gt;3,0.9,1)*IF(VLOOKUP(LEFT(T$37,SEARCH(""☃"",SUBSTITUTE(T$37,"" "",""☃"",LEN(T$37)-LEN(SUBSTITUTE(T$37,"" "",""""))))-1),Excepciones!$A:$B,2,0)&gt;=0,IFERROR(INDEX(FILT"&amp;"ER(Precios!$D:$D,(Precios!$A:$A&lt;=$I10)*(Precios!$B:$B&gt;=$I10)*(Precios!$C:$C=T$37)),1)*(IF($K$10=""Sí"",0.94,1)),""""),"""")),"""")
"),"")</f>
        <v/>
      </c>
      <c r="U61" s="48" t="str">
        <f>IFERROR(__xludf.DUMMYFUNCTION("IFERROR(IF(IF(COUNT($I$6:$I$13)&gt;=3,0.9,1)*IF(VLOOKUP(LEFT(U$37,SEARCH(""☃"",SUBSTITUTE(U$37,"" "",""☃"",LEN(U$37)-LEN(SUBSTITUTE(U$37,"" "",""""))))-1),Excepciones!$A:$B,2,0)&gt;=0,IFERROR(INDEX(FILTER(Precios!$D:$D,(Precios!$A:$A&lt;=$I10)*(Precios!$B:$B&gt;=$I10"&amp;")*(Precios!$C:$C=U$37)),1)*(IF($K$10=""Sí"",0.94,1)),""""),"""")=0,"""",IF(COUNT($I$6:$I$13)&gt;=3,0.9,1)*IF(VLOOKUP(LEFT(U$37,SEARCH(""☃"",SUBSTITUTE(U$37,"" "",""☃"",LEN(U$37)-LEN(SUBSTITUTE(U$37,"" "",""""))))-1),Excepciones!$A:$B,2,0)&gt;=0,IFERROR(INDEX(FI"&amp;"LTER(Precios!$D:$D,(Precios!$A:$A&lt;=$I10)*(Precios!$B:$B&gt;=$I10)*(Precios!$C:$C=U$37)),1)*(IF($K$10=""Sí"",0.94,1)),""""),"""")),"""")
"),"")</f>
        <v/>
      </c>
      <c r="V61" s="48"/>
      <c r="W61" s="48" t="str">
        <f>IFERROR(__xludf.DUMMYFUNCTION("IFERROR(IF($I10="""","""",IF(VLOOKUP(LEFT(W$37,SEARCH(""☃"",SUBSTITUTE(W$37,"" "",""☃"",LEN(W$37)-LEN(SUBSTITUTE(W$37,"" "",""""))))-1),Excepciones!$A:$B,2,0)&gt;=0,IFERROR(INDEX(filter(Precios!$D:$D,(Precios!$A:$A&lt;=$I10)*(Precios!$B:$B&gt;=$I10)*(Precios!$C:$C"&amp;"=W$37)),1)*1,""""),"""")),"""")"),"")</f>
        <v/>
      </c>
      <c r="X61" s="137"/>
      <c r="Y61" s="48" t="str">
        <f>IFERROR(__xludf.DUMMYFUNCTION("IFERROR(IF($I10="""","""",IF(VLOOKUP(LEFT(Y$37,SEARCH(""☃"",SUBSTITUTE(Y$37,"" "",""☃"",LEN(Y$37)-LEN(SUBSTITUTE(Y$37,"" "",""""))))-1),Excepciones!$A:$B,2,0)&gt;=0,IFERROR(INDEX(filter(Precios!$D:$D,(Precios!$A:$A&lt;=$I10)*(Precios!$B:$B&gt;=$I10)*(Precios!$C:$C"&amp;"=Y$37)),1)*1,""No asegurable""),""No asegurable"")),"""")"),"")</f>
        <v/>
      </c>
      <c r="Z61" s="48" t="str">
        <f>IFERROR(__xludf.DUMMYFUNCTION("IFERROR(IF($I10="""","""",IF(VLOOKUP(LEFT(Z$37,SEARCH(""☃"",SUBSTITUTE(Z$37,"" "",""☃"",LEN(Z$37)-LEN(SUBSTITUTE(Z$37,"" "",""""))))-1),Excepciones!$A:$B,2,0)&gt;=0,IFERROR(INDEX(filter(Precios!$D:$D,(Precios!$A:$A&lt;=$I10)*(Precios!$B:$B&gt;=$I10)*(Precios!$C:$C"&amp;"=Z$37)),1)*1,""No asegurable""),""No asegurable"")),"""")"),"")</f>
        <v/>
      </c>
      <c r="AA61" s="48" t="str">
        <f>IFERROR(__xludf.DUMMYFUNCTION("IFERROR(IF($I10="""","""",IF(VLOOKUP(LEFT(AA$37,SEARCH(""☃"",SUBSTITUTE(AA$37,"" "",""☃"",LEN(AA$37)-LEN(SUBSTITUTE(AA$37,"" "",""""))))-1),Excepciones!$A:$B,2,0)&gt;=0,IFERROR(INDEX(filter(Precios!$D:$D,(Precios!$A:$A&lt;=$I10)*(Precios!$B:$B&gt;=$I10)*(Precios!$"&amp;"C:$C=AA$37)),1)*1,""No asegurable""),""No asegurable"")),"""")"),"")</f>
        <v/>
      </c>
      <c r="AB61" s="48" t="str">
        <f>IFERROR(__xludf.DUMMYFUNCTION("IFERROR(IF($I10="""","""",IF(VLOOKUP(LEFT(AB$37,SEARCH(""☃"",SUBSTITUTE(AB$37,"" "",""☃"",LEN(AB$37)-LEN(SUBSTITUTE(AB$37,"" "",""""))))-1),Excepciones!$A:$B,2,0)&gt;=0,IFERROR(INDEX(filter(Precios!$D:$D,(Precios!$A:$A&lt;=$I10)*(Precios!$B:$B&gt;=$I10)*(Precios!$"&amp;"C:$C=AB$37)),1)*1,""No asegurable""),""No asegurable"")),"""")"),"")</f>
        <v/>
      </c>
      <c r="AC61" s="138" t="str">
        <f>IFERROR(__xludf.DUMMYFUNCTION("IFERROR(IF($I10="""","""",IF(VLOOKUP(LEFT(AC$37,SEARCH(""☃"",SUBSTITUTE(AC$37,"" "",""☃"",LEN(AC$37)-LEN(SUBSTITUTE(AC$37,"" "",""""))))-1),Excepciones!$A:$B,2,0)&gt;=0,IFERROR(INDEX(filter(Precios!$D:$D,(Precios!$A:$A&lt;=$I10)*(Precios!$B:$B&gt;=$I10)*(Precios!$"&amp;"C:$C=AC$37)),1)*1,""No asegurable""),""No asegurable"")),"""")"),"")</f>
        <v/>
      </c>
      <c r="AD61" s="5"/>
      <c r="AE61" s="5"/>
      <c r="AF61" s="5"/>
      <c r="AG61" s="5"/>
      <c r="AH61" s="125"/>
      <c r="AI61" s="125"/>
      <c r="AJ61" s="5"/>
      <c r="AK61" s="125"/>
      <c r="AL61" s="125"/>
    </row>
    <row r="62" ht="26.25" customHeight="1">
      <c r="L62" s="116">
        <v>6.0</v>
      </c>
      <c r="M62" s="48"/>
      <c r="N62" s="48" t="str">
        <f>IFERROR(__xludf.DUMMYFUNCTION("IFERROR(IF($I11="""","""",IF($K$8&gt;0,"""",IF(COUNT($I$6:$I$13)&gt;1,0.9,1)*IF(VLOOKUP(LEFT(N$37,SEARCH(""☃"",SUBSTITUTE(N$37,"" "",""☃"",LEN(N$37)-LEN(SUBSTITUTE(N$37,"" "",""""))))-1),Excepciones!$A:$B,2,0)&gt;=0,IFERROR(INDEX(FILTER(Precios!$D:$D,(Precios!$A:$"&amp;"A&lt;=$I11)*(Precios!$B:$B&gt;=$I11)*(Precios!$C:$C=N$37)),1)*(1-$K$6),""No asegurable""),""No asegurable""))),"""")
"),"")</f>
        <v/>
      </c>
      <c r="O62" s="48" t="str">
        <f>IFERROR(__xludf.DUMMYFUNCTION("IFERROR(IF(IF(COUNT($I$6:$I$13)&gt;3,0.9,1)*IF(VLOOKUP(LEFT(O$37,SEARCH(""☃"",SUBSTITUTE(O$37,"" "",""☃"",LEN(O$37)-LEN(SUBSTITUTE(O$37,"" "",""""))))-1),Excepciones!$A:$B,2,0)&gt;=0,IFERROR(INDEX(FILTER(Precios!$D:$D,(Precios!$A:$A&lt;=$I11)*(Precios!$B:$B&gt;=$I11)"&amp;"*(Precios!$C:$C=O$37)),1)*(IF($K$10=""Sí"",0.94,1)),""""),"""")=0,"""",IF(COUNT($I$6:$I$13)&gt;3,0.9,1)*IF(VLOOKUP(LEFT(O$37,SEARCH(""☃"",SUBSTITUTE(O$37,"" "",""☃"",LEN(O$37)-LEN(SUBSTITUTE(O$37,"" "",""""))))-1),Excepciones!$A:$B,2,0)&gt;=0,IFERROR(INDEX(FILT"&amp;"ER(Precios!$D:$D,(Precios!$A:$A&lt;=$I11)*(Precios!$B:$B&gt;=$I11)*(Precios!$C:$C=O$37)),1)*(IF($K$10=""Sí"",0.94,1)),""""),"""")),"""")
"),"")</f>
        <v/>
      </c>
      <c r="P62" s="136"/>
      <c r="Q62" s="48" t="str">
        <f>IFERROR(__xludf.DUMMYFUNCTION("IFERROR(IF(IF(COUNT($I$6:$I$13)&gt;3,0.9,1)*IF(VLOOKUP(LEFT(Q$37,SEARCH(""☃"",SUBSTITUTE(Q$37,"" "",""☃"",LEN(Q$37)-LEN(SUBSTITUTE(Q$37,"" "",""""))))-1),Excepciones!$A:$B,2,0)&gt;=0,IFERROR(INDEX(FILTER(Precios!$D:$D,(Precios!$A:$A&lt;=$I11)*(Precios!$B:$B&gt;=$I11)"&amp;"*(Precios!$C:$C=Q$37)),1)*(IF($K$10=""Sí"",0.94,1)),""""),"""")=0,"""",IF(COUNT($I$6:$I$13)&gt;3,0.9,1)*IF(VLOOKUP(LEFT(Q$37,SEARCH(""☃"",SUBSTITUTE(Q$37,"" "",""☃"",LEN(Q$37)-LEN(SUBSTITUTE(Q$37,"" "",""""))))-1),Excepciones!$A:$B,2,0)&gt;=0,IFERROR(INDEX(FILT"&amp;"ER(Precios!$D:$D,(Precios!$A:$A&lt;=$I11)*(Precios!$B:$B&gt;=$I11)*(Precios!$C:$C=Q$37)),1)*(IF($K$10=""Sí"",0.94,1)),""""),"""")),"""")
"),"")</f>
        <v/>
      </c>
      <c r="R62" s="48" t="str">
        <f>IFERROR(__xludf.DUMMYFUNCTION("IFERROR(IF(IF(COUNT($I$6:$I$13)&gt;3,0.9,1)*IF(VLOOKUP(LEFT(R$37,SEARCH(""☃"",SUBSTITUTE(R$37,"" "",""☃"",LEN(R$37)-LEN(SUBSTITUTE(R$37,"" "",""""))))-1),Excepciones!$A:$B,2,0)&gt;=0,IFERROR(INDEX(FILTER(Precios!$D:$D,(Precios!$A:$A&lt;=$I11)*(Precios!$B:$B&gt;=$I11)"&amp;"*(Precios!$C:$C=R$37)),1)*(IF($K$10=""Sí"",0.94,1)),""""),"""")=0,"""",IF(COUNT($I$6:$I$13)&gt;3,0.9,1)*IF(VLOOKUP(LEFT(R$37,SEARCH(""☃"",SUBSTITUTE(R$37,"" "",""☃"",LEN(R$37)-LEN(SUBSTITUTE(R$37,"" "",""""))))-1),Excepciones!$A:$B,2,0)&gt;=0,IFERROR(INDEX(FILT"&amp;"ER(Precios!$D:$D,(Precios!$A:$A&lt;=$I11)*(Precios!$B:$B&gt;=$I11)*(Precios!$C:$C=R$37)),1)*(IF($K$10=""Sí"",0.94,1)),""""),"""")),"""")
"),"")</f>
        <v/>
      </c>
      <c r="S62" s="136"/>
      <c r="T62" s="48" t="str">
        <f>IFERROR(__xludf.DUMMYFUNCTION("IFERROR(IF(IF(COUNT($I$6:$I$13)&gt;3,0.9,1)*IF(VLOOKUP(LEFT(T$37,SEARCH(""☃"",SUBSTITUTE(T$37,"" "",""☃"",LEN(T$37)-LEN(SUBSTITUTE(T$37,"" "",""""))))-1),Excepciones!$A:$B,2,0)&gt;=0,IFERROR(INDEX(FILTER(Precios!$D:$D,(Precios!$A:$A&lt;=$I11)*(Precios!$B:$B&gt;=$I11)"&amp;"*(Precios!$C:$C=T$37)),1)*(IF($K$10=""Sí"",0.94,1)),""""),"""")=0,"""",IF(COUNT($I$6:$I$13)&gt;3,0.9,1)*IF(VLOOKUP(LEFT(T$37,SEARCH(""☃"",SUBSTITUTE(T$37,"" "",""☃"",LEN(T$37)-LEN(SUBSTITUTE(T$37,"" "",""""))))-1),Excepciones!$A:$B,2,0)&gt;=0,IFERROR(INDEX(FILT"&amp;"ER(Precios!$D:$D,(Precios!$A:$A&lt;=$I11)*(Precios!$B:$B&gt;=$I11)*(Precios!$C:$C=T$37)),1)*(IF($K$10=""Sí"",0.94,1)),""""),"""")),"""")
"),"")</f>
        <v/>
      </c>
      <c r="U62" s="48" t="str">
        <f>IFERROR(__xludf.DUMMYFUNCTION("IFERROR(IF(IF(COUNT($I$6:$I$13)&gt;=3,0.9,1)*IF(VLOOKUP(LEFT(U$37,SEARCH(""☃"",SUBSTITUTE(U$37,"" "",""☃"",LEN(U$37)-LEN(SUBSTITUTE(U$37,"" "",""""))))-1),Excepciones!$A:$B,2,0)&gt;=0,IFERROR(INDEX(FILTER(Precios!$D:$D,(Precios!$A:$A&lt;=$I11)*(Precios!$B:$B&gt;=$I11"&amp;")*(Precios!$C:$C=U$37)),1)*(IF($K$10=""Sí"",0.94,1)),""""),"""")=0,"""",IF(COUNT($I$6:$I$13)&gt;=3,0.9,1)*IF(VLOOKUP(LEFT(U$37,SEARCH(""☃"",SUBSTITUTE(U$37,"" "",""☃"",LEN(U$37)-LEN(SUBSTITUTE(U$37,"" "",""""))))-1),Excepciones!$A:$B,2,0)&gt;=0,IFERROR(INDEX(FI"&amp;"LTER(Precios!$D:$D,(Precios!$A:$A&lt;=$I11)*(Precios!$B:$B&gt;=$I11)*(Precios!$C:$C=U$37)),1)*(IF($K$10=""Sí"",0.94,1)),""""),"""")),"""")
"),"")</f>
        <v/>
      </c>
      <c r="V62" s="48"/>
      <c r="W62" s="48" t="str">
        <f>IFERROR(__xludf.DUMMYFUNCTION("IFERROR(IF($I11="""","""",IF(VLOOKUP(LEFT(W$37,SEARCH(""☃"",SUBSTITUTE(W$37,"" "",""☃"",LEN(W$37)-LEN(SUBSTITUTE(W$37,"" "",""""))))-1),Excepciones!$A:$B,2,0)&gt;=0,IFERROR(INDEX(filter(Precios!$D:$D,(Precios!$A:$A&lt;=$I11)*(Precios!$B:$B&gt;=$I11)*(Precios!$C:$C"&amp;"=W$37)),1)*1,""""),"""")),"""")"),"")</f>
        <v/>
      </c>
      <c r="X62" s="137"/>
      <c r="Y62" s="48" t="str">
        <f>IFERROR(__xludf.DUMMYFUNCTION("IFERROR(IF($I11="""","""",IF(VLOOKUP(LEFT(Y$37,SEARCH(""☃"",SUBSTITUTE(Y$37,"" "",""☃"",LEN(Y$37)-LEN(SUBSTITUTE(Y$37,"" "",""""))))-1),Excepciones!$A:$B,2,0)&gt;=0,IFERROR(INDEX(filter(Precios!$D:$D,(Precios!$A:$A&lt;=$I11)*(Precios!$B:$B&gt;=$I11)*(Precios!$C:$C"&amp;"=Y$37)),1)*1,""No asegurable""),""No asegurable"")),"""")"),"")</f>
        <v/>
      </c>
      <c r="Z62" s="48" t="str">
        <f>IFERROR(__xludf.DUMMYFUNCTION("IFERROR(IF($I11="""","""",IF(VLOOKUP(LEFT(Z$37,SEARCH(""☃"",SUBSTITUTE(Z$37,"" "",""☃"",LEN(Z$37)-LEN(SUBSTITUTE(Z$37,"" "",""""))))-1),Excepciones!$A:$B,2,0)&gt;=0,IFERROR(INDEX(filter(Precios!$D:$D,(Precios!$A:$A&lt;=$I11)*(Precios!$B:$B&gt;=$I11)*(Precios!$C:$C"&amp;"=Z$37)),1)*1,""No asegurable""),""No asegurable"")),"""")"),"")</f>
        <v/>
      </c>
      <c r="AA62" s="48" t="str">
        <f>IFERROR(__xludf.DUMMYFUNCTION("IFERROR(IF($I11="""","""",IF(VLOOKUP(LEFT(AA$37,SEARCH(""☃"",SUBSTITUTE(AA$37,"" "",""☃"",LEN(AA$37)-LEN(SUBSTITUTE(AA$37,"" "",""""))))-1),Excepciones!$A:$B,2,0)&gt;=0,IFERROR(INDEX(filter(Precios!$D:$D,(Precios!$A:$A&lt;=$I11)*(Precios!$B:$B&gt;=$I11)*(Precios!$"&amp;"C:$C=AA$37)),1)*1,""No asegurable""),""No asegurable"")),"""")"),"")</f>
        <v/>
      </c>
      <c r="AB62" s="48" t="str">
        <f>IFERROR(__xludf.DUMMYFUNCTION("IFERROR(IF($I11="""","""",IF(VLOOKUP(LEFT(AB$37,SEARCH(""☃"",SUBSTITUTE(AB$37,"" "",""☃"",LEN(AB$37)-LEN(SUBSTITUTE(AB$37,"" "",""""))))-1),Excepciones!$A:$B,2,0)&gt;=0,IFERROR(INDEX(filter(Precios!$D:$D,(Precios!$A:$A&lt;=$I11)*(Precios!$B:$B&gt;=$I11)*(Precios!$"&amp;"C:$C=AB$37)),1)*1,""No asegurable""),""No asegurable"")),"""")"),"")</f>
        <v/>
      </c>
      <c r="AC62" s="138" t="str">
        <f>IFERROR(__xludf.DUMMYFUNCTION("IFERROR(IF($I11="""","""",IF(VLOOKUP(LEFT(AC$37,SEARCH(""☃"",SUBSTITUTE(AC$37,"" "",""☃"",LEN(AC$37)-LEN(SUBSTITUTE(AC$37,"" "",""""))))-1),Excepciones!$A:$B,2,0)&gt;=0,IFERROR(INDEX(filter(Precios!$D:$D,(Precios!$A:$A&lt;=$I11)*(Precios!$B:$B&gt;=$I11)*(Precios!$"&amp;"C:$C=AC$37)),1)*1,""No asegurable""),""No asegurable"")),"""")"),"")</f>
        <v/>
      </c>
      <c r="AD62" s="5"/>
      <c r="AE62" s="5"/>
      <c r="AF62" s="5"/>
      <c r="AG62" s="5"/>
      <c r="AH62" s="125"/>
      <c r="AI62" s="125"/>
      <c r="AJ62" s="5"/>
      <c r="AK62" s="125"/>
      <c r="AL62" s="125"/>
    </row>
    <row r="63" ht="26.25" customHeight="1">
      <c r="L63" s="116">
        <v>7.0</v>
      </c>
      <c r="M63" s="48"/>
      <c r="N63" s="48" t="str">
        <f>IFERROR(__xludf.DUMMYFUNCTION("IFERROR(IF($I12="""","""",IF($K$8&gt;0,"""",IF(COUNT($I$6:$I$13)&gt;1,0.9,1)*IF(VLOOKUP(LEFT(N$37,SEARCH(""☃"",SUBSTITUTE(N$37,"" "",""☃"",LEN(N$37)-LEN(SUBSTITUTE(N$37,"" "",""""))))-1),Excepciones!$A:$B,2,0)&gt;=0,IFERROR(INDEX(FILTER(Precios!$D:$D,(Precios!$A:$"&amp;"A&lt;=$I12)*(Precios!$B:$B&gt;=$I12)*(Precios!$C:$C=N$37)),1)*(1-$K$6),""No asegurable""),""No asegurable""))),"""")
"),"")</f>
        <v/>
      </c>
      <c r="O63" s="48" t="str">
        <f>IFERROR(__xludf.DUMMYFUNCTION("IFERROR(IF(IF(COUNT($I$6:$I$13)&gt;3,0.9,1)*IF(VLOOKUP(LEFT(O$37,SEARCH(""☃"",SUBSTITUTE(O$37,"" "",""☃"",LEN(O$37)-LEN(SUBSTITUTE(O$37,"" "",""""))))-1),Excepciones!$A:$B,2,0)&gt;=0,IFERROR(INDEX(FILTER(Precios!$D:$D,(Precios!$A:$A&lt;=$I12)*(Precios!$B:$B&gt;=$I12)"&amp;"*(Precios!$C:$C=O$37)),1)*(IF($K$10=""Sí"",0.94,1)),""""),"""")=0,"""",IF(COUNT($I$6:$I$13)&gt;3,0.9,1)*IF(VLOOKUP(LEFT(O$37,SEARCH(""☃"",SUBSTITUTE(O$37,"" "",""☃"",LEN(O$37)-LEN(SUBSTITUTE(O$37,"" "",""""))))-1),Excepciones!$A:$B,2,0)&gt;=0,IFERROR(INDEX(FILT"&amp;"ER(Precios!$D:$D,(Precios!$A:$A&lt;=$I12)*(Precios!$B:$B&gt;=$I12)*(Precios!$C:$C=O$37)),1)*(IF($K$10=""Sí"",0.94,1)),""""),"""")),"""")
"),"")</f>
        <v/>
      </c>
      <c r="P63" s="136"/>
      <c r="Q63" s="48" t="str">
        <f>IFERROR(__xludf.DUMMYFUNCTION("IFERROR(IF(IF(COUNT($I$6:$I$13)&gt;3,0.9,1)*IF(VLOOKUP(LEFT(Q$37,SEARCH(""☃"",SUBSTITUTE(Q$37,"" "",""☃"",LEN(Q$37)-LEN(SUBSTITUTE(Q$37,"" "",""""))))-1),Excepciones!$A:$B,2,0)&gt;=0,IFERROR(INDEX(FILTER(Precios!$D:$D,(Precios!$A:$A&lt;=$I12)*(Precios!$B:$B&gt;=$I12)"&amp;"*(Precios!$C:$C=Q$37)),1)*(IF($K$10=""Sí"",0.94,1)),""""),"""")=0,"""",IF(COUNT($I$6:$I$13)&gt;3,0.9,1)*IF(VLOOKUP(LEFT(Q$37,SEARCH(""☃"",SUBSTITUTE(Q$37,"" "",""☃"",LEN(Q$37)-LEN(SUBSTITUTE(Q$37,"" "",""""))))-1),Excepciones!$A:$B,2,0)&gt;=0,IFERROR(INDEX(FILT"&amp;"ER(Precios!$D:$D,(Precios!$A:$A&lt;=$I12)*(Precios!$B:$B&gt;=$I12)*(Precios!$C:$C=Q$37)),1)*(IF($K$10=""Sí"",0.94,1)),""""),"""")),"""")
"),"")</f>
        <v/>
      </c>
      <c r="R63" s="48" t="str">
        <f>IFERROR(__xludf.DUMMYFUNCTION("IFERROR(IF(IF(COUNT($I$6:$I$13)&gt;3,0.9,1)*IF(VLOOKUP(LEFT(R$37,SEARCH(""☃"",SUBSTITUTE(R$37,"" "",""☃"",LEN(R$37)-LEN(SUBSTITUTE(R$37,"" "",""""))))-1),Excepciones!$A:$B,2,0)&gt;=0,IFERROR(INDEX(FILTER(Precios!$D:$D,(Precios!$A:$A&lt;=$I12)*(Precios!$B:$B&gt;=$I12)"&amp;"*(Precios!$C:$C=R$37)),1)*(IF($K$10=""Sí"",0.94,1)),""""),"""")=0,"""",IF(COUNT($I$6:$I$13)&gt;3,0.9,1)*IF(VLOOKUP(LEFT(R$37,SEARCH(""☃"",SUBSTITUTE(R$37,"" "",""☃"",LEN(R$37)-LEN(SUBSTITUTE(R$37,"" "",""""))))-1),Excepciones!$A:$B,2,0)&gt;=0,IFERROR(INDEX(FILT"&amp;"ER(Precios!$D:$D,(Precios!$A:$A&lt;=$I12)*(Precios!$B:$B&gt;=$I12)*(Precios!$C:$C=R$37)),1)*(IF($K$10=""Sí"",0.94,1)),""""),"""")),"""")
"),"")</f>
        <v/>
      </c>
      <c r="S63" s="136"/>
      <c r="T63" s="48" t="str">
        <f>IFERROR(__xludf.DUMMYFUNCTION("IFERROR(IF(IF(COUNT($I$6:$I$13)&gt;3,0.9,1)*IF(VLOOKUP(LEFT(T$37,SEARCH(""☃"",SUBSTITUTE(T$37,"" "",""☃"",LEN(T$37)-LEN(SUBSTITUTE(T$37,"" "",""""))))-1),Excepciones!$A:$B,2,0)&gt;=0,IFERROR(INDEX(FILTER(Precios!$D:$D,(Precios!$A:$A&lt;=$I12)*(Precios!$B:$B&gt;=$I12)"&amp;"*(Precios!$C:$C=T$37)),1)*(IF($K$10=""Sí"",0.94,1)),""""),"""")=0,"""",IF(COUNT($I$6:$I$13)&gt;3,0.9,1)*IF(VLOOKUP(LEFT(T$37,SEARCH(""☃"",SUBSTITUTE(T$37,"" "",""☃"",LEN(T$37)-LEN(SUBSTITUTE(T$37,"" "",""""))))-1),Excepciones!$A:$B,2,0)&gt;=0,IFERROR(INDEX(FILT"&amp;"ER(Precios!$D:$D,(Precios!$A:$A&lt;=$I12)*(Precios!$B:$B&gt;=$I12)*(Precios!$C:$C=T$37)),1)*(IF($K$10=""Sí"",0.94,1)),""""),"""")),"""")
"),"")</f>
        <v/>
      </c>
      <c r="U63" s="48" t="str">
        <f>IFERROR(__xludf.DUMMYFUNCTION("IFERROR(IF(IF(COUNT($I$6:$I$13)&gt;=3,0.9,1)*IF(VLOOKUP(LEFT(U$37,SEARCH(""☃"",SUBSTITUTE(U$37,"" "",""☃"",LEN(U$37)-LEN(SUBSTITUTE(U$37,"" "",""""))))-1),Excepciones!$A:$B,2,0)&gt;=0,IFERROR(INDEX(FILTER(Precios!$D:$D,(Precios!$A:$A&lt;=$I12)*(Precios!$B:$B&gt;=$I12"&amp;")*(Precios!$C:$C=U$37)),1)*(IF($K$10=""Sí"",0.94,1)),""""),"""")=0,"""",IF(COUNT($I$6:$I$13)&gt;=3,0.9,1)*IF(VLOOKUP(LEFT(U$37,SEARCH(""☃"",SUBSTITUTE(U$37,"" "",""☃"",LEN(U$37)-LEN(SUBSTITUTE(U$37,"" "",""""))))-1),Excepciones!$A:$B,2,0)&gt;=0,IFERROR(INDEX(FI"&amp;"LTER(Precios!$D:$D,(Precios!$A:$A&lt;=$I12)*(Precios!$B:$B&gt;=$I12)*(Precios!$C:$C=U$37)),1)*(IF($K$10=""Sí"",0.94,1)),""""),"""")),"""")
"),"")</f>
        <v/>
      </c>
      <c r="V63" s="48"/>
      <c r="W63" s="48" t="str">
        <f>IFERROR(__xludf.DUMMYFUNCTION("IFERROR(IF($I12="""","""",IF(VLOOKUP(LEFT(W$37,SEARCH(""☃"",SUBSTITUTE(W$37,"" "",""☃"",LEN(W$37)-LEN(SUBSTITUTE(W$37,"" "",""""))))-1),Excepciones!$A:$B,2,0)&gt;=0,IFERROR(INDEX(filter(Precios!$D:$D,(Precios!$A:$A&lt;=$I12)*(Precios!$B:$B&gt;=$I12)*(Precios!$C:$C"&amp;"=W$37)),1)*1,""""),"""")),"""")"),"")</f>
        <v/>
      </c>
      <c r="X63" s="137"/>
      <c r="Y63" s="48" t="str">
        <f>IFERROR(__xludf.DUMMYFUNCTION("IFERROR(IF($I12="""","""",IF(VLOOKUP(LEFT(Y$37,SEARCH(""☃"",SUBSTITUTE(Y$37,"" "",""☃"",LEN(Y$37)-LEN(SUBSTITUTE(Y$37,"" "",""""))))-1),Excepciones!$A:$B,2,0)&gt;=0,IFERROR(INDEX(filter(Precios!$D:$D,(Precios!$A:$A&lt;=$I12)*(Precios!$B:$B&gt;=$I12)*(Precios!$C:$C"&amp;"=Y$37)),1)*1,""No asegurable""),""No asegurable"")),"""")"),"")</f>
        <v/>
      </c>
      <c r="Z63" s="48" t="str">
        <f>IFERROR(__xludf.DUMMYFUNCTION("IFERROR(IF($I12="""","""",IF(VLOOKUP(LEFT(Z$37,SEARCH(""☃"",SUBSTITUTE(Z$37,"" "",""☃"",LEN(Z$37)-LEN(SUBSTITUTE(Z$37,"" "",""""))))-1),Excepciones!$A:$B,2,0)&gt;=0,IFERROR(INDEX(filter(Precios!$D:$D,(Precios!$A:$A&lt;=$I12)*(Precios!$B:$B&gt;=$I12)*(Precios!$C:$C"&amp;"=Z$37)),1)*1,""No asegurable""),""No asegurable"")),"""")"),"")</f>
        <v/>
      </c>
      <c r="AA63" s="48" t="str">
        <f>IFERROR(__xludf.DUMMYFUNCTION("IFERROR(IF($I12="""","""",IF(VLOOKUP(LEFT(AA$37,SEARCH(""☃"",SUBSTITUTE(AA$37,"" "",""☃"",LEN(AA$37)-LEN(SUBSTITUTE(AA$37,"" "",""""))))-1),Excepciones!$A:$B,2,0)&gt;=0,IFERROR(INDEX(filter(Precios!$D:$D,(Precios!$A:$A&lt;=$I12)*(Precios!$B:$B&gt;=$I12)*(Precios!$"&amp;"C:$C=AA$37)),1)*1,""No asegurable""),""No asegurable"")),"""")"),"")</f>
        <v/>
      </c>
      <c r="AB63" s="48" t="str">
        <f>IFERROR(__xludf.DUMMYFUNCTION("IFERROR(IF($I12="""","""",IF(VLOOKUP(LEFT(AB$37,SEARCH(""☃"",SUBSTITUTE(AB$37,"" "",""☃"",LEN(AB$37)-LEN(SUBSTITUTE(AB$37,"" "",""""))))-1),Excepciones!$A:$B,2,0)&gt;=0,IFERROR(INDEX(filter(Precios!$D:$D,(Precios!$A:$A&lt;=$I12)*(Precios!$B:$B&gt;=$I12)*(Precios!$"&amp;"C:$C=AB$37)),1)*1,""No asegurable""),""No asegurable"")),"""")"),"")</f>
        <v/>
      </c>
      <c r="AC63" s="138" t="str">
        <f>IFERROR(__xludf.DUMMYFUNCTION("IFERROR(IF($I12="""","""",IF(VLOOKUP(LEFT(AC$37,SEARCH(""☃"",SUBSTITUTE(AC$37,"" "",""☃"",LEN(AC$37)-LEN(SUBSTITUTE(AC$37,"" "",""""))))-1),Excepciones!$A:$B,2,0)&gt;=0,IFERROR(INDEX(filter(Precios!$D:$D,(Precios!$A:$A&lt;=$I12)*(Precios!$B:$B&gt;=$I12)*(Precios!$"&amp;"C:$C=AC$37)),1)*1,""No asegurable""),""No asegurable"")),"""")"),"")</f>
        <v/>
      </c>
      <c r="AD63" s="5"/>
      <c r="AE63" s="5"/>
      <c r="AF63" s="5"/>
      <c r="AG63" s="5"/>
      <c r="AH63" s="125"/>
      <c r="AI63" s="125"/>
      <c r="AJ63" s="5"/>
      <c r="AK63" s="125"/>
      <c r="AL63" s="125"/>
    </row>
    <row r="64" ht="22.5" customHeight="1">
      <c r="L64" s="116">
        <v>8.0</v>
      </c>
      <c r="M64" s="48"/>
      <c r="N64" s="48" t="str">
        <f>IFERROR(__xludf.DUMMYFUNCTION("IFERROR(IF($I13="""","""",IF($K$8&gt;0,"""",IF(COUNT($I$6:$I$13)&gt;1,0.9,1)*IF(VLOOKUP(LEFT(N$37,SEARCH(""☃"",SUBSTITUTE(N$37,"" "",""☃"",LEN(N$37)-LEN(SUBSTITUTE(N$37,"" "",""""))))-1),Excepciones!$A:$B,2,0)&gt;=0,IFERROR(INDEX(FILTER(Precios!$D:$D,(Precios!$A:$"&amp;"A&lt;=$I13)*(Precios!$B:$B&gt;=$I13)*(Precios!$C:$C=N$37)),1)*(1-$K$6),""No asegurable""),""No asegurable""))),"""")
"),"")</f>
        <v/>
      </c>
      <c r="O64" s="48" t="str">
        <f>IFERROR(__xludf.DUMMYFUNCTION("IFERROR(IF(IF(COUNT($I$6:$I$13)&gt;3,0.9,1)*IF(VLOOKUP(LEFT(O$37,SEARCH(""☃"",SUBSTITUTE(O$37,"" "",""☃"",LEN(O$37)-LEN(SUBSTITUTE(O$37,"" "",""""))))-1),Excepciones!$A:$B,2,0)&gt;=0,IFERROR(INDEX(FILTER(Precios!$D:$D,(Precios!$A:$A&lt;=$I13)*(Precios!$B:$B&gt;=$I13)"&amp;"*(Precios!$C:$C=O$37)),1)*(IF($K$10=""Sí"",0.94,1)),""""),"""")=0,"""",IF(COUNT($I$6:$I$13)&gt;3,0.9,1)*IF(VLOOKUP(LEFT(O$37,SEARCH(""☃"",SUBSTITUTE(O$37,"" "",""☃"",LEN(O$37)-LEN(SUBSTITUTE(O$37,"" "",""""))))-1),Excepciones!$A:$B,2,0)&gt;=0,IFERROR(INDEX(FILT"&amp;"ER(Precios!$D:$D,(Precios!$A:$A&lt;=$I13)*(Precios!$B:$B&gt;=$I13)*(Precios!$C:$C=O$37)),1)*(IF($K$10=""Sí"",0.94,1)),""""),"""")),"""")
"),"")</f>
        <v/>
      </c>
      <c r="P64" s="136"/>
      <c r="Q64" s="48" t="str">
        <f>IFERROR(__xludf.DUMMYFUNCTION("IFERROR(IF(IF(COUNT($I$6:$I$13)&gt;3,0.9,1)*IF(VLOOKUP(LEFT(Q$37,SEARCH(""☃"",SUBSTITUTE(Q$37,"" "",""☃"",LEN(Q$37)-LEN(SUBSTITUTE(Q$37,"" "",""""))))-1),Excepciones!$A:$B,2,0)&gt;=0,IFERROR(INDEX(FILTER(Precios!$D:$D,(Precios!$A:$A&lt;=$I13)*(Precios!$B:$B&gt;=$I13)"&amp;"*(Precios!$C:$C=Q$37)),1)*(IF($K$10=""Sí"",0.94,1)),""""),"""")=0,"""",IF(COUNT($I$6:$I$13)&gt;3,0.9,1)*IF(VLOOKUP(LEFT(Q$37,SEARCH(""☃"",SUBSTITUTE(Q$37,"" "",""☃"",LEN(Q$37)-LEN(SUBSTITUTE(Q$37,"" "",""""))))-1),Excepciones!$A:$B,2,0)&gt;=0,IFERROR(INDEX(FILT"&amp;"ER(Precios!$D:$D,(Precios!$A:$A&lt;=$I13)*(Precios!$B:$B&gt;=$I13)*(Precios!$C:$C=Q$37)),1)*(IF($K$10=""Sí"",0.94,1)),""""),"""")),"""")
"),"")</f>
        <v/>
      </c>
      <c r="R64" s="48" t="str">
        <f>IFERROR(__xludf.DUMMYFUNCTION("IFERROR(IF(IF(COUNT($I$6:$I$13)&gt;3,0.9,1)*IF(VLOOKUP(LEFT(R$37,SEARCH(""☃"",SUBSTITUTE(R$37,"" "",""☃"",LEN(R$37)-LEN(SUBSTITUTE(R$37,"" "",""""))))-1),Excepciones!$A:$B,2,0)&gt;=0,IFERROR(INDEX(FILTER(Precios!$D:$D,(Precios!$A:$A&lt;=$I13)*(Precios!$B:$B&gt;=$I13)"&amp;"*(Precios!$C:$C=R$37)),1)*(IF($K$10=""Sí"",0.94,1)),""""),"""")=0,"""",IF(COUNT($I$6:$I$13)&gt;3,0.9,1)*IF(VLOOKUP(LEFT(R$37,SEARCH(""☃"",SUBSTITUTE(R$37,"" "",""☃"",LEN(R$37)-LEN(SUBSTITUTE(R$37,"" "",""""))))-1),Excepciones!$A:$B,2,0)&gt;=0,IFERROR(INDEX(FILT"&amp;"ER(Precios!$D:$D,(Precios!$A:$A&lt;=$I13)*(Precios!$B:$B&gt;=$I13)*(Precios!$C:$C=R$37)),1)*(IF($K$10=""Sí"",0.94,1)),""""),"""")),"""")
"),"")</f>
        <v/>
      </c>
      <c r="S64" s="136"/>
      <c r="T64" s="48" t="str">
        <f>IFERROR(__xludf.DUMMYFUNCTION("IFERROR(IF(IF(COUNT($I$6:$I$13)&gt;3,0.9,1)*IF(VLOOKUP(LEFT(T$37,SEARCH(""☃"",SUBSTITUTE(T$37,"" "",""☃"",LEN(T$37)-LEN(SUBSTITUTE(T$37,"" "",""""))))-1),Excepciones!$A:$B,2,0)&gt;=0,IFERROR(INDEX(FILTER(Precios!$D:$D,(Precios!$A:$A&lt;=$I13)*(Precios!$B:$B&gt;=$I13)"&amp;"*(Precios!$C:$C=T$37)),1)*(IF($K$10=""Sí"",0.94,1)),""""),"""")=0,"""",IF(COUNT($I$6:$I$13)&gt;3,0.9,1)*IF(VLOOKUP(LEFT(T$37,SEARCH(""☃"",SUBSTITUTE(T$37,"" "",""☃"",LEN(T$37)-LEN(SUBSTITUTE(T$37,"" "",""""))))-1),Excepciones!$A:$B,2,0)&gt;=0,IFERROR(INDEX(FILT"&amp;"ER(Precios!$D:$D,(Precios!$A:$A&lt;=$I13)*(Precios!$B:$B&gt;=$I13)*(Precios!$C:$C=T$37)),1)*(IF($K$10=""Sí"",0.94,1)),""""),"""")),"""")
"),"")</f>
        <v/>
      </c>
      <c r="U64" s="48" t="str">
        <f>IFERROR(__xludf.DUMMYFUNCTION("IFERROR(IF(IF(COUNT($I$6:$I$13)&gt;=3,0.9,1)*IF(VLOOKUP(LEFT(U$37,SEARCH(""☃"",SUBSTITUTE(U$37,"" "",""☃"",LEN(U$37)-LEN(SUBSTITUTE(U$37,"" "",""""))))-1),Excepciones!$A:$B,2,0)&gt;=0,IFERROR(INDEX(FILTER(Precios!$D:$D,(Precios!$A:$A&lt;=$I13)*(Precios!$B:$B&gt;=$I13"&amp;")*(Precios!$C:$C=U$37)),1)*(IF($K$10=""Sí"",0.94,1)),""""),"""")=0,"""",IF(COUNT($I$6:$I$13)&gt;=3,0.9,1)*IF(VLOOKUP(LEFT(U$37,SEARCH(""☃"",SUBSTITUTE(U$37,"" "",""☃"",LEN(U$37)-LEN(SUBSTITUTE(U$37,"" "",""""))))-1),Excepciones!$A:$B,2,0)&gt;=0,IFERROR(INDEX(FI"&amp;"LTER(Precios!$D:$D,(Precios!$A:$A&lt;=$I13)*(Precios!$B:$B&gt;=$I13)*(Precios!$C:$C=U$37)),1)*(IF($K$10=""Sí"",0.94,1)),""""),"""")),"""")
"),"")</f>
        <v/>
      </c>
      <c r="V64" s="48"/>
      <c r="W64" s="48" t="str">
        <f>IFERROR(__xludf.DUMMYFUNCTION("IFERROR(IF($I13="""","""",IF(VLOOKUP(LEFT(W$37,SEARCH(""☃"",SUBSTITUTE(W$37,"" "",""☃"",LEN(W$37)-LEN(SUBSTITUTE(W$37,"" "",""""))))-1),Excepciones!$A:$B,2,0)&gt;=0,IFERROR(INDEX(filter(Precios!$D:$D,(Precios!$A:$A&lt;=$I13)*(Precios!$B:$B&gt;=$I13)*(Precios!$C:$C"&amp;"=W$37)),1)*1,""""),"""")),"""")"),"")</f>
        <v/>
      </c>
      <c r="X64" s="137"/>
      <c r="Y64" s="48" t="str">
        <f>IFERROR(__xludf.DUMMYFUNCTION("IFERROR(IF($I13="""","""",IF(VLOOKUP(LEFT(Y$37,SEARCH(""☃"",SUBSTITUTE(Y$37,"" "",""☃"",LEN(Y$37)-LEN(SUBSTITUTE(Y$37,"" "",""""))))-1),Excepciones!$A:$B,2,0)&gt;=0,IFERROR(INDEX(filter(Precios!$D:$D,(Precios!$A:$A&lt;=$I13)*(Precios!$B:$B&gt;=$I13)*(Precios!$C:$C"&amp;"=Y$37)),1)*1,""No asegurable""),""No asegurable"")),"""")"),"")</f>
        <v/>
      </c>
      <c r="Z64" s="48" t="str">
        <f>IFERROR(__xludf.DUMMYFUNCTION("IFERROR(IF($I13="""","""",IF(VLOOKUP(LEFT(Z$37,SEARCH(""☃"",SUBSTITUTE(Z$37,"" "",""☃"",LEN(Z$37)-LEN(SUBSTITUTE(Z$37,"" "",""""))))-1),Excepciones!$A:$B,2,0)&gt;=0,IFERROR(INDEX(filter(Precios!$D:$D,(Precios!$A:$A&lt;=$I13)*(Precios!$B:$B&gt;=$I13)*(Precios!$C:$C"&amp;"=Z$37)),1)*1,""No asegurable""),""No asegurable"")),"""")"),"")</f>
        <v/>
      </c>
      <c r="AA64" s="48" t="str">
        <f>IFERROR(__xludf.DUMMYFUNCTION("IFERROR(IF($I13="""","""",IF(VLOOKUP(LEFT(AA$37,SEARCH(""☃"",SUBSTITUTE(AA$37,"" "",""☃"",LEN(AA$37)-LEN(SUBSTITUTE(AA$37,"" "",""""))))-1),Excepciones!$A:$B,2,0)&gt;=0,IFERROR(INDEX(filter(Precios!$D:$D,(Precios!$A:$A&lt;=$I13)*(Precios!$B:$B&gt;=$I13)*(Precios!$"&amp;"C:$C=AA$37)),1)*1,""No asegurable""),""No asegurable"")),"""")"),"")</f>
        <v/>
      </c>
      <c r="AB64" s="48" t="str">
        <f>IFERROR(__xludf.DUMMYFUNCTION("IFERROR(IF($I13="""","""",IF(VLOOKUP(LEFT(AB$37,SEARCH(""☃"",SUBSTITUTE(AB$37,"" "",""☃"",LEN(AB$37)-LEN(SUBSTITUTE(AB$37,"" "",""""))))-1),Excepciones!$A:$B,2,0)&gt;=0,IFERROR(INDEX(filter(Precios!$D:$D,(Precios!$A:$A&lt;=$I13)*(Precios!$B:$B&gt;=$I13)*(Precios!$"&amp;"C:$C=AB$37)),1)*1,""No asegurable""),""No asegurable"")),"""")"),"")</f>
        <v/>
      </c>
      <c r="AC64" s="138" t="str">
        <f>IFERROR(__xludf.DUMMYFUNCTION("IFERROR(IF($I13="""","""",IF(VLOOKUP(LEFT(AC$37,SEARCH(""☃"",SUBSTITUTE(AC$37,"" "",""☃"",LEN(AC$37)-LEN(SUBSTITUTE(AC$37,"" "",""""))))-1),Excepciones!$A:$B,2,0)&gt;=0,IFERROR(INDEX(filter(Precios!$D:$D,(Precios!$A:$A&lt;=$I13)*(Precios!$B:$B&gt;=$I13)*(Precios!$"&amp;"C:$C=AC$37)),1)*1,""No asegurable""),""No asegurable"")),"""")"),"")</f>
        <v/>
      </c>
      <c r="AD64" s="5"/>
      <c r="AE64" s="5"/>
      <c r="AF64" s="5"/>
      <c r="AG64" s="5"/>
      <c r="AH64" s="125"/>
      <c r="AI64" s="125"/>
      <c r="AJ64" s="5"/>
      <c r="AK64" s="125"/>
      <c r="AL64" s="125"/>
    </row>
    <row r="65" ht="22.5" customHeight="1">
      <c r="L65" s="116">
        <v>9.0</v>
      </c>
      <c r="M65" s="48"/>
      <c r="N65" s="48" t="str">
        <f>IFERROR(__xludf.DUMMYFUNCTION("IFERROR(IF($I14="""","""",IF($K$8&gt;0,"""",IF(COUNT($I$6:$I$13)&gt;1,0.9,1)*IF(VLOOKUP(LEFT(N$37,SEARCH(""☃"",SUBSTITUTE(N$37,"" "",""☃"",LEN(N$37)-LEN(SUBSTITUTE(N$37,"" "",""""))))-1),Excepciones!$A:$B,2,0)&gt;=0,IFERROR(INDEX(FILTER(Precios!$D:$D,(Precios!$A:$"&amp;"A&lt;=$I14)*(Precios!$B:$B&gt;=$I14)*(Precios!$C:$C=N$37)),1)*(1-$K$6),""No asegurable""),""No asegurable""))),"""")
"),"")</f>
        <v/>
      </c>
      <c r="O65" s="48" t="str">
        <f>IFERROR(__xludf.DUMMYFUNCTION("IFERROR(IF(IF(COUNT($I$6:$I$13)&gt;3,0.9,1)*IF(VLOOKUP(LEFT(O$37,SEARCH(""☃"",SUBSTITUTE(O$37,"" "",""☃"",LEN(O$37)-LEN(SUBSTITUTE(O$37,"" "",""""))))-1),Excepciones!$A:$B,2,0)&gt;=0,IFERROR(INDEX(FILTER(Precios!$D:$D,(Precios!$A:$A&lt;=$I14)*(Precios!$B:$B&gt;=$I14)"&amp;"*(Precios!$C:$C=O$37)),1)*(IF($K$10=""Sí"",0.94,1)),""""),"""")=0,"""",IF(COUNT($I$6:$I$13)&gt;3,0.9,1)*IF(VLOOKUP(LEFT(O$37,SEARCH(""☃"",SUBSTITUTE(O$37,"" "",""☃"",LEN(O$37)-LEN(SUBSTITUTE(O$37,"" "",""""))))-1),Excepciones!$A:$B,2,0)&gt;=0,IFERROR(INDEX(FILT"&amp;"ER(Precios!$D:$D,(Precios!$A:$A&lt;=$I14)*(Precios!$B:$B&gt;=$I14)*(Precios!$C:$C=O$37)),1)*(IF($K$10=""Sí"",0.94,1)),""""),"""")),"""")
"),"")</f>
        <v/>
      </c>
      <c r="P65" s="136"/>
      <c r="Q65" s="48" t="str">
        <f>IFERROR(__xludf.DUMMYFUNCTION("IFERROR(IF(IF(COUNT($I$6:$I$13)&gt;3,0.9,1)*IF(VLOOKUP(LEFT(Q$37,SEARCH(""☃"",SUBSTITUTE(Q$37,"" "",""☃"",LEN(Q$37)-LEN(SUBSTITUTE(Q$37,"" "",""""))))-1),Excepciones!$A:$B,2,0)&gt;=0,IFERROR(INDEX(FILTER(Precios!$D:$D,(Precios!$A:$A&lt;=$I14)*(Precios!$B:$B&gt;=$I14)"&amp;"*(Precios!$C:$C=Q$37)),1)*(IF($K$10=""Sí"",0.94,1)),""""),"""")=0,"""",IF(COUNT($I$6:$I$13)&gt;3,0.9,1)*IF(VLOOKUP(LEFT(Q$37,SEARCH(""☃"",SUBSTITUTE(Q$37,"" "",""☃"",LEN(Q$37)-LEN(SUBSTITUTE(Q$37,"" "",""""))))-1),Excepciones!$A:$B,2,0)&gt;=0,IFERROR(INDEX(FILT"&amp;"ER(Precios!$D:$D,(Precios!$A:$A&lt;=$I14)*(Precios!$B:$B&gt;=$I14)*(Precios!$C:$C=Q$37)),1)*(IF($K$10=""Sí"",0.94,1)),""""),"""")),"""")
"),"")</f>
        <v/>
      </c>
      <c r="R65" s="48" t="str">
        <f>IFERROR(__xludf.DUMMYFUNCTION("IFERROR(IF(IF(COUNT($I$6:$I$13)&gt;3,0.9,1)*IF(VLOOKUP(LEFT(R$37,SEARCH(""☃"",SUBSTITUTE(R$37,"" "",""☃"",LEN(R$37)-LEN(SUBSTITUTE(R$37,"" "",""""))))-1),Excepciones!$A:$B,2,0)&gt;=0,IFERROR(INDEX(FILTER(Precios!$D:$D,(Precios!$A:$A&lt;=$I14)*(Precios!$B:$B&gt;=$I14)"&amp;"*(Precios!$C:$C=R$37)),1)*(IF($K$10=""Sí"",0.94,1)),""""),"""")=0,"""",IF(COUNT($I$6:$I$13)&gt;3,0.9,1)*IF(VLOOKUP(LEFT(R$37,SEARCH(""☃"",SUBSTITUTE(R$37,"" "",""☃"",LEN(R$37)-LEN(SUBSTITUTE(R$37,"" "",""""))))-1),Excepciones!$A:$B,2,0)&gt;=0,IFERROR(INDEX(FILT"&amp;"ER(Precios!$D:$D,(Precios!$A:$A&lt;=$I14)*(Precios!$B:$B&gt;=$I14)*(Precios!$C:$C=R$37)),1)*(IF($K$10=""Sí"",0.94,1)),""""),"""")),"""")
"),"")</f>
        <v/>
      </c>
      <c r="S65" s="136"/>
      <c r="T65" s="48" t="str">
        <f>IFERROR(__xludf.DUMMYFUNCTION("IFERROR(IF(IF(COUNT($I$6:$I$13)&gt;3,0.9,1)*IF(VLOOKUP(LEFT(T$37,SEARCH(""☃"",SUBSTITUTE(T$37,"" "",""☃"",LEN(T$37)-LEN(SUBSTITUTE(T$37,"" "",""""))))-1),Excepciones!$A:$B,2,0)&gt;=0,IFERROR(INDEX(FILTER(Precios!$D:$D,(Precios!$A:$A&lt;=$I14)*(Precios!$B:$B&gt;=$I14)"&amp;"*(Precios!$C:$C=T$37)),1)*(IF($K$10=""Sí"",0.94,1)),""""),"""")=0,"""",IF(COUNT($I$6:$I$13)&gt;3,0.9,1)*IF(VLOOKUP(LEFT(T$37,SEARCH(""☃"",SUBSTITUTE(T$37,"" "",""☃"",LEN(T$37)-LEN(SUBSTITUTE(T$37,"" "",""""))))-1),Excepciones!$A:$B,2,0)&gt;=0,IFERROR(INDEX(FILT"&amp;"ER(Precios!$D:$D,(Precios!$A:$A&lt;=$I14)*(Precios!$B:$B&gt;=$I14)*(Precios!$C:$C=T$37)),1)*(IF($K$10=""Sí"",0.94,1)),""""),"""")),"""")
"),"")</f>
        <v/>
      </c>
      <c r="U65" s="48" t="str">
        <f>IFERROR(__xludf.DUMMYFUNCTION("IFERROR(IF(IF(COUNT($I$6:$I$13)&gt;=3,0.9,1)*IF(VLOOKUP(LEFT(U$37,SEARCH(""☃"",SUBSTITUTE(U$37,"" "",""☃"",LEN(U$37)-LEN(SUBSTITUTE(U$37,"" "",""""))))-1),Excepciones!$A:$B,2,0)&gt;=0,IFERROR(INDEX(FILTER(Precios!$D:$D,(Precios!$A:$A&lt;=$I14)*(Precios!$B:$B&gt;=$I14"&amp;")*(Precios!$C:$C=U$37)),1)*(IF($K$10=""Sí"",0.94,1)),""""),"""")=0,"""",IF(COUNT($I$6:$I$13)&gt;=3,0.9,1)*IF(VLOOKUP(LEFT(U$37,SEARCH(""☃"",SUBSTITUTE(U$37,"" "",""☃"",LEN(U$37)-LEN(SUBSTITUTE(U$37,"" "",""""))))-1),Excepciones!$A:$B,2,0)&gt;=0,IFERROR(INDEX(FI"&amp;"LTER(Precios!$D:$D,(Precios!$A:$A&lt;=$I14)*(Precios!$B:$B&gt;=$I14)*(Precios!$C:$C=U$37)),1)*(IF($K$10=""Sí"",0.94,1)),""""),"""")),"""")
"),"")</f>
        <v/>
      </c>
      <c r="V65" s="48"/>
      <c r="W65" s="48" t="str">
        <f>IFERROR(__xludf.DUMMYFUNCTION("IFERROR(IF($I14="""","""",IF(VLOOKUP(LEFT(W$37,SEARCH(""☃"",SUBSTITUTE(W$37,"" "",""☃"",LEN(W$37)-LEN(SUBSTITUTE(W$37,"" "",""""))))-1),Excepciones!$A:$B,2,0)&gt;=0,IFERROR(INDEX(filter(Precios!$D:$D,(Precios!$A:$A&lt;=$I14)*(Precios!$B:$B&gt;=$I14)*(Precios!$C:$C"&amp;"=W$37)),1)*1,""""),"""")),"""")"),"")</f>
        <v/>
      </c>
      <c r="X65" s="137"/>
      <c r="Y65" s="48" t="str">
        <f>IFERROR(__xludf.DUMMYFUNCTION("IFERROR(IF($I14="""","""",IF(VLOOKUP(LEFT(Y$37,SEARCH(""☃"",SUBSTITUTE(Y$37,"" "",""☃"",LEN(Y$37)-LEN(SUBSTITUTE(Y$37,"" "",""""))))-1),Excepciones!$A:$B,2,0)&gt;=0,IFERROR(INDEX(filter(Precios!$D:$D,(Precios!$A:$A&lt;=$I14)*(Precios!$B:$B&gt;=$I14)*(Precios!$C:$C"&amp;"=Y$37)),1)*1,""No asegurable""),""No asegurable"")),"""")"),"")</f>
        <v/>
      </c>
      <c r="Z65" s="48" t="str">
        <f>IFERROR(__xludf.DUMMYFUNCTION("IFERROR(IF($I14="""","""",IF(VLOOKUP(LEFT(Z$37,SEARCH(""☃"",SUBSTITUTE(Z$37,"" "",""☃"",LEN(Z$37)-LEN(SUBSTITUTE(Z$37,"" "",""""))))-1),Excepciones!$A:$B,2,0)&gt;=0,IFERROR(INDEX(filter(Precios!$D:$D,(Precios!$A:$A&lt;=$I14)*(Precios!$B:$B&gt;=$I14)*(Precios!$C:$C"&amp;"=Z$37)),1)*1,""No asegurable""),""No asegurable"")),"""")"),"")</f>
        <v/>
      </c>
      <c r="AA65" s="48" t="str">
        <f>IFERROR(__xludf.DUMMYFUNCTION("IFERROR(IF($I14="""","""",IF(VLOOKUP(LEFT(AA$37,SEARCH(""☃"",SUBSTITUTE(AA$37,"" "",""☃"",LEN(AA$37)-LEN(SUBSTITUTE(AA$37,"" "",""""))))-1),Excepciones!$A:$B,2,0)&gt;=0,IFERROR(INDEX(filter(Precios!$D:$D,(Precios!$A:$A&lt;=$I14)*(Precios!$B:$B&gt;=$I14)*(Precios!$"&amp;"C:$C=AA$37)),1)*1,""No asegurable""),""No asegurable"")),"""")"),"")</f>
        <v/>
      </c>
      <c r="AB65" s="48" t="str">
        <f>IFERROR(__xludf.DUMMYFUNCTION("IFERROR(IF($I14="""","""",IF(VLOOKUP(LEFT(AB$37,SEARCH(""☃"",SUBSTITUTE(AB$37,"" "",""☃"",LEN(AB$37)-LEN(SUBSTITUTE(AB$37,"" "",""""))))-1),Excepciones!$A:$B,2,0)&gt;=0,IFERROR(INDEX(filter(Precios!$D:$D,(Precios!$A:$A&lt;=$I14)*(Precios!$B:$B&gt;=$I14)*(Precios!$"&amp;"C:$C=AB$37)),1)*1,""No asegurable""),""No asegurable"")),"""")"),"")</f>
        <v/>
      </c>
      <c r="AC65" s="138" t="str">
        <f>IFERROR(__xludf.DUMMYFUNCTION("IFERROR(IF($I14="""","""",IF(VLOOKUP(LEFT(AC$37,SEARCH(""☃"",SUBSTITUTE(AC$37,"" "",""☃"",LEN(AC$37)-LEN(SUBSTITUTE(AC$37,"" "",""""))))-1),Excepciones!$A:$B,2,0)&gt;=0,IFERROR(INDEX(filter(Precios!$D:$D,(Precios!$A:$A&lt;=$I14)*(Precios!$B:$B&gt;=$I14)*(Precios!$"&amp;"C:$C=AC$37)),1)*1,""No asegurable""),""No asegurable"")),"""")"),"")</f>
        <v/>
      </c>
      <c r="AD65" s="5"/>
      <c r="AE65" s="5"/>
      <c r="AF65" s="5"/>
      <c r="AG65" s="5"/>
      <c r="AH65" s="125"/>
      <c r="AI65" s="125"/>
      <c r="AJ65" s="5"/>
      <c r="AK65" s="125"/>
      <c r="AL65" s="125"/>
    </row>
    <row r="66" ht="22.5" customHeight="1">
      <c r="L66" s="116">
        <v>10.0</v>
      </c>
      <c r="M66" s="48"/>
      <c r="N66" s="48" t="str">
        <f>IFERROR(__xludf.DUMMYFUNCTION("IFERROR(IF($I15="""","""",IF($K$8&gt;0,"""",IF(COUNT($I$6:$I$13)&gt;1,0.9,1)*IF(VLOOKUP(LEFT(N$37,SEARCH(""☃"",SUBSTITUTE(N$37,"" "",""☃"",LEN(N$37)-LEN(SUBSTITUTE(N$37,"" "",""""))))-1),Excepciones!$A:$B,2,0)&gt;=0,IFERROR(INDEX(FILTER(Precios!$D:$D,(Precios!$A:$"&amp;"A&lt;=$I15)*(Precios!$B:$B&gt;=$I15)*(Precios!$C:$C=N$37)),1)*(1-$K$6),""No asegurable""),""No asegurable""))),"""")
"),"")</f>
        <v/>
      </c>
      <c r="O66" s="48" t="str">
        <f>IFERROR(__xludf.DUMMYFUNCTION("IFERROR(IF(IF(COUNT($I$6:$I$13)&gt;3,0.9,1)*IF(VLOOKUP(LEFT(O$37,SEARCH(""☃"",SUBSTITUTE(O$37,"" "",""☃"",LEN(O$37)-LEN(SUBSTITUTE(O$37,"" "",""""))))-1),Excepciones!$A:$B,2,0)&gt;=0,IFERROR(INDEX(FILTER(Precios!$D:$D,(Precios!$A:$A&lt;=$I15)*(Precios!$B:$B&gt;=$I15)"&amp;"*(Precios!$C:$C=O$37)),1)*(IF($K$10=""Sí"",0.94,1)),""""),"""")=0,"""",IF(COUNT($I$6:$I$13)&gt;3,0.9,1)*IF(VLOOKUP(LEFT(O$37,SEARCH(""☃"",SUBSTITUTE(O$37,"" "",""☃"",LEN(O$37)-LEN(SUBSTITUTE(O$37,"" "",""""))))-1),Excepciones!$A:$B,2,0)&gt;=0,IFERROR(INDEX(FILT"&amp;"ER(Precios!$D:$D,(Precios!$A:$A&lt;=$I15)*(Precios!$B:$B&gt;=$I15)*(Precios!$C:$C=O$37)),1)*(IF($K$10=""Sí"",0.94,1)),""""),"""")),"""")
"),"")</f>
        <v/>
      </c>
      <c r="P66" s="136"/>
      <c r="Q66" s="48" t="str">
        <f>IFERROR(__xludf.DUMMYFUNCTION("IFERROR(IF(IF(COUNT($I$6:$I$13)&gt;3,0.9,1)*IF(VLOOKUP(LEFT(Q$37,SEARCH(""☃"",SUBSTITUTE(Q$37,"" "",""☃"",LEN(Q$37)-LEN(SUBSTITUTE(Q$37,"" "",""""))))-1),Excepciones!$A:$B,2,0)&gt;=0,IFERROR(INDEX(FILTER(Precios!$D:$D,(Precios!$A:$A&lt;=$I15)*(Precios!$B:$B&gt;=$I15)"&amp;"*(Precios!$C:$C=Q$37)),1)*(IF($K$10=""Sí"",0.94,1)),""""),"""")=0,"""",IF(COUNT($I$6:$I$13)&gt;3,0.9,1)*IF(VLOOKUP(LEFT(Q$37,SEARCH(""☃"",SUBSTITUTE(Q$37,"" "",""☃"",LEN(Q$37)-LEN(SUBSTITUTE(Q$37,"" "",""""))))-1),Excepciones!$A:$B,2,0)&gt;=0,IFERROR(INDEX(FILT"&amp;"ER(Precios!$D:$D,(Precios!$A:$A&lt;=$I15)*(Precios!$B:$B&gt;=$I15)*(Precios!$C:$C=Q$37)),1)*(IF($K$10=""Sí"",0.94,1)),""""),"""")),"""")
"),"")</f>
        <v/>
      </c>
      <c r="R66" s="48" t="str">
        <f>IFERROR(__xludf.DUMMYFUNCTION("IFERROR(IF(IF(COUNT($I$6:$I$13)&gt;3,0.9,1)*IF(VLOOKUP(LEFT(R$37,SEARCH(""☃"",SUBSTITUTE(R$37,"" "",""☃"",LEN(R$37)-LEN(SUBSTITUTE(R$37,"" "",""""))))-1),Excepciones!$A:$B,2,0)&gt;=0,IFERROR(INDEX(FILTER(Precios!$D:$D,(Precios!$A:$A&lt;=$I15)*(Precios!$B:$B&gt;=$I15)"&amp;"*(Precios!$C:$C=R$37)),1)*(IF($K$10=""Sí"",0.94,1)),""""),"""")=0,"""",IF(COUNT($I$6:$I$13)&gt;3,0.9,1)*IF(VLOOKUP(LEFT(R$37,SEARCH(""☃"",SUBSTITUTE(R$37,"" "",""☃"",LEN(R$37)-LEN(SUBSTITUTE(R$37,"" "",""""))))-1),Excepciones!$A:$B,2,0)&gt;=0,IFERROR(INDEX(FILT"&amp;"ER(Precios!$D:$D,(Precios!$A:$A&lt;=$I15)*(Precios!$B:$B&gt;=$I15)*(Precios!$C:$C=R$37)),1)*(IF($K$10=""Sí"",0.94,1)),""""),"""")),"""")
"),"")</f>
        <v/>
      </c>
      <c r="S66" s="136"/>
      <c r="T66" s="48" t="str">
        <f>IFERROR(__xludf.DUMMYFUNCTION("IFERROR(IF(IF(COUNT($I$6:$I$13)&gt;3,0.9,1)*IF(VLOOKUP(LEFT(T$37,SEARCH(""☃"",SUBSTITUTE(T$37,"" "",""☃"",LEN(T$37)-LEN(SUBSTITUTE(T$37,"" "",""""))))-1),Excepciones!$A:$B,2,0)&gt;=0,IFERROR(INDEX(FILTER(Precios!$D:$D,(Precios!$A:$A&lt;=$I15)*(Precios!$B:$B&gt;=$I15)"&amp;"*(Precios!$C:$C=T$37)),1)*(IF($K$10=""Sí"",0.94,1)),""""),"""")=0,"""",IF(COUNT($I$6:$I$13)&gt;3,0.9,1)*IF(VLOOKUP(LEFT(T$37,SEARCH(""☃"",SUBSTITUTE(T$37,"" "",""☃"",LEN(T$37)-LEN(SUBSTITUTE(T$37,"" "",""""))))-1),Excepciones!$A:$B,2,0)&gt;=0,IFERROR(INDEX(FILT"&amp;"ER(Precios!$D:$D,(Precios!$A:$A&lt;=$I15)*(Precios!$B:$B&gt;=$I15)*(Precios!$C:$C=T$37)),1)*(IF($K$10=""Sí"",0.94,1)),""""),"""")),"""")
"),"")</f>
        <v/>
      </c>
      <c r="U66" s="48" t="str">
        <f>IFERROR(__xludf.DUMMYFUNCTION("IFERROR(IF(IF(COUNT($I$6:$I$13)&gt;=3,0.9,1)*IF(VLOOKUP(LEFT(U$37,SEARCH(""☃"",SUBSTITUTE(U$37,"" "",""☃"",LEN(U$37)-LEN(SUBSTITUTE(U$37,"" "",""""))))-1),Excepciones!$A:$B,2,0)&gt;=0,IFERROR(INDEX(FILTER(Precios!$D:$D,(Precios!$A:$A&lt;=$I15)*(Precios!$B:$B&gt;=$I15"&amp;")*(Precios!$C:$C=U$37)),1)*(IF($K$10=""Sí"",0.94,1)),""""),"""")=0,"""",IF(COUNT($I$6:$I$13)&gt;=3,0.9,1)*IF(VLOOKUP(LEFT(U$37,SEARCH(""☃"",SUBSTITUTE(U$37,"" "",""☃"",LEN(U$37)-LEN(SUBSTITUTE(U$37,"" "",""""))))-1),Excepciones!$A:$B,2,0)&gt;=0,IFERROR(INDEX(FI"&amp;"LTER(Precios!$D:$D,(Precios!$A:$A&lt;=$I15)*(Precios!$B:$B&gt;=$I15)*(Precios!$C:$C=U$37)),1)*(IF($K$10=""Sí"",0.94,1)),""""),"""")),"""")
"),"")</f>
        <v/>
      </c>
      <c r="V66" s="48"/>
      <c r="W66" s="48" t="str">
        <f>IFERROR(__xludf.DUMMYFUNCTION("IFERROR(IF($I15="""","""",IF(VLOOKUP(LEFT(W$37,SEARCH(""☃"",SUBSTITUTE(W$37,"" "",""☃"",LEN(W$37)-LEN(SUBSTITUTE(W$37,"" "",""""))))-1),Excepciones!$A:$B,2,0)&gt;=0,IFERROR(INDEX(filter(Precios!$D:$D,(Precios!$A:$A&lt;=$I15)*(Precios!$B:$B&gt;=$I15)*(Precios!$C:$C"&amp;"=W$37)),1)*1,""""),"""")),"""")"),"")</f>
        <v/>
      </c>
      <c r="X66" s="137"/>
      <c r="Y66" s="48" t="str">
        <f>IFERROR(__xludf.DUMMYFUNCTION("IFERROR(IF($I15="""","""",IF(VLOOKUP(LEFT(Y$37,SEARCH(""☃"",SUBSTITUTE(Y$37,"" "",""☃"",LEN(Y$37)-LEN(SUBSTITUTE(Y$37,"" "",""""))))-1),Excepciones!$A:$B,2,0)&gt;=0,IFERROR(INDEX(filter(Precios!$D:$D,(Precios!$A:$A&lt;=$I15)*(Precios!$B:$B&gt;=$I15)*(Precios!$C:$C"&amp;"=Y$37)),1)*1,""No asegurable""),""No asegurable"")),"""")"),"")</f>
        <v/>
      </c>
      <c r="Z66" s="48" t="str">
        <f>IFERROR(__xludf.DUMMYFUNCTION("IFERROR(IF($I15="""","""",IF(VLOOKUP(LEFT(Z$37,SEARCH(""☃"",SUBSTITUTE(Z$37,"" "",""☃"",LEN(Z$37)-LEN(SUBSTITUTE(Z$37,"" "",""""))))-1),Excepciones!$A:$B,2,0)&gt;=0,IFERROR(INDEX(filter(Precios!$D:$D,(Precios!$A:$A&lt;=$I15)*(Precios!$B:$B&gt;=$I15)*(Precios!$C:$C"&amp;"=Z$37)),1)*1,""No asegurable""),""No asegurable"")),"""")"),"")</f>
        <v/>
      </c>
      <c r="AA66" s="48" t="str">
        <f>IFERROR(__xludf.DUMMYFUNCTION("IFERROR(IF($I15="""","""",IF(VLOOKUP(LEFT(AA$37,SEARCH(""☃"",SUBSTITUTE(AA$37,"" "",""☃"",LEN(AA$37)-LEN(SUBSTITUTE(AA$37,"" "",""""))))-1),Excepciones!$A:$B,2,0)&gt;=0,IFERROR(INDEX(filter(Precios!$D:$D,(Precios!$A:$A&lt;=$I15)*(Precios!$B:$B&gt;=$I15)*(Precios!$"&amp;"C:$C=AA$37)),1)*1,""No asegurable""),""No asegurable"")),"""")"),"")</f>
        <v/>
      </c>
      <c r="AB66" s="48" t="str">
        <f>IFERROR(__xludf.DUMMYFUNCTION("IFERROR(IF($I15="""","""",IF(VLOOKUP(LEFT(AB$37,SEARCH(""☃"",SUBSTITUTE(AB$37,"" "",""☃"",LEN(AB$37)-LEN(SUBSTITUTE(AB$37,"" "",""""))))-1),Excepciones!$A:$B,2,0)&gt;=0,IFERROR(INDEX(filter(Precios!$D:$D,(Precios!$A:$A&lt;=$I15)*(Precios!$B:$B&gt;=$I15)*(Precios!$"&amp;"C:$C=AB$37)),1)*1,""No asegurable""),""No asegurable"")),"""")"),"")</f>
        <v/>
      </c>
      <c r="AC66" s="138" t="str">
        <f>IFERROR(__xludf.DUMMYFUNCTION("IFERROR(IF($I15="""","""",IF(VLOOKUP(LEFT(AC$37,SEARCH(""☃"",SUBSTITUTE(AC$37,"" "",""☃"",LEN(AC$37)-LEN(SUBSTITUTE(AC$37,"" "",""""))))-1),Excepciones!$A:$B,2,0)&gt;=0,IFERROR(INDEX(filter(Precios!$D:$D,(Precios!$A:$A&lt;=$I15)*(Precios!$B:$B&gt;=$I15)*(Precios!$"&amp;"C:$C=AC$37)),1)*1,""No asegurable""),""No asegurable"")),"""")"),"")</f>
        <v/>
      </c>
      <c r="AD66" s="5"/>
      <c r="AE66" s="5"/>
      <c r="AF66" s="5"/>
      <c r="AG66" s="5"/>
      <c r="AH66" s="125"/>
      <c r="AI66" s="125"/>
      <c r="AJ66" s="5"/>
      <c r="AK66" s="125"/>
      <c r="AL66" s="125"/>
    </row>
    <row r="67" ht="22.5" customHeight="1">
      <c r="L67" s="116">
        <v>11.0</v>
      </c>
      <c r="M67" s="48"/>
      <c r="N67" s="48" t="str">
        <f>IFERROR(__xludf.DUMMYFUNCTION("IFERROR(IF($I16="""","""",IF($K$8&gt;0,"""",IF(COUNT($I$6:$I$13)&gt;1,0.9,1)*IF(VLOOKUP(LEFT(N$37,SEARCH(""☃"",SUBSTITUTE(N$37,"" "",""☃"",LEN(N$37)-LEN(SUBSTITUTE(N$37,"" "",""""))))-1),Excepciones!$A:$B,2,0)&gt;=0,IFERROR(INDEX(FILTER(Precios!$D:$D,(Precios!$A:$"&amp;"A&lt;=$I16)*(Precios!$B:$B&gt;=$I16)*(Precios!$C:$C=N$37)),1)*(1-$K$6),""No asegurable""),""No asegurable""))),"""")
"),"")</f>
        <v/>
      </c>
      <c r="O67" s="48" t="str">
        <f>IFERROR(__xludf.DUMMYFUNCTION("IFERROR(IF(IF(COUNT($I$6:$I$13)&gt;3,0.9,1)*IF(VLOOKUP(LEFT(O$37,SEARCH(""☃"",SUBSTITUTE(O$37,"" "",""☃"",LEN(O$37)-LEN(SUBSTITUTE(O$37,"" "",""""))))-1),Excepciones!$A:$B,2,0)&gt;=0,IFERROR(INDEX(FILTER(Precios!$D:$D,(Precios!$A:$A&lt;=$I16)*(Precios!$B:$B&gt;=$I16)"&amp;"*(Precios!$C:$C=O$37)),1)*(IF($K$10=""Sí"",0.94,1)),""""),"""")=0,"""",IF(COUNT($I$6:$I$13)&gt;3,0.9,1)*IF(VLOOKUP(LEFT(O$37,SEARCH(""☃"",SUBSTITUTE(O$37,"" "",""☃"",LEN(O$37)-LEN(SUBSTITUTE(O$37,"" "",""""))))-1),Excepciones!$A:$B,2,0)&gt;=0,IFERROR(INDEX(FILT"&amp;"ER(Precios!$D:$D,(Precios!$A:$A&lt;=$I16)*(Precios!$B:$B&gt;=$I16)*(Precios!$C:$C=O$37)),1)*(IF($K$10=""Sí"",0.94,1)),""""),"""")),"""")
"),"")</f>
        <v/>
      </c>
      <c r="P67" s="136"/>
      <c r="Q67" s="48" t="str">
        <f>IFERROR(__xludf.DUMMYFUNCTION("IFERROR(IF(IF(COUNT($I$6:$I$13)&gt;3,0.9,1)*IF(VLOOKUP(LEFT(Q$37,SEARCH(""☃"",SUBSTITUTE(Q$37,"" "",""☃"",LEN(Q$37)-LEN(SUBSTITUTE(Q$37,"" "",""""))))-1),Excepciones!$A:$B,2,0)&gt;=0,IFERROR(INDEX(FILTER(Precios!$D:$D,(Precios!$A:$A&lt;=$I16)*(Precios!$B:$B&gt;=$I16)"&amp;"*(Precios!$C:$C=Q$37)),1)*(IF($K$10=""Sí"",0.94,1)),""""),"""")=0,"""",IF(COUNT($I$6:$I$13)&gt;3,0.9,1)*IF(VLOOKUP(LEFT(Q$37,SEARCH(""☃"",SUBSTITUTE(Q$37,"" "",""☃"",LEN(Q$37)-LEN(SUBSTITUTE(Q$37,"" "",""""))))-1),Excepciones!$A:$B,2,0)&gt;=0,IFERROR(INDEX(FILT"&amp;"ER(Precios!$D:$D,(Precios!$A:$A&lt;=$I16)*(Precios!$B:$B&gt;=$I16)*(Precios!$C:$C=Q$37)),1)*(IF($K$10=""Sí"",0.94,1)),""""),"""")),"""")
"),"")</f>
        <v/>
      </c>
      <c r="R67" s="48" t="str">
        <f>IFERROR(__xludf.DUMMYFUNCTION("IFERROR(IF(IF(COUNT($I$6:$I$13)&gt;3,0.9,1)*IF(VLOOKUP(LEFT(R$37,SEARCH(""☃"",SUBSTITUTE(R$37,"" "",""☃"",LEN(R$37)-LEN(SUBSTITUTE(R$37,"" "",""""))))-1),Excepciones!$A:$B,2,0)&gt;=0,IFERROR(INDEX(FILTER(Precios!$D:$D,(Precios!$A:$A&lt;=$I16)*(Precios!$B:$B&gt;=$I16)"&amp;"*(Precios!$C:$C=R$37)),1)*(IF($K$10=""Sí"",0.94,1)),""""),"""")=0,"""",IF(COUNT($I$6:$I$13)&gt;3,0.9,1)*IF(VLOOKUP(LEFT(R$37,SEARCH(""☃"",SUBSTITUTE(R$37,"" "",""☃"",LEN(R$37)-LEN(SUBSTITUTE(R$37,"" "",""""))))-1),Excepciones!$A:$B,2,0)&gt;=0,IFERROR(INDEX(FILT"&amp;"ER(Precios!$D:$D,(Precios!$A:$A&lt;=$I16)*(Precios!$B:$B&gt;=$I16)*(Precios!$C:$C=R$37)),1)*(IF($K$10=""Sí"",0.94,1)),""""),"""")),"""")
"),"")</f>
        <v/>
      </c>
      <c r="S67" s="136"/>
      <c r="T67" s="48" t="str">
        <f>IFERROR(__xludf.DUMMYFUNCTION("IFERROR(IF(IF(COUNT($I$6:$I$13)&gt;3,0.9,1)*IF(VLOOKUP(LEFT(T$37,SEARCH(""☃"",SUBSTITUTE(T$37,"" "",""☃"",LEN(T$37)-LEN(SUBSTITUTE(T$37,"" "",""""))))-1),Excepciones!$A:$B,2,0)&gt;=0,IFERROR(INDEX(FILTER(Precios!$D:$D,(Precios!$A:$A&lt;=$I16)*(Precios!$B:$B&gt;=$I16)"&amp;"*(Precios!$C:$C=T$37)),1)*(IF($K$10=""Sí"",0.94,1)),""""),"""")=0,"""",IF(COUNT($I$6:$I$13)&gt;3,0.9,1)*IF(VLOOKUP(LEFT(T$37,SEARCH(""☃"",SUBSTITUTE(T$37,"" "",""☃"",LEN(T$37)-LEN(SUBSTITUTE(T$37,"" "",""""))))-1),Excepciones!$A:$B,2,0)&gt;=0,IFERROR(INDEX(FILT"&amp;"ER(Precios!$D:$D,(Precios!$A:$A&lt;=$I16)*(Precios!$B:$B&gt;=$I16)*(Precios!$C:$C=T$37)),1)*(IF($K$10=""Sí"",0.94,1)),""""),"""")),"""")
"),"")</f>
        <v/>
      </c>
      <c r="U67" s="48" t="str">
        <f>IFERROR(__xludf.DUMMYFUNCTION("IFERROR(IF(IF(COUNT($I$6:$I$13)&gt;=3,0.9,1)*IF(VLOOKUP(LEFT(U$37,SEARCH(""☃"",SUBSTITUTE(U$37,"" "",""☃"",LEN(U$37)-LEN(SUBSTITUTE(U$37,"" "",""""))))-1),Excepciones!$A:$B,2,0)&gt;=0,IFERROR(INDEX(FILTER(Precios!$D:$D,(Precios!$A:$A&lt;=$I16)*(Precios!$B:$B&gt;=$I16"&amp;")*(Precios!$C:$C=U$37)),1)*(IF($K$10=""Sí"",0.94,1)),""""),"""")=0,"""",IF(COUNT($I$6:$I$13)&gt;=3,0.9,1)*IF(VLOOKUP(LEFT(U$37,SEARCH(""☃"",SUBSTITUTE(U$37,"" "",""☃"",LEN(U$37)-LEN(SUBSTITUTE(U$37,"" "",""""))))-1),Excepciones!$A:$B,2,0)&gt;=0,IFERROR(INDEX(FI"&amp;"LTER(Precios!$D:$D,(Precios!$A:$A&lt;=$I16)*(Precios!$B:$B&gt;=$I16)*(Precios!$C:$C=U$37)),1)*(IF($K$10=""Sí"",0.94,1)),""""),"""")),"""")
"),"")</f>
        <v/>
      </c>
      <c r="V67" s="48"/>
      <c r="W67" s="48" t="str">
        <f>IFERROR(__xludf.DUMMYFUNCTION("IFERROR(IF($I16="""","""",IF(VLOOKUP(LEFT(W$37,SEARCH(""☃"",SUBSTITUTE(W$37,"" "",""☃"",LEN(W$37)-LEN(SUBSTITUTE(W$37,"" "",""""))))-1),Excepciones!$A:$B,2,0)&gt;=0,IFERROR(INDEX(filter(Precios!$D:$D,(Precios!$A:$A&lt;=$I16)*(Precios!$B:$B&gt;=$I16)*(Precios!$C:$C"&amp;"=W$37)),1)*1,""""),"""")),"""")"),"")</f>
        <v/>
      </c>
      <c r="X67" s="137"/>
      <c r="Y67" s="48" t="str">
        <f>IFERROR(__xludf.DUMMYFUNCTION("IFERROR(IF($I16="""","""",IF(VLOOKUP(LEFT(Y$37,SEARCH(""☃"",SUBSTITUTE(Y$37,"" "",""☃"",LEN(Y$37)-LEN(SUBSTITUTE(Y$37,"" "",""""))))-1),Excepciones!$A:$B,2,0)&gt;=0,IFERROR(INDEX(filter(Precios!$D:$D,(Precios!$A:$A&lt;=$I16)*(Precios!$B:$B&gt;=$I16)*(Precios!$C:$C"&amp;"=Y$37)),1)*1,""No asegurable""),""No asegurable"")),"""")"),"")</f>
        <v/>
      </c>
      <c r="Z67" s="48" t="str">
        <f>IFERROR(__xludf.DUMMYFUNCTION("IFERROR(IF($I16="""","""",IF(VLOOKUP(LEFT(Z$37,SEARCH(""☃"",SUBSTITUTE(Z$37,"" "",""☃"",LEN(Z$37)-LEN(SUBSTITUTE(Z$37,"" "",""""))))-1),Excepciones!$A:$B,2,0)&gt;=0,IFERROR(INDEX(filter(Precios!$D:$D,(Precios!$A:$A&lt;=$I16)*(Precios!$B:$B&gt;=$I16)*(Precios!$C:$C"&amp;"=Z$37)),1)*1,""No asegurable""),""No asegurable"")),"""")"),"")</f>
        <v/>
      </c>
      <c r="AA67" s="48" t="str">
        <f>IFERROR(__xludf.DUMMYFUNCTION("IFERROR(IF($I16="""","""",IF(VLOOKUP(LEFT(AA$37,SEARCH(""☃"",SUBSTITUTE(AA$37,"" "",""☃"",LEN(AA$37)-LEN(SUBSTITUTE(AA$37,"" "",""""))))-1),Excepciones!$A:$B,2,0)&gt;=0,IFERROR(INDEX(filter(Precios!$D:$D,(Precios!$A:$A&lt;=$I16)*(Precios!$B:$B&gt;=$I16)*(Precios!$"&amp;"C:$C=AA$37)),1)*1,""No asegurable""),""No asegurable"")),"""")"),"")</f>
        <v/>
      </c>
      <c r="AB67" s="48" t="str">
        <f>IFERROR(__xludf.DUMMYFUNCTION("IFERROR(IF($I16="""","""",IF(VLOOKUP(LEFT(AB$37,SEARCH(""☃"",SUBSTITUTE(AB$37,"" "",""☃"",LEN(AB$37)-LEN(SUBSTITUTE(AB$37,"" "",""""))))-1),Excepciones!$A:$B,2,0)&gt;=0,IFERROR(INDEX(filter(Precios!$D:$D,(Precios!$A:$A&lt;=$I16)*(Precios!$B:$B&gt;=$I16)*(Precios!$"&amp;"C:$C=AB$37)),1)*1,""No asegurable""),""No asegurable"")),"""")"),"")</f>
        <v/>
      </c>
      <c r="AC67" s="138" t="str">
        <f>IFERROR(__xludf.DUMMYFUNCTION("IFERROR(IF($I16="""","""",IF(VLOOKUP(LEFT(AC$37,SEARCH(""☃"",SUBSTITUTE(AC$37,"" "",""☃"",LEN(AC$37)-LEN(SUBSTITUTE(AC$37,"" "",""""))))-1),Excepciones!$A:$B,2,0)&gt;=0,IFERROR(INDEX(filter(Precios!$D:$D,(Precios!$A:$A&lt;=$I16)*(Precios!$B:$B&gt;=$I16)*(Precios!$"&amp;"C:$C=AC$37)),1)*1,""No asegurable""),""No asegurable"")),"""")"),"")</f>
        <v/>
      </c>
      <c r="AD67" s="5"/>
      <c r="AE67" s="5"/>
      <c r="AF67" s="5"/>
      <c r="AG67" s="5"/>
      <c r="AH67" s="125"/>
      <c r="AI67" s="125"/>
      <c r="AJ67" s="5"/>
      <c r="AK67" s="125"/>
      <c r="AL67" s="125"/>
    </row>
    <row r="68" ht="22.5" customHeight="1">
      <c r="L68" s="116">
        <v>12.0</v>
      </c>
      <c r="M68" s="48"/>
      <c r="N68" s="48" t="str">
        <f>IFERROR(__xludf.DUMMYFUNCTION("IFERROR(IF($I17="""","""",IF($K$8&gt;0,"""",IF(COUNT($I$6:$I$13)&gt;1,0.9,1)*IF(VLOOKUP(LEFT(N$37,SEARCH(""☃"",SUBSTITUTE(N$37,"" "",""☃"",LEN(N$37)-LEN(SUBSTITUTE(N$37,"" "",""""))))-1),Excepciones!$A:$B,2,0)&gt;=0,IFERROR(INDEX(FILTER(Precios!$D:$D,(Precios!$A:$"&amp;"A&lt;=$I17)*(Precios!$B:$B&gt;=$I17)*(Precios!$C:$C=N$37)),1)*(1-$K$6),""No asegurable""),""No asegurable""))),"""")
"),"")</f>
        <v/>
      </c>
      <c r="O68" s="48" t="str">
        <f>IFERROR(__xludf.DUMMYFUNCTION("IFERROR(IF(IF(COUNT($I$6:$I$13)&gt;3,0.9,1)*IF(VLOOKUP(LEFT(O$37,SEARCH(""☃"",SUBSTITUTE(O$37,"" "",""☃"",LEN(O$37)-LEN(SUBSTITUTE(O$37,"" "",""""))))-1),Excepciones!$A:$B,2,0)&gt;=0,IFERROR(INDEX(FILTER(Precios!$D:$D,(Precios!$A:$A&lt;=$I17)*(Precios!$B:$B&gt;=$I17)"&amp;"*(Precios!$C:$C=O$37)),1)*(IF($K$10=""Sí"",0.94,1)),""""),"""")=0,"""",IF(COUNT($I$6:$I$13)&gt;3,0.9,1)*IF(VLOOKUP(LEFT(O$37,SEARCH(""☃"",SUBSTITUTE(O$37,"" "",""☃"",LEN(O$37)-LEN(SUBSTITUTE(O$37,"" "",""""))))-1),Excepciones!$A:$B,2,0)&gt;=0,IFERROR(INDEX(FILT"&amp;"ER(Precios!$D:$D,(Precios!$A:$A&lt;=$I17)*(Precios!$B:$B&gt;=$I17)*(Precios!$C:$C=O$37)),1)*(IF($K$10=""Sí"",0.94,1)),""""),"""")),"""")
"),"")</f>
        <v/>
      </c>
      <c r="P68" s="136"/>
      <c r="Q68" s="48" t="str">
        <f>IFERROR(__xludf.DUMMYFUNCTION("IFERROR(IF(IF(COUNT($I$6:$I$13)&gt;3,0.9,1)*IF(VLOOKUP(LEFT(Q$37,SEARCH(""☃"",SUBSTITUTE(Q$37,"" "",""☃"",LEN(Q$37)-LEN(SUBSTITUTE(Q$37,"" "",""""))))-1),Excepciones!$A:$B,2,0)&gt;=0,IFERROR(INDEX(FILTER(Precios!$D:$D,(Precios!$A:$A&lt;=$I17)*(Precios!$B:$B&gt;=$I17)"&amp;"*(Precios!$C:$C=Q$37)),1)*(IF($K$10=""Sí"",0.94,1)),""""),"""")=0,"""",IF(COUNT($I$6:$I$13)&gt;3,0.9,1)*IF(VLOOKUP(LEFT(Q$37,SEARCH(""☃"",SUBSTITUTE(Q$37,"" "",""☃"",LEN(Q$37)-LEN(SUBSTITUTE(Q$37,"" "",""""))))-1),Excepciones!$A:$B,2,0)&gt;=0,IFERROR(INDEX(FILT"&amp;"ER(Precios!$D:$D,(Precios!$A:$A&lt;=$I17)*(Precios!$B:$B&gt;=$I17)*(Precios!$C:$C=Q$37)),1)*(IF($K$10=""Sí"",0.94,1)),""""),"""")),"""")
"),"")</f>
        <v/>
      </c>
      <c r="R68" s="48" t="str">
        <f>IFERROR(__xludf.DUMMYFUNCTION("IFERROR(IF(IF(COUNT($I$6:$I$13)&gt;3,0.9,1)*IF(VLOOKUP(LEFT(R$37,SEARCH(""☃"",SUBSTITUTE(R$37,"" "",""☃"",LEN(R$37)-LEN(SUBSTITUTE(R$37,"" "",""""))))-1),Excepciones!$A:$B,2,0)&gt;=0,IFERROR(INDEX(FILTER(Precios!$D:$D,(Precios!$A:$A&lt;=$I17)*(Precios!$B:$B&gt;=$I17)"&amp;"*(Precios!$C:$C=R$37)),1)*(IF($K$10=""Sí"",0.94,1)),""""),"""")=0,"""",IF(COUNT($I$6:$I$13)&gt;3,0.9,1)*IF(VLOOKUP(LEFT(R$37,SEARCH(""☃"",SUBSTITUTE(R$37,"" "",""☃"",LEN(R$37)-LEN(SUBSTITUTE(R$37,"" "",""""))))-1),Excepciones!$A:$B,2,0)&gt;=0,IFERROR(INDEX(FILT"&amp;"ER(Precios!$D:$D,(Precios!$A:$A&lt;=$I17)*(Precios!$B:$B&gt;=$I17)*(Precios!$C:$C=R$37)),1)*(IF($K$10=""Sí"",0.94,1)),""""),"""")),"""")
"),"")</f>
        <v/>
      </c>
      <c r="S68" s="136"/>
      <c r="T68" s="48" t="str">
        <f>IFERROR(__xludf.DUMMYFUNCTION("IFERROR(IF(IF(COUNT($I$6:$I$13)&gt;3,0.9,1)*IF(VLOOKUP(LEFT(T$37,SEARCH(""☃"",SUBSTITUTE(T$37,"" "",""☃"",LEN(T$37)-LEN(SUBSTITUTE(T$37,"" "",""""))))-1),Excepciones!$A:$B,2,0)&gt;=0,IFERROR(INDEX(FILTER(Precios!$D:$D,(Precios!$A:$A&lt;=$I17)*(Precios!$B:$B&gt;=$I17)"&amp;"*(Precios!$C:$C=T$37)),1)*(IF($K$10=""Sí"",0.94,1)),""""),"""")=0,"""",IF(COUNT($I$6:$I$13)&gt;3,0.9,1)*IF(VLOOKUP(LEFT(T$37,SEARCH(""☃"",SUBSTITUTE(T$37,"" "",""☃"",LEN(T$37)-LEN(SUBSTITUTE(T$37,"" "",""""))))-1),Excepciones!$A:$B,2,0)&gt;=0,IFERROR(INDEX(FILT"&amp;"ER(Precios!$D:$D,(Precios!$A:$A&lt;=$I17)*(Precios!$B:$B&gt;=$I17)*(Precios!$C:$C=T$37)),1)*(IF($K$10=""Sí"",0.94,1)),""""),"""")),"""")
"),"")</f>
        <v/>
      </c>
      <c r="U68" s="48" t="str">
        <f>IFERROR(__xludf.DUMMYFUNCTION("IFERROR(IF(IF(COUNT($I$6:$I$13)&gt;=3,0.9,1)*IF(VLOOKUP(LEFT(U$37,SEARCH(""☃"",SUBSTITUTE(U$37,"" "",""☃"",LEN(U$37)-LEN(SUBSTITUTE(U$37,"" "",""""))))-1),Excepciones!$A:$B,2,0)&gt;=0,IFERROR(INDEX(FILTER(Precios!$D:$D,(Precios!$A:$A&lt;=$I17)*(Precios!$B:$B&gt;=$I17"&amp;")*(Precios!$C:$C=U$37)),1)*(IF($K$10=""Sí"",0.94,1)),""""),"""")=0,"""",IF(COUNT($I$6:$I$13)&gt;=3,0.9,1)*IF(VLOOKUP(LEFT(U$37,SEARCH(""☃"",SUBSTITUTE(U$37,"" "",""☃"",LEN(U$37)-LEN(SUBSTITUTE(U$37,"" "",""""))))-1),Excepciones!$A:$B,2,0)&gt;=0,IFERROR(INDEX(FI"&amp;"LTER(Precios!$D:$D,(Precios!$A:$A&lt;=$I17)*(Precios!$B:$B&gt;=$I17)*(Precios!$C:$C=U$37)),1)*(IF($K$10=""Sí"",0.94,1)),""""),"""")),"""")
"),"")</f>
        <v/>
      </c>
      <c r="V68" s="48"/>
      <c r="W68" s="48" t="str">
        <f>IFERROR(__xludf.DUMMYFUNCTION("IFERROR(IF($I17="""","""",IF(VLOOKUP(LEFT(W$37,SEARCH(""☃"",SUBSTITUTE(W$37,"" "",""☃"",LEN(W$37)-LEN(SUBSTITUTE(W$37,"" "",""""))))-1),Excepciones!$A:$B,2,0)&gt;=0,IFERROR(INDEX(filter(Precios!$D:$D,(Precios!$A:$A&lt;=$I17)*(Precios!$B:$B&gt;=$I17)*(Precios!$C:$C"&amp;"=W$37)),1)*1,""""),"""")),"""")"),"")</f>
        <v/>
      </c>
      <c r="X68" s="137"/>
      <c r="Y68" s="48" t="str">
        <f>IFERROR(__xludf.DUMMYFUNCTION("IFERROR(IF($I17="""","""",IF(VLOOKUP(LEFT(Y$37,SEARCH(""☃"",SUBSTITUTE(Y$37,"" "",""☃"",LEN(Y$37)-LEN(SUBSTITUTE(Y$37,"" "",""""))))-1),Excepciones!$A:$B,2,0)&gt;=0,IFERROR(INDEX(filter(Precios!$D:$D,(Precios!$A:$A&lt;=$I17)*(Precios!$B:$B&gt;=$I17)*(Precios!$C:$C"&amp;"=Y$37)),1)*1,""No asegurable""),""No asegurable"")),"""")"),"")</f>
        <v/>
      </c>
      <c r="Z68" s="48" t="str">
        <f>IFERROR(__xludf.DUMMYFUNCTION("IFERROR(IF($I17="""","""",IF(VLOOKUP(LEFT(Z$37,SEARCH(""☃"",SUBSTITUTE(Z$37,"" "",""☃"",LEN(Z$37)-LEN(SUBSTITUTE(Z$37,"" "",""""))))-1),Excepciones!$A:$B,2,0)&gt;=0,IFERROR(INDEX(filter(Precios!$D:$D,(Precios!$A:$A&lt;=$I17)*(Precios!$B:$B&gt;=$I17)*(Precios!$C:$C"&amp;"=Z$37)),1)*1,""No asegurable""),""No asegurable"")),"""")"),"")</f>
        <v/>
      </c>
      <c r="AA68" s="48" t="str">
        <f>IFERROR(__xludf.DUMMYFUNCTION("IFERROR(IF($I17="""","""",IF(VLOOKUP(LEFT(AA$37,SEARCH(""☃"",SUBSTITUTE(AA$37,"" "",""☃"",LEN(AA$37)-LEN(SUBSTITUTE(AA$37,"" "",""""))))-1),Excepciones!$A:$B,2,0)&gt;=0,IFERROR(INDEX(filter(Precios!$D:$D,(Precios!$A:$A&lt;=$I17)*(Precios!$B:$B&gt;=$I17)*(Precios!$"&amp;"C:$C=AA$37)),1)*1,""No asegurable""),""No asegurable"")),"""")"),"")</f>
        <v/>
      </c>
      <c r="AB68" s="48" t="str">
        <f>IFERROR(__xludf.DUMMYFUNCTION("IFERROR(IF($I17="""","""",IF(VLOOKUP(LEFT(AB$37,SEARCH(""☃"",SUBSTITUTE(AB$37,"" "",""☃"",LEN(AB$37)-LEN(SUBSTITUTE(AB$37,"" "",""""))))-1),Excepciones!$A:$B,2,0)&gt;=0,IFERROR(INDEX(filter(Precios!$D:$D,(Precios!$A:$A&lt;=$I17)*(Precios!$B:$B&gt;=$I17)*(Precios!$"&amp;"C:$C=AB$37)),1)*1,""No asegurable""),""No asegurable"")),"""")"),"")</f>
        <v/>
      </c>
      <c r="AC68" s="138" t="str">
        <f>IFERROR(__xludf.DUMMYFUNCTION("IFERROR(IF($I17="""","""",IF(VLOOKUP(LEFT(AC$37,SEARCH(""☃"",SUBSTITUTE(AC$37,"" "",""☃"",LEN(AC$37)-LEN(SUBSTITUTE(AC$37,"" "",""""))))-1),Excepciones!$A:$B,2,0)&gt;=0,IFERROR(INDEX(filter(Precios!$D:$D,(Precios!$A:$A&lt;=$I17)*(Precios!$B:$B&gt;=$I17)*(Precios!$"&amp;"C:$C=AC$37)),1)*1,""No asegurable""),""No asegurable"")),"""")"),"")</f>
        <v/>
      </c>
      <c r="AD68" s="5"/>
      <c r="AE68" s="5"/>
      <c r="AF68" s="5"/>
      <c r="AG68" s="5"/>
      <c r="AH68" s="125"/>
      <c r="AI68" s="125"/>
      <c r="AJ68" s="5"/>
      <c r="AK68" s="125"/>
      <c r="AL68" s="125"/>
    </row>
    <row r="69" ht="22.5" customHeight="1">
      <c r="L69" s="116">
        <v>13.0</v>
      </c>
      <c r="M69" s="48"/>
      <c r="N69" s="48" t="str">
        <f>IFERROR(__xludf.DUMMYFUNCTION("IFERROR(IF($I18="""","""",IF($K$8&gt;0,"""",IF(COUNT($I$6:$I$13)&gt;1,0.9,1)*IF(VLOOKUP(LEFT(N$37,SEARCH(""☃"",SUBSTITUTE(N$37,"" "",""☃"",LEN(N$37)-LEN(SUBSTITUTE(N$37,"" "",""""))))-1),Excepciones!$A:$B,2,0)&gt;=0,IFERROR(INDEX(FILTER(Precios!$D:$D,(Precios!$A:$"&amp;"A&lt;=$I18)*(Precios!$B:$B&gt;=$I18)*(Precios!$C:$C=N$37)),1)*(1-$K$6),""No asegurable""),""No asegurable""))),"""")
"),"")</f>
        <v/>
      </c>
      <c r="O69" s="48" t="str">
        <f>IFERROR(__xludf.DUMMYFUNCTION("IFERROR(IF(IF(COUNT($I$6:$I$13)&gt;3,0.9,1)*IF(VLOOKUP(LEFT(O$37,SEARCH(""☃"",SUBSTITUTE(O$37,"" "",""☃"",LEN(O$37)-LEN(SUBSTITUTE(O$37,"" "",""""))))-1),Excepciones!$A:$B,2,0)&gt;=0,IFERROR(INDEX(FILTER(Precios!$D:$D,(Precios!$A:$A&lt;=$I18)*(Precios!$B:$B&gt;=$I18)"&amp;"*(Precios!$C:$C=O$37)),1)*(IF($K$10=""Sí"",0.94,1)),""""),"""")=0,"""",IF(COUNT($I$6:$I$13)&gt;3,0.9,1)*IF(VLOOKUP(LEFT(O$37,SEARCH(""☃"",SUBSTITUTE(O$37,"" "",""☃"",LEN(O$37)-LEN(SUBSTITUTE(O$37,"" "",""""))))-1),Excepciones!$A:$B,2,0)&gt;=0,IFERROR(INDEX(FILT"&amp;"ER(Precios!$D:$D,(Precios!$A:$A&lt;=$I18)*(Precios!$B:$B&gt;=$I18)*(Precios!$C:$C=O$37)),1)*(IF($K$10=""Sí"",0.94,1)),""""),"""")),"""")
"),"")</f>
        <v/>
      </c>
      <c r="P69" s="136"/>
      <c r="Q69" s="48" t="str">
        <f>IFERROR(__xludf.DUMMYFUNCTION("IFERROR(IF(IF(COUNT($I$6:$I$13)&gt;3,0.9,1)*IF(VLOOKUP(LEFT(Q$37,SEARCH(""☃"",SUBSTITUTE(Q$37,"" "",""☃"",LEN(Q$37)-LEN(SUBSTITUTE(Q$37,"" "",""""))))-1),Excepciones!$A:$B,2,0)&gt;=0,IFERROR(INDEX(FILTER(Precios!$D:$D,(Precios!$A:$A&lt;=$I18)*(Precios!$B:$B&gt;=$I18)"&amp;"*(Precios!$C:$C=Q$37)),1)*(IF($K$10=""Sí"",0.94,1)),""""),"""")=0,"""",IF(COUNT($I$6:$I$13)&gt;3,0.9,1)*IF(VLOOKUP(LEFT(Q$37,SEARCH(""☃"",SUBSTITUTE(Q$37,"" "",""☃"",LEN(Q$37)-LEN(SUBSTITUTE(Q$37,"" "",""""))))-1),Excepciones!$A:$B,2,0)&gt;=0,IFERROR(INDEX(FILT"&amp;"ER(Precios!$D:$D,(Precios!$A:$A&lt;=$I18)*(Precios!$B:$B&gt;=$I18)*(Precios!$C:$C=Q$37)),1)*(IF($K$10=""Sí"",0.94,1)),""""),"""")),"""")
"),"")</f>
        <v/>
      </c>
      <c r="R69" s="48" t="str">
        <f>IFERROR(__xludf.DUMMYFUNCTION("IFERROR(IF(IF(COUNT($I$6:$I$13)&gt;3,0.9,1)*IF(VLOOKUP(LEFT(R$37,SEARCH(""☃"",SUBSTITUTE(R$37,"" "",""☃"",LEN(R$37)-LEN(SUBSTITUTE(R$37,"" "",""""))))-1),Excepciones!$A:$B,2,0)&gt;=0,IFERROR(INDEX(FILTER(Precios!$D:$D,(Precios!$A:$A&lt;=$I18)*(Precios!$B:$B&gt;=$I18)"&amp;"*(Precios!$C:$C=R$37)),1)*(IF($K$10=""Sí"",0.94,1)),""""),"""")=0,"""",IF(COUNT($I$6:$I$13)&gt;3,0.9,1)*IF(VLOOKUP(LEFT(R$37,SEARCH(""☃"",SUBSTITUTE(R$37,"" "",""☃"",LEN(R$37)-LEN(SUBSTITUTE(R$37,"" "",""""))))-1),Excepciones!$A:$B,2,0)&gt;=0,IFERROR(INDEX(FILT"&amp;"ER(Precios!$D:$D,(Precios!$A:$A&lt;=$I18)*(Precios!$B:$B&gt;=$I18)*(Precios!$C:$C=R$37)),1)*(IF($K$10=""Sí"",0.94,1)),""""),"""")),"""")
"),"")</f>
        <v/>
      </c>
      <c r="S69" s="136"/>
      <c r="T69" s="48" t="str">
        <f>IFERROR(__xludf.DUMMYFUNCTION("IFERROR(IF(IF(COUNT($I$6:$I$13)&gt;3,0.9,1)*IF(VLOOKUP(LEFT(T$37,SEARCH(""☃"",SUBSTITUTE(T$37,"" "",""☃"",LEN(T$37)-LEN(SUBSTITUTE(T$37,"" "",""""))))-1),Excepciones!$A:$B,2,0)&gt;=0,IFERROR(INDEX(FILTER(Precios!$D:$D,(Precios!$A:$A&lt;=$I18)*(Precios!$B:$B&gt;=$I18)"&amp;"*(Precios!$C:$C=T$37)),1)*(IF($K$10=""Sí"",0.94,1)),""""),"""")=0,"""",IF(COUNT($I$6:$I$13)&gt;3,0.9,1)*IF(VLOOKUP(LEFT(T$37,SEARCH(""☃"",SUBSTITUTE(T$37,"" "",""☃"",LEN(T$37)-LEN(SUBSTITUTE(T$37,"" "",""""))))-1),Excepciones!$A:$B,2,0)&gt;=0,IFERROR(INDEX(FILT"&amp;"ER(Precios!$D:$D,(Precios!$A:$A&lt;=$I18)*(Precios!$B:$B&gt;=$I18)*(Precios!$C:$C=T$37)),1)*(IF($K$10=""Sí"",0.94,1)),""""),"""")),"""")
"),"")</f>
        <v/>
      </c>
      <c r="U69" s="48" t="str">
        <f>IFERROR(__xludf.DUMMYFUNCTION("IFERROR(IF(IF(COUNT($I$6:$I$13)&gt;=3,0.9,1)*IF(VLOOKUP(LEFT(U$37,SEARCH(""☃"",SUBSTITUTE(U$37,"" "",""☃"",LEN(U$37)-LEN(SUBSTITUTE(U$37,"" "",""""))))-1),Excepciones!$A:$B,2,0)&gt;=0,IFERROR(INDEX(FILTER(Precios!$D:$D,(Precios!$A:$A&lt;=$I18)*(Precios!$B:$B&gt;=$I18"&amp;")*(Precios!$C:$C=U$37)),1)*(IF($K$10=""Sí"",0.94,1)),""""),"""")=0,"""",IF(COUNT($I$6:$I$13)&gt;=3,0.9,1)*IF(VLOOKUP(LEFT(U$37,SEARCH(""☃"",SUBSTITUTE(U$37,"" "",""☃"",LEN(U$37)-LEN(SUBSTITUTE(U$37,"" "",""""))))-1),Excepciones!$A:$B,2,0)&gt;=0,IFERROR(INDEX(FI"&amp;"LTER(Precios!$D:$D,(Precios!$A:$A&lt;=$I18)*(Precios!$B:$B&gt;=$I18)*(Precios!$C:$C=U$37)),1)*(IF($K$10=""Sí"",0.94,1)),""""),"""")),"""")
"),"")</f>
        <v/>
      </c>
      <c r="V69" s="48"/>
      <c r="W69" s="48" t="str">
        <f>IFERROR(__xludf.DUMMYFUNCTION("IFERROR(IF($I18="""","""",IF(VLOOKUP(LEFT(W$37,SEARCH(""☃"",SUBSTITUTE(W$37,"" "",""☃"",LEN(W$37)-LEN(SUBSTITUTE(W$37,"" "",""""))))-1),Excepciones!$A:$B,2,0)&gt;=0,IFERROR(INDEX(filter(Precios!$D:$D,(Precios!$A:$A&lt;=$I18)*(Precios!$B:$B&gt;=$I18)*(Precios!$C:$C"&amp;"=W$37)),1)*1,""""),"""")),"""")"),"")</f>
        <v/>
      </c>
      <c r="X69" s="137"/>
      <c r="Y69" s="48" t="str">
        <f>IFERROR(__xludf.DUMMYFUNCTION("IFERROR(IF($I18="""","""",IF(VLOOKUP(LEFT(Y$37,SEARCH(""☃"",SUBSTITUTE(Y$37,"" "",""☃"",LEN(Y$37)-LEN(SUBSTITUTE(Y$37,"" "",""""))))-1),Excepciones!$A:$B,2,0)&gt;=0,IFERROR(INDEX(filter(Precios!$D:$D,(Precios!$A:$A&lt;=$I18)*(Precios!$B:$B&gt;=$I18)*(Precios!$C:$C"&amp;"=Y$37)),1)*1,""No asegurable""),""No asegurable"")),"""")"),"")</f>
        <v/>
      </c>
      <c r="Z69" s="48" t="str">
        <f>IFERROR(__xludf.DUMMYFUNCTION("IFERROR(IF($I18="""","""",IF(VLOOKUP(LEFT(Z$37,SEARCH(""☃"",SUBSTITUTE(Z$37,"" "",""☃"",LEN(Z$37)-LEN(SUBSTITUTE(Z$37,"" "",""""))))-1),Excepciones!$A:$B,2,0)&gt;=0,IFERROR(INDEX(filter(Precios!$D:$D,(Precios!$A:$A&lt;=$I18)*(Precios!$B:$B&gt;=$I18)*(Precios!$C:$C"&amp;"=Z$37)),1)*1,""No asegurable""),""No asegurable"")),"""")"),"")</f>
        <v/>
      </c>
      <c r="AA69" s="48" t="str">
        <f>IFERROR(__xludf.DUMMYFUNCTION("IFERROR(IF($I18="""","""",IF(VLOOKUP(LEFT(AA$37,SEARCH(""☃"",SUBSTITUTE(AA$37,"" "",""☃"",LEN(AA$37)-LEN(SUBSTITUTE(AA$37,"" "",""""))))-1),Excepciones!$A:$B,2,0)&gt;=0,IFERROR(INDEX(filter(Precios!$D:$D,(Precios!$A:$A&lt;=$I18)*(Precios!$B:$B&gt;=$I18)*(Precios!$"&amp;"C:$C=AA$37)),1)*1,""No asegurable""),""No asegurable"")),"""")"),"")</f>
        <v/>
      </c>
      <c r="AB69" s="48" t="str">
        <f>IFERROR(__xludf.DUMMYFUNCTION("IFERROR(IF($I18="""","""",IF(VLOOKUP(LEFT(AB$37,SEARCH(""☃"",SUBSTITUTE(AB$37,"" "",""☃"",LEN(AB$37)-LEN(SUBSTITUTE(AB$37,"" "",""""))))-1),Excepciones!$A:$B,2,0)&gt;=0,IFERROR(INDEX(filter(Precios!$D:$D,(Precios!$A:$A&lt;=$I18)*(Precios!$B:$B&gt;=$I18)*(Precios!$"&amp;"C:$C=AB$37)),1)*1,""No asegurable""),""No asegurable"")),"""")"),"")</f>
        <v/>
      </c>
      <c r="AC69" s="138" t="str">
        <f>IFERROR(__xludf.DUMMYFUNCTION("IFERROR(IF($I18="""","""",IF(VLOOKUP(LEFT(AC$37,SEARCH(""☃"",SUBSTITUTE(AC$37,"" "",""☃"",LEN(AC$37)-LEN(SUBSTITUTE(AC$37,"" "",""""))))-1),Excepciones!$A:$B,2,0)&gt;=0,IFERROR(INDEX(filter(Precios!$D:$D,(Precios!$A:$A&lt;=$I18)*(Precios!$B:$B&gt;=$I18)*(Precios!$"&amp;"C:$C=AC$37)),1)*1,""No asegurable""),""No asegurable"")),"""")"),"")</f>
        <v/>
      </c>
      <c r="AD69" s="5"/>
      <c r="AE69" s="5"/>
      <c r="AF69" s="5"/>
      <c r="AG69" s="5"/>
      <c r="AH69" s="125"/>
      <c r="AI69" s="125"/>
      <c r="AJ69" s="5"/>
      <c r="AK69" s="125"/>
      <c r="AL69" s="125"/>
    </row>
    <row r="70" ht="22.5" customHeight="1">
      <c r="L70" s="116">
        <v>14.0</v>
      </c>
      <c r="M70" s="48"/>
      <c r="N70" s="48" t="str">
        <f>IFERROR(__xludf.DUMMYFUNCTION("IFERROR(IF($I19="""","""",IF($K$8&gt;0,"""",IF(COUNT($I$6:$I$13)&gt;1,0.9,1)*IF(VLOOKUP(LEFT(N$37,SEARCH(""☃"",SUBSTITUTE(N$37,"" "",""☃"",LEN(N$37)-LEN(SUBSTITUTE(N$37,"" "",""""))))-1),Excepciones!$A:$B,2,0)&gt;=0,IFERROR(INDEX(FILTER(Precios!$D:$D,(Precios!$A:$"&amp;"A&lt;=$I19)*(Precios!$B:$B&gt;=$I19)*(Precios!$C:$C=N$37)),1)*(1-$K$6),""No asegurable""),""No asegurable""))),"""")
"),"")</f>
        <v/>
      </c>
      <c r="O70" s="48" t="str">
        <f>IFERROR(__xludf.DUMMYFUNCTION("IFERROR(IF(IF(COUNT($I$6:$I$13)&gt;3,0.9,1)*IF(VLOOKUP(LEFT(O$37,SEARCH(""☃"",SUBSTITUTE(O$37,"" "",""☃"",LEN(O$37)-LEN(SUBSTITUTE(O$37,"" "",""""))))-1),Excepciones!$A:$B,2,0)&gt;=0,IFERROR(INDEX(FILTER(Precios!$D:$D,(Precios!$A:$A&lt;=$I19)*(Precios!$B:$B&gt;=$I19)"&amp;"*(Precios!$C:$C=O$37)),1)*(IF($K$10=""Sí"",0.94,1)),""""),"""")=0,"""",IF(COUNT($I$6:$I$13)&gt;3,0.9,1)*IF(VLOOKUP(LEFT(O$37,SEARCH(""☃"",SUBSTITUTE(O$37,"" "",""☃"",LEN(O$37)-LEN(SUBSTITUTE(O$37,"" "",""""))))-1),Excepciones!$A:$B,2,0)&gt;=0,IFERROR(INDEX(FILT"&amp;"ER(Precios!$D:$D,(Precios!$A:$A&lt;=$I19)*(Precios!$B:$B&gt;=$I19)*(Precios!$C:$C=O$37)),1)*(IF($K$10=""Sí"",0.94,1)),""""),"""")),"""")
"),"")</f>
        <v/>
      </c>
      <c r="P70" s="136"/>
      <c r="Q70" s="48" t="str">
        <f>IFERROR(__xludf.DUMMYFUNCTION("IFERROR(IF(IF(COUNT($I$6:$I$13)&gt;3,0.9,1)*IF(VLOOKUP(LEFT(Q$37,SEARCH(""☃"",SUBSTITUTE(Q$37,"" "",""☃"",LEN(Q$37)-LEN(SUBSTITUTE(Q$37,"" "",""""))))-1),Excepciones!$A:$B,2,0)&gt;=0,IFERROR(INDEX(FILTER(Precios!$D:$D,(Precios!$A:$A&lt;=$I19)*(Precios!$B:$B&gt;=$I19)"&amp;"*(Precios!$C:$C=Q$37)),1)*(IF($K$10=""Sí"",0.94,1)),""""),"""")=0,"""",IF(COUNT($I$6:$I$13)&gt;3,0.9,1)*IF(VLOOKUP(LEFT(Q$37,SEARCH(""☃"",SUBSTITUTE(Q$37,"" "",""☃"",LEN(Q$37)-LEN(SUBSTITUTE(Q$37,"" "",""""))))-1),Excepciones!$A:$B,2,0)&gt;=0,IFERROR(INDEX(FILT"&amp;"ER(Precios!$D:$D,(Precios!$A:$A&lt;=$I19)*(Precios!$B:$B&gt;=$I19)*(Precios!$C:$C=Q$37)),1)*(IF($K$10=""Sí"",0.94,1)),""""),"""")),"""")
"),"")</f>
        <v/>
      </c>
      <c r="R70" s="48" t="str">
        <f>IFERROR(__xludf.DUMMYFUNCTION("IFERROR(IF(IF(COUNT($I$6:$I$13)&gt;3,0.9,1)*IF(VLOOKUP(LEFT(R$37,SEARCH(""☃"",SUBSTITUTE(R$37,"" "",""☃"",LEN(R$37)-LEN(SUBSTITUTE(R$37,"" "",""""))))-1),Excepciones!$A:$B,2,0)&gt;=0,IFERROR(INDEX(FILTER(Precios!$D:$D,(Precios!$A:$A&lt;=$I19)*(Precios!$B:$B&gt;=$I19)"&amp;"*(Precios!$C:$C=R$37)),1)*(IF($K$10=""Sí"",0.94,1)),""""),"""")=0,"""",IF(COUNT($I$6:$I$13)&gt;3,0.9,1)*IF(VLOOKUP(LEFT(R$37,SEARCH(""☃"",SUBSTITUTE(R$37,"" "",""☃"",LEN(R$37)-LEN(SUBSTITUTE(R$37,"" "",""""))))-1),Excepciones!$A:$B,2,0)&gt;=0,IFERROR(INDEX(FILT"&amp;"ER(Precios!$D:$D,(Precios!$A:$A&lt;=$I19)*(Precios!$B:$B&gt;=$I19)*(Precios!$C:$C=R$37)),1)*(IF($K$10=""Sí"",0.94,1)),""""),"""")),"""")
"),"")</f>
        <v/>
      </c>
      <c r="S70" s="136"/>
      <c r="T70" s="48" t="str">
        <f>IFERROR(__xludf.DUMMYFUNCTION("IFERROR(IF(IF(COUNT($I$6:$I$13)&gt;3,0.9,1)*IF(VLOOKUP(LEFT(T$37,SEARCH(""☃"",SUBSTITUTE(T$37,"" "",""☃"",LEN(T$37)-LEN(SUBSTITUTE(T$37,"" "",""""))))-1),Excepciones!$A:$B,2,0)&gt;=0,IFERROR(INDEX(FILTER(Precios!$D:$D,(Precios!$A:$A&lt;=$I19)*(Precios!$B:$B&gt;=$I19)"&amp;"*(Precios!$C:$C=T$37)),1)*(IF($K$10=""Sí"",0.94,1)),""""),"""")=0,"""",IF(COUNT($I$6:$I$13)&gt;3,0.9,1)*IF(VLOOKUP(LEFT(T$37,SEARCH(""☃"",SUBSTITUTE(T$37,"" "",""☃"",LEN(T$37)-LEN(SUBSTITUTE(T$37,"" "",""""))))-1),Excepciones!$A:$B,2,0)&gt;=0,IFERROR(INDEX(FILT"&amp;"ER(Precios!$D:$D,(Precios!$A:$A&lt;=$I19)*(Precios!$B:$B&gt;=$I19)*(Precios!$C:$C=T$37)),1)*(IF($K$10=""Sí"",0.94,1)),""""),"""")),"""")
"),"")</f>
        <v/>
      </c>
      <c r="U70" s="48" t="str">
        <f>IFERROR(__xludf.DUMMYFUNCTION("IFERROR(IF(IF(COUNT($I$6:$I$13)&gt;=3,0.9,1)*IF(VLOOKUP(LEFT(U$37,SEARCH(""☃"",SUBSTITUTE(U$37,"" "",""☃"",LEN(U$37)-LEN(SUBSTITUTE(U$37,"" "",""""))))-1),Excepciones!$A:$B,2,0)&gt;=0,IFERROR(INDEX(FILTER(Precios!$D:$D,(Precios!$A:$A&lt;=$I19)*(Precios!$B:$B&gt;=$I19"&amp;")*(Precios!$C:$C=U$37)),1)*(IF($K$10=""Sí"",0.94,1)),""""),"""")=0,"""",IF(COUNT($I$6:$I$13)&gt;=3,0.9,1)*IF(VLOOKUP(LEFT(U$37,SEARCH(""☃"",SUBSTITUTE(U$37,"" "",""☃"",LEN(U$37)-LEN(SUBSTITUTE(U$37,"" "",""""))))-1),Excepciones!$A:$B,2,0)&gt;=0,IFERROR(INDEX(FI"&amp;"LTER(Precios!$D:$D,(Precios!$A:$A&lt;=$I19)*(Precios!$B:$B&gt;=$I19)*(Precios!$C:$C=U$37)),1)*(IF($K$10=""Sí"",0.94,1)),""""),"""")),"""")
"),"")</f>
        <v/>
      </c>
      <c r="V70" s="48"/>
      <c r="W70" s="48" t="str">
        <f>IFERROR(__xludf.DUMMYFUNCTION("IFERROR(IF($I19="""","""",IF(VLOOKUP(LEFT(W$37,SEARCH(""☃"",SUBSTITUTE(W$37,"" "",""☃"",LEN(W$37)-LEN(SUBSTITUTE(W$37,"" "",""""))))-1),Excepciones!$A:$B,2,0)&gt;=0,IFERROR(INDEX(filter(Precios!$D:$D,(Precios!$A:$A&lt;=$I19)*(Precios!$B:$B&gt;=$I19)*(Precios!$C:$C"&amp;"=W$37)),1)*1,""""),"""")),"""")"),"")</f>
        <v/>
      </c>
      <c r="X70" s="137"/>
      <c r="Y70" s="48" t="str">
        <f>IFERROR(__xludf.DUMMYFUNCTION("IFERROR(IF($I19="""","""",IF(VLOOKUP(LEFT(Y$37,SEARCH(""☃"",SUBSTITUTE(Y$37,"" "",""☃"",LEN(Y$37)-LEN(SUBSTITUTE(Y$37,"" "",""""))))-1),Excepciones!$A:$B,2,0)&gt;=0,IFERROR(INDEX(filter(Precios!$D:$D,(Precios!$A:$A&lt;=$I19)*(Precios!$B:$B&gt;=$I19)*(Precios!$C:$C"&amp;"=Y$37)),1)*1,""No asegurable""),""No asegurable"")),"""")"),"")</f>
        <v/>
      </c>
      <c r="Z70" s="48" t="str">
        <f>IFERROR(__xludf.DUMMYFUNCTION("IFERROR(IF($I19="""","""",IF(VLOOKUP(LEFT(Z$37,SEARCH(""☃"",SUBSTITUTE(Z$37,"" "",""☃"",LEN(Z$37)-LEN(SUBSTITUTE(Z$37,"" "",""""))))-1),Excepciones!$A:$B,2,0)&gt;=0,IFERROR(INDEX(filter(Precios!$D:$D,(Precios!$A:$A&lt;=$I19)*(Precios!$B:$B&gt;=$I19)*(Precios!$C:$C"&amp;"=Z$37)),1)*1,""No asegurable""),""No asegurable"")),"""")"),"")</f>
        <v/>
      </c>
      <c r="AA70" s="48" t="str">
        <f>IFERROR(__xludf.DUMMYFUNCTION("IFERROR(IF($I19="""","""",IF(VLOOKUP(LEFT(AA$37,SEARCH(""☃"",SUBSTITUTE(AA$37,"" "",""☃"",LEN(AA$37)-LEN(SUBSTITUTE(AA$37,"" "",""""))))-1),Excepciones!$A:$B,2,0)&gt;=0,IFERROR(INDEX(filter(Precios!$D:$D,(Precios!$A:$A&lt;=$I19)*(Precios!$B:$B&gt;=$I19)*(Precios!$"&amp;"C:$C=AA$37)),1)*1,""No asegurable""),""No asegurable"")),"""")"),"")</f>
        <v/>
      </c>
      <c r="AB70" s="48" t="str">
        <f>IFERROR(__xludf.DUMMYFUNCTION("IFERROR(IF($I19="""","""",IF(VLOOKUP(LEFT(AB$37,SEARCH(""☃"",SUBSTITUTE(AB$37,"" "",""☃"",LEN(AB$37)-LEN(SUBSTITUTE(AB$37,"" "",""""))))-1),Excepciones!$A:$B,2,0)&gt;=0,IFERROR(INDEX(filter(Precios!$D:$D,(Precios!$A:$A&lt;=$I19)*(Precios!$B:$B&gt;=$I19)*(Precios!$"&amp;"C:$C=AB$37)),1)*1,""No asegurable""),""No asegurable"")),"""")"),"")</f>
        <v/>
      </c>
      <c r="AC70" s="138" t="str">
        <f>IFERROR(__xludf.DUMMYFUNCTION("IFERROR(IF($I19="""","""",IF(VLOOKUP(LEFT(AC$37,SEARCH(""☃"",SUBSTITUTE(AC$37,"" "",""☃"",LEN(AC$37)-LEN(SUBSTITUTE(AC$37,"" "",""""))))-1),Excepciones!$A:$B,2,0)&gt;=0,IFERROR(INDEX(filter(Precios!$D:$D,(Precios!$A:$A&lt;=$I19)*(Precios!$B:$B&gt;=$I19)*(Precios!$"&amp;"C:$C=AC$37)),1)*1,""No asegurable""),""No asegurable"")),"""")"),"")</f>
        <v/>
      </c>
      <c r="AD70" s="5"/>
      <c r="AE70" s="5"/>
      <c r="AF70" s="5"/>
      <c r="AG70" s="5"/>
      <c r="AH70" s="125"/>
      <c r="AI70" s="125"/>
      <c r="AJ70" s="5"/>
      <c r="AK70" s="125"/>
      <c r="AL70" s="125"/>
    </row>
    <row r="71" ht="22.5" customHeight="1">
      <c r="L71" s="126">
        <v>15.0</v>
      </c>
      <c r="M71" s="128"/>
      <c r="N71" s="128" t="str">
        <f>IFERROR(__xludf.DUMMYFUNCTION("IFERROR(IF($I20="""","""",IF($K$8&gt;0,"""",IF(COUNT($I$6:$I$13)&gt;1,0.9,1)*IF(VLOOKUP(LEFT(N$37,SEARCH(""☃"",SUBSTITUTE(N$37,"" "",""☃"",LEN(N$37)-LEN(SUBSTITUTE(N$37,"" "",""""))))-1),Excepciones!$A:$B,2,0)&gt;=0,IFERROR(INDEX(FILTER(Precios!$D:$D,(Precios!$A:$"&amp;"A&lt;=$I20)*(Precios!$B:$B&gt;=$I20)*(Precios!$C:$C=N$37)),1)*(1-$K$6),""No asegurable""),""No asegurable""))),"""")
"),"")</f>
        <v/>
      </c>
      <c r="O71" s="128" t="str">
        <f>IFERROR(__xludf.DUMMYFUNCTION("IFERROR(IF(IF(COUNT($I$6:$I$13)&gt;3,0.9,1)*IF(VLOOKUP(LEFT(O$37,SEARCH(""☃"",SUBSTITUTE(O$37,"" "",""☃"",LEN(O$37)-LEN(SUBSTITUTE(O$37,"" "",""""))))-1),Excepciones!$A:$B,2,0)&gt;=0,IFERROR(INDEX(FILTER(Precios!$D:$D,(Precios!$A:$A&lt;=$I20)*(Precios!$B:$B&gt;=$I20)"&amp;"*(Precios!$C:$C=O$37)),1)*(IF($K$10=""Sí"",0.94,1)),""""),"""")=0,"""",IF(COUNT($I$6:$I$13)&gt;3,0.9,1)*IF(VLOOKUP(LEFT(O$37,SEARCH(""☃"",SUBSTITUTE(O$37,"" "",""☃"",LEN(O$37)-LEN(SUBSTITUTE(O$37,"" "",""""))))-1),Excepciones!$A:$B,2,0)&gt;=0,IFERROR(INDEX(FILT"&amp;"ER(Precios!$D:$D,(Precios!$A:$A&lt;=$I20)*(Precios!$B:$B&gt;=$I20)*(Precios!$C:$C=O$37)),1)*(IF($K$10=""Sí"",0.94,1)),""""),"""")),"""")
"),"")</f>
        <v/>
      </c>
      <c r="P71" s="139"/>
      <c r="Q71" s="128" t="str">
        <f>IFERROR(__xludf.DUMMYFUNCTION("IFERROR(IF(IF(COUNT($I$6:$I$13)&gt;3,0.9,1)*IF(VLOOKUP(LEFT(Q$37,SEARCH(""☃"",SUBSTITUTE(Q$37,"" "",""☃"",LEN(Q$37)-LEN(SUBSTITUTE(Q$37,"" "",""""))))-1),Excepciones!$A:$B,2,0)&gt;=0,IFERROR(INDEX(FILTER(Precios!$D:$D,(Precios!$A:$A&lt;=$I20)*(Precios!$B:$B&gt;=$I20)"&amp;"*(Precios!$C:$C=Q$37)),1)*(IF($K$10=""Sí"",0.94,1)),""""),"""")=0,"""",IF(COUNT($I$6:$I$13)&gt;3,0.9,1)*IF(VLOOKUP(LEFT(Q$37,SEARCH(""☃"",SUBSTITUTE(Q$37,"" "",""☃"",LEN(Q$37)-LEN(SUBSTITUTE(Q$37,"" "",""""))))-1),Excepciones!$A:$B,2,0)&gt;=0,IFERROR(INDEX(FILT"&amp;"ER(Precios!$D:$D,(Precios!$A:$A&lt;=$I20)*(Precios!$B:$B&gt;=$I20)*(Precios!$C:$C=Q$37)),1)*(IF($K$10=""Sí"",0.94,1)),""""),"""")),"""")
"),"")</f>
        <v/>
      </c>
      <c r="R71" s="128" t="str">
        <f>IFERROR(__xludf.DUMMYFUNCTION("IFERROR(IF(IF(COUNT($I$6:$I$13)&gt;3,0.9,1)*IF(VLOOKUP(LEFT(R$37,SEARCH(""☃"",SUBSTITUTE(R$37,"" "",""☃"",LEN(R$37)-LEN(SUBSTITUTE(R$37,"" "",""""))))-1),Excepciones!$A:$B,2,0)&gt;=0,IFERROR(INDEX(FILTER(Precios!$D:$D,(Precios!$A:$A&lt;=$I20)*(Precios!$B:$B&gt;=$I20)"&amp;"*(Precios!$C:$C=R$37)),1)*(IF($K$10=""Sí"",0.94,1)),""""),"""")=0,"""",IF(COUNT($I$6:$I$13)&gt;3,0.9,1)*IF(VLOOKUP(LEFT(R$37,SEARCH(""☃"",SUBSTITUTE(R$37,"" "",""☃"",LEN(R$37)-LEN(SUBSTITUTE(R$37,"" "",""""))))-1),Excepciones!$A:$B,2,0)&gt;=0,IFERROR(INDEX(FILT"&amp;"ER(Precios!$D:$D,(Precios!$A:$A&lt;=$I20)*(Precios!$B:$B&gt;=$I20)*(Precios!$C:$C=R$37)),1)*(IF($K$10=""Sí"",0.94,1)),""""),"""")),"""")
"),"")</f>
        <v/>
      </c>
      <c r="S71" s="139"/>
      <c r="T71" s="128" t="str">
        <f>IFERROR(__xludf.DUMMYFUNCTION("IFERROR(IF(IF(COUNT($I$6:$I$13)&gt;3,0.9,1)*IF(VLOOKUP(LEFT(T$37,SEARCH(""☃"",SUBSTITUTE(T$37,"" "",""☃"",LEN(T$37)-LEN(SUBSTITUTE(T$37,"" "",""""))))-1),Excepciones!$A:$B,2,0)&gt;=0,IFERROR(INDEX(FILTER(Precios!$D:$D,(Precios!$A:$A&lt;=$I20)*(Precios!$B:$B&gt;=$I20)"&amp;"*(Precios!$C:$C=T$37)),1)*(IF($K$10=""Sí"",0.94,1)),""""),"""")=0,"""",IF(COUNT($I$6:$I$13)&gt;3,0.9,1)*IF(VLOOKUP(LEFT(T$37,SEARCH(""☃"",SUBSTITUTE(T$37,"" "",""☃"",LEN(T$37)-LEN(SUBSTITUTE(T$37,"" "",""""))))-1),Excepciones!$A:$B,2,0)&gt;=0,IFERROR(INDEX(FILT"&amp;"ER(Precios!$D:$D,(Precios!$A:$A&lt;=$I20)*(Precios!$B:$B&gt;=$I20)*(Precios!$C:$C=T$37)),1)*(IF($K$10=""Sí"",0.94,1)),""""),"""")),"""")
"),"")</f>
        <v/>
      </c>
      <c r="U71" s="128" t="str">
        <f>IFERROR(__xludf.DUMMYFUNCTION("IFERROR(IF(IF(COUNT($I$6:$I$13)&gt;=3,0.9,1)*IF(VLOOKUP(LEFT(U$37,SEARCH(""☃"",SUBSTITUTE(U$37,"" "",""☃"",LEN(U$37)-LEN(SUBSTITUTE(U$37,"" "",""""))))-1),Excepciones!$A:$B,2,0)&gt;=0,IFERROR(INDEX(FILTER(Precios!$D:$D,(Precios!$A:$A&lt;=$I20)*(Precios!$B:$B&gt;=$I20"&amp;")*(Precios!$C:$C=U$37)),1)*(IF($K$10=""Sí"",0.94,1)),""""),"""")=0,"""",IF(COUNT($I$6:$I$13)&gt;=3,0.9,1)*IF(VLOOKUP(LEFT(U$37,SEARCH(""☃"",SUBSTITUTE(U$37,"" "",""☃"",LEN(U$37)-LEN(SUBSTITUTE(U$37,"" "",""""))))-1),Excepciones!$A:$B,2,0)&gt;=0,IFERROR(INDEX(FI"&amp;"LTER(Precios!$D:$D,(Precios!$A:$A&lt;=$I20)*(Precios!$B:$B&gt;=$I20)*(Precios!$C:$C=U$37)),1)*(IF($K$10=""Sí"",0.94,1)),""""),"""")),"""")
"),"")</f>
        <v/>
      </c>
      <c r="V71" s="128"/>
      <c r="W71" s="128" t="str">
        <f>IFERROR(__xludf.DUMMYFUNCTION("IFERROR(IF($I20="""","""",IF(VLOOKUP(LEFT(W$37,SEARCH(""☃"",SUBSTITUTE(W$37,"" "",""☃"",LEN(W$37)-LEN(SUBSTITUTE(W$37,"" "",""""))))-1),Excepciones!$A:$B,2,0)&gt;=0,IFERROR(INDEX(filter(Precios!$D:$D,(Precios!$A:$A&lt;=$I20)*(Precios!$B:$B&gt;=$I20)*(Precios!$C:$C"&amp;"=W$37)),1)*1,""""),"""")),"""")"),"")</f>
        <v/>
      </c>
      <c r="X71" s="140"/>
      <c r="Y71" s="128" t="str">
        <f>IFERROR(__xludf.DUMMYFUNCTION("IFERROR(IF($I20="""","""",IF(VLOOKUP(LEFT(Y$37,SEARCH(""☃"",SUBSTITUTE(Y$37,"" "",""☃"",LEN(Y$37)-LEN(SUBSTITUTE(Y$37,"" "",""""))))-1),Excepciones!$A:$B,2,0)&gt;=0,IFERROR(INDEX(filter(Precios!$D:$D,(Precios!$A:$A&lt;=$I20)*(Precios!$B:$B&gt;=$I20)*(Precios!$C:$C"&amp;"=Y$37)),1)*1,""No asegurable""),""No asegurable"")),"""")"),"")</f>
        <v/>
      </c>
      <c r="Z71" s="128" t="str">
        <f>IFERROR(__xludf.DUMMYFUNCTION("IFERROR(IF($I20="""","""",IF(VLOOKUP(LEFT(Z$37,SEARCH(""☃"",SUBSTITUTE(Z$37,"" "",""☃"",LEN(Z$37)-LEN(SUBSTITUTE(Z$37,"" "",""""))))-1),Excepciones!$A:$B,2,0)&gt;=0,IFERROR(INDEX(filter(Precios!$D:$D,(Precios!$A:$A&lt;=$I20)*(Precios!$B:$B&gt;=$I20)*(Precios!$C:$C"&amp;"=Z$37)),1)*1,""No asegurable""),""No asegurable"")),"""")"),"")</f>
        <v/>
      </c>
      <c r="AA71" s="128" t="str">
        <f>IFERROR(__xludf.DUMMYFUNCTION("IFERROR(IF($I20="""","""",IF(VLOOKUP(LEFT(AA$37,SEARCH(""☃"",SUBSTITUTE(AA$37,"" "",""☃"",LEN(AA$37)-LEN(SUBSTITUTE(AA$37,"" "",""""))))-1),Excepciones!$A:$B,2,0)&gt;=0,IFERROR(INDEX(filter(Precios!$D:$D,(Precios!$A:$A&lt;=$I20)*(Precios!$B:$B&gt;=$I20)*(Precios!$"&amp;"C:$C=AA$37)),1)*1,""No asegurable""),""No asegurable"")),"""")"),"")</f>
        <v/>
      </c>
      <c r="AB71" s="128" t="str">
        <f>IFERROR(__xludf.DUMMYFUNCTION("IFERROR(IF($I20="""","""",IF(VLOOKUP(LEFT(AB$37,SEARCH(""☃"",SUBSTITUTE(AB$37,"" "",""☃"",LEN(AB$37)-LEN(SUBSTITUTE(AB$37,"" "",""""))))-1),Excepciones!$A:$B,2,0)&gt;=0,IFERROR(INDEX(filter(Precios!$D:$D,(Precios!$A:$A&lt;=$I20)*(Precios!$B:$B&gt;=$I20)*(Precios!$"&amp;"C:$C=AB$37)),1)*1,""No asegurable""),""No asegurable"")),"""")"),"")</f>
        <v/>
      </c>
      <c r="AC71" s="141" t="str">
        <f>IFERROR(__xludf.DUMMYFUNCTION("IFERROR(IF($I20="""","""",IF(VLOOKUP(LEFT(AC$37,SEARCH(""☃"",SUBSTITUTE(AC$37,"" "",""☃"",LEN(AC$37)-LEN(SUBSTITUTE(AC$37,"" "",""""))))-1),Excepciones!$A:$B,2,0)&gt;=0,IFERROR(INDEX(filter(Precios!$D:$D,(Precios!$A:$A&lt;=$I20)*(Precios!$B:$B&gt;=$I20)*(Precios!$"&amp;"C:$C=AC$37)),1)*1,""No asegurable""),""No asegurable"")),"""")"),"")</f>
        <v/>
      </c>
      <c r="AD71" s="5"/>
      <c r="AE71" s="5"/>
      <c r="AF71" s="5"/>
      <c r="AG71" s="5"/>
      <c r="AH71" s="125"/>
      <c r="AI71" s="125"/>
      <c r="AJ71" s="5"/>
      <c r="AK71" s="125"/>
      <c r="AL71" s="125"/>
    </row>
    <row r="72" ht="28.5" customHeight="1"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3"/>
      <c r="Y72" s="5"/>
      <c r="Z72" s="5"/>
      <c r="AA72" s="5"/>
      <c r="AB72" s="5"/>
      <c r="AC72" s="5"/>
      <c r="AD72" s="5"/>
      <c r="AE72" s="5"/>
      <c r="AF72" s="5"/>
      <c r="AG72" s="5"/>
      <c r="AH72" s="125"/>
      <c r="AI72" s="125"/>
      <c r="AJ72" s="5"/>
      <c r="AK72" s="125"/>
      <c r="AL72" s="125"/>
    </row>
    <row r="73" ht="26.25" customHeight="1">
      <c r="L73" s="104" t="s">
        <v>49</v>
      </c>
      <c r="M73" s="105"/>
      <c r="N73" s="106" t="str">
        <f>"Go"&amp;" "&amp;$K$3</f>
        <v>Go 2</v>
      </c>
      <c r="O73" s="106" t="str">
        <f>"Plena Vital"&amp;" "&amp;$K$3</f>
        <v>Plena Vital 2</v>
      </c>
      <c r="P73" s="106" t="str">
        <f>"Plena Total vital"&amp;" "&amp;$K$3</f>
        <v>Plena Total vital 2</v>
      </c>
      <c r="Q73" s="106" t="str">
        <f>"Plena"&amp;" "&amp;$K$3</f>
        <v>Plena 2</v>
      </c>
      <c r="R73" s="106" t="str">
        <f>"Plena Plus"&amp;" "&amp;$K$3</f>
        <v>Plena Plus 2</v>
      </c>
      <c r="S73" s="106" t="str">
        <f>"Plena Total"&amp;" "&amp;$K$3</f>
        <v>Plena Total 2</v>
      </c>
      <c r="T73" s="106" t="str">
        <f>"Plena Extra 150"&amp;" "&amp;$K$3</f>
        <v>Plena Extra 150 2</v>
      </c>
      <c r="U73" s="106" t="str">
        <f>"Seniors"&amp;" "&amp;$K$3</f>
        <v>Seniors 2</v>
      </c>
      <c r="V73" s="106" t="str">
        <f>"Seniors total"&amp;" "&amp;$K$3</f>
        <v>Seniors total 2</v>
      </c>
      <c r="W73" s="106" t="str">
        <f>"Negocios NIF"&amp;" "&amp;$K$3</f>
        <v>Negocios NIF 2</v>
      </c>
      <c r="X73" s="107" t="str">
        <f>"Pymes TOTAL"&amp;" "&amp;$K$3</f>
        <v>Pymes TOTAL 2</v>
      </c>
      <c r="Y73" s="106" t="str">
        <f>IF(OR(COUNT(I54:I60)=1,COUNT(I54:I60)=2),"Extra Negocios NIF"&amp;" "&amp;$K$3&amp;" "&amp;COUNT(I54:I60),"Extra Negocios NIF"&amp;" "&amp;$K$3)</f>
        <v>Extra Negocios NIF 2</v>
      </c>
      <c r="Z73" s="106" t="str">
        <f>"Negocios CIF"&amp;" "&amp;$K$3</f>
        <v>Negocios CIF 2</v>
      </c>
      <c r="AA73" s="106" t="str">
        <f>"Extra Negocios CIF"&amp;" "&amp;$K$3</f>
        <v>Extra Negocios CIF 2</v>
      </c>
      <c r="AB73" s="106" t="str">
        <f>"Empresas"&amp;" "&amp;$K$3</f>
        <v>Empresas 2</v>
      </c>
      <c r="AC73" s="107" t="str">
        <f>"Extra Empresas"&amp;" "&amp;$K$3</f>
        <v>Extra Empresas 2</v>
      </c>
      <c r="AD73" s="5"/>
      <c r="AE73" s="5"/>
      <c r="AF73" s="5"/>
      <c r="AG73" s="5"/>
      <c r="AH73" s="125"/>
      <c r="AI73" s="125"/>
      <c r="AJ73" s="5"/>
      <c r="AK73" s="125"/>
      <c r="AL73" s="125"/>
    </row>
    <row r="74" ht="26.25" customHeight="1">
      <c r="L74" s="110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7"/>
      <c r="Y74" s="33"/>
      <c r="Z74" s="33"/>
      <c r="AA74" s="33"/>
      <c r="AB74" s="33"/>
      <c r="AC74" s="37"/>
      <c r="AD74" s="5"/>
      <c r="AE74" s="5"/>
      <c r="AF74" s="5"/>
      <c r="AG74" s="5"/>
      <c r="AH74" s="125"/>
      <c r="AI74" s="125"/>
      <c r="AJ74" s="5"/>
      <c r="AK74" s="125"/>
      <c r="AL74" s="125"/>
    </row>
    <row r="75" ht="27.75" customHeight="1">
      <c r="L75" s="111">
        <v>1.0</v>
      </c>
      <c r="M75" s="112"/>
      <c r="N75" s="112">
        <f>IF(OR(N57="",N57=0),"",N57+(VLOOKUP(COUNT($I$6:$I$13),Precios!$F:$H,2,0)))</f>
        <v>23.8125</v>
      </c>
      <c r="O75" s="112">
        <f>IF(OR(O57="",O57=0),"",O57+(VLOOKUP(COUNT($I$6:$I$13),Precios!$F:$H,2,0)))</f>
        <v>49.9125</v>
      </c>
      <c r="P75" s="112">
        <f>IFERROR(__xludf.DUMMYFUNCTION("IFERROR(IF($K$10=""Sí"","""",IF($I6="""","""",IF(VLOOKUP(LEFT(P$37,SEARCH(""☃"",SUBSTITUTE(P$37,"" "",""☃"",LEN(P$37)-LEN(SUBSTITUTE(P$37,"" "",""""))))-1),Excepciones!$A:$B,2,0)&gt;=0,IF(INDEX(FILTER(Precios!$D:$D,(Precios!$A:$A&lt;=$I6)*(Precios!$B:$B&gt;=$I6)*("&amp;"Precios!$C:$C=P$37)),1)*IF(COUNT($I$6:$I$13)&gt;=5,0.85,IF(COUNT($I$6:$I$13)&gt;=4,0.9,IF(COUNT($I$6:$I$13)&gt;=3,0.95,1)))=0,"""",INDEX(FILTER(Precios!$D:$D,(Precios!$A:$A&lt;=$I6)*(Precios!$B:$B&gt;=$I6)*(Precios!$C:$C=P$37)),1)*IF(COUNT($I$6:$I$13)&gt;=5,0.85,IF(COUNT($"&amp;"I$6:$I$13)&gt;=4,0.9,IF(COUNT($I$6:$I$13)&gt;=3,0.95,1)))),""""))), """")
"),54.9)</f>
        <v>54.9</v>
      </c>
      <c r="Q75" s="112">
        <f>IF(OR(Q57="",Q57=0),"",Q57+(VLOOKUP(COUNT($I$6:$I$13),Precios!$F:$H,2,0)))</f>
        <v>60.2625</v>
      </c>
      <c r="R75" s="112">
        <f>IF(OR(R57="",R57=0),"",R57+(VLOOKUP(COUNT($I$6:$I$13),Precios!$F:$H,2,0)))</f>
        <v>71.9625</v>
      </c>
      <c r="S75" s="112">
        <f>IFERROR(__xludf.DUMMYFUNCTION("IFERROR(IF($K$10=""Sí"","""",IF($I6="""","""",IF(VLOOKUP(LEFT(S$37,SEARCH(""☃"",SUBSTITUTE(S$37,"" "",""☃"",LEN(S$37)-LEN(SUBSTITUTE(S$37,"" "",""""))))-1),Excepciones!$A:$B,2,0)&gt;=0,IF(INDEX(FILTER(Precios!$D:$D,(Precios!$A:$A&lt;=$I6)*(Precios!$B:$B&gt;=$I6)*("&amp;"Precios!$C:$C=S$37)),1)*IF(COUNT($I$6:$I$13)&gt;=5,0.85,IF(COUNT($I$6:$I$13)&gt;=4,0.9,IF(COUNT($I$6:$I$13)&gt;=3,0.95,1)))=0,"""",INDEX(FILTER(Precios!$D:$D,(Precios!$A:$A&lt;=$I6)*(Precios!$B:$B&gt;=$I6)*(Precios!$C:$C=S$37)),1)*IF(COUNT($I$6:$I$13)&gt;=5,0.85,IF(COUNT($"&amp;"I$6:$I$13)&gt;=4,0.9,IF(COUNT($I$6:$I$13)&gt;=3,0.95,1)))),""""))), """")
"),92.7)</f>
        <v>92.7</v>
      </c>
      <c r="T75" s="112">
        <f>IFERROR(__xludf.DUMMYFUNCTION("IFERROR(IF($I6="""","""",IF(VLOOKUP(LEFT(T$37,SEARCH(""☃"",SUBSTITUTE(T$37,"" "",""☃"",LEN(T$37)-LEN(SUBSTITUTE(T$37,"" "",""""))))-1),Excepciones!$A:$B,2,0)&gt;=0,IFERROR((INDEX(filter(Precios!$D:$D,(Precios!$A:$A&lt;=$I6)*(Precios!$B:$B&gt;=$I6)*(Precios!$C:$C=T"&amp;"$37)),1)+VLOOKUP(COUNT($I$6:$I$13),Precios!$F:$G,2,0)),""""),"""")),"""")"),114.4625)</f>
        <v>114.4625</v>
      </c>
      <c r="U75" s="112" t="str">
        <f>IF(OR(U57="",U57=0),"",U57+(VLOOKUP(COUNT($I$6:$I$13),Precios!$F:$H,2,0)))</f>
        <v/>
      </c>
      <c r="V75" s="112" t="str">
        <f>IFERROR(__xludf.DUMMYFUNCTION("IFERROR(IF($K$10=""Sí"","""",IF($I6="""","""",IF(VLOOKUP(LEFT(V$37,SEARCH(""☃"",SUBSTITUTE(V$37,"" "",""☃"",LEN(V$37)-LEN(SUBSTITUTE(V$37,"" "",""""))))-1),Excepciones!$A:$B,2,0)&gt;=0,IF(INDEX(FILTER(Precios!$D:$D,(Precios!$A:$A&lt;=$I6)*(Precios!$B:$B&gt;=$I6)*("&amp;"Precios!$C:$C=V$37)),1)*IF(COUNT($I$6:$I$13)&gt;=5,0.85,IF(COUNT($I$6:$I$13)&gt;=4,0.9,IF(COUNT($I$6:$I$13)&gt;=3,0.95,1)))=0,"""",INDEX(FILTER(Precios!$D:$D,(Precios!$A:$A&lt;=$I6)*(Precios!$B:$B&gt;=$I6)*(Precios!$C:$C=V$37)),1)*IF(COUNT($I$6:$I$13)&gt;=5,0.85,IF(COUNT($"&amp;"I$6:$I$13)&gt;=4,0.9,IF(COUNT($I$6:$I$13)&gt;=3,0.95,1)))),""""))), """")
"),"")</f>
        <v/>
      </c>
      <c r="W75" s="112">
        <f>IFERROR(__xludf.DUMMYFUNCTION("IFERROR(IF($I6="""","""",IF(VLOOKUP(LEFT(W$37,SEARCH(""☃"",SUBSTITUTE(W$37,"" "",""☃"",LEN(W$37)-LEN(SUBSTITUTE(W$37,"" "",""""))))-1),Excepciones!$A:$B,2,0)&gt;=0,IFERROR((INDEX(filter(Precios!$D:$D,(Precios!$A:$A&lt;=$I6)*(Precios!$B:$B&gt;=$I6)*(Precios!$C:$C=W"&amp;"$37)),1)+VLOOKUP(COUNT($I$6:$I$13),Precios!$F:$G,2,0)),""No asegurable""),""No asegurable"")),"""")"),67.9625)</f>
        <v>67.9625</v>
      </c>
      <c r="X75" s="115">
        <f>IFERROR(__xludf.DUMMYFUNCTION("IF($K$10=""Sí"","""",IFERROR(IF($I6="""","""",IF(VLOOKUP(LEFT(X$37,SEARCH(""☃"",SUBSTITUTE(X$37,"" "",""☃"",LEN(X$37)-LEN(SUBSTITUTE(X$37,"" "",""""))))-1),Excepciones!$A:$B,2,0)&gt;=0,IFERROR(INDEX(filter(Precios!$D:$D,(Precios!$A:$A&lt;=$I6)*(Precios!$B:$B&gt;=$"&amp;"I6)*(Precios!$C:$C=X$37)),1),""No asegurable""),""No asegurable"")),""""))"),62.0)</f>
        <v>62</v>
      </c>
      <c r="Y75" s="112" t="str">
        <f>IFERROR(__xludf.DUMMYFUNCTION("IFERROR(IF($I6="""","""",IF(VLOOKUP(LEFT(Y$37,SEARCH(""☃"",SUBSTITUTE(Y$37,"" "",""☃"",LEN(Y$37)-LEN(SUBSTITUTE(Y$37,"" "",""""))))-1),Excepciones!$A:$B,2,0)&gt;=0,IFERROR(INDEX(filter(Precios!$D:$D,(Precios!$A:$A&lt;=$I6)*(Precios!$B:$B&gt;=$I6)*(Precios!$C:$C=Y$"&amp;"37)),1)*1,""No asegurable""),""No asegurable"")),"""")"),"")</f>
        <v/>
      </c>
      <c r="Z75" s="112">
        <f>IFERROR(__xludf.DUMMYFUNCTION("IFERROR(IF($I6="""","""",IF(VLOOKUP(LEFT(Z$37,SEARCH(""☃"",SUBSTITUTE(Z$37,"" "",""☃"",LEN(Z$37)-LEN(SUBSTITUTE(Z$37,"" "",""""))))-1),Excepciones!$A:$B,2,0)&gt;=0,IFERROR(INDEX(filter(Precios!$D:$D,(Precios!$A:$A&lt;=$I6)*(Precios!$B:$B&gt;=$I6)*(Precios!$C:$C=Z$"&amp;"37)),1)*1,""No asegurable""),""No asegurable"")),"""")"),52.0)</f>
        <v>52</v>
      </c>
      <c r="AA75" s="112">
        <f>IFERROR(__xludf.DUMMYFUNCTION("IFERROR(IF($I6="""","""",IF(VLOOKUP(LEFT(AA$37,SEARCH(""☃"",SUBSTITUTE(AA$37,"" "",""☃"",LEN(AA$37)-LEN(SUBSTITUTE(AA$37,"" "",""""))))-1),Excepciones!$A:$B,2,0)&gt;=0,IFERROR(INDEX(filter(Precios!$D:$D,(Precios!$A:$A&lt;=$I6)*(Precios!$B:$B&gt;=$I6)*(Precios!$C:$"&amp;"C=AA$37)),1)*1,""No asegurable""),""No asegurable"")),"""")"),76.5)</f>
        <v>76.5</v>
      </c>
      <c r="AB75" s="112">
        <f>IFERROR(__xludf.DUMMYFUNCTION("IFERROR(IF($I6="""","""",IF(VLOOKUP(LEFT(AB$37,SEARCH(""☃"",SUBSTITUTE(AB$37,"" "",""☃"",LEN(AB$37)-LEN(SUBSTITUTE(AB$37,"" "",""""))))-1),Excepciones!$A:$B,2,0)&gt;=0,IFERROR(INDEX(filter(Precios!$D:$D,(Precios!$A:$A&lt;=$I6)*(Precios!$B:$B&gt;=$I6)*(Precios!$C:$"&amp;"C=AB$37)),1)*1,""No asegurable""),""No asegurable"")),"""")"),58.5)</f>
        <v>58.5</v>
      </c>
      <c r="AC75" s="142">
        <f>IFERROR(__xludf.DUMMYFUNCTION("IFERROR(IF($I6="""","""",IF(VLOOKUP(LEFT(AC$37,SEARCH(""☃"",SUBSTITUTE(AC$37,"" "",""☃"",LEN(AC$37)-LEN(SUBSTITUTE(AC$37,"" "",""""))))-1),Excepciones!$A:$B,2,0)&gt;=0,IFERROR(INDEX(filter(Precios!$D:$D,(Precios!$A:$A&lt;=$I6)*(Precios!$B:$B&gt;=$I6)*(Precios!$C:$"&amp;"C=AC$37)),1)*1,""No asegurable""),""No asegurable"")),"""")"),81.5)</f>
        <v>81.5</v>
      </c>
      <c r="AD75" s="5"/>
      <c r="AE75" s="5"/>
      <c r="AF75" s="5"/>
      <c r="AG75" s="5"/>
      <c r="AH75" s="125"/>
      <c r="AI75" s="125"/>
      <c r="AJ75" s="5"/>
      <c r="AK75" s="125"/>
      <c r="AL75" s="125"/>
    </row>
    <row r="76" ht="27.75" customHeight="1">
      <c r="L76" s="116">
        <v>2.0</v>
      </c>
      <c r="M76" s="48"/>
      <c r="N76" s="48">
        <f>IF(OR(N58="",N58=0),"",N58+(VLOOKUP(COUNT($I$6:$I$13),Precios!$F:$H,2,0)))</f>
        <v>23.8125</v>
      </c>
      <c r="O76" s="48">
        <f>IF(OR(O58="",O58=0),"",O58+(VLOOKUP(COUNT($I$6:$I$13),Precios!$F:$H,2,0)))</f>
        <v>49.9125</v>
      </c>
      <c r="P76" s="48">
        <f>IFERROR(__xludf.DUMMYFUNCTION("IFERROR(IF($K$10=""Sí"","""",IF($I7="""","""",IF(VLOOKUP(LEFT(P$37,SEARCH(""☃"",SUBSTITUTE(P$37,"" "",""☃"",LEN(P$37)-LEN(SUBSTITUTE(P$37,"" "",""""))))-1),Excepciones!$A:$B,2,0)&gt;=0,IF(INDEX(FILTER(Precios!$D:$D,(Precios!$A:$A&lt;=$I7)*(Precios!$B:$B&gt;=$I7)*("&amp;"Precios!$C:$C=P$37)),1)*IF(COUNT($I$6:$I$13)&gt;=5,0.85,IF(COUNT($I$6:$I$13)&gt;=4,0.9,IF(COUNT($I$6:$I$13)&gt;=3,0.95,1)))=0,"""",INDEX(FILTER(Precios!$D:$D,(Precios!$A:$A&lt;=$I7)*(Precios!$B:$B&gt;=$I7)*(Precios!$C:$C=P$37)),1)*IF(COUNT($I$6:$I$13)&gt;=5,0.85,IF(COUNT($"&amp;"I$6:$I$13)&gt;=4,0.9,IF(COUNT($I$6:$I$13)&gt;=3,0.95,1)))),""""))), """")
"),54.9)</f>
        <v>54.9</v>
      </c>
      <c r="Q76" s="48">
        <f>IF(OR(Q58="",Q58=0),"",Q58+(VLOOKUP(COUNT($I$6:$I$13),Precios!$F:$H,2,0)))</f>
        <v>60.2625</v>
      </c>
      <c r="R76" s="48">
        <f>IF(OR(R58="",R58=0),"",R58+(VLOOKUP(COUNT($I$6:$I$13),Precios!$F:$H,2,0)))</f>
        <v>71.9625</v>
      </c>
      <c r="S76" s="48">
        <f>IFERROR(__xludf.DUMMYFUNCTION("IFERROR(IF($K$10=""Sí"","""",IF($I7="""","""",IF(VLOOKUP(LEFT(S$37,SEARCH(""☃"",SUBSTITUTE(S$37,"" "",""☃"",LEN(S$37)-LEN(SUBSTITUTE(S$37,"" "",""""))))-1),Excepciones!$A:$B,2,0)&gt;=0,IF(INDEX(FILTER(Precios!$D:$D,(Precios!$A:$A&lt;=$I7)*(Precios!$B:$B&gt;=$I7)*("&amp;"Precios!$C:$C=S$37)),1)*IF(COUNT($I$6:$I$13)&gt;=5,0.85,IF(COUNT($I$6:$I$13)&gt;=4,0.9,IF(COUNT($I$6:$I$13)&gt;=3,0.95,1)))=0,"""",INDEX(FILTER(Precios!$D:$D,(Precios!$A:$A&lt;=$I7)*(Precios!$B:$B&gt;=$I7)*(Precios!$C:$C=S$37)),1)*IF(COUNT($I$6:$I$13)&gt;=5,0.85,IF(COUNT($"&amp;"I$6:$I$13)&gt;=4,0.9,IF(COUNT($I$6:$I$13)&gt;=3,0.95,1)))),""""))), """")
"),92.7)</f>
        <v>92.7</v>
      </c>
      <c r="T76" s="48">
        <f>IFERROR(__xludf.DUMMYFUNCTION("IFERROR(IF($I7="""","""",IF(VLOOKUP(LEFT(T$37,SEARCH(""☃"",SUBSTITUTE(T$37,"" "",""☃"",LEN(T$37)-LEN(SUBSTITUTE(T$37,"" "",""""))))-1),Excepciones!$A:$B,2,0)&gt;=0,IFERROR((INDEX(filter(Precios!$D:$D,(Precios!$A:$A&lt;=$I7)*(Precios!$B:$B&gt;=$I7)*(Precios!$C:$C=T"&amp;"$37)),1)+VLOOKUP(COUNT($I$6:$I$13),Precios!$F:$G,2,0)),""""),"""")),"""")"),114.4625)</f>
        <v>114.4625</v>
      </c>
      <c r="U76" s="48" t="str">
        <f>IF(OR(U58="",U58=0),"",U58+(VLOOKUP(COUNT($I$6:$I$13),Precios!$F:$H,2,0)))</f>
        <v/>
      </c>
      <c r="V76" s="48" t="str">
        <f>IFERROR(__xludf.DUMMYFUNCTION("IFERROR(IF($K$10=""Sí"","""",IF($I7="""","""",IF(VLOOKUP(LEFT(V$37,SEARCH(""☃"",SUBSTITUTE(V$37,"" "",""☃"",LEN(V$37)-LEN(SUBSTITUTE(V$37,"" "",""""))))-1),Excepciones!$A:$B,2,0)&gt;=0,IF(INDEX(FILTER(Precios!$D:$D,(Precios!$A:$A&lt;=$I7)*(Precios!$B:$B&gt;=$I7)*("&amp;"Precios!$C:$C=V$37)),1)*IF(COUNT($I$6:$I$13)&gt;=5,0.85,IF(COUNT($I$6:$I$13)&gt;=4,0.9,IF(COUNT($I$6:$I$13)&gt;=3,0.95,1)))=0,"""",INDEX(FILTER(Precios!$D:$D,(Precios!$A:$A&lt;=$I7)*(Precios!$B:$B&gt;=$I7)*(Precios!$C:$C=V$37)),1)*IF(COUNT($I$6:$I$13)&gt;=5,0.85,IF(COUNT($"&amp;"I$6:$I$13)&gt;=4,0.9,IF(COUNT($I$6:$I$13)&gt;=3,0.95,1)))),""""))), """")
"),"")</f>
        <v/>
      </c>
      <c r="W76" s="48">
        <f>IFERROR(__xludf.DUMMYFUNCTION("IFERROR(IF($I7="""","""",IF(VLOOKUP(LEFT(W$37,SEARCH(""☃"",SUBSTITUTE(W$37,"" "",""☃"",LEN(W$37)-LEN(SUBSTITUTE(W$37,"" "",""""))))-1),Excepciones!$A:$B,2,0)&gt;=0,IFERROR((INDEX(filter(Precios!$D:$D,(Precios!$A:$A&lt;=$I7)*(Precios!$B:$B&gt;=$I7)*(Precios!$C:$C=W"&amp;"$37)),1)+VLOOKUP(COUNT($I$6:$I$13),Precios!$F:$G,2,0)),""No asegurable""),""No asegurable"")),"""")"),67.9625)</f>
        <v>67.9625</v>
      </c>
      <c r="X76" s="119">
        <f>IFERROR(__xludf.DUMMYFUNCTION("IF($K$10=""Sí"","""",IFERROR(IF($I7="""","""",IF(VLOOKUP(LEFT(X$37,SEARCH(""☃"",SUBSTITUTE(X$37,"" "",""☃"",LEN(X$37)-LEN(SUBSTITUTE(X$37,"" "",""""))))-1),Excepciones!$A:$B,2,0)&gt;=0,IFERROR(INDEX(filter(Precios!$D:$D,(Precios!$A:$A&lt;=$I7)*(Precios!$B:$B&gt;=$"&amp;"I7)*(Precios!$C:$C=X$37)),1),""No asegurable""),""No asegurable"")),""""))"),62.0)</f>
        <v>62</v>
      </c>
      <c r="Y76" s="48" t="str">
        <f>IFERROR(__xludf.DUMMYFUNCTION("IFERROR(IF($I7="""","""",IF(VLOOKUP(LEFT(Y$37,SEARCH(""☃"",SUBSTITUTE(Y$37,"" "",""☃"",LEN(Y$37)-LEN(SUBSTITUTE(Y$37,"" "",""""))))-1),Excepciones!$A:$B,2,0)&gt;=0,IFERROR(INDEX(filter(Precios!$D:$D,(Precios!$A:$A&lt;=$I7)*(Precios!$B:$B&gt;=$I7)*(Precios!$C:$C=Y$"&amp;"37)),1)*1,""No asegurable""),""No asegurable"")),"""")"),"")</f>
        <v/>
      </c>
      <c r="Z76" s="48">
        <f>IFERROR(__xludf.DUMMYFUNCTION("IFERROR(IF($I7="""","""",IF(VLOOKUP(LEFT(Z$37,SEARCH(""☃"",SUBSTITUTE(Z$37,"" "",""☃"",LEN(Z$37)-LEN(SUBSTITUTE(Z$37,"" "",""""))))-1),Excepciones!$A:$B,2,0)&gt;=0,IFERROR(INDEX(filter(Precios!$D:$D,(Precios!$A:$A&lt;=$I7)*(Precios!$B:$B&gt;=$I7)*(Precios!$C:$C=Z$"&amp;"37)),1)*1,""No asegurable""),""No asegurable"")),"""")"),52.0)</f>
        <v>52</v>
      </c>
      <c r="AA76" s="48">
        <f>IFERROR(__xludf.DUMMYFUNCTION("IFERROR(IF($I7="""","""",IF(VLOOKUP(LEFT(AA$37,SEARCH(""☃"",SUBSTITUTE(AA$37,"" "",""☃"",LEN(AA$37)-LEN(SUBSTITUTE(AA$37,"" "",""""))))-1),Excepciones!$A:$B,2,0)&gt;=0,IFERROR(INDEX(filter(Precios!$D:$D,(Precios!$A:$A&lt;=$I7)*(Precios!$B:$B&gt;=$I7)*(Precios!$C:$"&amp;"C=AA$37)),1)*1,""No asegurable""),""No asegurable"")),"""")"),76.5)</f>
        <v>76.5</v>
      </c>
      <c r="AB76" s="48">
        <f>IFERROR(__xludf.DUMMYFUNCTION("IFERROR(IF($I7="""","""",IF(VLOOKUP(LEFT(AB$37,SEARCH(""☃"",SUBSTITUTE(AB$37,"" "",""☃"",LEN(AB$37)-LEN(SUBSTITUTE(AB$37,"" "",""""))))-1),Excepciones!$A:$B,2,0)&gt;=0,IFERROR(INDEX(filter(Precios!$D:$D,(Precios!$A:$A&lt;=$I7)*(Precios!$B:$B&gt;=$I7)*(Precios!$C:$"&amp;"C=AB$37)),1)*1,""No asegurable""),""No asegurable"")),"""")"),58.5)</f>
        <v>58.5</v>
      </c>
      <c r="AC76" s="49">
        <f>IFERROR(__xludf.DUMMYFUNCTION("IFERROR(IF($I7="""","""",IF(VLOOKUP(LEFT(AC$37,SEARCH(""☃"",SUBSTITUTE(AC$37,"" "",""☃"",LEN(AC$37)-LEN(SUBSTITUTE(AC$37,"" "",""""))))-1),Excepciones!$A:$B,2,0)&gt;=0,IFERROR(INDEX(filter(Precios!$D:$D,(Precios!$A:$A&lt;=$I7)*(Precios!$B:$B&gt;=$I7)*(Precios!$C:$"&amp;"C=AC$37)),1)*1,""No asegurable""),""No asegurable"")),"""")"),81.5)</f>
        <v>81.5</v>
      </c>
      <c r="AD76" s="5"/>
      <c r="AE76" s="5"/>
      <c r="AF76" s="5"/>
      <c r="AG76" s="5"/>
      <c r="AH76" s="125"/>
      <c r="AI76" s="125"/>
      <c r="AJ76" s="5"/>
      <c r="AK76" s="125"/>
      <c r="AL76" s="125"/>
    </row>
    <row r="77" ht="27.75" customHeight="1">
      <c r="L77" s="116">
        <v>3.0</v>
      </c>
      <c r="M77" s="48"/>
      <c r="N77" s="48">
        <f>IF(OR(N59="",N59=0),"",N59+(VLOOKUP(COUNT($I$6:$I$13),Precios!$F:$H,2,0)))</f>
        <v>39.5625</v>
      </c>
      <c r="O77" s="48">
        <f>IF(OR(O59="",O59=0),"",O59+(VLOOKUP(COUNT($I$6:$I$13),Precios!$F:$H,2,0)))</f>
        <v>89.9625</v>
      </c>
      <c r="P77" s="48">
        <f>IFERROR(__xludf.DUMMYFUNCTION("IFERROR(IF($K$10=""Sí"","""",IF($I8="""","""",IF(VLOOKUP(LEFT(P$37,SEARCH(""☃"",SUBSTITUTE(P$37,"" "",""☃"",LEN(P$37)-LEN(SUBSTITUTE(P$37,"" "",""""))))-1),Excepciones!$A:$B,2,0)&gt;=0,IF(INDEX(FILTER(Precios!$D:$D,(Precios!$A:$A&lt;=$I8)*(Precios!$B:$B&gt;=$I8)*("&amp;"Precios!$C:$C=P$37)),1)*IF(COUNT($I$6:$I$13)&gt;=5,0.85,IF(COUNT($I$6:$I$13)&gt;=4,0.9,IF(COUNT($I$6:$I$13)&gt;=3,0.95,1)))=0,"""",INDEX(FILTER(Precios!$D:$D,(Precios!$A:$A&lt;=$I8)*(Precios!$B:$B&gt;=$I8)*(Precios!$C:$C=P$37)),1)*IF(COUNT($I$6:$I$13)&gt;=5,0.85,IF(COUNT($"&amp;"I$6:$I$13)&gt;=4,0.9,IF(COUNT($I$6:$I$13)&gt;=3,0.95,1)))),""""))), """")
"),100.8)</f>
        <v>100.8</v>
      </c>
      <c r="Q77" s="48">
        <f>IF(OR(Q59="",Q59=0),"",Q59+(VLOOKUP(COUNT($I$6:$I$13),Precios!$F:$H,2,0)))</f>
        <v>100.7625</v>
      </c>
      <c r="R77" s="48">
        <f>IF(OR(R59="",R59=0),"",R59+(VLOOKUP(COUNT($I$6:$I$13),Precios!$F:$H,2,0)))</f>
        <v>143.9625</v>
      </c>
      <c r="S77" s="48">
        <f>IFERROR(__xludf.DUMMYFUNCTION("IFERROR(IF($K$10=""Sí"","""",IF($I8="""","""",IF(VLOOKUP(LEFT(S$37,SEARCH(""☃"",SUBSTITUTE(S$37,"" "",""☃"",LEN(S$37)-LEN(SUBSTITUTE(S$37,"" "",""""))))-1),Excepciones!$A:$B,2,0)&gt;=0,IF(INDEX(FILTER(Precios!$D:$D,(Precios!$A:$A&lt;=$I8)*(Precios!$B:$B&gt;=$I8)*("&amp;"Precios!$C:$C=S$37)),1)*IF(COUNT($I$6:$I$13)&gt;=5,0.85,IF(COUNT($I$6:$I$13)&gt;=4,0.9,IF(COUNT($I$6:$I$13)&gt;=3,0.95,1)))=0,"""",INDEX(FILTER(Precios!$D:$D,(Precios!$A:$A&lt;=$I8)*(Precios!$B:$B&gt;=$I8)*(Precios!$C:$C=S$37)),1)*IF(COUNT($I$6:$I$13)&gt;=5,0.85,IF(COUNT($"&amp;"I$6:$I$13)&gt;=4,0.9,IF(COUNT($I$6:$I$13)&gt;=3,0.95,1)))),""""))), """")
"),158.4)</f>
        <v>158.4</v>
      </c>
      <c r="T77" s="48">
        <f>IFERROR(__xludf.DUMMYFUNCTION("IFERROR(IF($I8="""","""",IF(VLOOKUP(LEFT(T$37,SEARCH(""☃"",SUBSTITUTE(T$37,"" "",""☃"",LEN(T$37)-LEN(SUBSTITUTE(T$37,"" "",""""))))-1),Excepciones!$A:$B,2,0)&gt;=0,IFERROR((INDEX(filter(Precios!$D:$D,(Precios!$A:$A&lt;=$I8)*(Precios!$B:$B&gt;=$I8)*(Precios!$C:$C=T"&amp;"$37)),1)+VLOOKUP(COUNT($I$6:$I$13),Precios!$F:$G,2,0)),""""),"""")),"""")"),184.4625)</f>
        <v>184.4625</v>
      </c>
      <c r="U77" s="48" t="str">
        <f>IF(OR(U59="",U59=0),"",U59+(VLOOKUP(COUNT($I$6:$I$13),Precios!$F:$H,2,0)))</f>
        <v/>
      </c>
      <c r="V77" s="48" t="str">
        <f>IFERROR(__xludf.DUMMYFUNCTION("IFERROR(IF($K$10=""Sí"","""",IF($I8="""","""",IF(VLOOKUP(LEFT(V$37,SEARCH(""☃"",SUBSTITUTE(V$37,"" "",""☃"",LEN(V$37)-LEN(SUBSTITUTE(V$37,"" "",""""))))-1),Excepciones!$A:$B,2,0)&gt;=0,IF(INDEX(FILTER(Precios!$D:$D,(Precios!$A:$A&lt;=$I8)*(Precios!$B:$B&gt;=$I8)*("&amp;"Precios!$C:$C=V$37)),1)*IF(COUNT($I$6:$I$13)&gt;=5,0.85,IF(COUNT($I$6:$I$13)&gt;=4,0.9,IF(COUNT($I$6:$I$13)&gt;=3,0.95,1)))=0,"""",INDEX(FILTER(Precios!$D:$D,(Precios!$A:$A&lt;=$I8)*(Precios!$B:$B&gt;=$I8)*(Precios!$C:$C=V$37)),1)*IF(COUNT($I$6:$I$13)&gt;=5,0.85,IF(COUNT($"&amp;"I$6:$I$13)&gt;=4,0.9,IF(COUNT($I$6:$I$13)&gt;=3,0.95,1)))),""""))), """")
"),"")</f>
        <v/>
      </c>
      <c r="W77" s="48">
        <f>IFERROR(__xludf.DUMMYFUNCTION("IFERROR(IF($I8="""","""",IF(VLOOKUP(LEFT(W$37,SEARCH(""☃"",SUBSTITUTE(W$37,"" "",""☃"",LEN(W$37)-LEN(SUBSTITUTE(W$37,"" "",""""))))-1),Excepciones!$A:$B,2,0)&gt;=0,IFERROR((INDEX(filter(Precios!$D:$D,(Precios!$A:$A&lt;=$I8)*(Precios!$B:$B&gt;=$I8)*(Precios!$C:$C=W"&amp;"$37)),1)+VLOOKUP(COUNT($I$6:$I$13),Precios!$F:$G,2,0)),""No asegurable""),""No asegurable"")),"""")"),131.4625)</f>
        <v>131.4625</v>
      </c>
      <c r="X77" s="119">
        <f>IFERROR(__xludf.DUMMYFUNCTION("IF($K$10=""Sí"","""",IFERROR(IF($I8="""","""",IF(VLOOKUP(LEFT(X$37,SEARCH(""☃"",SUBSTITUTE(X$37,"" "",""☃"",LEN(X$37)-LEN(SUBSTITUTE(X$37,"" "",""""))))-1),Excepciones!$A:$B,2,0)&gt;=0,IFERROR(INDEX(filter(Precios!$D:$D,(Precios!$A:$A&lt;=$I8)*(Precios!$B:$B&gt;=$"&amp;"I8)*(Precios!$C:$C=X$37)),1),""No asegurable""),""No asegurable"")),""""))"),95.0)</f>
        <v>95</v>
      </c>
      <c r="Y77" s="48" t="str">
        <f>IFERROR(__xludf.DUMMYFUNCTION("IFERROR(IF($I8="""","""",IF(VLOOKUP(LEFT(Y$37,SEARCH(""☃"",SUBSTITUTE(Y$37,"" "",""☃"",LEN(Y$37)-LEN(SUBSTITUTE(Y$37,"" "",""""))))-1),Excepciones!$A:$B,2,0)&gt;=0,IFERROR(INDEX(filter(Precios!$D:$D,(Precios!$A:$A&lt;=$I8)*(Precios!$B:$B&gt;=$I8)*(Precios!$C:$C=Y$"&amp;"37)),1)*1,""No asegurable""),""No asegurable"")),"""")"),"")</f>
        <v/>
      </c>
      <c r="Z77" s="48">
        <f>IFERROR(__xludf.DUMMYFUNCTION("IFERROR(IF($I8="""","""",IF(VLOOKUP(LEFT(Z$37,SEARCH(""☃"",SUBSTITUTE(Z$37,"" "",""☃"",LEN(Z$37)-LEN(SUBSTITUTE(Z$37,"" "",""""))))-1),Excepciones!$A:$B,2,0)&gt;=0,IFERROR(INDEX(filter(Precios!$D:$D,(Precios!$A:$A&lt;=$I8)*(Precios!$B:$B&gt;=$I8)*(Precios!$C:$C=Z$"&amp;"37)),1)*1,""No asegurable""),""No asegurable"")),"""")"),81.0)</f>
        <v>81</v>
      </c>
      <c r="AA77" s="48">
        <f>IFERROR(__xludf.DUMMYFUNCTION("IFERROR(IF($I8="""","""",IF(VLOOKUP(LEFT(AA$37,SEARCH(""☃"",SUBSTITUTE(AA$37,"" "",""☃"",LEN(AA$37)-LEN(SUBSTITUTE(AA$37,"" "",""""))))-1),Excepciones!$A:$B,2,0)&gt;=0,IFERROR(INDEX(filter(Precios!$D:$D,(Precios!$A:$A&lt;=$I8)*(Precios!$B:$B&gt;=$I8)*(Precios!$C:$"&amp;"C=AA$37)),1)*1,""No asegurable""),""No asegurable"")),"""")"),115.0)</f>
        <v>115</v>
      </c>
      <c r="AB77" s="48">
        <f>IFERROR(__xludf.DUMMYFUNCTION("IFERROR(IF($I8="""","""",IF(VLOOKUP(LEFT(AB$37,SEARCH(""☃"",SUBSTITUTE(AB$37,"" "",""☃"",LEN(AB$37)-LEN(SUBSTITUTE(AB$37,"" "",""""))))-1),Excepciones!$A:$B,2,0)&gt;=0,IFERROR(INDEX(filter(Precios!$D:$D,(Precios!$A:$A&lt;=$I8)*(Precios!$B:$B&gt;=$I8)*(Precios!$C:$"&amp;"C=AB$37)),1)*1,""No asegurable""),""No asegurable"")),"""")"),58.5)</f>
        <v>58.5</v>
      </c>
      <c r="AC77" s="49">
        <f>IFERROR(__xludf.DUMMYFUNCTION("IFERROR(IF($I8="""","""",IF(VLOOKUP(LEFT(AC$37,SEARCH(""☃"",SUBSTITUTE(AC$37,"" "",""☃"",LEN(AC$37)-LEN(SUBSTITUTE(AC$37,"" "",""""))))-1),Excepciones!$A:$B,2,0)&gt;=0,IFERROR(INDEX(filter(Precios!$D:$D,(Precios!$A:$A&lt;=$I8)*(Precios!$B:$B&gt;=$I8)*(Precios!$C:$"&amp;"C=AC$37)),1)*1,""No asegurable""),""No asegurable"")),"""")"),81.5)</f>
        <v>81.5</v>
      </c>
      <c r="AD77" s="5"/>
      <c r="AE77" s="5"/>
      <c r="AF77" s="5"/>
      <c r="AG77" s="5"/>
      <c r="AH77" s="125"/>
      <c r="AI77" s="125"/>
      <c r="AJ77" s="5"/>
      <c r="AK77" s="125"/>
      <c r="AL77" s="125"/>
    </row>
    <row r="78" ht="27.75" customHeight="1">
      <c r="L78" s="116">
        <v>4.0</v>
      </c>
      <c r="M78" s="48"/>
      <c r="N78" s="48">
        <f>IF(OR(N60="",N60=0),"",N60+(VLOOKUP(COUNT($I$6:$I$13),Precios!$F:$H,2,0)))</f>
        <v>39.5625</v>
      </c>
      <c r="O78" s="48">
        <f>IF(OR(O60="",O60=0),"",O60+(VLOOKUP(COUNT($I$6:$I$13),Precios!$F:$H,2,0)))</f>
        <v>151.1625</v>
      </c>
      <c r="P78" s="48">
        <f>IFERROR(__xludf.DUMMYFUNCTION("IFERROR(IF($K$10=""Sí"","""",IF($I9="""","""",IF(VLOOKUP(LEFT(P$37,SEARCH(""☃"",SUBSTITUTE(P$37,"" "",""☃"",LEN(P$37)-LEN(SUBSTITUTE(P$37,"" "",""""))))-1),Excepciones!$A:$B,2,0)&gt;=0,IF(INDEX(FILTER(Precios!$D:$D,(Precios!$A:$A&lt;=$I9)*(Precios!$B:$B&gt;=$I9)*("&amp;"Precios!$C:$C=P$37)),1)*IF(COUNT($I$6:$I$13)&gt;=5,0.85,IF(COUNT($I$6:$I$13)&gt;=4,0.9,IF(COUNT($I$6:$I$13)&gt;=3,0.95,1)))=0,"""",INDEX(FILTER(Precios!$D:$D,(Precios!$A:$A&lt;=$I9)*(Precios!$B:$B&gt;=$I9)*(Precios!$C:$C=P$37)),1)*IF(COUNT($I$6:$I$13)&gt;=5,0.85,IF(COUNT($"&amp;"I$6:$I$13)&gt;=4,0.9,IF(COUNT($I$6:$I$13)&gt;=3,0.95,1)))),""""))), """")
"),180.9)</f>
        <v>180.9</v>
      </c>
      <c r="Q78" s="48">
        <f>IF(OR(Q60="",Q60=0),"",Q60+(VLOOKUP(COUNT($I$6:$I$13),Precios!$F:$H,2,0)))</f>
        <v>154.7625</v>
      </c>
      <c r="R78" s="48">
        <f>IF(OR(R60="",R60=0),"",R60+(VLOOKUP(COUNT($I$6:$I$13),Precios!$F:$H,2,0)))</f>
        <v>233.9625</v>
      </c>
      <c r="S78" s="48">
        <f>IFERROR(__xludf.DUMMYFUNCTION("IFERROR(IF($K$10=""Sí"","""",IF($I9="""","""",IF(VLOOKUP(LEFT(S$37,SEARCH(""☃"",SUBSTITUTE(S$37,"" "",""☃"",LEN(S$37)-LEN(SUBSTITUTE(S$37,"" "",""""))))-1),Excepciones!$A:$B,2,0)&gt;=0,IF(INDEX(FILTER(Precios!$D:$D,(Precios!$A:$A&lt;=$I9)*(Precios!$B:$B&gt;=$I9)*("&amp;"Precios!$C:$C=S$37)),1)*IF(COUNT($I$6:$I$13)&gt;=5,0.85,IF(COUNT($I$6:$I$13)&gt;=4,0.9,IF(COUNT($I$6:$I$13)&gt;=3,0.95,1)))=0,"""",INDEX(FILTER(Precios!$D:$D,(Precios!$A:$A&lt;=$I9)*(Precios!$B:$B&gt;=$I9)*(Precios!$C:$C=S$37)),1)*IF(COUNT($I$6:$I$13)&gt;=5,0.85,IF(COUNT($"&amp;"I$6:$I$13)&gt;=4,0.9,IF(COUNT($I$6:$I$13)&gt;=3,0.95,1)))),""""))), """")
"),255.6)</f>
        <v>255.6</v>
      </c>
      <c r="T78" s="48">
        <f>IFERROR(__xludf.DUMMYFUNCTION("IFERROR(IF($I9="""","""",IF(VLOOKUP(LEFT(T$37,SEARCH(""☃"",SUBSTITUTE(T$37,"" "",""☃"",LEN(T$37)-LEN(SUBSTITUTE(T$37,"" "",""""))))-1),Excepciones!$A:$B,2,0)&gt;=0,IFERROR((INDEX(filter(Precios!$D:$D,(Precios!$A:$A&lt;=$I9)*(Precios!$B:$B&gt;=$I9)*(Precios!$C:$C=T"&amp;"$37)),1)+VLOOKUP(COUNT($I$6:$I$13),Precios!$F:$G,2,0)),""""),"""")),"""")"),305.4625)</f>
        <v>305.4625</v>
      </c>
      <c r="U78" s="48" t="str">
        <f>IF(OR(U60="",U60=0),"",U60+(VLOOKUP(COUNT($I$6:$I$13),Precios!$F:$H,2,0)))</f>
        <v/>
      </c>
      <c r="V78" s="48" t="str">
        <f>IFERROR(__xludf.DUMMYFUNCTION("IFERROR(IF($K$10=""Sí"","""",IF($I9="""","""",IF(VLOOKUP(LEFT(V$37,SEARCH(""☃"",SUBSTITUTE(V$37,"" "",""☃"",LEN(V$37)-LEN(SUBSTITUTE(V$37,"" "",""""))))-1),Excepciones!$A:$B,2,0)&gt;=0,IF(INDEX(FILTER(Precios!$D:$D,(Precios!$A:$A&lt;=$I9)*(Precios!$B:$B&gt;=$I9)*("&amp;"Precios!$C:$C=V$37)),1)*IF(COUNT($I$6:$I$13)&gt;=5,0.85,IF(COUNT($I$6:$I$13)&gt;=4,0.9,IF(COUNT($I$6:$I$13)&gt;=3,0.95,1)))=0,"""",INDEX(FILTER(Precios!$D:$D,(Precios!$A:$A&lt;=$I9)*(Precios!$B:$B&gt;=$I9)*(Precios!$C:$C=V$37)),1)*IF(COUNT($I$6:$I$13)&gt;=5,0.85,IF(COUNT($"&amp;"I$6:$I$13)&gt;=4,0.9,IF(COUNT($I$6:$I$13)&gt;=3,0.95,1)))),""""))), """")
"),"")</f>
        <v/>
      </c>
      <c r="W78" s="48">
        <f>IFERROR(__xludf.DUMMYFUNCTION("IFERROR(IF($I9="""","""",IF(VLOOKUP(LEFT(W$37,SEARCH(""☃"",SUBSTITUTE(W$37,"" "",""☃"",LEN(W$37)-LEN(SUBSTITUTE(W$37,"" "",""""))))-1),Excepciones!$A:$B,2,0)&gt;=0,IFERROR((INDEX(filter(Precios!$D:$D,(Precios!$A:$A&lt;=$I9)*(Precios!$B:$B&gt;=$I9)*(Precios!$C:$C=W"&amp;"$37)),1)+VLOOKUP(COUNT($I$6:$I$13),Precios!$F:$G,2,0)),""No asegurable""),""No asegurable"")),"""")"),242.4625)</f>
        <v>242.4625</v>
      </c>
      <c r="X78" s="119">
        <f>IFERROR(__xludf.DUMMYFUNCTION("IF($K$10=""Sí"","""",IFERROR(IF($I9="""","""",IF(VLOOKUP(LEFT(X$37,SEARCH(""☃"",SUBSTITUTE(X$37,"" "",""☃"",LEN(X$37)-LEN(SUBSTITUTE(X$37,"" "",""""))))-1),Excepciones!$A:$B,2,0)&gt;=0,IFERROR(INDEX(filter(Precios!$D:$D,(Precios!$A:$A&lt;=$I9)*(Precios!$B:$B&gt;=$"&amp;"I9)*(Precios!$C:$C=X$37)),1),""No asegurable""),""No asegurable"")),""""))"),129.0)</f>
        <v>129</v>
      </c>
      <c r="Y78" s="48" t="str">
        <f>IFERROR(__xludf.DUMMYFUNCTION("IFERROR(IF($I9="""","""",IF(VLOOKUP(LEFT(Y$37,SEARCH(""☃"",SUBSTITUTE(Y$37,"" "",""☃"",LEN(Y$37)-LEN(SUBSTITUTE(Y$37,"" "",""""))))-1),Excepciones!$A:$B,2,0)&gt;=0,IFERROR(INDEX(filter(Precios!$D:$D,(Precios!$A:$A&lt;=$I9)*(Precios!$B:$B&gt;=$I9)*(Precios!$C:$C=Y$"&amp;"37)),1)*1,""No asegurable""),""No asegurable"")),"""")"),"")</f>
        <v/>
      </c>
      <c r="Z78" s="48">
        <f>IFERROR(__xludf.DUMMYFUNCTION("IFERROR(IF($I9="""","""",IF(VLOOKUP(LEFT(Z$37,SEARCH(""☃"",SUBSTITUTE(Z$37,"" "",""☃"",LEN(Z$37)-LEN(SUBSTITUTE(Z$37,"" "",""""))))-1),Excepciones!$A:$B,2,0)&gt;=0,IFERROR(INDEX(filter(Precios!$D:$D,(Precios!$A:$A&lt;=$I9)*(Precios!$B:$B&gt;=$I9)*(Precios!$C:$C=Z$"&amp;"37)),1)*1,""No asegurable""),""No asegurable"")),"""")"),105.0)</f>
        <v>105</v>
      </c>
      <c r="AA78" s="48">
        <f>IFERROR(__xludf.DUMMYFUNCTION("IFERROR(IF($I9="""","""",IF(VLOOKUP(LEFT(AA$37,SEARCH(""☃"",SUBSTITUTE(AA$37,"" "",""☃"",LEN(AA$37)-LEN(SUBSTITUTE(AA$37,"" "",""""))))-1),Excepciones!$A:$B,2,0)&gt;=0,IFERROR(INDEX(filter(Precios!$D:$D,(Precios!$A:$A&lt;=$I9)*(Precios!$B:$B&gt;=$I9)*(Precios!$C:$"&amp;"C=AA$37)),1)*1,""No asegurable""),""No asegurable"")),"""")"),137.0)</f>
        <v>137</v>
      </c>
      <c r="AB78" s="48">
        <f>IFERROR(__xludf.DUMMYFUNCTION("IFERROR(IF($I9="""","""",IF(VLOOKUP(LEFT(AB$37,SEARCH(""☃"",SUBSTITUTE(AB$37,"" "",""☃"",LEN(AB$37)-LEN(SUBSTITUTE(AB$37,"" "",""""))))-1),Excepciones!$A:$B,2,0)&gt;=0,IFERROR(INDEX(filter(Precios!$D:$D,(Precios!$A:$A&lt;=$I9)*(Precios!$B:$B&gt;=$I9)*(Precios!$C:$"&amp;"C=AB$37)),1)*1,""No asegurable""),""No asegurable"")),"""")"),92.0)</f>
        <v>92</v>
      </c>
      <c r="AC78" s="49">
        <f>IFERROR(__xludf.DUMMYFUNCTION("IFERROR(IF($I9="""","""",IF(VLOOKUP(LEFT(AC$37,SEARCH(""☃"",SUBSTITUTE(AC$37,"" "",""☃"",LEN(AC$37)-LEN(SUBSTITUTE(AC$37,"" "",""""))))-1),Excepciones!$A:$B,2,0)&gt;=0,IFERROR(INDEX(filter(Precios!$D:$D,(Precios!$A:$A&lt;=$I9)*(Precios!$B:$B&gt;=$I9)*(Precios!$C:$"&amp;"C=AC$37)),1)*1,""No asegurable""),""No asegurable"")),"""")"),115.0)</f>
        <v>115</v>
      </c>
      <c r="AD78" s="5"/>
      <c r="AE78" s="5"/>
      <c r="AF78" s="5"/>
      <c r="AG78" s="5"/>
      <c r="AH78" s="125"/>
      <c r="AI78" s="125"/>
      <c r="AJ78" s="5"/>
      <c r="AK78" s="125"/>
      <c r="AL78" s="125"/>
    </row>
    <row r="79" ht="27.75" customHeight="1">
      <c r="L79" s="116">
        <v>5.0</v>
      </c>
      <c r="M79" s="48"/>
      <c r="N79" s="48" t="str">
        <f>IF(OR(N61="",N61=0),"",N61+(VLOOKUP(COUNT($I$6:$I$13),Precios!$F:$H,2,0)))</f>
        <v/>
      </c>
      <c r="O79" s="48" t="str">
        <f>IF(OR(O61="",O61=0),"",O61+(VLOOKUP(COUNT($I$6:$I$13),Precios!$F:$H,2,0)))</f>
        <v/>
      </c>
      <c r="P79" s="48" t="str">
        <f>IFERROR(__xludf.DUMMYFUNCTION("IFERROR(IF($K$10=""Sí"","""",IF($I10="""","""",IF(VLOOKUP(LEFT(P$37,SEARCH(""☃"",SUBSTITUTE(P$37,"" "",""☃"",LEN(P$37)-LEN(SUBSTITUTE(P$37,"" "",""""))))-1),Excepciones!$A:$B,2,0)&gt;=0,IF(INDEX(FILTER(Precios!$D:$D,(Precios!$A:$A&lt;=$I10)*(Precios!$B:$B&gt;=$I10"&amp;")*(Precios!$C:$C=P$37)),1)*IF(COUNT($I$6:$I$13)&gt;=5,0.85,IF(COUNT($I$6:$I$13)&gt;=4,0.9,IF(COUNT($I$6:$I$13)&gt;=3,0.95,1)))=0,"""",INDEX(FILTER(Precios!$D:$D,(Precios!$A:$A&lt;=$I10)*(Precios!$B:$B&gt;=$I10)*(Precios!$C:$C=P$37)),1)*IF(COUNT($I$6:$I$13)&gt;=5,0.85,IF(CO"&amp;"UNT($I$6:$I$13)&gt;=4,0.9,IF(COUNT($I$6:$I$13)&gt;=3,0.95,1)))),""""))), """")
"),"")</f>
        <v/>
      </c>
      <c r="Q79" s="48" t="str">
        <f>IF(OR(Q61="",Q61=0),"",Q61+(VLOOKUP(COUNT($I$6:$I$13),Precios!$F:$H,2,0)))</f>
        <v/>
      </c>
      <c r="R79" s="48" t="str">
        <f>IF(OR(R61="",R61=0),"",R61+(VLOOKUP(COUNT($I$6:$I$13),Precios!$F:$H,2,0)))</f>
        <v/>
      </c>
      <c r="S79" s="48" t="str">
        <f>IFERROR(__xludf.DUMMYFUNCTION("IFERROR(IF($K$10=""Sí"","""",IF($I10="""","""",IF(VLOOKUP(LEFT(S$37,SEARCH(""☃"",SUBSTITUTE(S$37,"" "",""☃"",LEN(S$37)-LEN(SUBSTITUTE(S$37,"" "",""""))))-1),Excepciones!$A:$B,2,0)&gt;=0,IF(INDEX(FILTER(Precios!$D:$D,(Precios!$A:$A&lt;=$I10)*(Precios!$B:$B&gt;=$I10"&amp;")*(Precios!$C:$C=S$37)),1)*IF(COUNT($I$6:$I$13)&gt;=5,0.85,IF(COUNT($I$6:$I$13)&gt;=4,0.9,IF(COUNT($I$6:$I$13)&gt;=3,0.95,1)))=0,"""",INDEX(FILTER(Precios!$D:$D,(Precios!$A:$A&lt;=$I10)*(Precios!$B:$B&gt;=$I10)*(Precios!$C:$C=S$37)),1)*IF(COUNT($I$6:$I$13)&gt;=5,0.85,IF(CO"&amp;"UNT($I$6:$I$13)&gt;=4,0.9,IF(COUNT($I$6:$I$13)&gt;=3,0.95,1)))),""""))), """")
"),"")</f>
        <v/>
      </c>
      <c r="T79" s="48" t="str">
        <f>IFERROR(__xludf.DUMMYFUNCTION("IFERROR(IF($I10="""","""",IF(VLOOKUP(LEFT(T$37,SEARCH(""☃"",SUBSTITUTE(T$37,"" "",""☃"",LEN(T$37)-LEN(SUBSTITUTE(T$37,"" "",""""))))-1),Excepciones!$A:$B,2,0)&gt;=0,IFERROR((INDEX(filter(Precios!$D:$D,(Precios!$A:$A&lt;=$I10)*(Precios!$B:$B&gt;=$I10)*(Precios!$C:$"&amp;"C=T$37)),1)+VLOOKUP(COUNT($I$6:$I$13),Precios!$F:$G,2,0)),""""),"""")),"""")"),"")</f>
        <v/>
      </c>
      <c r="U79" s="48" t="str">
        <f>IF(OR(U61="",U61=0),"",U61+(VLOOKUP(COUNT($I$6:$I$13),Precios!$F:$H,2,0)))</f>
        <v/>
      </c>
      <c r="V79" s="48" t="str">
        <f>IFERROR(__xludf.DUMMYFUNCTION("IFERROR(IF($K$10=""Sí"","""",IF($I10="""","""",IF(VLOOKUP(LEFT(V$37,SEARCH(""☃"",SUBSTITUTE(V$37,"" "",""☃"",LEN(V$37)-LEN(SUBSTITUTE(V$37,"" "",""""))))-1),Excepciones!$A:$B,2,0)&gt;=0,IF(INDEX(FILTER(Precios!$D:$D,(Precios!$A:$A&lt;=$I10)*(Precios!$B:$B&gt;=$I10"&amp;")*(Precios!$C:$C=V$37)),1)*IF(COUNT($I$6:$I$13)&gt;=5,0.85,IF(COUNT($I$6:$I$13)&gt;=4,0.9,IF(COUNT($I$6:$I$13)&gt;=3,0.95,1)))=0,"""",INDEX(FILTER(Precios!$D:$D,(Precios!$A:$A&lt;=$I10)*(Precios!$B:$B&gt;=$I10)*(Precios!$C:$C=V$37)),1)*IF(COUNT($I$6:$I$13)&gt;=5,0.85,IF(CO"&amp;"UNT($I$6:$I$13)&gt;=4,0.9,IF(COUNT($I$6:$I$13)&gt;=3,0.95,1)))),""""))), """")
"),"")</f>
        <v/>
      </c>
      <c r="W79" s="48" t="str">
        <f>IFERROR(__xludf.DUMMYFUNCTION("IFERROR(IF($I10="""","""",IF(VLOOKUP(LEFT(W$37,SEARCH(""☃"",SUBSTITUTE(W$37,"" "",""☃"",LEN(W$37)-LEN(SUBSTITUTE(W$37,"" "",""""))))-1),Excepciones!$A:$B,2,0)&gt;=0,IFERROR((INDEX(filter(Precios!$D:$D,(Precios!$A:$A&lt;=$I10)*(Precios!$B:$B&gt;=$I10)*(Precios!$C:$"&amp;"C=W$37)),1)+VLOOKUP(COUNT($I$6:$I$13),Precios!$F:$G,2,0)),""No asegurable""),""No asegurable"")),"""")"),"")</f>
        <v/>
      </c>
      <c r="X79" s="119" t="str">
        <f>IFERROR(__xludf.DUMMYFUNCTION("IF($K$10=""Sí"","""",IFERROR(IF($I10="""","""",IF(VLOOKUP(LEFT(X$37,SEARCH(""☃"",SUBSTITUTE(X$37,"" "",""☃"",LEN(X$37)-LEN(SUBSTITUTE(X$37,"" "",""""))))-1),Excepciones!$A:$B,2,0)&gt;=0,IFERROR(INDEX(filter(Precios!$D:$D,(Precios!$A:$A&lt;=$I10)*(Precios!$B:$B&gt;"&amp;"=$I10)*(Precios!$C:$C=X$37)),1),""No asegurable""),""No asegurable"")),""""))"),"")</f>
        <v/>
      </c>
      <c r="Y79" s="48" t="str">
        <f>IFERROR(__xludf.DUMMYFUNCTION("IFERROR(IF($I10="""","""",IF(VLOOKUP(LEFT(Y$37,SEARCH(""☃"",SUBSTITUTE(Y$37,"" "",""☃"",LEN(Y$37)-LEN(SUBSTITUTE(Y$37,"" "",""""))))-1),Excepciones!$A:$B,2,0)&gt;=0,IFERROR(INDEX(filter(Precios!$D:$D,(Precios!$A:$A&lt;=$I10)*(Precios!$B:$B&gt;=$I10)*(Precios!$C:$C"&amp;"=Y$37)),1)*1,""No asegurable""),""No asegurable"")),"""")"),"")</f>
        <v/>
      </c>
      <c r="Z79" s="48" t="str">
        <f>IFERROR(__xludf.DUMMYFUNCTION("IFERROR(IF($I10="""","""",IF(VLOOKUP(LEFT(Z$37,SEARCH(""☃"",SUBSTITUTE(Z$37,"" "",""☃"",LEN(Z$37)-LEN(SUBSTITUTE(Z$37,"" "",""""))))-1),Excepciones!$A:$B,2,0)&gt;=0,IFERROR(INDEX(filter(Precios!$D:$D,(Precios!$A:$A&lt;=$I10)*(Precios!$B:$B&gt;=$I10)*(Precios!$C:$C"&amp;"=Z$37)),1)*1,""No asegurable""),""No asegurable"")),"""")"),"")</f>
        <v/>
      </c>
      <c r="AA79" s="48" t="str">
        <f>IFERROR(__xludf.DUMMYFUNCTION("IFERROR(IF($I10="""","""",IF(VLOOKUP(LEFT(AA$37,SEARCH(""☃"",SUBSTITUTE(AA$37,"" "",""☃"",LEN(AA$37)-LEN(SUBSTITUTE(AA$37,"" "",""""))))-1),Excepciones!$A:$B,2,0)&gt;=0,IFERROR(INDEX(filter(Precios!$D:$D,(Precios!$A:$A&lt;=$I10)*(Precios!$B:$B&gt;=$I10)*(Precios!$"&amp;"C:$C=AA$37)),1)*1,""No asegurable""),""No asegurable"")),"""")"),"")</f>
        <v/>
      </c>
      <c r="AB79" s="48" t="str">
        <f>IFERROR(__xludf.DUMMYFUNCTION("IFERROR(IF($I10="""","""",IF(VLOOKUP(LEFT(AB$37,SEARCH(""☃"",SUBSTITUTE(AB$37,"" "",""☃"",LEN(AB$37)-LEN(SUBSTITUTE(AB$37,"" "",""""))))-1),Excepciones!$A:$B,2,0)&gt;=0,IFERROR(INDEX(filter(Precios!$D:$D,(Precios!$A:$A&lt;=$I10)*(Precios!$B:$B&gt;=$I10)*(Precios!$"&amp;"C:$C=AB$37)),1)*1,""No asegurable""),""No asegurable"")),"""")"),"")</f>
        <v/>
      </c>
      <c r="AC79" s="49" t="str">
        <f>IFERROR(__xludf.DUMMYFUNCTION("IFERROR(IF($I10="""","""",IF(VLOOKUP(LEFT(AC$37,SEARCH(""☃"",SUBSTITUTE(AC$37,"" "",""☃"",LEN(AC$37)-LEN(SUBSTITUTE(AC$37,"" "",""""))))-1),Excepciones!$A:$B,2,0)&gt;=0,IFERROR(INDEX(filter(Precios!$D:$D,(Precios!$A:$A&lt;=$I10)*(Precios!$B:$B&gt;=$I10)*(Precios!$"&amp;"C:$C=AC$37)),1)*1,""No asegurable""),""No asegurable"")),"""")"),"")</f>
        <v/>
      </c>
      <c r="AD79" s="5"/>
      <c r="AE79" s="5"/>
      <c r="AF79" s="5"/>
      <c r="AG79" s="5"/>
      <c r="AH79" s="125"/>
      <c r="AI79" s="125"/>
      <c r="AJ79" s="5"/>
      <c r="AK79" s="125"/>
      <c r="AL79" s="125"/>
    </row>
    <row r="80" ht="27.75" customHeight="1">
      <c r="L80" s="116">
        <v>6.0</v>
      </c>
      <c r="M80" s="48"/>
      <c r="N80" s="48" t="str">
        <f>IF(OR(N62="",N62=0),"",N62+(VLOOKUP(COUNT($I$6:$I$13),Precios!$F:$H,2,0)))</f>
        <v/>
      </c>
      <c r="O80" s="48" t="str">
        <f>IF(OR(O62="",O62=0),"",O62+(VLOOKUP(COUNT($I$6:$I$13),Precios!$F:$H,2,0)))</f>
        <v/>
      </c>
      <c r="P80" s="48" t="str">
        <f>IFERROR(__xludf.DUMMYFUNCTION("IFERROR(IF($K$10=""Sí"","""",IF($I11="""","""",IF(VLOOKUP(LEFT(P$37,SEARCH(""☃"",SUBSTITUTE(P$37,"" "",""☃"",LEN(P$37)-LEN(SUBSTITUTE(P$37,"" "",""""))))-1),Excepciones!$A:$B,2,0)&gt;=0,IF(INDEX(FILTER(Precios!$D:$D,(Precios!$A:$A&lt;=$I11)*(Precios!$B:$B&gt;=$I11"&amp;")*(Precios!$C:$C=P$37)),1)*IF(COUNT($I$6:$I$13)&gt;=5,0.85,IF(COUNT($I$6:$I$13)&gt;=4,0.9,IF(COUNT($I$6:$I$13)&gt;=3,0.95,1)))=0,"""",INDEX(FILTER(Precios!$D:$D,(Precios!$A:$A&lt;=$I11)*(Precios!$B:$B&gt;=$I11)*(Precios!$C:$C=P$37)),1)*IF(COUNT($I$6:$I$13)&gt;=5,0.85,IF(CO"&amp;"UNT($I$6:$I$13)&gt;=4,0.9,IF(COUNT($I$6:$I$13)&gt;=3,0.95,1)))),""""))), """")
"),"")</f>
        <v/>
      </c>
      <c r="Q80" s="48" t="str">
        <f>IF(OR(Q62="",Q62=0),"",Q62+(VLOOKUP(COUNT($I$6:$I$13),Precios!$F:$H,2,0)))</f>
        <v/>
      </c>
      <c r="R80" s="48" t="str">
        <f>IF(OR(R62="",R62=0),"",R62+(VLOOKUP(COUNT($I$6:$I$13),Precios!$F:$H,2,0)))</f>
        <v/>
      </c>
      <c r="S80" s="48" t="str">
        <f>IFERROR(__xludf.DUMMYFUNCTION("IFERROR(IF($K$10=""Sí"","""",IF($I11="""","""",IF(VLOOKUP(LEFT(S$37,SEARCH(""☃"",SUBSTITUTE(S$37,"" "",""☃"",LEN(S$37)-LEN(SUBSTITUTE(S$37,"" "",""""))))-1),Excepciones!$A:$B,2,0)&gt;=0,IF(INDEX(FILTER(Precios!$D:$D,(Precios!$A:$A&lt;=$I11)*(Precios!$B:$B&gt;=$I11"&amp;")*(Precios!$C:$C=S$37)),1)*IF(COUNT($I$6:$I$13)&gt;=5,0.85,IF(COUNT($I$6:$I$13)&gt;=4,0.9,IF(COUNT($I$6:$I$13)&gt;=3,0.95,1)))=0,"""",INDEX(FILTER(Precios!$D:$D,(Precios!$A:$A&lt;=$I11)*(Precios!$B:$B&gt;=$I11)*(Precios!$C:$C=S$37)),1)*IF(COUNT($I$6:$I$13)&gt;=5,0.85,IF(CO"&amp;"UNT($I$6:$I$13)&gt;=4,0.9,IF(COUNT($I$6:$I$13)&gt;=3,0.95,1)))),""""))), """")
"),"")</f>
        <v/>
      </c>
      <c r="T80" s="48" t="str">
        <f>IFERROR(__xludf.DUMMYFUNCTION("IFERROR(IF($I11="""","""",IF(VLOOKUP(LEFT(T$37,SEARCH(""☃"",SUBSTITUTE(T$37,"" "",""☃"",LEN(T$37)-LEN(SUBSTITUTE(T$37,"" "",""""))))-1),Excepciones!$A:$B,2,0)&gt;=0,IFERROR((INDEX(filter(Precios!$D:$D,(Precios!$A:$A&lt;=$I11)*(Precios!$B:$B&gt;=$I11)*(Precios!$C:$"&amp;"C=T$37)),1)+VLOOKUP(COUNT($I$6:$I$13),Precios!$F:$G,2,0)),""""),"""")),"""")"),"")</f>
        <v/>
      </c>
      <c r="U80" s="48" t="str">
        <f>IF(OR(U62="",U62=0),"",U62+(VLOOKUP(COUNT($I$6:$I$13),Precios!$F:$H,2,0)))</f>
        <v/>
      </c>
      <c r="V80" s="48" t="str">
        <f>IFERROR(__xludf.DUMMYFUNCTION("IFERROR(IF($K$10=""Sí"","""",IF($I11="""","""",IF(VLOOKUP(LEFT(V$37,SEARCH(""☃"",SUBSTITUTE(V$37,"" "",""☃"",LEN(V$37)-LEN(SUBSTITUTE(V$37,"" "",""""))))-1),Excepciones!$A:$B,2,0)&gt;=0,IF(INDEX(FILTER(Precios!$D:$D,(Precios!$A:$A&lt;=$I11)*(Precios!$B:$B&gt;=$I11"&amp;")*(Precios!$C:$C=V$37)),1)*IF(COUNT($I$6:$I$13)&gt;=5,0.85,IF(COUNT($I$6:$I$13)&gt;=4,0.9,IF(COUNT($I$6:$I$13)&gt;=3,0.95,1)))=0,"""",INDEX(FILTER(Precios!$D:$D,(Precios!$A:$A&lt;=$I11)*(Precios!$B:$B&gt;=$I11)*(Precios!$C:$C=V$37)),1)*IF(COUNT($I$6:$I$13)&gt;=5,0.85,IF(CO"&amp;"UNT($I$6:$I$13)&gt;=4,0.9,IF(COUNT($I$6:$I$13)&gt;=3,0.95,1)))),""""))), """")
"),"")</f>
        <v/>
      </c>
      <c r="W80" s="48" t="str">
        <f>IFERROR(__xludf.DUMMYFUNCTION("IFERROR(IF($I11="""","""",IF(VLOOKUP(LEFT(W$37,SEARCH(""☃"",SUBSTITUTE(W$37,"" "",""☃"",LEN(W$37)-LEN(SUBSTITUTE(W$37,"" "",""""))))-1),Excepciones!$A:$B,2,0)&gt;=0,IFERROR((INDEX(filter(Precios!$D:$D,(Precios!$A:$A&lt;=$I11)*(Precios!$B:$B&gt;=$I11)*(Precios!$C:$"&amp;"C=W$37)),1)+VLOOKUP(COUNT($I$6:$I$13),Precios!$F:$G,2,0)),""No asegurable""),""No asegurable"")),"""")"),"")</f>
        <v/>
      </c>
      <c r="X80" s="119" t="str">
        <f>IFERROR(__xludf.DUMMYFUNCTION("IF($K$10=""Sí"","""",IFERROR(IF($I11="""","""",IF(VLOOKUP(LEFT(X$37,SEARCH(""☃"",SUBSTITUTE(X$37,"" "",""☃"",LEN(X$37)-LEN(SUBSTITUTE(X$37,"" "",""""))))-1),Excepciones!$A:$B,2,0)&gt;=0,IFERROR(INDEX(filter(Precios!$D:$D,(Precios!$A:$A&lt;=$I11)*(Precios!$B:$B&gt;"&amp;"=$I11)*(Precios!$C:$C=X$37)),1),""No asegurable""),""No asegurable"")),""""))"),"")</f>
        <v/>
      </c>
      <c r="Y80" s="48" t="str">
        <f>IFERROR(__xludf.DUMMYFUNCTION("IFERROR(IF($I11="""","""",IF(VLOOKUP(LEFT(Y$37,SEARCH(""☃"",SUBSTITUTE(Y$37,"" "",""☃"",LEN(Y$37)-LEN(SUBSTITUTE(Y$37,"" "",""""))))-1),Excepciones!$A:$B,2,0)&gt;=0,IFERROR(INDEX(filter(Precios!$D:$D,(Precios!$A:$A&lt;=$I11)*(Precios!$B:$B&gt;=$I11)*(Precios!$C:$C"&amp;"=Y$37)),1)*1,""No asegurable""),""No asegurable"")),"""")"),"")</f>
        <v/>
      </c>
      <c r="Z80" s="48" t="str">
        <f>IFERROR(__xludf.DUMMYFUNCTION("IFERROR(IF($I11="""","""",IF(VLOOKUP(LEFT(Z$37,SEARCH(""☃"",SUBSTITUTE(Z$37,"" "",""☃"",LEN(Z$37)-LEN(SUBSTITUTE(Z$37,"" "",""""))))-1),Excepciones!$A:$B,2,0)&gt;=0,IFERROR(INDEX(filter(Precios!$D:$D,(Precios!$A:$A&lt;=$I11)*(Precios!$B:$B&gt;=$I11)*(Precios!$C:$C"&amp;"=Z$37)),1)*1,""No asegurable""),""No asegurable"")),"""")"),"")</f>
        <v/>
      </c>
      <c r="AA80" s="48" t="str">
        <f>IFERROR(__xludf.DUMMYFUNCTION("IFERROR(IF($I11="""","""",IF(VLOOKUP(LEFT(AA$37,SEARCH(""☃"",SUBSTITUTE(AA$37,"" "",""☃"",LEN(AA$37)-LEN(SUBSTITUTE(AA$37,"" "",""""))))-1),Excepciones!$A:$B,2,0)&gt;=0,IFERROR(INDEX(filter(Precios!$D:$D,(Precios!$A:$A&lt;=$I11)*(Precios!$B:$B&gt;=$I11)*(Precios!$"&amp;"C:$C=AA$37)),1)*1,""No asegurable""),""No asegurable"")),"""")"),"")</f>
        <v/>
      </c>
      <c r="AB80" s="48" t="str">
        <f>IFERROR(__xludf.DUMMYFUNCTION("IFERROR(IF($I11="""","""",IF(VLOOKUP(LEFT(AB$37,SEARCH(""☃"",SUBSTITUTE(AB$37,"" "",""☃"",LEN(AB$37)-LEN(SUBSTITUTE(AB$37,"" "",""""))))-1),Excepciones!$A:$B,2,0)&gt;=0,IFERROR(INDEX(filter(Precios!$D:$D,(Precios!$A:$A&lt;=$I11)*(Precios!$B:$B&gt;=$I11)*(Precios!$"&amp;"C:$C=AB$37)),1)*1,""No asegurable""),""No asegurable"")),"""")"),"")</f>
        <v/>
      </c>
      <c r="AC80" s="49" t="str">
        <f>IFERROR(__xludf.DUMMYFUNCTION("IFERROR(IF($I11="""","""",IF(VLOOKUP(LEFT(AC$37,SEARCH(""☃"",SUBSTITUTE(AC$37,"" "",""☃"",LEN(AC$37)-LEN(SUBSTITUTE(AC$37,"" "",""""))))-1),Excepciones!$A:$B,2,0)&gt;=0,IFERROR(INDEX(filter(Precios!$D:$D,(Precios!$A:$A&lt;=$I11)*(Precios!$B:$B&gt;=$I11)*(Precios!$"&amp;"C:$C=AC$37)),1)*1,""No asegurable""),""No asegurable"")),"""")"),"")</f>
        <v/>
      </c>
      <c r="AD80" s="5"/>
      <c r="AE80" s="5"/>
      <c r="AF80" s="5"/>
      <c r="AG80" s="5"/>
      <c r="AH80" s="125"/>
      <c r="AI80" s="125"/>
      <c r="AJ80" s="5"/>
      <c r="AK80" s="125"/>
      <c r="AL80" s="125"/>
    </row>
    <row r="81" ht="27.75" customHeight="1">
      <c r="L81" s="116">
        <v>7.0</v>
      </c>
      <c r="M81" s="48"/>
      <c r="N81" s="48" t="str">
        <f>IF(OR(N63="",N63=0),"",N63+(VLOOKUP(COUNT($I$6:$I$13),Precios!$F:$H,2,0)))</f>
        <v/>
      </c>
      <c r="O81" s="48" t="str">
        <f>IF(OR(O63="",O63=0),"",O63+(VLOOKUP(COUNT($I$6:$I$13),Precios!$F:$H,2,0)))</f>
        <v/>
      </c>
      <c r="P81" s="48" t="str">
        <f>IFERROR(__xludf.DUMMYFUNCTION("IFERROR(IF($K$10=""Sí"","""",IF($I12="""","""",IF(VLOOKUP(LEFT(P$37,SEARCH(""☃"",SUBSTITUTE(P$37,"" "",""☃"",LEN(P$37)-LEN(SUBSTITUTE(P$37,"" "",""""))))-1),Excepciones!$A:$B,2,0)&gt;=0,IF(INDEX(FILTER(Precios!$D:$D,(Precios!$A:$A&lt;=$I12)*(Precios!$B:$B&gt;=$I12"&amp;")*(Precios!$C:$C=P$37)),1)*IF(COUNT($I$6:$I$13)&gt;=5,0.85,IF(COUNT($I$6:$I$13)&gt;=4,0.9,IF(COUNT($I$6:$I$13)&gt;=3,0.95,1)))=0,"""",INDEX(FILTER(Precios!$D:$D,(Precios!$A:$A&lt;=$I12)*(Precios!$B:$B&gt;=$I12)*(Precios!$C:$C=P$37)),1)*IF(COUNT($I$6:$I$13)&gt;=5,0.85,IF(CO"&amp;"UNT($I$6:$I$13)&gt;=4,0.9,IF(COUNT($I$6:$I$13)&gt;=3,0.95,1)))),""""))), """")
"),"")</f>
        <v/>
      </c>
      <c r="Q81" s="48" t="str">
        <f>IF(OR(Q63="",Q63=0),"",Q63+(VLOOKUP(COUNT($I$6:$I$13),Precios!$F:$H,2,0)))</f>
        <v/>
      </c>
      <c r="R81" s="48" t="str">
        <f>IF(OR(R63="",R63=0),"",R63+(VLOOKUP(COUNT($I$6:$I$13),Precios!$F:$H,2,0)))</f>
        <v/>
      </c>
      <c r="S81" s="48" t="str">
        <f>IFERROR(__xludf.DUMMYFUNCTION("IFERROR(IF($K$10=""Sí"","""",IF($I12="""","""",IF(VLOOKUP(LEFT(S$37,SEARCH(""☃"",SUBSTITUTE(S$37,"" "",""☃"",LEN(S$37)-LEN(SUBSTITUTE(S$37,"" "",""""))))-1),Excepciones!$A:$B,2,0)&gt;=0,IF(INDEX(FILTER(Precios!$D:$D,(Precios!$A:$A&lt;=$I12)*(Precios!$B:$B&gt;=$I12"&amp;")*(Precios!$C:$C=S$37)),1)*IF(COUNT($I$6:$I$13)&gt;=5,0.85,IF(COUNT($I$6:$I$13)&gt;=4,0.9,IF(COUNT($I$6:$I$13)&gt;=3,0.95,1)))=0,"""",INDEX(FILTER(Precios!$D:$D,(Precios!$A:$A&lt;=$I12)*(Precios!$B:$B&gt;=$I12)*(Precios!$C:$C=S$37)),1)*IF(COUNT($I$6:$I$13)&gt;=5,0.85,IF(CO"&amp;"UNT($I$6:$I$13)&gt;=4,0.9,IF(COUNT($I$6:$I$13)&gt;=3,0.95,1)))),""""))), """")
"),"")</f>
        <v/>
      </c>
      <c r="T81" s="48" t="str">
        <f>IFERROR(__xludf.DUMMYFUNCTION("IFERROR(IF($I12="""","""",IF(VLOOKUP(LEFT(T$37,SEARCH(""☃"",SUBSTITUTE(T$37,"" "",""☃"",LEN(T$37)-LEN(SUBSTITUTE(T$37,"" "",""""))))-1),Excepciones!$A:$B,2,0)&gt;=0,IFERROR((INDEX(filter(Precios!$D:$D,(Precios!$A:$A&lt;=$I12)*(Precios!$B:$B&gt;=$I12)*(Precios!$C:$"&amp;"C=T$37)),1)+VLOOKUP(COUNT($I$6:$I$13),Precios!$F:$G,2,0)),""""),"""")),"""")"),"")</f>
        <v/>
      </c>
      <c r="U81" s="48" t="str">
        <f>IF(OR(U63="",U63=0),"",U63+(VLOOKUP(COUNT($I$6:$I$13),Precios!$F:$H,2,0)))</f>
        <v/>
      </c>
      <c r="V81" s="48" t="str">
        <f>IFERROR(__xludf.DUMMYFUNCTION("IFERROR(IF($K$10=""Sí"","""",IF($I12="""","""",IF(VLOOKUP(LEFT(V$37,SEARCH(""☃"",SUBSTITUTE(V$37,"" "",""☃"",LEN(V$37)-LEN(SUBSTITUTE(V$37,"" "",""""))))-1),Excepciones!$A:$B,2,0)&gt;=0,IF(INDEX(FILTER(Precios!$D:$D,(Precios!$A:$A&lt;=$I12)*(Precios!$B:$B&gt;=$I12"&amp;")*(Precios!$C:$C=V$37)),1)*IF(COUNT($I$6:$I$13)&gt;=5,0.85,IF(COUNT($I$6:$I$13)&gt;=4,0.9,IF(COUNT($I$6:$I$13)&gt;=3,0.95,1)))=0,"""",INDEX(FILTER(Precios!$D:$D,(Precios!$A:$A&lt;=$I12)*(Precios!$B:$B&gt;=$I12)*(Precios!$C:$C=V$37)),1)*IF(COUNT($I$6:$I$13)&gt;=5,0.85,IF(CO"&amp;"UNT($I$6:$I$13)&gt;=4,0.9,IF(COUNT($I$6:$I$13)&gt;=3,0.95,1)))),""""))), """")
"),"")</f>
        <v/>
      </c>
      <c r="W81" s="48" t="str">
        <f>IFERROR(__xludf.DUMMYFUNCTION("IFERROR(IF($I12="""","""",IF(VLOOKUP(LEFT(W$37,SEARCH(""☃"",SUBSTITUTE(W$37,"" "",""☃"",LEN(W$37)-LEN(SUBSTITUTE(W$37,"" "",""""))))-1),Excepciones!$A:$B,2,0)&gt;=0,IFERROR((INDEX(filter(Precios!$D:$D,(Precios!$A:$A&lt;=$I12)*(Precios!$B:$B&gt;=$I12)*(Precios!$C:$"&amp;"C=W$37)),1)+VLOOKUP(COUNT($I$6:$I$13),Precios!$F:$G,2,0)),""No asegurable""),""No asegurable"")),"""")"),"")</f>
        <v/>
      </c>
      <c r="X81" s="119" t="str">
        <f>IFERROR(__xludf.DUMMYFUNCTION("IF($K$10=""Sí"","""",IFERROR(IF($I12="""","""",IF(VLOOKUP(LEFT(X$37,SEARCH(""☃"",SUBSTITUTE(X$37,"" "",""☃"",LEN(X$37)-LEN(SUBSTITUTE(X$37,"" "",""""))))-1),Excepciones!$A:$B,2,0)&gt;=0,IFERROR(INDEX(filter(Precios!$D:$D,(Precios!$A:$A&lt;=$I12)*(Precios!$B:$B&gt;"&amp;"=$I12)*(Precios!$C:$C=X$37)),1),""No asegurable""),""No asegurable"")),""""))"),"")</f>
        <v/>
      </c>
      <c r="Y81" s="48" t="str">
        <f>IFERROR(__xludf.DUMMYFUNCTION("IFERROR(IF($I12="""","""",IF(VLOOKUP(LEFT(Y$37,SEARCH(""☃"",SUBSTITUTE(Y$37,"" "",""☃"",LEN(Y$37)-LEN(SUBSTITUTE(Y$37,"" "",""""))))-1),Excepciones!$A:$B,2,0)&gt;=0,IFERROR(INDEX(filter(Precios!$D:$D,(Precios!$A:$A&lt;=$I12)*(Precios!$B:$B&gt;=$I12)*(Precios!$C:$C"&amp;"=Y$37)),1)*1,""No asegurable""),""No asegurable"")),"""")"),"")</f>
        <v/>
      </c>
      <c r="Z81" s="48" t="str">
        <f>IFERROR(__xludf.DUMMYFUNCTION("IFERROR(IF($I12="""","""",IF(VLOOKUP(LEFT(Z$37,SEARCH(""☃"",SUBSTITUTE(Z$37,"" "",""☃"",LEN(Z$37)-LEN(SUBSTITUTE(Z$37,"" "",""""))))-1),Excepciones!$A:$B,2,0)&gt;=0,IFERROR(INDEX(filter(Precios!$D:$D,(Precios!$A:$A&lt;=$I12)*(Precios!$B:$B&gt;=$I12)*(Precios!$C:$C"&amp;"=Z$37)),1)*1,""No asegurable""),""No asegurable"")),"""")"),"")</f>
        <v/>
      </c>
      <c r="AA81" s="48" t="str">
        <f>IFERROR(__xludf.DUMMYFUNCTION("IFERROR(IF($I12="""","""",IF(VLOOKUP(LEFT(AA$37,SEARCH(""☃"",SUBSTITUTE(AA$37,"" "",""☃"",LEN(AA$37)-LEN(SUBSTITUTE(AA$37,"" "",""""))))-1),Excepciones!$A:$B,2,0)&gt;=0,IFERROR(INDEX(filter(Precios!$D:$D,(Precios!$A:$A&lt;=$I12)*(Precios!$B:$B&gt;=$I12)*(Precios!$"&amp;"C:$C=AA$37)),1)*1,""No asegurable""),""No asegurable"")),"""")"),"")</f>
        <v/>
      </c>
      <c r="AB81" s="48" t="str">
        <f>IFERROR(__xludf.DUMMYFUNCTION("IFERROR(IF($I12="""","""",IF(VLOOKUP(LEFT(AB$37,SEARCH(""☃"",SUBSTITUTE(AB$37,"" "",""☃"",LEN(AB$37)-LEN(SUBSTITUTE(AB$37,"" "",""""))))-1),Excepciones!$A:$B,2,0)&gt;=0,IFERROR(INDEX(filter(Precios!$D:$D,(Precios!$A:$A&lt;=$I12)*(Precios!$B:$B&gt;=$I12)*(Precios!$"&amp;"C:$C=AB$37)),1)*1,""No asegurable""),""No asegurable"")),"""")"),"")</f>
        <v/>
      </c>
      <c r="AC81" s="49" t="str">
        <f>IFERROR(__xludf.DUMMYFUNCTION("IFERROR(IF($I12="""","""",IF(VLOOKUP(LEFT(AC$37,SEARCH(""☃"",SUBSTITUTE(AC$37,"" "",""☃"",LEN(AC$37)-LEN(SUBSTITUTE(AC$37,"" "",""""))))-1),Excepciones!$A:$B,2,0)&gt;=0,IFERROR(INDEX(filter(Precios!$D:$D,(Precios!$A:$A&lt;=$I12)*(Precios!$B:$B&gt;=$I12)*(Precios!$"&amp;"C:$C=AC$37)),1)*1,""No asegurable""),""No asegurable"")),"""")"),"")</f>
        <v/>
      </c>
      <c r="AD81" s="5"/>
      <c r="AE81" s="5"/>
      <c r="AF81" s="5"/>
      <c r="AG81" s="5"/>
      <c r="AH81" s="125"/>
      <c r="AI81" s="125"/>
      <c r="AJ81" s="5"/>
      <c r="AK81" s="125"/>
      <c r="AL81" s="125"/>
    </row>
    <row r="82" ht="27.75" customHeight="1">
      <c r="L82" s="116">
        <v>8.0</v>
      </c>
      <c r="M82" s="48"/>
      <c r="N82" s="48" t="str">
        <f>IF(OR(N64="",N64=0),"",N64+(VLOOKUP(COUNT($I$6:$I$13),Precios!$F:$H,2,0)))</f>
        <v/>
      </c>
      <c r="O82" s="48" t="str">
        <f>IF(OR(O64="",O64=0),"",O64+(VLOOKUP(COUNT($I$6:$I$13),Precios!$F:$H,2,0)))</f>
        <v/>
      </c>
      <c r="P82" s="48" t="str">
        <f>IFERROR(__xludf.DUMMYFUNCTION("IFERROR(IF($K$10=""Sí"","""",IF($I13="""","""",IF(VLOOKUP(LEFT(P$37,SEARCH(""☃"",SUBSTITUTE(P$37,"" "",""☃"",LEN(P$37)-LEN(SUBSTITUTE(P$37,"" "",""""))))-1),Excepciones!$A:$B,2,0)&gt;=0,IF(INDEX(FILTER(Precios!$D:$D,(Precios!$A:$A&lt;=$I13)*(Precios!$B:$B&gt;=$I13"&amp;")*(Precios!$C:$C=P$37)),1)*IF(COUNT($I$6:$I$13)&gt;=5,0.85,IF(COUNT($I$6:$I$13)&gt;=4,0.9,IF(COUNT($I$6:$I$13)&gt;=3,0.95,1)))=0,"""",INDEX(FILTER(Precios!$D:$D,(Precios!$A:$A&lt;=$I13)*(Precios!$B:$B&gt;=$I13)*(Precios!$C:$C=P$37)),1)*IF(COUNT($I$6:$I$13)&gt;=5,0.85,IF(CO"&amp;"UNT($I$6:$I$13)&gt;=4,0.9,IF(COUNT($I$6:$I$13)&gt;=3,0.95,1)))),""""))), """")
"),"")</f>
        <v/>
      </c>
      <c r="Q82" s="48" t="str">
        <f>IF(OR(Q64="",Q64=0),"",Q64+(VLOOKUP(COUNT($I$6:$I$13),Precios!$F:$H,2,0)))</f>
        <v/>
      </c>
      <c r="R82" s="48" t="str">
        <f>IF(OR(R64="",R64=0),"",R64+(VLOOKUP(COUNT($I$6:$I$13),Precios!$F:$H,2,0)))</f>
        <v/>
      </c>
      <c r="S82" s="48" t="str">
        <f>IFERROR(__xludf.DUMMYFUNCTION("IFERROR(IF($K$10=""Sí"","""",IF($I13="""","""",IF(VLOOKUP(LEFT(S$37,SEARCH(""☃"",SUBSTITUTE(S$37,"" "",""☃"",LEN(S$37)-LEN(SUBSTITUTE(S$37,"" "",""""))))-1),Excepciones!$A:$B,2,0)&gt;=0,IF(INDEX(FILTER(Precios!$D:$D,(Precios!$A:$A&lt;=$I13)*(Precios!$B:$B&gt;=$I13"&amp;")*(Precios!$C:$C=S$37)),1)*IF(COUNT($I$6:$I$13)&gt;=5,0.85,IF(COUNT($I$6:$I$13)&gt;=4,0.9,IF(COUNT($I$6:$I$13)&gt;=3,0.95,1)))=0,"""",INDEX(FILTER(Precios!$D:$D,(Precios!$A:$A&lt;=$I13)*(Precios!$B:$B&gt;=$I13)*(Precios!$C:$C=S$37)),1)*IF(COUNT($I$6:$I$13)&gt;=5,0.85,IF(CO"&amp;"UNT($I$6:$I$13)&gt;=4,0.9,IF(COUNT($I$6:$I$13)&gt;=3,0.95,1)))),""""))), """")
"),"")</f>
        <v/>
      </c>
      <c r="T82" s="48" t="str">
        <f>IFERROR(__xludf.DUMMYFUNCTION("IFERROR(IF($I13="""","""",IF(VLOOKUP(LEFT(T$37,SEARCH(""☃"",SUBSTITUTE(T$37,"" "",""☃"",LEN(T$37)-LEN(SUBSTITUTE(T$37,"" "",""""))))-1),Excepciones!$A:$B,2,0)&gt;=0,IFERROR((INDEX(filter(Precios!$D:$D,(Precios!$A:$A&lt;=$I13)*(Precios!$B:$B&gt;=$I13)*(Precios!$C:$"&amp;"C=T$37)),1)+VLOOKUP(COUNT($I$6:$I$13),Precios!$F:$G,2,0)),""""),"""")),"""")"),"")</f>
        <v/>
      </c>
      <c r="U82" s="48" t="str">
        <f>IF(OR(U64="",U64=0),"",U64+(VLOOKUP(COUNT($I$6:$I$13),Precios!$F:$H,2,0)))</f>
        <v/>
      </c>
      <c r="V82" s="48" t="str">
        <f>IFERROR(__xludf.DUMMYFUNCTION("IFERROR(IF($K$10=""Sí"","""",IF($I13="""","""",IF(VLOOKUP(LEFT(V$37,SEARCH(""☃"",SUBSTITUTE(V$37,"" "",""☃"",LEN(V$37)-LEN(SUBSTITUTE(V$37,"" "",""""))))-1),Excepciones!$A:$B,2,0)&gt;=0,IF(INDEX(FILTER(Precios!$D:$D,(Precios!$A:$A&lt;=$I13)*(Precios!$B:$B&gt;=$I13"&amp;")*(Precios!$C:$C=V$37)),1)*IF(COUNT($I$6:$I$13)&gt;=5,0.85,IF(COUNT($I$6:$I$13)&gt;=4,0.9,IF(COUNT($I$6:$I$13)&gt;=3,0.95,1)))=0,"""",INDEX(FILTER(Precios!$D:$D,(Precios!$A:$A&lt;=$I13)*(Precios!$B:$B&gt;=$I13)*(Precios!$C:$C=V$37)),1)*IF(COUNT($I$6:$I$13)&gt;=5,0.85,IF(CO"&amp;"UNT($I$6:$I$13)&gt;=4,0.9,IF(COUNT($I$6:$I$13)&gt;=3,0.95,1)))),""""))), """")
"),"")</f>
        <v/>
      </c>
      <c r="W82" s="48" t="str">
        <f>IFERROR(__xludf.DUMMYFUNCTION("IFERROR(IF($I13="""","""",IF(VLOOKUP(LEFT(W$37,SEARCH(""☃"",SUBSTITUTE(W$37,"" "",""☃"",LEN(W$37)-LEN(SUBSTITUTE(W$37,"" "",""""))))-1),Excepciones!$A:$B,2,0)&gt;=0,IFERROR((INDEX(filter(Precios!$D:$D,(Precios!$A:$A&lt;=$I13)*(Precios!$B:$B&gt;=$I13)*(Precios!$C:$"&amp;"C=W$37)),1)+VLOOKUP(COUNT($I$6:$I$13),Precios!$F:$G,2,0)),""No asegurable""),""No asegurable"")),"""")"),"")</f>
        <v/>
      </c>
      <c r="X82" s="119" t="str">
        <f>IFERROR(__xludf.DUMMYFUNCTION("IF($K$10=""Sí"","""",IFERROR(IF($I13="""","""",IF(VLOOKUP(LEFT(X$37,SEARCH(""☃"",SUBSTITUTE(X$37,"" "",""☃"",LEN(X$37)-LEN(SUBSTITUTE(X$37,"" "",""""))))-1),Excepciones!$A:$B,2,0)&gt;=0,IFERROR(INDEX(filter(Precios!$D:$D,(Precios!$A:$A&lt;=$I13)*(Precios!$B:$B&gt;"&amp;"=$I13)*(Precios!$C:$C=X$37)),1),""No asegurable""),""No asegurable"")),""""))"),"")</f>
        <v/>
      </c>
      <c r="Y82" s="48" t="str">
        <f>IFERROR(__xludf.DUMMYFUNCTION("IFERROR(IF($I13="""","""",IF(VLOOKUP(LEFT(Y$37,SEARCH(""☃"",SUBSTITUTE(Y$37,"" "",""☃"",LEN(Y$37)-LEN(SUBSTITUTE(Y$37,"" "",""""))))-1),Excepciones!$A:$B,2,0)&gt;=0,IFERROR(INDEX(filter(Precios!$D:$D,(Precios!$A:$A&lt;=$I13)*(Precios!$B:$B&gt;=$I13)*(Precios!$C:$C"&amp;"=Y$37)),1)*1,""No asegurable""),""No asegurable"")),"""")"),"")</f>
        <v/>
      </c>
      <c r="Z82" s="48" t="str">
        <f>IFERROR(__xludf.DUMMYFUNCTION("IFERROR(IF($I13="""","""",IF(VLOOKUP(LEFT(Z$37,SEARCH(""☃"",SUBSTITUTE(Z$37,"" "",""☃"",LEN(Z$37)-LEN(SUBSTITUTE(Z$37,"" "",""""))))-1),Excepciones!$A:$B,2,0)&gt;=0,IFERROR(INDEX(filter(Precios!$D:$D,(Precios!$A:$A&lt;=$I13)*(Precios!$B:$B&gt;=$I13)*(Precios!$C:$C"&amp;"=Z$37)),1)*1,""No asegurable""),""No asegurable"")),"""")"),"")</f>
        <v/>
      </c>
      <c r="AA82" s="48" t="str">
        <f>IFERROR(__xludf.DUMMYFUNCTION("IFERROR(IF($I13="""","""",IF(VLOOKUP(LEFT(AA$37,SEARCH(""☃"",SUBSTITUTE(AA$37,"" "",""☃"",LEN(AA$37)-LEN(SUBSTITUTE(AA$37,"" "",""""))))-1),Excepciones!$A:$B,2,0)&gt;=0,IFERROR(INDEX(filter(Precios!$D:$D,(Precios!$A:$A&lt;=$I13)*(Precios!$B:$B&gt;=$I13)*(Precios!$"&amp;"C:$C=AA$37)),1)*1,""No asegurable""),""No asegurable"")),"""")"),"")</f>
        <v/>
      </c>
      <c r="AB82" s="48" t="str">
        <f>IFERROR(__xludf.DUMMYFUNCTION("IFERROR(IF($I13="""","""",IF(VLOOKUP(LEFT(AB$37,SEARCH(""☃"",SUBSTITUTE(AB$37,"" "",""☃"",LEN(AB$37)-LEN(SUBSTITUTE(AB$37,"" "",""""))))-1),Excepciones!$A:$B,2,0)&gt;=0,IFERROR(INDEX(filter(Precios!$D:$D,(Precios!$A:$A&lt;=$I13)*(Precios!$B:$B&gt;=$I13)*(Precios!$"&amp;"C:$C=AB$37)),1)*1,""No asegurable""),""No asegurable"")),"""")"),"")</f>
        <v/>
      </c>
      <c r="AC82" s="49" t="str">
        <f>IFERROR(__xludf.DUMMYFUNCTION("IFERROR(IF($I13="""","""",IF(VLOOKUP(LEFT(AC$37,SEARCH(""☃"",SUBSTITUTE(AC$37,"" "",""☃"",LEN(AC$37)-LEN(SUBSTITUTE(AC$37,"" "",""""))))-1),Excepciones!$A:$B,2,0)&gt;=0,IFERROR(INDEX(filter(Precios!$D:$D,(Precios!$A:$A&lt;=$I13)*(Precios!$B:$B&gt;=$I13)*(Precios!$"&amp;"C:$C=AC$37)),1)*1,""No asegurable""),""No asegurable"")),"""")"),"")</f>
        <v/>
      </c>
      <c r="AD82" s="5"/>
      <c r="AE82" s="5"/>
      <c r="AF82" s="5"/>
      <c r="AG82" s="5"/>
      <c r="AH82" s="125"/>
      <c r="AI82" s="125"/>
      <c r="AJ82" s="5"/>
      <c r="AK82" s="125"/>
      <c r="AL82" s="125"/>
    </row>
    <row r="83" ht="27.75" customHeight="1">
      <c r="L83" s="116">
        <v>9.0</v>
      </c>
      <c r="M83" s="5"/>
      <c r="N83" s="48" t="str">
        <f>IF(OR(N65="",N65=0),"",N65+(VLOOKUP(COUNT($I$6:$I$13),Precios!$F:$H,2,0)))</f>
        <v/>
      </c>
      <c r="O83" s="48" t="str">
        <f>IF(OR(O65="",O65=0),"",O65+(VLOOKUP(COUNT($I$6:$I$13),Precios!$F:$H,2,0)))</f>
        <v/>
      </c>
      <c r="P83" s="48" t="str">
        <f>IFERROR(__xludf.DUMMYFUNCTION("IFERROR(IF($K$10=""Sí"","""",IF($I14="""","""",IF(VLOOKUP(LEFT(P$37,SEARCH(""☃"",SUBSTITUTE(P$37,"" "",""☃"",LEN(P$37)-LEN(SUBSTITUTE(P$37,"" "",""""))))-1),Excepciones!$A:$B,2,0)&gt;=0,IF(INDEX(FILTER(Precios!$D:$D,(Precios!$A:$A&lt;=$I14)*(Precios!$B:$B&gt;=$I14"&amp;")*(Precios!$C:$C=P$37)),1)*IF(COUNT($I$6:$I$13)&gt;=5,0.85,IF(COUNT($I$6:$I$13)&gt;=4,0.9,IF(COUNT($I$6:$I$13)&gt;=3,0.95,1)))=0,"""",INDEX(FILTER(Precios!$D:$D,(Precios!$A:$A&lt;=$I14)*(Precios!$B:$B&gt;=$I14)*(Precios!$C:$C=P$37)),1)*IF(COUNT($I$6:$I$13)&gt;=5,0.85,IF(CO"&amp;"UNT($I$6:$I$13)&gt;=4,0.9,IF(COUNT($I$6:$I$13)&gt;=3,0.95,1)))),""""))), """")
"),"")</f>
        <v/>
      </c>
      <c r="Q83" s="48" t="str">
        <f>IF(OR(Q65="",Q65=0),"",Q65+(VLOOKUP(COUNT($I$6:$I$13),Precios!$F:$H,2,0)))</f>
        <v/>
      </c>
      <c r="R83" s="48" t="str">
        <f>IF(OR(R65="",R65=0),"",R65+(VLOOKUP(COUNT($I$6:$I$13),Precios!$F:$H,2,0)))</f>
        <v/>
      </c>
      <c r="S83" s="48" t="str">
        <f>IFERROR(__xludf.DUMMYFUNCTION("IFERROR(IF($K$10=""Sí"","""",IF($I14="""","""",IF(VLOOKUP(LEFT(S$37,SEARCH(""☃"",SUBSTITUTE(S$37,"" "",""☃"",LEN(S$37)-LEN(SUBSTITUTE(S$37,"" "",""""))))-1),Excepciones!$A:$B,2,0)&gt;=0,IF(INDEX(FILTER(Precios!$D:$D,(Precios!$A:$A&lt;=$I14)*(Precios!$B:$B&gt;=$I14"&amp;")*(Precios!$C:$C=S$37)),1)*IF(COUNT($I$6:$I$13)&gt;=5,0.85,IF(COUNT($I$6:$I$13)&gt;=4,0.9,IF(COUNT($I$6:$I$13)&gt;=3,0.95,1)))=0,"""",INDEX(FILTER(Precios!$D:$D,(Precios!$A:$A&lt;=$I14)*(Precios!$B:$B&gt;=$I14)*(Precios!$C:$C=S$37)),1)*IF(COUNT($I$6:$I$13)&gt;=5,0.85,IF(CO"&amp;"UNT($I$6:$I$13)&gt;=4,0.9,IF(COUNT($I$6:$I$13)&gt;=3,0.95,1)))),""""))), """")
"),"")</f>
        <v/>
      </c>
      <c r="T83" s="48" t="str">
        <f>IFERROR(__xludf.DUMMYFUNCTION("IFERROR(IF($I14="""","""",IF(VLOOKUP(LEFT(T$37,SEARCH(""☃"",SUBSTITUTE(T$37,"" "",""☃"",LEN(T$37)-LEN(SUBSTITUTE(T$37,"" "",""""))))-1),Excepciones!$A:$B,2,0)&gt;=0,IFERROR((INDEX(filter(Precios!$D:$D,(Precios!$A:$A&lt;=$I14)*(Precios!$B:$B&gt;=$I14)*(Precios!$C:$"&amp;"C=T$37)),1)+VLOOKUP(COUNT($I$6:$I$13),Precios!$F:$G,2,0)),""""),"""")),"""")"),"")</f>
        <v/>
      </c>
      <c r="U83" s="48" t="str">
        <f>IF(OR(U65="",U65=0),"",U65+(VLOOKUP(COUNT($I$6:$I$13),Precios!$F:$H,2,0)))</f>
        <v/>
      </c>
      <c r="V83" s="48" t="str">
        <f>IFERROR(__xludf.DUMMYFUNCTION("IFERROR(IF($K$10=""Sí"","""",IF($I14="""","""",IF(VLOOKUP(LEFT(V$37,SEARCH(""☃"",SUBSTITUTE(V$37,"" "",""☃"",LEN(V$37)-LEN(SUBSTITUTE(V$37,"" "",""""))))-1),Excepciones!$A:$B,2,0)&gt;=0,IF(INDEX(FILTER(Precios!$D:$D,(Precios!$A:$A&lt;=$I14)*(Precios!$B:$B&gt;=$I14"&amp;")*(Precios!$C:$C=V$37)),1)*IF(COUNT($I$6:$I$13)&gt;=5,0.85,IF(COUNT($I$6:$I$13)&gt;=4,0.9,IF(COUNT($I$6:$I$13)&gt;=3,0.95,1)))=0,"""",INDEX(FILTER(Precios!$D:$D,(Precios!$A:$A&lt;=$I14)*(Precios!$B:$B&gt;=$I14)*(Precios!$C:$C=V$37)),1)*IF(COUNT($I$6:$I$13)&gt;=5,0.85,IF(CO"&amp;"UNT($I$6:$I$13)&gt;=4,0.9,IF(COUNT($I$6:$I$13)&gt;=3,0.95,1)))),""""))), """")
"),"")</f>
        <v/>
      </c>
      <c r="W83" s="48" t="str">
        <f>IFERROR(__xludf.DUMMYFUNCTION("IFERROR(IF($I14="""","""",IF(VLOOKUP(LEFT(W$37,SEARCH(""☃"",SUBSTITUTE(W$37,"" "",""☃"",LEN(W$37)-LEN(SUBSTITUTE(W$37,"" "",""""))))-1),Excepciones!$A:$B,2,0)&gt;=0,IFERROR((INDEX(filter(Precios!$D:$D,(Precios!$A:$A&lt;=$I14)*(Precios!$B:$B&gt;=$I14)*(Precios!$C:$"&amp;"C=W$37)),1)+VLOOKUP(COUNT($I$6:$I$13),Precios!$F:$G,2,0)),""No asegurable""),""No asegurable"")),"""")"),"")</f>
        <v/>
      </c>
      <c r="X83" s="119" t="str">
        <f>IFERROR(__xludf.DUMMYFUNCTION("IF($K$10=""Sí"","""",IFERROR(IF($I14="""","""",IF(VLOOKUP(LEFT(X$37,SEARCH(""☃"",SUBSTITUTE(X$37,"" "",""☃"",LEN(X$37)-LEN(SUBSTITUTE(X$37,"" "",""""))))-1),Excepciones!$A:$B,2,0)&gt;=0,IFERROR(INDEX(filter(Precios!$D:$D,(Precios!$A:$A&lt;=$I14)*(Precios!$B:$B&gt;"&amp;"=$I14)*(Precios!$C:$C=X$37)),1),""No asegurable""),""No asegurable"")),""""))"),"")</f>
        <v/>
      </c>
      <c r="Y83" s="48" t="str">
        <f>IFERROR(__xludf.DUMMYFUNCTION("IFERROR(IF($I14="""","""",IF(VLOOKUP(LEFT(Y$37,SEARCH(""☃"",SUBSTITUTE(Y$37,"" "",""☃"",LEN(Y$37)-LEN(SUBSTITUTE(Y$37,"" "",""""))))-1),Excepciones!$A:$B,2,0)&gt;=0,IFERROR(INDEX(filter(Precios!$D:$D,(Precios!$A:$A&lt;=$I14)*(Precios!$B:$B&gt;=$I14)*(Precios!$C:$C"&amp;"=Y$37)),1)*1,""No asegurable""),""No asegurable"")),"""")"),"")</f>
        <v/>
      </c>
      <c r="Z83" s="48" t="str">
        <f>IFERROR(__xludf.DUMMYFUNCTION("IFERROR(IF($I14="""","""",IF(VLOOKUP(LEFT(Z$37,SEARCH(""☃"",SUBSTITUTE(Z$37,"" "",""☃"",LEN(Z$37)-LEN(SUBSTITUTE(Z$37,"" "",""""))))-1),Excepciones!$A:$B,2,0)&gt;=0,IFERROR(INDEX(filter(Precios!$D:$D,(Precios!$A:$A&lt;=$I14)*(Precios!$B:$B&gt;=$I14)*(Precios!$C:$C"&amp;"=Z$37)),1)*1,""No asegurable""),""No asegurable"")),"""")"),"")</f>
        <v/>
      </c>
      <c r="AA83" s="48" t="str">
        <f>IFERROR(__xludf.DUMMYFUNCTION("IFERROR(IF($I14="""","""",IF(VLOOKUP(LEFT(AA$37,SEARCH(""☃"",SUBSTITUTE(AA$37,"" "",""☃"",LEN(AA$37)-LEN(SUBSTITUTE(AA$37,"" "",""""))))-1),Excepciones!$A:$B,2,0)&gt;=0,IFERROR(INDEX(filter(Precios!$D:$D,(Precios!$A:$A&lt;=$I14)*(Precios!$B:$B&gt;=$I14)*(Precios!$"&amp;"C:$C=AA$37)),1)*1,""No asegurable""),""No asegurable"")),"""")"),"")</f>
        <v/>
      </c>
      <c r="AB83" s="48" t="str">
        <f>IFERROR(__xludf.DUMMYFUNCTION("IFERROR(IF($I14="""","""",IF(VLOOKUP(LEFT(AB$37,SEARCH(""☃"",SUBSTITUTE(AB$37,"" "",""☃"",LEN(AB$37)-LEN(SUBSTITUTE(AB$37,"" "",""""))))-1),Excepciones!$A:$B,2,0)&gt;=0,IFERROR(INDEX(filter(Precios!$D:$D,(Precios!$A:$A&lt;=$I14)*(Precios!$B:$B&gt;=$I14)*(Precios!$"&amp;"C:$C=AB$37)),1)*1,""No asegurable""),""No asegurable"")),"""")"),"")</f>
        <v/>
      </c>
      <c r="AC83" s="49" t="str">
        <f>IFERROR(__xludf.DUMMYFUNCTION("IFERROR(IF($I14="""","""",IF(VLOOKUP(LEFT(AC$37,SEARCH(""☃"",SUBSTITUTE(AC$37,"" "",""☃"",LEN(AC$37)-LEN(SUBSTITUTE(AC$37,"" "",""""))))-1),Excepciones!$A:$B,2,0)&gt;=0,IFERROR(INDEX(filter(Precios!$D:$D,(Precios!$A:$A&lt;=$I14)*(Precios!$B:$B&gt;=$I14)*(Precios!$"&amp;"C:$C=AC$37)),1)*1,""No asegurable""),""No asegurable"")),"""")"),"")</f>
        <v/>
      </c>
      <c r="AD83" s="5"/>
      <c r="AE83" s="5"/>
      <c r="AF83" s="5"/>
      <c r="AG83" s="5"/>
      <c r="AH83" s="125"/>
      <c r="AI83" s="125"/>
      <c r="AJ83" s="5"/>
      <c r="AK83" s="125"/>
      <c r="AL83" s="125"/>
    </row>
    <row r="84" ht="27.75" customHeight="1">
      <c r="L84" s="116">
        <v>10.0</v>
      </c>
      <c r="N84" s="48" t="str">
        <f>IF(OR(N66="",N66=0),"",N66+(VLOOKUP(COUNT($I$6:$I$13),Precios!$F:$H,2,0)))</f>
        <v/>
      </c>
      <c r="O84" s="48" t="str">
        <f>IF(OR(O66="",O66=0),"",O66+(VLOOKUP(COUNT($I$6:$I$13),Precios!$F:$H,2,0)))</f>
        <v/>
      </c>
      <c r="P84" s="48" t="str">
        <f>IFERROR(__xludf.DUMMYFUNCTION("IFERROR(IF($K$10=""Sí"","""",IF($I15="""","""",IF(VLOOKUP(LEFT(P$37,SEARCH(""☃"",SUBSTITUTE(P$37,"" "",""☃"",LEN(P$37)-LEN(SUBSTITUTE(P$37,"" "",""""))))-1),Excepciones!$A:$B,2,0)&gt;=0,IF(INDEX(FILTER(Precios!$D:$D,(Precios!$A:$A&lt;=$I15)*(Precios!$B:$B&gt;=$I15"&amp;")*(Precios!$C:$C=P$37)),1)*IF(COUNT($I$6:$I$13)&gt;=5,0.85,IF(COUNT($I$6:$I$13)&gt;=4,0.9,IF(COUNT($I$6:$I$13)&gt;=3,0.95,1)))=0,"""",INDEX(FILTER(Precios!$D:$D,(Precios!$A:$A&lt;=$I15)*(Precios!$B:$B&gt;=$I15)*(Precios!$C:$C=P$37)),1)*IF(COUNT($I$6:$I$13)&gt;=5,0.85,IF(CO"&amp;"UNT($I$6:$I$13)&gt;=4,0.9,IF(COUNT($I$6:$I$13)&gt;=3,0.95,1)))),""""))), """")
"),"")</f>
        <v/>
      </c>
      <c r="Q84" s="48" t="str">
        <f>IF(OR(Q66="",Q66=0),"",Q66+(VLOOKUP(COUNT($I$6:$I$13),Precios!$F:$H,2,0)))</f>
        <v/>
      </c>
      <c r="R84" s="48" t="str">
        <f>IF(OR(R66="",R66=0),"",R66+(VLOOKUP(COUNT($I$6:$I$13),Precios!$F:$H,2,0)))</f>
        <v/>
      </c>
      <c r="S84" s="48" t="str">
        <f>IFERROR(__xludf.DUMMYFUNCTION("IFERROR(IF($K$10=""Sí"","""",IF($I15="""","""",IF(VLOOKUP(LEFT(S$37,SEARCH(""☃"",SUBSTITUTE(S$37,"" "",""☃"",LEN(S$37)-LEN(SUBSTITUTE(S$37,"" "",""""))))-1),Excepciones!$A:$B,2,0)&gt;=0,IF(INDEX(FILTER(Precios!$D:$D,(Precios!$A:$A&lt;=$I15)*(Precios!$B:$B&gt;=$I15"&amp;")*(Precios!$C:$C=S$37)),1)*IF(COUNT($I$6:$I$13)&gt;=5,0.85,IF(COUNT($I$6:$I$13)&gt;=4,0.9,IF(COUNT($I$6:$I$13)&gt;=3,0.95,1)))=0,"""",INDEX(FILTER(Precios!$D:$D,(Precios!$A:$A&lt;=$I15)*(Precios!$B:$B&gt;=$I15)*(Precios!$C:$C=S$37)),1)*IF(COUNT($I$6:$I$13)&gt;=5,0.85,IF(CO"&amp;"UNT($I$6:$I$13)&gt;=4,0.9,IF(COUNT($I$6:$I$13)&gt;=3,0.95,1)))),""""))), """")
"),"")</f>
        <v/>
      </c>
      <c r="T84" s="48" t="str">
        <f>IFERROR(__xludf.DUMMYFUNCTION("IFERROR(IF($I15="""","""",IF(VLOOKUP(LEFT(T$37,SEARCH(""☃"",SUBSTITUTE(T$37,"" "",""☃"",LEN(T$37)-LEN(SUBSTITUTE(T$37,"" "",""""))))-1),Excepciones!$A:$B,2,0)&gt;=0,IFERROR((INDEX(filter(Precios!$D:$D,(Precios!$A:$A&lt;=$I15)*(Precios!$B:$B&gt;=$I15)*(Precios!$C:$"&amp;"C=T$37)),1)+VLOOKUP(COUNT($I$6:$I$13),Precios!$F:$G,2,0)),""""),"""")),"""")"),"")</f>
        <v/>
      </c>
      <c r="U84" s="48" t="str">
        <f>IF(OR(U66="",U66=0),"",U66+(VLOOKUP(COUNT($I$6:$I$13),Precios!$F:$H,2,0)))</f>
        <v/>
      </c>
      <c r="V84" s="48" t="str">
        <f>IFERROR(__xludf.DUMMYFUNCTION("IFERROR(IF($K$10=""Sí"","""",IF($I15="""","""",IF(VLOOKUP(LEFT(V$37,SEARCH(""☃"",SUBSTITUTE(V$37,"" "",""☃"",LEN(V$37)-LEN(SUBSTITUTE(V$37,"" "",""""))))-1),Excepciones!$A:$B,2,0)&gt;=0,IF(INDEX(FILTER(Precios!$D:$D,(Precios!$A:$A&lt;=$I15)*(Precios!$B:$B&gt;=$I15"&amp;")*(Precios!$C:$C=V$37)),1)*IF(COUNT($I$6:$I$13)&gt;=5,0.85,IF(COUNT($I$6:$I$13)&gt;=4,0.9,IF(COUNT($I$6:$I$13)&gt;=3,0.95,1)))=0,"""",INDEX(FILTER(Precios!$D:$D,(Precios!$A:$A&lt;=$I15)*(Precios!$B:$B&gt;=$I15)*(Precios!$C:$C=V$37)),1)*IF(COUNT($I$6:$I$13)&gt;=5,0.85,IF(CO"&amp;"UNT($I$6:$I$13)&gt;=4,0.9,IF(COUNT($I$6:$I$13)&gt;=3,0.95,1)))),""""))), """")
"),"")</f>
        <v/>
      </c>
      <c r="W84" s="48" t="str">
        <f>IFERROR(__xludf.DUMMYFUNCTION("IFERROR(IF($I15="""","""",IF(VLOOKUP(LEFT(W$37,SEARCH(""☃"",SUBSTITUTE(W$37,"" "",""☃"",LEN(W$37)-LEN(SUBSTITUTE(W$37,"" "",""""))))-1),Excepciones!$A:$B,2,0)&gt;=0,IFERROR((INDEX(filter(Precios!$D:$D,(Precios!$A:$A&lt;=$I15)*(Precios!$B:$B&gt;=$I15)*(Precios!$C:$"&amp;"C=W$37)),1)+VLOOKUP(COUNT($I$6:$I$13),Precios!$F:$G,2,0)),""No asegurable""),""No asegurable"")),"""")"),"")</f>
        <v/>
      </c>
      <c r="X84" s="119" t="str">
        <f>IFERROR(__xludf.DUMMYFUNCTION("IF($K$10=""Sí"","""",IFERROR(IF($I15="""","""",IF(VLOOKUP(LEFT(X$37,SEARCH(""☃"",SUBSTITUTE(X$37,"" "",""☃"",LEN(X$37)-LEN(SUBSTITUTE(X$37,"" "",""""))))-1),Excepciones!$A:$B,2,0)&gt;=0,IFERROR(INDEX(filter(Precios!$D:$D,(Precios!$A:$A&lt;=$I15)*(Precios!$B:$B&gt;"&amp;"=$I15)*(Precios!$C:$C=X$37)),1),""No asegurable""),""No asegurable"")),""""))"),"")</f>
        <v/>
      </c>
      <c r="Y84" s="48" t="str">
        <f>IFERROR(__xludf.DUMMYFUNCTION("IFERROR(IF($I15="""","""",IF(VLOOKUP(LEFT(Y$37,SEARCH(""☃"",SUBSTITUTE(Y$37,"" "",""☃"",LEN(Y$37)-LEN(SUBSTITUTE(Y$37,"" "",""""))))-1),Excepciones!$A:$B,2,0)&gt;=0,IFERROR(INDEX(filter(Precios!$D:$D,(Precios!$A:$A&lt;=$I15)*(Precios!$B:$B&gt;=$I15)*(Precios!$C:$C"&amp;"=Y$37)),1)*1,""No asegurable""),""No asegurable"")),"""")"),"")</f>
        <v/>
      </c>
      <c r="Z84" s="48" t="str">
        <f>IFERROR(__xludf.DUMMYFUNCTION("IFERROR(IF($I15="""","""",IF(VLOOKUP(LEFT(Z$37,SEARCH(""☃"",SUBSTITUTE(Z$37,"" "",""☃"",LEN(Z$37)-LEN(SUBSTITUTE(Z$37,"" "",""""))))-1),Excepciones!$A:$B,2,0)&gt;=0,IFERROR(INDEX(filter(Precios!$D:$D,(Precios!$A:$A&lt;=$I15)*(Precios!$B:$B&gt;=$I15)*(Precios!$C:$C"&amp;"=Z$37)),1)*1,""No asegurable""),""No asegurable"")),"""")"),"")</f>
        <v/>
      </c>
      <c r="AA84" s="48" t="str">
        <f>IFERROR(__xludf.DUMMYFUNCTION("IFERROR(IF($I15="""","""",IF(VLOOKUP(LEFT(AA$37,SEARCH(""☃"",SUBSTITUTE(AA$37,"" "",""☃"",LEN(AA$37)-LEN(SUBSTITUTE(AA$37,"" "",""""))))-1),Excepciones!$A:$B,2,0)&gt;=0,IFERROR(INDEX(filter(Precios!$D:$D,(Precios!$A:$A&lt;=$I15)*(Precios!$B:$B&gt;=$I15)*(Precios!$"&amp;"C:$C=AA$37)),1)*1,""No asegurable""),""No asegurable"")),"""")"),"")</f>
        <v/>
      </c>
      <c r="AB84" s="48" t="str">
        <f>IFERROR(__xludf.DUMMYFUNCTION("IFERROR(IF($I15="""","""",IF(VLOOKUP(LEFT(AB$37,SEARCH(""☃"",SUBSTITUTE(AB$37,"" "",""☃"",LEN(AB$37)-LEN(SUBSTITUTE(AB$37,"" "",""""))))-1),Excepciones!$A:$B,2,0)&gt;=0,IFERROR(INDEX(filter(Precios!$D:$D,(Precios!$A:$A&lt;=$I15)*(Precios!$B:$B&gt;=$I15)*(Precios!$"&amp;"C:$C=AB$37)),1)*1,""No asegurable""),""No asegurable"")),"""")"),"")</f>
        <v/>
      </c>
      <c r="AC84" s="49" t="str">
        <f>IFERROR(__xludf.DUMMYFUNCTION("IFERROR(IF($I15="""","""",IF(VLOOKUP(LEFT(AC$37,SEARCH(""☃"",SUBSTITUTE(AC$37,"" "",""☃"",LEN(AC$37)-LEN(SUBSTITUTE(AC$37,"" "",""""))))-1),Excepciones!$A:$B,2,0)&gt;=0,IFERROR(INDEX(filter(Precios!$D:$D,(Precios!$A:$A&lt;=$I15)*(Precios!$B:$B&gt;=$I15)*(Precios!$"&amp;"C:$C=AC$37)),1)*1,""No asegurable""),""No asegurable"")),"""")"),"")</f>
        <v/>
      </c>
      <c r="AD84" s="5"/>
      <c r="AE84" s="5"/>
      <c r="AF84" s="5"/>
      <c r="AG84" s="5"/>
      <c r="AH84" s="125"/>
      <c r="AI84" s="125"/>
      <c r="AJ84" s="5"/>
      <c r="AK84" s="125"/>
      <c r="AL84" s="125"/>
    </row>
    <row r="85" ht="27.75" customHeight="1">
      <c r="L85" s="116">
        <v>11.0</v>
      </c>
      <c r="N85" s="48" t="str">
        <f>IF(OR(N67="",N67=0),"",N67+(VLOOKUP(COUNT($I$6:$I$13),Precios!$F:$H,2,0)))</f>
        <v/>
      </c>
      <c r="O85" s="48" t="str">
        <f>IF(OR(O67="",O67=0),"",O67+(VLOOKUP(COUNT($I$6:$I$13),Precios!$F:$H,2,0)))</f>
        <v/>
      </c>
      <c r="P85" s="48" t="str">
        <f>IFERROR(__xludf.DUMMYFUNCTION("IFERROR(IF($K$10=""Sí"","""",IF($I16="""","""",IF(VLOOKUP(LEFT(P$37,SEARCH(""☃"",SUBSTITUTE(P$37,"" "",""☃"",LEN(P$37)-LEN(SUBSTITUTE(P$37,"" "",""""))))-1),Excepciones!$A:$B,2,0)&gt;=0,IF(INDEX(FILTER(Precios!$D:$D,(Precios!$A:$A&lt;=$I16)*(Precios!$B:$B&gt;=$I16"&amp;")*(Precios!$C:$C=P$37)),1)*IF(COUNT($I$6:$I$13)&gt;=5,0.85,IF(COUNT($I$6:$I$13)&gt;=4,0.9,IF(COUNT($I$6:$I$13)&gt;=3,0.95,1)))=0,"""",INDEX(FILTER(Precios!$D:$D,(Precios!$A:$A&lt;=$I16)*(Precios!$B:$B&gt;=$I16)*(Precios!$C:$C=P$37)),1)*IF(COUNT($I$6:$I$13)&gt;=5,0.85,IF(CO"&amp;"UNT($I$6:$I$13)&gt;=4,0.9,IF(COUNT($I$6:$I$13)&gt;=3,0.95,1)))),""""))), """")
"),"")</f>
        <v/>
      </c>
      <c r="Q85" s="48" t="str">
        <f>IF(OR(Q67="",Q67=0),"",Q67+(VLOOKUP(COUNT($I$6:$I$13),Precios!$F:$H,2,0)))</f>
        <v/>
      </c>
      <c r="R85" s="48" t="str">
        <f>IF(OR(R67="",R67=0),"",R67+(VLOOKUP(COUNT($I$6:$I$13),Precios!$F:$H,2,0)))</f>
        <v/>
      </c>
      <c r="S85" s="48" t="str">
        <f>IFERROR(__xludf.DUMMYFUNCTION("IFERROR(IF($K$10=""Sí"","""",IF($I16="""","""",IF(VLOOKUP(LEFT(S$37,SEARCH(""☃"",SUBSTITUTE(S$37,"" "",""☃"",LEN(S$37)-LEN(SUBSTITUTE(S$37,"" "",""""))))-1),Excepciones!$A:$B,2,0)&gt;=0,IF(INDEX(FILTER(Precios!$D:$D,(Precios!$A:$A&lt;=$I16)*(Precios!$B:$B&gt;=$I16"&amp;")*(Precios!$C:$C=S$37)),1)*IF(COUNT($I$6:$I$13)&gt;=5,0.85,IF(COUNT($I$6:$I$13)&gt;=4,0.9,IF(COUNT($I$6:$I$13)&gt;=3,0.95,1)))=0,"""",INDEX(FILTER(Precios!$D:$D,(Precios!$A:$A&lt;=$I16)*(Precios!$B:$B&gt;=$I16)*(Precios!$C:$C=S$37)),1)*IF(COUNT($I$6:$I$13)&gt;=5,0.85,IF(CO"&amp;"UNT($I$6:$I$13)&gt;=4,0.9,IF(COUNT($I$6:$I$13)&gt;=3,0.95,1)))),""""))), """")
"),"")</f>
        <v/>
      </c>
      <c r="T85" s="48" t="str">
        <f>IFERROR(__xludf.DUMMYFUNCTION("IFERROR(IF($I16="""","""",IF(VLOOKUP(LEFT(T$37,SEARCH(""☃"",SUBSTITUTE(T$37,"" "",""☃"",LEN(T$37)-LEN(SUBSTITUTE(T$37,"" "",""""))))-1),Excepciones!$A:$B,2,0)&gt;=0,IFERROR((INDEX(filter(Precios!$D:$D,(Precios!$A:$A&lt;=$I16)*(Precios!$B:$B&gt;=$I16)*(Precios!$C:$"&amp;"C=T$37)),1)+VLOOKUP(COUNT($I$6:$I$13),Precios!$F:$G,2,0)),""""),"""")),"""")"),"")</f>
        <v/>
      </c>
      <c r="U85" s="48" t="str">
        <f>IF(OR(U67="",U67=0),"",U67+(VLOOKUP(COUNT($I$6:$I$13),Precios!$F:$H,2,0)))</f>
        <v/>
      </c>
      <c r="V85" s="48" t="str">
        <f>IFERROR(__xludf.DUMMYFUNCTION("IFERROR(IF($K$10=""Sí"","""",IF($I16="""","""",IF(VLOOKUP(LEFT(V$37,SEARCH(""☃"",SUBSTITUTE(V$37,"" "",""☃"",LEN(V$37)-LEN(SUBSTITUTE(V$37,"" "",""""))))-1),Excepciones!$A:$B,2,0)&gt;=0,IF(INDEX(FILTER(Precios!$D:$D,(Precios!$A:$A&lt;=$I16)*(Precios!$B:$B&gt;=$I16"&amp;")*(Precios!$C:$C=V$37)),1)*IF(COUNT($I$6:$I$13)&gt;=5,0.85,IF(COUNT($I$6:$I$13)&gt;=4,0.9,IF(COUNT($I$6:$I$13)&gt;=3,0.95,1)))=0,"""",INDEX(FILTER(Precios!$D:$D,(Precios!$A:$A&lt;=$I16)*(Precios!$B:$B&gt;=$I16)*(Precios!$C:$C=V$37)),1)*IF(COUNT($I$6:$I$13)&gt;=5,0.85,IF(CO"&amp;"UNT($I$6:$I$13)&gt;=4,0.9,IF(COUNT($I$6:$I$13)&gt;=3,0.95,1)))),""""))), """")
"),"")</f>
        <v/>
      </c>
      <c r="W85" s="48" t="str">
        <f>IFERROR(__xludf.DUMMYFUNCTION("IFERROR(IF($I16="""","""",IF(VLOOKUP(LEFT(W$37,SEARCH(""☃"",SUBSTITUTE(W$37,"" "",""☃"",LEN(W$37)-LEN(SUBSTITUTE(W$37,"" "",""""))))-1),Excepciones!$A:$B,2,0)&gt;=0,IFERROR((INDEX(filter(Precios!$D:$D,(Precios!$A:$A&lt;=$I16)*(Precios!$B:$B&gt;=$I16)*(Precios!$C:$"&amp;"C=W$37)),1)+VLOOKUP(COUNT($I$6:$I$13),Precios!$F:$G,2,0)),""No asegurable""),""No asegurable"")),"""")"),"")</f>
        <v/>
      </c>
      <c r="X85" s="119" t="str">
        <f>IFERROR(__xludf.DUMMYFUNCTION("IF($K$10=""Sí"","""",IFERROR(IF($I16="""","""",IF(VLOOKUP(LEFT(X$37,SEARCH(""☃"",SUBSTITUTE(X$37,"" "",""☃"",LEN(X$37)-LEN(SUBSTITUTE(X$37,"" "",""""))))-1),Excepciones!$A:$B,2,0)&gt;=0,IFERROR(INDEX(filter(Precios!$D:$D,(Precios!$A:$A&lt;=$I16)*(Precios!$B:$B&gt;"&amp;"=$I16)*(Precios!$C:$C=X$37)),1),""No asegurable""),""No asegurable"")),""""))"),"")</f>
        <v/>
      </c>
      <c r="Y85" s="48" t="str">
        <f>IFERROR(__xludf.DUMMYFUNCTION("IFERROR(IF($I16="""","""",IF(VLOOKUP(LEFT(Y$37,SEARCH(""☃"",SUBSTITUTE(Y$37,"" "",""☃"",LEN(Y$37)-LEN(SUBSTITUTE(Y$37,"" "",""""))))-1),Excepciones!$A:$B,2,0)&gt;=0,IFERROR(INDEX(filter(Precios!$D:$D,(Precios!$A:$A&lt;=$I16)*(Precios!$B:$B&gt;=$I16)*(Precios!$C:$C"&amp;"=Y$37)),1)*1,""No asegurable""),""No asegurable"")),"""")"),"")</f>
        <v/>
      </c>
      <c r="Z85" s="48" t="str">
        <f>IFERROR(__xludf.DUMMYFUNCTION("IFERROR(IF($I16="""","""",IF(VLOOKUP(LEFT(Z$37,SEARCH(""☃"",SUBSTITUTE(Z$37,"" "",""☃"",LEN(Z$37)-LEN(SUBSTITUTE(Z$37,"" "",""""))))-1),Excepciones!$A:$B,2,0)&gt;=0,IFERROR(INDEX(filter(Precios!$D:$D,(Precios!$A:$A&lt;=$I16)*(Precios!$B:$B&gt;=$I16)*(Precios!$C:$C"&amp;"=Z$37)),1)*1,""No asegurable""),""No asegurable"")),"""")"),"")</f>
        <v/>
      </c>
      <c r="AA85" s="48" t="str">
        <f>IFERROR(__xludf.DUMMYFUNCTION("IFERROR(IF($I16="""","""",IF(VLOOKUP(LEFT(AA$37,SEARCH(""☃"",SUBSTITUTE(AA$37,"" "",""☃"",LEN(AA$37)-LEN(SUBSTITUTE(AA$37,"" "",""""))))-1),Excepciones!$A:$B,2,0)&gt;=0,IFERROR(INDEX(filter(Precios!$D:$D,(Precios!$A:$A&lt;=$I16)*(Precios!$B:$B&gt;=$I16)*(Precios!$"&amp;"C:$C=AA$37)),1)*1,""No asegurable""),""No asegurable"")),"""")"),"")</f>
        <v/>
      </c>
      <c r="AB85" s="48" t="str">
        <f>IFERROR(__xludf.DUMMYFUNCTION("IFERROR(IF($I16="""","""",IF(VLOOKUP(LEFT(AB$37,SEARCH(""☃"",SUBSTITUTE(AB$37,"" "",""☃"",LEN(AB$37)-LEN(SUBSTITUTE(AB$37,"" "",""""))))-1),Excepciones!$A:$B,2,0)&gt;=0,IFERROR(INDEX(filter(Precios!$D:$D,(Precios!$A:$A&lt;=$I16)*(Precios!$B:$B&gt;=$I16)*(Precios!$"&amp;"C:$C=AB$37)),1)*1,""No asegurable""),""No asegurable"")),"""")"),"")</f>
        <v/>
      </c>
      <c r="AC85" s="49" t="str">
        <f>IFERROR(__xludf.DUMMYFUNCTION("IFERROR(IF($I16="""","""",IF(VLOOKUP(LEFT(AC$37,SEARCH(""☃"",SUBSTITUTE(AC$37,"" "",""☃"",LEN(AC$37)-LEN(SUBSTITUTE(AC$37,"" "",""""))))-1),Excepciones!$A:$B,2,0)&gt;=0,IFERROR(INDEX(filter(Precios!$D:$D,(Precios!$A:$A&lt;=$I16)*(Precios!$B:$B&gt;=$I16)*(Precios!$"&amp;"C:$C=AC$37)),1)*1,""No asegurable""),""No asegurable"")),"""")"),"")</f>
        <v/>
      </c>
      <c r="AD85" s="5"/>
      <c r="AE85" s="5"/>
      <c r="AF85" s="5"/>
      <c r="AG85" s="5"/>
      <c r="AH85" s="125"/>
      <c r="AI85" s="125"/>
      <c r="AJ85" s="5"/>
      <c r="AK85" s="125"/>
      <c r="AL85" s="125"/>
    </row>
    <row r="86" ht="27.75" customHeight="1">
      <c r="L86" s="116">
        <v>12.0</v>
      </c>
      <c r="N86" s="48" t="str">
        <f>IF(OR(N68="",N68=0),"",N68+(VLOOKUP(COUNT($I$6:$I$13),Precios!$F:$H,2,0)))</f>
        <v/>
      </c>
      <c r="O86" s="48" t="str">
        <f>IF(OR(O68="",O68=0),"",O68+(VLOOKUP(COUNT($I$6:$I$13),Precios!$F:$H,2,0)))</f>
        <v/>
      </c>
      <c r="P86" s="48" t="str">
        <f>IFERROR(__xludf.DUMMYFUNCTION("IFERROR(IF($K$10=""Sí"","""",IF($I17="""","""",IF(VLOOKUP(LEFT(P$37,SEARCH(""☃"",SUBSTITUTE(P$37,"" "",""☃"",LEN(P$37)-LEN(SUBSTITUTE(P$37,"" "",""""))))-1),Excepciones!$A:$B,2,0)&gt;=0,IF(INDEX(FILTER(Precios!$D:$D,(Precios!$A:$A&lt;=$I17)*(Precios!$B:$B&gt;=$I17"&amp;")*(Precios!$C:$C=P$37)),1)*IF(COUNT($I$6:$I$13)&gt;=5,0.85,IF(COUNT($I$6:$I$13)&gt;=4,0.9,IF(COUNT($I$6:$I$13)&gt;=3,0.95,1)))=0,"""",INDEX(FILTER(Precios!$D:$D,(Precios!$A:$A&lt;=$I17)*(Precios!$B:$B&gt;=$I17)*(Precios!$C:$C=P$37)),1)*IF(COUNT($I$6:$I$13)&gt;=5,0.85,IF(CO"&amp;"UNT($I$6:$I$13)&gt;=4,0.9,IF(COUNT($I$6:$I$13)&gt;=3,0.95,1)))),""""))), """")
"),"")</f>
        <v/>
      </c>
      <c r="Q86" s="48" t="str">
        <f>IF(OR(Q68="",Q68=0),"",Q68+(VLOOKUP(COUNT($I$6:$I$13),Precios!$F:$H,2,0)))</f>
        <v/>
      </c>
      <c r="R86" s="48" t="str">
        <f>IF(OR(R68="",R68=0),"",R68+(VLOOKUP(COUNT($I$6:$I$13),Precios!$F:$H,2,0)))</f>
        <v/>
      </c>
      <c r="S86" s="48" t="str">
        <f>IFERROR(__xludf.DUMMYFUNCTION("IFERROR(IF($K$10=""Sí"","""",IF($I17="""","""",IF(VLOOKUP(LEFT(S$37,SEARCH(""☃"",SUBSTITUTE(S$37,"" "",""☃"",LEN(S$37)-LEN(SUBSTITUTE(S$37,"" "",""""))))-1),Excepciones!$A:$B,2,0)&gt;=0,IF(INDEX(FILTER(Precios!$D:$D,(Precios!$A:$A&lt;=$I17)*(Precios!$B:$B&gt;=$I17"&amp;")*(Precios!$C:$C=S$37)),1)*IF(COUNT($I$6:$I$13)&gt;=5,0.85,IF(COUNT($I$6:$I$13)&gt;=4,0.9,IF(COUNT($I$6:$I$13)&gt;=3,0.95,1)))=0,"""",INDEX(FILTER(Precios!$D:$D,(Precios!$A:$A&lt;=$I17)*(Precios!$B:$B&gt;=$I17)*(Precios!$C:$C=S$37)),1)*IF(COUNT($I$6:$I$13)&gt;=5,0.85,IF(CO"&amp;"UNT($I$6:$I$13)&gt;=4,0.9,IF(COUNT($I$6:$I$13)&gt;=3,0.95,1)))),""""))), """")
"),"")</f>
        <v/>
      </c>
      <c r="T86" s="48" t="str">
        <f>IFERROR(__xludf.DUMMYFUNCTION("IFERROR(IF($I17="""","""",IF(VLOOKUP(LEFT(T$37,SEARCH(""☃"",SUBSTITUTE(T$37,"" "",""☃"",LEN(T$37)-LEN(SUBSTITUTE(T$37,"" "",""""))))-1),Excepciones!$A:$B,2,0)&gt;=0,IFERROR((INDEX(filter(Precios!$D:$D,(Precios!$A:$A&lt;=$I17)*(Precios!$B:$B&gt;=$I17)*(Precios!$C:$"&amp;"C=T$37)),1)+VLOOKUP(COUNT($I$6:$I$13),Precios!$F:$G,2,0)),""""),"""")),"""")"),"")</f>
        <v/>
      </c>
      <c r="U86" s="48" t="str">
        <f>IF(OR(U68="",U68=0),"",U68+(VLOOKUP(COUNT($I$6:$I$13),Precios!$F:$H,2,0)))</f>
        <v/>
      </c>
      <c r="V86" s="48" t="str">
        <f>IFERROR(__xludf.DUMMYFUNCTION("IFERROR(IF($K$10=""Sí"","""",IF($I17="""","""",IF(VLOOKUP(LEFT(V$37,SEARCH(""☃"",SUBSTITUTE(V$37,"" "",""☃"",LEN(V$37)-LEN(SUBSTITUTE(V$37,"" "",""""))))-1),Excepciones!$A:$B,2,0)&gt;=0,IF(INDEX(FILTER(Precios!$D:$D,(Precios!$A:$A&lt;=$I17)*(Precios!$B:$B&gt;=$I17"&amp;")*(Precios!$C:$C=V$37)),1)*IF(COUNT($I$6:$I$13)&gt;=5,0.85,IF(COUNT($I$6:$I$13)&gt;=4,0.9,IF(COUNT($I$6:$I$13)&gt;=3,0.95,1)))=0,"""",INDEX(FILTER(Precios!$D:$D,(Precios!$A:$A&lt;=$I17)*(Precios!$B:$B&gt;=$I17)*(Precios!$C:$C=V$37)),1)*IF(COUNT($I$6:$I$13)&gt;=5,0.85,IF(CO"&amp;"UNT($I$6:$I$13)&gt;=4,0.9,IF(COUNT($I$6:$I$13)&gt;=3,0.95,1)))),""""))), """")
"),"")</f>
        <v/>
      </c>
      <c r="W86" s="48" t="str">
        <f>IFERROR(__xludf.DUMMYFUNCTION("IFERROR(IF($I17="""","""",IF(VLOOKUP(LEFT(W$37,SEARCH(""☃"",SUBSTITUTE(W$37,"" "",""☃"",LEN(W$37)-LEN(SUBSTITUTE(W$37,"" "",""""))))-1),Excepciones!$A:$B,2,0)&gt;=0,IFERROR((INDEX(filter(Precios!$D:$D,(Precios!$A:$A&lt;=$I17)*(Precios!$B:$B&gt;=$I17)*(Precios!$C:$"&amp;"C=W$37)),1)+VLOOKUP(COUNT($I$6:$I$13),Precios!$F:$G,2,0)),""No asegurable""),""No asegurable"")),"""")"),"")</f>
        <v/>
      </c>
      <c r="X86" s="119" t="str">
        <f>IFERROR(__xludf.DUMMYFUNCTION("IF($K$10=""Sí"","""",IFERROR(IF($I17="""","""",IF(VLOOKUP(LEFT(X$37,SEARCH(""☃"",SUBSTITUTE(X$37,"" "",""☃"",LEN(X$37)-LEN(SUBSTITUTE(X$37,"" "",""""))))-1),Excepciones!$A:$B,2,0)&gt;=0,IFERROR(INDEX(filter(Precios!$D:$D,(Precios!$A:$A&lt;=$I17)*(Precios!$B:$B&gt;"&amp;"=$I17)*(Precios!$C:$C=X$37)),1),""No asegurable""),""No asegurable"")),""""))"),"")</f>
        <v/>
      </c>
      <c r="Y86" s="48" t="str">
        <f>IFERROR(__xludf.DUMMYFUNCTION("IFERROR(IF($I17="""","""",IF(VLOOKUP(LEFT(Y$37,SEARCH(""☃"",SUBSTITUTE(Y$37,"" "",""☃"",LEN(Y$37)-LEN(SUBSTITUTE(Y$37,"" "",""""))))-1),Excepciones!$A:$B,2,0)&gt;=0,IFERROR(INDEX(filter(Precios!$D:$D,(Precios!$A:$A&lt;=$I17)*(Precios!$B:$B&gt;=$I17)*(Precios!$C:$C"&amp;"=Y$37)),1)*1,""No asegurable""),""No asegurable"")),"""")"),"")</f>
        <v/>
      </c>
      <c r="Z86" s="48" t="str">
        <f>IFERROR(__xludf.DUMMYFUNCTION("IFERROR(IF($I17="""","""",IF(VLOOKUP(LEFT(Z$37,SEARCH(""☃"",SUBSTITUTE(Z$37,"" "",""☃"",LEN(Z$37)-LEN(SUBSTITUTE(Z$37,"" "",""""))))-1),Excepciones!$A:$B,2,0)&gt;=0,IFERROR(INDEX(filter(Precios!$D:$D,(Precios!$A:$A&lt;=$I17)*(Precios!$B:$B&gt;=$I17)*(Precios!$C:$C"&amp;"=Z$37)),1)*1,""No asegurable""),""No asegurable"")),"""")"),"")</f>
        <v/>
      </c>
      <c r="AA86" s="48" t="str">
        <f>IFERROR(__xludf.DUMMYFUNCTION("IFERROR(IF($I17="""","""",IF(VLOOKUP(LEFT(AA$37,SEARCH(""☃"",SUBSTITUTE(AA$37,"" "",""☃"",LEN(AA$37)-LEN(SUBSTITUTE(AA$37,"" "",""""))))-1),Excepciones!$A:$B,2,0)&gt;=0,IFERROR(INDEX(filter(Precios!$D:$D,(Precios!$A:$A&lt;=$I17)*(Precios!$B:$B&gt;=$I17)*(Precios!$"&amp;"C:$C=AA$37)),1)*1,""No asegurable""),""No asegurable"")),"""")"),"")</f>
        <v/>
      </c>
      <c r="AB86" s="48" t="str">
        <f>IFERROR(__xludf.DUMMYFUNCTION("IFERROR(IF($I17="""","""",IF(VLOOKUP(LEFT(AB$37,SEARCH(""☃"",SUBSTITUTE(AB$37,"" "",""☃"",LEN(AB$37)-LEN(SUBSTITUTE(AB$37,"" "",""""))))-1),Excepciones!$A:$B,2,0)&gt;=0,IFERROR(INDEX(filter(Precios!$D:$D,(Precios!$A:$A&lt;=$I17)*(Precios!$B:$B&gt;=$I17)*(Precios!$"&amp;"C:$C=AB$37)),1)*1,""No asegurable""),""No asegurable"")),"""")"),"")</f>
        <v/>
      </c>
      <c r="AC86" s="49" t="str">
        <f>IFERROR(__xludf.DUMMYFUNCTION("IFERROR(IF($I17="""","""",IF(VLOOKUP(LEFT(AC$37,SEARCH(""☃"",SUBSTITUTE(AC$37,"" "",""☃"",LEN(AC$37)-LEN(SUBSTITUTE(AC$37,"" "",""""))))-1),Excepciones!$A:$B,2,0)&gt;=0,IFERROR(INDEX(filter(Precios!$D:$D,(Precios!$A:$A&lt;=$I17)*(Precios!$B:$B&gt;=$I17)*(Precios!$"&amp;"C:$C=AC$37)),1)*1,""No asegurable""),""No asegurable"")),"""")"),"")</f>
        <v/>
      </c>
      <c r="AD86" s="5"/>
      <c r="AE86" s="5"/>
      <c r="AF86" s="5"/>
      <c r="AG86" s="5"/>
      <c r="AH86" s="125"/>
      <c r="AI86" s="125"/>
      <c r="AJ86" s="5"/>
      <c r="AK86" s="125"/>
      <c r="AL86" s="125"/>
    </row>
    <row r="87" ht="27.75" customHeight="1">
      <c r="L87" s="116">
        <v>13.0</v>
      </c>
      <c r="N87" s="48" t="str">
        <f>IF(OR(N69="",N69=0),"",N69+(VLOOKUP(COUNT($I$6:$I$13),Precios!$F:$H,2,0)))</f>
        <v/>
      </c>
      <c r="O87" s="48" t="str">
        <f>IF(OR(O69="",O69=0),"",O69+(VLOOKUP(COUNT($I$6:$I$13),Precios!$F:$H,2,0)))</f>
        <v/>
      </c>
      <c r="P87" s="48" t="str">
        <f>IFERROR(__xludf.DUMMYFUNCTION("IFERROR(IF($K$10=""Sí"","""",IF($I18="""","""",IF(VLOOKUP(LEFT(P$37,SEARCH(""☃"",SUBSTITUTE(P$37,"" "",""☃"",LEN(P$37)-LEN(SUBSTITUTE(P$37,"" "",""""))))-1),Excepciones!$A:$B,2,0)&gt;=0,IF(INDEX(FILTER(Precios!$D:$D,(Precios!$A:$A&lt;=$I18)*(Precios!$B:$B&gt;=$I18"&amp;")*(Precios!$C:$C=P$37)),1)*IF(COUNT($I$6:$I$13)&gt;=5,0.85,IF(COUNT($I$6:$I$13)&gt;=4,0.9,IF(COUNT($I$6:$I$13)&gt;=3,0.95,1)))=0,"""",INDEX(FILTER(Precios!$D:$D,(Precios!$A:$A&lt;=$I18)*(Precios!$B:$B&gt;=$I18)*(Precios!$C:$C=P$37)),1)*IF(COUNT($I$6:$I$13)&gt;=5,0.85,IF(CO"&amp;"UNT($I$6:$I$13)&gt;=4,0.9,IF(COUNT($I$6:$I$13)&gt;=3,0.95,1)))),""""))), """")
"),"")</f>
        <v/>
      </c>
      <c r="Q87" s="48" t="str">
        <f>IF(OR(Q69="",Q69=0),"",Q69+(VLOOKUP(COUNT($I$6:$I$13),Precios!$F:$H,2,0)))</f>
        <v/>
      </c>
      <c r="R87" s="48" t="str">
        <f>IF(OR(R69="",R69=0),"",R69+(VLOOKUP(COUNT($I$6:$I$13),Precios!$F:$H,2,0)))</f>
        <v/>
      </c>
      <c r="S87" s="48" t="str">
        <f>IFERROR(__xludf.DUMMYFUNCTION("IFERROR(IF($K$10=""Sí"","""",IF($I18="""","""",IF(VLOOKUP(LEFT(S$37,SEARCH(""☃"",SUBSTITUTE(S$37,"" "",""☃"",LEN(S$37)-LEN(SUBSTITUTE(S$37,"" "",""""))))-1),Excepciones!$A:$B,2,0)&gt;=0,IF(INDEX(FILTER(Precios!$D:$D,(Precios!$A:$A&lt;=$I18)*(Precios!$B:$B&gt;=$I18"&amp;")*(Precios!$C:$C=S$37)),1)*IF(COUNT($I$6:$I$13)&gt;=5,0.85,IF(COUNT($I$6:$I$13)&gt;=4,0.9,IF(COUNT($I$6:$I$13)&gt;=3,0.95,1)))=0,"""",INDEX(FILTER(Precios!$D:$D,(Precios!$A:$A&lt;=$I18)*(Precios!$B:$B&gt;=$I18)*(Precios!$C:$C=S$37)),1)*IF(COUNT($I$6:$I$13)&gt;=5,0.85,IF(CO"&amp;"UNT($I$6:$I$13)&gt;=4,0.9,IF(COUNT($I$6:$I$13)&gt;=3,0.95,1)))),""""))), """")
"),"")</f>
        <v/>
      </c>
      <c r="T87" s="48" t="str">
        <f>IFERROR(__xludf.DUMMYFUNCTION("IFERROR(IF($I18="""","""",IF(VLOOKUP(LEFT(T$37,SEARCH(""☃"",SUBSTITUTE(T$37,"" "",""☃"",LEN(T$37)-LEN(SUBSTITUTE(T$37,"" "",""""))))-1),Excepciones!$A:$B,2,0)&gt;=0,IFERROR((INDEX(filter(Precios!$D:$D,(Precios!$A:$A&lt;=$I18)*(Precios!$B:$B&gt;=$I18)*(Precios!$C:$"&amp;"C=T$37)),1)+VLOOKUP(COUNT($I$6:$I$13),Precios!$F:$G,2,0)),""""),"""")),"""")"),"")</f>
        <v/>
      </c>
      <c r="U87" s="48" t="str">
        <f>IF(OR(U69="",U69=0),"",U69+(VLOOKUP(COUNT($I$6:$I$13),Precios!$F:$H,2,0)))</f>
        <v/>
      </c>
      <c r="V87" s="48" t="str">
        <f>IFERROR(__xludf.DUMMYFUNCTION("IFERROR(IF($K$10=""Sí"","""",IF($I18="""","""",IF(VLOOKUP(LEFT(V$37,SEARCH(""☃"",SUBSTITUTE(V$37,"" "",""☃"",LEN(V$37)-LEN(SUBSTITUTE(V$37,"" "",""""))))-1),Excepciones!$A:$B,2,0)&gt;=0,IF(INDEX(FILTER(Precios!$D:$D,(Precios!$A:$A&lt;=$I18)*(Precios!$B:$B&gt;=$I18"&amp;")*(Precios!$C:$C=V$37)),1)*IF(COUNT($I$6:$I$13)&gt;=5,0.85,IF(COUNT($I$6:$I$13)&gt;=4,0.9,IF(COUNT($I$6:$I$13)&gt;=3,0.95,1)))=0,"""",INDEX(FILTER(Precios!$D:$D,(Precios!$A:$A&lt;=$I18)*(Precios!$B:$B&gt;=$I18)*(Precios!$C:$C=V$37)),1)*IF(COUNT($I$6:$I$13)&gt;=5,0.85,IF(CO"&amp;"UNT($I$6:$I$13)&gt;=4,0.9,IF(COUNT($I$6:$I$13)&gt;=3,0.95,1)))),""""))), """")
"),"")</f>
        <v/>
      </c>
      <c r="W87" s="48" t="str">
        <f>IFERROR(__xludf.DUMMYFUNCTION("IFERROR(IF($I18="""","""",IF(VLOOKUP(LEFT(W$37,SEARCH(""☃"",SUBSTITUTE(W$37,"" "",""☃"",LEN(W$37)-LEN(SUBSTITUTE(W$37,"" "",""""))))-1),Excepciones!$A:$B,2,0)&gt;=0,IFERROR((INDEX(filter(Precios!$D:$D,(Precios!$A:$A&lt;=$I18)*(Precios!$B:$B&gt;=$I18)*(Precios!$C:$"&amp;"C=W$37)),1)+VLOOKUP(COUNT($I$6:$I$13),Precios!$F:$G,2,0)),""No asegurable""),""No asegurable"")),"""")"),"")</f>
        <v/>
      </c>
      <c r="X87" s="119" t="str">
        <f>IFERROR(__xludf.DUMMYFUNCTION("IF($K$10=""Sí"","""",IFERROR(IF($I18="""","""",IF(VLOOKUP(LEFT(X$37,SEARCH(""☃"",SUBSTITUTE(X$37,"" "",""☃"",LEN(X$37)-LEN(SUBSTITUTE(X$37,"" "",""""))))-1),Excepciones!$A:$B,2,0)&gt;=0,IFERROR(INDEX(filter(Precios!$D:$D,(Precios!$A:$A&lt;=$I18)*(Precios!$B:$B&gt;"&amp;"=$I18)*(Precios!$C:$C=X$37)),1),""No asegurable""),""No asegurable"")),""""))"),"")</f>
        <v/>
      </c>
      <c r="Y87" s="48" t="str">
        <f>IFERROR(__xludf.DUMMYFUNCTION("IFERROR(IF($I18="""","""",IF(VLOOKUP(LEFT(Y$37,SEARCH(""☃"",SUBSTITUTE(Y$37,"" "",""☃"",LEN(Y$37)-LEN(SUBSTITUTE(Y$37,"" "",""""))))-1),Excepciones!$A:$B,2,0)&gt;=0,IFERROR(INDEX(filter(Precios!$D:$D,(Precios!$A:$A&lt;=$I18)*(Precios!$B:$B&gt;=$I18)*(Precios!$C:$C"&amp;"=Y$37)),1)*1,""No asegurable""),""No asegurable"")),"""")"),"")</f>
        <v/>
      </c>
      <c r="Z87" s="48" t="str">
        <f>IFERROR(__xludf.DUMMYFUNCTION("IFERROR(IF($I18="""","""",IF(VLOOKUP(LEFT(Z$37,SEARCH(""☃"",SUBSTITUTE(Z$37,"" "",""☃"",LEN(Z$37)-LEN(SUBSTITUTE(Z$37,"" "",""""))))-1),Excepciones!$A:$B,2,0)&gt;=0,IFERROR(INDEX(filter(Precios!$D:$D,(Precios!$A:$A&lt;=$I18)*(Precios!$B:$B&gt;=$I18)*(Precios!$C:$C"&amp;"=Z$37)),1)*1,""No asegurable""),""No asegurable"")),"""")"),"")</f>
        <v/>
      </c>
      <c r="AA87" s="48" t="str">
        <f>IFERROR(__xludf.DUMMYFUNCTION("IFERROR(IF($I18="""","""",IF(VLOOKUP(LEFT(AA$37,SEARCH(""☃"",SUBSTITUTE(AA$37,"" "",""☃"",LEN(AA$37)-LEN(SUBSTITUTE(AA$37,"" "",""""))))-1),Excepciones!$A:$B,2,0)&gt;=0,IFERROR(INDEX(filter(Precios!$D:$D,(Precios!$A:$A&lt;=$I18)*(Precios!$B:$B&gt;=$I18)*(Precios!$"&amp;"C:$C=AA$37)),1)*1,""No asegurable""),""No asegurable"")),"""")"),"")</f>
        <v/>
      </c>
      <c r="AB87" s="48" t="str">
        <f>IFERROR(__xludf.DUMMYFUNCTION("IFERROR(IF($I18="""","""",IF(VLOOKUP(LEFT(AB$37,SEARCH(""☃"",SUBSTITUTE(AB$37,"" "",""☃"",LEN(AB$37)-LEN(SUBSTITUTE(AB$37,"" "",""""))))-1),Excepciones!$A:$B,2,0)&gt;=0,IFERROR(INDEX(filter(Precios!$D:$D,(Precios!$A:$A&lt;=$I18)*(Precios!$B:$B&gt;=$I18)*(Precios!$"&amp;"C:$C=AB$37)),1)*1,""No asegurable""),""No asegurable"")),"""")"),"")</f>
        <v/>
      </c>
      <c r="AC87" s="49" t="str">
        <f>IFERROR(__xludf.DUMMYFUNCTION("IFERROR(IF($I18="""","""",IF(VLOOKUP(LEFT(AC$37,SEARCH(""☃"",SUBSTITUTE(AC$37,"" "",""☃"",LEN(AC$37)-LEN(SUBSTITUTE(AC$37,"" "",""""))))-1),Excepciones!$A:$B,2,0)&gt;=0,IFERROR(INDEX(filter(Precios!$D:$D,(Precios!$A:$A&lt;=$I18)*(Precios!$B:$B&gt;=$I18)*(Precios!$"&amp;"C:$C=AC$37)),1)*1,""No asegurable""),""No asegurable"")),"""")"),"")</f>
        <v/>
      </c>
      <c r="AD87" s="5"/>
      <c r="AE87" s="5"/>
      <c r="AF87" s="5"/>
      <c r="AG87" s="5"/>
      <c r="AH87" s="125"/>
      <c r="AI87" s="125"/>
      <c r="AJ87" s="5"/>
      <c r="AK87" s="125"/>
      <c r="AL87" s="125"/>
    </row>
    <row r="88" ht="27.75" customHeight="1">
      <c r="L88" s="116">
        <v>14.0</v>
      </c>
      <c r="N88" s="48" t="str">
        <f>IF(OR(N70="",N70=0),"",N70+(VLOOKUP(COUNT($I$6:$I$13),Precios!$F:$H,2,0)))</f>
        <v/>
      </c>
      <c r="O88" s="48" t="str">
        <f>IF(OR(O70="",O70=0),"",O70+(VLOOKUP(COUNT($I$6:$I$13),Precios!$F:$H,2,0)))</f>
        <v/>
      </c>
      <c r="P88" s="48" t="str">
        <f>IFERROR(__xludf.DUMMYFUNCTION("IFERROR(IF($K$10=""Sí"","""",IF($I19="""","""",IF(VLOOKUP(LEFT(P$37,SEARCH(""☃"",SUBSTITUTE(P$37,"" "",""☃"",LEN(P$37)-LEN(SUBSTITUTE(P$37,"" "",""""))))-1),Excepciones!$A:$B,2,0)&gt;=0,IF(INDEX(FILTER(Precios!$D:$D,(Precios!$A:$A&lt;=$I19)*(Precios!$B:$B&gt;=$I19"&amp;")*(Precios!$C:$C=P$37)),1)*IF(COUNT($I$6:$I$13)&gt;=5,0.85,IF(COUNT($I$6:$I$13)&gt;=4,0.9,IF(COUNT($I$6:$I$13)&gt;=3,0.95,1)))=0,"""",INDEX(FILTER(Precios!$D:$D,(Precios!$A:$A&lt;=$I19)*(Precios!$B:$B&gt;=$I19)*(Precios!$C:$C=P$37)),1)*IF(COUNT($I$6:$I$13)&gt;=5,0.85,IF(CO"&amp;"UNT($I$6:$I$13)&gt;=4,0.9,IF(COUNT($I$6:$I$13)&gt;=3,0.95,1)))),""""))), """")
"),"")</f>
        <v/>
      </c>
      <c r="Q88" s="48" t="str">
        <f>IF(OR(Q70="",Q70=0),"",Q70+(VLOOKUP(COUNT($I$6:$I$13),Precios!$F:$H,2,0)))</f>
        <v/>
      </c>
      <c r="R88" s="48" t="str">
        <f>IF(OR(R70="",R70=0),"",R70+(VLOOKUP(COUNT($I$6:$I$13),Precios!$F:$H,2,0)))</f>
        <v/>
      </c>
      <c r="S88" s="48" t="str">
        <f>IFERROR(__xludf.DUMMYFUNCTION("IFERROR(IF($K$10=""Sí"","""",IF($I19="""","""",IF(VLOOKUP(LEFT(S$37,SEARCH(""☃"",SUBSTITUTE(S$37,"" "",""☃"",LEN(S$37)-LEN(SUBSTITUTE(S$37,"" "",""""))))-1),Excepciones!$A:$B,2,0)&gt;=0,IF(INDEX(FILTER(Precios!$D:$D,(Precios!$A:$A&lt;=$I19)*(Precios!$B:$B&gt;=$I19"&amp;")*(Precios!$C:$C=S$37)),1)*IF(COUNT($I$6:$I$13)&gt;=5,0.85,IF(COUNT($I$6:$I$13)&gt;=4,0.9,IF(COUNT($I$6:$I$13)&gt;=3,0.95,1)))=0,"""",INDEX(FILTER(Precios!$D:$D,(Precios!$A:$A&lt;=$I19)*(Precios!$B:$B&gt;=$I19)*(Precios!$C:$C=S$37)),1)*IF(COUNT($I$6:$I$13)&gt;=5,0.85,IF(CO"&amp;"UNT($I$6:$I$13)&gt;=4,0.9,IF(COUNT($I$6:$I$13)&gt;=3,0.95,1)))),""""))), """")
"),"")</f>
        <v/>
      </c>
      <c r="T88" s="48" t="str">
        <f>IFERROR(__xludf.DUMMYFUNCTION("IFERROR(IF($I19="""","""",IF(VLOOKUP(LEFT(T$37,SEARCH(""☃"",SUBSTITUTE(T$37,"" "",""☃"",LEN(T$37)-LEN(SUBSTITUTE(T$37,"" "",""""))))-1),Excepciones!$A:$B,2,0)&gt;=0,IFERROR((INDEX(filter(Precios!$D:$D,(Precios!$A:$A&lt;=$I19)*(Precios!$B:$B&gt;=$I19)*(Precios!$C:$"&amp;"C=T$37)),1)+VLOOKUP(COUNT($I$6:$I$13),Precios!$F:$G,2,0)),""""),"""")),"""")"),"")</f>
        <v/>
      </c>
      <c r="U88" s="48" t="str">
        <f>IF(OR(U70="",U70=0),"",U70+(VLOOKUP(COUNT($I$6:$I$13),Precios!$F:$H,2,0)))</f>
        <v/>
      </c>
      <c r="V88" s="48" t="str">
        <f>IFERROR(__xludf.DUMMYFUNCTION("IFERROR(IF($K$10=""Sí"","""",IF($I19="""","""",IF(VLOOKUP(LEFT(V$37,SEARCH(""☃"",SUBSTITUTE(V$37,"" "",""☃"",LEN(V$37)-LEN(SUBSTITUTE(V$37,"" "",""""))))-1),Excepciones!$A:$B,2,0)&gt;=0,IF(INDEX(FILTER(Precios!$D:$D,(Precios!$A:$A&lt;=$I19)*(Precios!$B:$B&gt;=$I19"&amp;")*(Precios!$C:$C=V$37)),1)*IF(COUNT($I$6:$I$13)&gt;=5,0.85,IF(COUNT($I$6:$I$13)&gt;=4,0.9,IF(COUNT($I$6:$I$13)&gt;=3,0.95,1)))=0,"""",INDEX(FILTER(Precios!$D:$D,(Precios!$A:$A&lt;=$I19)*(Precios!$B:$B&gt;=$I19)*(Precios!$C:$C=V$37)),1)*IF(COUNT($I$6:$I$13)&gt;=5,0.85,IF(CO"&amp;"UNT($I$6:$I$13)&gt;=4,0.9,IF(COUNT($I$6:$I$13)&gt;=3,0.95,1)))),""""))), """")
"),"")</f>
        <v/>
      </c>
      <c r="W88" s="48" t="str">
        <f>IFERROR(__xludf.DUMMYFUNCTION("IFERROR(IF($I19="""","""",IF(VLOOKUP(LEFT(W$37,SEARCH(""☃"",SUBSTITUTE(W$37,"" "",""☃"",LEN(W$37)-LEN(SUBSTITUTE(W$37,"" "",""""))))-1),Excepciones!$A:$B,2,0)&gt;=0,IFERROR((INDEX(filter(Precios!$D:$D,(Precios!$A:$A&lt;=$I19)*(Precios!$B:$B&gt;=$I19)*(Precios!$C:$"&amp;"C=W$37)),1)+VLOOKUP(COUNT($I$6:$I$13),Precios!$F:$G,2,0)),""No asegurable""),""No asegurable"")),"""")"),"")</f>
        <v/>
      </c>
      <c r="X88" s="119" t="str">
        <f>IFERROR(__xludf.DUMMYFUNCTION("IF($K$10=""Sí"","""",IFERROR(IF($I19="""","""",IF(VLOOKUP(LEFT(X$37,SEARCH(""☃"",SUBSTITUTE(X$37,"" "",""☃"",LEN(X$37)-LEN(SUBSTITUTE(X$37,"" "",""""))))-1),Excepciones!$A:$B,2,0)&gt;=0,IFERROR(INDEX(filter(Precios!$D:$D,(Precios!$A:$A&lt;=$I19)*(Precios!$B:$B&gt;"&amp;"=$I19)*(Precios!$C:$C=X$37)),1),""No asegurable""),""No asegurable"")),""""))"),"")</f>
        <v/>
      </c>
      <c r="Y88" s="48" t="str">
        <f>IFERROR(__xludf.DUMMYFUNCTION("IFERROR(IF($I19="""","""",IF(VLOOKUP(LEFT(Y$37,SEARCH(""☃"",SUBSTITUTE(Y$37,"" "",""☃"",LEN(Y$37)-LEN(SUBSTITUTE(Y$37,"" "",""""))))-1),Excepciones!$A:$B,2,0)&gt;=0,IFERROR(INDEX(filter(Precios!$D:$D,(Precios!$A:$A&lt;=$I19)*(Precios!$B:$B&gt;=$I19)*(Precios!$C:$C"&amp;"=Y$37)),1)*1,""No asegurable""),""No asegurable"")),"""")"),"")</f>
        <v/>
      </c>
      <c r="Z88" s="48" t="str">
        <f>IFERROR(__xludf.DUMMYFUNCTION("IFERROR(IF($I19="""","""",IF(VLOOKUP(LEFT(Z$37,SEARCH(""☃"",SUBSTITUTE(Z$37,"" "",""☃"",LEN(Z$37)-LEN(SUBSTITUTE(Z$37,"" "",""""))))-1),Excepciones!$A:$B,2,0)&gt;=0,IFERROR(INDEX(filter(Precios!$D:$D,(Precios!$A:$A&lt;=$I19)*(Precios!$B:$B&gt;=$I19)*(Precios!$C:$C"&amp;"=Z$37)),1)*1,""No asegurable""),""No asegurable"")),"""")"),"")</f>
        <v/>
      </c>
      <c r="AA88" s="48" t="str">
        <f>IFERROR(__xludf.DUMMYFUNCTION("IFERROR(IF($I19="""","""",IF(VLOOKUP(LEFT(AA$37,SEARCH(""☃"",SUBSTITUTE(AA$37,"" "",""☃"",LEN(AA$37)-LEN(SUBSTITUTE(AA$37,"" "",""""))))-1),Excepciones!$A:$B,2,0)&gt;=0,IFERROR(INDEX(filter(Precios!$D:$D,(Precios!$A:$A&lt;=$I19)*(Precios!$B:$B&gt;=$I19)*(Precios!$"&amp;"C:$C=AA$37)),1)*1,""No asegurable""),""No asegurable"")),"""")"),"")</f>
        <v/>
      </c>
      <c r="AB88" s="48" t="str">
        <f>IFERROR(__xludf.DUMMYFUNCTION("IFERROR(IF($I19="""","""",IF(VLOOKUP(LEFT(AB$37,SEARCH(""☃"",SUBSTITUTE(AB$37,"" "",""☃"",LEN(AB$37)-LEN(SUBSTITUTE(AB$37,"" "",""""))))-1),Excepciones!$A:$B,2,0)&gt;=0,IFERROR(INDEX(filter(Precios!$D:$D,(Precios!$A:$A&lt;=$I19)*(Precios!$B:$B&gt;=$I19)*(Precios!$"&amp;"C:$C=AB$37)),1)*1,""No asegurable""),""No asegurable"")),"""")"),"")</f>
        <v/>
      </c>
      <c r="AC88" s="49" t="str">
        <f>IFERROR(__xludf.DUMMYFUNCTION("IFERROR(IF($I19="""","""",IF(VLOOKUP(LEFT(AC$37,SEARCH(""☃"",SUBSTITUTE(AC$37,"" "",""☃"",LEN(AC$37)-LEN(SUBSTITUTE(AC$37,"" "",""""))))-1),Excepciones!$A:$B,2,0)&gt;=0,IFERROR(INDEX(filter(Precios!$D:$D,(Precios!$A:$A&lt;=$I19)*(Precios!$B:$B&gt;=$I19)*(Precios!$"&amp;"C:$C=AC$37)),1)*1,""No asegurable""),""No asegurable"")),"""")"),"")</f>
        <v/>
      </c>
      <c r="AD88" s="5"/>
      <c r="AE88" s="5"/>
      <c r="AF88" s="5"/>
      <c r="AG88" s="5"/>
      <c r="AH88" s="125"/>
      <c r="AI88" s="125"/>
      <c r="AJ88" s="5"/>
      <c r="AK88" s="125"/>
      <c r="AL88" s="125"/>
    </row>
    <row r="89" ht="27.75" customHeight="1">
      <c r="L89" s="126">
        <v>15.0</v>
      </c>
      <c r="M89" s="127"/>
      <c r="N89" s="128" t="str">
        <f>IF(OR(N71="",N71=0),"",N71+(VLOOKUP(COUNT($I$6:$I$13),Precios!$F:$H,2,0)))</f>
        <v/>
      </c>
      <c r="O89" s="128" t="str">
        <f>IF(OR(O71="",O71=0),"",O71+(VLOOKUP(COUNT($I$6:$I$13),Precios!$F:$H,2,0)))</f>
        <v/>
      </c>
      <c r="P89" s="128" t="str">
        <f>IFERROR(__xludf.DUMMYFUNCTION("IFERROR(IF($K$10=""Sí"","""",IF($I20="""","""",IF(VLOOKUP(LEFT(P$37,SEARCH(""☃"",SUBSTITUTE(P$37,"" "",""☃"",LEN(P$37)-LEN(SUBSTITUTE(P$37,"" "",""""))))-1),Excepciones!$A:$B,2,0)&gt;=0,IF(INDEX(FILTER(Precios!$D:$D,(Precios!$A:$A&lt;=$I20)*(Precios!$B:$B&gt;=$I20"&amp;")*(Precios!$C:$C=P$37)),1)*IF(COUNT($I$6:$I$13)&gt;=5,0.85,IF(COUNT($I$6:$I$13)&gt;=4,0.9,IF(COUNT($I$6:$I$13)&gt;=3,0.95,1)))=0,"""",INDEX(FILTER(Precios!$D:$D,(Precios!$A:$A&lt;=$I20)*(Precios!$B:$B&gt;=$I20)*(Precios!$C:$C=P$37)),1)*IF(COUNT($I$6:$I$13)&gt;=5,0.85,IF(CO"&amp;"UNT($I$6:$I$13)&gt;=4,0.9,IF(COUNT($I$6:$I$13)&gt;=3,0.95,1)))),""""))), """")
"),"")</f>
        <v/>
      </c>
      <c r="Q89" s="128" t="str">
        <f>IF(OR(Q71="",Q71=0),"",Q71+(VLOOKUP(COUNT($I$6:$I$13),Precios!$F:$H,2,0)))</f>
        <v/>
      </c>
      <c r="R89" s="128" t="str">
        <f>IF(OR(R71="",R71=0),"",R71+(VLOOKUP(COUNT($I$6:$I$13),Precios!$F:$H,2,0)))</f>
        <v/>
      </c>
      <c r="S89" s="128" t="str">
        <f>IFERROR(__xludf.DUMMYFUNCTION("IFERROR(IF($K$10=""Sí"","""",IF($I20="""","""",IF(VLOOKUP(LEFT(S$37,SEARCH(""☃"",SUBSTITUTE(S$37,"" "",""☃"",LEN(S$37)-LEN(SUBSTITUTE(S$37,"" "",""""))))-1),Excepciones!$A:$B,2,0)&gt;=0,IF(INDEX(FILTER(Precios!$D:$D,(Precios!$A:$A&lt;=$I20)*(Precios!$B:$B&gt;=$I20"&amp;")*(Precios!$C:$C=S$37)),1)*IF(COUNT($I$6:$I$13)&gt;=5,0.85,IF(COUNT($I$6:$I$13)&gt;=4,0.9,IF(COUNT($I$6:$I$13)&gt;=3,0.95,1)))=0,"""",INDEX(FILTER(Precios!$D:$D,(Precios!$A:$A&lt;=$I20)*(Precios!$B:$B&gt;=$I20)*(Precios!$C:$C=S$37)),1)*IF(COUNT($I$6:$I$13)&gt;=5,0.85,IF(CO"&amp;"UNT($I$6:$I$13)&gt;=4,0.9,IF(COUNT($I$6:$I$13)&gt;=3,0.95,1)))),""""))), """")
"),"")</f>
        <v/>
      </c>
      <c r="T89" s="128" t="str">
        <f>IFERROR(__xludf.DUMMYFUNCTION("IFERROR(IF($I20="""","""",IF(VLOOKUP(LEFT(T$37,SEARCH(""☃"",SUBSTITUTE(T$37,"" "",""☃"",LEN(T$37)-LEN(SUBSTITUTE(T$37,"" "",""""))))-1),Excepciones!$A:$B,2,0)&gt;=0,IFERROR((INDEX(filter(Precios!$D:$D,(Precios!$A:$A&lt;=$I20)*(Precios!$B:$B&gt;=$I20)*(Precios!$C:$"&amp;"C=T$37)),1)+VLOOKUP(COUNT($I$6:$I$13),Precios!$F:$G,2,0)),""""),"""")),"""")"),"")</f>
        <v/>
      </c>
      <c r="U89" s="128" t="str">
        <f>IF(OR(U71="",U71=0),"",U71+(VLOOKUP(COUNT($I$6:$I$13),Precios!$F:$H,2,0)))</f>
        <v/>
      </c>
      <c r="V89" s="128" t="str">
        <f>IFERROR(__xludf.DUMMYFUNCTION("IFERROR(IF($K$10=""Sí"","""",IF($I20="""","""",IF(VLOOKUP(LEFT(V$37,SEARCH(""☃"",SUBSTITUTE(V$37,"" "",""☃"",LEN(V$37)-LEN(SUBSTITUTE(V$37,"" "",""""))))-1),Excepciones!$A:$B,2,0)&gt;=0,IF(INDEX(FILTER(Precios!$D:$D,(Precios!$A:$A&lt;=$I20)*(Precios!$B:$B&gt;=$I20"&amp;")*(Precios!$C:$C=V$37)),1)*IF(COUNT($I$6:$I$13)&gt;=5,0.85,IF(COUNT($I$6:$I$13)&gt;=4,0.9,IF(COUNT($I$6:$I$13)&gt;=3,0.95,1)))=0,"""",INDEX(FILTER(Precios!$D:$D,(Precios!$A:$A&lt;=$I20)*(Precios!$B:$B&gt;=$I20)*(Precios!$C:$C=V$37)),1)*IF(COUNT($I$6:$I$13)&gt;=5,0.85,IF(CO"&amp;"UNT($I$6:$I$13)&gt;=4,0.9,IF(COUNT($I$6:$I$13)&gt;=3,0.95,1)))),""""))), """")
"),"")</f>
        <v/>
      </c>
      <c r="W89" s="128" t="str">
        <f>IFERROR(__xludf.DUMMYFUNCTION("IFERROR(IF($I20="""","""",IF(VLOOKUP(LEFT(W$37,SEARCH(""☃"",SUBSTITUTE(W$37,"" "",""☃"",LEN(W$37)-LEN(SUBSTITUTE(W$37,"" "",""""))))-1),Excepciones!$A:$B,2,0)&gt;=0,IFERROR((INDEX(filter(Precios!$D:$D,(Precios!$A:$A&lt;=$I20)*(Precios!$B:$B&gt;=$I20)*(Precios!$C:$"&amp;"C=W$37)),1)+VLOOKUP(COUNT($I$6:$I$13),Precios!$F:$G,2,0)),""No asegurable""),""No asegurable"")),"""")"),"")</f>
        <v/>
      </c>
      <c r="X89" s="131" t="str">
        <f>IFERROR(__xludf.DUMMYFUNCTION("IF($K$10=""Sí"","""",IFERROR(IF($I20="""","""",IF(VLOOKUP(LEFT(X$37,SEARCH(""☃"",SUBSTITUTE(X$37,"" "",""☃"",LEN(X$37)-LEN(SUBSTITUTE(X$37,"" "",""""))))-1),Excepciones!$A:$B,2,0)&gt;=0,IFERROR(INDEX(filter(Precios!$D:$D,(Precios!$A:$A&lt;=$I20)*(Precios!$B:$B&gt;"&amp;"=$I20)*(Precios!$C:$C=X$37)),1),""No asegurable""),""No asegurable"")),""""))"),"")</f>
        <v/>
      </c>
      <c r="Y89" s="128" t="str">
        <f>IFERROR(__xludf.DUMMYFUNCTION("IFERROR(IF($I20="""","""",IF(VLOOKUP(LEFT(Y$37,SEARCH(""☃"",SUBSTITUTE(Y$37,"" "",""☃"",LEN(Y$37)-LEN(SUBSTITUTE(Y$37,"" "",""""))))-1),Excepciones!$A:$B,2,0)&gt;=0,IFERROR(INDEX(filter(Precios!$D:$D,(Precios!$A:$A&lt;=$I20)*(Precios!$B:$B&gt;=$I20)*(Precios!$C:$C"&amp;"=Y$37)),1)*1,""No asegurable""),""No asegurable"")),"""")"),"")</f>
        <v/>
      </c>
      <c r="Z89" s="128" t="str">
        <f>IFERROR(__xludf.DUMMYFUNCTION("IFERROR(IF($I20="""","""",IF(VLOOKUP(LEFT(Z$37,SEARCH(""☃"",SUBSTITUTE(Z$37,"" "",""☃"",LEN(Z$37)-LEN(SUBSTITUTE(Z$37,"" "",""""))))-1),Excepciones!$A:$B,2,0)&gt;=0,IFERROR(INDEX(filter(Precios!$D:$D,(Precios!$A:$A&lt;=$I20)*(Precios!$B:$B&gt;=$I20)*(Precios!$C:$C"&amp;"=Z$37)),1)*1,""No asegurable""),""No asegurable"")),"""")"),"")</f>
        <v/>
      </c>
      <c r="AA89" s="128" t="str">
        <f>IFERROR(__xludf.DUMMYFUNCTION("IFERROR(IF($I20="""","""",IF(VLOOKUP(LEFT(AA$37,SEARCH(""☃"",SUBSTITUTE(AA$37,"" "",""☃"",LEN(AA$37)-LEN(SUBSTITUTE(AA$37,"" "",""""))))-1),Excepciones!$A:$B,2,0)&gt;=0,IFERROR(INDEX(filter(Precios!$D:$D,(Precios!$A:$A&lt;=$I20)*(Precios!$B:$B&gt;=$I20)*(Precios!$"&amp;"C:$C=AA$37)),1)*1,""No asegurable""),""No asegurable"")),"""")"),"")</f>
        <v/>
      </c>
      <c r="AB89" s="128" t="str">
        <f>IFERROR(__xludf.DUMMYFUNCTION("IFERROR(IF($I20="""","""",IF(VLOOKUP(LEFT(AB$37,SEARCH(""☃"",SUBSTITUTE(AB$37,"" "",""☃"",LEN(AB$37)-LEN(SUBSTITUTE(AB$37,"" "",""""))))-1),Excepciones!$A:$B,2,0)&gt;=0,IFERROR(INDEX(filter(Precios!$D:$D,(Precios!$A:$A&lt;=$I20)*(Precios!$B:$B&gt;=$I20)*(Precios!$"&amp;"C:$C=AB$37)),1)*1,""No asegurable""),""No asegurable"")),"""")"),"")</f>
        <v/>
      </c>
      <c r="AC89" s="143" t="str">
        <f>IFERROR(__xludf.DUMMYFUNCTION("IFERROR(IF($I20="""","""",IF(VLOOKUP(LEFT(AC$37,SEARCH(""☃"",SUBSTITUTE(AC$37,"" "",""☃"",LEN(AC$37)-LEN(SUBSTITUTE(AC$37,"" "",""""))))-1),Excepciones!$A:$B,2,0)&gt;=0,IFERROR(INDEX(filter(Precios!$D:$D,(Precios!$A:$A&lt;=$I20)*(Precios!$B:$B&gt;=$I20)*(Precios!$"&amp;"C:$C=AC$37)),1)*1,""No asegurable""),""No asegurable"")),"""")"),"")</f>
        <v/>
      </c>
      <c r="AD89" s="5"/>
      <c r="AE89" s="5"/>
      <c r="AF89" s="5"/>
      <c r="AG89" s="5"/>
      <c r="AH89" s="125"/>
      <c r="AI89" s="125"/>
      <c r="AJ89" s="5"/>
      <c r="AK89" s="125"/>
      <c r="AL89" s="125"/>
    </row>
    <row r="90" hidden="1">
      <c r="AD90" s="5"/>
      <c r="AE90" s="5"/>
      <c r="AF90" s="5"/>
      <c r="AG90" s="5"/>
      <c r="AH90" s="125"/>
      <c r="AI90" s="125"/>
      <c r="AJ90" s="5"/>
      <c r="AK90" s="125"/>
      <c r="AL90" s="125"/>
    </row>
    <row r="91" hidden="1">
      <c r="AD91" s="5"/>
      <c r="AE91" s="5"/>
      <c r="AF91" s="5"/>
      <c r="AG91" s="5"/>
      <c r="AH91" s="125"/>
      <c r="AI91" s="125"/>
      <c r="AJ91" s="5"/>
      <c r="AK91" s="125"/>
      <c r="AL91" s="125"/>
    </row>
    <row r="92" hidden="1"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125"/>
      <c r="AI92" s="125"/>
      <c r="AJ92" s="5"/>
      <c r="AK92" s="125"/>
      <c r="AL92" s="125"/>
    </row>
    <row r="93" hidden="1"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125"/>
      <c r="AI93" s="125"/>
      <c r="AJ93" s="5"/>
      <c r="AK93" s="125"/>
      <c r="AL93" s="125"/>
    </row>
    <row r="94" hidden="1"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125"/>
      <c r="AI94" s="125"/>
      <c r="AJ94" s="5"/>
      <c r="AK94" s="125"/>
      <c r="AL94" s="125"/>
    </row>
    <row r="95" hidden="1"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125"/>
      <c r="AI95" s="125"/>
      <c r="AJ95" s="5"/>
      <c r="AK95" s="125"/>
      <c r="AL95" s="125"/>
    </row>
    <row r="96" hidden="1"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125"/>
      <c r="AI96" s="125"/>
      <c r="AJ96" s="5"/>
      <c r="AK96" s="125"/>
      <c r="AL96" s="125"/>
    </row>
    <row r="97" hidden="1"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125"/>
      <c r="AI97" s="125"/>
      <c r="AJ97" s="5"/>
      <c r="AK97" s="125"/>
      <c r="AL97" s="125"/>
    </row>
    <row r="98" hidden="1"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125"/>
      <c r="AI98" s="125"/>
      <c r="AJ98" s="5"/>
      <c r="AK98" s="125"/>
      <c r="AL98" s="125"/>
    </row>
    <row r="99" hidden="1"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125"/>
      <c r="AI99" s="125"/>
      <c r="AJ99" s="5"/>
      <c r="AK99" s="125"/>
      <c r="AL99" s="125"/>
    </row>
    <row r="100" hidden="1"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125"/>
      <c r="AI100" s="125"/>
      <c r="AJ100" s="5"/>
      <c r="AK100" s="125"/>
      <c r="AL100" s="125"/>
    </row>
    <row r="101" hidden="1"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125"/>
      <c r="AI101" s="125"/>
      <c r="AJ101" s="5"/>
      <c r="AK101" s="125"/>
      <c r="AL101" s="125"/>
    </row>
    <row r="102" hidden="1"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125"/>
      <c r="AI102" s="125"/>
      <c r="AJ102" s="5"/>
      <c r="AK102" s="125"/>
      <c r="AL102" s="125"/>
    </row>
    <row r="103" hidden="1"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125"/>
      <c r="AI103" s="125"/>
      <c r="AJ103" s="5"/>
      <c r="AK103" s="125"/>
      <c r="AL103" s="125"/>
    </row>
    <row r="104" hidden="1"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125"/>
      <c r="AI104" s="125"/>
      <c r="AJ104" s="5"/>
      <c r="AK104" s="125"/>
      <c r="AL104" s="125"/>
    </row>
    <row r="105" hidden="1"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125"/>
      <c r="AI105" s="125"/>
      <c r="AJ105" s="5"/>
      <c r="AK105" s="125"/>
      <c r="AL105" s="125"/>
    </row>
    <row r="106" hidden="1"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125"/>
      <c r="AI106" s="125"/>
      <c r="AJ106" s="5"/>
      <c r="AK106" s="125"/>
      <c r="AL106" s="125"/>
    </row>
    <row r="107" hidden="1"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125"/>
      <c r="AI107" s="125"/>
      <c r="AJ107" s="5"/>
      <c r="AK107" s="125"/>
      <c r="AL107" s="125"/>
    </row>
    <row r="108" hidden="1"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125"/>
      <c r="AI108" s="125"/>
      <c r="AJ108" s="5"/>
      <c r="AK108" s="125"/>
      <c r="AL108" s="125"/>
    </row>
    <row r="109" hidden="1"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125"/>
      <c r="AI109" s="125"/>
      <c r="AJ109" s="5"/>
      <c r="AK109" s="125"/>
      <c r="AL109" s="125"/>
    </row>
    <row r="110" hidden="1"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125"/>
      <c r="AI110" s="125"/>
      <c r="AJ110" s="5"/>
      <c r="AK110" s="125"/>
      <c r="AL110" s="125"/>
    </row>
    <row r="111" hidden="1"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125"/>
      <c r="AI111" s="125"/>
      <c r="AJ111" s="5"/>
      <c r="AK111" s="125"/>
      <c r="AL111" s="125"/>
    </row>
    <row r="112" hidden="1"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125"/>
      <c r="AI112" s="125"/>
      <c r="AJ112" s="5"/>
      <c r="AK112" s="125"/>
      <c r="AL112" s="125"/>
    </row>
    <row r="113" hidden="1"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125"/>
      <c r="AI113" s="125"/>
      <c r="AJ113" s="5"/>
      <c r="AK113" s="125"/>
      <c r="AL113" s="125"/>
    </row>
    <row r="114" hidden="1"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125"/>
      <c r="AI114" s="125"/>
      <c r="AJ114" s="5"/>
      <c r="AK114" s="125"/>
      <c r="AL114" s="125"/>
    </row>
    <row r="115" hidden="1"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125"/>
      <c r="AI115" s="125"/>
      <c r="AJ115" s="5"/>
      <c r="AK115" s="125"/>
      <c r="AL115" s="125"/>
    </row>
    <row r="116" hidden="1"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125"/>
      <c r="AI116" s="125"/>
      <c r="AJ116" s="5"/>
      <c r="AK116" s="125"/>
      <c r="AL116" s="125"/>
    </row>
    <row r="117" hidden="1"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125"/>
      <c r="AI117" s="125"/>
      <c r="AJ117" s="5"/>
      <c r="AK117" s="125"/>
      <c r="AL117" s="125"/>
    </row>
    <row r="118" hidden="1"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125"/>
      <c r="AI118" s="125"/>
      <c r="AJ118" s="5"/>
      <c r="AK118" s="125"/>
      <c r="AL118" s="125"/>
    </row>
    <row r="119" hidden="1"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125"/>
      <c r="AI119" s="125"/>
      <c r="AJ119" s="5"/>
      <c r="AK119" s="125"/>
      <c r="AL119" s="125"/>
    </row>
    <row r="120" hidden="1"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125"/>
      <c r="AI120" s="125"/>
      <c r="AJ120" s="5"/>
      <c r="AK120" s="125"/>
      <c r="AL120" s="125"/>
    </row>
    <row r="121" hidden="1"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125"/>
      <c r="AI121" s="125"/>
      <c r="AJ121" s="5"/>
      <c r="AK121" s="125"/>
      <c r="AL121" s="125"/>
    </row>
    <row r="122" hidden="1"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125"/>
      <c r="AI122" s="125"/>
      <c r="AJ122" s="5"/>
      <c r="AK122" s="125"/>
      <c r="AL122" s="125"/>
    </row>
    <row r="123" hidden="1"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125"/>
      <c r="AI123" s="125"/>
      <c r="AJ123" s="5"/>
      <c r="AK123" s="125"/>
      <c r="AL123" s="125"/>
    </row>
    <row r="124" hidden="1"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125"/>
      <c r="AI124" s="125"/>
      <c r="AJ124" s="5"/>
      <c r="AK124" s="125"/>
      <c r="AL124" s="125"/>
    </row>
    <row r="125" hidden="1"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125"/>
      <c r="AI125" s="125"/>
      <c r="AJ125" s="5"/>
      <c r="AK125" s="125"/>
      <c r="AL125" s="125"/>
    </row>
    <row r="126" hidden="1"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125"/>
      <c r="AI126" s="125"/>
      <c r="AJ126" s="5"/>
      <c r="AK126" s="125"/>
      <c r="AL126" s="125"/>
    </row>
    <row r="127" hidden="1"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125"/>
      <c r="AI127" s="125"/>
      <c r="AJ127" s="5"/>
      <c r="AK127" s="125"/>
      <c r="AL127" s="125"/>
    </row>
    <row r="128" hidden="1"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125"/>
      <c r="AI128" s="125"/>
      <c r="AJ128" s="5"/>
      <c r="AK128" s="125"/>
      <c r="AL128" s="125"/>
    </row>
    <row r="129" hidden="1"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125"/>
      <c r="AI129" s="125"/>
      <c r="AJ129" s="5"/>
      <c r="AK129" s="125"/>
      <c r="AL129" s="125"/>
    </row>
    <row r="130" hidden="1"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125"/>
      <c r="AI130" s="125"/>
      <c r="AJ130" s="5"/>
      <c r="AK130" s="125"/>
      <c r="AL130" s="125"/>
    </row>
    <row r="131" hidden="1"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125"/>
      <c r="AI131" s="125"/>
      <c r="AJ131" s="5"/>
      <c r="AK131" s="125"/>
      <c r="AL131" s="125"/>
    </row>
    <row r="132" hidden="1"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125"/>
      <c r="AI132" s="125"/>
      <c r="AJ132" s="5"/>
      <c r="AK132" s="125"/>
      <c r="AL132" s="125"/>
    </row>
    <row r="133" hidden="1"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125"/>
      <c r="AI133" s="125"/>
      <c r="AJ133" s="5"/>
      <c r="AK133" s="125"/>
      <c r="AL133" s="125"/>
    </row>
    <row r="134" hidden="1"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125"/>
      <c r="AI134" s="125"/>
      <c r="AJ134" s="5"/>
      <c r="AK134" s="125"/>
      <c r="AL134" s="125"/>
    </row>
    <row r="135" hidden="1"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125"/>
      <c r="AI135" s="125"/>
      <c r="AJ135" s="5"/>
      <c r="AK135" s="125"/>
      <c r="AL135" s="125"/>
    </row>
    <row r="136" hidden="1"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125"/>
      <c r="AI136" s="125"/>
      <c r="AJ136" s="5"/>
      <c r="AK136" s="125"/>
      <c r="AL136" s="125"/>
    </row>
    <row r="137" hidden="1"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125"/>
      <c r="AI137" s="125"/>
      <c r="AJ137" s="5"/>
      <c r="AK137" s="125"/>
      <c r="AL137" s="125"/>
    </row>
    <row r="138" hidden="1"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125"/>
      <c r="AI138" s="125"/>
      <c r="AJ138" s="5"/>
      <c r="AK138" s="125"/>
      <c r="AL138" s="125"/>
    </row>
    <row r="139" hidden="1"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125"/>
      <c r="AI139" s="125"/>
      <c r="AJ139" s="5"/>
      <c r="AK139" s="125"/>
      <c r="AL139" s="125"/>
    </row>
    <row r="140" hidden="1"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125"/>
      <c r="AI140" s="125"/>
      <c r="AJ140" s="5"/>
      <c r="AK140" s="125"/>
      <c r="AL140" s="125"/>
    </row>
    <row r="141" hidden="1"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125"/>
      <c r="AI141" s="125"/>
      <c r="AJ141" s="5"/>
      <c r="AK141" s="125"/>
      <c r="AL141" s="125"/>
    </row>
    <row r="142" hidden="1"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125"/>
      <c r="AI142" s="125"/>
      <c r="AJ142" s="5"/>
      <c r="AK142" s="125"/>
      <c r="AL142" s="125"/>
    </row>
    <row r="143" hidden="1"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125"/>
      <c r="AI143" s="125"/>
      <c r="AJ143" s="5"/>
      <c r="AK143" s="125"/>
      <c r="AL143" s="125"/>
    </row>
    <row r="144" hidden="1"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125"/>
      <c r="AI144" s="125"/>
      <c r="AJ144" s="5"/>
      <c r="AK144" s="125"/>
      <c r="AL144" s="125"/>
    </row>
    <row r="145" hidden="1"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125"/>
      <c r="AI145" s="125"/>
      <c r="AJ145" s="5"/>
      <c r="AK145" s="125"/>
      <c r="AL145" s="125"/>
    </row>
    <row r="146" hidden="1"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125"/>
      <c r="AI146" s="125"/>
      <c r="AJ146" s="5"/>
      <c r="AK146" s="125"/>
      <c r="AL146" s="125"/>
    </row>
    <row r="147" hidden="1"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125"/>
      <c r="AI147" s="125"/>
      <c r="AJ147" s="5"/>
      <c r="AK147" s="125"/>
      <c r="AL147" s="125"/>
    </row>
    <row r="148" hidden="1"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125"/>
      <c r="AI148" s="125"/>
      <c r="AJ148" s="5"/>
      <c r="AK148" s="125"/>
      <c r="AL148" s="125"/>
    </row>
    <row r="149" hidden="1"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125"/>
      <c r="AI149" s="125"/>
      <c r="AJ149" s="5"/>
      <c r="AK149" s="125"/>
      <c r="AL149" s="125"/>
    </row>
    <row r="150" hidden="1"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125"/>
      <c r="AI150" s="125"/>
      <c r="AJ150" s="5"/>
      <c r="AK150" s="125"/>
      <c r="AL150" s="125"/>
    </row>
    <row r="151" hidden="1"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125"/>
      <c r="AI151" s="125"/>
      <c r="AJ151" s="5"/>
      <c r="AK151" s="125"/>
      <c r="AL151" s="125"/>
    </row>
    <row r="152" hidden="1"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125"/>
      <c r="AI152" s="125"/>
      <c r="AJ152" s="5"/>
      <c r="AK152" s="125"/>
      <c r="AL152" s="125"/>
    </row>
    <row r="153" hidden="1"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125"/>
      <c r="AI153" s="125"/>
      <c r="AJ153" s="5"/>
      <c r="AK153" s="125"/>
      <c r="AL153" s="125"/>
    </row>
    <row r="154" hidden="1"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125"/>
      <c r="AI154" s="125"/>
      <c r="AJ154" s="5"/>
      <c r="AK154" s="125"/>
      <c r="AL154" s="125"/>
    </row>
    <row r="155" hidden="1"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125"/>
      <c r="AI155" s="125"/>
      <c r="AJ155" s="5"/>
      <c r="AK155" s="125"/>
      <c r="AL155" s="125"/>
    </row>
    <row r="156" hidden="1"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125"/>
      <c r="AI156" s="125"/>
      <c r="AJ156" s="5"/>
      <c r="AK156" s="125"/>
      <c r="AL156" s="125"/>
    </row>
    <row r="157" hidden="1"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125"/>
      <c r="AI157" s="125"/>
      <c r="AJ157" s="5"/>
      <c r="AK157" s="125"/>
      <c r="AL157" s="125"/>
    </row>
    <row r="158" hidden="1"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125"/>
      <c r="AI158" s="125"/>
      <c r="AJ158" s="5"/>
      <c r="AK158" s="125"/>
      <c r="AL158" s="125"/>
    </row>
    <row r="159" hidden="1"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125"/>
      <c r="AI159" s="125"/>
      <c r="AJ159" s="5"/>
      <c r="AK159" s="125"/>
      <c r="AL159" s="125"/>
    </row>
    <row r="160" hidden="1"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125"/>
      <c r="AI160" s="125"/>
      <c r="AJ160" s="5"/>
      <c r="AK160" s="125"/>
      <c r="AL160" s="125"/>
    </row>
    <row r="161" hidden="1"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125"/>
      <c r="AI161" s="125"/>
      <c r="AJ161" s="5"/>
      <c r="AK161" s="125"/>
      <c r="AL161" s="125"/>
    </row>
    <row r="162" hidden="1"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125"/>
      <c r="AI162" s="125"/>
      <c r="AJ162" s="5"/>
      <c r="AK162" s="125"/>
      <c r="AL162" s="125"/>
    </row>
    <row r="163" hidden="1"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125"/>
      <c r="AI163" s="125"/>
      <c r="AJ163" s="5"/>
      <c r="AK163" s="125"/>
      <c r="AL163" s="125"/>
    </row>
    <row r="164" hidden="1"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125"/>
      <c r="AI164" s="125"/>
      <c r="AJ164" s="5"/>
      <c r="AK164" s="125"/>
      <c r="AL164" s="125"/>
    </row>
    <row r="165" hidden="1"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125"/>
      <c r="AI165" s="125"/>
      <c r="AJ165" s="5"/>
      <c r="AK165" s="125"/>
      <c r="AL165" s="125"/>
    </row>
    <row r="166" hidden="1"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125"/>
      <c r="AI166" s="125"/>
      <c r="AJ166" s="5"/>
      <c r="AK166" s="125"/>
      <c r="AL166" s="125"/>
    </row>
    <row r="167" hidden="1"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125"/>
      <c r="AI167" s="125"/>
      <c r="AJ167" s="5"/>
      <c r="AK167" s="125"/>
      <c r="AL167" s="125"/>
    </row>
    <row r="168" hidden="1"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125"/>
      <c r="AI168" s="125"/>
      <c r="AJ168" s="5"/>
      <c r="AK168" s="125"/>
      <c r="AL168" s="125"/>
    </row>
    <row r="169" hidden="1"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125"/>
      <c r="AI169" s="125"/>
      <c r="AJ169" s="5"/>
      <c r="AK169" s="125"/>
      <c r="AL169" s="125"/>
    </row>
    <row r="170" hidden="1"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125"/>
      <c r="AI170" s="125"/>
      <c r="AJ170" s="5"/>
      <c r="AK170" s="125"/>
      <c r="AL170" s="125"/>
    </row>
    <row r="171" hidden="1"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125"/>
      <c r="AI171" s="125"/>
      <c r="AJ171" s="5"/>
      <c r="AK171" s="125"/>
      <c r="AL171" s="125"/>
    </row>
    <row r="172" hidden="1"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125"/>
      <c r="AI172" s="125"/>
      <c r="AJ172" s="5"/>
      <c r="AK172" s="125"/>
      <c r="AL172" s="125"/>
    </row>
    <row r="173" hidden="1"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125"/>
      <c r="AI173" s="125"/>
      <c r="AJ173" s="5"/>
      <c r="AK173" s="125"/>
      <c r="AL173" s="125"/>
    </row>
    <row r="174" hidden="1"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125"/>
      <c r="AI174" s="125"/>
      <c r="AJ174" s="5"/>
      <c r="AK174" s="125"/>
      <c r="AL174" s="125"/>
    </row>
    <row r="175" hidden="1"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125"/>
      <c r="AI175" s="125"/>
      <c r="AJ175" s="5"/>
      <c r="AK175" s="125"/>
      <c r="AL175" s="125"/>
    </row>
    <row r="176" hidden="1"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125"/>
      <c r="AI176" s="125"/>
      <c r="AJ176" s="5"/>
      <c r="AK176" s="125"/>
      <c r="AL176" s="125"/>
    </row>
    <row r="177" hidden="1"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125"/>
      <c r="AI177" s="125"/>
      <c r="AJ177" s="5"/>
      <c r="AK177" s="125"/>
      <c r="AL177" s="125"/>
    </row>
    <row r="178" hidden="1"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125"/>
      <c r="AI178" s="125"/>
      <c r="AJ178" s="5"/>
      <c r="AK178" s="125"/>
      <c r="AL178" s="125"/>
    </row>
    <row r="179" hidden="1"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125"/>
      <c r="AI179" s="125"/>
      <c r="AJ179" s="5"/>
      <c r="AK179" s="125"/>
      <c r="AL179" s="125"/>
    </row>
    <row r="180" hidden="1"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125"/>
      <c r="AI180" s="125"/>
      <c r="AJ180" s="5"/>
      <c r="AK180" s="125"/>
      <c r="AL180" s="125"/>
    </row>
    <row r="181" hidden="1"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125"/>
      <c r="AI181" s="125"/>
      <c r="AJ181" s="5"/>
      <c r="AK181" s="125"/>
      <c r="AL181" s="125"/>
    </row>
    <row r="182" hidden="1"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125"/>
      <c r="AI182" s="125"/>
      <c r="AJ182" s="5"/>
      <c r="AK182" s="125"/>
      <c r="AL182" s="125"/>
    </row>
    <row r="183" hidden="1"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125"/>
      <c r="AI183" s="125"/>
      <c r="AJ183" s="5"/>
      <c r="AK183" s="125"/>
      <c r="AL183" s="125"/>
    </row>
    <row r="184" hidden="1"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125"/>
      <c r="AI184" s="125"/>
      <c r="AJ184" s="5"/>
      <c r="AK184" s="125"/>
      <c r="AL184" s="125"/>
    </row>
    <row r="185" hidden="1"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125"/>
      <c r="AI185" s="125"/>
      <c r="AJ185" s="5"/>
      <c r="AK185" s="125"/>
      <c r="AL185" s="125"/>
    </row>
    <row r="186" hidden="1"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125"/>
      <c r="AI186" s="125"/>
      <c r="AJ186" s="5"/>
      <c r="AK186" s="125"/>
      <c r="AL186" s="125"/>
    </row>
    <row r="187" hidden="1"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125"/>
      <c r="AI187" s="125"/>
      <c r="AJ187" s="5"/>
      <c r="AK187" s="125"/>
      <c r="AL187" s="125"/>
    </row>
    <row r="188" hidden="1"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125"/>
      <c r="AI188" s="125"/>
      <c r="AJ188" s="5"/>
      <c r="AK188" s="125"/>
      <c r="AL188" s="125"/>
    </row>
    <row r="189" hidden="1"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125"/>
      <c r="AI189" s="125"/>
      <c r="AJ189" s="5"/>
      <c r="AK189" s="125"/>
      <c r="AL189" s="125"/>
    </row>
    <row r="190" hidden="1"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125"/>
      <c r="AI190" s="125"/>
      <c r="AJ190" s="5"/>
      <c r="AK190" s="125"/>
      <c r="AL190" s="125"/>
    </row>
    <row r="191" hidden="1"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125"/>
      <c r="AI191" s="125"/>
      <c r="AJ191" s="5"/>
      <c r="AK191" s="125"/>
      <c r="AL191" s="125"/>
    </row>
    <row r="192" hidden="1"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125"/>
      <c r="AI192" s="125"/>
      <c r="AJ192" s="5"/>
      <c r="AK192" s="125"/>
      <c r="AL192" s="125"/>
    </row>
    <row r="193" hidden="1"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125"/>
      <c r="AI193" s="125"/>
      <c r="AJ193" s="5"/>
      <c r="AK193" s="125"/>
      <c r="AL193" s="125"/>
    </row>
    <row r="194" hidden="1"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125"/>
      <c r="AI194" s="125"/>
      <c r="AJ194" s="5"/>
      <c r="AK194" s="125"/>
      <c r="AL194" s="125"/>
    </row>
    <row r="195" hidden="1"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125"/>
      <c r="AI195" s="125"/>
      <c r="AJ195" s="5"/>
      <c r="AK195" s="125"/>
      <c r="AL195" s="125"/>
    </row>
    <row r="196" hidden="1"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125"/>
      <c r="AI196" s="125"/>
      <c r="AJ196" s="5"/>
      <c r="AK196" s="125"/>
      <c r="AL196" s="125"/>
    </row>
    <row r="197" hidden="1"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125"/>
      <c r="AI197" s="125"/>
      <c r="AJ197" s="5"/>
      <c r="AK197" s="125"/>
      <c r="AL197" s="125"/>
    </row>
    <row r="198" hidden="1"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125"/>
      <c r="AI198" s="125"/>
      <c r="AJ198" s="5"/>
      <c r="AK198" s="125"/>
      <c r="AL198" s="125"/>
    </row>
    <row r="199" hidden="1"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125"/>
      <c r="AI199" s="125"/>
      <c r="AJ199" s="5"/>
      <c r="AK199" s="125"/>
      <c r="AL199" s="125"/>
    </row>
    <row r="200" hidden="1"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125"/>
      <c r="AI200" s="125"/>
      <c r="AJ200" s="5"/>
      <c r="AK200" s="125"/>
      <c r="AL200" s="125"/>
    </row>
    <row r="201" hidden="1"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125"/>
      <c r="AI201" s="125"/>
      <c r="AJ201" s="5"/>
      <c r="AK201" s="125"/>
      <c r="AL201" s="125"/>
    </row>
    <row r="202" hidden="1"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125"/>
      <c r="AI202" s="125"/>
      <c r="AJ202" s="5"/>
      <c r="AK202" s="125"/>
      <c r="AL202" s="125"/>
    </row>
    <row r="203" hidden="1"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125"/>
      <c r="AI203" s="125"/>
      <c r="AJ203" s="5"/>
      <c r="AK203" s="125"/>
      <c r="AL203" s="125"/>
    </row>
    <row r="204" hidden="1"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125"/>
      <c r="AI204" s="125"/>
      <c r="AJ204" s="5"/>
      <c r="AK204" s="125"/>
      <c r="AL204" s="125"/>
    </row>
    <row r="205" hidden="1"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125"/>
      <c r="AI205" s="125"/>
      <c r="AJ205" s="5"/>
      <c r="AK205" s="125"/>
      <c r="AL205" s="125"/>
    </row>
    <row r="206" hidden="1"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125"/>
      <c r="AI206" s="125"/>
      <c r="AJ206" s="5"/>
      <c r="AK206" s="125"/>
      <c r="AL206" s="125"/>
    </row>
    <row r="207" hidden="1"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125"/>
      <c r="AI207" s="125"/>
      <c r="AJ207" s="5"/>
      <c r="AK207" s="125"/>
      <c r="AL207" s="125"/>
    </row>
    <row r="208" hidden="1"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125"/>
      <c r="AI208" s="125"/>
      <c r="AJ208" s="5"/>
      <c r="AK208" s="125"/>
      <c r="AL208" s="125"/>
    </row>
    <row r="209" hidden="1"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125"/>
      <c r="AI209" s="125"/>
      <c r="AJ209" s="5"/>
      <c r="AK209" s="125"/>
      <c r="AL209" s="125"/>
    </row>
    <row r="210" hidden="1"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125"/>
      <c r="AI210" s="125"/>
      <c r="AJ210" s="5"/>
      <c r="AK210" s="125"/>
      <c r="AL210" s="125"/>
    </row>
    <row r="211" hidden="1"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125"/>
      <c r="AI211" s="125"/>
      <c r="AJ211" s="5"/>
      <c r="AK211" s="125"/>
      <c r="AL211" s="125"/>
    </row>
    <row r="212" hidden="1"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125"/>
      <c r="AI212" s="125"/>
      <c r="AJ212" s="5"/>
      <c r="AK212" s="125"/>
      <c r="AL212" s="125"/>
    </row>
    <row r="213" hidden="1"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125"/>
      <c r="AI213" s="125"/>
      <c r="AJ213" s="5"/>
      <c r="AK213" s="125"/>
      <c r="AL213" s="125"/>
    </row>
    <row r="214" hidden="1"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125"/>
      <c r="AI214" s="125"/>
      <c r="AJ214" s="5"/>
      <c r="AK214" s="125"/>
      <c r="AL214" s="125"/>
    </row>
    <row r="215" hidden="1"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125"/>
      <c r="AI215" s="125"/>
      <c r="AJ215" s="5"/>
      <c r="AK215" s="125"/>
      <c r="AL215" s="125"/>
    </row>
    <row r="216" hidden="1"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125"/>
      <c r="AI216" s="125"/>
      <c r="AJ216" s="5"/>
      <c r="AK216" s="125"/>
      <c r="AL216" s="125"/>
    </row>
    <row r="217" hidden="1"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125"/>
      <c r="AI217" s="125"/>
      <c r="AJ217" s="5"/>
      <c r="AK217" s="125"/>
      <c r="AL217" s="125"/>
    </row>
    <row r="218" hidden="1"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125"/>
      <c r="AI218" s="125"/>
      <c r="AJ218" s="5"/>
      <c r="AK218" s="125"/>
      <c r="AL218" s="125"/>
    </row>
    <row r="219" hidden="1"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125"/>
      <c r="AI219" s="125"/>
      <c r="AJ219" s="5"/>
      <c r="AK219" s="125"/>
      <c r="AL219" s="125"/>
    </row>
    <row r="220" hidden="1"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125"/>
      <c r="AI220" s="125"/>
      <c r="AJ220" s="5"/>
      <c r="AK220" s="125"/>
      <c r="AL220" s="125"/>
    </row>
    <row r="221" hidden="1"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125"/>
      <c r="AI221" s="125"/>
      <c r="AJ221" s="5"/>
      <c r="AK221" s="125"/>
      <c r="AL221" s="125"/>
    </row>
    <row r="222" hidden="1"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125"/>
      <c r="AI222" s="125"/>
      <c r="AJ222" s="5"/>
      <c r="AK222" s="125"/>
      <c r="AL222" s="125"/>
    </row>
    <row r="223" hidden="1"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125"/>
      <c r="AI223" s="125"/>
      <c r="AJ223" s="5"/>
      <c r="AK223" s="125"/>
      <c r="AL223" s="125"/>
    </row>
    <row r="224" hidden="1"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125"/>
      <c r="AI224" s="125"/>
      <c r="AJ224" s="5"/>
      <c r="AK224" s="125"/>
      <c r="AL224" s="125"/>
    </row>
    <row r="225" hidden="1"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125"/>
      <c r="AI225" s="125"/>
      <c r="AJ225" s="5"/>
      <c r="AK225" s="125"/>
      <c r="AL225" s="125"/>
    </row>
    <row r="226" hidden="1"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125"/>
      <c r="AI226" s="125"/>
      <c r="AJ226" s="5"/>
      <c r="AK226" s="125"/>
      <c r="AL226" s="125"/>
    </row>
    <row r="227" hidden="1"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125"/>
      <c r="AI227" s="125"/>
      <c r="AJ227" s="5"/>
      <c r="AK227" s="125"/>
      <c r="AL227" s="125"/>
    </row>
    <row r="228" hidden="1"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125"/>
      <c r="AI228" s="125"/>
      <c r="AJ228" s="5"/>
      <c r="AK228" s="125"/>
      <c r="AL228" s="125"/>
    </row>
    <row r="229" hidden="1"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125"/>
      <c r="AI229" s="125"/>
      <c r="AJ229" s="5"/>
      <c r="AK229" s="125"/>
      <c r="AL229" s="125"/>
    </row>
    <row r="230" hidden="1"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125"/>
      <c r="AI230" s="125"/>
      <c r="AJ230" s="5"/>
      <c r="AK230" s="125"/>
      <c r="AL230" s="125"/>
    </row>
    <row r="231" hidden="1"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125"/>
      <c r="AI231" s="125"/>
      <c r="AJ231" s="5"/>
      <c r="AK231" s="125"/>
      <c r="AL231" s="125"/>
    </row>
    <row r="232" hidden="1"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125"/>
      <c r="AI232" s="125"/>
      <c r="AJ232" s="5"/>
      <c r="AK232" s="125"/>
      <c r="AL232" s="125"/>
    </row>
    <row r="233" hidden="1"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125"/>
      <c r="AI233" s="125"/>
      <c r="AJ233" s="5"/>
      <c r="AK233" s="125"/>
      <c r="AL233" s="125"/>
    </row>
    <row r="234" hidden="1"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125"/>
      <c r="AI234" s="125"/>
      <c r="AJ234" s="5"/>
      <c r="AK234" s="125"/>
      <c r="AL234" s="125"/>
    </row>
    <row r="235" hidden="1"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125"/>
      <c r="AI235" s="125"/>
      <c r="AJ235" s="5"/>
      <c r="AK235" s="125"/>
      <c r="AL235" s="125"/>
    </row>
    <row r="236" hidden="1"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125"/>
      <c r="AI236" s="125"/>
      <c r="AJ236" s="5"/>
      <c r="AK236" s="125"/>
      <c r="AL236" s="125"/>
    </row>
    <row r="237" hidden="1"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125"/>
      <c r="AI237" s="125"/>
      <c r="AJ237" s="5"/>
      <c r="AK237" s="125"/>
      <c r="AL237" s="125"/>
    </row>
    <row r="238" hidden="1"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125"/>
      <c r="AI238" s="125"/>
      <c r="AJ238" s="5"/>
      <c r="AK238" s="125"/>
      <c r="AL238" s="125"/>
    </row>
    <row r="239" hidden="1"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125"/>
      <c r="AI239" s="125"/>
      <c r="AJ239" s="5"/>
      <c r="AK239" s="125"/>
      <c r="AL239" s="125"/>
    </row>
    <row r="240" hidden="1"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125"/>
      <c r="AI240" s="125"/>
      <c r="AJ240" s="5"/>
      <c r="AK240" s="125"/>
      <c r="AL240" s="125"/>
    </row>
    <row r="241" hidden="1"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125"/>
      <c r="AI241" s="125"/>
      <c r="AJ241" s="5"/>
      <c r="AK241" s="125"/>
      <c r="AL241" s="125"/>
    </row>
    <row r="242" hidden="1"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125"/>
      <c r="AI242" s="125"/>
      <c r="AJ242" s="5"/>
      <c r="AK242" s="125"/>
      <c r="AL242" s="125"/>
    </row>
    <row r="243" hidden="1"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125"/>
      <c r="AI243" s="125"/>
      <c r="AJ243" s="5"/>
      <c r="AK243" s="125"/>
      <c r="AL243" s="125"/>
    </row>
    <row r="244" hidden="1"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125"/>
      <c r="AI244" s="125"/>
      <c r="AJ244" s="5"/>
      <c r="AK244" s="125"/>
      <c r="AL244" s="125"/>
    </row>
    <row r="245" hidden="1"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125"/>
      <c r="AI245" s="125"/>
      <c r="AJ245" s="5"/>
      <c r="AK245" s="125"/>
      <c r="AL245" s="125"/>
    </row>
    <row r="246" hidden="1"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125"/>
      <c r="AI246" s="125"/>
      <c r="AJ246" s="5"/>
      <c r="AK246" s="125"/>
      <c r="AL246" s="125"/>
    </row>
    <row r="247" hidden="1"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125"/>
      <c r="AI247" s="125"/>
      <c r="AJ247" s="5"/>
      <c r="AK247" s="125"/>
      <c r="AL247" s="125"/>
    </row>
    <row r="248" hidden="1"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125"/>
      <c r="AI248" s="125"/>
      <c r="AJ248" s="5"/>
      <c r="AK248" s="125"/>
      <c r="AL248" s="125"/>
    </row>
    <row r="249" hidden="1"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125"/>
      <c r="AI249" s="125"/>
      <c r="AJ249" s="5"/>
      <c r="AK249" s="125"/>
      <c r="AL249" s="125"/>
    </row>
    <row r="250" hidden="1"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125"/>
      <c r="AI250" s="125"/>
      <c r="AJ250" s="5"/>
      <c r="AK250" s="125"/>
      <c r="AL250" s="125"/>
    </row>
    <row r="251" hidden="1"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125"/>
      <c r="AI251" s="125"/>
      <c r="AJ251" s="5"/>
      <c r="AK251" s="125"/>
      <c r="AL251" s="125"/>
    </row>
    <row r="252" hidden="1"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125"/>
      <c r="AI252" s="125"/>
      <c r="AJ252" s="5"/>
      <c r="AK252" s="125"/>
      <c r="AL252" s="125"/>
    </row>
    <row r="253" hidden="1"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125"/>
      <c r="AI253" s="125"/>
      <c r="AJ253" s="5"/>
      <c r="AK253" s="125"/>
      <c r="AL253" s="125"/>
    </row>
    <row r="254" hidden="1"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125"/>
      <c r="AI254" s="125"/>
      <c r="AJ254" s="5"/>
      <c r="AK254" s="125"/>
      <c r="AL254" s="125"/>
    </row>
    <row r="255" hidden="1"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125"/>
      <c r="AI255" s="125"/>
      <c r="AJ255" s="5"/>
      <c r="AK255" s="125"/>
      <c r="AL255" s="125"/>
    </row>
    <row r="256" hidden="1"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125"/>
      <c r="AI256" s="125"/>
      <c r="AJ256" s="5"/>
      <c r="AK256" s="125"/>
      <c r="AL256" s="125"/>
    </row>
    <row r="257" hidden="1"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125"/>
      <c r="AI257" s="125"/>
      <c r="AJ257" s="5"/>
      <c r="AK257" s="125"/>
      <c r="AL257" s="125"/>
    </row>
    <row r="258" hidden="1"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125"/>
      <c r="AI258" s="125"/>
      <c r="AJ258" s="5"/>
      <c r="AK258" s="125"/>
      <c r="AL258" s="125"/>
    </row>
    <row r="259" hidden="1"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125"/>
      <c r="AI259" s="125"/>
      <c r="AJ259" s="5"/>
      <c r="AK259" s="125"/>
      <c r="AL259" s="125"/>
    </row>
    <row r="260" hidden="1"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125"/>
      <c r="AI260" s="125"/>
      <c r="AJ260" s="5"/>
      <c r="AK260" s="125"/>
      <c r="AL260" s="125"/>
    </row>
    <row r="261" hidden="1"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125"/>
      <c r="AI261" s="125"/>
      <c r="AJ261" s="5"/>
      <c r="AK261" s="125"/>
      <c r="AL261" s="125"/>
    </row>
    <row r="262" hidden="1"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125"/>
      <c r="AI262" s="125"/>
      <c r="AJ262" s="5"/>
      <c r="AK262" s="125"/>
      <c r="AL262" s="125"/>
    </row>
    <row r="263" hidden="1"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125"/>
      <c r="AI263" s="125"/>
      <c r="AJ263" s="5"/>
      <c r="AK263" s="125"/>
      <c r="AL263" s="125"/>
    </row>
    <row r="264" hidden="1"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125"/>
      <c r="AI264" s="125"/>
      <c r="AJ264" s="5"/>
      <c r="AK264" s="125"/>
      <c r="AL264" s="125"/>
    </row>
    <row r="265" hidden="1"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125"/>
      <c r="AI265" s="125"/>
      <c r="AJ265" s="5"/>
      <c r="AK265" s="125"/>
      <c r="AL265" s="125"/>
    </row>
    <row r="266" hidden="1"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125"/>
      <c r="AI266" s="125"/>
      <c r="AJ266" s="5"/>
      <c r="AK266" s="125"/>
      <c r="AL266" s="125"/>
    </row>
    <row r="267" hidden="1"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125"/>
      <c r="AI267" s="125"/>
      <c r="AJ267" s="5"/>
      <c r="AK267" s="125"/>
      <c r="AL267" s="125"/>
    </row>
    <row r="268" hidden="1"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125"/>
      <c r="AI268" s="125"/>
      <c r="AJ268" s="5"/>
      <c r="AK268" s="125"/>
      <c r="AL268" s="125"/>
    </row>
    <row r="269" hidden="1"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125"/>
      <c r="AI269" s="125"/>
      <c r="AJ269" s="5"/>
      <c r="AK269" s="125"/>
      <c r="AL269" s="125"/>
    </row>
    <row r="270" hidden="1"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125"/>
      <c r="AI270" s="125"/>
      <c r="AJ270" s="5"/>
      <c r="AK270" s="125"/>
      <c r="AL270" s="125"/>
    </row>
    <row r="271" hidden="1"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125"/>
      <c r="AI271" s="125"/>
      <c r="AJ271" s="5"/>
      <c r="AK271" s="125"/>
      <c r="AL271" s="125"/>
    </row>
    <row r="272" hidden="1"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125"/>
      <c r="AI272" s="125"/>
      <c r="AJ272" s="5"/>
      <c r="AK272" s="125"/>
      <c r="AL272" s="125"/>
    </row>
    <row r="273" hidden="1"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125"/>
      <c r="AI273" s="125"/>
      <c r="AJ273" s="5"/>
      <c r="AK273" s="125"/>
      <c r="AL273" s="125"/>
    </row>
    <row r="274" hidden="1"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125"/>
      <c r="AI274" s="125"/>
      <c r="AJ274" s="5"/>
      <c r="AK274" s="125"/>
      <c r="AL274" s="125"/>
    </row>
    <row r="275" hidden="1"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125"/>
      <c r="AI275" s="125"/>
      <c r="AJ275" s="5"/>
      <c r="AK275" s="125"/>
      <c r="AL275" s="125"/>
    </row>
    <row r="276" hidden="1"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125"/>
      <c r="AI276" s="125"/>
      <c r="AJ276" s="5"/>
      <c r="AK276" s="125"/>
      <c r="AL276" s="125"/>
    </row>
    <row r="277" hidden="1"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125"/>
      <c r="AI277" s="125"/>
      <c r="AJ277" s="5"/>
      <c r="AK277" s="125"/>
      <c r="AL277" s="125"/>
    </row>
    <row r="278" hidden="1"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125"/>
      <c r="AI278" s="125"/>
      <c r="AJ278" s="5"/>
      <c r="AK278" s="125"/>
      <c r="AL278" s="125"/>
    </row>
    <row r="279" hidden="1"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125"/>
      <c r="AI279" s="125"/>
      <c r="AJ279" s="5"/>
      <c r="AK279" s="125"/>
      <c r="AL279" s="125"/>
    </row>
    <row r="280" hidden="1"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125"/>
      <c r="AI280" s="125"/>
      <c r="AJ280" s="5"/>
      <c r="AK280" s="125"/>
      <c r="AL280" s="125"/>
    </row>
    <row r="281" hidden="1"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125"/>
      <c r="AI281" s="125"/>
      <c r="AJ281" s="5"/>
      <c r="AK281" s="125"/>
      <c r="AL281" s="125"/>
    </row>
    <row r="282" hidden="1"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125"/>
      <c r="AI282" s="125"/>
      <c r="AJ282" s="5"/>
      <c r="AK282" s="125"/>
      <c r="AL282" s="125"/>
    </row>
    <row r="283" hidden="1"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125"/>
      <c r="AI283" s="125"/>
      <c r="AJ283" s="5"/>
      <c r="AK283" s="125"/>
      <c r="AL283" s="125"/>
    </row>
    <row r="284" hidden="1"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125"/>
      <c r="AI284" s="125"/>
      <c r="AJ284" s="5"/>
      <c r="AK284" s="125"/>
      <c r="AL284" s="125"/>
    </row>
    <row r="285" hidden="1"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125"/>
      <c r="AI285" s="125"/>
      <c r="AJ285" s="5"/>
      <c r="AK285" s="125"/>
      <c r="AL285" s="125"/>
    </row>
    <row r="286" hidden="1"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125"/>
      <c r="AI286" s="125"/>
      <c r="AJ286" s="5"/>
      <c r="AK286" s="125"/>
      <c r="AL286" s="125"/>
    </row>
    <row r="287" hidden="1"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125"/>
      <c r="AI287" s="125"/>
      <c r="AJ287" s="5"/>
      <c r="AK287" s="125"/>
      <c r="AL287" s="125"/>
    </row>
    <row r="288" hidden="1"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125"/>
      <c r="AI288" s="125"/>
      <c r="AJ288" s="5"/>
      <c r="AK288" s="125"/>
      <c r="AL288" s="125"/>
    </row>
    <row r="289" hidden="1"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125"/>
      <c r="AI289" s="125"/>
      <c r="AJ289" s="5"/>
      <c r="AK289" s="125"/>
      <c r="AL289" s="125"/>
    </row>
    <row r="290" hidden="1"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125"/>
      <c r="AI290" s="125"/>
      <c r="AJ290" s="5"/>
      <c r="AK290" s="125"/>
      <c r="AL290" s="125"/>
    </row>
    <row r="291" hidden="1"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125"/>
      <c r="AI291" s="125"/>
      <c r="AJ291" s="5"/>
      <c r="AK291" s="125"/>
      <c r="AL291" s="125"/>
    </row>
    <row r="292" hidden="1"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125"/>
      <c r="AI292" s="125"/>
      <c r="AJ292" s="5"/>
      <c r="AK292" s="125"/>
      <c r="AL292" s="125"/>
    </row>
    <row r="293" hidden="1"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125"/>
      <c r="AI293" s="125"/>
      <c r="AJ293" s="5"/>
      <c r="AK293" s="125"/>
      <c r="AL293" s="125"/>
    </row>
    <row r="294" hidden="1"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125"/>
      <c r="AI294" s="125"/>
      <c r="AJ294" s="5"/>
      <c r="AK294" s="125"/>
      <c r="AL294" s="125"/>
    </row>
    <row r="295" hidden="1"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125"/>
      <c r="AI295" s="125"/>
      <c r="AJ295" s="5"/>
      <c r="AK295" s="125"/>
      <c r="AL295" s="125"/>
    </row>
    <row r="296" hidden="1"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125"/>
      <c r="AI296" s="125"/>
      <c r="AJ296" s="5"/>
      <c r="AK296" s="125"/>
      <c r="AL296" s="125"/>
    </row>
    <row r="297" hidden="1"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125"/>
      <c r="AI297" s="125"/>
      <c r="AJ297" s="5"/>
      <c r="AK297" s="125"/>
      <c r="AL297" s="125"/>
    </row>
    <row r="298" hidden="1"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125"/>
      <c r="AI298" s="125"/>
      <c r="AJ298" s="5"/>
      <c r="AK298" s="125"/>
      <c r="AL298" s="125"/>
    </row>
    <row r="299" hidden="1"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125"/>
      <c r="AI299" s="125"/>
      <c r="AJ299" s="5"/>
      <c r="AK299" s="125"/>
      <c r="AL299" s="125"/>
    </row>
    <row r="300" hidden="1"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125"/>
      <c r="AI300" s="125"/>
      <c r="AJ300" s="5"/>
      <c r="AK300" s="125"/>
      <c r="AL300" s="125"/>
    </row>
    <row r="301" hidden="1"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125"/>
      <c r="AI301" s="125"/>
      <c r="AJ301" s="5"/>
      <c r="AK301" s="125"/>
      <c r="AL301" s="125"/>
    </row>
    <row r="302" hidden="1"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125"/>
      <c r="AI302" s="125"/>
      <c r="AJ302" s="5"/>
      <c r="AK302" s="125"/>
      <c r="AL302" s="125"/>
    </row>
    <row r="303" hidden="1"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125"/>
      <c r="AI303" s="125"/>
      <c r="AJ303" s="5"/>
      <c r="AK303" s="125"/>
      <c r="AL303" s="125"/>
    </row>
    <row r="304" hidden="1"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125"/>
      <c r="AI304" s="125"/>
      <c r="AJ304" s="5"/>
      <c r="AK304" s="125"/>
      <c r="AL304" s="125"/>
    </row>
    <row r="305" hidden="1"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125"/>
      <c r="AI305" s="125"/>
      <c r="AJ305" s="5"/>
      <c r="AK305" s="125"/>
      <c r="AL305" s="125"/>
    </row>
    <row r="306" hidden="1"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125"/>
      <c r="AI306" s="125"/>
      <c r="AJ306" s="5"/>
      <c r="AK306" s="125"/>
      <c r="AL306" s="125"/>
    </row>
    <row r="307" hidden="1"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125"/>
      <c r="AI307" s="125"/>
      <c r="AJ307" s="5"/>
      <c r="AK307" s="125"/>
      <c r="AL307" s="125"/>
    </row>
    <row r="308" hidden="1"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125"/>
      <c r="AI308" s="125"/>
      <c r="AJ308" s="5"/>
      <c r="AK308" s="125"/>
      <c r="AL308" s="125"/>
    </row>
    <row r="309" hidden="1"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125"/>
      <c r="AI309" s="125"/>
      <c r="AJ309" s="5"/>
      <c r="AK309" s="125"/>
      <c r="AL309" s="125"/>
    </row>
    <row r="310" hidden="1"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125"/>
      <c r="AI310" s="125"/>
      <c r="AJ310" s="5"/>
      <c r="AK310" s="125"/>
      <c r="AL310" s="125"/>
    </row>
    <row r="311" hidden="1"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125"/>
      <c r="AI311" s="125"/>
      <c r="AJ311" s="5"/>
      <c r="AK311" s="125"/>
      <c r="AL311" s="125"/>
    </row>
    <row r="312" hidden="1"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125"/>
      <c r="AI312" s="125"/>
      <c r="AJ312" s="5"/>
      <c r="AK312" s="125"/>
      <c r="AL312" s="125"/>
    </row>
    <row r="313" hidden="1"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125"/>
      <c r="AI313" s="125"/>
      <c r="AJ313" s="5"/>
      <c r="AK313" s="125"/>
      <c r="AL313" s="125"/>
    </row>
    <row r="314" hidden="1"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125"/>
      <c r="AI314" s="125"/>
      <c r="AJ314" s="5"/>
      <c r="AK314" s="125"/>
      <c r="AL314" s="125"/>
    </row>
    <row r="315" hidden="1"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125"/>
      <c r="AI315" s="125"/>
      <c r="AJ315" s="5"/>
      <c r="AK315" s="125"/>
      <c r="AL315" s="125"/>
    </row>
    <row r="316" hidden="1"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125"/>
      <c r="AI316" s="125"/>
      <c r="AJ316" s="5"/>
      <c r="AK316" s="125"/>
      <c r="AL316" s="125"/>
    </row>
    <row r="317" hidden="1"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125"/>
      <c r="AI317" s="125"/>
      <c r="AJ317" s="5"/>
      <c r="AK317" s="125"/>
      <c r="AL317" s="125"/>
    </row>
    <row r="318" hidden="1"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125"/>
      <c r="AI318" s="125"/>
      <c r="AJ318" s="5"/>
      <c r="AK318" s="125"/>
      <c r="AL318" s="125"/>
    </row>
    <row r="319" hidden="1"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125"/>
      <c r="AI319" s="125"/>
      <c r="AJ319" s="5"/>
      <c r="AK319" s="125"/>
      <c r="AL319" s="125"/>
    </row>
    <row r="320" hidden="1"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125"/>
      <c r="AI320" s="125"/>
      <c r="AJ320" s="5"/>
      <c r="AK320" s="125"/>
      <c r="AL320" s="125"/>
    </row>
    <row r="321" hidden="1"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125"/>
      <c r="AI321" s="125"/>
      <c r="AJ321" s="5"/>
      <c r="AK321" s="125"/>
      <c r="AL321" s="125"/>
    </row>
    <row r="322" hidden="1"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125"/>
      <c r="AI322" s="125"/>
      <c r="AJ322" s="5"/>
      <c r="AK322" s="125"/>
      <c r="AL322" s="125"/>
    </row>
    <row r="323" hidden="1"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125"/>
      <c r="AI323" s="125"/>
      <c r="AJ323" s="5"/>
      <c r="AK323" s="125"/>
      <c r="AL323" s="125"/>
    </row>
    <row r="324" hidden="1"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125"/>
      <c r="AI324" s="125"/>
      <c r="AJ324" s="5"/>
      <c r="AK324" s="125"/>
      <c r="AL324" s="125"/>
    </row>
    <row r="325" hidden="1"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125"/>
      <c r="AI325" s="125"/>
      <c r="AJ325" s="5"/>
      <c r="AK325" s="125"/>
      <c r="AL325" s="125"/>
    </row>
    <row r="326" hidden="1"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125"/>
      <c r="AI326" s="125"/>
      <c r="AJ326" s="5"/>
      <c r="AK326" s="125"/>
      <c r="AL326" s="125"/>
    </row>
    <row r="327" hidden="1"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125"/>
      <c r="AI327" s="125"/>
      <c r="AJ327" s="5"/>
      <c r="AK327" s="125"/>
      <c r="AL327" s="125"/>
    </row>
    <row r="328" hidden="1"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125"/>
      <c r="AI328" s="125"/>
      <c r="AJ328" s="5"/>
      <c r="AK328" s="125"/>
      <c r="AL328" s="125"/>
    </row>
    <row r="329" hidden="1"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125"/>
      <c r="AI329" s="125"/>
      <c r="AJ329" s="5"/>
      <c r="AK329" s="125"/>
      <c r="AL329" s="125"/>
    </row>
    <row r="330" hidden="1"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125"/>
      <c r="AI330" s="125"/>
      <c r="AJ330" s="5"/>
      <c r="AK330" s="125"/>
      <c r="AL330" s="125"/>
    </row>
    <row r="331" hidden="1"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125"/>
      <c r="AI331" s="125"/>
      <c r="AJ331" s="5"/>
      <c r="AK331" s="125"/>
      <c r="AL331" s="125"/>
    </row>
    <row r="332" hidden="1"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125"/>
      <c r="AI332" s="125"/>
      <c r="AJ332" s="5"/>
      <c r="AK332" s="125"/>
      <c r="AL332" s="125"/>
    </row>
    <row r="333" hidden="1"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125"/>
      <c r="AI333" s="125"/>
      <c r="AJ333" s="5"/>
      <c r="AK333" s="125"/>
      <c r="AL333" s="125"/>
    </row>
    <row r="334" hidden="1"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125"/>
      <c r="AI334" s="125"/>
      <c r="AJ334" s="5"/>
      <c r="AK334" s="125"/>
      <c r="AL334" s="125"/>
    </row>
    <row r="335" hidden="1"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125"/>
      <c r="AI335" s="125"/>
      <c r="AJ335" s="5"/>
      <c r="AK335" s="125"/>
      <c r="AL335" s="125"/>
    </row>
    <row r="336" hidden="1"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125"/>
      <c r="AI336" s="125"/>
      <c r="AJ336" s="5"/>
      <c r="AK336" s="125"/>
      <c r="AL336" s="125"/>
    </row>
    <row r="337" hidden="1"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125"/>
      <c r="AI337" s="125"/>
      <c r="AJ337" s="5"/>
      <c r="AK337" s="125"/>
      <c r="AL337" s="125"/>
    </row>
    <row r="338" hidden="1"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125"/>
      <c r="AI338" s="125"/>
      <c r="AJ338" s="5"/>
      <c r="AK338" s="125"/>
      <c r="AL338" s="125"/>
    </row>
    <row r="339" hidden="1"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125"/>
      <c r="AI339" s="125"/>
      <c r="AJ339" s="5"/>
      <c r="AK339" s="125"/>
      <c r="AL339" s="125"/>
    </row>
    <row r="340" hidden="1"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125"/>
      <c r="AI340" s="125"/>
      <c r="AJ340" s="5"/>
      <c r="AK340" s="125"/>
      <c r="AL340" s="125"/>
    </row>
    <row r="341" hidden="1"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125"/>
      <c r="AI341" s="125"/>
      <c r="AJ341" s="5"/>
      <c r="AK341" s="125"/>
      <c r="AL341" s="125"/>
    </row>
    <row r="342" hidden="1"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125"/>
      <c r="AI342" s="125"/>
      <c r="AJ342" s="5"/>
      <c r="AK342" s="125"/>
      <c r="AL342" s="125"/>
    </row>
    <row r="343" hidden="1"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125"/>
      <c r="AI343" s="125"/>
      <c r="AJ343" s="5"/>
      <c r="AK343" s="125"/>
      <c r="AL343" s="125"/>
    </row>
    <row r="344" hidden="1"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125"/>
      <c r="AI344" s="125"/>
      <c r="AJ344" s="5"/>
      <c r="AK344" s="125"/>
      <c r="AL344" s="125"/>
    </row>
    <row r="345" hidden="1"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125"/>
      <c r="AI345" s="125"/>
      <c r="AJ345" s="5"/>
      <c r="AK345" s="125"/>
      <c r="AL345" s="125"/>
    </row>
    <row r="346" hidden="1"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125"/>
      <c r="AI346" s="125"/>
      <c r="AJ346" s="5"/>
      <c r="AK346" s="125"/>
      <c r="AL346" s="125"/>
    </row>
    <row r="347" hidden="1"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125"/>
      <c r="AI347" s="125"/>
      <c r="AJ347" s="5"/>
      <c r="AK347" s="125"/>
      <c r="AL347" s="125"/>
    </row>
    <row r="348" hidden="1"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125"/>
      <c r="AI348" s="125"/>
      <c r="AJ348" s="5"/>
      <c r="AK348" s="125"/>
      <c r="AL348" s="125"/>
    </row>
    <row r="349" hidden="1"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125"/>
      <c r="AI349" s="125"/>
      <c r="AJ349" s="5"/>
      <c r="AK349" s="125"/>
      <c r="AL349" s="125"/>
    </row>
    <row r="350" hidden="1"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125"/>
      <c r="AI350" s="125"/>
      <c r="AJ350" s="5"/>
      <c r="AK350" s="125"/>
      <c r="AL350" s="125"/>
    </row>
    <row r="351" hidden="1"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125"/>
      <c r="AI351" s="125"/>
      <c r="AJ351" s="5"/>
      <c r="AK351" s="125"/>
      <c r="AL351" s="125"/>
    </row>
    <row r="352" hidden="1"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125"/>
      <c r="AI352" s="125"/>
      <c r="AJ352" s="5"/>
      <c r="AK352" s="125"/>
      <c r="AL352" s="125"/>
    </row>
    <row r="353" hidden="1"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125"/>
      <c r="AI353" s="125"/>
      <c r="AJ353" s="5"/>
      <c r="AK353" s="125"/>
      <c r="AL353" s="125"/>
    </row>
    <row r="354" hidden="1"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125"/>
      <c r="AI354" s="125"/>
      <c r="AJ354" s="5"/>
      <c r="AK354" s="125"/>
      <c r="AL354" s="125"/>
    </row>
    <row r="355" hidden="1"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125"/>
      <c r="AI355" s="125"/>
      <c r="AJ355" s="5"/>
      <c r="AK355" s="125"/>
      <c r="AL355" s="125"/>
    </row>
    <row r="356" hidden="1"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125"/>
      <c r="AI356" s="125"/>
      <c r="AJ356" s="5"/>
      <c r="AK356" s="125"/>
      <c r="AL356" s="125"/>
    </row>
    <row r="357" hidden="1"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125"/>
      <c r="AI357" s="125"/>
      <c r="AJ357" s="5"/>
      <c r="AK357" s="125"/>
      <c r="AL357" s="125"/>
    </row>
    <row r="358" hidden="1"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125"/>
      <c r="AI358" s="125"/>
      <c r="AJ358" s="5"/>
      <c r="AK358" s="125"/>
      <c r="AL358" s="125"/>
    </row>
    <row r="359" hidden="1"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125"/>
      <c r="AI359" s="125"/>
      <c r="AJ359" s="5"/>
      <c r="AK359" s="125"/>
      <c r="AL359" s="125"/>
    </row>
    <row r="360" hidden="1"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125"/>
      <c r="AI360" s="125"/>
      <c r="AJ360" s="5"/>
      <c r="AK360" s="125"/>
      <c r="AL360" s="125"/>
    </row>
    <row r="361" hidden="1"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125"/>
      <c r="AI361" s="125"/>
      <c r="AJ361" s="5"/>
      <c r="AK361" s="125"/>
      <c r="AL361" s="125"/>
    </row>
    <row r="362" hidden="1"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125"/>
      <c r="AI362" s="125"/>
      <c r="AJ362" s="5"/>
      <c r="AK362" s="125"/>
      <c r="AL362" s="125"/>
    </row>
    <row r="363" hidden="1"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125"/>
      <c r="AI363" s="125"/>
      <c r="AJ363" s="5"/>
      <c r="AK363" s="125"/>
      <c r="AL363" s="125"/>
    </row>
    <row r="364" hidden="1"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125"/>
      <c r="AI364" s="125"/>
      <c r="AJ364" s="5"/>
      <c r="AK364" s="125"/>
      <c r="AL364" s="125"/>
    </row>
    <row r="365" hidden="1"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125"/>
      <c r="AI365" s="125"/>
      <c r="AJ365" s="5"/>
      <c r="AK365" s="125"/>
      <c r="AL365" s="125"/>
    </row>
    <row r="366" hidden="1"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125"/>
      <c r="AI366" s="125"/>
      <c r="AJ366" s="5"/>
      <c r="AK366" s="125"/>
      <c r="AL366" s="125"/>
    </row>
    <row r="367" hidden="1"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125"/>
      <c r="AI367" s="125"/>
      <c r="AJ367" s="5"/>
      <c r="AK367" s="125"/>
      <c r="AL367" s="125"/>
    </row>
    <row r="368" hidden="1"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125"/>
      <c r="AI368" s="125"/>
      <c r="AJ368" s="5"/>
      <c r="AK368" s="125"/>
      <c r="AL368" s="125"/>
    </row>
    <row r="369" hidden="1"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125"/>
      <c r="AI369" s="125"/>
      <c r="AJ369" s="5"/>
      <c r="AK369" s="125"/>
      <c r="AL369" s="125"/>
    </row>
    <row r="370" hidden="1"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125"/>
      <c r="AI370" s="125"/>
      <c r="AJ370" s="5"/>
      <c r="AK370" s="125"/>
      <c r="AL370" s="125"/>
    </row>
    <row r="371" hidden="1"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125"/>
      <c r="AI371" s="125"/>
      <c r="AJ371" s="5"/>
      <c r="AK371" s="125"/>
      <c r="AL371" s="125"/>
    </row>
    <row r="372" hidden="1"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125"/>
      <c r="AI372" s="125"/>
      <c r="AJ372" s="5"/>
      <c r="AK372" s="125"/>
      <c r="AL372" s="125"/>
    </row>
    <row r="373" hidden="1"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125"/>
      <c r="AI373" s="125"/>
      <c r="AJ373" s="5"/>
      <c r="AK373" s="125"/>
      <c r="AL373" s="125"/>
    </row>
    <row r="374" hidden="1"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125"/>
      <c r="AI374" s="125"/>
      <c r="AJ374" s="5"/>
      <c r="AK374" s="125"/>
      <c r="AL374" s="125"/>
    </row>
    <row r="375" hidden="1"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125"/>
      <c r="AI375" s="125"/>
      <c r="AJ375" s="5"/>
      <c r="AK375" s="125"/>
      <c r="AL375" s="125"/>
    </row>
    <row r="376" hidden="1"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125"/>
      <c r="AI376" s="125"/>
      <c r="AJ376" s="5"/>
      <c r="AK376" s="125"/>
      <c r="AL376" s="125"/>
    </row>
    <row r="377" hidden="1"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125"/>
      <c r="AI377" s="125"/>
      <c r="AJ377" s="5"/>
      <c r="AK377" s="125"/>
      <c r="AL377" s="125"/>
    </row>
    <row r="378" hidden="1"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125"/>
      <c r="AI378" s="125"/>
      <c r="AJ378" s="5"/>
      <c r="AK378" s="125"/>
      <c r="AL378" s="125"/>
    </row>
    <row r="379" hidden="1"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125"/>
      <c r="AI379" s="125"/>
      <c r="AJ379" s="5"/>
      <c r="AK379" s="125"/>
      <c r="AL379" s="125"/>
    </row>
    <row r="380" hidden="1"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125"/>
      <c r="AI380" s="125"/>
      <c r="AJ380" s="5"/>
      <c r="AK380" s="125"/>
      <c r="AL380" s="125"/>
    </row>
    <row r="381" hidden="1"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125"/>
      <c r="AI381" s="125"/>
      <c r="AJ381" s="5"/>
      <c r="AK381" s="125"/>
      <c r="AL381" s="125"/>
    </row>
    <row r="382" hidden="1"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125"/>
      <c r="AI382" s="125"/>
      <c r="AJ382" s="5"/>
      <c r="AK382" s="125"/>
      <c r="AL382" s="125"/>
    </row>
    <row r="383" hidden="1"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125"/>
      <c r="AI383" s="125"/>
      <c r="AJ383" s="5"/>
      <c r="AK383" s="125"/>
      <c r="AL383" s="125"/>
    </row>
    <row r="384" hidden="1"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125"/>
      <c r="AI384" s="125"/>
      <c r="AJ384" s="5"/>
      <c r="AK384" s="125"/>
      <c r="AL384" s="125"/>
    </row>
    <row r="385" hidden="1"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125"/>
      <c r="AI385" s="125"/>
      <c r="AJ385" s="5"/>
      <c r="AK385" s="125"/>
      <c r="AL385" s="125"/>
    </row>
    <row r="386" hidden="1"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125"/>
      <c r="AI386" s="125"/>
      <c r="AJ386" s="5"/>
      <c r="AK386" s="125"/>
      <c r="AL386" s="125"/>
    </row>
    <row r="387" hidden="1"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125"/>
      <c r="AI387" s="125"/>
      <c r="AJ387" s="5"/>
      <c r="AK387" s="125"/>
      <c r="AL387" s="125"/>
    </row>
    <row r="388" hidden="1"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125"/>
      <c r="AI388" s="125"/>
      <c r="AJ388" s="5"/>
      <c r="AK388" s="125"/>
      <c r="AL388" s="125"/>
    </row>
    <row r="389" hidden="1"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125"/>
      <c r="AI389" s="125"/>
      <c r="AJ389" s="5"/>
      <c r="AK389" s="125"/>
      <c r="AL389" s="125"/>
    </row>
    <row r="390" hidden="1"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125"/>
      <c r="AI390" s="125"/>
      <c r="AJ390" s="5"/>
      <c r="AK390" s="125"/>
      <c r="AL390" s="125"/>
    </row>
    <row r="391" hidden="1"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125"/>
      <c r="AI391" s="125"/>
      <c r="AJ391" s="5"/>
      <c r="AK391" s="125"/>
      <c r="AL391" s="125"/>
    </row>
    <row r="392" hidden="1"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125"/>
      <c r="AI392" s="125"/>
      <c r="AJ392" s="5"/>
      <c r="AK392" s="125"/>
      <c r="AL392" s="125"/>
    </row>
    <row r="393" hidden="1"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125"/>
      <c r="AI393" s="125"/>
      <c r="AJ393" s="5"/>
      <c r="AK393" s="125"/>
      <c r="AL393" s="125"/>
    </row>
    <row r="394" hidden="1"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125"/>
      <c r="AI394" s="125"/>
      <c r="AJ394" s="5"/>
      <c r="AK394" s="125"/>
      <c r="AL394" s="125"/>
    </row>
    <row r="395" hidden="1"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125"/>
      <c r="AI395" s="125"/>
      <c r="AJ395" s="5"/>
      <c r="AK395" s="125"/>
      <c r="AL395" s="125"/>
    </row>
    <row r="396" hidden="1"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125"/>
      <c r="AI396" s="125"/>
      <c r="AJ396" s="5"/>
      <c r="AK396" s="125"/>
      <c r="AL396" s="125"/>
    </row>
    <row r="397" hidden="1"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125"/>
      <c r="AI397" s="125"/>
      <c r="AJ397" s="5"/>
      <c r="AK397" s="125"/>
      <c r="AL397" s="125"/>
    </row>
    <row r="398" hidden="1"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125"/>
      <c r="AI398" s="125"/>
      <c r="AJ398" s="5"/>
      <c r="AK398" s="125"/>
      <c r="AL398" s="125"/>
    </row>
    <row r="399" hidden="1"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125"/>
      <c r="AI399" s="125"/>
      <c r="AJ399" s="5"/>
      <c r="AK399" s="125"/>
      <c r="AL399" s="125"/>
    </row>
    <row r="400" hidden="1"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125"/>
      <c r="AI400" s="125"/>
      <c r="AJ400" s="5"/>
      <c r="AK400" s="125"/>
      <c r="AL400" s="125"/>
    </row>
    <row r="401" hidden="1"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125"/>
      <c r="AI401" s="125"/>
      <c r="AJ401" s="5"/>
      <c r="AK401" s="125"/>
      <c r="AL401" s="125"/>
    </row>
    <row r="402" hidden="1"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125"/>
      <c r="AI402" s="125"/>
      <c r="AJ402" s="5"/>
      <c r="AK402" s="125"/>
      <c r="AL402" s="125"/>
    </row>
    <row r="403" hidden="1"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125"/>
      <c r="AI403" s="125"/>
      <c r="AJ403" s="5"/>
      <c r="AK403" s="125"/>
      <c r="AL403" s="125"/>
    </row>
    <row r="404" hidden="1"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125"/>
      <c r="AI404" s="125"/>
      <c r="AJ404" s="5"/>
      <c r="AK404" s="125"/>
      <c r="AL404" s="125"/>
    </row>
    <row r="405" hidden="1"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125"/>
      <c r="AI405" s="125"/>
      <c r="AJ405" s="5"/>
      <c r="AK405" s="125"/>
      <c r="AL405" s="125"/>
    </row>
    <row r="406" hidden="1"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125"/>
      <c r="AI406" s="125"/>
      <c r="AJ406" s="5"/>
      <c r="AK406" s="125"/>
      <c r="AL406" s="125"/>
    </row>
    <row r="407" hidden="1"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125"/>
      <c r="AI407" s="125"/>
      <c r="AJ407" s="5"/>
      <c r="AK407" s="125"/>
      <c r="AL407" s="125"/>
    </row>
    <row r="408" hidden="1"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125"/>
      <c r="AI408" s="125"/>
      <c r="AJ408" s="5"/>
      <c r="AK408" s="125"/>
      <c r="AL408" s="125"/>
    </row>
    <row r="409" hidden="1"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125"/>
      <c r="AI409" s="125"/>
      <c r="AJ409" s="5"/>
      <c r="AK409" s="125"/>
      <c r="AL409" s="125"/>
    </row>
    <row r="410" hidden="1"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125"/>
      <c r="AI410" s="125"/>
      <c r="AJ410" s="5"/>
      <c r="AK410" s="125"/>
      <c r="AL410" s="125"/>
    </row>
    <row r="411" hidden="1"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125"/>
      <c r="AI411" s="125"/>
      <c r="AJ411" s="5"/>
      <c r="AK411" s="125"/>
      <c r="AL411" s="125"/>
    </row>
    <row r="412" hidden="1"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125"/>
      <c r="AI412" s="125"/>
      <c r="AJ412" s="5"/>
      <c r="AK412" s="125"/>
      <c r="AL412" s="125"/>
    </row>
    <row r="413" hidden="1"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125"/>
      <c r="AI413" s="125"/>
      <c r="AJ413" s="5"/>
      <c r="AK413" s="125"/>
      <c r="AL413" s="125"/>
    </row>
    <row r="414" hidden="1"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125"/>
      <c r="AI414" s="125"/>
      <c r="AJ414" s="5"/>
      <c r="AK414" s="125"/>
      <c r="AL414" s="125"/>
    </row>
    <row r="415" hidden="1"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125"/>
      <c r="AI415" s="125"/>
      <c r="AJ415" s="5"/>
      <c r="AK415" s="125"/>
      <c r="AL415" s="125"/>
    </row>
    <row r="416" hidden="1"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125"/>
      <c r="AI416" s="125"/>
      <c r="AJ416" s="5"/>
      <c r="AK416" s="125"/>
      <c r="AL416" s="125"/>
    </row>
    <row r="417" hidden="1"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125"/>
      <c r="AI417" s="125"/>
      <c r="AJ417" s="5"/>
      <c r="AK417" s="125"/>
      <c r="AL417" s="125"/>
    </row>
    <row r="418" hidden="1"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125"/>
      <c r="AI418" s="125"/>
      <c r="AJ418" s="5"/>
      <c r="AK418" s="125"/>
      <c r="AL418" s="125"/>
    </row>
    <row r="419" hidden="1"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125"/>
      <c r="AI419" s="125"/>
      <c r="AJ419" s="5"/>
      <c r="AK419" s="125"/>
      <c r="AL419" s="125"/>
    </row>
    <row r="420" hidden="1"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125"/>
      <c r="AI420" s="125"/>
      <c r="AJ420" s="5"/>
      <c r="AK420" s="125"/>
      <c r="AL420" s="125"/>
    </row>
    <row r="421" hidden="1"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125"/>
      <c r="AI421" s="125"/>
      <c r="AJ421" s="5"/>
      <c r="AK421" s="125"/>
      <c r="AL421" s="125"/>
    </row>
    <row r="422" hidden="1"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125"/>
      <c r="AI422" s="125"/>
      <c r="AJ422" s="5"/>
      <c r="AK422" s="125"/>
      <c r="AL422" s="125"/>
    </row>
    <row r="423" hidden="1"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125"/>
      <c r="AI423" s="125"/>
      <c r="AJ423" s="5"/>
      <c r="AK423" s="125"/>
      <c r="AL423" s="125"/>
    </row>
    <row r="424" hidden="1"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125"/>
      <c r="AI424" s="125"/>
      <c r="AJ424" s="5"/>
      <c r="AK424" s="125"/>
      <c r="AL424" s="125"/>
    </row>
    <row r="425" hidden="1"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125"/>
      <c r="AI425" s="125"/>
      <c r="AJ425" s="5"/>
      <c r="AK425" s="125"/>
      <c r="AL425" s="125"/>
    </row>
    <row r="426" hidden="1"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125"/>
      <c r="AI426" s="125"/>
      <c r="AJ426" s="5"/>
      <c r="AK426" s="125"/>
      <c r="AL426" s="125"/>
    </row>
    <row r="427" hidden="1"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125"/>
      <c r="AI427" s="125"/>
      <c r="AJ427" s="5"/>
      <c r="AK427" s="125"/>
      <c r="AL427" s="125"/>
    </row>
    <row r="428" hidden="1"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125"/>
      <c r="AI428" s="125"/>
      <c r="AJ428" s="5"/>
      <c r="AK428" s="125"/>
      <c r="AL428" s="125"/>
    </row>
    <row r="429" hidden="1"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125"/>
      <c r="AI429" s="125"/>
      <c r="AJ429" s="5"/>
      <c r="AK429" s="125"/>
      <c r="AL429" s="125"/>
    </row>
    <row r="430" hidden="1"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125"/>
      <c r="AI430" s="125"/>
      <c r="AJ430" s="5"/>
      <c r="AK430" s="125"/>
      <c r="AL430" s="125"/>
    </row>
    <row r="431" hidden="1"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125"/>
      <c r="AI431" s="125"/>
      <c r="AJ431" s="5"/>
      <c r="AK431" s="125"/>
      <c r="AL431" s="125"/>
    </row>
    <row r="432" hidden="1"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125"/>
      <c r="AI432" s="125"/>
      <c r="AJ432" s="5"/>
      <c r="AK432" s="125"/>
      <c r="AL432" s="125"/>
    </row>
    <row r="433" hidden="1"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125"/>
      <c r="AI433" s="125"/>
      <c r="AJ433" s="5"/>
      <c r="AK433" s="125"/>
      <c r="AL433" s="125"/>
    </row>
    <row r="434" hidden="1"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125"/>
      <c r="AI434" s="125"/>
      <c r="AJ434" s="5"/>
      <c r="AK434" s="125"/>
      <c r="AL434" s="125"/>
    </row>
    <row r="435" hidden="1"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125"/>
      <c r="AI435" s="125"/>
      <c r="AJ435" s="5"/>
      <c r="AK435" s="125"/>
      <c r="AL435" s="125"/>
    </row>
    <row r="436" hidden="1"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125"/>
      <c r="AI436" s="125"/>
      <c r="AJ436" s="5"/>
      <c r="AK436" s="125"/>
      <c r="AL436" s="125"/>
    </row>
    <row r="437" hidden="1"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125"/>
      <c r="AI437" s="125"/>
      <c r="AJ437" s="5"/>
      <c r="AK437" s="125"/>
      <c r="AL437" s="125"/>
    </row>
    <row r="438" hidden="1"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125"/>
      <c r="AI438" s="125"/>
      <c r="AJ438" s="5"/>
      <c r="AK438" s="125"/>
      <c r="AL438" s="125"/>
    </row>
    <row r="439" hidden="1"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125"/>
      <c r="AI439" s="125"/>
      <c r="AJ439" s="5"/>
      <c r="AK439" s="125"/>
      <c r="AL439" s="125"/>
    </row>
    <row r="440" hidden="1"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125"/>
      <c r="AI440" s="125"/>
      <c r="AJ440" s="5"/>
      <c r="AK440" s="125"/>
      <c r="AL440" s="125"/>
    </row>
    <row r="441" hidden="1"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125"/>
      <c r="AI441" s="125"/>
      <c r="AJ441" s="5"/>
      <c r="AK441" s="125"/>
      <c r="AL441" s="125"/>
    </row>
    <row r="442" hidden="1"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125"/>
      <c r="AI442" s="125"/>
      <c r="AJ442" s="5"/>
      <c r="AK442" s="125"/>
      <c r="AL442" s="125"/>
    </row>
    <row r="443" hidden="1"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125"/>
      <c r="AI443" s="125"/>
      <c r="AJ443" s="5"/>
      <c r="AK443" s="125"/>
      <c r="AL443" s="125"/>
    </row>
    <row r="444" hidden="1"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125"/>
      <c r="AI444" s="125"/>
      <c r="AJ444" s="5"/>
      <c r="AK444" s="125"/>
      <c r="AL444" s="125"/>
    </row>
    <row r="445" hidden="1"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125"/>
      <c r="AI445" s="125"/>
      <c r="AJ445" s="5"/>
      <c r="AK445" s="125"/>
      <c r="AL445" s="125"/>
    </row>
    <row r="446" hidden="1"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125"/>
      <c r="AI446" s="125"/>
      <c r="AJ446" s="5"/>
      <c r="AK446" s="125"/>
      <c r="AL446" s="125"/>
    </row>
    <row r="447" hidden="1"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125"/>
      <c r="AI447" s="125"/>
      <c r="AJ447" s="5"/>
      <c r="AK447" s="125"/>
      <c r="AL447" s="125"/>
    </row>
    <row r="448" hidden="1"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125"/>
      <c r="AI448" s="125"/>
      <c r="AJ448" s="5"/>
      <c r="AK448" s="125"/>
      <c r="AL448" s="125"/>
    </row>
    <row r="449" hidden="1"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125"/>
      <c r="AI449" s="125"/>
      <c r="AJ449" s="5"/>
      <c r="AK449" s="125"/>
      <c r="AL449" s="125"/>
    </row>
    <row r="450" hidden="1"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125"/>
      <c r="AI450" s="125"/>
      <c r="AJ450" s="5"/>
      <c r="AK450" s="125"/>
      <c r="AL450" s="125"/>
    </row>
    <row r="451" hidden="1"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125"/>
      <c r="AI451" s="125"/>
      <c r="AJ451" s="5"/>
      <c r="AK451" s="125"/>
      <c r="AL451" s="125"/>
    </row>
    <row r="452" hidden="1"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125"/>
      <c r="AI452" s="125"/>
      <c r="AJ452" s="5"/>
      <c r="AK452" s="125"/>
      <c r="AL452" s="125"/>
    </row>
    <row r="453" hidden="1"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125"/>
      <c r="AI453" s="125"/>
      <c r="AJ453" s="5"/>
      <c r="AK453" s="125"/>
      <c r="AL453" s="125"/>
    </row>
    <row r="454" hidden="1"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125"/>
      <c r="AI454" s="125"/>
      <c r="AJ454" s="5"/>
      <c r="AK454" s="125"/>
      <c r="AL454" s="125"/>
    </row>
    <row r="455" hidden="1"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125"/>
      <c r="AI455" s="125"/>
      <c r="AJ455" s="5"/>
      <c r="AK455" s="125"/>
      <c r="AL455" s="125"/>
    </row>
    <row r="456" hidden="1"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125"/>
      <c r="AI456" s="125"/>
      <c r="AJ456" s="5"/>
      <c r="AK456" s="125"/>
      <c r="AL456" s="125"/>
    </row>
    <row r="457" hidden="1"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125"/>
      <c r="AI457" s="125"/>
      <c r="AJ457" s="5"/>
      <c r="AK457" s="125"/>
      <c r="AL457" s="125"/>
    </row>
    <row r="458" hidden="1"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125"/>
      <c r="AI458" s="125"/>
      <c r="AJ458" s="5"/>
      <c r="AK458" s="125"/>
      <c r="AL458" s="125"/>
    </row>
    <row r="459" hidden="1"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125"/>
      <c r="AI459" s="125"/>
      <c r="AJ459" s="5"/>
      <c r="AK459" s="125"/>
      <c r="AL459" s="125"/>
    </row>
    <row r="460" hidden="1"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125"/>
      <c r="AI460" s="125"/>
      <c r="AJ460" s="5"/>
      <c r="AK460" s="125"/>
      <c r="AL460" s="125"/>
    </row>
    <row r="461" hidden="1"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125"/>
      <c r="AI461" s="125"/>
      <c r="AJ461" s="5"/>
      <c r="AK461" s="125"/>
      <c r="AL461" s="125"/>
    </row>
    <row r="462" hidden="1"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125"/>
      <c r="AI462" s="125"/>
      <c r="AJ462" s="5"/>
      <c r="AK462" s="125"/>
      <c r="AL462" s="125"/>
    </row>
    <row r="463" hidden="1"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125"/>
      <c r="AI463" s="125"/>
      <c r="AJ463" s="5"/>
      <c r="AK463" s="125"/>
      <c r="AL463" s="125"/>
    </row>
    <row r="464" hidden="1"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125"/>
      <c r="AI464" s="125"/>
      <c r="AJ464" s="5"/>
      <c r="AK464" s="125"/>
      <c r="AL464" s="125"/>
    </row>
    <row r="465" hidden="1"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125"/>
      <c r="AI465" s="125"/>
      <c r="AJ465" s="5"/>
      <c r="AK465" s="125"/>
      <c r="AL465" s="125"/>
    </row>
    <row r="466" hidden="1"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125"/>
      <c r="AI466" s="125"/>
      <c r="AJ466" s="5"/>
      <c r="AK466" s="125"/>
      <c r="AL466" s="125"/>
    </row>
    <row r="467" hidden="1"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125"/>
      <c r="AI467" s="125"/>
      <c r="AJ467" s="5"/>
      <c r="AK467" s="125"/>
      <c r="AL467" s="125"/>
    </row>
    <row r="468" hidden="1"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125"/>
      <c r="AI468" s="125"/>
      <c r="AJ468" s="5"/>
      <c r="AK468" s="125"/>
      <c r="AL468" s="125"/>
    </row>
    <row r="469" hidden="1"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125"/>
      <c r="AI469" s="125"/>
      <c r="AJ469" s="5"/>
      <c r="AK469" s="125"/>
      <c r="AL469" s="125"/>
    </row>
    <row r="470" hidden="1"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125"/>
      <c r="AI470" s="125"/>
      <c r="AJ470" s="5"/>
      <c r="AK470" s="125"/>
      <c r="AL470" s="125"/>
    </row>
    <row r="471" hidden="1"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125"/>
      <c r="AI471" s="125"/>
      <c r="AJ471" s="5"/>
      <c r="AK471" s="125"/>
      <c r="AL471" s="125"/>
    </row>
    <row r="472" hidden="1"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125"/>
      <c r="AI472" s="125"/>
      <c r="AJ472" s="5"/>
      <c r="AK472" s="125"/>
      <c r="AL472" s="125"/>
    </row>
    <row r="473" hidden="1"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125"/>
      <c r="AI473" s="125"/>
      <c r="AJ473" s="5"/>
      <c r="AK473" s="125"/>
      <c r="AL473" s="125"/>
    </row>
    <row r="474" hidden="1"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125"/>
      <c r="AI474" s="125"/>
      <c r="AJ474" s="5"/>
      <c r="AK474" s="125"/>
      <c r="AL474" s="125"/>
    </row>
    <row r="475" hidden="1"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125"/>
      <c r="AI475" s="125"/>
      <c r="AJ475" s="5"/>
      <c r="AK475" s="125"/>
      <c r="AL475" s="125"/>
    </row>
    <row r="476" hidden="1"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125"/>
      <c r="AI476" s="125"/>
      <c r="AJ476" s="5"/>
      <c r="AK476" s="125"/>
      <c r="AL476" s="125"/>
    </row>
    <row r="477" hidden="1"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125"/>
      <c r="AI477" s="125"/>
      <c r="AJ477" s="5"/>
      <c r="AK477" s="125"/>
      <c r="AL477" s="125"/>
    </row>
    <row r="478" hidden="1"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125"/>
      <c r="AI478" s="125"/>
      <c r="AJ478" s="5"/>
      <c r="AK478" s="125"/>
      <c r="AL478" s="125"/>
    </row>
    <row r="479" hidden="1"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125"/>
      <c r="AI479" s="125"/>
      <c r="AJ479" s="5"/>
      <c r="AK479" s="125"/>
      <c r="AL479" s="125"/>
    </row>
    <row r="480" hidden="1"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125"/>
      <c r="AI480" s="125"/>
      <c r="AJ480" s="5"/>
      <c r="AK480" s="125"/>
      <c r="AL480" s="125"/>
    </row>
    <row r="481" hidden="1"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125"/>
      <c r="AI481" s="125"/>
      <c r="AJ481" s="5"/>
      <c r="AK481" s="125"/>
      <c r="AL481" s="125"/>
    </row>
    <row r="482" hidden="1"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125"/>
      <c r="AI482" s="125"/>
      <c r="AJ482" s="5"/>
      <c r="AK482" s="125"/>
      <c r="AL482" s="125"/>
    </row>
    <row r="483" hidden="1"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125"/>
      <c r="AI483" s="125"/>
      <c r="AJ483" s="5"/>
      <c r="AK483" s="125"/>
      <c r="AL483" s="125"/>
    </row>
    <row r="484" hidden="1"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125"/>
      <c r="AI484" s="125"/>
      <c r="AJ484" s="5"/>
      <c r="AK484" s="125"/>
      <c r="AL484" s="125"/>
    </row>
    <row r="485" hidden="1"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125"/>
      <c r="AI485" s="125"/>
      <c r="AJ485" s="5"/>
      <c r="AK485" s="125"/>
      <c r="AL485" s="125"/>
    </row>
    <row r="486" hidden="1"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125"/>
      <c r="AI486" s="125"/>
      <c r="AJ486" s="5"/>
      <c r="AK486" s="125"/>
      <c r="AL486" s="125"/>
    </row>
    <row r="487" hidden="1"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125"/>
      <c r="AI487" s="125"/>
      <c r="AJ487" s="5"/>
      <c r="AK487" s="125"/>
      <c r="AL487" s="125"/>
    </row>
    <row r="488" hidden="1"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125"/>
      <c r="AI488" s="125"/>
      <c r="AJ488" s="5"/>
      <c r="AK488" s="125"/>
      <c r="AL488" s="125"/>
    </row>
    <row r="489" hidden="1"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125"/>
      <c r="AI489" s="125"/>
      <c r="AJ489" s="5"/>
      <c r="AK489" s="125"/>
      <c r="AL489" s="125"/>
    </row>
    <row r="490" hidden="1"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125"/>
      <c r="AI490" s="125"/>
      <c r="AJ490" s="5"/>
      <c r="AK490" s="125"/>
      <c r="AL490" s="125"/>
    </row>
    <row r="491" hidden="1"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125"/>
      <c r="AI491" s="125"/>
      <c r="AJ491" s="5"/>
      <c r="AK491" s="125"/>
      <c r="AL491" s="125"/>
    </row>
    <row r="492" hidden="1"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125"/>
      <c r="AI492" s="125"/>
      <c r="AJ492" s="5"/>
      <c r="AK492" s="125"/>
      <c r="AL492" s="125"/>
    </row>
    <row r="493" hidden="1"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125"/>
      <c r="AI493" s="125"/>
      <c r="AJ493" s="5"/>
      <c r="AK493" s="125"/>
      <c r="AL493" s="125"/>
    </row>
    <row r="494" hidden="1"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125"/>
      <c r="AI494" s="125"/>
      <c r="AJ494" s="5"/>
      <c r="AK494" s="125"/>
      <c r="AL494" s="125"/>
    </row>
    <row r="495" hidden="1"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125"/>
      <c r="AI495" s="125"/>
      <c r="AJ495" s="5"/>
      <c r="AK495" s="125"/>
      <c r="AL495" s="125"/>
    </row>
    <row r="496" hidden="1"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125"/>
      <c r="AI496" s="125"/>
      <c r="AJ496" s="5"/>
      <c r="AK496" s="125"/>
      <c r="AL496" s="125"/>
    </row>
    <row r="497" hidden="1"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125"/>
      <c r="AI497" s="125"/>
      <c r="AJ497" s="5"/>
      <c r="AK497" s="125"/>
      <c r="AL497" s="125"/>
    </row>
    <row r="498" hidden="1"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125"/>
      <c r="AI498" s="125"/>
      <c r="AJ498" s="5"/>
      <c r="AK498" s="125"/>
      <c r="AL498" s="125"/>
    </row>
    <row r="499" hidden="1"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125"/>
      <c r="AI499" s="125"/>
      <c r="AJ499" s="5"/>
      <c r="AK499" s="125"/>
      <c r="AL499" s="125"/>
    </row>
    <row r="500" hidden="1"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125"/>
      <c r="AI500" s="125"/>
      <c r="AJ500" s="5"/>
      <c r="AK500" s="125"/>
      <c r="AL500" s="125"/>
    </row>
    <row r="501" hidden="1"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125"/>
      <c r="AI501" s="125"/>
      <c r="AJ501" s="5"/>
      <c r="AK501" s="125"/>
      <c r="AL501" s="125"/>
    </row>
    <row r="502" hidden="1"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125"/>
      <c r="AI502" s="125"/>
      <c r="AJ502" s="5"/>
      <c r="AK502" s="125"/>
      <c r="AL502" s="125"/>
    </row>
    <row r="503" hidden="1"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125"/>
      <c r="AI503" s="125"/>
      <c r="AJ503" s="5"/>
      <c r="AK503" s="125"/>
      <c r="AL503" s="125"/>
    </row>
    <row r="504" hidden="1"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125"/>
      <c r="AI504" s="125"/>
      <c r="AJ504" s="5"/>
      <c r="AK504" s="125"/>
      <c r="AL504" s="125"/>
    </row>
    <row r="505" hidden="1"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125"/>
      <c r="AI505" s="125"/>
      <c r="AJ505" s="5"/>
      <c r="AK505" s="125"/>
      <c r="AL505" s="125"/>
    </row>
    <row r="506" hidden="1"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125"/>
      <c r="AI506" s="125"/>
      <c r="AJ506" s="5"/>
      <c r="AK506" s="125"/>
      <c r="AL506" s="125"/>
    </row>
    <row r="507" hidden="1"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125"/>
      <c r="AI507" s="125"/>
      <c r="AJ507" s="5"/>
      <c r="AK507" s="125"/>
      <c r="AL507" s="125"/>
    </row>
    <row r="508" hidden="1"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125"/>
      <c r="AI508" s="125"/>
      <c r="AJ508" s="5"/>
      <c r="AK508" s="125"/>
      <c r="AL508" s="125"/>
    </row>
    <row r="509" hidden="1"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125"/>
      <c r="AI509" s="125"/>
      <c r="AJ509" s="5"/>
      <c r="AK509" s="125"/>
      <c r="AL509" s="125"/>
    </row>
    <row r="510" hidden="1"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125"/>
      <c r="AI510" s="125"/>
      <c r="AJ510" s="5"/>
      <c r="AK510" s="125"/>
      <c r="AL510" s="125"/>
    </row>
    <row r="511" hidden="1"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125"/>
      <c r="AI511" s="125"/>
      <c r="AJ511" s="5"/>
      <c r="AK511" s="125"/>
      <c r="AL511" s="125"/>
    </row>
    <row r="512" hidden="1"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125"/>
      <c r="AI512" s="125"/>
      <c r="AJ512" s="5"/>
      <c r="AK512" s="125"/>
      <c r="AL512" s="125"/>
    </row>
    <row r="513" hidden="1"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125"/>
      <c r="AI513" s="125"/>
      <c r="AJ513" s="5"/>
      <c r="AK513" s="125"/>
      <c r="AL513" s="125"/>
    </row>
    <row r="514" hidden="1"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125"/>
      <c r="AI514" s="125"/>
      <c r="AJ514" s="5"/>
      <c r="AK514" s="125"/>
      <c r="AL514" s="125"/>
    </row>
    <row r="515" hidden="1"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125"/>
      <c r="AI515" s="125"/>
      <c r="AJ515" s="5"/>
      <c r="AK515" s="125"/>
      <c r="AL515" s="125"/>
    </row>
    <row r="516" hidden="1"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125"/>
      <c r="AI516" s="125"/>
      <c r="AJ516" s="5"/>
      <c r="AK516" s="125"/>
      <c r="AL516" s="125"/>
    </row>
    <row r="517" hidden="1"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125"/>
      <c r="AI517" s="125"/>
      <c r="AJ517" s="5"/>
      <c r="AK517" s="125"/>
      <c r="AL517" s="125"/>
    </row>
    <row r="518" hidden="1"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125"/>
      <c r="AI518" s="125"/>
      <c r="AJ518" s="5"/>
      <c r="AK518" s="125"/>
      <c r="AL518" s="125"/>
    </row>
    <row r="519" hidden="1"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125"/>
      <c r="AI519" s="125"/>
      <c r="AJ519" s="5"/>
      <c r="AK519" s="125"/>
      <c r="AL519" s="125"/>
    </row>
    <row r="520" hidden="1"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125"/>
      <c r="AI520" s="125"/>
      <c r="AJ520" s="5"/>
      <c r="AK520" s="125"/>
      <c r="AL520" s="125"/>
    </row>
    <row r="521" hidden="1"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125"/>
      <c r="AI521" s="125"/>
      <c r="AJ521" s="5"/>
      <c r="AK521" s="125"/>
      <c r="AL521" s="125"/>
    </row>
    <row r="522" hidden="1"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125"/>
      <c r="AI522" s="125"/>
      <c r="AJ522" s="5"/>
      <c r="AK522" s="125"/>
      <c r="AL522" s="125"/>
    </row>
    <row r="523" hidden="1"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125"/>
      <c r="AI523" s="125"/>
      <c r="AJ523" s="5"/>
      <c r="AK523" s="125"/>
      <c r="AL523" s="125"/>
    </row>
    <row r="524" hidden="1"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125"/>
      <c r="AI524" s="125"/>
      <c r="AJ524" s="5"/>
      <c r="AK524" s="125"/>
      <c r="AL524" s="125"/>
    </row>
    <row r="525" hidden="1"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125"/>
      <c r="AI525" s="125"/>
      <c r="AJ525" s="5"/>
      <c r="AK525" s="125"/>
      <c r="AL525" s="125"/>
    </row>
    <row r="526" hidden="1"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125"/>
      <c r="AI526" s="125"/>
      <c r="AJ526" s="5"/>
      <c r="AK526" s="125"/>
      <c r="AL526" s="125"/>
    </row>
    <row r="527" hidden="1"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125"/>
      <c r="AI527" s="125"/>
      <c r="AJ527" s="5"/>
      <c r="AK527" s="125"/>
      <c r="AL527" s="125"/>
    </row>
    <row r="528" hidden="1"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125"/>
      <c r="AI528" s="125"/>
      <c r="AJ528" s="5"/>
      <c r="AK528" s="125"/>
      <c r="AL528" s="125"/>
    </row>
    <row r="529" hidden="1"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125"/>
      <c r="AI529" s="125"/>
      <c r="AJ529" s="5"/>
      <c r="AK529" s="125"/>
      <c r="AL529" s="125"/>
    </row>
    <row r="530" hidden="1"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125"/>
      <c r="AI530" s="125"/>
      <c r="AJ530" s="5"/>
      <c r="AK530" s="125"/>
      <c r="AL530" s="125"/>
    </row>
    <row r="531" hidden="1"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125"/>
      <c r="AI531" s="125"/>
      <c r="AJ531" s="5"/>
      <c r="AK531" s="125"/>
      <c r="AL531" s="125"/>
    </row>
    <row r="532" hidden="1"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125"/>
      <c r="AI532" s="125"/>
      <c r="AJ532" s="5"/>
      <c r="AK532" s="125"/>
      <c r="AL532" s="125"/>
    </row>
    <row r="533" hidden="1"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125"/>
      <c r="AI533" s="125"/>
      <c r="AJ533" s="5"/>
      <c r="AK533" s="125"/>
      <c r="AL533" s="125"/>
    </row>
    <row r="534" hidden="1"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125"/>
      <c r="AI534" s="125"/>
      <c r="AJ534" s="5"/>
      <c r="AK534" s="125"/>
      <c r="AL534" s="125"/>
    </row>
    <row r="535" hidden="1"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125"/>
      <c r="AI535" s="125"/>
      <c r="AJ535" s="5"/>
      <c r="AK535" s="125"/>
      <c r="AL535" s="125"/>
    </row>
    <row r="536" hidden="1"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125"/>
      <c r="AI536" s="125"/>
      <c r="AJ536" s="5"/>
      <c r="AK536" s="125"/>
      <c r="AL536" s="125"/>
    </row>
    <row r="537" hidden="1"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125"/>
      <c r="AI537" s="125"/>
      <c r="AJ537" s="5"/>
      <c r="AK537" s="125"/>
      <c r="AL537" s="125"/>
    </row>
    <row r="538" hidden="1"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125"/>
      <c r="AI538" s="125"/>
      <c r="AJ538" s="5"/>
      <c r="AK538" s="125"/>
      <c r="AL538" s="125"/>
    </row>
    <row r="539" hidden="1"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125"/>
      <c r="AI539" s="125"/>
      <c r="AJ539" s="5"/>
      <c r="AK539" s="125"/>
      <c r="AL539" s="125"/>
    </row>
    <row r="540" hidden="1"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125"/>
      <c r="AI540" s="125"/>
      <c r="AJ540" s="5"/>
      <c r="AK540" s="125"/>
      <c r="AL540" s="125"/>
    </row>
    <row r="541" hidden="1"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125"/>
      <c r="AI541" s="125"/>
      <c r="AJ541" s="5"/>
      <c r="AK541" s="125"/>
      <c r="AL541" s="125"/>
    </row>
    <row r="542" hidden="1"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125"/>
      <c r="AI542" s="125"/>
      <c r="AJ542" s="5"/>
      <c r="AK542" s="125"/>
      <c r="AL542" s="125"/>
    </row>
    <row r="543" hidden="1"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125"/>
      <c r="AI543" s="125"/>
      <c r="AJ543" s="5"/>
      <c r="AK543" s="125"/>
      <c r="AL543" s="125"/>
    </row>
    <row r="544" hidden="1"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125"/>
      <c r="AI544" s="125"/>
      <c r="AJ544" s="5"/>
      <c r="AK544" s="125"/>
      <c r="AL544" s="125"/>
    </row>
    <row r="545" hidden="1"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125"/>
      <c r="AI545" s="125"/>
      <c r="AJ545" s="5"/>
      <c r="AK545" s="125"/>
      <c r="AL545" s="125"/>
    </row>
    <row r="546" hidden="1"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125"/>
      <c r="AI546" s="125"/>
      <c r="AJ546" s="5"/>
      <c r="AK546" s="125"/>
      <c r="AL546" s="125"/>
    </row>
    <row r="547" hidden="1"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125"/>
      <c r="AI547" s="125"/>
      <c r="AJ547" s="5"/>
      <c r="AK547" s="125"/>
      <c r="AL547" s="125"/>
    </row>
    <row r="548" hidden="1"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125"/>
      <c r="AI548" s="125"/>
      <c r="AJ548" s="5"/>
      <c r="AK548" s="125"/>
      <c r="AL548" s="125"/>
    </row>
    <row r="549" hidden="1"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125"/>
      <c r="AI549" s="125"/>
      <c r="AJ549" s="5"/>
      <c r="AK549" s="125"/>
      <c r="AL549" s="125"/>
    </row>
    <row r="550" hidden="1"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125"/>
      <c r="AI550" s="125"/>
      <c r="AJ550" s="5"/>
      <c r="AK550" s="125"/>
      <c r="AL550" s="125"/>
    </row>
    <row r="551" hidden="1"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125"/>
      <c r="AI551" s="125"/>
      <c r="AJ551" s="5"/>
      <c r="AK551" s="125"/>
      <c r="AL551" s="125"/>
    </row>
    <row r="552" hidden="1"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125"/>
      <c r="AI552" s="125"/>
      <c r="AJ552" s="5"/>
      <c r="AK552" s="125"/>
      <c r="AL552" s="125"/>
    </row>
    <row r="553" hidden="1"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125"/>
      <c r="AI553" s="125"/>
      <c r="AJ553" s="5"/>
      <c r="AK553" s="125"/>
      <c r="AL553" s="125"/>
    </row>
    <row r="554" hidden="1"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125"/>
      <c r="AI554" s="125"/>
      <c r="AJ554" s="5"/>
      <c r="AK554" s="125"/>
      <c r="AL554" s="125"/>
    </row>
    <row r="555" hidden="1"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125"/>
      <c r="AI555" s="125"/>
      <c r="AJ555" s="5"/>
      <c r="AK555" s="125"/>
      <c r="AL555" s="125"/>
    </row>
    <row r="556" hidden="1"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125"/>
      <c r="AI556" s="125"/>
      <c r="AJ556" s="5"/>
      <c r="AK556" s="125"/>
      <c r="AL556" s="125"/>
    </row>
    <row r="557" hidden="1"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125"/>
      <c r="AI557" s="125"/>
      <c r="AJ557" s="5"/>
      <c r="AK557" s="125"/>
      <c r="AL557" s="125"/>
    </row>
    <row r="558" hidden="1"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125"/>
      <c r="AI558" s="125"/>
      <c r="AJ558" s="5"/>
      <c r="AK558" s="125"/>
      <c r="AL558" s="125"/>
    </row>
    <row r="559" hidden="1"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125"/>
      <c r="AI559" s="125"/>
      <c r="AJ559" s="5"/>
      <c r="AK559" s="125"/>
      <c r="AL559" s="125"/>
    </row>
    <row r="560" hidden="1"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125"/>
      <c r="AI560" s="125"/>
      <c r="AJ560" s="5"/>
      <c r="AK560" s="125"/>
      <c r="AL560" s="125"/>
    </row>
    <row r="561" hidden="1"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125"/>
      <c r="AI561" s="125"/>
      <c r="AJ561" s="5"/>
      <c r="AK561" s="125"/>
      <c r="AL561" s="125"/>
    </row>
    <row r="562" hidden="1"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125"/>
      <c r="AI562" s="125"/>
      <c r="AJ562" s="5"/>
      <c r="AK562" s="125"/>
      <c r="AL562" s="125"/>
    </row>
    <row r="563" hidden="1"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125"/>
      <c r="AI563" s="125"/>
      <c r="AJ563" s="5"/>
      <c r="AK563" s="125"/>
      <c r="AL563" s="125"/>
    </row>
    <row r="564" hidden="1"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125"/>
      <c r="AI564" s="125"/>
      <c r="AJ564" s="5"/>
      <c r="AK564" s="125"/>
      <c r="AL564" s="125"/>
    </row>
    <row r="565" hidden="1"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125"/>
      <c r="AI565" s="125"/>
      <c r="AJ565" s="5"/>
      <c r="AK565" s="125"/>
      <c r="AL565" s="125"/>
    </row>
    <row r="566" hidden="1"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125"/>
      <c r="AI566" s="125"/>
      <c r="AJ566" s="5"/>
      <c r="AK566" s="125"/>
      <c r="AL566" s="125"/>
    </row>
    <row r="567" hidden="1"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125"/>
      <c r="AI567" s="125"/>
      <c r="AJ567" s="5"/>
      <c r="AK567" s="125"/>
      <c r="AL567" s="125"/>
    </row>
    <row r="568" hidden="1"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125"/>
      <c r="AI568" s="125"/>
      <c r="AJ568" s="5"/>
      <c r="AK568" s="125"/>
      <c r="AL568" s="125"/>
    </row>
    <row r="569" hidden="1"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125"/>
      <c r="AI569" s="125"/>
      <c r="AJ569" s="5"/>
      <c r="AK569" s="125"/>
      <c r="AL569" s="125"/>
    </row>
    <row r="570" hidden="1"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125"/>
      <c r="AI570" s="125"/>
      <c r="AJ570" s="5"/>
      <c r="AK570" s="125"/>
      <c r="AL570" s="125"/>
    </row>
    <row r="571" hidden="1"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125"/>
      <c r="AI571" s="125"/>
      <c r="AJ571" s="5"/>
      <c r="AK571" s="125"/>
      <c r="AL571" s="125"/>
    </row>
    <row r="572" hidden="1"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125"/>
      <c r="AI572" s="125"/>
      <c r="AJ572" s="5"/>
      <c r="AK572" s="125"/>
      <c r="AL572" s="125"/>
    </row>
    <row r="573" hidden="1"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125"/>
      <c r="AI573" s="125"/>
      <c r="AJ573" s="5"/>
      <c r="AK573" s="125"/>
      <c r="AL573" s="125"/>
    </row>
    <row r="574" hidden="1"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125"/>
      <c r="AI574" s="125"/>
      <c r="AJ574" s="5"/>
      <c r="AK574" s="125"/>
      <c r="AL574" s="125"/>
    </row>
    <row r="575" hidden="1"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125"/>
      <c r="AI575" s="125"/>
      <c r="AJ575" s="5"/>
      <c r="AK575" s="125"/>
      <c r="AL575" s="125"/>
    </row>
    <row r="576" hidden="1"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125"/>
      <c r="AI576" s="125"/>
      <c r="AJ576" s="5"/>
      <c r="AK576" s="125"/>
      <c r="AL576" s="125"/>
    </row>
    <row r="577" hidden="1"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125"/>
      <c r="AI577" s="125"/>
      <c r="AJ577" s="5"/>
      <c r="AK577" s="125"/>
      <c r="AL577" s="125"/>
    </row>
    <row r="578" hidden="1"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125"/>
      <c r="AI578" s="125"/>
      <c r="AJ578" s="5"/>
      <c r="AK578" s="125"/>
      <c r="AL578" s="125"/>
    </row>
    <row r="579" hidden="1"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125"/>
      <c r="AI579" s="125"/>
      <c r="AJ579" s="5"/>
      <c r="AK579" s="125"/>
      <c r="AL579" s="125"/>
    </row>
    <row r="580" hidden="1"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125"/>
      <c r="AI580" s="125"/>
      <c r="AJ580" s="5"/>
      <c r="AK580" s="125"/>
      <c r="AL580" s="125"/>
    </row>
    <row r="581" hidden="1"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125"/>
      <c r="AI581" s="125"/>
      <c r="AJ581" s="5"/>
      <c r="AK581" s="125"/>
      <c r="AL581" s="125"/>
    </row>
    <row r="582" hidden="1"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125"/>
      <c r="AI582" s="125"/>
      <c r="AJ582" s="5"/>
      <c r="AK582" s="125"/>
      <c r="AL582" s="125"/>
    </row>
    <row r="583" hidden="1"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125"/>
      <c r="AI583" s="125"/>
      <c r="AJ583" s="5"/>
      <c r="AK583" s="125"/>
      <c r="AL583" s="125"/>
    </row>
    <row r="584" hidden="1"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125"/>
      <c r="AI584" s="125"/>
      <c r="AJ584" s="5"/>
      <c r="AK584" s="125"/>
      <c r="AL584" s="125"/>
    </row>
    <row r="585" hidden="1"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125"/>
      <c r="AI585" s="125"/>
      <c r="AJ585" s="5"/>
      <c r="AK585" s="125"/>
      <c r="AL585" s="125"/>
    </row>
    <row r="586" hidden="1"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125"/>
      <c r="AI586" s="125"/>
      <c r="AJ586" s="5"/>
      <c r="AK586" s="125"/>
      <c r="AL586" s="125"/>
    </row>
    <row r="587" hidden="1"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125"/>
      <c r="AI587" s="125"/>
      <c r="AJ587" s="5"/>
      <c r="AK587" s="125"/>
      <c r="AL587" s="125"/>
    </row>
    <row r="588" hidden="1"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125"/>
      <c r="AI588" s="125"/>
      <c r="AJ588" s="5"/>
      <c r="AK588" s="125"/>
      <c r="AL588" s="125"/>
    </row>
    <row r="589" hidden="1"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125"/>
      <c r="AI589" s="125"/>
      <c r="AJ589" s="5"/>
      <c r="AK589" s="125"/>
      <c r="AL589" s="125"/>
    </row>
    <row r="590" hidden="1"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125"/>
      <c r="AI590" s="125"/>
      <c r="AJ590" s="5"/>
      <c r="AK590" s="125"/>
      <c r="AL590" s="125"/>
    </row>
    <row r="591" hidden="1"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125"/>
      <c r="AI591" s="125"/>
      <c r="AJ591" s="5"/>
      <c r="AK591" s="125"/>
      <c r="AL591" s="125"/>
    </row>
    <row r="592" hidden="1"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125"/>
      <c r="AI592" s="125"/>
      <c r="AJ592" s="5"/>
      <c r="AK592" s="125"/>
      <c r="AL592" s="125"/>
    </row>
    <row r="593" hidden="1"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125"/>
      <c r="AI593" s="125"/>
      <c r="AJ593" s="5"/>
      <c r="AK593" s="125"/>
      <c r="AL593" s="125"/>
    </row>
    <row r="594" hidden="1"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125"/>
      <c r="AI594" s="125"/>
      <c r="AJ594" s="5"/>
      <c r="AK594" s="125"/>
      <c r="AL594" s="125"/>
    </row>
    <row r="595" hidden="1"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125"/>
      <c r="AI595" s="125"/>
      <c r="AJ595" s="5"/>
      <c r="AK595" s="125"/>
      <c r="AL595" s="125"/>
    </row>
    <row r="596" hidden="1"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125"/>
      <c r="AI596" s="125"/>
      <c r="AJ596" s="5"/>
      <c r="AK596" s="125"/>
      <c r="AL596" s="125"/>
    </row>
    <row r="597" hidden="1"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125"/>
      <c r="AI597" s="125"/>
      <c r="AJ597" s="5"/>
      <c r="AK597" s="125"/>
      <c r="AL597" s="125"/>
    </row>
    <row r="598" hidden="1"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125"/>
      <c r="AI598" s="125"/>
      <c r="AJ598" s="5"/>
      <c r="AK598" s="125"/>
      <c r="AL598" s="125"/>
    </row>
    <row r="599" hidden="1"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125"/>
      <c r="AI599" s="125"/>
      <c r="AJ599" s="5"/>
      <c r="AK599" s="125"/>
      <c r="AL599" s="125"/>
    </row>
    <row r="600" hidden="1"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125"/>
      <c r="AI600" s="125"/>
      <c r="AJ600" s="5"/>
      <c r="AK600" s="125"/>
      <c r="AL600" s="125"/>
    </row>
    <row r="601" hidden="1"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125"/>
      <c r="AI601" s="125"/>
      <c r="AJ601" s="5"/>
      <c r="AK601" s="125"/>
      <c r="AL601" s="125"/>
    </row>
    <row r="602" hidden="1"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125"/>
      <c r="AI602" s="125"/>
      <c r="AJ602" s="5"/>
      <c r="AK602" s="125"/>
      <c r="AL602" s="125"/>
    </row>
    <row r="603" hidden="1"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125"/>
      <c r="AI603" s="125"/>
      <c r="AJ603" s="5"/>
      <c r="AK603" s="125"/>
      <c r="AL603" s="125"/>
    </row>
    <row r="604" hidden="1"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125"/>
      <c r="AI604" s="125"/>
      <c r="AJ604" s="5"/>
      <c r="AK604" s="125"/>
      <c r="AL604" s="125"/>
    </row>
    <row r="605" hidden="1"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125"/>
      <c r="AI605" s="125"/>
      <c r="AJ605" s="5"/>
      <c r="AK605" s="125"/>
      <c r="AL605" s="125"/>
    </row>
    <row r="606" hidden="1"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125"/>
      <c r="AI606" s="125"/>
      <c r="AJ606" s="5"/>
      <c r="AK606" s="125"/>
      <c r="AL606" s="125"/>
    </row>
    <row r="607" hidden="1"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125"/>
      <c r="AI607" s="125"/>
      <c r="AJ607" s="5"/>
      <c r="AK607" s="125"/>
      <c r="AL607" s="125"/>
    </row>
    <row r="608" hidden="1"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125"/>
      <c r="AI608" s="125"/>
      <c r="AJ608" s="5"/>
      <c r="AK608" s="125"/>
      <c r="AL608" s="125"/>
    </row>
    <row r="609" hidden="1"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125"/>
      <c r="AI609" s="125"/>
      <c r="AJ609" s="5"/>
      <c r="AK609" s="125"/>
      <c r="AL609" s="125"/>
    </row>
    <row r="610" hidden="1"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125"/>
      <c r="AI610" s="125"/>
      <c r="AJ610" s="5"/>
      <c r="AK610" s="125"/>
      <c r="AL610" s="125"/>
    </row>
    <row r="611" hidden="1"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125"/>
      <c r="AI611" s="125"/>
      <c r="AJ611" s="5"/>
      <c r="AK611" s="125"/>
      <c r="AL611" s="125"/>
    </row>
    <row r="612" hidden="1"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125"/>
      <c r="AI612" s="125"/>
      <c r="AJ612" s="5"/>
      <c r="AK612" s="125"/>
      <c r="AL612" s="125"/>
    </row>
    <row r="613" hidden="1"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125"/>
      <c r="AI613" s="125"/>
      <c r="AJ613" s="5"/>
      <c r="AK613" s="125"/>
      <c r="AL613" s="125"/>
    </row>
    <row r="614" hidden="1"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125"/>
      <c r="AI614" s="125"/>
      <c r="AJ614" s="5"/>
      <c r="AK614" s="125"/>
      <c r="AL614" s="125"/>
    </row>
    <row r="615" hidden="1"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125"/>
      <c r="AI615" s="125"/>
      <c r="AJ615" s="5"/>
      <c r="AK615" s="125"/>
      <c r="AL615" s="125"/>
    </row>
    <row r="616" hidden="1"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125"/>
      <c r="AI616" s="125"/>
      <c r="AJ616" s="5"/>
      <c r="AK616" s="125"/>
      <c r="AL616" s="125"/>
    </row>
    <row r="617" hidden="1"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125"/>
      <c r="AI617" s="125"/>
      <c r="AJ617" s="5"/>
      <c r="AK617" s="125"/>
      <c r="AL617" s="125"/>
    </row>
    <row r="618" hidden="1"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125"/>
      <c r="AI618" s="125"/>
      <c r="AJ618" s="5"/>
      <c r="AK618" s="125"/>
      <c r="AL618" s="125"/>
    </row>
    <row r="619" hidden="1"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125"/>
      <c r="AI619" s="125"/>
      <c r="AJ619" s="5"/>
      <c r="AK619" s="125"/>
      <c r="AL619" s="125"/>
    </row>
    <row r="620" hidden="1"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125"/>
      <c r="AI620" s="125"/>
      <c r="AJ620" s="5"/>
      <c r="AK620" s="125"/>
      <c r="AL620" s="125"/>
    </row>
    <row r="621" hidden="1"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125"/>
      <c r="AI621" s="125"/>
      <c r="AJ621" s="5"/>
      <c r="AK621" s="125"/>
      <c r="AL621" s="125"/>
    </row>
    <row r="622" hidden="1"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125"/>
      <c r="AI622" s="125"/>
      <c r="AJ622" s="5"/>
      <c r="AK622" s="125"/>
      <c r="AL622" s="125"/>
    </row>
    <row r="623" hidden="1"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125"/>
      <c r="AI623" s="125"/>
      <c r="AJ623" s="5"/>
      <c r="AK623" s="125"/>
      <c r="AL623" s="125"/>
    </row>
    <row r="624" hidden="1"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125"/>
      <c r="AI624" s="125"/>
      <c r="AJ624" s="5"/>
      <c r="AK624" s="125"/>
      <c r="AL624" s="125"/>
    </row>
    <row r="625" hidden="1"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125"/>
      <c r="AI625" s="125"/>
      <c r="AJ625" s="5"/>
      <c r="AK625" s="125"/>
      <c r="AL625" s="125"/>
    </row>
    <row r="626" hidden="1"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125"/>
      <c r="AI626" s="125"/>
      <c r="AJ626" s="5"/>
      <c r="AK626" s="125"/>
      <c r="AL626" s="125"/>
    </row>
    <row r="627" hidden="1"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125"/>
      <c r="AI627" s="125"/>
      <c r="AJ627" s="5"/>
      <c r="AK627" s="125"/>
      <c r="AL627" s="125"/>
    </row>
    <row r="628" hidden="1"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125"/>
      <c r="AI628" s="125"/>
      <c r="AJ628" s="5"/>
      <c r="AK628" s="125"/>
      <c r="AL628" s="125"/>
    </row>
    <row r="629" hidden="1"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125"/>
      <c r="AI629" s="125"/>
      <c r="AJ629" s="5"/>
      <c r="AK629" s="125"/>
      <c r="AL629" s="125"/>
    </row>
    <row r="630" hidden="1"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125"/>
      <c r="AI630" s="125"/>
      <c r="AJ630" s="5"/>
      <c r="AK630" s="125"/>
      <c r="AL630" s="125"/>
    </row>
    <row r="631" hidden="1"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125"/>
      <c r="AI631" s="125"/>
      <c r="AJ631" s="5"/>
      <c r="AK631" s="125"/>
      <c r="AL631" s="125"/>
    </row>
    <row r="632" hidden="1"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125"/>
      <c r="AI632" s="125"/>
      <c r="AJ632" s="5"/>
      <c r="AK632" s="125"/>
      <c r="AL632" s="125"/>
    </row>
    <row r="633" hidden="1"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125"/>
      <c r="AI633" s="125"/>
      <c r="AJ633" s="5"/>
      <c r="AK633" s="125"/>
      <c r="AL633" s="125"/>
    </row>
    <row r="634" hidden="1"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125"/>
      <c r="AI634" s="125"/>
      <c r="AJ634" s="5"/>
      <c r="AK634" s="125"/>
      <c r="AL634" s="125"/>
    </row>
    <row r="635" hidden="1"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125"/>
      <c r="AI635" s="125"/>
      <c r="AJ635" s="5"/>
      <c r="AK635" s="125"/>
      <c r="AL635" s="125"/>
    </row>
    <row r="636" hidden="1"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125"/>
      <c r="AI636" s="125"/>
      <c r="AJ636" s="5"/>
      <c r="AK636" s="125"/>
      <c r="AL636" s="125"/>
    </row>
    <row r="637" hidden="1"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125"/>
      <c r="AI637" s="125"/>
      <c r="AJ637" s="5"/>
      <c r="AK637" s="125"/>
      <c r="AL637" s="125"/>
    </row>
    <row r="638" hidden="1"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125"/>
      <c r="AI638" s="125"/>
      <c r="AJ638" s="5"/>
      <c r="AK638" s="125"/>
      <c r="AL638" s="125"/>
    </row>
    <row r="639" hidden="1"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125"/>
      <c r="AI639" s="125"/>
      <c r="AJ639" s="5"/>
      <c r="AK639" s="125"/>
      <c r="AL639" s="125"/>
    </row>
    <row r="640" hidden="1"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125"/>
      <c r="AI640" s="125"/>
      <c r="AJ640" s="5"/>
      <c r="AK640" s="125"/>
      <c r="AL640" s="125"/>
    </row>
    <row r="641" hidden="1"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125"/>
      <c r="AI641" s="125"/>
      <c r="AJ641" s="5"/>
      <c r="AK641" s="125"/>
      <c r="AL641" s="125"/>
    </row>
    <row r="642" hidden="1"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125"/>
      <c r="AI642" s="125"/>
      <c r="AJ642" s="5"/>
      <c r="AK642" s="125"/>
      <c r="AL642" s="125"/>
    </row>
    <row r="643" hidden="1"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125"/>
      <c r="AI643" s="125"/>
      <c r="AJ643" s="5"/>
      <c r="AK643" s="125"/>
      <c r="AL643" s="125"/>
    </row>
    <row r="644" hidden="1"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125"/>
      <c r="AI644" s="125"/>
      <c r="AJ644" s="5"/>
      <c r="AK644" s="125"/>
      <c r="AL644" s="125"/>
    </row>
    <row r="645" hidden="1"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125"/>
      <c r="AI645" s="125"/>
      <c r="AJ645" s="5"/>
      <c r="AK645" s="125"/>
      <c r="AL645" s="125"/>
    </row>
    <row r="646" hidden="1"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125"/>
      <c r="AI646" s="125"/>
      <c r="AJ646" s="5"/>
      <c r="AK646" s="125"/>
      <c r="AL646" s="125"/>
    </row>
    <row r="647" hidden="1"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125"/>
      <c r="AI647" s="125"/>
      <c r="AJ647" s="5"/>
      <c r="AK647" s="125"/>
      <c r="AL647" s="125"/>
    </row>
    <row r="648" hidden="1"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125"/>
      <c r="AI648" s="125"/>
      <c r="AJ648" s="5"/>
      <c r="AK648" s="125"/>
      <c r="AL648" s="125"/>
    </row>
    <row r="649" hidden="1"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125"/>
      <c r="AI649" s="125"/>
      <c r="AJ649" s="5"/>
      <c r="AK649" s="125"/>
      <c r="AL649" s="125"/>
    </row>
    <row r="650" hidden="1"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125"/>
      <c r="AI650" s="125"/>
      <c r="AJ650" s="5"/>
      <c r="AK650" s="125"/>
      <c r="AL650" s="125"/>
    </row>
    <row r="651" hidden="1"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125"/>
      <c r="AI651" s="125"/>
      <c r="AJ651" s="5"/>
      <c r="AK651" s="125"/>
      <c r="AL651" s="125"/>
    </row>
    <row r="652" hidden="1"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125"/>
      <c r="AI652" s="125"/>
      <c r="AJ652" s="5"/>
      <c r="AK652" s="125"/>
      <c r="AL652" s="125"/>
    </row>
    <row r="653" hidden="1"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125"/>
      <c r="AI653" s="125"/>
      <c r="AJ653" s="5"/>
      <c r="AK653" s="125"/>
      <c r="AL653" s="125"/>
    </row>
    <row r="654" hidden="1"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125"/>
      <c r="AI654" s="125"/>
      <c r="AJ654" s="5"/>
      <c r="AK654" s="125"/>
      <c r="AL654" s="125"/>
    </row>
    <row r="655" hidden="1"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125"/>
      <c r="AI655" s="125"/>
      <c r="AJ655" s="5"/>
      <c r="AK655" s="125"/>
      <c r="AL655" s="125"/>
    </row>
    <row r="656" hidden="1"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125"/>
      <c r="AI656" s="125"/>
      <c r="AJ656" s="5"/>
      <c r="AK656" s="125"/>
      <c r="AL656" s="125"/>
    </row>
    <row r="657" hidden="1"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125"/>
      <c r="AI657" s="125"/>
      <c r="AJ657" s="5"/>
      <c r="AK657" s="125"/>
      <c r="AL657" s="125"/>
    </row>
    <row r="658" hidden="1"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125"/>
      <c r="AI658" s="125"/>
      <c r="AJ658" s="5"/>
      <c r="AK658" s="125"/>
      <c r="AL658" s="125"/>
    </row>
    <row r="659" hidden="1"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125"/>
      <c r="AI659" s="125"/>
      <c r="AJ659" s="5"/>
      <c r="AK659" s="125"/>
      <c r="AL659" s="125"/>
    </row>
    <row r="660" hidden="1"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125"/>
      <c r="AI660" s="125"/>
      <c r="AJ660" s="5"/>
      <c r="AK660" s="125"/>
      <c r="AL660" s="125"/>
    </row>
    <row r="661" hidden="1"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125"/>
      <c r="AI661" s="125"/>
      <c r="AJ661" s="5"/>
      <c r="AK661" s="125"/>
      <c r="AL661" s="125"/>
    </row>
    <row r="662" hidden="1"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125"/>
      <c r="AI662" s="125"/>
      <c r="AJ662" s="5"/>
      <c r="AK662" s="125"/>
      <c r="AL662" s="125"/>
    </row>
    <row r="663" hidden="1"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125"/>
      <c r="AI663" s="125"/>
      <c r="AJ663" s="5"/>
      <c r="AK663" s="125"/>
      <c r="AL663" s="125"/>
    </row>
    <row r="664" hidden="1"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125"/>
      <c r="AI664" s="125"/>
      <c r="AJ664" s="5"/>
      <c r="AK664" s="125"/>
      <c r="AL664" s="125"/>
    </row>
    <row r="665" hidden="1"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125"/>
      <c r="AI665" s="125"/>
      <c r="AJ665" s="5"/>
      <c r="AK665" s="125"/>
      <c r="AL665" s="125"/>
    </row>
    <row r="666" hidden="1"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125"/>
      <c r="AI666" s="125"/>
      <c r="AJ666" s="5"/>
      <c r="AK666" s="125"/>
      <c r="AL666" s="125"/>
    </row>
    <row r="667" hidden="1"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125"/>
      <c r="AI667" s="125"/>
      <c r="AJ667" s="5"/>
      <c r="AK667" s="125"/>
      <c r="AL667" s="125"/>
    </row>
    <row r="668" hidden="1"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125"/>
      <c r="AI668" s="125"/>
      <c r="AJ668" s="5"/>
      <c r="AK668" s="125"/>
      <c r="AL668" s="125"/>
    </row>
    <row r="669" hidden="1"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125"/>
      <c r="AI669" s="125"/>
      <c r="AJ669" s="5"/>
      <c r="AK669" s="125"/>
      <c r="AL669" s="125"/>
    </row>
    <row r="670" hidden="1"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125"/>
      <c r="AI670" s="125"/>
      <c r="AJ670" s="5"/>
      <c r="AK670" s="125"/>
      <c r="AL670" s="125"/>
    </row>
    <row r="671" hidden="1"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125"/>
      <c r="AI671" s="125"/>
      <c r="AJ671" s="5"/>
      <c r="AK671" s="125"/>
      <c r="AL671" s="125"/>
    </row>
    <row r="672" hidden="1"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125"/>
      <c r="AI672" s="125"/>
      <c r="AJ672" s="5"/>
      <c r="AK672" s="125"/>
      <c r="AL672" s="125"/>
    </row>
    <row r="673" hidden="1"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125"/>
      <c r="AI673" s="125"/>
      <c r="AJ673" s="5"/>
      <c r="AK673" s="125"/>
      <c r="AL673" s="125"/>
    </row>
    <row r="674" hidden="1"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125"/>
      <c r="AI674" s="125"/>
      <c r="AJ674" s="5"/>
      <c r="AK674" s="125"/>
      <c r="AL674" s="125"/>
    </row>
    <row r="675" hidden="1"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125"/>
      <c r="AI675" s="125"/>
      <c r="AJ675" s="5"/>
      <c r="AK675" s="125"/>
      <c r="AL675" s="125"/>
    </row>
    <row r="676" hidden="1"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125"/>
      <c r="AI676" s="125"/>
      <c r="AJ676" s="5"/>
      <c r="AK676" s="125"/>
      <c r="AL676" s="125"/>
    </row>
    <row r="677" hidden="1"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125"/>
      <c r="AI677" s="125"/>
      <c r="AJ677" s="5"/>
      <c r="AK677" s="125"/>
      <c r="AL677" s="125"/>
    </row>
    <row r="678" hidden="1"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125"/>
      <c r="AI678" s="125"/>
      <c r="AJ678" s="5"/>
      <c r="AK678" s="125"/>
      <c r="AL678" s="125"/>
    </row>
    <row r="679" hidden="1"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125"/>
      <c r="AI679" s="125"/>
      <c r="AJ679" s="5"/>
      <c r="AK679" s="125"/>
      <c r="AL679" s="125"/>
    </row>
    <row r="680" hidden="1"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125"/>
      <c r="AI680" s="125"/>
      <c r="AJ680" s="5"/>
      <c r="AK680" s="125"/>
      <c r="AL680" s="125"/>
    </row>
    <row r="681" hidden="1"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125"/>
      <c r="AI681" s="125"/>
      <c r="AJ681" s="5"/>
      <c r="AK681" s="125"/>
      <c r="AL681" s="125"/>
    </row>
    <row r="682" hidden="1"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125"/>
      <c r="AI682" s="125"/>
      <c r="AJ682" s="5"/>
      <c r="AK682" s="125"/>
      <c r="AL682" s="125"/>
    </row>
    <row r="683" hidden="1"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125"/>
      <c r="AI683" s="125"/>
      <c r="AJ683" s="5"/>
      <c r="AK683" s="125"/>
      <c r="AL683" s="125"/>
    </row>
    <row r="684" hidden="1"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125"/>
      <c r="AI684" s="125"/>
      <c r="AJ684" s="5"/>
      <c r="AK684" s="125"/>
      <c r="AL684" s="125"/>
    </row>
    <row r="685" hidden="1"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125"/>
      <c r="AI685" s="125"/>
      <c r="AJ685" s="5"/>
      <c r="AK685" s="125"/>
      <c r="AL685" s="125"/>
    </row>
    <row r="686" hidden="1"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125"/>
      <c r="AI686" s="125"/>
      <c r="AJ686" s="5"/>
      <c r="AK686" s="125"/>
      <c r="AL686" s="125"/>
    </row>
    <row r="687" hidden="1"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125"/>
      <c r="AI687" s="125"/>
      <c r="AJ687" s="5"/>
      <c r="AK687" s="125"/>
      <c r="AL687" s="125"/>
    </row>
    <row r="688" hidden="1"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125"/>
      <c r="AI688" s="125"/>
      <c r="AJ688" s="5"/>
      <c r="AK688" s="125"/>
      <c r="AL688" s="125"/>
    </row>
    <row r="689" hidden="1"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125"/>
      <c r="AI689" s="125"/>
      <c r="AJ689" s="5"/>
      <c r="AK689" s="125"/>
      <c r="AL689" s="125"/>
    </row>
    <row r="690" hidden="1"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125"/>
      <c r="AI690" s="125"/>
      <c r="AJ690" s="5"/>
      <c r="AK690" s="125"/>
      <c r="AL690" s="125"/>
    </row>
    <row r="691" hidden="1"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125"/>
      <c r="AI691" s="125"/>
      <c r="AJ691" s="5"/>
      <c r="AK691" s="125"/>
      <c r="AL691" s="125"/>
    </row>
    <row r="692" hidden="1"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125"/>
      <c r="AI692" s="125"/>
      <c r="AJ692" s="5"/>
      <c r="AK692" s="125"/>
      <c r="AL692" s="125"/>
    </row>
    <row r="693" hidden="1"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125"/>
      <c r="AI693" s="125"/>
      <c r="AJ693" s="5"/>
      <c r="AK693" s="125"/>
      <c r="AL693" s="125"/>
    </row>
    <row r="694" hidden="1"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125"/>
      <c r="AI694" s="125"/>
      <c r="AJ694" s="5"/>
      <c r="AK694" s="125"/>
      <c r="AL694" s="125"/>
    </row>
    <row r="695" hidden="1"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125"/>
      <c r="AI695" s="125"/>
      <c r="AJ695" s="5"/>
      <c r="AK695" s="125"/>
      <c r="AL695" s="125"/>
    </row>
    <row r="696" hidden="1"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125"/>
      <c r="AI696" s="125"/>
      <c r="AJ696" s="5"/>
      <c r="AK696" s="125"/>
      <c r="AL696" s="125"/>
    </row>
    <row r="697" hidden="1"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125"/>
      <c r="AI697" s="125"/>
      <c r="AJ697" s="5"/>
      <c r="AK697" s="125"/>
      <c r="AL697" s="125"/>
    </row>
    <row r="698" hidden="1"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125"/>
      <c r="AI698" s="125"/>
      <c r="AJ698" s="5"/>
      <c r="AK698" s="125"/>
      <c r="AL698" s="125"/>
    </row>
    <row r="699" hidden="1"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125"/>
      <c r="AI699" s="125"/>
      <c r="AJ699" s="5"/>
      <c r="AK699" s="125"/>
      <c r="AL699" s="125"/>
    </row>
    <row r="700" hidden="1"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125"/>
      <c r="AI700" s="125"/>
      <c r="AJ700" s="5"/>
      <c r="AK700" s="125"/>
      <c r="AL700" s="125"/>
    </row>
    <row r="701" hidden="1"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125"/>
      <c r="AI701" s="125"/>
      <c r="AJ701" s="5"/>
      <c r="AK701" s="125"/>
      <c r="AL701" s="125"/>
    </row>
    <row r="702" hidden="1"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125"/>
      <c r="AI702" s="125"/>
      <c r="AJ702" s="5"/>
      <c r="AK702" s="125"/>
      <c r="AL702" s="125"/>
    </row>
    <row r="703" hidden="1"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125"/>
      <c r="AI703" s="125"/>
      <c r="AJ703" s="5"/>
      <c r="AK703" s="125"/>
      <c r="AL703" s="125"/>
    </row>
    <row r="704" hidden="1"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125"/>
      <c r="AI704" s="125"/>
      <c r="AJ704" s="5"/>
      <c r="AK704" s="125"/>
      <c r="AL704" s="125"/>
    </row>
    <row r="705" hidden="1"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125"/>
      <c r="AI705" s="125"/>
      <c r="AJ705" s="5"/>
      <c r="AK705" s="125"/>
      <c r="AL705" s="125"/>
    </row>
    <row r="706" hidden="1"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125"/>
      <c r="AI706" s="125"/>
      <c r="AJ706" s="5"/>
      <c r="AK706" s="125"/>
      <c r="AL706" s="125"/>
    </row>
    <row r="707" hidden="1"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125"/>
      <c r="AI707" s="125"/>
      <c r="AJ707" s="5"/>
      <c r="AK707" s="125"/>
      <c r="AL707" s="125"/>
    </row>
    <row r="708" hidden="1"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125"/>
      <c r="AI708" s="125"/>
      <c r="AJ708" s="5"/>
      <c r="AK708" s="125"/>
      <c r="AL708" s="125"/>
    </row>
    <row r="709" hidden="1"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125"/>
      <c r="AI709" s="125"/>
      <c r="AJ709" s="5"/>
      <c r="AK709" s="125"/>
      <c r="AL709" s="125"/>
    </row>
    <row r="710" hidden="1"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125"/>
      <c r="AI710" s="125"/>
      <c r="AJ710" s="5"/>
      <c r="AK710" s="125"/>
      <c r="AL710" s="125"/>
    </row>
    <row r="711" hidden="1"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125"/>
      <c r="AI711" s="125"/>
      <c r="AJ711" s="5"/>
      <c r="AK711" s="125"/>
      <c r="AL711" s="125"/>
    </row>
    <row r="712" hidden="1"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125"/>
      <c r="AI712" s="125"/>
      <c r="AJ712" s="5"/>
      <c r="AK712" s="125"/>
      <c r="AL712" s="125"/>
    </row>
    <row r="713" hidden="1"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125"/>
      <c r="AI713" s="125"/>
      <c r="AJ713" s="5"/>
      <c r="AK713" s="125"/>
      <c r="AL713" s="125"/>
    </row>
    <row r="714" hidden="1"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125"/>
      <c r="AI714" s="125"/>
      <c r="AJ714" s="5"/>
      <c r="AK714" s="125"/>
      <c r="AL714" s="125"/>
    </row>
    <row r="715" hidden="1"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125"/>
      <c r="AI715" s="125"/>
      <c r="AJ715" s="5"/>
      <c r="AK715" s="125"/>
      <c r="AL715" s="125"/>
    </row>
    <row r="716" hidden="1"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125"/>
      <c r="AI716" s="125"/>
      <c r="AJ716" s="5"/>
      <c r="AK716" s="125"/>
      <c r="AL716" s="125"/>
    </row>
    <row r="717" hidden="1"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125"/>
      <c r="AI717" s="125"/>
      <c r="AJ717" s="5"/>
      <c r="AK717" s="125"/>
      <c r="AL717" s="125"/>
    </row>
    <row r="718" hidden="1"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125"/>
      <c r="AI718" s="125"/>
      <c r="AJ718" s="5"/>
      <c r="AK718" s="125"/>
      <c r="AL718" s="125"/>
    </row>
    <row r="719" hidden="1"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125"/>
      <c r="AI719" s="125"/>
      <c r="AJ719" s="5"/>
      <c r="AK719" s="125"/>
      <c r="AL719" s="125"/>
    </row>
    <row r="720" hidden="1"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125"/>
      <c r="AI720" s="125"/>
      <c r="AJ720" s="5"/>
      <c r="AK720" s="125"/>
      <c r="AL720" s="125"/>
    </row>
    <row r="721" hidden="1"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125"/>
      <c r="AI721" s="125"/>
      <c r="AJ721" s="5"/>
      <c r="AK721" s="125"/>
      <c r="AL721" s="125"/>
    </row>
    <row r="722" hidden="1"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125"/>
      <c r="AI722" s="125"/>
      <c r="AJ722" s="5"/>
      <c r="AK722" s="125"/>
      <c r="AL722" s="125"/>
    </row>
    <row r="723" hidden="1"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125"/>
      <c r="AI723" s="125"/>
      <c r="AJ723" s="5"/>
      <c r="AK723" s="125"/>
      <c r="AL723" s="125"/>
    </row>
    <row r="724" hidden="1"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125"/>
      <c r="AI724" s="125"/>
      <c r="AJ724" s="5"/>
      <c r="AK724" s="125"/>
      <c r="AL724" s="125"/>
    </row>
    <row r="725" hidden="1"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125"/>
      <c r="AI725" s="125"/>
      <c r="AJ725" s="5"/>
      <c r="AK725" s="125"/>
      <c r="AL725" s="125"/>
    </row>
    <row r="726" hidden="1"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125"/>
      <c r="AI726" s="125"/>
      <c r="AJ726" s="5"/>
      <c r="AK726" s="125"/>
      <c r="AL726" s="125"/>
    </row>
    <row r="727" hidden="1"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125"/>
      <c r="AI727" s="125"/>
      <c r="AJ727" s="5"/>
      <c r="AK727" s="125"/>
      <c r="AL727" s="125"/>
    </row>
    <row r="728" hidden="1"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125"/>
      <c r="AI728" s="125"/>
      <c r="AJ728" s="5"/>
      <c r="AK728" s="125"/>
      <c r="AL728" s="125"/>
    </row>
    <row r="729" hidden="1"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125"/>
      <c r="AI729" s="125"/>
      <c r="AJ729" s="5"/>
      <c r="AK729" s="125"/>
      <c r="AL729" s="125"/>
    </row>
    <row r="730" hidden="1"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125"/>
      <c r="AI730" s="125"/>
      <c r="AJ730" s="5"/>
      <c r="AK730" s="125"/>
      <c r="AL730" s="125"/>
    </row>
    <row r="731" hidden="1"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125"/>
      <c r="AI731" s="125"/>
      <c r="AJ731" s="5"/>
      <c r="AK731" s="125"/>
      <c r="AL731" s="125"/>
    </row>
    <row r="732" hidden="1"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125"/>
      <c r="AI732" s="125"/>
      <c r="AJ732" s="5"/>
      <c r="AK732" s="125"/>
      <c r="AL732" s="125"/>
    </row>
    <row r="733" hidden="1"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125"/>
      <c r="AI733" s="125"/>
      <c r="AJ733" s="5"/>
      <c r="AK733" s="125"/>
      <c r="AL733" s="125"/>
    </row>
    <row r="734" hidden="1"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125"/>
      <c r="AI734" s="125"/>
      <c r="AJ734" s="5"/>
      <c r="AK734" s="125"/>
      <c r="AL734" s="125"/>
    </row>
    <row r="735" hidden="1"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125"/>
      <c r="AI735" s="125"/>
      <c r="AJ735" s="5"/>
      <c r="AK735" s="125"/>
      <c r="AL735" s="125"/>
    </row>
    <row r="736" hidden="1"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125"/>
      <c r="AI736" s="125"/>
      <c r="AJ736" s="5"/>
      <c r="AK736" s="125"/>
      <c r="AL736" s="125"/>
    </row>
    <row r="737" hidden="1"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125"/>
      <c r="AI737" s="125"/>
      <c r="AJ737" s="5"/>
      <c r="AK737" s="125"/>
      <c r="AL737" s="125"/>
    </row>
    <row r="738" hidden="1"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125"/>
      <c r="AI738" s="125"/>
      <c r="AJ738" s="5"/>
      <c r="AK738" s="125"/>
      <c r="AL738" s="125"/>
    </row>
    <row r="739" hidden="1"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125"/>
      <c r="AI739" s="125"/>
      <c r="AJ739" s="5"/>
      <c r="AK739" s="125"/>
      <c r="AL739" s="125"/>
    </row>
    <row r="740" hidden="1"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125"/>
      <c r="AI740" s="125"/>
      <c r="AJ740" s="5"/>
      <c r="AK740" s="125"/>
      <c r="AL740" s="125"/>
    </row>
    <row r="741" hidden="1"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125"/>
      <c r="AI741" s="125"/>
      <c r="AJ741" s="5"/>
      <c r="AK741" s="125"/>
      <c r="AL741" s="125"/>
    </row>
    <row r="742" hidden="1"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125"/>
      <c r="AI742" s="125"/>
      <c r="AJ742" s="5"/>
      <c r="AK742" s="125"/>
      <c r="AL742" s="125"/>
    </row>
    <row r="743" hidden="1"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125"/>
      <c r="AI743" s="125"/>
      <c r="AJ743" s="5"/>
      <c r="AK743" s="125"/>
      <c r="AL743" s="125"/>
    </row>
    <row r="744" hidden="1"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125"/>
      <c r="AI744" s="125"/>
      <c r="AJ744" s="5"/>
      <c r="AK744" s="125"/>
      <c r="AL744" s="125"/>
    </row>
    <row r="745" hidden="1"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125"/>
      <c r="AI745" s="125"/>
      <c r="AJ745" s="5"/>
      <c r="AK745" s="125"/>
      <c r="AL745" s="125"/>
    </row>
    <row r="746" hidden="1"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125"/>
      <c r="AI746" s="125"/>
      <c r="AJ746" s="5"/>
      <c r="AK746" s="125"/>
      <c r="AL746" s="125"/>
    </row>
    <row r="747" hidden="1"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125"/>
      <c r="AI747" s="125"/>
      <c r="AJ747" s="5"/>
      <c r="AK747" s="125"/>
      <c r="AL747" s="125"/>
    </row>
    <row r="748" hidden="1"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125"/>
      <c r="AI748" s="125"/>
      <c r="AJ748" s="5"/>
      <c r="AK748" s="125"/>
      <c r="AL748" s="125"/>
    </row>
    <row r="749" hidden="1"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125"/>
      <c r="AI749" s="125"/>
      <c r="AJ749" s="5"/>
      <c r="AK749" s="125"/>
      <c r="AL749" s="125"/>
    </row>
    <row r="750" hidden="1"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125"/>
      <c r="AI750" s="125"/>
      <c r="AJ750" s="5"/>
      <c r="AK750" s="125"/>
      <c r="AL750" s="125"/>
    </row>
    <row r="751" hidden="1"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125"/>
      <c r="AI751" s="125"/>
      <c r="AJ751" s="5"/>
      <c r="AK751" s="125"/>
      <c r="AL751" s="125"/>
    </row>
    <row r="752" hidden="1"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125"/>
      <c r="AI752" s="125"/>
      <c r="AJ752" s="5"/>
      <c r="AK752" s="125"/>
      <c r="AL752" s="125"/>
    </row>
    <row r="753" hidden="1"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125"/>
      <c r="AI753" s="125"/>
      <c r="AJ753" s="5"/>
      <c r="AK753" s="125"/>
      <c r="AL753" s="125"/>
    </row>
    <row r="754" hidden="1"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125"/>
      <c r="AI754" s="125"/>
      <c r="AJ754" s="5"/>
      <c r="AK754" s="125"/>
      <c r="AL754" s="125"/>
    </row>
    <row r="755" hidden="1"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125"/>
      <c r="AI755" s="125"/>
      <c r="AJ755" s="5"/>
      <c r="AK755" s="125"/>
      <c r="AL755" s="125"/>
    </row>
    <row r="756" hidden="1"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125"/>
      <c r="AI756" s="125"/>
      <c r="AJ756" s="5"/>
      <c r="AK756" s="125"/>
      <c r="AL756" s="125"/>
    </row>
    <row r="757" hidden="1"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125"/>
      <c r="AI757" s="125"/>
      <c r="AJ757" s="5"/>
      <c r="AK757" s="125"/>
      <c r="AL757" s="125"/>
    </row>
    <row r="758" hidden="1"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125"/>
      <c r="AI758" s="125"/>
      <c r="AJ758" s="5"/>
      <c r="AK758" s="125"/>
      <c r="AL758" s="125"/>
    </row>
    <row r="759" hidden="1"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125"/>
      <c r="AI759" s="125"/>
      <c r="AJ759" s="5"/>
      <c r="AK759" s="125"/>
      <c r="AL759" s="125"/>
    </row>
    <row r="760" hidden="1"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125"/>
      <c r="AI760" s="125"/>
      <c r="AJ760" s="5"/>
      <c r="AK760" s="125"/>
      <c r="AL760" s="125"/>
    </row>
    <row r="761" hidden="1"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125"/>
      <c r="AI761" s="125"/>
      <c r="AJ761" s="5"/>
      <c r="AK761" s="125"/>
      <c r="AL761" s="125"/>
    </row>
    <row r="762" hidden="1"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125"/>
      <c r="AI762" s="125"/>
      <c r="AJ762" s="5"/>
      <c r="AK762" s="125"/>
      <c r="AL762" s="125"/>
    </row>
    <row r="763" hidden="1"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125"/>
      <c r="AI763" s="125"/>
      <c r="AJ763" s="5"/>
      <c r="AK763" s="125"/>
      <c r="AL763" s="125"/>
    </row>
    <row r="764" hidden="1"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125"/>
      <c r="AI764" s="125"/>
      <c r="AJ764" s="5"/>
      <c r="AK764" s="125"/>
      <c r="AL764" s="125"/>
    </row>
    <row r="765" hidden="1"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125"/>
      <c r="AI765" s="125"/>
      <c r="AJ765" s="5"/>
      <c r="AK765" s="125"/>
      <c r="AL765" s="125"/>
    </row>
    <row r="766" hidden="1"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125"/>
      <c r="AI766" s="125"/>
      <c r="AJ766" s="5"/>
      <c r="AK766" s="125"/>
      <c r="AL766" s="125"/>
    </row>
    <row r="767" hidden="1"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125"/>
      <c r="AI767" s="125"/>
      <c r="AJ767" s="5"/>
      <c r="AK767" s="125"/>
      <c r="AL767" s="125"/>
    </row>
    <row r="768" hidden="1"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125"/>
      <c r="AI768" s="125"/>
      <c r="AJ768" s="5"/>
      <c r="AK768" s="125"/>
      <c r="AL768" s="125"/>
    </row>
    <row r="769" hidden="1"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125"/>
      <c r="AI769" s="125"/>
      <c r="AJ769" s="5"/>
      <c r="AK769" s="125"/>
      <c r="AL769" s="125"/>
    </row>
    <row r="770" hidden="1"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125"/>
      <c r="AI770" s="125"/>
      <c r="AJ770" s="5"/>
      <c r="AK770" s="125"/>
      <c r="AL770" s="125"/>
    </row>
    <row r="771" hidden="1"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125"/>
      <c r="AI771" s="125"/>
      <c r="AJ771" s="5"/>
      <c r="AK771" s="125"/>
      <c r="AL771" s="125"/>
    </row>
    <row r="772" hidden="1"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125"/>
      <c r="AI772" s="125"/>
      <c r="AJ772" s="5"/>
      <c r="AK772" s="125"/>
      <c r="AL772" s="125"/>
    </row>
    <row r="773" hidden="1"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125"/>
      <c r="AI773" s="125"/>
      <c r="AJ773" s="5"/>
      <c r="AK773" s="125"/>
      <c r="AL773" s="125"/>
    </row>
    <row r="774" hidden="1"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125"/>
      <c r="AI774" s="125"/>
      <c r="AJ774" s="5"/>
      <c r="AK774" s="125"/>
      <c r="AL774" s="125"/>
    </row>
    <row r="775" hidden="1"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125"/>
      <c r="AI775" s="125"/>
      <c r="AJ775" s="5"/>
      <c r="AK775" s="125"/>
      <c r="AL775" s="125"/>
    </row>
    <row r="776" hidden="1"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125"/>
      <c r="AI776" s="125"/>
      <c r="AJ776" s="5"/>
      <c r="AK776" s="125"/>
      <c r="AL776" s="125"/>
    </row>
    <row r="777" hidden="1"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125"/>
      <c r="AI777" s="125"/>
      <c r="AJ777" s="5"/>
      <c r="AK777" s="125"/>
      <c r="AL777" s="125"/>
    </row>
    <row r="778" hidden="1"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125"/>
      <c r="AI778" s="125"/>
      <c r="AJ778" s="5"/>
      <c r="AK778" s="125"/>
      <c r="AL778" s="125"/>
    </row>
    <row r="779" hidden="1"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125"/>
      <c r="AI779" s="125"/>
      <c r="AJ779" s="5"/>
      <c r="AK779" s="125"/>
      <c r="AL779" s="125"/>
    </row>
    <row r="780" hidden="1"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125"/>
      <c r="AI780" s="125"/>
      <c r="AJ780" s="5"/>
      <c r="AK780" s="125"/>
      <c r="AL780" s="125"/>
    </row>
    <row r="781" hidden="1"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125"/>
      <c r="AI781" s="125"/>
      <c r="AJ781" s="5"/>
      <c r="AK781" s="125"/>
      <c r="AL781" s="125"/>
    </row>
    <row r="782" hidden="1"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125"/>
      <c r="AI782" s="125"/>
      <c r="AJ782" s="5"/>
      <c r="AK782" s="125"/>
      <c r="AL782" s="125"/>
    </row>
    <row r="783" hidden="1"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125"/>
      <c r="AI783" s="125"/>
      <c r="AJ783" s="5"/>
      <c r="AK783" s="125"/>
      <c r="AL783" s="125"/>
    </row>
    <row r="784" hidden="1"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125"/>
      <c r="AI784" s="125"/>
      <c r="AJ784" s="5"/>
      <c r="AK784" s="125"/>
      <c r="AL784" s="125"/>
    </row>
    <row r="785" hidden="1"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125"/>
      <c r="AI785" s="125"/>
      <c r="AJ785" s="5"/>
      <c r="AK785" s="125"/>
      <c r="AL785" s="125"/>
    </row>
    <row r="786" hidden="1"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125"/>
      <c r="AI786" s="125"/>
      <c r="AJ786" s="5"/>
      <c r="AK786" s="125"/>
      <c r="AL786" s="125"/>
    </row>
    <row r="787" hidden="1"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125"/>
      <c r="AI787" s="125"/>
      <c r="AJ787" s="5"/>
      <c r="AK787" s="125"/>
      <c r="AL787" s="125"/>
    </row>
    <row r="788" hidden="1"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125"/>
      <c r="AI788" s="125"/>
      <c r="AJ788" s="5"/>
      <c r="AK788" s="125"/>
      <c r="AL788" s="125"/>
    </row>
    <row r="789" hidden="1"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125"/>
      <c r="AI789" s="125"/>
      <c r="AJ789" s="5"/>
      <c r="AK789" s="125"/>
      <c r="AL789" s="125"/>
    </row>
    <row r="790" hidden="1"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125"/>
      <c r="AI790" s="125"/>
      <c r="AJ790" s="5"/>
      <c r="AK790" s="125"/>
      <c r="AL790" s="125"/>
    </row>
    <row r="791" hidden="1"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125"/>
      <c r="AI791" s="125"/>
      <c r="AJ791" s="5"/>
      <c r="AK791" s="125"/>
      <c r="AL791" s="125"/>
    </row>
    <row r="792" hidden="1"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125"/>
      <c r="AI792" s="125"/>
      <c r="AJ792" s="5"/>
      <c r="AK792" s="125"/>
      <c r="AL792" s="125"/>
    </row>
    <row r="793" hidden="1"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125"/>
      <c r="AI793" s="125"/>
      <c r="AJ793" s="5"/>
      <c r="AK793" s="125"/>
      <c r="AL793" s="125"/>
    </row>
    <row r="794" hidden="1"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125"/>
      <c r="AI794" s="125"/>
      <c r="AJ794" s="5"/>
      <c r="AK794" s="125"/>
      <c r="AL794" s="125"/>
    </row>
    <row r="795" hidden="1"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125"/>
      <c r="AI795" s="125"/>
      <c r="AJ795" s="5"/>
      <c r="AK795" s="125"/>
      <c r="AL795" s="125"/>
    </row>
    <row r="796" hidden="1"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125"/>
      <c r="AI796" s="125"/>
      <c r="AJ796" s="5"/>
      <c r="AK796" s="125"/>
      <c r="AL796" s="125"/>
    </row>
    <row r="797" hidden="1"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125"/>
      <c r="AI797" s="125"/>
      <c r="AJ797" s="5"/>
      <c r="AK797" s="125"/>
      <c r="AL797" s="125"/>
    </row>
    <row r="798" hidden="1"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125"/>
      <c r="AI798" s="125"/>
      <c r="AJ798" s="5"/>
      <c r="AK798" s="125"/>
      <c r="AL798" s="125"/>
    </row>
    <row r="799" hidden="1"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125"/>
      <c r="AI799" s="125"/>
      <c r="AJ799" s="5"/>
      <c r="AK799" s="125"/>
      <c r="AL799" s="125"/>
    </row>
    <row r="800" hidden="1"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125"/>
      <c r="AI800" s="125"/>
      <c r="AJ800" s="5"/>
      <c r="AK800" s="125"/>
      <c r="AL800" s="125"/>
    </row>
    <row r="801" hidden="1"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125"/>
      <c r="AI801" s="125"/>
      <c r="AJ801" s="5"/>
      <c r="AK801" s="125"/>
      <c r="AL801" s="125"/>
    </row>
    <row r="802" hidden="1"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125"/>
      <c r="AI802" s="125"/>
      <c r="AJ802" s="5"/>
      <c r="AK802" s="125"/>
      <c r="AL802" s="125"/>
    </row>
    <row r="803" hidden="1"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125"/>
      <c r="AI803" s="125"/>
      <c r="AJ803" s="5"/>
      <c r="AK803" s="125"/>
      <c r="AL803" s="125"/>
    </row>
    <row r="804" hidden="1"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125"/>
      <c r="AI804" s="125"/>
      <c r="AJ804" s="5"/>
      <c r="AK804" s="125"/>
      <c r="AL804" s="125"/>
    </row>
    <row r="805" hidden="1"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125"/>
      <c r="AI805" s="125"/>
      <c r="AJ805" s="5"/>
      <c r="AK805" s="125"/>
      <c r="AL805" s="125"/>
    </row>
    <row r="806" hidden="1"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125"/>
      <c r="AI806" s="125"/>
      <c r="AJ806" s="5"/>
      <c r="AK806" s="125"/>
      <c r="AL806" s="125"/>
    </row>
    <row r="807" hidden="1"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125"/>
      <c r="AI807" s="125"/>
      <c r="AJ807" s="5"/>
      <c r="AK807" s="125"/>
      <c r="AL807" s="125"/>
    </row>
    <row r="808" hidden="1"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125"/>
      <c r="AI808" s="125"/>
      <c r="AJ808" s="5"/>
      <c r="AK808" s="125"/>
      <c r="AL808" s="125"/>
    </row>
    <row r="809" hidden="1"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125"/>
      <c r="AI809" s="125"/>
      <c r="AJ809" s="5"/>
      <c r="AK809" s="125"/>
      <c r="AL809" s="125"/>
    </row>
    <row r="810" hidden="1"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125"/>
      <c r="AI810" s="125"/>
      <c r="AJ810" s="5"/>
      <c r="AK810" s="125"/>
      <c r="AL810" s="125"/>
    </row>
    <row r="811" hidden="1"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125"/>
      <c r="AI811" s="125"/>
      <c r="AJ811" s="5"/>
      <c r="AK811" s="125"/>
      <c r="AL811" s="125"/>
    </row>
    <row r="812" hidden="1"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125"/>
      <c r="AI812" s="125"/>
      <c r="AJ812" s="5"/>
      <c r="AK812" s="125"/>
      <c r="AL812" s="125"/>
    </row>
    <row r="813" hidden="1"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125"/>
      <c r="AI813" s="125"/>
      <c r="AJ813" s="5"/>
      <c r="AK813" s="125"/>
      <c r="AL813" s="125"/>
    </row>
    <row r="814" hidden="1"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125"/>
      <c r="AI814" s="125"/>
      <c r="AJ814" s="5"/>
      <c r="AK814" s="125"/>
      <c r="AL814" s="125"/>
    </row>
    <row r="815" hidden="1"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125"/>
      <c r="AI815" s="125"/>
      <c r="AJ815" s="5"/>
      <c r="AK815" s="125"/>
      <c r="AL815" s="125"/>
    </row>
    <row r="816" hidden="1"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125"/>
      <c r="AI816" s="125"/>
      <c r="AJ816" s="5"/>
      <c r="AK816" s="125"/>
      <c r="AL816" s="125"/>
    </row>
    <row r="817" hidden="1"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125"/>
      <c r="AI817" s="125"/>
      <c r="AJ817" s="5"/>
      <c r="AK817" s="125"/>
      <c r="AL817" s="125"/>
    </row>
    <row r="818" hidden="1"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125"/>
      <c r="AI818" s="125"/>
      <c r="AJ818" s="5"/>
      <c r="AK818" s="125"/>
      <c r="AL818" s="125"/>
    </row>
    <row r="819" hidden="1"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125"/>
      <c r="AI819" s="125"/>
      <c r="AJ819" s="5"/>
      <c r="AK819" s="125"/>
      <c r="AL819" s="125"/>
    </row>
    <row r="820" hidden="1"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125"/>
      <c r="AI820" s="125"/>
      <c r="AJ820" s="5"/>
      <c r="AK820" s="125"/>
      <c r="AL820" s="125"/>
    </row>
    <row r="821" hidden="1"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125"/>
      <c r="AI821" s="125"/>
      <c r="AJ821" s="5"/>
      <c r="AK821" s="125"/>
      <c r="AL821" s="125"/>
    </row>
    <row r="822" hidden="1"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125"/>
      <c r="AI822" s="125"/>
      <c r="AJ822" s="5"/>
      <c r="AK822" s="125"/>
      <c r="AL822" s="125"/>
    </row>
    <row r="823" hidden="1"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125"/>
      <c r="AI823" s="125"/>
      <c r="AJ823" s="5"/>
      <c r="AK823" s="125"/>
      <c r="AL823" s="125"/>
    </row>
    <row r="824" hidden="1"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125"/>
      <c r="AI824" s="125"/>
      <c r="AJ824" s="5"/>
      <c r="AK824" s="125"/>
      <c r="AL824" s="125"/>
    </row>
    <row r="825" hidden="1"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125"/>
      <c r="AI825" s="125"/>
      <c r="AJ825" s="5"/>
      <c r="AK825" s="125"/>
      <c r="AL825" s="125"/>
    </row>
    <row r="826" hidden="1"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125"/>
      <c r="AI826" s="125"/>
      <c r="AJ826" s="5"/>
      <c r="AK826" s="125"/>
      <c r="AL826" s="125"/>
    </row>
    <row r="827" hidden="1"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125"/>
      <c r="AI827" s="125"/>
      <c r="AJ827" s="5"/>
      <c r="AK827" s="125"/>
      <c r="AL827" s="125"/>
    </row>
    <row r="828" hidden="1"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125"/>
      <c r="AI828" s="125"/>
      <c r="AJ828" s="5"/>
      <c r="AK828" s="125"/>
      <c r="AL828" s="125"/>
    </row>
    <row r="829" hidden="1"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125"/>
      <c r="AI829" s="125"/>
      <c r="AJ829" s="5"/>
      <c r="AK829" s="125"/>
      <c r="AL829" s="125"/>
    </row>
    <row r="830" hidden="1"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125"/>
      <c r="AI830" s="125"/>
      <c r="AJ830" s="5"/>
      <c r="AK830" s="125"/>
      <c r="AL830" s="125"/>
    </row>
    <row r="831" hidden="1"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125"/>
      <c r="AI831" s="125"/>
      <c r="AJ831" s="5"/>
      <c r="AK831" s="125"/>
      <c r="AL831" s="125"/>
    </row>
    <row r="832" hidden="1"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125"/>
      <c r="AI832" s="125"/>
      <c r="AJ832" s="5"/>
      <c r="AK832" s="125"/>
      <c r="AL832" s="125"/>
    </row>
    <row r="833" hidden="1"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125"/>
      <c r="AI833" s="125"/>
      <c r="AJ833" s="5"/>
      <c r="AK833" s="125"/>
      <c r="AL833" s="125"/>
    </row>
    <row r="834" hidden="1"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125"/>
      <c r="AI834" s="125"/>
      <c r="AJ834" s="5"/>
      <c r="AK834" s="125"/>
      <c r="AL834" s="125"/>
    </row>
    <row r="835" hidden="1"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125"/>
      <c r="AI835" s="125"/>
      <c r="AJ835" s="5"/>
      <c r="AK835" s="125"/>
      <c r="AL835" s="125"/>
    </row>
    <row r="836" hidden="1"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125"/>
      <c r="AI836" s="125"/>
      <c r="AJ836" s="5"/>
      <c r="AK836" s="125"/>
      <c r="AL836" s="125"/>
    </row>
    <row r="837" hidden="1"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125"/>
      <c r="AI837" s="125"/>
      <c r="AJ837" s="5"/>
      <c r="AK837" s="125"/>
      <c r="AL837" s="125"/>
    </row>
    <row r="838" hidden="1"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125"/>
      <c r="AI838" s="125"/>
      <c r="AJ838" s="5"/>
      <c r="AK838" s="125"/>
      <c r="AL838" s="125"/>
    </row>
    <row r="839" hidden="1"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125"/>
      <c r="AI839" s="125"/>
      <c r="AJ839" s="5"/>
      <c r="AK839" s="125"/>
      <c r="AL839" s="125"/>
    </row>
    <row r="840" hidden="1"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125"/>
      <c r="AI840" s="125"/>
      <c r="AJ840" s="5"/>
      <c r="AK840" s="125"/>
      <c r="AL840" s="125"/>
    </row>
    <row r="841" hidden="1"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125"/>
      <c r="AI841" s="125"/>
      <c r="AJ841" s="5"/>
      <c r="AK841" s="125"/>
      <c r="AL841" s="125"/>
    </row>
    <row r="842" hidden="1"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125"/>
      <c r="AI842" s="125"/>
      <c r="AJ842" s="5"/>
      <c r="AK842" s="125"/>
      <c r="AL842" s="125"/>
    </row>
    <row r="843" hidden="1"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125"/>
      <c r="AI843" s="125"/>
      <c r="AJ843" s="5"/>
      <c r="AK843" s="125"/>
      <c r="AL843" s="125"/>
    </row>
    <row r="844" hidden="1"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125"/>
      <c r="AI844" s="125"/>
      <c r="AJ844" s="5"/>
      <c r="AK844" s="125"/>
      <c r="AL844" s="125"/>
    </row>
    <row r="845" hidden="1"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125"/>
      <c r="AI845" s="125"/>
      <c r="AJ845" s="5"/>
      <c r="AK845" s="125"/>
      <c r="AL845" s="125"/>
    </row>
    <row r="846" hidden="1"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125"/>
      <c r="AI846" s="125"/>
      <c r="AJ846" s="5"/>
      <c r="AK846" s="125"/>
      <c r="AL846" s="125"/>
    </row>
    <row r="847" hidden="1"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125"/>
      <c r="AI847" s="125"/>
      <c r="AJ847" s="5"/>
      <c r="AK847" s="125"/>
      <c r="AL847" s="125"/>
    </row>
    <row r="848" hidden="1"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125"/>
      <c r="AI848" s="125"/>
      <c r="AJ848" s="5"/>
      <c r="AK848" s="125"/>
      <c r="AL848" s="125"/>
    </row>
    <row r="849" hidden="1"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125"/>
      <c r="AI849" s="125"/>
      <c r="AJ849" s="5"/>
      <c r="AK849" s="125"/>
      <c r="AL849" s="125"/>
    </row>
    <row r="850" hidden="1"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125"/>
      <c r="AI850" s="125"/>
      <c r="AJ850" s="5"/>
      <c r="AK850" s="125"/>
      <c r="AL850" s="125"/>
    </row>
    <row r="851" hidden="1"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125"/>
      <c r="AI851" s="125"/>
      <c r="AJ851" s="5"/>
      <c r="AK851" s="125"/>
      <c r="AL851" s="125"/>
    </row>
    <row r="852" hidden="1"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125"/>
      <c r="AI852" s="125"/>
      <c r="AJ852" s="5"/>
      <c r="AK852" s="125"/>
      <c r="AL852" s="125"/>
    </row>
    <row r="853" hidden="1"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125"/>
      <c r="AI853" s="125"/>
      <c r="AJ853" s="5"/>
      <c r="AK853" s="125"/>
      <c r="AL853" s="125"/>
    </row>
    <row r="854" hidden="1"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125"/>
      <c r="AI854" s="125"/>
      <c r="AJ854" s="5"/>
      <c r="AK854" s="125"/>
      <c r="AL854" s="125"/>
    </row>
    <row r="855" hidden="1"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125"/>
      <c r="AI855" s="125"/>
      <c r="AJ855" s="5"/>
      <c r="AK855" s="125"/>
      <c r="AL855" s="125"/>
    </row>
    <row r="856" hidden="1"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125"/>
      <c r="AI856" s="125"/>
      <c r="AJ856" s="5"/>
      <c r="AK856" s="125"/>
      <c r="AL856" s="125"/>
    </row>
    <row r="857" hidden="1"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125"/>
      <c r="AI857" s="125"/>
      <c r="AJ857" s="5"/>
      <c r="AK857" s="125"/>
      <c r="AL857" s="125"/>
    </row>
    <row r="858" hidden="1"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125"/>
      <c r="AI858" s="125"/>
      <c r="AJ858" s="5"/>
      <c r="AK858" s="125"/>
      <c r="AL858" s="125"/>
    </row>
    <row r="859" hidden="1"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125"/>
      <c r="AI859" s="125"/>
      <c r="AJ859" s="5"/>
      <c r="AK859" s="125"/>
      <c r="AL859" s="125"/>
    </row>
    <row r="860" hidden="1"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125"/>
      <c r="AI860" s="125"/>
      <c r="AJ860" s="5"/>
      <c r="AK860" s="125"/>
      <c r="AL860" s="125"/>
    </row>
    <row r="861" hidden="1"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125"/>
      <c r="AI861" s="125"/>
      <c r="AJ861" s="5"/>
      <c r="AK861" s="125"/>
      <c r="AL861" s="125"/>
    </row>
    <row r="862" hidden="1"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125"/>
      <c r="AI862" s="125"/>
      <c r="AJ862" s="5"/>
      <c r="AK862" s="125"/>
      <c r="AL862" s="125"/>
    </row>
    <row r="863" hidden="1"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125"/>
      <c r="AI863" s="125"/>
      <c r="AJ863" s="5"/>
      <c r="AK863" s="125"/>
      <c r="AL863" s="125"/>
    </row>
    <row r="864" hidden="1"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125"/>
      <c r="AI864" s="125"/>
      <c r="AJ864" s="5"/>
      <c r="AK864" s="125"/>
      <c r="AL864" s="125"/>
    </row>
    <row r="865" hidden="1"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125"/>
      <c r="AI865" s="125"/>
      <c r="AJ865" s="5"/>
      <c r="AK865" s="125"/>
      <c r="AL865" s="125"/>
    </row>
    <row r="866" hidden="1"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125"/>
      <c r="AI866" s="125"/>
      <c r="AJ866" s="5"/>
      <c r="AK866" s="125"/>
      <c r="AL866" s="125"/>
    </row>
    <row r="867" hidden="1"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125"/>
      <c r="AI867" s="125"/>
      <c r="AJ867" s="5"/>
      <c r="AK867" s="125"/>
      <c r="AL867" s="125"/>
    </row>
    <row r="868" hidden="1"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125"/>
      <c r="AI868" s="125"/>
      <c r="AJ868" s="5"/>
      <c r="AK868" s="125"/>
      <c r="AL868" s="125"/>
    </row>
    <row r="869" hidden="1"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125"/>
      <c r="AI869" s="125"/>
      <c r="AJ869" s="5"/>
      <c r="AK869" s="125"/>
      <c r="AL869" s="125"/>
    </row>
    <row r="870" hidden="1"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125"/>
      <c r="AI870" s="125"/>
      <c r="AJ870" s="5"/>
      <c r="AK870" s="125"/>
      <c r="AL870" s="125"/>
    </row>
    <row r="871" hidden="1"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125"/>
      <c r="AI871" s="125"/>
      <c r="AJ871" s="5"/>
      <c r="AK871" s="125"/>
      <c r="AL871" s="125"/>
    </row>
    <row r="872" hidden="1"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125"/>
      <c r="AI872" s="125"/>
      <c r="AJ872" s="5"/>
      <c r="AK872" s="125"/>
      <c r="AL872" s="125"/>
    </row>
    <row r="873" hidden="1"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125"/>
      <c r="AI873" s="125"/>
      <c r="AJ873" s="5"/>
      <c r="AK873" s="125"/>
      <c r="AL873" s="125"/>
    </row>
    <row r="874" hidden="1"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125"/>
      <c r="AI874" s="125"/>
      <c r="AJ874" s="5"/>
      <c r="AK874" s="125"/>
      <c r="AL874" s="125"/>
    </row>
    <row r="875" hidden="1"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125"/>
      <c r="AI875" s="125"/>
      <c r="AJ875" s="5"/>
      <c r="AK875" s="125"/>
      <c r="AL875" s="125"/>
    </row>
    <row r="876" hidden="1"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125"/>
      <c r="AI876" s="125"/>
      <c r="AJ876" s="5"/>
      <c r="AK876" s="125"/>
      <c r="AL876" s="125"/>
    </row>
    <row r="877" hidden="1"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125"/>
      <c r="AI877" s="125"/>
      <c r="AJ877" s="5"/>
      <c r="AK877" s="125"/>
      <c r="AL877" s="125"/>
    </row>
    <row r="878" hidden="1"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125"/>
      <c r="AI878" s="125"/>
      <c r="AJ878" s="5"/>
      <c r="AK878" s="125"/>
      <c r="AL878" s="125"/>
    </row>
    <row r="879" hidden="1"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125"/>
      <c r="AI879" s="125"/>
      <c r="AJ879" s="5"/>
      <c r="AK879" s="125"/>
      <c r="AL879" s="125"/>
    </row>
    <row r="880" hidden="1"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125"/>
      <c r="AI880" s="125"/>
      <c r="AJ880" s="5"/>
      <c r="AK880" s="125"/>
      <c r="AL880" s="125"/>
    </row>
    <row r="881" hidden="1"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125"/>
      <c r="AI881" s="125"/>
      <c r="AJ881" s="5"/>
      <c r="AK881" s="125"/>
      <c r="AL881" s="125"/>
    </row>
    <row r="882" hidden="1"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125"/>
      <c r="AI882" s="125"/>
      <c r="AJ882" s="5"/>
      <c r="AK882" s="125"/>
      <c r="AL882" s="125"/>
    </row>
    <row r="883" hidden="1"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125"/>
      <c r="AI883" s="125"/>
      <c r="AJ883" s="5"/>
      <c r="AK883" s="125"/>
      <c r="AL883" s="125"/>
    </row>
    <row r="884" hidden="1"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125"/>
      <c r="AI884" s="125"/>
      <c r="AJ884" s="5"/>
      <c r="AK884" s="125"/>
      <c r="AL884" s="125"/>
    </row>
    <row r="885" hidden="1"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125"/>
      <c r="AI885" s="125"/>
      <c r="AJ885" s="5"/>
      <c r="AK885" s="125"/>
      <c r="AL885" s="125"/>
    </row>
    <row r="886" hidden="1"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125"/>
      <c r="AI886" s="125"/>
      <c r="AJ886" s="5"/>
      <c r="AK886" s="125"/>
      <c r="AL886" s="125"/>
    </row>
    <row r="887" hidden="1"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125"/>
      <c r="AI887" s="125"/>
      <c r="AJ887" s="5"/>
      <c r="AK887" s="125"/>
      <c r="AL887" s="125"/>
    </row>
    <row r="888" hidden="1"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125"/>
      <c r="AI888" s="125"/>
      <c r="AJ888" s="5"/>
      <c r="AK888" s="125"/>
      <c r="AL888" s="125"/>
    </row>
    <row r="889" hidden="1"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125"/>
      <c r="AI889" s="125"/>
      <c r="AJ889" s="5"/>
      <c r="AK889" s="125"/>
      <c r="AL889" s="125"/>
    </row>
    <row r="890" hidden="1"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125"/>
      <c r="AI890" s="125"/>
      <c r="AJ890" s="5"/>
      <c r="AK890" s="125"/>
      <c r="AL890" s="125"/>
    </row>
    <row r="891" hidden="1"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125"/>
      <c r="AI891" s="125"/>
      <c r="AJ891" s="5"/>
      <c r="AK891" s="125"/>
      <c r="AL891" s="125"/>
    </row>
    <row r="892" hidden="1"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125"/>
      <c r="AI892" s="125"/>
      <c r="AJ892" s="5"/>
      <c r="AK892" s="125"/>
      <c r="AL892" s="125"/>
    </row>
    <row r="893" hidden="1"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125"/>
      <c r="AI893" s="125"/>
      <c r="AJ893" s="5"/>
      <c r="AK893" s="125"/>
      <c r="AL893" s="125"/>
    </row>
    <row r="894" hidden="1"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125"/>
      <c r="AI894" s="125"/>
      <c r="AJ894" s="5"/>
      <c r="AK894" s="125"/>
      <c r="AL894" s="125"/>
    </row>
    <row r="895" hidden="1"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125"/>
      <c r="AI895" s="125"/>
      <c r="AJ895" s="5"/>
      <c r="AK895" s="125"/>
      <c r="AL895" s="125"/>
    </row>
    <row r="896" hidden="1"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125"/>
      <c r="AI896" s="125"/>
      <c r="AJ896" s="5"/>
      <c r="AK896" s="125"/>
      <c r="AL896" s="125"/>
    </row>
    <row r="897" hidden="1"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125"/>
      <c r="AI897" s="125"/>
      <c r="AJ897" s="5"/>
      <c r="AK897" s="125"/>
      <c r="AL897" s="125"/>
    </row>
    <row r="898" hidden="1"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125"/>
      <c r="AI898" s="125"/>
      <c r="AJ898" s="5"/>
      <c r="AK898" s="125"/>
      <c r="AL898" s="125"/>
    </row>
    <row r="899" hidden="1"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125"/>
      <c r="AI899" s="125"/>
      <c r="AJ899" s="5"/>
      <c r="AK899" s="125"/>
      <c r="AL899" s="125"/>
    </row>
    <row r="900" hidden="1"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125"/>
      <c r="AI900" s="125"/>
      <c r="AJ900" s="5"/>
      <c r="AK900" s="125"/>
      <c r="AL900" s="125"/>
    </row>
    <row r="901" hidden="1"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125"/>
      <c r="AI901" s="125"/>
      <c r="AJ901" s="5"/>
      <c r="AK901" s="125"/>
      <c r="AL901" s="125"/>
    </row>
    <row r="902" hidden="1"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125"/>
      <c r="AI902" s="125"/>
      <c r="AJ902" s="5"/>
      <c r="AK902" s="125"/>
      <c r="AL902" s="125"/>
    </row>
    <row r="903" hidden="1"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125"/>
      <c r="AI903" s="125"/>
      <c r="AJ903" s="5"/>
      <c r="AK903" s="125"/>
      <c r="AL903" s="125"/>
    </row>
    <row r="904" hidden="1"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125"/>
      <c r="AI904" s="125"/>
      <c r="AJ904" s="5"/>
      <c r="AK904" s="125"/>
      <c r="AL904" s="125"/>
    </row>
    <row r="905" hidden="1"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125"/>
      <c r="AI905" s="125"/>
      <c r="AJ905" s="5"/>
      <c r="AK905" s="125"/>
      <c r="AL905" s="125"/>
    </row>
    <row r="906" hidden="1"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125"/>
      <c r="AI906" s="125"/>
      <c r="AJ906" s="5"/>
      <c r="AK906" s="125"/>
      <c r="AL906" s="125"/>
    </row>
    <row r="907" hidden="1"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125"/>
      <c r="AI907" s="125"/>
      <c r="AJ907" s="5"/>
      <c r="AK907" s="125"/>
      <c r="AL907" s="125"/>
    </row>
    <row r="908" hidden="1"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125"/>
      <c r="AI908" s="125"/>
      <c r="AJ908" s="5"/>
      <c r="AK908" s="125"/>
      <c r="AL908" s="125"/>
    </row>
    <row r="909" hidden="1"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125"/>
      <c r="AI909" s="125"/>
      <c r="AJ909" s="5"/>
      <c r="AK909" s="125"/>
      <c r="AL909" s="125"/>
    </row>
    <row r="910" hidden="1"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125"/>
      <c r="AI910" s="125"/>
      <c r="AJ910" s="5"/>
      <c r="AK910" s="125"/>
      <c r="AL910" s="125"/>
    </row>
    <row r="911" hidden="1"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125"/>
      <c r="AI911" s="125"/>
      <c r="AJ911" s="5"/>
      <c r="AK911" s="125"/>
      <c r="AL911" s="125"/>
    </row>
    <row r="912" hidden="1"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125"/>
      <c r="AI912" s="125"/>
      <c r="AJ912" s="5"/>
      <c r="AK912" s="125"/>
      <c r="AL912" s="125"/>
    </row>
    <row r="913" hidden="1"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125"/>
      <c r="AI913" s="125"/>
      <c r="AJ913" s="5"/>
      <c r="AK913" s="125"/>
      <c r="AL913" s="125"/>
    </row>
    <row r="914" hidden="1"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125"/>
      <c r="AI914" s="125"/>
      <c r="AJ914" s="5"/>
      <c r="AK914" s="125"/>
      <c r="AL914" s="125"/>
    </row>
    <row r="915" hidden="1"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125"/>
      <c r="AI915" s="125"/>
      <c r="AJ915" s="5"/>
      <c r="AK915" s="125"/>
      <c r="AL915" s="125"/>
    </row>
    <row r="916" hidden="1"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125"/>
      <c r="AI916" s="125"/>
      <c r="AJ916" s="5"/>
      <c r="AK916" s="125"/>
      <c r="AL916" s="125"/>
    </row>
    <row r="917" hidden="1"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125"/>
      <c r="AI917" s="125"/>
      <c r="AJ917" s="5"/>
      <c r="AK917" s="125"/>
      <c r="AL917" s="125"/>
    </row>
    <row r="918" hidden="1"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125"/>
      <c r="AI918" s="125"/>
      <c r="AJ918" s="5"/>
      <c r="AK918" s="125"/>
      <c r="AL918" s="125"/>
    </row>
    <row r="919" hidden="1"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125"/>
      <c r="AI919" s="125"/>
      <c r="AJ919" s="5"/>
      <c r="AK919" s="125"/>
      <c r="AL919" s="125"/>
    </row>
    <row r="920" hidden="1"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125"/>
      <c r="AI920" s="125"/>
      <c r="AJ920" s="5"/>
      <c r="AK920" s="125"/>
      <c r="AL920" s="125"/>
    </row>
    <row r="921" hidden="1"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125"/>
      <c r="AI921" s="125"/>
      <c r="AJ921" s="5"/>
      <c r="AK921" s="125"/>
      <c r="AL921" s="125"/>
    </row>
    <row r="922" hidden="1"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125"/>
      <c r="AI922" s="125"/>
      <c r="AJ922" s="5"/>
      <c r="AK922" s="125"/>
      <c r="AL922" s="125"/>
    </row>
    <row r="923" hidden="1"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125"/>
      <c r="AI923" s="125"/>
      <c r="AJ923" s="5"/>
      <c r="AK923" s="125"/>
      <c r="AL923" s="125"/>
    </row>
    <row r="924" hidden="1"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125"/>
      <c r="AI924" s="125"/>
      <c r="AJ924" s="5"/>
      <c r="AK924" s="125"/>
      <c r="AL924" s="125"/>
    </row>
    <row r="925" hidden="1"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125"/>
      <c r="AI925" s="125"/>
      <c r="AJ925" s="5"/>
      <c r="AK925" s="125"/>
      <c r="AL925" s="125"/>
    </row>
    <row r="926" hidden="1"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125"/>
      <c r="AI926" s="125"/>
      <c r="AJ926" s="5"/>
      <c r="AK926" s="125"/>
      <c r="AL926" s="125"/>
    </row>
    <row r="927" hidden="1"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125"/>
      <c r="AI927" s="125"/>
      <c r="AJ927" s="5"/>
      <c r="AK927" s="125"/>
      <c r="AL927" s="125"/>
    </row>
    <row r="928" hidden="1"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125"/>
      <c r="AI928" s="125"/>
      <c r="AJ928" s="5"/>
      <c r="AK928" s="125"/>
      <c r="AL928" s="125"/>
    </row>
    <row r="929" hidden="1"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125"/>
      <c r="AI929" s="125"/>
      <c r="AJ929" s="5"/>
      <c r="AK929" s="125"/>
      <c r="AL929" s="125"/>
    </row>
    <row r="930" hidden="1"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125"/>
      <c r="AI930" s="125"/>
      <c r="AJ930" s="5"/>
      <c r="AK930" s="125"/>
      <c r="AL930" s="125"/>
    </row>
    <row r="931" hidden="1"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125"/>
      <c r="AI931" s="125"/>
      <c r="AJ931" s="5"/>
      <c r="AK931" s="125"/>
      <c r="AL931" s="125"/>
    </row>
    <row r="932" hidden="1"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125"/>
      <c r="AI932" s="125"/>
      <c r="AJ932" s="5"/>
      <c r="AK932" s="125"/>
      <c r="AL932" s="125"/>
    </row>
    <row r="933" hidden="1"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125"/>
      <c r="AI933" s="125"/>
      <c r="AJ933" s="5"/>
      <c r="AK933" s="125"/>
      <c r="AL933" s="125"/>
    </row>
    <row r="934" hidden="1"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125"/>
      <c r="AI934" s="125"/>
      <c r="AJ934" s="5"/>
      <c r="AK934" s="125"/>
      <c r="AL934" s="125"/>
    </row>
    <row r="935" hidden="1"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125"/>
      <c r="AI935" s="125"/>
      <c r="AJ935" s="5"/>
      <c r="AK935" s="125"/>
      <c r="AL935" s="125"/>
    </row>
    <row r="936" hidden="1"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125"/>
      <c r="AI936" s="125"/>
      <c r="AJ936" s="5"/>
      <c r="AK936" s="125"/>
      <c r="AL936" s="125"/>
    </row>
    <row r="937" hidden="1"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125"/>
      <c r="AI937" s="125"/>
      <c r="AJ937" s="5"/>
      <c r="AK937" s="125"/>
      <c r="AL937" s="125"/>
    </row>
    <row r="938" hidden="1"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125"/>
      <c r="AI938" s="125"/>
      <c r="AJ938" s="5"/>
      <c r="AK938" s="125"/>
      <c r="AL938" s="125"/>
    </row>
    <row r="939" hidden="1"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125"/>
      <c r="AI939" s="125"/>
      <c r="AJ939" s="5"/>
      <c r="AK939" s="125"/>
      <c r="AL939" s="125"/>
    </row>
    <row r="940" hidden="1"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125"/>
      <c r="AI940" s="125"/>
      <c r="AJ940" s="5"/>
      <c r="AK940" s="125"/>
      <c r="AL940" s="125"/>
    </row>
    <row r="941" hidden="1"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125"/>
      <c r="AI941" s="125"/>
      <c r="AJ941" s="5"/>
      <c r="AK941" s="125"/>
      <c r="AL941" s="125"/>
    </row>
    <row r="942" hidden="1"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125"/>
      <c r="AI942" s="125"/>
      <c r="AJ942" s="5"/>
      <c r="AK942" s="125"/>
      <c r="AL942" s="125"/>
    </row>
    <row r="943" hidden="1"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125"/>
      <c r="AI943" s="125"/>
      <c r="AJ943" s="5"/>
      <c r="AK943" s="125"/>
      <c r="AL943" s="125"/>
    </row>
    <row r="944" hidden="1"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125"/>
      <c r="AI944" s="125"/>
      <c r="AJ944" s="5"/>
      <c r="AK944" s="125"/>
      <c r="AL944" s="125"/>
    </row>
    <row r="945" hidden="1"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125"/>
      <c r="AI945" s="125"/>
      <c r="AJ945" s="5"/>
      <c r="AK945" s="125"/>
      <c r="AL945" s="125"/>
    </row>
    <row r="946" hidden="1"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125"/>
      <c r="AI946" s="125"/>
      <c r="AJ946" s="5"/>
      <c r="AK946" s="125"/>
      <c r="AL946" s="125"/>
    </row>
    <row r="947" hidden="1"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125"/>
      <c r="AI947" s="125"/>
      <c r="AJ947" s="5"/>
      <c r="AK947" s="125"/>
      <c r="AL947" s="125"/>
    </row>
    <row r="948" hidden="1"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125"/>
      <c r="AI948" s="125"/>
      <c r="AJ948" s="5"/>
      <c r="AK948" s="125"/>
      <c r="AL948" s="125"/>
    </row>
    <row r="949" hidden="1"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125"/>
      <c r="AI949" s="125"/>
      <c r="AJ949" s="5"/>
      <c r="AK949" s="125"/>
      <c r="AL949" s="125"/>
    </row>
    <row r="950" hidden="1"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125"/>
      <c r="AI950" s="125"/>
      <c r="AJ950" s="5"/>
      <c r="AK950" s="125"/>
      <c r="AL950" s="125"/>
    </row>
    <row r="951" hidden="1"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125"/>
      <c r="AI951" s="125"/>
      <c r="AJ951" s="5"/>
      <c r="AK951" s="125"/>
      <c r="AL951" s="125"/>
    </row>
    <row r="952" hidden="1"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125"/>
      <c r="AI952" s="125"/>
      <c r="AJ952" s="5"/>
      <c r="AK952" s="125"/>
      <c r="AL952" s="125"/>
    </row>
    <row r="953" hidden="1"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125"/>
      <c r="AI953" s="125"/>
      <c r="AJ953" s="5"/>
      <c r="AK953" s="125"/>
      <c r="AL953" s="125"/>
    </row>
    <row r="954" hidden="1"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125"/>
      <c r="AI954" s="125"/>
      <c r="AJ954" s="5"/>
      <c r="AK954" s="125"/>
      <c r="AL954" s="125"/>
    </row>
    <row r="955" hidden="1"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125"/>
      <c r="AI955" s="125"/>
      <c r="AJ955" s="5"/>
      <c r="AK955" s="125"/>
      <c r="AL955" s="125"/>
    </row>
    <row r="956" hidden="1"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125"/>
      <c r="AI956" s="125"/>
      <c r="AJ956" s="5"/>
      <c r="AK956" s="125"/>
      <c r="AL956" s="125"/>
    </row>
    <row r="957" hidden="1"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125"/>
      <c r="AI957" s="125"/>
      <c r="AJ957" s="5"/>
      <c r="AK957" s="125"/>
      <c r="AL957" s="125"/>
    </row>
    <row r="958" hidden="1"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125"/>
      <c r="AI958" s="125"/>
      <c r="AJ958" s="5"/>
      <c r="AK958" s="125"/>
      <c r="AL958" s="125"/>
    </row>
    <row r="959" hidden="1"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125"/>
      <c r="AI959" s="125"/>
      <c r="AJ959" s="5"/>
      <c r="AK959" s="125"/>
      <c r="AL959" s="125"/>
    </row>
    <row r="960" hidden="1"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125"/>
      <c r="AI960" s="125"/>
      <c r="AJ960" s="5"/>
      <c r="AK960" s="125"/>
      <c r="AL960" s="125"/>
    </row>
    <row r="961" hidden="1"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125"/>
      <c r="AI961" s="125"/>
      <c r="AJ961" s="5"/>
      <c r="AK961" s="125"/>
      <c r="AL961" s="125"/>
    </row>
    <row r="962" hidden="1"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125"/>
      <c r="AI962" s="125"/>
      <c r="AJ962" s="5"/>
      <c r="AK962" s="125"/>
      <c r="AL962" s="125"/>
    </row>
    <row r="963" hidden="1"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125"/>
      <c r="AI963" s="125"/>
      <c r="AJ963" s="5"/>
      <c r="AK963" s="125"/>
      <c r="AL963" s="125"/>
    </row>
    <row r="964" hidden="1"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125"/>
      <c r="AI964" s="125"/>
      <c r="AJ964" s="5"/>
      <c r="AK964" s="125"/>
      <c r="AL964" s="125"/>
    </row>
    <row r="965" hidden="1"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125"/>
      <c r="AI965" s="125"/>
      <c r="AJ965" s="5"/>
      <c r="AK965" s="125"/>
      <c r="AL965" s="125"/>
    </row>
    <row r="966" hidden="1"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125"/>
      <c r="AI966" s="125"/>
      <c r="AJ966" s="5"/>
      <c r="AK966" s="125"/>
      <c r="AL966" s="125"/>
    </row>
    <row r="967" hidden="1"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125"/>
      <c r="AI967" s="125"/>
      <c r="AJ967" s="5"/>
      <c r="AK967" s="125"/>
      <c r="AL967" s="125"/>
    </row>
    <row r="968" hidden="1"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125"/>
      <c r="AI968" s="125"/>
      <c r="AJ968" s="5"/>
      <c r="AK968" s="125"/>
      <c r="AL968" s="125"/>
    </row>
    <row r="969" hidden="1"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125"/>
      <c r="AI969" s="125"/>
      <c r="AJ969" s="5"/>
      <c r="AK969" s="125"/>
      <c r="AL969" s="125"/>
    </row>
    <row r="970" hidden="1"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125"/>
      <c r="AI970" s="125"/>
      <c r="AJ970" s="5"/>
      <c r="AK970" s="125"/>
      <c r="AL970" s="125"/>
    </row>
    <row r="971" hidden="1"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125"/>
      <c r="AI971" s="125"/>
      <c r="AJ971" s="5"/>
      <c r="AK971" s="125"/>
      <c r="AL971" s="125"/>
    </row>
    <row r="972" hidden="1"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125"/>
      <c r="AI972" s="125"/>
      <c r="AJ972" s="5"/>
      <c r="AK972" s="125"/>
      <c r="AL972" s="125"/>
    </row>
    <row r="973" hidden="1"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125"/>
      <c r="AI973" s="125"/>
      <c r="AJ973" s="5"/>
      <c r="AK973" s="125"/>
      <c r="AL973" s="125"/>
    </row>
    <row r="974" hidden="1"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125"/>
      <c r="AI974" s="125"/>
      <c r="AJ974" s="5"/>
      <c r="AK974" s="125"/>
      <c r="AL974" s="125"/>
    </row>
    <row r="975" hidden="1"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125"/>
      <c r="AI975" s="125"/>
      <c r="AJ975" s="5"/>
      <c r="AK975" s="125"/>
      <c r="AL975" s="125"/>
    </row>
    <row r="976" hidden="1"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125"/>
      <c r="AI976" s="125"/>
      <c r="AJ976" s="5"/>
      <c r="AK976" s="125"/>
      <c r="AL976" s="125"/>
    </row>
    <row r="977" hidden="1"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125"/>
      <c r="AI977" s="125"/>
      <c r="AJ977" s="5"/>
      <c r="AK977" s="125"/>
      <c r="AL977" s="125"/>
    </row>
    <row r="978" hidden="1"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125"/>
      <c r="AI978" s="125"/>
      <c r="AJ978" s="5"/>
      <c r="AK978" s="125"/>
      <c r="AL978" s="125"/>
    </row>
    <row r="979" hidden="1"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125"/>
      <c r="AI979" s="125"/>
      <c r="AJ979" s="5"/>
      <c r="AK979" s="125"/>
      <c r="AL979" s="125"/>
    </row>
    <row r="980" hidden="1"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125"/>
      <c r="AI980" s="125"/>
      <c r="AJ980" s="5"/>
      <c r="AK980" s="125"/>
      <c r="AL980" s="125"/>
    </row>
    <row r="981" hidden="1"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125"/>
      <c r="AI981" s="125"/>
      <c r="AJ981" s="5"/>
      <c r="AK981" s="125"/>
      <c r="AL981" s="125"/>
    </row>
    <row r="982" hidden="1"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125"/>
      <c r="AI982" s="125"/>
      <c r="AJ982" s="5"/>
      <c r="AK982" s="125"/>
      <c r="AL982" s="125"/>
    </row>
    <row r="983" hidden="1"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125"/>
      <c r="AI983" s="125"/>
      <c r="AJ983" s="5"/>
      <c r="AK983" s="125"/>
      <c r="AL983" s="125"/>
    </row>
    <row r="984" hidden="1"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125"/>
      <c r="AI984" s="125"/>
      <c r="AJ984" s="5"/>
      <c r="AK984" s="125"/>
      <c r="AL984" s="125"/>
    </row>
    <row r="985" hidden="1"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125"/>
      <c r="AI985" s="125"/>
      <c r="AJ985" s="5"/>
      <c r="AK985" s="125"/>
      <c r="AL985" s="125"/>
    </row>
    <row r="986" hidden="1"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125"/>
      <c r="AI986" s="125"/>
      <c r="AJ986" s="5"/>
      <c r="AK986" s="125"/>
      <c r="AL986" s="125"/>
    </row>
    <row r="987" hidden="1"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125"/>
      <c r="AI987" s="125"/>
      <c r="AJ987" s="5"/>
      <c r="AK987" s="125"/>
      <c r="AL987" s="125"/>
    </row>
    <row r="988" hidden="1"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125"/>
      <c r="AI988" s="125"/>
      <c r="AJ988" s="5"/>
      <c r="AK988" s="125"/>
      <c r="AL988" s="125"/>
    </row>
    <row r="989" hidden="1"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125"/>
      <c r="AI989" s="125"/>
      <c r="AJ989" s="5"/>
      <c r="AK989" s="125"/>
      <c r="AL989" s="125"/>
    </row>
    <row r="990" hidden="1"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125"/>
      <c r="AI990" s="125"/>
      <c r="AJ990" s="5"/>
      <c r="AK990" s="125"/>
      <c r="AL990" s="125"/>
    </row>
    <row r="991" hidden="1"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125"/>
      <c r="AI991" s="125"/>
      <c r="AJ991" s="5"/>
      <c r="AK991" s="125"/>
      <c r="AL991" s="125"/>
    </row>
    <row r="992" hidden="1"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125"/>
      <c r="AI992" s="125"/>
      <c r="AJ992" s="5"/>
      <c r="AK992" s="125"/>
      <c r="AL992" s="125"/>
    </row>
    <row r="993" hidden="1"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125"/>
      <c r="AI993" s="125"/>
      <c r="AJ993" s="5"/>
      <c r="AK993" s="125"/>
      <c r="AL993" s="125"/>
    </row>
    <row r="994" hidden="1"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125"/>
      <c r="AI994" s="125"/>
      <c r="AJ994" s="5"/>
      <c r="AK994" s="125"/>
      <c r="AL994" s="125"/>
    </row>
    <row r="995" hidden="1"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125"/>
      <c r="AI995" s="125"/>
      <c r="AJ995" s="5"/>
      <c r="AK995" s="125"/>
      <c r="AL995" s="125"/>
    </row>
    <row r="996" hidden="1"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125"/>
      <c r="AI996" s="125"/>
      <c r="AJ996" s="5"/>
      <c r="AK996" s="125"/>
      <c r="AL996" s="125"/>
    </row>
    <row r="997" hidden="1"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125"/>
      <c r="AI997" s="125"/>
      <c r="AJ997" s="5"/>
      <c r="AK997" s="125"/>
      <c r="AL997" s="125"/>
    </row>
    <row r="998" hidden="1"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125"/>
      <c r="AI998" s="125"/>
      <c r="AJ998" s="5"/>
      <c r="AK998" s="125"/>
      <c r="AL998" s="125"/>
    </row>
    <row r="999" hidden="1"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125"/>
      <c r="AI999" s="125"/>
      <c r="AJ999" s="5"/>
      <c r="AK999" s="125"/>
      <c r="AL999" s="125"/>
    </row>
    <row r="1000" hidden="1"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125"/>
      <c r="AI1000" s="125"/>
      <c r="AJ1000" s="5"/>
      <c r="AK1000" s="125"/>
      <c r="AL1000" s="125"/>
    </row>
    <row r="1001" hidden="1"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125"/>
      <c r="AI1001" s="125"/>
      <c r="AJ1001" s="5"/>
      <c r="AK1001" s="125"/>
      <c r="AL1001" s="125"/>
    </row>
    <row r="1002" hidden="1"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125"/>
      <c r="AI1002" s="125"/>
      <c r="AJ1002" s="5"/>
      <c r="AK1002" s="125"/>
      <c r="AL1002" s="125"/>
    </row>
    <row r="1003" hidden="1"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125"/>
      <c r="AI1003" s="125"/>
      <c r="AJ1003" s="5"/>
      <c r="AK1003" s="125"/>
      <c r="AL1003" s="125"/>
    </row>
    <row r="1004" hidden="1"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125"/>
      <c r="AI1004" s="125"/>
      <c r="AJ1004" s="5"/>
      <c r="AK1004" s="125"/>
      <c r="AL1004" s="125"/>
    </row>
    <row r="1005" hidden="1"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125"/>
      <c r="AI1005" s="125"/>
      <c r="AJ1005" s="5"/>
      <c r="AK1005" s="125"/>
      <c r="AL1005" s="125"/>
    </row>
    <row r="1006" hidden="1"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125"/>
      <c r="AI1006" s="125"/>
      <c r="AJ1006" s="5"/>
      <c r="AK1006" s="125"/>
      <c r="AL1006" s="125"/>
    </row>
    <row r="1007" hidden="1"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125"/>
      <c r="AI1007" s="125"/>
      <c r="AJ1007" s="5"/>
      <c r="AK1007" s="125"/>
      <c r="AL1007" s="125"/>
    </row>
    <row r="1008" hidden="1"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125"/>
      <c r="AI1008" s="125"/>
      <c r="AJ1008" s="5"/>
      <c r="AK1008" s="125"/>
      <c r="AL1008" s="125"/>
    </row>
    <row r="1009" hidden="1"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125"/>
      <c r="AI1009" s="125"/>
      <c r="AJ1009" s="5"/>
      <c r="AK1009" s="125"/>
      <c r="AL1009" s="125"/>
    </row>
    <row r="1010" hidden="1"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125"/>
      <c r="AI1010" s="125"/>
      <c r="AJ1010" s="5"/>
      <c r="AK1010" s="125"/>
      <c r="AL1010" s="125"/>
    </row>
    <row r="1011" hidden="1"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125"/>
      <c r="AI1011" s="125"/>
      <c r="AJ1011" s="5"/>
      <c r="AK1011" s="125"/>
      <c r="AL1011" s="125"/>
    </row>
    <row r="1012" hidden="1"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125"/>
      <c r="AI1012" s="125"/>
      <c r="AJ1012" s="5"/>
      <c r="AK1012" s="125"/>
      <c r="AL1012" s="125"/>
    </row>
    <row r="1013" hidden="1"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125"/>
      <c r="AI1013" s="125"/>
      <c r="AJ1013" s="5"/>
      <c r="AK1013" s="125"/>
      <c r="AL1013" s="125"/>
    </row>
    <row r="1014" hidden="1"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125"/>
      <c r="AI1014" s="125"/>
      <c r="AJ1014" s="5"/>
      <c r="AK1014" s="125"/>
      <c r="AL1014" s="125"/>
    </row>
    <row r="1015" hidden="1"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125"/>
      <c r="AI1015" s="125"/>
      <c r="AJ1015" s="5"/>
      <c r="AK1015" s="125"/>
      <c r="AL1015" s="125"/>
    </row>
    <row r="1016" hidden="1"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125"/>
      <c r="AI1016" s="125"/>
      <c r="AJ1016" s="5"/>
      <c r="AK1016" s="125"/>
      <c r="AL1016" s="125"/>
    </row>
    <row r="1017" hidden="1"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125"/>
      <c r="AI1017" s="125"/>
      <c r="AJ1017" s="5"/>
      <c r="AK1017" s="125"/>
      <c r="AL1017" s="125"/>
    </row>
    <row r="1018" hidden="1"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125"/>
      <c r="AI1018" s="125"/>
      <c r="AJ1018" s="5"/>
      <c r="AK1018" s="125"/>
      <c r="AL1018" s="125"/>
    </row>
    <row r="1019" hidden="1"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125"/>
      <c r="AI1019" s="125"/>
      <c r="AJ1019" s="5"/>
      <c r="AK1019" s="125"/>
      <c r="AL1019" s="125"/>
    </row>
    <row r="1020" hidden="1"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125"/>
      <c r="AI1020" s="125"/>
      <c r="AJ1020" s="5"/>
      <c r="AK1020" s="125"/>
      <c r="AL1020" s="125"/>
    </row>
    <row r="1021" hidden="1"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125"/>
      <c r="AI1021" s="125"/>
      <c r="AJ1021" s="5"/>
      <c r="AK1021" s="125"/>
      <c r="AL1021" s="125"/>
    </row>
    <row r="1022" hidden="1"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125"/>
      <c r="AI1022" s="125"/>
      <c r="AJ1022" s="5"/>
      <c r="AK1022" s="125"/>
      <c r="AL1022" s="125"/>
    </row>
    <row r="1023" hidden="1"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125"/>
      <c r="AI1023" s="125"/>
      <c r="AJ1023" s="5"/>
      <c r="AK1023" s="125"/>
      <c r="AL1023" s="125"/>
    </row>
    <row r="1024" hidden="1"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125"/>
      <c r="AI1024" s="125"/>
      <c r="AJ1024" s="5"/>
      <c r="AK1024" s="125"/>
      <c r="AL1024" s="125"/>
    </row>
    <row r="1025" hidden="1"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125"/>
      <c r="AI1025" s="125"/>
      <c r="AJ1025" s="5"/>
      <c r="AK1025" s="125"/>
      <c r="AL1025" s="125"/>
    </row>
    <row r="1026" hidden="1"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125"/>
      <c r="AI1026" s="125"/>
      <c r="AJ1026" s="5"/>
      <c r="AK1026" s="125"/>
      <c r="AL1026" s="125"/>
    </row>
    <row r="1027" hidden="1"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125"/>
      <c r="AI1027" s="125"/>
      <c r="AJ1027" s="5"/>
      <c r="AK1027" s="125"/>
      <c r="AL1027" s="125"/>
    </row>
    <row r="1028" hidden="1"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125"/>
      <c r="AI1028" s="125"/>
      <c r="AJ1028" s="5"/>
      <c r="AK1028" s="125"/>
      <c r="AL1028" s="125"/>
    </row>
    <row r="1029" hidden="1"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125"/>
      <c r="AI1029" s="125"/>
      <c r="AJ1029" s="5"/>
      <c r="AK1029" s="125"/>
      <c r="AL1029" s="125"/>
    </row>
    <row r="1030" hidden="1"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125"/>
      <c r="AI1030" s="125"/>
      <c r="AJ1030" s="5"/>
      <c r="AK1030" s="125"/>
      <c r="AL1030" s="125"/>
    </row>
    <row r="1031" hidden="1"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125"/>
      <c r="AI1031" s="125"/>
      <c r="AJ1031" s="5"/>
      <c r="AK1031" s="125"/>
      <c r="AL1031" s="125"/>
    </row>
    <row r="1032" hidden="1"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125"/>
      <c r="AI1032" s="125"/>
      <c r="AJ1032" s="5"/>
      <c r="AK1032" s="125"/>
      <c r="AL1032" s="125"/>
    </row>
  </sheetData>
  <mergeCells count="93">
    <mergeCell ref="S4:S5"/>
    <mergeCell ref="T4:T5"/>
    <mergeCell ref="U4:U5"/>
    <mergeCell ref="V4:V5"/>
    <mergeCell ref="M9:X9"/>
    <mergeCell ref="W4:W5"/>
    <mergeCell ref="X4:X5"/>
    <mergeCell ref="Y4:Y5"/>
    <mergeCell ref="Z4:Z5"/>
    <mergeCell ref="AA4:AA5"/>
    <mergeCell ref="AB4:AB5"/>
    <mergeCell ref="AC4:AC5"/>
    <mergeCell ref="B2:C2"/>
    <mergeCell ref="M3:X3"/>
    <mergeCell ref="B4:D4"/>
    <mergeCell ref="K4:K5"/>
    <mergeCell ref="N4:N5"/>
    <mergeCell ref="O4:O5"/>
    <mergeCell ref="P4:P5"/>
    <mergeCell ref="Y19:Y20"/>
    <mergeCell ref="Z19:Z20"/>
    <mergeCell ref="AA19:AA20"/>
    <mergeCell ref="AB19:AB20"/>
    <mergeCell ref="AC19:AC20"/>
    <mergeCell ref="R19:R20"/>
    <mergeCell ref="S19:S20"/>
    <mergeCell ref="T19:T20"/>
    <mergeCell ref="U19:U20"/>
    <mergeCell ref="V19:V20"/>
    <mergeCell ref="W19:W20"/>
    <mergeCell ref="X19:X20"/>
    <mergeCell ref="Q4:Q5"/>
    <mergeCell ref="R4:R5"/>
    <mergeCell ref="L19:M20"/>
    <mergeCell ref="N19:N20"/>
    <mergeCell ref="O19:O20"/>
    <mergeCell ref="P19:P20"/>
    <mergeCell ref="Q19:Q20"/>
    <mergeCell ref="AA73:AA74"/>
    <mergeCell ref="AB73:AB74"/>
    <mergeCell ref="T73:T74"/>
    <mergeCell ref="U73:U74"/>
    <mergeCell ref="V73:V74"/>
    <mergeCell ref="W73:W74"/>
    <mergeCell ref="X73:X74"/>
    <mergeCell ref="Y73:Y74"/>
    <mergeCell ref="Z73:Z74"/>
    <mergeCell ref="W37:W38"/>
    <mergeCell ref="X37:X38"/>
    <mergeCell ref="Y37:Y38"/>
    <mergeCell ref="Z37:Z38"/>
    <mergeCell ref="AA37:AA38"/>
    <mergeCell ref="AB37:AB38"/>
    <mergeCell ref="AC37:AC38"/>
    <mergeCell ref="P37:P38"/>
    <mergeCell ref="Q37:Q38"/>
    <mergeCell ref="R37:R38"/>
    <mergeCell ref="S37:S38"/>
    <mergeCell ref="T37:T38"/>
    <mergeCell ref="U37:U38"/>
    <mergeCell ref="V37:V38"/>
    <mergeCell ref="I26:J26"/>
    <mergeCell ref="I27:J27"/>
    <mergeCell ref="I28:J28"/>
    <mergeCell ref="I36:J36"/>
    <mergeCell ref="L37:M38"/>
    <mergeCell ref="N37:N38"/>
    <mergeCell ref="O37:O38"/>
    <mergeCell ref="AA55:AA56"/>
    <mergeCell ref="AB55:AB56"/>
    <mergeCell ref="AC55:AC56"/>
    <mergeCell ref="T55:T56"/>
    <mergeCell ref="U55:U56"/>
    <mergeCell ref="V55:V56"/>
    <mergeCell ref="W55:W56"/>
    <mergeCell ref="X55:X56"/>
    <mergeCell ref="Y55:Y56"/>
    <mergeCell ref="Z55:Z56"/>
    <mergeCell ref="L55:M56"/>
    <mergeCell ref="N55:N56"/>
    <mergeCell ref="O55:O56"/>
    <mergeCell ref="P55:P56"/>
    <mergeCell ref="Q55:Q56"/>
    <mergeCell ref="R55:R56"/>
    <mergeCell ref="S55:S56"/>
    <mergeCell ref="L73:M74"/>
    <mergeCell ref="N73:N74"/>
    <mergeCell ref="O73:O74"/>
    <mergeCell ref="P73:P74"/>
    <mergeCell ref="Q73:Q74"/>
    <mergeCell ref="R73:R74"/>
    <mergeCell ref="S73:S74"/>
    <mergeCell ref="AC73:AC74"/>
  </mergeCells>
  <conditionalFormatting sqref="AA8:AD8">
    <cfRule type="cellIs" dxfId="0" priority="1" operator="equal">
      <formula>0</formula>
    </cfRule>
  </conditionalFormatting>
  <conditionalFormatting sqref="I6:I25">
    <cfRule type="cellIs" dxfId="1" priority="2" operator="greaterThan">
      <formula>0</formula>
    </cfRule>
  </conditionalFormatting>
  <conditionalFormatting sqref="W4:W5 Y6:AB6 W8 W10 Z13:AC13">
    <cfRule type="expression" dxfId="2" priority="3">
      <formula>$G$12&gt;=3</formula>
    </cfRule>
  </conditionalFormatting>
  <conditionalFormatting sqref="O2:R2">
    <cfRule type="expression" dxfId="3" priority="4">
      <formula>P2="No asegurable"</formula>
    </cfRule>
  </conditionalFormatting>
  <dataValidations>
    <dataValidation type="list" allowBlank="1" showErrorMessage="1" sqref="K8">
      <formula1>"0%,1%,2%,3%,4%,5%"</formula1>
    </dataValidation>
    <dataValidation type="list" allowBlank="1" showErrorMessage="1" sqref="K10">
      <formula1>"Sí,No"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</cols>
  <sheetData>
    <row r="1">
      <c r="A1" s="2" t="s">
        <v>50</v>
      </c>
      <c r="B1" s="1" t="s">
        <v>51</v>
      </c>
    </row>
    <row r="2">
      <c r="A2" s="2" t="s">
        <v>11</v>
      </c>
      <c r="B2" s="144">
        <f>IFERROR(IF(Cotizador!I6&gt;70,-3,IF(Cotizador!I6&gt;59,0,1)),0)+IFERROR(IF(Cotizador!I7&gt;70,-3,IF(Cotizador!I7&gt;59,0,1)),0)+IFERROR(IF(Cotizador!I8&gt;70,-3,IF(Cotizador!I8&gt;59,0,1)),0)+IFERROR(IF(Cotizador!I9&gt;70,-3,IF(Cotizador!I9&gt;59,0,1)),0)+IFERROR(IF(Cotizador!I10&gt;70,-3,IF(Cotizador!I10&gt;59,0,1)),0)+IFERROR(IF(Cotizador!I11&gt;70,-3,IF(Cotizador!I11&gt;59,0,1)),0)+IFERROR(IF(Cotizador!I12&gt;70,-3,IF(Cotizador!I12&gt;59,0,1)),0)+IFERROR(IF(Cotizador!I13&gt;70,-3,IF(Cotizador!I13&gt;59,0,1)),0)</f>
        <v>3</v>
      </c>
    </row>
    <row r="3">
      <c r="A3" s="2" t="s">
        <v>12</v>
      </c>
      <c r="B3" s="144">
        <f>IF(COUNTIF(Cotizador!$I$6:$I$13,"&gt;70")&gt;0,IF(COUNTIF(Cotizador!$I$6:$I$13,"&lt;60")&lt;3*COUNTIF(Cotizador!$I$6:$I$13,"&gt;70"),-1,1),1)</f>
        <v>1</v>
      </c>
    </row>
    <row r="4">
      <c r="A4" s="2" t="s">
        <v>52</v>
      </c>
      <c r="B4" s="144">
        <f>IFERROR(IF(Cotizador!I6&gt;70,-3,IF(Cotizador!I6&gt;59,0,1)),0)+IFERROR(IF(Cotizador!I7&gt;70,-3,IF(Cotizador!I7&gt;59,0,1)),0)+IFERROR(IF(Cotizador!I8&gt;70,-3,IF(Cotizador!I8&gt;59,0,1)),0)+IFERROR(IF(Cotizador!I9&gt;70,-3,IF(Cotizador!I9&gt;59,0,1)),0)+IFERROR(IF(Cotizador!I10&gt;70,-3,IF(Cotizador!I10&gt;59,0,1)),0)+IFERROR(IF(Cotizador!I11&gt;70,-3,IF(Cotizador!I11&gt;59,0,1)),0)+IFERROR(IF(Cotizador!I12&gt;70,-3,IF(Cotizador!I12&gt;59,0,1)),0)+IFERROR(IF(Cotizador!I13&gt;70,-3,IF(Cotizador!I13&gt;59,0,1)),0)</f>
        <v>3</v>
      </c>
    </row>
    <row r="5">
      <c r="A5" s="2" t="s">
        <v>53</v>
      </c>
      <c r="B5" s="144">
        <f>IFERROR(IF(Cotizador!I6&gt;70,-3,IF(Cotizador!I6&gt;59,0,1)),0)+IFERROR(IF(Cotizador!I7&gt;70,-3,IF(Cotizador!I7&gt;59,0,1)),0)+IFERROR(IF(Cotizador!I8&gt;70,-3,IF(Cotizador!I8&gt;59,0,1)),0)+IFERROR(IF(Cotizador!I9&gt;70,-3,IF(Cotizador!I9&gt;59,0,1)),0)+IFERROR(IF(Cotizador!I10&gt;70,-3,IF(Cotizador!I10&gt;59,0,1)),0)+IFERROR(IF(Cotizador!I11&gt;70,-3,IF(Cotizador!I11&gt;59,0,1)),0)+IFERROR(IF(Cotizador!I12&gt;70,-3,IF(Cotizador!I12&gt;59,0,1)),0)+IFERROR(IF(Cotizador!I13&gt;70,-3,IF(Cotizador!I13&gt;59,0,1)),0)</f>
        <v>3</v>
      </c>
    </row>
    <row r="6">
      <c r="A6" s="2" t="s">
        <v>54</v>
      </c>
      <c r="B6" s="144">
        <f>IFERROR(IF(Cotizador!I6&gt;62,-3,IF(Cotizador!I6&gt;59,0,1)),0)+IFERROR(IF(Cotizador!I7&gt;62,-3,IF(Cotizador!I7&gt;59,0,1)),0)+IFERROR(IF(Cotizador!I8&gt;62,-3,IF(Cotizador!I8&gt;59,0,1)),0)++IFERROR(IF(Cotizador!I9&gt;62,-3,IF(Cotizador!I9&gt;59,0,1)),0)+IFERROR(IF(Cotizador!I10&gt;62,-3,IF(Cotizador!I10&gt;59,0,1)),0)+IFERROR(IF(Cotizador!I11&gt;62,-3,IF(Cotizador!I11&gt;59,0,1)),0)+IFERROR(IF(Cotizador!I12&gt;62,-3,IF(Cotizador!I12&gt;59,0,1)),0)+IFERROR(IF(Cotizador!I13&gt;62,-3,IF(Cotizador!I13&gt;59,0,1)),0)</f>
        <v>0</v>
      </c>
    </row>
    <row r="7">
      <c r="A7" s="2" t="s">
        <v>55</v>
      </c>
      <c r="B7" s="144">
        <f>IF(COUNTIF(Cotizador!$I$6:$I$13,"&gt;67")&gt;0,IF(COUNTIF(Cotizador!$I$6:$I$13,"&lt;60")&lt;3*COUNTIF(Cotizador!$I$6:$I$13,"&gt;67"),-1,1),1)</f>
        <v>1</v>
      </c>
    </row>
    <row r="8">
      <c r="A8" s="2" t="s">
        <v>56</v>
      </c>
      <c r="B8" s="144">
        <f>IF(COUNT(Cotizador!I6:I13)&gt;4,-1,1)</f>
        <v>1</v>
      </c>
    </row>
    <row r="9">
      <c r="A9" s="2" t="s">
        <v>57</v>
      </c>
      <c r="B9" s="144">
        <f>IF(COUNTIF(Cotizador!$I$6:$I$13,"&gt;67")&gt;0,IF(COUNTIF(Cotizador!$I$6:$I$13,"&lt;60")&lt;3*COUNTIF(Cotizador!$I$6:$I$13,"&gt;67"),-1,1),1)</f>
        <v>1</v>
      </c>
    </row>
    <row r="10">
      <c r="A10" s="2" t="s">
        <v>58</v>
      </c>
      <c r="B10" s="144">
        <f>IF(COUNTIF(Cotizador!$I$6:$I$13,"&gt;67")&gt;0,IF(COUNTIF(Cotizador!$I$6:$I$13,"&lt;60")&lt;3*COUNTIF(Cotizador!$I$6:$I$13,"&gt;67"),-1,1),1)</f>
        <v>1</v>
      </c>
    </row>
    <row r="11">
      <c r="A11" s="2" t="s">
        <v>59</v>
      </c>
      <c r="B11" s="144">
        <f>IF(AND(COUNTIF(Cotizador!$I$6:$I$13,"&gt;=50")-COUNTIF(Cotizador!$I$6:$I$13,"&gt;54")&gt;0, COUNTIF(Cotizador!$I$6:$I$13,"&gt;=55")&gt;0), 1, IF(COUNTIF(Cotizador!$I$6:$I$13,"&lt;55")&gt;0, -1, 1))</f>
        <v>-1</v>
      </c>
    </row>
    <row r="12">
      <c r="A12" s="2" t="s">
        <v>60</v>
      </c>
      <c r="B12" s="144">
        <f>IF(COUNTIF(Cotizador!$I$6:$I$13,"&gt;84")&gt;0,-1,  
    IF(AND(AND(COUNTIF(Cotizador!$I$6:$I$13,"&gt;=60"),COUNTIF(Cotizador!$I$6:$I$13,"&lt;=62"))&gt;0,COUNTIF(Cotizador!$I$6:$I$13,"&gt;=63")&gt;0,COUNTIF(Cotizador!$I$6:$I$13,"&lt;60")=0),1,  
        -1))
</f>
        <v>-1</v>
      </c>
    </row>
    <row r="13">
      <c r="A13" s="2" t="s">
        <v>61</v>
      </c>
      <c r="B13" s="144">
        <f>IFERROR(IF(Cotizador!I6&gt;67,-3,IF(Cotizador!I6&gt;59,0,1)),0)+IFERROR(IF(Cotizador!I7&gt;67,-3,IF(Cotizador!I7&gt;59,0,1)),0)+IFERROR(IF(Cotizador!I8&gt;67,-3,IF(Cotizador!I8&gt;59,0,1)),0)++IFERROR(IF(Cotizador!I9&gt;67,-3,IF(Cotizador!I9&gt;59,0,1)),0)+IFERROR(IF(Cotizador!I10&gt;67,-3,IF(Cotizador!I10&gt;59,0,1)),0)+IFERROR(IF(Cotizador!I11&gt;67,-3,IF(Cotizador!I11&gt;59,0,1)),0)+IFERROR(IF(Cotizador!I12&gt;67,-3,IF(Cotizador!I12&gt;59,0,1)),0)+IFERROR(IF(Cotizador!I13&gt;67,-3,IF(Cotizador!I13&gt;59,0,1)),0)</f>
        <v>3</v>
      </c>
    </row>
    <row r="14">
      <c r="A14" s="2" t="s">
        <v>62</v>
      </c>
      <c r="B14" s="144">
        <f>IF(COUNTIF(Cotizador!$I$6:$I$13,"&gt;70")&gt;0,IF(COUNTIF(Cotizador!$I$6:$I$13,"&lt;=60")&lt;3*COUNTIF(Cotizador!$I$6:$I$13,"&gt;=70"),-1,1),1)</f>
        <v>1</v>
      </c>
    </row>
    <row r="15">
      <c r="A15" s="2" t="s">
        <v>63</v>
      </c>
      <c r="B15" s="144">
        <f>IF(COUNTIF(Cotizador!$I$6:$I$13,"&gt;69")&gt;0,IF(COUNTIF(Cotizador!$I$6:$I$13,"&lt;60")&lt;3*COUNTIF(Cotizador!$I$6:$I$13,"&gt;69"),-1,1),1)</f>
        <v>1</v>
      </c>
    </row>
    <row r="16">
      <c r="A16" s="2" t="s">
        <v>64</v>
      </c>
      <c r="B16" s="144">
        <f>IF(COUNTIF(Cotizador!$I$6:$I$13,"&gt;69")&gt;0,IF(COUNTIF(Cotizador!$I$6:$I$13,"&lt;60")&lt;3*COUNTIF(Cotizador!$I$6:$I$13,"&gt;69"),-1,1),1)</f>
        <v>1</v>
      </c>
    </row>
    <row r="17">
      <c r="A17" s="2" t="s">
        <v>65</v>
      </c>
      <c r="B17" s="144">
        <f>IF(COUNTIF(Cotizador!$I$6:$I$13,"&gt;64")&gt;0,IF(COUNTIF(Cotizador!$I$6:$I$13,"&lt;60")&lt;3*COUNTIF(Cotizador!$I$6:$I$13,"&gt;64"),-1,1),1)</f>
        <v>1</v>
      </c>
    </row>
    <row r="18">
      <c r="A18" s="2" t="s">
        <v>13</v>
      </c>
      <c r="B18" s="144">
        <f>IF(COUNTIF(Cotizador!$I$6:$I$13,"&gt;62")&gt;0,IF(COUNTIF(Cotizador!$I$6:$I$13,"&lt;60")&lt;3*COUNTIF(Cotizador!$I$6:$I$13,"&gt;62"),-1,1),1)</f>
        <v>1</v>
      </c>
    </row>
    <row r="19">
      <c r="A19" s="3"/>
    </row>
    <row r="20">
      <c r="A20" s="3"/>
    </row>
    <row r="21">
      <c r="A21" s="3"/>
    </row>
    <row r="23">
      <c r="A23" s="3"/>
    </row>
    <row r="24">
      <c r="A24" s="3"/>
    </row>
    <row r="25">
      <c r="A25" s="3"/>
    </row>
    <row r="27">
      <c r="A27" s="3"/>
    </row>
    <row r="28">
      <c r="A28" s="3"/>
    </row>
    <row r="29">
      <c r="A29" s="3"/>
    </row>
    <row r="31">
      <c r="A31" s="3"/>
    </row>
    <row r="32">
      <c r="A32" s="3"/>
    </row>
    <row r="33">
      <c r="A33" s="3"/>
    </row>
    <row r="35">
      <c r="A35" s="3"/>
    </row>
    <row r="36">
      <c r="A36" s="3"/>
    </row>
    <row r="37">
      <c r="A37" s="3"/>
    </row>
    <row r="39">
      <c r="A39" s="3"/>
    </row>
    <row r="40">
      <c r="A40" s="3"/>
    </row>
    <row r="41">
      <c r="A41" s="3"/>
    </row>
    <row r="43">
      <c r="A43" s="3"/>
    </row>
    <row r="44">
      <c r="A44" s="3"/>
    </row>
    <row r="45">
      <c r="A45" s="3"/>
    </row>
    <row r="61">
      <c r="A61" s="3"/>
    </row>
    <row r="64">
      <c r="A64" s="3"/>
    </row>
    <row r="65">
      <c r="A65" s="3"/>
    </row>
    <row r="67">
      <c r="A67" s="3"/>
    </row>
    <row r="68">
      <c r="A68" s="3"/>
    </row>
    <row r="69">
      <c r="A69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1.13"/>
    <col customWidth="1" min="3" max="3" width="19.25"/>
    <col customWidth="1" min="4" max="10" width="11.13"/>
    <col customWidth="1" min="11" max="11" width="12.0"/>
    <col customWidth="1" min="12" max="14" width="11.0"/>
    <col customWidth="1" min="15" max="15" width="2.88"/>
    <col customWidth="1" min="16" max="20" width="17.13"/>
    <col customWidth="1" min="21" max="21" width="2.88"/>
    <col customWidth="1" min="22" max="22" width="12.13"/>
    <col customWidth="1" min="23" max="26" width="13.88"/>
    <col customWidth="1" min="27" max="27" width="2.88"/>
    <col customWidth="1" min="28" max="28" width="12.13"/>
    <col customWidth="1" min="29" max="32" width="15.38"/>
    <col customWidth="1" min="33" max="33" width="2.88"/>
    <col customWidth="1" min="34" max="34" width="12.13"/>
    <col customWidth="1" min="35" max="38" width="15.63"/>
    <col customWidth="1" min="39" max="39" width="2.38"/>
    <col customWidth="1" min="40" max="40" width="18.88"/>
    <col customWidth="1" min="41" max="44" width="19.0"/>
    <col customWidth="1" min="45" max="45" width="3.88"/>
    <col customWidth="1" min="47" max="47" width="16.88"/>
    <col customWidth="1" min="65" max="68" width="15.75"/>
    <col customWidth="1" min="69" max="69" width="3.88"/>
    <col customWidth="1" min="70" max="74" width="17.13"/>
    <col customWidth="1" min="75" max="75" width="5.63"/>
    <col customWidth="1" min="76" max="76" width="17.13"/>
    <col customWidth="1" min="77" max="77" width="13.63"/>
    <col customWidth="1" min="79" max="79" width="4.25"/>
    <col customWidth="1" min="80" max="80" width="18.88"/>
    <col customWidth="1" min="81" max="84" width="19.0"/>
    <col customWidth="1" min="85" max="85" width="3.75"/>
    <col customWidth="1" min="92" max="92" width="19.25"/>
    <col customWidth="1" min="94" max="94" width="23.25"/>
    <col customWidth="1" min="98" max="98" width="19.38"/>
    <col customWidth="1" min="100" max="100" width="23.25"/>
    <col customWidth="1" min="105" max="105" width="24.5"/>
    <col customWidth="1" min="106" max="106" width="3.38"/>
    <col customWidth="1" min="108" max="111" width="24.5"/>
    <col customWidth="1" min="112" max="112" width="3.75"/>
    <col customWidth="1" min="114" max="117" width="24.5"/>
  </cols>
  <sheetData>
    <row r="1">
      <c r="A1" s="145" t="s">
        <v>66</v>
      </c>
      <c r="B1" s="145" t="s">
        <v>67</v>
      </c>
      <c r="C1" s="145" t="s">
        <v>50</v>
      </c>
      <c r="D1" s="146" t="s">
        <v>68</v>
      </c>
      <c r="E1" s="3"/>
      <c r="F1" s="1" t="s">
        <v>69</v>
      </c>
      <c r="G1" s="3" t="s">
        <v>70</v>
      </c>
      <c r="H1" s="3" t="s">
        <v>71</v>
      </c>
      <c r="I1" s="3"/>
      <c r="J1" s="147" t="s">
        <v>72</v>
      </c>
      <c r="K1" s="147" t="s">
        <v>73</v>
      </c>
      <c r="L1" s="147" t="s">
        <v>74</v>
      </c>
      <c r="M1" s="147" t="s">
        <v>75</v>
      </c>
      <c r="N1" s="147" t="s">
        <v>76</v>
      </c>
      <c r="O1" s="3"/>
      <c r="P1" s="147" t="s">
        <v>72</v>
      </c>
      <c r="Q1" s="147" t="s">
        <v>77</v>
      </c>
      <c r="R1" s="147" t="s">
        <v>78</v>
      </c>
      <c r="S1" s="147" t="s">
        <v>79</v>
      </c>
      <c r="T1" s="147" t="s">
        <v>80</v>
      </c>
      <c r="U1" s="3"/>
      <c r="V1" s="147" t="s">
        <v>72</v>
      </c>
      <c r="W1" s="147" t="s">
        <v>81</v>
      </c>
      <c r="X1" s="147" t="s">
        <v>82</v>
      </c>
      <c r="Y1" s="147" t="s">
        <v>83</v>
      </c>
      <c r="Z1" s="147" t="s">
        <v>84</v>
      </c>
      <c r="AA1" s="3"/>
      <c r="AB1" s="147" t="s">
        <v>72</v>
      </c>
      <c r="AC1" s="147" t="s">
        <v>85</v>
      </c>
      <c r="AD1" s="147" t="s">
        <v>86</v>
      </c>
      <c r="AE1" s="147" t="s">
        <v>87</v>
      </c>
      <c r="AF1" s="147" t="s">
        <v>88</v>
      </c>
      <c r="AG1" s="3"/>
      <c r="AH1" s="147" t="s">
        <v>72</v>
      </c>
      <c r="AI1" s="147" t="s">
        <v>89</v>
      </c>
      <c r="AJ1" s="147" t="s">
        <v>90</v>
      </c>
      <c r="AK1" s="147" t="s">
        <v>91</v>
      </c>
      <c r="AL1" s="147" t="s">
        <v>92</v>
      </c>
      <c r="AM1" s="3"/>
      <c r="AN1" s="147" t="s">
        <v>93</v>
      </c>
      <c r="AO1" s="147" t="s">
        <v>94</v>
      </c>
      <c r="AP1" s="147" t="s">
        <v>95</v>
      </c>
      <c r="AQ1" s="147" t="s">
        <v>96</v>
      </c>
      <c r="AR1" s="147" t="s">
        <v>97</v>
      </c>
      <c r="AS1" s="3"/>
      <c r="AT1" s="147" t="s">
        <v>93</v>
      </c>
      <c r="AU1" s="147" t="s">
        <v>98</v>
      </c>
      <c r="AV1" s="147" t="s">
        <v>99</v>
      </c>
      <c r="AW1" s="147" t="s">
        <v>100</v>
      </c>
      <c r="AX1" s="147" t="s">
        <v>101</v>
      </c>
      <c r="AY1" s="148"/>
      <c r="AZ1" s="147" t="s">
        <v>102</v>
      </c>
      <c r="BA1" s="147" t="s">
        <v>103</v>
      </c>
      <c r="BB1" s="147" t="s">
        <v>104</v>
      </c>
      <c r="BC1" s="147" t="s">
        <v>105</v>
      </c>
      <c r="BD1" s="147" t="s">
        <v>106</v>
      </c>
      <c r="BE1" s="148"/>
      <c r="BF1" s="147" t="s">
        <v>102</v>
      </c>
      <c r="BG1" s="147" t="s">
        <v>107</v>
      </c>
      <c r="BH1" s="147" t="s">
        <v>108</v>
      </c>
      <c r="BI1" s="147" t="s">
        <v>109</v>
      </c>
      <c r="BJ1" s="147" t="s">
        <v>110</v>
      </c>
      <c r="BK1" s="148"/>
      <c r="BL1" s="147" t="s">
        <v>72</v>
      </c>
      <c r="BM1" s="147" t="s">
        <v>111</v>
      </c>
      <c r="BN1" s="147" t="s">
        <v>112</v>
      </c>
      <c r="BO1" s="147" t="s">
        <v>113</v>
      </c>
      <c r="BP1" s="147" t="s">
        <v>114</v>
      </c>
      <c r="BQ1" s="3"/>
      <c r="BR1" s="147" t="s">
        <v>72</v>
      </c>
      <c r="BS1" s="147" t="s">
        <v>115</v>
      </c>
      <c r="BT1" s="147" t="s">
        <v>116</v>
      </c>
      <c r="BU1" s="147" t="s">
        <v>117</v>
      </c>
      <c r="BV1" s="147" t="s">
        <v>118</v>
      </c>
      <c r="BW1" s="3"/>
      <c r="BX1" s="147" t="s">
        <v>69</v>
      </c>
      <c r="BY1" s="147" t="s">
        <v>70</v>
      </c>
      <c r="BZ1" s="147" t="s">
        <v>71</v>
      </c>
      <c r="CA1" s="3"/>
      <c r="CB1" s="147" t="s">
        <v>72</v>
      </c>
      <c r="CC1" s="147" t="s">
        <v>119</v>
      </c>
      <c r="CD1" s="147" t="s">
        <v>120</v>
      </c>
      <c r="CE1" s="147" t="s">
        <v>121</v>
      </c>
      <c r="CF1" s="147" t="s">
        <v>122</v>
      </c>
      <c r="CH1" s="147" t="s">
        <v>72</v>
      </c>
      <c r="CI1" s="147" t="s">
        <v>123</v>
      </c>
      <c r="CJ1" s="147" t="s">
        <v>124</v>
      </c>
      <c r="CK1" s="147" t="s">
        <v>125</v>
      </c>
      <c r="CL1" s="147" t="s">
        <v>126</v>
      </c>
      <c r="CM1" s="148"/>
      <c r="CN1" s="147" t="s">
        <v>127</v>
      </c>
      <c r="CO1" s="147" t="s">
        <v>128</v>
      </c>
      <c r="CP1" s="147" t="s">
        <v>129</v>
      </c>
      <c r="CQ1" s="147" t="s">
        <v>130</v>
      </c>
      <c r="CR1" s="147" t="s">
        <v>131</v>
      </c>
      <c r="CS1" s="148"/>
      <c r="CT1" s="147" t="s">
        <v>132</v>
      </c>
      <c r="CU1" s="147" t="s">
        <v>128</v>
      </c>
      <c r="CV1" s="147" t="s">
        <v>129</v>
      </c>
      <c r="CW1" s="147" t="s">
        <v>130</v>
      </c>
      <c r="CX1" s="147" t="s">
        <v>131</v>
      </c>
      <c r="CY1" s="148"/>
      <c r="CZ1" s="149"/>
      <c r="DA1" s="149"/>
      <c r="DC1" s="147" t="s">
        <v>72</v>
      </c>
      <c r="DD1" s="147" t="s">
        <v>133</v>
      </c>
      <c r="DE1" s="147" t="s">
        <v>134</v>
      </c>
      <c r="DF1" s="147" t="s">
        <v>135</v>
      </c>
      <c r="DG1" s="147" t="s">
        <v>136</v>
      </c>
      <c r="DI1" s="147" t="s">
        <v>72</v>
      </c>
      <c r="DJ1" s="147" t="s">
        <v>137</v>
      </c>
      <c r="DK1" s="147" t="s">
        <v>138</v>
      </c>
      <c r="DL1" s="147" t="s">
        <v>139</v>
      </c>
      <c r="DM1" s="147" t="s">
        <v>140</v>
      </c>
    </row>
    <row r="2" ht="16.5" customHeight="1">
      <c r="A2" s="145">
        <v>0.0</v>
      </c>
      <c r="B2" s="145">
        <v>54.0</v>
      </c>
      <c r="C2" s="145" t="s">
        <v>141</v>
      </c>
      <c r="D2" s="146">
        <v>21.0</v>
      </c>
      <c r="E2" s="3"/>
      <c r="F2" s="3">
        <v>1.0</v>
      </c>
      <c r="G2" s="150">
        <v>8.93</v>
      </c>
      <c r="H2" s="150">
        <v>8.93</v>
      </c>
      <c r="I2" s="3"/>
      <c r="J2" s="151">
        <v>0.0</v>
      </c>
      <c r="K2" s="152">
        <v>20.0</v>
      </c>
      <c r="L2" s="152">
        <v>21.0</v>
      </c>
      <c r="M2" s="152">
        <v>21.0</v>
      </c>
      <c r="N2" s="152">
        <v>22.0</v>
      </c>
      <c r="O2" s="3"/>
      <c r="P2" s="153">
        <v>0.0</v>
      </c>
      <c r="Q2" s="152">
        <v>37.0</v>
      </c>
      <c r="R2" s="152">
        <v>38.0</v>
      </c>
      <c r="S2" s="152">
        <v>39.0</v>
      </c>
      <c r="T2" s="152">
        <v>40.0</v>
      </c>
      <c r="U2" s="3"/>
      <c r="V2" s="153">
        <v>0.0</v>
      </c>
      <c r="W2" s="152">
        <v>49.0</v>
      </c>
      <c r="X2" s="152">
        <v>50.0</v>
      </c>
      <c r="Y2" s="152">
        <v>51.0</v>
      </c>
      <c r="Z2" s="152">
        <v>52.0</v>
      </c>
      <c r="AA2" s="3"/>
      <c r="AB2" s="153">
        <v>0.0</v>
      </c>
      <c r="AC2" s="152">
        <v>59.0</v>
      </c>
      <c r="AD2" s="152">
        <v>61.0</v>
      </c>
      <c r="AE2" s="152">
        <v>63.0</v>
      </c>
      <c r="AF2" s="152">
        <v>64.0</v>
      </c>
      <c r="AG2" s="3"/>
      <c r="AH2" s="153">
        <v>0.0</v>
      </c>
      <c r="AI2" s="152">
        <v>80.0</v>
      </c>
      <c r="AJ2" s="152">
        <v>81.0</v>
      </c>
      <c r="AK2" s="152">
        <v>83.0</v>
      </c>
      <c r="AL2" s="152">
        <v>84.0</v>
      </c>
      <c r="AM2" s="3"/>
      <c r="AN2" s="153">
        <v>0.0</v>
      </c>
      <c r="AO2" s="154">
        <v>49.0</v>
      </c>
      <c r="AP2" s="154">
        <v>50.0</v>
      </c>
      <c r="AQ2" s="154">
        <v>52.0</v>
      </c>
      <c r="AR2" s="154">
        <v>53.0</v>
      </c>
      <c r="AS2" s="3"/>
      <c r="AT2" s="153">
        <v>0.0</v>
      </c>
      <c r="AU2" s="154">
        <v>72.0</v>
      </c>
      <c r="AV2" s="154">
        <v>73.0</v>
      </c>
      <c r="AW2" s="154">
        <v>76.0</v>
      </c>
      <c r="AX2" s="154">
        <v>77.0</v>
      </c>
      <c r="AY2" s="3"/>
      <c r="AZ2" s="153">
        <v>0.0</v>
      </c>
      <c r="BA2" s="154">
        <v>53.5</v>
      </c>
      <c r="BB2" s="154">
        <v>55.5</v>
      </c>
      <c r="BC2" s="154">
        <v>57.0</v>
      </c>
      <c r="BD2" s="154">
        <v>58.0</v>
      </c>
      <c r="BE2" s="3"/>
      <c r="BF2" s="153">
        <v>0.0</v>
      </c>
      <c r="BG2" s="154">
        <v>75.5</v>
      </c>
      <c r="BH2" s="154">
        <v>77.5</v>
      </c>
      <c r="BI2" s="154">
        <v>80.5</v>
      </c>
      <c r="BJ2" s="154">
        <v>82.0</v>
      </c>
      <c r="BK2" s="3"/>
      <c r="BL2" s="155">
        <v>0.0</v>
      </c>
      <c r="BM2" s="156" t="s">
        <v>142</v>
      </c>
      <c r="BN2" s="156" t="s">
        <v>142</v>
      </c>
      <c r="BO2" s="156" t="s">
        <v>142</v>
      </c>
      <c r="BP2" s="156" t="s">
        <v>142</v>
      </c>
      <c r="BQ2" s="3"/>
      <c r="BR2" s="155">
        <v>0.0</v>
      </c>
      <c r="BS2" s="152" t="s">
        <v>142</v>
      </c>
      <c r="BT2" s="152" t="s">
        <v>142</v>
      </c>
      <c r="BU2" s="152" t="s">
        <v>142</v>
      </c>
      <c r="BV2" s="152" t="s">
        <v>142</v>
      </c>
      <c r="BW2" s="3"/>
      <c r="BX2" s="155">
        <v>1.0</v>
      </c>
      <c r="BY2" s="157">
        <v>8.93</v>
      </c>
      <c r="BZ2" s="157">
        <f t="shared" ref="BZ2:BZ9" si="1">BY2*BX2</f>
        <v>8.93</v>
      </c>
      <c r="CA2" s="3"/>
      <c r="CB2" s="153">
        <v>0.0</v>
      </c>
      <c r="CC2" s="152">
        <v>58.0</v>
      </c>
      <c r="CD2" s="152">
        <v>60.0</v>
      </c>
      <c r="CE2" s="152">
        <v>62.0</v>
      </c>
      <c r="CF2" s="152">
        <v>63.0</v>
      </c>
      <c r="CH2" s="153">
        <v>0.0</v>
      </c>
      <c r="CI2" s="154">
        <v>53.5</v>
      </c>
      <c r="CJ2" s="154">
        <v>54.5</v>
      </c>
      <c r="CK2" s="154">
        <v>56.5</v>
      </c>
      <c r="CL2" s="154">
        <v>58.0</v>
      </c>
      <c r="CM2" s="158"/>
      <c r="CN2" s="153">
        <v>0.0</v>
      </c>
      <c r="CO2" s="152">
        <v>87.0</v>
      </c>
      <c r="CP2" s="152">
        <v>90.0</v>
      </c>
      <c r="CQ2" s="152">
        <v>98.0</v>
      </c>
      <c r="CR2" s="152">
        <v>98.0</v>
      </c>
      <c r="CS2" s="158"/>
      <c r="CT2" s="153">
        <v>0.0</v>
      </c>
      <c r="CU2" s="154">
        <v>78.3</v>
      </c>
      <c r="CV2" s="154">
        <v>81.0</v>
      </c>
      <c r="CW2" s="154">
        <v>88.2</v>
      </c>
      <c r="CX2" s="154">
        <v>88.2</v>
      </c>
      <c r="CY2" s="158"/>
      <c r="CZ2" s="159"/>
      <c r="DA2" s="160"/>
      <c r="DC2" s="153">
        <v>0.0</v>
      </c>
      <c r="DD2" s="152">
        <v>87.0</v>
      </c>
      <c r="DE2" s="152">
        <v>90.0</v>
      </c>
      <c r="DF2" s="152">
        <v>98.0</v>
      </c>
      <c r="DG2" s="152">
        <v>98.0</v>
      </c>
      <c r="DI2" s="153">
        <v>0.0</v>
      </c>
      <c r="DJ2" s="152">
        <v>47.0</v>
      </c>
      <c r="DK2" s="152">
        <v>48.0</v>
      </c>
      <c r="DL2" s="152">
        <v>49.0</v>
      </c>
      <c r="DM2" s="152">
        <v>50.0</v>
      </c>
    </row>
    <row r="3" ht="16.5" customHeight="1">
      <c r="A3" s="145">
        <v>55.0</v>
      </c>
      <c r="B3" s="145">
        <v>69.0</v>
      </c>
      <c r="C3" s="145" t="s">
        <v>141</v>
      </c>
      <c r="D3" s="146">
        <v>37.5</v>
      </c>
      <c r="E3" s="3"/>
      <c r="F3" s="3">
        <v>2.0</v>
      </c>
      <c r="G3" s="150">
        <v>6.37</v>
      </c>
      <c r="H3" s="150">
        <v>12.74</v>
      </c>
      <c r="I3" s="3"/>
      <c r="J3" s="153">
        <v>55.0</v>
      </c>
      <c r="K3" s="152">
        <v>37.0</v>
      </c>
      <c r="L3" s="152">
        <v>37.0</v>
      </c>
      <c r="M3" s="152">
        <v>38.0</v>
      </c>
      <c r="N3" s="152">
        <v>38.0</v>
      </c>
      <c r="O3" s="3"/>
      <c r="P3" s="153">
        <v>25.0</v>
      </c>
      <c r="Q3" s="152">
        <v>48.0</v>
      </c>
      <c r="R3" s="152">
        <v>49.0</v>
      </c>
      <c r="S3" s="152">
        <v>50.0</v>
      </c>
      <c r="T3" s="152">
        <v>51.0</v>
      </c>
      <c r="U3" s="3"/>
      <c r="V3" s="153">
        <v>25.0</v>
      </c>
      <c r="W3" s="152">
        <v>58.0</v>
      </c>
      <c r="X3" s="152">
        <v>59.0</v>
      </c>
      <c r="Y3" s="152">
        <v>61.0</v>
      </c>
      <c r="Z3" s="152">
        <v>62.0</v>
      </c>
      <c r="AA3" s="3"/>
      <c r="AB3" s="153">
        <v>25.0</v>
      </c>
      <c r="AC3" s="152">
        <v>69.0</v>
      </c>
      <c r="AD3" s="152">
        <v>71.0</v>
      </c>
      <c r="AE3" s="152">
        <v>73.0</v>
      </c>
      <c r="AF3" s="152">
        <v>75.0</v>
      </c>
      <c r="AG3" s="3"/>
      <c r="AH3" s="153">
        <v>25.0</v>
      </c>
      <c r="AI3" s="152">
        <v>95.0</v>
      </c>
      <c r="AJ3" s="152">
        <v>98.0</v>
      </c>
      <c r="AK3" s="152">
        <v>100.0</v>
      </c>
      <c r="AL3" s="152">
        <v>103.0</v>
      </c>
      <c r="AM3" s="3"/>
      <c r="AN3" s="153">
        <v>45.0</v>
      </c>
      <c r="AO3" s="154">
        <v>56.5</v>
      </c>
      <c r="AP3" s="154">
        <v>58.5</v>
      </c>
      <c r="AQ3" s="154">
        <v>60.5</v>
      </c>
      <c r="AR3" s="154">
        <v>61.5</v>
      </c>
      <c r="AS3" s="3"/>
      <c r="AT3" s="153">
        <v>45.0</v>
      </c>
      <c r="AU3" s="154">
        <v>73.5</v>
      </c>
      <c r="AV3" s="154">
        <v>75.5</v>
      </c>
      <c r="AW3" s="154">
        <v>78.5</v>
      </c>
      <c r="AX3" s="154">
        <v>79.5</v>
      </c>
      <c r="AY3" s="3"/>
      <c r="AZ3" s="153">
        <v>66.0</v>
      </c>
      <c r="BA3" s="154">
        <v>82.0</v>
      </c>
      <c r="BB3" s="154">
        <v>84.0</v>
      </c>
      <c r="BC3" s="154">
        <v>87.0</v>
      </c>
      <c r="BD3" s="154">
        <v>89.0</v>
      </c>
      <c r="BE3" s="3"/>
      <c r="BF3" s="153">
        <v>66.0</v>
      </c>
      <c r="BG3" s="154">
        <v>97.0</v>
      </c>
      <c r="BH3" s="154">
        <v>100.0</v>
      </c>
      <c r="BI3" s="154">
        <v>103.0</v>
      </c>
      <c r="BJ3" s="154">
        <v>105.0</v>
      </c>
      <c r="BK3" s="3"/>
      <c r="BL3" s="155">
        <v>50.0</v>
      </c>
      <c r="BM3" s="152">
        <v>65.0</v>
      </c>
      <c r="BN3" s="152">
        <v>67.0</v>
      </c>
      <c r="BO3" s="152">
        <v>69.0</v>
      </c>
      <c r="BP3" s="152">
        <v>70.0</v>
      </c>
      <c r="BQ3" s="3"/>
      <c r="BR3" s="155">
        <v>60.0</v>
      </c>
      <c r="BS3" s="152">
        <v>99.0</v>
      </c>
      <c r="BT3" s="152">
        <v>100.0</v>
      </c>
      <c r="BU3" s="152">
        <v>107.0</v>
      </c>
      <c r="BV3" s="152">
        <v>109.0</v>
      </c>
      <c r="BW3" s="3"/>
      <c r="BX3" s="155">
        <v>2.0</v>
      </c>
      <c r="BY3" s="157">
        <v>6.37</v>
      </c>
      <c r="BZ3" s="157">
        <f t="shared" si="1"/>
        <v>12.74</v>
      </c>
      <c r="CA3" s="3"/>
      <c r="CB3" s="153">
        <v>45.0</v>
      </c>
      <c r="CC3" s="152">
        <v>69.0</v>
      </c>
      <c r="CD3" s="152">
        <v>71.0</v>
      </c>
      <c r="CE3" s="152">
        <v>74.0</v>
      </c>
      <c r="CF3" s="152">
        <v>75.0</v>
      </c>
      <c r="CH3" s="153">
        <v>25.0</v>
      </c>
      <c r="CI3" s="154">
        <v>58.5</v>
      </c>
      <c r="CJ3" s="154">
        <v>60.5</v>
      </c>
      <c r="CK3" s="154">
        <v>62.5</v>
      </c>
      <c r="CL3" s="154">
        <v>63.5</v>
      </c>
      <c r="CM3" s="158"/>
      <c r="CN3" s="153">
        <v>25.0</v>
      </c>
      <c r="CO3" s="152">
        <v>103.0</v>
      </c>
      <c r="CP3" s="152">
        <v>105.0</v>
      </c>
      <c r="CQ3" s="152">
        <v>115.0</v>
      </c>
      <c r="CR3" s="152">
        <v>115.0</v>
      </c>
      <c r="CS3" s="158"/>
      <c r="CT3" s="153">
        <v>25.0</v>
      </c>
      <c r="CU3" s="154">
        <v>92.7</v>
      </c>
      <c r="CV3" s="154">
        <v>94.5</v>
      </c>
      <c r="CW3" s="154">
        <v>103.5</v>
      </c>
      <c r="CX3" s="154">
        <v>103.5</v>
      </c>
      <c r="CY3" s="158"/>
      <c r="CZ3" s="159"/>
      <c r="DA3" s="160"/>
      <c r="DC3" s="153">
        <v>25.0</v>
      </c>
      <c r="DD3" s="152">
        <v>103.0</v>
      </c>
      <c r="DE3" s="152">
        <v>105.0</v>
      </c>
      <c r="DF3" s="152">
        <v>115.0</v>
      </c>
      <c r="DG3" s="152">
        <v>115.0</v>
      </c>
      <c r="DI3" s="153">
        <v>25.0</v>
      </c>
      <c r="DJ3" s="152">
        <v>58.0</v>
      </c>
      <c r="DK3" s="152">
        <v>59.0</v>
      </c>
      <c r="DL3" s="152">
        <v>60.0</v>
      </c>
      <c r="DM3" s="152">
        <v>61.0</v>
      </c>
    </row>
    <row r="4" ht="16.5" customHeight="1">
      <c r="A4" s="145">
        <v>70.0</v>
      </c>
      <c r="B4" s="145">
        <v>120.0</v>
      </c>
      <c r="C4" s="145" t="s">
        <v>141</v>
      </c>
      <c r="D4" s="146">
        <v>50.0</v>
      </c>
      <c r="E4" s="3"/>
      <c r="F4" s="3">
        <v>3.0</v>
      </c>
      <c r="G4" s="150">
        <v>5.95</v>
      </c>
      <c r="H4" s="150">
        <v>17.85</v>
      </c>
      <c r="I4" s="3"/>
      <c r="J4" s="153">
        <v>70.0</v>
      </c>
      <c r="K4" s="152">
        <v>45.0</v>
      </c>
      <c r="L4" s="152">
        <v>45.0</v>
      </c>
      <c r="M4" s="152">
        <v>45.0</v>
      </c>
      <c r="N4" s="152">
        <v>45.0</v>
      </c>
      <c r="O4" s="3"/>
      <c r="P4" s="153">
        <v>45.0</v>
      </c>
      <c r="Q4" s="152">
        <v>59.0</v>
      </c>
      <c r="R4" s="152">
        <v>60.0</v>
      </c>
      <c r="S4" s="152">
        <v>61.0</v>
      </c>
      <c r="T4" s="152">
        <v>62.0</v>
      </c>
      <c r="U4" s="3"/>
      <c r="V4" s="153">
        <v>45.0</v>
      </c>
      <c r="W4" s="152">
        <v>69.0</v>
      </c>
      <c r="X4" s="152">
        <v>70.0</v>
      </c>
      <c r="Y4" s="152">
        <v>72.0</v>
      </c>
      <c r="Z4" s="152">
        <v>74.0</v>
      </c>
      <c r="AA4" s="3"/>
      <c r="AB4" s="153">
        <v>45.0</v>
      </c>
      <c r="AC4" s="152">
        <v>88.0</v>
      </c>
      <c r="AD4" s="152">
        <v>89.0</v>
      </c>
      <c r="AE4" s="152">
        <v>93.0</v>
      </c>
      <c r="AF4" s="152">
        <v>94.0</v>
      </c>
      <c r="AG4" s="3"/>
      <c r="AH4" s="153">
        <v>45.0</v>
      </c>
      <c r="AI4" s="152">
        <v>114.0</v>
      </c>
      <c r="AJ4" s="152">
        <v>117.0</v>
      </c>
      <c r="AK4" s="152">
        <v>122.0</v>
      </c>
      <c r="AL4" s="152">
        <v>125.0</v>
      </c>
      <c r="AM4" s="3"/>
      <c r="AN4" s="153">
        <v>55.0</v>
      </c>
      <c r="AO4" s="154">
        <v>71.5</v>
      </c>
      <c r="AP4" s="154">
        <v>74.5</v>
      </c>
      <c r="AQ4" s="154">
        <v>76.5</v>
      </c>
      <c r="AR4" s="154">
        <v>79.5</v>
      </c>
      <c r="AS4" s="3"/>
      <c r="AT4" s="153">
        <v>55.0</v>
      </c>
      <c r="AU4" s="154">
        <v>102.0</v>
      </c>
      <c r="AV4" s="154">
        <v>106.0</v>
      </c>
      <c r="AW4" s="154">
        <v>109.0</v>
      </c>
      <c r="AX4" s="154">
        <v>111.0</v>
      </c>
      <c r="AY4" s="3"/>
      <c r="AZ4" s="153">
        <v>68.0</v>
      </c>
      <c r="BA4" s="154">
        <v>153.0</v>
      </c>
      <c r="BB4" s="154">
        <v>159.0</v>
      </c>
      <c r="BC4" s="154">
        <v>166.0</v>
      </c>
      <c r="BD4" s="154">
        <v>170.0</v>
      </c>
      <c r="BE4" s="3"/>
      <c r="BF4" s="153">
        <v>68.0</v>
      </c>
      <c r="BG4" s="154">
        <v>182.0</v>
      </c>
      <c r="BH4" s="154">
        <v>190.0</v>
      </c>
      <c r="BI4" s="154">
        <v>197.0</v>
      </c>
      <c r="BJ4" s="154">
        <v>200.0</v>
      </c>
      <c r="BK4" s="3"/>
      <c r="BL4" s="155">
        <v>55.0</v>
      </c>
      <c r="BM4" s="152">
        <v>65.0</v>
      </c>
      <c r="BN4" s="152">
        <v>67.0</v>
      </c>
      <c r="BO4" s="152">
        <v>69.0</v>
      </c>
      <c r="BP4" s="152">
        <v>70.0</v>
      </c>
      <c r="BQ4" s="3"/>
      <c r="BR4" s="155">
        <v>63.0</v>
      </c>
      <c r="BS4" s="152">
        <v>99.0</v>
      </c>
      <c r="BT4" s="152">
        <v>100.0</v>
      </c>
      <c r="BU4" s="152">
        <v>107.0</v>
      </c>
      <c r="BV4" s="152">
        <v>109.0</v>
      </c>
      <c r="BW4" s="3"/>
      <c r="BX4" s="155">
        <v>3.0</v>
      </c>
      <c r="BY4" s="157">
        <f>17.85/3</f>
        <v>5.95</v>
      </c>
      <c r="BZ4" s="157">
        <f t="shared" si="1"/>
        <v>17.85</v>
      </c>
      <c r="CA4" s="3"/>
      <c r="CB4" s="153">
        <v>55.0</v>
      </c>
      <c r="CC4" s="152">
        <v>88.0</v>
      </c>
      <c r="CD4" s="152">
        <v>89.0</v>
      </c>
      <c r="CE4" s="152">
        <v>94.0</v>
      </c>
      <c r="CF4" s="152">
        <v>96.0</v>
      </c>
      <c r="CH4" s="153">
        <v>45.0</v>
      </c>
      <c r="CI4" s="152">
        <v>75.0</v>
      </c>
      <c r="CJ4" s="152">
        <v>77.0</v>
      </c>
      <c r="CK4" s="152">
        <v>80.0</v>
      </c>
      <c r="CL4" s="152">
        <v>81.0</v>
      </c>
      <c r="CM4" s="158"/>
      <c r="CN4" s="153">
        <v>45.0</v>
      </c>
      <c r="CO4" s="152">
        <v>108.0</v>
      </c>
      <c r="CP4" s="152">
        <v>112.0</v>
      </c>
      <c r="CQ4" s="152">
        <v>122.0</v>
      </c>
      <c r="CR4" s="152">
        <v>122.0</v>
      </c>
      <c r="CS4" s="158"/>
      <c r="CT4" s="153">
        <v>45.0</v>
      </c>
      <c r="CU4" s="154">
        <v>97.2</v>
      </c>
      <c r="CV4" s="154">
        <v>100.8</v>
      </c>
      <c r="CW4" s="154">
        <v>109.8</v>
      </c>
      <c r="CX4" s="154">
        <v>109.8</v>
      </c>
      <c r="CY4" s="158"/>
      <c r="CZ4" s="159"/>
      <c r="DA4" s="160"/>
      <c r="DC4" s="153">
        <v>45.0</v>
      </c>
      <c r="DD4" s="152">
        <v>108.0</v>
      </c>
      <c r="DE4" s="152">
        <v>112.0</v>
      </c>
      <c r="DF4" s="152">
        <v>122.0</v>
      </c>
      <c r="DG4" s="152">
        <v>122.0</v>
      </c>
      <c r="DI4" s="153">
        <v>45.0</v>
      </c>
      <c r="DJ4" s="152">
        <v>69.0</v>
      </c>
      <c r="DK4" s="152">
        <v>70.0</v>
      </c>
      <c r="DL4" s="152">
        <v>71.0</v>
      </c>
      <c r="DM4" s="152">
        <v>72.0</v>
      </c>
    </row>
    <row r="5" ht="16.5" customHeight="1">
      <c r="A5" s="145">
        <v>0.0</v>
      </c>
      <c r="B5" s="145">
        <v>54.0</v>
      </c>
      <c r="C5" s="145" t="s">
        <v>143</v>
      </c>
      <c r="D5" s="146">
        <v>21.5</v>
      </c>
      <c r="E5" s="3"/>
      <c r="F5" s="3">
        <v>4.0</v>
      </c>
      <c r="G5" s="150">
        <v>4.4625</v>
      </c>
      <c r="H5" s="150">
        <v>17.85</v>
      </c>
      <c r="I5" s="3"/>
      <c r="J5" s="3"/>
      <c r="K5" s="3"/>
      <c r="L5" s="3"/>
      <c r="M5" s="3"/>
      <c r="N5" s="3"/>
      <c r="O5" s="3"/>
      <c r="P5" s="153">
        <v>55.0</v>
      </c>
      <c r="Q5" s="152">
        <v>90.0</v>
      </c>
      <c r="R5" s="152">
        <v>91.0</v>
      </c>
      <c r="S5" s="152">
        <v>93.0</v>
      </c>
      <c r="T5" s="152">
        <v>94.0</v>
      </c>
      <c r="U5" s="3"/>
      <c r="V5" s="153">
        <v>55.0</v>
      </c>
      <c r="W5" s="152">
        <v>100.0</v>
      </c>
      <c r="X5" s="152">
        <v>102.0</v>
      </c>
      <c r="Y5" s="152">
        <v>103.0</v>
      </c>
      <c r="Z5" s="152">
        <v>105.0</v>
      </c>
      <c r="AA5" s="3"/>
      <c r="AB5" s="153">
        <v>55.0</v>
      </c>
      <c r="AC5" s="152">
        <v>141.0</v>
      </c>
      <c r="AD5" s="152">
        <v>145.0</v>
      </c>
      <c r="AE5" s="152">
        <v>150.0</v>
      </c>
      <c r="AF5" s="152">
        <v>151.0</v>
      </c>
      <c r="AG5" s="3"/>
      <c r="AH5" s="153">
        <v>55.0</v>
      </c>
      <c r="AI5" s="152">
        <v>155.0</v>
      </c>
      <c r="AJ5" s="152">
        <v>160.0</v>
      </c>
      <c r="AK5" s="152">
        <v>165.0</v>
      </c>
      <c r="AL5" s="152">
        <v>170.0</v>
      </c>
      <c r="AM5" s="3"/>
      <c r="AN5" s="153">
        <v>60.0</v>
      </c>
      <c r="AO5" s="154">
        <v>90.5</v>
      </c>
      <c r="AP5" s="154">
        <v>94.5</v>
      </c>
      <c r="AQ5" s="154">
        <v>97.5</v>
      </c>
      <c r="AR5" s="154">
        <v>99.5</v>
      </c>
      <c r="AS5" s="3"/>
      <c r="AT5" s="153">
        <v>60.0</v>
      </c>
      <c r="AU5" s="154">
        <v>122.0</v>
      </c>
      <c r="AV5" s="154">
        <v>127.0</v>
      </c>
      <c r="AW5" s="154">
        <v>131.0</v>
      </c>
      <c r="AX5" s="154">
        <v>133.0</v>
      </c>
      <c r="AY5" s="3"/>
      <c r="AZ5" s="161"/>
      <c r="BA5" s="162"/>
      <c r="BB5" s="162"/>
      <c r="BC5" s="162"/>
      <c r="BD5" s="162"/>
      <c r="BE5" s="3"/>
      <c r="BF5" s="3"/>
      <c r="BG5" s="3"/>
      <c r="BH5" s="3"/>
      <c r="BI5" s="3"/>
      <c r="BJ5" s="3"/>
      <c r="BK5" s="3"/>
      <c r="BL5" s="155">
        <v>60.0</v>
      </c>
      <c r="BM5" s="152">
        <v>82.0</v>
      </c>
      <c r="BN5" s="152">
        <v>85.0</v>
      </c>
      <c r="BO5" s="152">
        <v>88.0</v>
      </c>
      <c r="BP5" s="152">
        <v>89.0</v>
      </c>
      <c r="BQ5" s="3"/>
      <c r="BR5" s="155">
        <v>65.0</v>
      </c>
      <c r="BS5" s="152">
        <v>134.0</v>
      </c>
      <c r="BT5" s="152">
        <v>137.0</v>
      </c>
      <c r="BU5" s="152">
        <v>139.0</v>
      </c>
      <c r="BV5" s="152">
        <v>146.0</v>
      </c>
      <c r="BW5" s="3"/>
      <c r="BX5" s="155">
        <v>4.0</v>
      </c>
      <c r="BY5" s="157">
        <f>17.85/4</f>
        <v>4.4625</v>
      </c>
      <c r="BZ5" s="157">
        <f t="shared" si="1"/>
        <v>17.85</v>
      </c>
      <c r="CA5" s="3"/>
      <c r="CB5" s="153">
        <v>60.0</v>
      </c>
      <c r="CC5" s="152">
        <v>112.0</v>
      </c>
      <c r="CD5" s="152">
        <v>116.0</v>
      </c>
      <c r="CE5" s="152">
        <v>121.0</v>
      </c>
      <c r="CF5" s="152">
        <v>125.0</v>
      </c>
      <c r="CH5" s="153">
        <v>55.0</v>
      </c>
      <c r="CI5" s="152">
        <v>115.0</v>
      </c>
      <c r="CJ5" s="152">
        <v>118.0</v>
      </c>
      <c r="CK5" s="152">
        <v>123.0</v>
      </c>
      <c r="CL5" s="152">
        <v>126.0</v>
      </c>
      <c r="CM5" s="158"/>
      <c r="CN5" s="153">
        <v>55.0</v>
      </c>
      <c r="CO5" s="152">
        <v>159.0</v>
      </c>
      <c r="CP5" s="152">
        <v>164.0</v>
      </c>
      <c r="CQ5" s="152">
        <v>179.0</v>
      </c>
      <c r="CR5" s="152">
        <v>179.0</v>
      </c>
      <c r="CS5" s="158"/>
      <c r="CT5" s="153">
        <v>55.0</v>
      </c>
      <c r="CU5" s="154">
        <v>143.1</v>
      </c>
      <c r="CV5" s="154">
        <v>147.6</v>
      </c>
      <c r="CW5" s="154">
        <v>161.1</v>
      </c>
      <c r="CX5" s="154">
        <v>161.1</v>
      </c>
      <c r="CY5" s="158"/>
      <c r="CZ5" s="159"/>
      <c r="DA5" s="160"/>
      <c r="DC5" s="153">
        <v>55.0</v>
      </c>
      <c r="DD5" s="152">
        <v>159.0</v>
      </c>
      <c r="DE5" s="152">
        <v>164.0</v>
      </c>
      <c r="DF5" s="152">
        <v>179.0</v>
      </c>
      <c r="DG5" s="152">
        <v>179.0</v>
      </c>
      <c r="DI5" s="153">
        <v>55.0</v>
      </c>
      <c r="DJ5" s="152">
        <v>100.0</v>
      </c>
      <c r="DK5" s="152">
        <v>101.0</v>
      </c>
      <c r="DL5" s="152">
        <v>103.0</v>
      </c>
      <c r="DM5" s="152">
        <v>104.0</v>
      </c>
    </row>
    <row r="6" ht="16.5" customHeight="1">
      <c r="A6" s="145">
        <v>55.0</v>
      </c>
      <c r="B6" s="145">
        <v>69.0</v>
      </c>
      <c r="C6" s="145" t="s">
        <v>143</v>
      </c>
      <c r="D6" s="146">
        <v>39.0</v>
      </c>
      <c r="E6" s="3"/>
      <c r="F6" s="3">
        <v>5.0</v>
      </c>
      <c r="G6" s="150">
        <v>4.25</v>
      </c>
      <c r="H6" s="150">
        <v>21.25</v>
      </c>
      <c r="I6" s="3"/>
      <c r="J6" s="3"/>
      <c r="K6" s="3"/>
      <c r="L6" s="3"/>
      <c r="M6" s="3"/>
      <c r="N6" s="3"/>
      <c r="O6" s="3"/>
      <c r="P6" s="153">
        <v>60.0</v>
      </c>
      <c r="Q6" s="152">
        <v>110.0</v>
      </c>
      <c r="R6" s="152">
        <v>111.0</v>
      </c>
      <c r="S6" s="152">
        <v>113.0</v>
      </c>
      <c r="T6" s="152">
        <v>114.0</v>
      </c>
      <c r="U6" s="3"/>
      <c r="V6" s="153">
        <v>60.0</v>
      </c>
      <c r="W6" s="152">
        <v>120.0</v>
      </c>
      <c r="X6" s="152">
        <v>122.0</v>
      </c>
      <c r="Y6" s="152">
        <v>124.0</v>
      </c>
      <c r="Z6" s="152">
        <v>126.0</v>
      </c>
      <c r="AA6" s="3"/>
      <c r="AB6" s="153">
        <v>60.0</v>
      </c>
      <c r="AC6" s="152">
        <v>163.0</v>
      </c>
      <c r="AD6" s="152">
        <v>167.0</v>
      </c>
      <c r="AE6" s="152">
        <v>179.0</v>
      </c>
      <c r="AF6" s="152">
        <v>181.0</v>
      </c>
      <c r="AG6" s="3"/>
      <c r="AH6" s="153">
        <v>60.0</v>
      </c>
      <c r="AI6" s="152">
        <v>190.0</v>
      </c>
      <c r="AJ6" s="152">
        <v>200.0</v>
      </c>
      <c r="AK6" s="152">
        <v>210.0</v>
      </c>
      <c r="AL6" s="152">
        <v>220.0</v>
      </c>
      <c r="AM6" s="3"/>
      <c r="AN6" s="153">
        <v>68.0</v>
      </c>
      <c r="AO6" s="154">
        <v>147.0</v>
      </c>
      <c r="AP6" s="154">
        <v>154.0</v>
      </c>
      <c r="AQ6" s="154">
        <v>160.0</v>
      </c>
      <c r="AR6" s="154">
        <v>166.0</v>
      </c>
      <c r="AS6" s="3"/>
      <c r="AT6" s="153">
        <v>68.0</v>
      </c>
      <c r="AU6" s="154">
        <v>187.0</v>
      </c>
      <c r="AV6" s="154">
        <v>196.0</v>
      </c>
      <c r="AW6" s="154">
        <v>203.0</v>
      </c>
      <c r="AX6" s="154">
        <v>207.0</v>
      </c>
      <c r="AY6" s="3"/>
      <c r="AZ6" s="161"/>
      <c r="BA6" s="162"/>
      <c r="BB6" s="162"/>
      <c r="BC6" s="162"/>
      <c r="BD6" s="162"/>
      <c r="BE6" s="3"/>
      <c r="BF6" s="3"/>
      <c r="BG6" s="3"/>
      <c r="BH6" s="3"/>
      <c r="BI6" s="3"/>
      <c r="BJ6" s="3"/>
      <c r="BK6" s="3"/>
      <c r="BL6" s="155">
        <v>65.0</v>
      </c>
      <c r="BM6" s="152">
        <v>98.0</v>
      </c>
      <c r="BN6" s="152">
        <v>101.0</v>
      </c>
      <c r="BO6" s="152">
        <v>105.0</v>
      </c>
      <c r="BP6" s="152">
        <v>107.0</v>
      </c>
      <c r="BQ6" s="3"/>
      <c r="BR6" s="155">
        <v>70.0</v>
      </c>
      <c r="BS6" s="152">
        <v>164.0</v>
      </c>
      <c r="BT6" s="152">
        <v>169.0</v>
      </c>
      <c r="BU6" s="152">
        <v>177.0</v>
      </c>
      <c r="BV6" s="152">
        <v>179.0</v>
      </c>
      <c r="BW6" s="3"/>
      <c r="BX6" s="155">
        <v>5.0</v>
      </c>
      <c r="BY6" s="157">
        <f>21.25/5</f>
        <v>4.25</v>
      </c>
      <c r="BZ6" s="157">
        <f t="shared" si="1"/>
        <v>21.25</v>
      </c>
      <c r="CA6" s="3"/>
      <c r="CB6" s="153">
        <v>68.0</v>
      </c>
      <c r="CC6" s="152">
        <v>167.0</v>
      </c>
      <c r="CD6" s="152">
        <v>175.0</v>
      </c>
      <c r="CE6" s="152">
        <v>185.0</v>
      </c>
      <c r="CF6" s="152">
        <v>187.0</v>
      </c>
      <c r="CH6" s="153">
        <v>60.0</v>
      </c>
      <c r="CI6" s="152">
        <v>140.0</v>
      </c>
      <c r="CJ6" s="152">
        <v>147.0</v>
      </c>
      <c r="CK6" s="152">
        <v>159.0</v>
      </c>
      <c r="CL6" s="152">
        <v>159.0</v>
      </c>
      <c r="CM6" s="158"/>
      <c r="CN6" s="153">
        <v>60.0</v>
      </c>
      <c r="CO6" s="152">
        <v>185.0</v>
      </c>
      <c r="CP6" s="152">
        <v>190.0</v>
      </c>
      <c r="CQ6" s="152">
        <v>205.0</v>
      </c>
      <c r="CR6" s="152">
        <v>205.0</v>
      </c>
      <c r="CS6" s="158"/>
      <c r="CT6" s="153">
        <v>60.0</v>
      </c>
      <c r="CU6" s="154">
        <v>166.5</v>
      </c>
      <c r="CV6" s="154">
        <v>171.0</v>
      </c>
      <c r="CW6" s="154">
        <v>184.5</v>
      </c>
      <c r="CX6" s="154">
        <v>184.5</v>
      </c>
      <c r="CY6" s="158"/>
      <c r="CZ6" s="159"/>
      <c r="DA6" s="160"/>
      <c r="DC6" s="153">
        <v>60.0</v>
      </c>
      <c r="DD6" s="152">
        <v>185.0</v>
      </c>
      <c r="DE6" s="152">
        <v>190.0</v>
      </c>
      <c r="DF6" s="152">
        <v>205.0</v>
      </c>
      <c r="DG6" s="152">
        <v>205.0</v>
      </c>
      <c r="DI6" s="153">
        <v>60.0</v>
      </c>
      <c r="DJ6" s="152">
        <v>120.0</v>
      </c>
      <c r="DK6" s="152">
        <v>121.0</v>
      </c>
      <c r="DL6" s="152">
        <v>123.0</v>
      </c>
      <c r="DM6" s="152">
        <v>124.0</v>
      </c>
    </row>
    <row r="7" ht="16.5" customHeight="1">
      <c r="A7" s="145">
        <v>70.0</v>
      </c>
      <c r="B7" s="145">
        <v>120.0</v>
      </c>
      <c r="C7" s="145" t="s">
        <v>143</v>
      </c>
      <c r="D7" s="146">
        <v>52.0</v>
      </c>
      <c r="E7" s="3"/>
      <c r="F7" s="3">
        <v>6.0</v>
      </c>
      <c r="G7" s="150">
        <v>3.5416666666666665</v>
      </c>
      <c r="H7" s="150">
        <v>21.25</v>
      </c>
      <c r="I7" s="3"/>
      <c r="J7" s="3"/>
      <c r="K7" s="3"/>
      <c r="L7" s="3"/>
      <c r="M7" s="3"/>
      <c r="N7" s="3"/>
      <c r="O7" s="3"/>
      <c r="P7" s="153">
        <v>65.0</v>
      </c>
      <c r="Q7" s="152">
        <v>146.0</v>
      </c>
      <c r="R7" s="152">
        <v>148.0</v>
      </c>
      <c r="S7" s="152">
        <v>149.0</v>
      </c>
      <c r="T7" s="152">
        <v>150.0</v>
      </c>
      <c r="U7" s="3"/>
      <c r="V7" s="153">
        <v>65.0</v>
      </c>
      <c r="W7" s="152">
        <v>156.0</v>
      </c>
      <c r="X7" s="152">
        <v>158.0</v>
      </c>
      <c r="Y7" s="152">
        <v>160.0</v>
      </c>
      <c r="Z7" s="152">
        <v>162.0</v>
      </c>
      <c r="AA7" s="3"/>
      <c r="AB7" s="153">
        <v>65.0</v>
      </c>
      <c r="AC7" s="152">
        <v>224.0</v>
      </c>
      <c r="AD7" s="152">
        <v>236.0</v>
      </c>
      <c r="AE7" s="152">
        <v>253.0</v>
      </c>
      <c r="AF7" s="152">
        <v>255.0</v>
      </c>
      <c r="AG7" s="3"/>
      <c r="AH7" s="153">
        <v>63.0</v>
      </c>
      <c r="AI7" s="152">
        <v>250.0</v>
      </c>
      <c r="AJ7" s="152">
        <v>260.0</v>
      </c>
      <c r="AK7" s="152">
        <v>270.0</v>
      </c>
      <c r="AL7" s="152">
        <v>285.0</v>
      </c>
      <c r="AM7" s="3"/>
      <c r="AN7" s="161"/>
      <c r="AO7" s="163"/>
      <c r="AP7" s="163"/>
      <c r="AQ7" s="163"/>
      <c r="AR7" s="16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155">
        <v>70.0</v>
      </c>
      <c r="BM7" s="152">
        <v>129.0</v>
      </c>
      <c r="BN7" s="152">
        <v>132.0</v>
      </c>
      <c r="BO7" s="152">
        <v>137.0</v>
      </c>
      <c r="BP7" s="152">
        <v>140.0</v>
      </c>
      <c r="BQ7" s="3"/>
      <c r="BR7" s="155">
        <v>75.0</v>
      </c>
      <c r="BS7" s="152">
        <v>220.0</v>
      </c>
      <c r="BT7" s="152">
        <v>229.0</v>
      </c>
      <c r="BU7" s="152">
        <v>237.0</v>
      </c>
      <c r="BV7" s="152">
        <v>239.0</v>
      </c>
      <c r="BW7" s="3"/>
      <c r="BX7" s="155">
        <v>6.0</v>
      </c>
      <c r="BY7" s="157">
        <f t="shared" ref="BY7:BY9" si="2">21.25/6</f>
        <v>3.541666667</v>
      </c>
      <c r="BZ7" s="157">
        <f t="shared" si="1"/>
        <v>21.25</v>
      </c>
      <c r="CA7" s="3"/>
      <c r="CB7" s="161"/>
      <c r="CC7" s="162"/>
      <c r="CD7" s="162"/>
      <c r="CE7" s="162"/>
      <c r="CF7" s="162"/>
      <c r="CH7" s="164">
        <v>65.0</v>
      </c>
      <c r="CI7" s="152">
        <v>215.0</v>
      </c>
      <c r="CJ7" s="152">
        <v>221.0</v>
      </c>
      <c r="CK7" s="152">
        <v>234.0</v>
      </c>
      <c r="CL7" s="152">
        <v>234.0</v>
      </c>
      <c r="CM7" s="158"/>
      <c r="CN7" s="164">
        <v>65.0</v>
      </c>
      <c r="CO7" s="152">
        <v>265.0</v>
      </c>
      <c r="CP7" s="152">
        <v>272.0</v>
      </c>
      <c r="CQ7" s="152">
        <v>289.0</v>
      </c>
      <c r="CR7" s="152">
        <v>289.0</v>
      </c>
      <c r="CS7" s="158"/>
      <c r="CT7" s="164">
        <v>65.0</v>
      </c>
      <c r="CU7" s="154">
        <v>238.5</v>
      </c>
      <c r="CV7" s="154">
        <v>244.8</v>
      </c>
      <c r="CW7" s="154">
        <v>260.1</v>
      </c>
      <c r="CX7" s="154">
        <v>260.1</v>
      </c>
      <c r="CY7" s="158"/>
      <c r="CZ7" s="159"/>
      <c r="DA7" s="160"/>
      <c r="DC7" s="153">
        <v>65.0</v>
      </c>
      <c r="DD7" s="152">
        <v>265.0</v>
      </c>
      <c r="DE7" s="152">
        <v>272.0</v>
      </c>
      <c r="DF7" s="152">
        <v>289.0</v>
      </c>
      <c r="DG7" s="152">
        <v>289.0</v>
      </c>
      <c r="DI7" s="153">
        <v>63.0</v>
      </c>
      <c r="DJ7" s="152">
        <v>180.0</v>
      </c>
      <c r="DK7" s="152">
        <v>185.0</v>
      </c>
      <c r="DL7" s="152">
        <v>190.0</v>
      </c>
      <c r="DM7" s="152">
        <v>200.0</v>
      </c>
    </row>
    <row r="8" ht="16.5" customHeight="1">
      <c r="A8" s="145">
        <v>0.0</v>
      </c>
      <c r="B8" s="145">
        <v>54.0</v>
      </c>
      <c r="C8" s="145" t="s">
        <v>144</v>
      </c>
      <c r="D8" s="146">
        <v>22.0</v>
      </c>
      <c r="E8" s="3"/>
      <c r="F8" s="3">
        <v>7.0</v>
      </c>
      <c r="G8" s="150">
        <v>3.5416666666666665</v>
      </c>
      <c r="H8" s="150">
        <v>24.791666666666664</v>
      </c>
      <c r="I8" s="3"/>
      <c r="J8" s="3"/>
      <c r="K8" s="3"/>
      <c r="L8" s="3"/>
      <c r="M8" s="3"/>
      <c r="N8" s="3"/>
      <c r="O8" s="3"/>
      <c r="P8" s="153">
        <v>70.0</v>
      </c>
      <c r="Q8" s="152">
        <v>156.0</v>
      </c>
      <c r="R8" s="152">
        <v>158.0</v>
      </c>
      <c r="S8" s="152">
        <v>159.0</v>
      </c>
      <c r="T8" s="152">
        <v>161.0</v>
      </c>
      <c r="U8" s="3"/>
      <c r="V8" s="153">
        <v>70.0</v>
      </c>
      <c r="W8" s="152">
        <v>211.0</v>
      </c>
      <c r="X8" s="152">
        <v>213.0</v>
      </c>
      <c r="Y8" s="152">
        <v>215.0</v>
      </c>
      <c r="Z8" s="152">
        <v>217.0</v>
      </c>
      <c r="AA8" s="3"/>
      <c r="AB8" s="153">
        <v>70.0</v>
      </c>
      <c r="AC8" s="152">
        <v>235.0</v>
      </c>
      <c r="AD8" s="152">
        <v>245.0</v>
      </c>
      <c r="AE8" s="152">
        <v>259.0</v>
      </c>
      <c r="AF8" s="152">
        <v>260.0</v>
      </c>
      <c r="AG8" s="3"/>
      <c r="AH8" s="3"/>
      <c r="AI8" s="3"/>
      <c r="AJ8" s="3"/>
      <c r="AK8" s="3"/>
      <c r="AL8" s="3"/>
      <c r="AM8" s="3"/>
      <c r="AN8" s="161"/>
      <c r="AO8" s="163"/>
      <c r="AP8" s="163"/>
      <c r="AQ8" s="163"/>
      <c r="AR8" s="16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155">
        <v>75.0</v>
      </c>
      <c r="BM8" s="152">
        <v>155.0</v>
      </c>
      <c r="BN8" s="152">
        <v>159.0</v>
      </c>
      <c r="BO8" s="152">
        <v>165.0</v>
      </c>
      <c r="BP8" s="152">
        <v>168.0</v>
      </c>
      <c r="BQ8" s="3"/>
      <c r="BR8" s="155">
        <v>85.0</v>
      </c>
      <c r="BS8" s="152" t="s">
        <v>142</v>
      </c>
      <c r="BT8" s="152" t="s">
        <v>142</v>
      </c>
      <c r="BU8" s="152" t="s">
        <v>142</v>
      </c>
      <c r="BV8" s="152" t="s">
        <v>142</v>
      </c>
      <c r="BW8" s="3"/>
      <c r="BX8" s="155">
        <v>7.0</v>
      </c>
      <c r="BY8" s="157">
        <f t="shared" si="2"/>
        <v>3.541666667</v>
      </c>
      <c r="BZ8" s="157">
        <f t="shared" si="1"/>
        <v>24.79166667</v>
      </c>
      <c r="CA8" s="3"/>
      <c r="CB8" s="161"/>
      <c r="CC8" s="162"/>
      <c r="CD8" s="162"/>
      <c r="CE8" s="162"/>
      <c r="CF8" s="162"/>
      <c r="CH8" s="164">
        <v>70.0</v>
      </c>
      <c r="CI8" s="152">
        <v>220.0</v>
      </c>
      <c r="CJ8" s="152">
        <v>229.0</v>
      </c>
      <c r="CK8" s="152">
        <v>241.0</v>
      </c>
      <c r="CL8" s="152">
        <v>242.0</v>
      </c>
      <c r="CN8" s="164">
        <v>70.0</v>
      </c>
      <c r="CO8" s="152">
        <v>275.0</v>
      </c>
      <c r="CP8" s="152">
        <v>282.0</v>
      </c>
      <c r="CQ8" s="152">
        <v>299.0</v>
      </c>
      <c r="CR8" s="152">
        <v>299.0</v>
      </c>
      <c r="CT8" s="164">
        <v>70.0</v>
      </c>
      <c r="CU8" s="154">
        <v>247.5</v>
      </c>
      <c r="CV8" s="154">
        <v>253.8</v>
      </c>
      <c r="CW8" s="154">
        <v>269.1</v>
      </c>
      <c r="CX8" s="154">
        <v>269.1</v>
      </c>
      <c r="DC8" s="153">
        <v>70.0</v>
      </c>
      <c r="DD8" s="152">
        <v>275.0</v>
      </c>
      <c r="DE8" s="152">
        <v>282.0</v>
      </c>
      <c r="DF8" s="152">
        <v>299.0</v>
      </c>
      <c r="DG8" s="152">
        <v>299.0</v>
      </c>
      <c r="DI8" s="153"/>
      <c r="DJ8" s="152"/>
      <c r="DK8" s="152"/>
      <c r="DL8" s="152"/>
      <c r="DM8" s="152"/>
    </row>
    <row r="9" ht="16.5" customHeight="1">
      <c r="A9" s="145">
        <v>55.0</v>
      </c>
      <c r="B9" s="145">
        <v>69.0</v>
      </c>
      <c r="C9" s="145" t="s">
        <v>144</v>
      </c>
      <c r="D9" s="146">
        <v>39.5</v>
      </c>
      <c r="E9" s="3"/>
      <c r="F9" s="3">
        <v>8.0</v>
      </c>
      <c r="G9" s="150">
        <v>3.5416666666666665</v>
      </c>
      <c r="H9" s="150">
        <v>28.333333333333332</v>
      </c>
      <c r="I9" s="3"/>
      <c r="N9" s="3"/>
      <c r="O9" s="3"/>
      <c r="P9" s="3"/>
      <c r="U9" s="3"/>
      <c r="V9" s="3"/>
      <c r="AA9" s="3"/>
      <c r="AB9" s="3"/>
      <c r="AG9" s="3"/>
      <c r="AH9" s="3"/>
      <c r="AI9" s="3"/>
      <c r="AJ9" s="3"/>
      <c r="AK9" s="3"/>
      <c r="AL9" s="3"/>
      <c r="AM9" s="3"/>
      <c r="AN9" s="3"/>
      <c r="AO9" s="163"/>
      <c r="AP9" s="163"/>
      <c r="AQ9" s="163"/>
      <c r="AR9" s="16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155">
        <v>80.0</v>
      </c>
      <c r="BM9" s="152">
        <v>160.0</v>
      </c>
      <c r="BN9" s="152">
        <v>165.0</v>
      </c>
      <c r="BO9" s="152">
        <v>171.0</v>
      </c>
      <c r="BP9" s="152">
        <v>174.0</v>
      </c>
      <c r="BQ9" s="3"/>
      <c r="BR9" s="3"/>
      <c r="BS9" s="3"/>
      <c r="BT9" s="3"/>
      <c r="BU9" s="3"/>
      <c r="BV9" s="3"/>
      <c r="BW9" s="3"/>
      <c r="BX9" s="155">
        <v>8.0</v>
      </c>
      <c r="BY9" s="157">
        <f t="shared" si="2"/>
        <v>3.541666667</v>
      </c>
      <c r="BZ9" s="157">
        <f t="shared" si="1"/>
        <v>28.33333333</v>
      </c>
      <c r="CA9" s="3"/>
      <c r="CB9" s="3" t="s">
        <v>145</v>
      </c>
      <c r="CD9" s="163"/>
      <c r="CE9" s="163"/>
      <c r="CF9" s="163"/>
    </row>
    <row r="10" ht="16.5" customHeight="1">
      <c r="A10" s="145">
        <v>70.0</v>
      </c>
      <c r="B10" s="145">
        <v>120.0</v>
      </c>
      <c r="C10" s="145" t="s">
        <v>144</v>
      </c>
      <c r="D10" s="146">
        <v>53.0</v>
      </c>
      <c r="E10" s="3"/>
      <c r="F10" s="3"/>
      <c r="G10" s="3"/>
      <c r="H10" s="3"/>
      <c r="I10" s="3"/>
      <c r="N10" s="3"/>
      <c r="O10" s="3"/>
      <c r="P10" s="3"/>
      <c r="Q10" s="3"/>
      <c r="R10" s="5"/>
      <c r="S10" s="5"/>
      <c r="T10" s="5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147" t="s">
        <v>93</v>
      </c>
      <c r="AO10" s="147" t="s">
        <v>146</v>
      </c>
      <c r="AP10" s="147" t="s">
        <v>147</v>
      </c>
      <c r="AQ10" s="147" t="s">
        <v>148</v>
      </c>
      <c r="AR10" s="147" t="s">
        <v>149</v>
      </c>
      <c r="AS10" s="3"/>
      <c r="AT10" s="147" t="s">
        <v>93</v>
      </c>
      <c r="AU10" s="147" t="s">
        <v>150</v>
      </c>
      <c r="AV10" s="147" t="s">
        <v>151</v>
      </c>
      <c r="AW10" s="147" t="s">
        <v>152</v>
      </c>
      <c r="AX10" s="147" t="s">
        <v>153</v>
      </c>
      <c r="AY10" s="3"/>
      <c r="AZ10" s="147" t="s">
        <v>102</v>
      </c>
      <c r="BA10" s="147" t="s">
        <v>154</v>
      </c>
      <c r="BB10" s="147" t="s">
        <v>155</v>
      </c>
      <c r="BC10" s="147" t="s">
        <v>156</v>
      </c>
      <c r="BD10" s="147" t="s">
        <v>157</v>
      </c>
      <c r="BE10" s="3"/>
      <c r="BF10" s="147" t="s">
        <v>102</v>
      </c>
      <c r="BG10" s="147" t="s">
        <v>158</v>
      </c>
      <c r="BH10" s="147" t="s">
        <v>159</v>
      </c>
      <c r="BI10" s="147" t="s">
        <v>160</v>
      </c>
      <c r="BJ10" s="147" t="s">
        <v>161</v>
      </c>
      <c r="BK10" s="3"/>
      <c r="BL10" s="155">
        <v>85.0</v>
      </c>
      <c r="BM10" s="156" t="s">
        <v>142</v>
      </c>
      <c r="BN10" s="156" t="s">
        <v>142</v>
      </c>
      <c r="BO10" s="156" t="s">
        <v>142</v>
      </c>
      <c r="BP10" s="156" t="s">
        <v>142</v>
      </c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 t="s">
        <v>72</v>
      </c>
      <c r="CC10" s="165" t="s">
        <v>119</v>
      </c>
      <c r="CD10" s="165" t="s">
        <v>120</v>
      </c>
      <c r="CE10" s="165" t="s">
        <v>121</v>
      </c>
      <c r="CF10" s="165" t="s">
        <v>122</v>
      </c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149"/>
      <c r="DA10" s="149"/>
    </row>
    <row r="11" ht="16.5" customHeight="1">
      <c r="A11" s="145">
        <v>0.0</v>
      </c>
      <c r="B11" s="145">
        <v>54.0</v>
      </c>
      <c r="C11" s="145" t="s">
        <v>162</v>
      </c>
      <c r="D11" s="146">
        <v>22.5</v>
      </c>
      <c r="E11" s="3"/>
      <c r="F11" s="3"/>
      <c r="G11" s="3"/>
      <c r="H11" s="3"/>
      <c r="I11" s="3"/>
      <c r="N11" s="3"/>
      <c r="O11" s="3"/>
      <c r="S11" s="5"/>
      <c r="T11" s="5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166"/>
      <c r="AL11" s="3"/>
      <c r="AM11" s="3"/>
      <c r="AN11" s="153">
        <v>0.0</v>
      </c>
      <c r="AO11" s="154">
        <v>53.5</v>
      </c>
      <c r="AP11" s="154">
        <v>54.5</v>
      </c>
      <c r="AQ11" s="154">
        <v>56.5</v>
      </c>
      <c r="AR11" s="154">
        <v>57.5</v>
      </c>
      <c r="AS11" s="3"/>
      <c r="AT11" s="153">
        <v>0.0</v>
      </c>
      <c r="AU11" s="154">
        <v>76.5</v>
      </c>
      <c r="AV11" s="154">
        <v>77.5</v>
      </c>
      <c r="AW11" s="154">
        <v>80.5</v>
      </c>
      <c r="AX11" s="154">
        <v>81.5</v>
      </c>
      <c r="AY11" s="3"/>
      <c r="AZ11" s="153">
        <v>0.0</v>
      </c>
      <c r="BA11" s="154">
        <v>58.0</v>
      </c>
      <c r="BB11" s="154">
        <v>60.0</v>
      </c>
      <c r="BC11" s="154">
        <v>61.5</v>
      </c>
      <c r="BD11" s="154">
        <v>62.5</v>
      </c>
      <c r="BE11" s="3"/>
      <c r="BF11" s="153">
        <v>0.0</v>
      </c>
      <c r="BG11" s="154">
        <v>80.0</v>
      </c>
      <c r="BH11" s="154">
        <v>82.0</v>
      </c>
      <c r="BI11" s="154">
        <v>85.0</v>
      </c>
      <c r="BJ11" s="154">
        <v>86.5</v>
      </c>
      <c r="BK11" s="3"/>
      <c r="BL11" s="3"/>
      <c r="BM11" s="163"/>
      <c r="BN11" s="163"/>
      <c r="BO11" s="163"/>
      <c r="BP11" s="16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>
        <v>0.0</v>
      </c>
      <c r="CC11" s="162">
        <f t="shared" ref="CC11:CF11" si="3">CC2*0.9</f>
        <v>52.2</v>
      </c>
      <c r="CD11" s="162">
        <f t="shared" si="3"/>
        <v>54</v>
      </c>
      <c r="CE11" s="162">
        <f t="shared" si="3"/>
        <v>55.8</v>
      </c>
      <c r="CF11" s="162">
        <f t="shared" si="3"/>
        <v>56.7</v>
      </c>
      <c r="CH11" s="158"/>
      <c r="CI11" s="158"/>
      <c r="CJ11" s="158"/>
      <c r="CK11" s="158"/>
      <c r="CL11" s="158"/>
      <c r="CM11" s="158"/>
      <c r="CN11" s="158"/>
      <c r="CO11" s="158"/>
      <c r="CP11" s="158"/>
      <c r="CQ11" s="158"/>
      <c r="CR11" s="158"/>
      <c r="CS11" s="158"/>
      <c r="CT11" s="158"/>
      <c r="CU11" s="158"/>
      <c r="CV11" s="158"/>
      <c r="CW11" s="158"/>
      <c r="CX11" s="158"/>
      <c r="CY11" s="158"/>
      <c r="CZ11" s="159"/>
      <c r="DA11" s="167"/>
    </row>
    <row r="12" ht="16.5" customHeight="1">
      <c r="A12" s="145">
        <v>55.0</v>
      </c>
      <c r="B12" s="145">
        <v>69.0</v>
      </c>
      <c r="C12" s="145" t="s">
        <v>162</v>
      </c>
      <c r="D12" s="146">
        <v>40.0</v>
      </c>
      <c r="E12" s="3"/>
      <c r="F12" s="3"/>
      <c r="G12" s="3"/>
      <c r="H12" s="3"/>
      <c r="I12" s="3"/>
      <c r="N12" s="3"/>
      <c r="O12" s="3"/>
      <c r="S12" s="3"/>
      <c r="T12" s="3"/>
      <c r="U12" s="3"/>
      <c r="V12" s="3"/>
      <c r="W12" s="3"/>
      <c r="X12" s="3"/>
      <c r="Y12" s="166"/>
      <c r="Z12" s="3"/>
      <c r="AA12" s="3"/>
      <c r="AF12" s="3"/>
      <c r="AG12" s="3"/>
      <c r="AH12" s="3"/>
      <c r="AI12" s="3"/>
      <c r="AJ12" s="3"/>
      <c r="AK12" s="166"/>
      <c r="AL12" s="5"/>
      <c r="AM12" s="3"/>
      <c r="AN12" s="153">
        <v>45.0</v>
      </c>
      <c r="AO12" s="154">
        <v>61.0</v>
      </c>
      <c r="AP12" s="154">
        <v>63.0</v>
      </c>
      <c r="AQ12" s="154">
        <v>65.0</v>
      </c>
      <c r="AR12" s="154">
        <v>66.0</v>
      </c>
      <c r="AS12" s="3"/>
      <c r="AT12" s="153">
        <v>45.0</v>
      </c>
      <c r="AU12" s="154">
        <v>78.0</v>
      </c>
      <c r="AV12" s="154">
        <v>80.0</v>
      </c>
      <c r="AW12" s="154">
        <v>83.0</v>
      </c>
      <c r="AX12" s="154">
        <v>84.0</v>
      </c>
      <c r="AY12" s="3"/>
      <c r="AZ12" s="153">
        <v>66.0</v>
      </c>
      <c r="BA12" s="154">
        <v>86.5</v>
      </c>
      <c r="BB12" s="154">
        <v>88.5</v>
      </c>
      <c r="BC12" s="154">
        <v>92.5</v>
      </c>
      <c r="BD12" s="154">
        <v>93.5</v>
      </c>
      <c r="BE12" s="3"/>
      <c r="BF12" s="153">
        <v>66.0</v>
      </c>
      <c r="BG12" s="154">
        <v>101.5</v>
      </c>
      <c r="BH12" s="154">
        <v>104.5</v>
      </c>
      <c r="BI12" s="154">
        <v>107.5</v>
      </c>
      <c r="BJ12" s="154">
        <v>109.5</v>
      </c>
      <c r="BK12" s="3"/>
      <c r="BL12" s="3"/>
      <c r="BM12" s="163"/>
      <c r="BN12" s="163"/>
      <c r="BO12" s="163"/>
      <c r="BP12" s="16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>
        <v>45.0</v>
      </c>
      <c r="CC12" s="162">
        <f t="shared" ref="CC12:CF12" si="4">CC3*0.9</f>
        <v>62.1</v>
      </c>
      <c r="CD12" s="162">
        <f t="shared" si="4"/>
        <v>63.9</v>
      </c>
      <c r="CE12" s="162">
        <f t="shared" si="4"/>
        <v>66.6</v>
      </c>
      <c r="CF12" s="162">
        <f t="shared" si="4"/>
        <v>67.5</v>
      </c>
      <c r="CL12" s="158"/>
      <c r="CM12" s="158"/>
      <c r="CR12" s="158"/>
      <c r="CS12" s="158"/>
      <c r="CX12" s="158"/>
      <c r="CY12" s="158"/>
      <c r="CZ12" s="159"/>
      <c r="DA12" s="167"/>
    </row>
    <row r="13" ht="16.5" customHeight="1">
      <c r="A13" s="145">
        <v>70.0</v>
      </c>
      <c r="B13" s="145">
        <v>120.0</v>
      </c>
      <c r="C13" s="145" t="s">
        <v>162</v>
      </c>
      <c r="D13" s="146">
        <v>53.5</v>
      </c>
      <c r="E13" s="3"/>
      <c r="F13" s="3"/>
      <c r="G13" s="3"/>
      <c r="H13" s="3"/>
      <c r="I13" s="3"/>
      <c r="N13" s="5"/>
      <c r="O13" s="5"/>
      <c r="S13" s="5"/>
      <c r="T13" s="5"/>
      <c r="U13" s="5"/>
      <c r="V13" s="3"/>
      <c r="W13" s="3"/>
      <c r="X13" s="3"/>
      <c r="Y13" s="166"/>
      <c r="Z13" s="5"/>
      <c r="AA13" s="5"/>
      <c r="AF13" s="5"/>
      <c r="AG13" s="5"/>
      <c r="AH13" s="3"/>
      <c r="AI13" s="3"/>
      <c r="AJ13" s="3"/>
      <c r="AK13" s="166"/>
      <c r="AL13" s="5"/>
      <c r="AM13" s="3"/>
      <c r="AN13" s="153">
        <v>55.0</v>
      </c>
      <c r="AO13" s="154">
        <v>76.0</v>
      </c>
      <c r="AP13" s="154">
        <v>79.0</v>
      </c>
      <c r="AQ13" s="154">
        <v>81.0</v>
      </c>
      <c r="AR13" s="154">
        <v>84.0</v>
      </c>
      <c r="AS13" s="3"/>
      <c r="AT13" s="153">
        <v>55.0</v>
      </c>
      <c r="AU13" s="154">
        <v>106.5</v>
      </c>
      <c r="AV13" s="154">
        <v>110.5</v>
      </c>
      <c r="AW13" s="154">
        <v>113.5</v>
      </c>
      <c r="AX13" s="154">
        <v>115.5</v>
      </c>
      <c r="AY13" s="3"/>
      <c r="AZ13" s="153">
        <v>68.0</v>
      </c>
      <c r="BA13" s="154">
        <v>157.5</v>
      </c>
      <c r="BB13" s="154">
        <v>163.5</v>
      </c>
      <c r="BC13" s="154">
        <v>170.5</v>
      </c>
      <c r="BD13" s="154">
        <v>174.5</v>
      </c>
      <c r="BE13" s="3"/>
      <c r="BF13" s="153">
        <v>68.0</v>
      </c>
      <c r="BG13" s="154">
        <v>186.5</v>
      </c>
      <c r="BH13" s="154">
        <v>194.5</v>
      </c>
      <c r="BI13" s="154">
        <v>201.5</v>
      </c>
      <c r="BJ13" s="154">
        <v>204.5</v>
      </c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>
        <v>55.0</v>
      </c>
      <c r="CC13" s="162">
        <f t="shared" ref="CC13:CF13" si="5">CC4*0.9</f>
        <v>79.2</v>
      </c>
      <c r="CD13" s="162">
        <f t="shared" si="5"/>
        <v>80.1</v>
      </c>
      <c r="CE13" s="162">
        <f t="shared" si="5"/>
        <v>84.6</v>
      </c>
      <c r="CF13" s="162">
        <f t="shared" si="5"/>
        <v>86.4</v>
      </c>
      <c r="CL13" s="158"/>
      <c r="CM13" s="158"/>
      <c r="CR13" s="158"/>
      <c r="CS13" s="158"/>
      <c r="CX13" s="158"/>
      <c r="CY13" s="158"/>
      <c r="CZ13" s="159"/>
      <c r="DA13" s="167"/>
    </row>
    <row r="14" ht="16.5" customHeight="1">
      <c r="A14" s="145">
        <v>0.0</v>
      </c>
      <c r="B14" s="145">
        <v>54.0</v>
      </c>
      <c r="C14" s="145" t="s">
        <v>163</v>
      </c>
      <c r="D14" s="146">
        <v>23.0</v>
      </c>
      <c r="E14" s="3"/>
      <c r="F14" s="3"/>
      <c r="G14" s="3"/>
      <c r="H14" s="3"/>
      <c r="I14" s="3"/>
      <c r="N14" s="5"/>
      <c r="O14" s="5"/>
      <c r="S14" s="5"/>
      <c r="T14" s="5"/>
      <c r="U14" s="5"/>
      <c r="V14" s="3"/>
      <c r="W14" s="3"/>
      <c r="X14" s="3"/>
      <c r="Y14" s="166"/>
      <c r="Z14" s="5"/>
      <c r="AA14" s="5"/>
      <c r="AF14" s="5"/>
      <c r="AG14" s="5"/>
      <c r="AH14" s="3"/>
      <c r="AI14" s="3"/>
      <c r="AJ14" s="3"/>
      <c r="AK14" s="166"/>
      <c r="AL14" s="5"/>
      <c r="AM14" s="3"/>
      <c r="AN14" s="153"/>
      <c r="AO14" s="154"/>
      <c r="AP14" s="154"/>
      <c r="AQ14" s="154"/>
      <c r="AR14" s="154"/>
      <c r="AS14" s="3"/>
      <c r="AT14" s="153"/>
      <c r="AU14" s="154"/>
      <c r="AV14" s="154"/>
      <c r="AW14" s="154"/>
      <c r="AX14" s="154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162"/>
      <c r="CD14" s="162"/>
      <c r="CE14" s="162"/>
      <c r="CF14" s="162"/>
      <c r="CL14" s="158"/>
      <c r="CM14" s="158"/>
      <c r="CR14" s="158"/>
      <c r="CS14" s="158"/>
      <c r="CX14" s="158"/>
      <c r="CY14" s="158"/>
      <c r="CZ14" s="159"/>
      <c r="DA14" s="167"/>
    </row>
    <row r="15" ht="16.5" customHeight="1">
      <c r="A15" s="145">
        <v>55.0</v>
      </c>
      <c r="B15" s="145">
        <v>69.0</v>
      </c>
      <c r="C15" s="145" t="s">
        <v>163</v>
      </c>
      <c r="D15" s="146">
        <v>41.0</v>
      </c>
      <c r="E15" s="3"/>
      <c r="F15" s="3"/>
      <c r="G15" s="3"/>
      <c r="H15" s="3"/>
      <c r="I15" s="3"/>
      <c r="N15" s="5"/>
      <c r="O15" s="5"/>
      <c r="S15" s="5"/>
      <c r="T15" s="5"/>
      <c r="U15" s="5"/>
      <c r="V15" s="3"/>
      <c r="W15" s="3"/>
      <c r="X15" s="3"/>
      <c r="Y15" s="166"/>
      <c r="Z15" s="5"/>
      <c r="AA15" s="5"/>
      <c r="AF15" s="5"/>
      <c r="AG15" s="5"/>
      <c r="AH15" s="3"/>
      <c r="AI15" s="3"/>
      <c r="AJ15" s="3"/>
      <c r="AK15" s="166"/>
      <c r="AL15" s="5"/>
      <c r="AM15" s="3"/>
      <c r="AN15" s="153"/>
      <c r="AO15" s="154"/>
      <c r="AP15" s="154"/>
      <c r="AQ15" s="154"/>
      <c r="AR15" s="154"/>
      <c r="AS15" s="3"/>
      <c r="AT15" s="153"/>
      <c r="AU15" s="154"/>
      <c r="AV15" s="154"/>
      <c r="AW15" s="154"/>
      <c r="AX15" s="154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162"/>
      <c r="CD15" s="162"/>
      <c r="CE15" s="162"/>
      <c r="CF15" s="162"/>
      <c r="CL15" s="158"/>
      <c r="CM15" s="158"/>
      <c r="CR15" s="158"/>
      <c r="CS15" s="158"/>
      <c r="CX15" s="158"/>
      <c r="CY15" s="158"/>
      <c r="CZ15" s="159"/>
      <c r="DA15" s="167"/>
    </row>
    <row r="16" ht="16.5" customHeight="1">
      <c r="A16" s="145">
        <v>70.0</v>
      </c>
      <c r="B16" s="145">
        <v>120.0</v>
      </c>
      <c r="C16" s="145" t="s">
        <v>163</v>
      </c>
      <c r="D16" s="146">
        <v>54.0</v>
      </c>
      <c r="E16" s="3"/>
      <c r="F16" s="3"/>
      <c r="G16" s="3"/>
      <c r="H16" s="3"/>
      <c r="I16" s="3"/>
      <c r="N16" s="5"/>
      <c r="O16" s="5"/>
      <c r="S16" s="5"/>
      <c r="T16" s="5"/>
      <c r="U16" s="5"/>
      <c r="V16" s="3"/>
      <c r="W16" s="3"/>
      <c r="X16" s="3"/>
      <c r="Y16" s="166"/>
      <c r="Z16" s="5"/>
      <c r="AA16" s="5"/>
      <c r="AF16" s="5"/>
      <c r="AG16" s="5"/>
      <c r="AH16" s="3"/>
      <c r="AI16" s="3"/>
      <c r="AJ16" s="3"/>
      <c r="AK16" s="166"/>
      <c r="AL16" s="5"/>
      <c r="AM16" s="3"/>
      <c r="AN16" s="153"/>
      <c r="AO16" s="154"/>
      <c r="AP16" s="154"/>
      <c r="AQ16" s="154"/>
      <c r="AR16" s="154"/>
      <c r="AS16" s="3"/>
      <c r="AT16" s="153"/>
      <c r="AU16" s="154"/>
      <c r="AV16" s="154"/>
      <c r="AW16" s="154"/>
      <c r="AX16" s="154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162"/>
      <c r="CD16" s="162"/>
      <c r="CE16" s="162"/>
      <c r="CF16" s="162"/>
      <c r="CL16" s="158"/>
      <c r="CM16" s="158"/>
      <c r="CR16" s="158"/>
      <c r="CS16" s="158"/>
      <c r="CX16" s="158"/>
      <c r="CY16" s="158"/>
      <c r="CZ16" s="159"/>
      <c r="DA16" s="167"/>
    </row>
    <row r="17" ht="16.5" customHeight="1">
      <c r="A17" s="145">
        <v>0.0</v>
      </c>
      <c r="B17" s="145">
        <v>54.0</v>
      </c>
      <c r="C17" s="145" t="s">
        <v>164</v>
      </c>
      <c r="D17" s="146">
        <v>23.5</v>
      </c>
      <c r="E17" s="3"/>
      <c r="F17" s="3"/>
      <c r="G17" s="3"/>
      <c r="H17" s="3"/>
      <c r="I17" s="3"/>
      <c r="N17" s="5"/>
      <c r="O17" s="5"/>
      <c r="S17" s="5"/>
      <c r="T17" s="5"/>
      <c r="U17" s="5"/>
      <c r="V17" s="3"/>
      <c r="W17" s="3"/>
      <c r="X17" s="3"/>
      <c r="Y17" s="166"/>
      <c r="Z17" s="5"/>
      <c r="AA17" s="5"/>
      <c r="AF17" s="5"/>
      <c r="AG17" s="5"/>
      <c r="AH17" s="3"/>
      <c r="AI17" s="3"/>
      <c r="AJ17" s="3"/>
      <c r="AK17" s="166"/>
      <c r="AL17" s="5"/>
      <c r="AM17" s="3"/>
      <c r="AN17" s="153"/>
      <c r="AO17" s="154"/>
      <c r="AP17" s="154"/>
      <c r="AQ17" s="154"/>
      <c r="AR17" s="154"/>
      <c r="AS17" s="3"/>
      <c r="AT17" s="153"/>
      <c r="AU17" s="154"/>
      <c r="AV17" s="154"/>
      <c r="AW17" s="154"/>
      <c r="AX17" s="154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162"/>
      <c r="CD17" s="162"/>
      <c r="CE17" s="162"/>
      <c r="CF17" s="162"/>
      <c r="CL17" s="158"/>
      <c r="CM17" s="158"/>
      <c r="CR17" s="158"/>
      <c r="CS17" s="158"/>
      <c r="CX17" s="158"/>
      <c r="CY17" s="158"/>
      <c r="CZ17" s="159"/>
      <c r="DA17" s="167"/>
    </row>
    <row r="18" ht="16.5" customHeight="1">
      <c r="A18" s="145">
        <v>55.0</v>
      </c>
      <c r="B18" s="145">
        <v>69.0</v>
      </c>
      <c r="C18" s="145" t="s">
        <v>164</v>
      </c>
      <c r="D18" s="146">
        <v>41.5</v>
      </c>
      <c r="E18" s="3"/>
      <c r="F18" s="3"/>
      <c r="G18" s="3"/>
      <c r="H18" s="3"/>
      <c r="I18" s="3"/>
      <c r="N18" s="5"/>
      <c r="O18" s="5"/>
      <c r="S18" s="5"/>
      <c r="T18" s="5"/>
      <c r="U18" s="5"/>
      <c r="V18" s="3"/>
      <c r="W18" s="3"/>
      <c r="X18" s="3"/>
      <c r="Y18" s="166"/>
      <c r="Z18" s="5"/>
      <c r="AA18" s="5"/>
      <c r="AF18" s="5"/>
      <c r="AG18" s="5"/>
      <c r="AH18" s="3"/>
      <c r="AI18" s="3"/>
      <c r="AJ18" s="3"/>
      <c r="AK18" s="166"/>
      <c r="AL18" s="5"/>
      <c r="AM18" s="3"/>
      <c r="AN18" s="153"/>
      <c r="AO18" s="154"/>
      <c r="AP18" s="154"/>
      <c r="AQ18" s="154"/>
      <c r="AR18" s="154"/>
      <c r="AS18" s="3"/>
      <c r="AT18" s="153"/>
      <c r="AU18" s="154"/>
      <c r="AV18" s="154"/>
      <c r="AW18" s="154"/>
      <c r="AX18" s="154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162"/>
      <c r="CD18" s="162"/>
      <c r="CE18" s="162"/>
      <c r="CF18" s="162"/>
      <c r="CL18" s="158"/>
      <c r="CM18" s="158"/>
      <c r="CR18" s="158"/>
      <c r="CS18" s="158"/>
      <c r="CX18" s="158"/>
      <c r="CY18" s="158"/>
      <c r="CZ18" s="159"/>
      <c r="DA18" s="167"/>
    </row>
    <row r="19" ht="16.5" customHeight="1">
      <c r="A19" s="145">
        <v>70.0</v>
      </c>
      <c r="B19" s="145">
        <v>120.0</v>
      </c>
      <c r="C19" s="145" t="s">
        <v>164</v>
      </c>
      <c r="D19" s="146">
        <v>54.5</v>
      </c>
      <c r="E19" s="3"/>
      <c r="F19" s="3"/>
      <c r="G19" s="3"/>
      <c r="H19" s="3"/>
      <c r="I19" s="3"/>
      <c r="N19" s="5"/>
      <c r="O19" s="5"/>
      <c r="S19" s="5"/>
      <c r="T19" s="5"/>
      <c r="U19" s="5"/>
      <c r="V19" s="3"/>
      <c r="W19" s="3"/>
      <c r="X19" s="3"/>
      <c r="Y19" s="166"/>
      <c r="Z19" s="5"/>
      <c r="AA19" s="5"/>
      <c r="AF19" s="5"/>
      <c r="AG19" s="5"/>
      <c r="AH19" s="3"/>
      <c r="AI19" s="3"/>
      <c r="AJ19" s="3"/>
      <c r="AK19" s="166"/>
      <c r="AL19" s="5"/>
      <c r="AM19" s="3"/>
      <c r="AN19" s="153"/>
      <c r="AO19" s="154"/>
      <c r="AP19" s="154"/>
      <c r="AQ19" s="154"/>
      <c r="AR19" s="154"/>
      <c r="AS19" s="3"/>
      <c r="AT19" s="153"/>
      <c r="AU19" s="154"/>
      <c r="AV19" s="154"/>
      <c r="AW19" s="154"/>
      <c r="AX19" s="154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162"/>
      <c r="CD19" s="162"/>
      <c r="CE19" s="162"/>
      <c r="CF19" s="162"/>
      <c r="CL19" s="158"/>
      <c r="CM19" s="158"/>
      <c r="CR19" s="158"/>
      <c r="CS19" s="158"/>
      <c r="CX19" s="158"/>
      <c r="CY19" s="158"/>
      <c r="CZ19" s="159"/>
      <c r="DA19" s="167"/>
    </row>
    <row r="20" ht="16.5" customHeight="1">
      <c r="A20" s="145">
        <v>0.0</v>
      </c>
      <c r="B20" s="145">
        <v>24.0</v>
      </c>
      <c r="C20" s="145" t="s">
        <v>165</v>
      </c>
      <c r="D20" s="146">
        <v>38.0</v>
      </c>
      <c r="E20" s="3"/>
      <c r="F20" s="3"/>
      <c r="G20" s="3"/>
      <c r="H20" s="3"/>
      <c r="I20" s="3"/>
      <c r="N20" s="5"/>
      <c r="O20" s="5"/>
      <c r="S20" s="5"/>
      <c r="T20" s="5"/>
      <c r="U20" s="5"/>
      <c r="V20" s="3"/>
      <c r="W20" s="3"/>
      <c r="X20" s="3"/>
      <c r="Y20" s="166"/>
      <c r="Z20" s="5"/>
      <c r="AA20" s="5"/>
      <c r="AF20" s="5"/>
      <c r="AG20" s="5"/>
      <c r="AH20" s="3"/>
      <c r="AI20" s="3"/>
      <c r="AJ20" s="3"/>
      <c r="AK20" s="166"/>
      <c r="AL20" s="5"/>
      <c r="AM20" s="3"/>
      <c r="AN20" s="153">
        <v>60.0</v>
      </c>
      <c r="AO20" s="154">
        <v>95.0</v>
      </c>
      <c r="AP20" s="154">
        <v>99.0</v>
      </c>
      <c r="AQ20" s="154">
        <v>102.0</v>
      </c>
      <c r="AR20" s="154">
        <v>104.0</v>
      </c>
      <c r="AS20" s="3"/>
      <c r="AT20" s="153">
        <v>60.0</v>
      </c>
      <c r="AU20" s="154">
        <v>126.5</v>
      </c>
      <c r="AV20" s="154">
        <v>131.5</v>
      </c>
      <c r="AW20" s="154">
        <v>135.5</v>
      </c>
      <c r="AX20" s="154">
        <v>137.5</v>
      </c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>
        <v>60.0</v>
      </c>
      <c r="CC20" s="162">
        <f t="shared" ref="CC20:CF20" si="6">CC5*0.9</f>
        <v>100.8</v>
      </c>
      <c r="CD20" s="162">
        <f t="shared" si="6"/>
        <v>104.4</v>
      </c>
      <c r="CE20" s="162">
        <f t="shared" si="6"/>
        <v>108.9</v>
      </c>
      <c r="CF20" s="162">
        <f t="shared" si="6"/>
        <v>112.5</v>
      </c>
      <c r="CL20" s="158"/>
      <c r="CM20" s="158"/>
      <c r="CR20" s="158"/>
      <c r="CS20" s="158"/>
      <c r="CX20" s="158"/>
      <c r="CY20" s="158"/>
      <c r="CZ20" s="159"/>
      <c r="DA20" s="167"/>
    </row>
    <row r="21" ht="16.5" customHeight="1">
      <c r="A21" s="145">
        <v>25.0</v>
      </c>
      <c r="B21" s="145">
        <v>44.0</v>
      </c>
      <c r="C21" s="145" t="s">
        <v>165</v>
      </c>
      <c r="D21" s="146">
        <v>50.0</v>
      </c>
      <c r="E21" s="3"/>
      <c r="F21" s="3"/>
      <c r="G21" s="3"/>
      <c r="H21" s="3"/>
      <c r="I21" s="3"/>
      <c r="N21" s="5"/>
      <c r="O21" s="5"/>
      <c r="S21" s="5"/>
      <c r="T21" s="5"/>
      <c r="U21" s="5"/>
      <c r="V21" s="3"/>
      <c r="W21" s="3"/>
      <c r="X21" s="3"/>
      <c r="Y21" s="166"/>
      <c r="Z21" s="5"/>
      <c r="AA21" s="5"/>
      <c r="AF21" s="5"/>
      <c r="AG21" s="5"/>
      <c r="AH21" s="3"/>
      <c r="AI21" s="3"/>
      <c r="AJ21" s="3"/>
      <c r="AK21" s="166"/>
      <c r="AL21" s="5"/>
      <c r="AM21" s="3"/>
      <c r="AN21" s="153">
        <v>68.0</v>
      </c>
      <c r="AO21" s="154">
        <v>151.5</v>
      </c>
      <c r="AP21" s="154">
        <v>158.5</v>
      </c>
      <c r="AQ21" s="154">
        <v>164.5</v>
      </c>
      <c r="AR21" s="154">
        <v>170.5</v>
      </c>
      <c r="AS21" s="3"/>
      <c r="AT21" s="153">
        <v>68.0</v>
      </c>
      <c r="AU21" s="154">
        <v>191.5</v>
      </c>
      <c r="AV21" s="154">
        <v>200.5</v>
      </c>
      <c r="AW21" s="154">
        <v>207.5</v>
      </c>
      <c r="AX21" s="154">
        <v>211.5</v>
      </c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P21" s="3"/>
      <c r="BQ21" s="3"/>
      <c r="BV21" s="3"/>
      <c r="BW21" s="3"/>
      <c r="BX21" s="3"/>
      <c r="BY21" s="3"/>
      <c r="BZ21" s="3"/>
      <c r="CA21" s="3"/>
      <c r="CB21" s="3">
        <v>68.0</v>
      </c>
      <c r="CC21" s="162">
        <f t="shared" ref="CC21:CF21" si="7">CC6*0.9</f>
        <v>150.3</v>
      </c>
      <c r="CD21" s="162">
        <f t="shared" si="7"/>
        <v>157.5</v>
      </c>
      <c r="CE21" s="162">
        <f t="shared" si="7"/>
        <v>166.5</v>
      </c>
      <c r="CF21" s="162">
        <f t="shared" si="7"/>
        <v>168.3</v>
      </c>
      <c r="CL21" s="158"/>
      <c r="CM21" s="158"/>
      <c r="CR21" s="158"/>
      <c r="CS21" s="158"/>
      <c r="CX21" s="158"/>
      <c r="CY21" s="158"/>
      <c r="CZ21" s="159"/>
      <c r="DA21" s="167"/>
    </row>
    <row r="22" ht="16.5" customHeight="1">
      <c r="A22" s="145">
        <v>45.0</v>
      </c>
      <c r="B22" s="145">
        <v>54.0</v>
      </c>
      <c r="C22" s="145" t="s">
        <v>165</v>
      </c>
      <c r="D22" s="146">
        <v>61.5</v>
      </c>
      <c r="E22" s="3"/>
      <c r="F22" s="3"/>
      <c r="G22" s="3"/>
      <c r="H22" s="3"/>
      <c r="I22" s="3"/>
      <c r="N22" s="5"/>
      <c r="O22" s="5"/>
      <c r="S22" s="5"/>
      <c r="T22" s="5"/>
      <c r="U22" s="5"/>
      <c r="V22" s="3"/>
      <c r="W22" s="3"/>
      <c r="X22" s="3"/>
      <c r="Y22" s="166"/>
      <c r="Z22" s="5"/>
      <c r="AA22" s="5"/>
      <c r="AF22" s="5"/>
      <c r="AG22" s="5"/>
      <c r="AH22" s="3"/>
      <c r="AI22" s="3"/>
      <c r="AJ22" s="3"/>
      <c r="AK22" s="166"/>
      <c r="AL22" s="5"/>
      <c r="AM22" s="3"/>
      <c r="AN22" s="161"/>
      <c r="AO22" s="162"/>
      <c r="AP22" s="162"/>
      <c r="AQ22" s="162"/>
      <c r="AR22" s="162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P22" s="3"/>
      <c r="BQ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L22" s="158"/>
      <c r="CM22" s="158"/>
      <c r="CR22" s="158"/>
      <c r="CS22" s="158"/>
      <c r="CX22" s="158"/>
      <c r="CY22" s="158"/>
      <c r="CZ22" s="159"/>
      <c r="DA22" s="167"/>
    </row>
    <row r="23" ht="16.5" customHeight="1">
      <c r="A23" s="145">
        <v>55.0</v>
      </c>
      <c r="B23" s="145">
        <v>59.0</v>
      </c>
      <c r="C23" s="145" t="s">
        <v>165</v>
      </c>
      <c r="D23" s="146">
        <v>94.0</v>
      </c>
      <c r="E23" s="3"/>
      <c r="F23" s="3"/>
      <c r="G23" s="3"/>
      <c r="H23" s="3"/>
      <c r="I23" s="3"/>
      <c r="N23" s="5"/>
      <c r="O23" s="5"/>
      <c r="S23" s="5"/>
      <c r="T23" s="5"/>
      <c r="U23" s="5"/>
      <c r="V23" s="3"/>
      <c r="W23" s="3"/>
      <c r="X23" s="3"/>
      <c r="Y23" s="166"/>
      <c r="Z23" s="5"/>
      <c r="AA23" s="5"/>
      <c r="AF23" s="5"/>
      <c r="AG23" s="5"/>
      <c r="AH23" s="3"/>
      <c r="AI23" s="3"/>
      <c r="AJ23" s="3"/>
      <c r="AK23" s="166"/>
      <c r="AL23" s="5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P23" s="3"/>
      <c r="BQ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</row>
    <row r="24" ht="16.5" customHeight="1">
      <c r="A24" s="145">
        <v>60.0</v>
      </c>
      <c r="B24" s="145">
        <v>64.0</v>
      </c>
      <c r="C24" s="145" t="s">
        <v>165</v>
      </c>
      <c r="D24" s="146">
        <v>117.0</v>
      </c>
      <c r="E24" s="3"/>
      <c r="F24" s="3"/>
      <c r="G24" s="3"/>
      <c r="H24" s="3"/>
      <c r="I24" s="3"/>
      <c r="N24" s="5"/>
      <c r="O24" s="5"/>
      <c r="S24" s="5"/>
      <c r="T24" s="5"/>
      <c r="U24" s="5"/>
      <c r="V24" s="3"/>
      <c r="W24" s="3"/>
      <c r="X24" s="3"/>
      <c r="Y24" s="166"/>
      <c r="Z24" s="5"/>
      <c r="AA24" s="5"/>
      <c r="AF24" s="5"/>
      <c r="AG24" s="5"/>
      <c r="AH24" s="3"/>
      <c r="AI24" s="3"/>
      <c r="AJ24" s="3"/>
      <c r="AK24" s="166"/>
      <c r="AL24" s="5"/>
      <c r="AM24" s="3"/>
      <c r="AR24" s="3"/>
      <c r="AS24" s="3"/>
      <c r="AX24" s="3"/>
      <c r="AY24" s="3"/>
      <c r="BD24" s="3"/>
      <c r="BE24" s="3"/>
      <c r="BJ24" s="3"/>
      <c r="BK24" s="3"/>
      <c r="BP24" s="3"/>
      <c r="BQ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</row>
    <row r="25" ht="16.5" customHeight="1">
      <c r="A25" s="145">
        <v>65.0</v>
      </c>
      <c r="B25" s="145">
        <v>69.0</v>
      </c>
      <c r="C25" s="145" t="s">
        <v>165</v>
      </c>
      <c r="D25" s="146">
        <v>156.0</v>
      </c>
      <c r="E25" s="3"/>
      <c r="F25" s="3"/>
      <c r="G25" s="3"/>
      <c r="H25" s="3"/>
      <c r="I25" s="3"/>
      <c r="N25" s="5"/>
      <c r="O25" s="5"/>
      <c r="S25" s="5"/>
      <c r="T25" s="5"/>
      <c r="U25" s="5"/>
      <c r="V25" s="3"/>
      <c r="W25" s="3"/>
      <c r="X25" s="3"/>
      <c r="Y25" s="166"/>
      <c r="Z25" s="5"/>
      <c r="AA25" s="5"/>
      <c r="AF25" s="5"/>
      <c r="AG25" s="5"/>
      <c r="AH25" s="3"/>
      <c r="AI25" s="3"/>
      <c r="AJ25" s="3"/>
      <c r="AK25" s="166"/>
      <c r="AL25" s="5"/>
      <c r="AM25" s="3"/>
      <c r="AR25" s="3"/>
      <c r="AS25" s="3"/>
      <c r="AX25" s="3"/>
      <c r="AY25" s="3"/>
      <c r="BD25" s="3"/>
      <c r="BE25" s="3"/>
      <c r="BJ25" s="3"/>
      <c r="BK25" s="3"/>
      <c r="BP25" s="3"/>
      <c r="BQ25" s="3"/>
      <c r="BV25" s="3"/>
      <c r="BW25" s="3"/>
      <c r="BX25" s="3"/>
      <c r="BY25" s="3"/>
      <c r="BZ25" s="3"/>
      <c r="CA25" s="3"/>
      <c r="CF25" s="3"/>
    </row>
    <row r="26" ht="16.5" customHeight="1">
      <c r="A26" s="145">
        <v>70.0</v>
      </c>
      <c r="B26" s="145">
        <v>120.0</v>
      </c>
      <c r="C26" s="145" t="s">
        <v>165</v>
      </c>
      <c r="D26" s="146">
        <v>168.0</v>
      </c>
      <c r="E26" s="3"/>
      <c r="F26" s="3"/>
      <c r="G26" s="3"/>
      <c r="H26" s="3"/>
      <c r="I26" s="3"/>
      <c r="N26" s="5"/>
      <c r="O26" s="5"/>
      <c r="P26" s="5"/>
      <c r="Q26" s="5"/>
      <c r="R26" s="5"/>
      <c r="S26" s="5"/>
      <c r="T26" s="5"/>
      <c r="U26" s="5"/>
      <c r="V26" s="3"/>
      <c r="W26" s="3"/>
      <c r="X26" s="3"/>
      <c r="Y26" s="166"/>
      <c r="Z26" s="5"/>
      <c r="AA26" s="5"/>
      <c r="AF26" s="5"/>
      <c r="AG26" s="5"/>
      <c r="AH26" s="3"/>
      <c r="AI26" s="3"/>
      <c r="AJ26" s="3"/>
      <c r="AK26" s="166"/>
      <c r="AL26" s="5"/>
      <c r="AM26" s="3"/>
      <c r="AR26" s="3"/>
      <c r="AS26" s="3"/>
      <c r="AX26" s="3"/>
      <c r="AY26" s="3"/>
      <c r="BD26" s="3"/>
      <c r="BE26" s="3"/>
      <c r="BJ26" s="3"/>
      <c r="BK26" s="3"/>
      <c r="BP26" s="3"/>
      <c r="BQ26" s="3"/>
      <c r="BV26" s="3"/>
      <c r="BW26" s="3"/>
      <c r="BX26" s="3"/>
      <c r="BY26" s="3"/>
      <c r="BZ26" s="3"/>
      <c r="CA26" s="3"/>
      <c r="CF26" s="3"/>
    </row>
    <row r="27" ht="16.5" customHeight="1">
      <c r="A27" s="145">
        <v>0.0</v>
      </c>
      <c r="B27" s="145">
        <v>24.0</v>
      </c>
      <c r="C27" s="145" t="s">
        <v>166</v>
      </c>
      <c r="D27" s="146">
        <v>39.0</v>
      </c>
      <c r="E27" s="3"/>
      <c r="F27" s="3"/>
      <c r="G27" s="3"/>
      <c r="H27" s="3"/>
      <c r="I27" s="3"/>
      <c r="N27" s="5"/>
      <c r="O27" s="5"/>
      <c r="P27" s="5"/>
      <c r="Q27" s="5"/>
      <c r="R27" s="5"/>
      <c r="S27" s="5"/>
      <c r="T27" s="5"/>
      <c r="U27" s="5"/>
      <c r="V27" s="3"/>
      <c r="W27" s="3"/>
      <c r="X27" s="3"/>
      <c r="Y27" s="166"/>
      <c r="Z27" s="5"/>
      <c r="AA27" s="5"/>
      <c r="AF27" s="5"/>
      <c r="AG27" s="5"/>
      <c r="AH27" s="3"/>
      <c r="AI27" s="3"/>
      <c r="AJ27" s="3"/>
      <c r="AK27" s="166"/>
      <c r="AL27" s="5"/>
      <c r="AM27" s="3"/>
      <c r="AR27" s="3"/>
      <c r="AS27" s="3"/>
      <c r="AX27" s="3"/>
      <c r="AY27" s="3"/>
      <c r="BD27" s="3"/>
      <c r="BE27" s="3"/>
      <c r="BJ27" s="3"/>
      <c r="BK27" s="3"/>
      <c r="BP27" s="3"/>
      <c r="BQ27" s="3"/>
      <c r="BV27" s="3"/>
      <c r="BW27" s="3"/>
      <c r="BX27" s="3"/>
      <c r="BY27" s="3"/>
      <c r="BZ27" s="3"/>
      <c r="CA27" s="3"/>
      <c r="CF27" s="3"/>
    </row>
    <row r="28" ht="16.5" customHeight="1">
      <c r="A28" s="145">
        <v>25.0</v>
      </c>
      <c r="B28" s="145">
        <v>44.0</v>
      </c>
      <c r="C28" s="145" t="s">
        <v>166</v>
      </c>
      <c r="D28" s="146">
        <v>50.5</v>
      </c>
      <c r="E28" s="3"/>
      <c r="F28" s="3"/>
      <c r="G28" s="3"/>
      <c r="H28" s="3"/>
      <c r="I28" s="3"/>
      <c r="N28" s="5"/>
      <c r="O28" s="5"/>
      <c r="P28" s="5"/>
      <c r="Q28" s="5"/>
      <c r="R28" s="5"/>
      <c r="S28" s="5"/>
      <c r="T28" s="5"/>
      <c r="U28" s="5"/>
      <c r="V28" s="3"/>
      <c r="W28" s="3"/>
      <c r="X28" s="3"/>
      <c r="Y28" s="166"/>
      <c r="Z28" s="5"/>
      <c r="AA28" s="5"/>
      <c r="AF28" s="5"/>
      <c r="AG28" s="5"/>
      <c r="AH28" s="3"/>
      <c r="AI28" s="3"/>
      <c r="AJ28" s="3"/>
      <c r="AK28" s="166"/>
      <c r="AL28" s="5"/>
      <c r="AM28" s="3"/>
      <c r="AR28" s="3"/>
      <c r="AS28" s="3"/>
      <c r="AX28" s="3"/>
      <c r="AY28" s="3"/>
      <c r="BD28" s="3"/>
      <c r="BE28" s="3"/>
      <c r="BJ28" s="3"/>
      <c r="BK28" s="3"/>
      <c r="BP28" s="3"/>
      <c r="BQ28" s="3"/>
      <c r="BV28" s="3"/>
      <c r="BW28" s="3"/>
      <c r="BX28" s="3"/>
      <c r="BY28" s="3"/>
      <c r="BZ28" s="3"/>
      <c r="CA28" s="3"/>
      <c r="CF28" s="168"/>
    </row>
    <row r="29" ht="16.5" customHeight="1">
      <c r="A29" s="145">
        <v>45.0</v>
      </c>
      <c r="B29" s="145">
        <v>54.0</v>
      </c>
      <c r="C29" s="145" t="s">
        <v>166</v>
      </c>
      <c r="D29" s="146">
        <v>62.0</v>
      </c>
      <c r="E29" s="3"/>
      <c r="F29" s="3"/>
      <c r="G29" s="3"/>
      <c r="H29" s="3"/>
      <c r="I29" s="3"/>
      <c r="N29" s="5"/>
      <c r="O29" s="5"/>
      <c r="P29" s="5"/>
      <c r="Q29" s="5"/>
      <c r="R29" s="5"/>
      <c r="S29" s="5"/>
      <c r="T29" s="5"/>
      <c r="U29" s="5"/>
      <c r="V29" s="3"/>
      <c r="W29" s="3"/>
      <c r="X29" s="3"/>
      <c r="Y29" s="166"/>
      <c r="Z29" s="5"/>
      <c r="AA29" s="5"/>
      <c r="AF29" s="5"/>
      <c r="AG29" s="5"/>
      <c r="AH29" s="3"/>
      <c r="AI29" s="3"/>
      <c r="AJ29" s="3"/>
      <c r="AK29" s="166"/>
      <c r="AL29" s="5"/>
      <c r="AM29" s="3"/>
      <c r="AR29" s="3"/>
      <c r="AS29" s="3"/>
      <c r="AX29" s="3"/>
      <c r="AY29" s="3"/>
      <c r="BD29" s="3"/>
      <c r="BE29" s="3"/>
      <c r="BJ29" s="3"/>
      <c r="BK29" s="3"/>
      <c r="BP29" s="3"/>
      <c r="BQ29" s="3"/>
      <c r="BV29" s="3"/>
      <c r="BW29" s="3"/>
      <c r="BX29" s="3"/>
      <c r="BY29" s="3"/>
      <c r="BZ29" s="3"/>
      <c r="CA29" s="3"/>
      <c r="CF29" s="168"/>
    </row>
    <row r="30" ht="16.5" customHeight="1">
      <c r="A30" s="145">
        <v>55.0</v>
      </c>
      <c r="B30" s="145">
        <v>59.0</v>
      </c>
      <c r="C30" s="145" t="s">
        <v>166</v>
      </c>
      <c r="D30" s="146">
        <v>95.0</v>
      </c>
      <c r="E30" s="3"/>
      <c r="F30" s="3"/>
      <c r="G30" s="3"/>
      <c r="H30" s="3"/>
      <c r="I30" s="3"/>
      <c r="N30" s="5"/>
      <c r="O30" s="5"/>
      <c r="P30" s="5"/>
      <c r="Q30" s="5"/>
      <c r="R30" s="5"/>
      <c r="S30" s="5"/>
      <c r="T30" s="5"/>
      <c r="U30" s="5"/>
      <c r="V30" s="3"/>
      <c r="W30" s="3"/>
      <c r="X30" s="3"/>
      <c r="Y30" s="166"/>
      <c r="Z30" s="5"/>
      <c r="AA30" s="5"/>
      <c r="AF30" s="5"/>
      <c r="AG30" s="5"/>
      <c r="AH30" s="3"/>
      <c r="AI30" s="3"/>
      <c r="AJ30" s="3"/>
      <c r="AK30" s="166"/>
      <c r="AL30" s="5"/>
      <c r="AM30" s="3"/>
      <c r="AR30" s="3"/>
      <c r="AS30" s="3"/>
      <c r="AX30" s="3"/>
      <c r="AY30" s="3"/>
      <c r="BD30" s="3"/>
      <c r="BE30" s="3"/>
      <c r="BJ30" s="3"/>
      <c r="BK30" s="3"/>
      <c r="BP30" s="3"/>
      <c r="BQ30" s="3"/>
      <c r="BV30" s="3"/>
      <c r="BW30" s="3"/>
      <c r="BX30" s="3"/>
      <c r="BY30" s="3"/>
      <c r="BZ30" s="3"/>
      <c r="CA30" s="3"/>
      <c r="CF30" s="168"/>
    </row>
    <row r="31" ht="16.5" customHeight="1">
      <c r="A31" s="145">
        <v>60.0</v>
      </c>
      <c r="B31" s="145">
        <v>64.0</v>
      </c>
      <c r="C31" s="145" t="s">
        <v>166</v>
      </c>
      <c r="D31" s="146">
        <v>121.0</v>
      </c>
      <c r="E31" s="3"/>
      <c r="F31" s="3"/>
      <c r="G31" s="3"/>
      <c r="H31" s="3"/>
      <c r="I31" s="3"/>
      <c r="N31" s="5"/>
      <c r="O31" s="5"/>
      <c r="P31" s="5"/>
      <c r="Q31" s="5"/>
      <c r="R31" s="5"/>
      <c r="S31" s="5"/>
      <c r="T31" s="5"/>
      <c r="U31" s="5"/>
      <c r="V31" s="3"/>
      <c r="W31" s="3"/>
      <c r="X31" s="3"/>
      <c r="Y31" s="166"/>
      <c r="Z31" s="5"/>
      <c r="AA31" s="5"/>
      <c r="AF31" s="5"/>
      <c r="AG31" s="5"/>
      <c r="AH31" s="3"/>
      <c r="AI31" s="3"/>
      <c r="AJ31" s="3"/>
      <c r="AK31" s="166"/>
      <c r="AL31" s="5"/>
      <c r="AM31" s="3"/>
      <c r="AR31" s="3"/>
      <c r="AS31" s="3"/>
      <c r="AX31" s="3"/>
      <c r="AY31" s="3"/>
      <c r="BD31" s="3"/>
      <c r="BE31" s="3"/>
      <c r="BJ31" s="3"/>
      <c r="BK31" s="3"/>
      <c r="BP31" s="3"/>
      <c r="BQ31" s="3"/>
      <c r="BV31" s="3"/>
      <c r="BW31" s="3"/>
      <c r="BX31" s="3"/>
      <c r="BY31" s="3"/>
      <c r="BZ31" s="3"/>
      <c r="CA31" s="3"/>
      <c r="CF31" s="168"/>
    </row>
    <row r="32" ht="16.5" customHeight="1">
      <c r="A32" s="145">
        <v>65.0</v>
      </c>
      <c r="B32" s="145">
        <v>69.0</v>
      </c>
      <c r="C32" s="145" t="s">
        <v>166</v>
      </c>
      <c r="D32" s="146">
        <v>163.0</v>
      </c>
      <c r="E32" s="3"/>
      <c r="F32" s="3"/>
      <c r="G32" s="3"/>
      <c r="H32" s="3"/>
      <c r="I32" s="3"/>
      <c r="N32" s="5"/>
      <c r="O32" s="5"/>
      <c r="P32" s="5"/>
      <c r="Q32" s="5"/>
      <c r="R32" s="5"/>
      <c r="S32" s="5"/>
      <c r="T32" s="5"/>
      <c r="U32" s="5"/>
      <c r="V32" s="3"/>
      <c r="W32" s="3"/>
      <c r="X32" s="3"/>
      <c r="Y32" s="166"/>
      <c r="Z32" s="5"/>
      <c r="AA32" s="5"/>
      <c r="AF32" s="5"/>
      <c r="AG32" s="5"/>
      <c r="AH32" s="3"/>
      <c r="AI32" s="3"/>
      <c r="AJ32" s="3"/>
      <c r="AK32" s="166"/>
      <c r="AL32" s="5"/>
      <c r="AM32" s="3"/>
      <c r="AR32" s="3"/>
      <c r="AS32" s="3"/>
      <c r="AX32" s="3"/>
      <c r="AY32" s="3"/>
      <c r="BD32" s="3"/>
      <c r="BE32" s="3"/>
      <c r="BJ32" s="3"/>
      <c r="BK32" s="3"/>
      <c r="BP32" s="3"/>
      <c r="BQ32" s="3"/>
      <c r="BV32" s="3"/>
      <c r="BW32" s="3"/>
      <c r="BX32" s="3"/>
      <c r="BY32" s="3"/>
      <c r="BZ32" s="3"/>
      <c r="CA32" s="3"/>
      <c r="CF32" s="168"/>
    </row>
    <row r="33" ht="16.5" customHeight="1">
      <c r="A33" s="145">
        <v>70.0</v>
      </c>
      <c r="B33" s="145">
        <v>120.0</v>
      </c>
      <c r="C33" s="145" t="s">
        <v>166</v>
      </c>
      <c r="D33" s="146">
        <v>176.0</v>
      </c>
      <c r="E33" s="3"/>
      <c r="F33" s="3"/>
      <c r="G33" s="3"/>
      <c r="H33" s="3"/>
      <c r="I33" s="3"/>
      <c r="N33" s="5"/>
      <c r="O33" s="5"/>
      <c r="P33" s="5"/>
      <c r="Q33" s="5"/>
      <c r="R33" s="5"/>
      <c r="S33" s="5"/>
      <c r="T33" s="5"/>
      <c r="U33" s="5"/>
      <c r="V33" s="3"/>
      <c r="W33" s="3"/>
      <c r="X33" s="3"/>
      <c r="Y33" s="166"/>
      <c r="Z33" s="5"/>
      <c r="AA33" s="5"/>
      <c r="AF33" s="5"/>
      <c r="AG33" s="5"/>
      <c r="AH33" s="3"/>
      <c r="AI33" s="3"/>
      <c r="AJ33" s="3"/>
      <c r="AK33" s="166"/>
      <c r="AL33" s="5"/>
      <c r="AM33" s="3"/>
      <c r="AR33" s="3"/>
      <c r="AS33" s="3"/>
      <c r="AX33" s="3"/>
      <c r="AY33" s="3"/>
      <c r="BD33" s="3"/>
      <c r="BE33" s="3"/>
      <c r="BJ33" s="3"/>
      <c r="BK33" s="3"/>
      <c r="BP33" s="3"/>
      <c r="BQ33" s="3"/>
      <c r="BV33" s="3"/>
      <c r="BW33" s="3"/>
      <c r="BX33" s="3"/>
      <c r="BY33" s="3"/>
      <c r="BZ33" s="3"/>
      <c r="CA33" s="3"/>
      <c r="CF33" s="3"/>
    </row>
    <row r="34" ht="16.5" customHeight="1">
      <c r="A34" s="145">
        <v>0.0</v>
      </c>
      <c r="B34" s="145">
        <v>24.0</v>
      </c>
      <c r="C34" s="145" t="s">
        <v>167</v>
      </c>
      <c r="D34" s="146">
        <v>39.5</v>
      </c>
      <c r="E34" s="3"/>
      <c r="F34" s="3"/>
      <c r="G34" s="3"/>
      <c r="H34" s="3"/>
      <c r="I34" s="3"/>
      <c r="N34" s="5"/>
      <c r="O34" s="5"/>
      <c r="P34" s="5"/>
      <c r="Q34" s="5"/>
      <c r="R34" s="5"/>
      <c r="S34" s="5"/>
      <c r="T34" s="5"/>
      <c r="U34" s="5"/>
      <c r="V34" s="3"/>
      <c r="W34" s="3"/>
      <c r="X34" s="3"/>
      <c r="Y34" s="166"/>
      <c r="Z34" s="5"/>
      <c r="AA34" s="5"/>
      <c r="AF34" s="5"/>
      <c r="AG34" s="5"/>
      <c r="AH34" s="3"/>
      <c r="AI34" s="3"/>
      <c r="AJ34" s="3"/>
      <c r="AK34" s="166"/>
      <c r="AL34" s="5"/>
      <c r="AM34" s="3"/>
      <c r="AR34" s="3"/>
      <c r="AS34" s="3"/>
      <c r="AX34" s="3"/>
      <c r="AY34" s="3"/>
      <c r="BD34" s="3"/>
      <c r="BE34" s="3"/>
      <c r="BJ34" s="3"/>
      <c r="BK34" s="3"/>
      <c r="BP34" s="3"/>
      <c r="BQ34" s="3"/>
      <c r="BV34" s="3"/>
      <c r="BW34" s="3"/>
      <c r="BX34" s="3"/>
      <c r="BY34" s="3"/>
      <c r="BZ34" s="3"/>
      <c r="CA34" s="3"/>
      <c r="CF34" s="3"/>
    </row>
    <row r="35" ht="16.5" customHeight="1">
      <c r="A35" s="145">
        <v>25.0</v>
      </c>
      <c r="B35" s="145">
        <v>44.0</v>
      </c>
      <c r="C35" s="145" t="s">
        <v>167</v>
      </c>
      <c r="D35" s="146">
        <v>51.0</v>
      </c>
      <c r="E35" s="3"/>
      <c r="F35" s="3"/>
      <c r="G35" s="3"/>
      <c r="H35" s="3"/>
      <c r="I35" s="3"/>
      <c r="N35" s="5"/>
      <c r="O35" s="5"/>
      <c r="P35" s="5"/>
      <c r="Q35" s="5"/>
      <c r="R35" s="5"/>
      <c r="S35" s="5"/>
      <c r="T35" s="5"/>
      <c r="U35" s="5"/>
      <c r="V35" s="3"/>
      <c r="W35" s="3"/>
      <c r="X35" s="3"/>
      <c r="Y35" s="166"/>
      <c r="Z35" s="5"/>
      <c r="AA35" s="5"/>
      <c r="AF35" s="5"/>
      <c r="AG35" s="5"/>
      <c r="AH35" s="3"/>
      <c r="AI35" s="3"/>
      <c r="AJ35" s="3"/>
      <c r="AK35" s="166"/>
      <c r="AL35" s="5"/>
      <c r="AM35" s="3"/>
      <c r="AR35" s="3"/>
      <c r="AS35" s="3"/>
      <c r="AX35" s="3"/>
      <c r="AY35" s="3"/>
      <c r="BD35" s="3"/>
      <c r="BE35" s="3"/>
      <c r="BJ35" s="3"/>
      <c r="BK35" s="3"/>
      <c r="BP35" s="3"/>
      <c r="BQ35" s="3"/>
      <c r="BV35" s="3"/>
      <c r="BW35" s="3"/>
      <c r="BX35" s="3"/>
      <c r="BY35" s="3"/>
      <c r="BZ35" s="3"/>
      <c r="CA35" s="3"/>
      <c r="CF35" s="3"/>
    </row>
    <row r="36" ht="16.5" customHeight="1">
      <c r="A36" s="145">
        <v>45.0</v>
      </c>
      <c r="B36" s="145">
        <v>54.0</v>
      </c>
      <c r="C36" s="145" t="s">
        <v>167</v>
      </c>
      <c r="D36" s="146">
        <v>63.0</v>
      </c>
      <c r="E36" s="3"/>
      <c r="F36" s="3"/>
      <c r="G36" s="3"/>
      <c r="H36" s="3"/>
      <c r="I36" s="3"/>
      <c r="N36" s="5"/>
      <c r="O36" s="5"/>
      <c r="P36" s="5"/>
      <c r="Q36" s="5"/>
      <c r="R36" s="5"/>
      <c r="S36" s="5"/>
      <c r="T36" s="5"/>
      <c r="U36" s="5"/>
      <c r="V36" s="3"/>
      <c r="W36" s="3"/>
      <c r="X36" s="3"/>
      <c r="Y36" s="166"/>
      <c r="Z36" s="5"/>
      <c r="AA36" s="5"/>
      <c r="AF36" s="5"/>
      <c r="AG36" s="5"/>
      <c r="AH36" s="3"/>
      <c r="AI36" s="3"/>
      <c r="AJ36" s="3"/>
      <c r="AK36" s="166"/>
      <c r="AL36" s="5"/>
      <c r="AM36" s="3"/>
      <c r="AR36" s="3"/>
      <c r="AS36" s="3"/>
      <c r="AX36" s="3"/>
      <c r="AY36" s="3"/>
      <c r="BD36" s="3"/>
      <c r="BE36" s="3"/>
      <c r="BJ36" s="3"/>
      <c r="BK36" s="3"/>
      <c r="BP36" s="3"/>
      <c r="BQ36" s="3"/>
      <c r="BV36" s="3"/>
      <c r="BW36" s="3"/>
      <c r="BX36" s="3"/>
      <c r="BY36" s="3"/>
      <c r="BZ36" s="3"/>
      <c r="CA36" s="3"/>
      <c r="CF36" s="3"/>
    </row>
    <row r="37" ht="16.5" customHeight="1">
      <c r="A37" s="145">
        <v>55.0</v>
      </c>
      <c r="B37" s="145">
        <v>59.0</v>
      </c>
      <c r="C37" s="145" t="s">
        <v>167</v>
      </c>
      <c r="D37" s="146">
        <v>96.5</v>
      </c>
      <c r="E37" s="3"/>
      <c r="F37" s="3"/>
      <c r="G37" s="3"/>
      <c r="H37" s="3"/>
      <c r="I37" s="3"/>
      <c r="N37" s="5"/>
      <c r="O37" s="5"/>
      <c r="P37" s="5"/>
      <c r="Q37" s="5"/>
      <c r="R37" s="5"/>
      <c r="S37" s="5"/>
      <c r="T37" s="5"/>
      <c r="U37" s="5"/>
      <c r="V37" s="3"/>
      <c r="W37" s="3"/>
      <c r="X37" s="3"/>
      <c r="Y37" s="166"/>
      <c r="Z37" s="5"/>
      <c r="AA37" s="5"/>
      <c r="AF37" s="5"/>
      <c r="AG37" s="5"/>
      <c r="AH37" s="3"/>
      <c r="AI37" s="3"/>
      <c r="AJ37" s="3"/>
      <c r="AK37" s="166"/>
      <c r="AL37" s="5"/>
      <c r="AM37" s="3"/>
      <c r="AR37" s="3"/>
      <c r="AS37" s="3"/>
      <c r="AX37" s="3"/>
      <c r="AY37" s="3"/>
      <c r="BD37" s="3"/>
      <c r="BE37" s="3"/>
      <c r="BJ37" s="3"/>
      <c r="BK37" s="3"/>
      <c r="BP37" s="3"/>
      <c r="BQ37" s="3"/>
      <c r="BV37" s="3"/>
      <c r="BW37" s="3"/>
      <c r="BX37" s="3"/>
      <c r="BY37" s="3"/>
      <c r="BZ37" s="3"/>
      <c r="CA37" s="3"/>
      <c r="CF37" s="3"/>
    </row>
    <row r="38" ht="16.5" customHeight="1">
      <c r="A38" s="145">
        <v>60.0</v>
      </c>
      <c r="B38" s="145">
        <v>64.0</v>
      </c>
      <c r="C38" s="145" t="s">
        <v>167</v>
      </c>
      <c r="D38" s="146">
        <v>124.0</v>
      </c>
      <c r="E38" s="3"/>
      <c r="F38" s="3"/>
      <c r="G38" s="3"/>
      <c r="H38" s="3"/>
      <c r="I38" s="3"/>
      <c r="N38" s="5"/>
      <c r="O38" s="5"/>
      <c r="P38" s="5"/>
      <c r="Q38" s="5"/>
      <c r="R38" s="5"/>
      <c r="S38" s="5"/>
      <c r="T38" s="5"/>
      <c r="U38" s="5"/>
      <c r="V38" s="3"/>
      <c r="W38" s="3"/>
      <c r="X38" s="3"/>
      <c r="Y38" s="166"/>
      <c r="Z38" s="5"/>
      <c r="AA38" s="5"/>
      <c r="AF38" s="5"/>
      <c r="AG38" s="5"/>
      <c r="AH38" s="3"/>
      <c r="AI38" s="3"/>
      <c r="AJ38" s="3"/>
      <c r="AK38" s="166"/>
      <c r="AL38" s="5"/>
      <c r="AM38" s="3"/>
      <c r="AR38" s="3"/>
      <c r="AS38" s="3"/>
      <c r="AX38" s="3"/>
      <c r="AY38" s="3"/>
      <c r="BD38" s="3"/>
      <c r="BE38" s="3"/>
      <c r="BJ38" s="3"/>
      <c r="BK38" s="3"/>
      <c r="BP38" s="3"/>
      <c r="BQ38" s="3"/>
      <c r="BV38" s="3"/>
      <c r="BW38" s="3"/>
      <c r="BX38" s="3"/>
      <c r="BY38" s="3"/>
      <c r="BZ38" s="3"/>
      <c r="CA38" s="3"/>
      <c r="CF38" s="3"/>
    </row>
    <row r="39" ht="16.5" customHeight="1">
      <c r="A39" s="145">
        <v>65.0</v>
      </c>
      <c r="B39" s="145">
        <v>69.0</v>
      </c>
      <c r="C39" s="145" t="s">
        <v>167</v>
      </c>
      <c r="D39" s="146">
        <v>167.0</v>
      </c>
      <c r="E39" s="3"/>
      <c r="F39" s="3"/>
      <c r="G39" s="3"/>
      <c r="H39" s="3"/>
      <c r="I39" s="3"/>
      <c r="N39" s="5"/>
      <c r="O39" s="5"/>
      <c r="P39" s="5"/>
      <c r="Q39" s="5"/>
      <c r="R39" s="5"/>
      <c r="S39" s="5"/>
      <c r="T39" s="5"/>
      <c r="U39" s="5"/>
      <c r="V39" s="3"/>
      <c r="W39" s="3"/>
      <c r="X39" s="3"/>
      <c r="Y39" s="166"/>
      <c r="Z39" s="5"/>
      <c r="AA39" s="5"/>
      <c r="AF39" s="5"/>
      <c r="AG39" s="5"/>
      <c r="AH39" s="3"/>
      <c r="AI39" s="3"/>
      <c r="AJ39" s="3"/>
      <c r="AK39" s="166"/>
      <c r="AL39" s="5"/>
      <c r="AM39" s="3"/>
      <c r="AR39" s="3"/>
      <c r="AS39" s="3"/>
      <c r="AX39" s="3"/>
      <c r="AY39" s="3"/>
      <c r="BD39" s="3"/>
      <c r="BE39" s="3"/>
      <c r="BJ39" s="3"/>
      <c r="BK39" s="3"/>
      <c r="BP39" s="3"/>
      <c r="BQ39" s="3"/>
      <c r="BV39" s="3"/>
      <c r="BW39" s="3"/>
      <c r="BX39" s="3"/>
      <c r="BY39" s="3"/>
      <c r="BZ39" s="3"/>
      <c r="CA39" s="3"/>
      <c r="CF39" s="3"/>
    </row>
    <row r="40" ht="16.5" customHeight="1">
      <c r="A40" s="145">
        <v>70.0</v>
      </c>
      <c r="B40" s="145">
        <v>120.0</v>
      </c>
      <c r="C40" s="145" t="s">
        <v>167</v>
      </c>
      <c r="D40" s="146">
        <v>179.0</v>
      </c>
      <c r="E40" s="3"/>
      <c r="F40" s="3"/>
      <c r="G40" s="3"/>
      <c r="H40" s="3"/>
      <c r="I40" s="3"/>
      <c r="N40" s="5"/>
      <c r="O40" s="5"/>
      <c r="P40" s="5"/>
      <c r="Q40" s="5"/>
      <c r="R40" s="5"/>
      <c r="S40" s="5"/>
      <c r="T40" s="5"/>
      <c r="U40" s="5"/>
      <c r="V40" s="3"/>
      <c r="W40" s="3"/>
      <c r="X40" s="3"/>
      <c r="Y40" s="166"/>
      <c r="Z40" s="5"/>
      <c r="AA40" s="5"/>
      <c r="AF40" s="5"/>
      <c r="AG40" s="5"/>
      <c r="AH40" s="3"/>
      <c r="AI40" s="3"/>
      <c r="AJ40" s="3"/>
      <c r="AK40" s="166"/>
      <c r="AL40" s="5"/>
      <c r="AM40" s="3"/>
      <c r="AR40" s="3"/>
      <c r="AS40" s="3"/>
      <c r="AX40" s="3"/>
      <c r="AY40" s="3"/>
      <c r="BD40" s="3"/>
      <c r="BE40" s="3"/>
      <c r="BJ40" s="3"/>
      <c r="BK40" s="3"/>
      <c r="BP40" s="3"/>
      <c r="BQ40" s="3"/>
      <c r="BV40" s="3"/>
      <c r="BW40" s="3"/>
      <c r="BX40" s="3"/>
      <c r="BY40" s="3"/>
      <c r="BZ40" s="3"/>
      <c r="CA40" s="3"/>
      <c r="CF40" s="3"/>
    </row>
    <row r="41" ht="16.5" customHeight="1">
      <c r="A41" s="145">
        <v>0.0</v>
      </c>
      <c r="B41" s="145">
        <v>24.0</v>
      </c>
      <c r="C41" s="145" t="s">
        <v>168</v>
      </c>
      <c r="D41" s="146">
        <v>40.0</v>
      </c>
      <c r="E41" s="3"/>
      <c r="F41" s="3"/>
      <c r="G41" s="3"/>
      <c r="H41" s="3"/>
      <c r="I41" s="3"/>
      <c r="N41" s="5"/>
      <c r="O41" s="5"/>
      <c r="P41" s="5"/>
      <c r="Q41" s="5"/>
      <c r="R41" s="5"/>
      <c r="S41" s="5"/>
      <c r="T41" s="5"/>
      <c r="U41" s="5"/>
      <c r="V41" s="3"/>
      <c r="W41" s="3"/>
      <c r="X41" s="3"/>
      <c r="Y41" s="166"/>
      <c r="Z41" s="5"/>
      <c r="AA41" s="5"/>
      <c r="AF41" s="5"/>
      <c r="AG41" s="5"/>
      <c r="AH41" s="3"/>
      <c r="AI41" s="3"/>
      <c r="AJ41" s="3"/>
      <c r="AK41" s="5"/>
      <c r="AL41" s="5"/>
      <c r="AM41" s="3"/>
      <c r="AR41" s="3"/>
      <c r="AS41" s="3"/>
      <c r="AX41" s="3"/>
      <c r="AY41" s="3"/>
      <c r="BD41" s="3"/>
      <c r="BE41" s="3"/>
      <c r="BJ41" s="3"/>
      <c r="BK41" s="3"/>
      <c r="BP41" s="3"/>
      <c r="BQ41" s="3"/>
      <c r="BV41" s="3"/>
      <c r="BW41" s="3"/>
      <c r="BX41" s="3"/>
      <c r="BY41" s="3"/>
      <c r="BZ41" s="3"/>
      <c r="CA41" s="3"/>
      <c r="CF41" s="3"/>
    </row>
    <row r="42" ht="16.5" customHeight="1">
      <c r="A42" s="145">
        <v>25.0</v>
      </c>
      <c r="B42" s="145">
        <v>44.0</v>
      </c>
      <c r="C42" s="145" t="s">
        <v>168</v>
      </c>
      <c r="D42" s="146">
        <v>52.0</v>
      </c>
      <c r="E42" s="3"/>
      <c r="F42" s="3"/>
      <c r="G42" s="3"/>
      <c r="H42" s="3"/>
      <c r="I42" s="3"/>
      <c r="N42" s="5"/>
      <c r="O42" s="5"/>
      <c r="P42" s="5"/>
      <c r="Q42" s="5"/>
      <c r="R42" s="5"/>
      <c r="S42" s="5"/>
      <c r="T42" s="5"/>
      <c r="U42" s="5"/>
      <c r="V42" s="3"/>
      <c r="W42" s="3"/>
      <c r="X42" s="3"/>
      <c r="Y42" s="166"/>
      <c r="Z42" s="5"/>
      <c r="AA42" s="5"/>
      <c r="AF42" s="5"/>
      <c r="AG42" s="5"/>
      <c r="AH42" s="3"/>
      <c r="AI42" s="3"/>
      <c r="AJ42" s="3"/>
      <c r="AK42" s="5"/>
      <c r="AL42" s="5"/>
      <c r="AM42" s="3"/>
      <c r="AR42" s="3"/>
      <c r="AS42" s="3"/>
      <c r="AX42" s="3"/>
      <c r="AY42" s="3"/>
      <c r="BD42" s="3"/>
      <c r="BE42" s="3"/>
      <c r="BJ42" s="3"/>
      <c r="BK42" s="3"/>
      <c r="BP42" s="3"/>
      <c r="BQ42" s="3"/>
      <c r="BV42" s="3"/>
      <c r="BW42" s="3"/>
      <c r="BX42" s="3"/>
      <c r="BY42" s="3"/>
      <c r="BZ42" s="3"/>
      <c r="CA42" s="3"/>
      <c r="CF42" s="3"/>
    </row>
    <row r="43" ht="16.5" customHeight="1">
      <c r="A43" s="145">
        <v>45.0</v>
      </c>
      <c r="B43" s="145">
        <v>54.0</v>
      </c>
      <c r="C43" s="145" t="s">
        <v>168</v>
      </c>
      <c r="D43" s="146">
        <v>64.0</v>
      </c>
      <c r="E43" s="3"/>
      <c r="F43" s="3"/>
      <c r="G43" s="3"/>
      <c r="H43" s="3"/>
      <c r="I43" s="3"/>
      <c r="N43" s="5"/>
      <c r="O43" s="5"/>
      <c r="P43" s="5"/>
      <c r="Q43" s="5"/>
      <c r="R43" s="5"/>
      <c r="S43" s="5"/>
      <c r="T43" s="5"/>
      <c r="U43" s="5"/>
      <c r="V43" s="3"/>
      <c r="W43" s="3"/>
      <c r="X43" s="3"/>
      <c r="Y43" s="166"/>
      <c r="Z43" s="5"/>
      <c r="AA43" s="5"/>
      <c r="AF43" s="5"/>
      <c r="AG43" s="5"/>
      <c r="AH43" s="3"/>
      <c r="AI43" s="3"/>
      <c r="AJ43" s="3"/>
      <c r="AK43" s="5"/>
      <c r="AL43" s="5"/>
      <c r="AM43" s="3"/>
      <c r="AR43" s="3"/>
      <c r="AS43" s="3"/>
      <c r="AX43" s="3"/>
      <c r="AY43" s="3"/>
      <c r="BD43" s="3"/>
      <c r="BE43" s="3"/>
      <c r="BJ43" s="3"/>
      <c r="BK43" s="3"/>
      <c r="BP43" s="3"/>
      <c r="BQ43" s="3"/>
      <c r="BV43" s="3"/>
      <c r="BW43" s="3"/>
      <c r="BX43" s="3"/>
      <c r="BY43" s="3"/>
      <c r="BZ43" s="3"/>
      <c r="CA43" s="3"/>
      <c r="CF43" s="3"/>
    </row>
    <row r="44" ht="16.5" customHeight="1">
      <c r="A44" s="145">
        <v>55.0</v>
      </c>
      <c r="B44" s="145">
        <v>59.0</v>
      </c>
      <c r="C44" s="145" t="s">
        <v>168</v>
      </c>
      <c r="D44" s="146">
        <v>99.0</v>
      </c>
      <c r="E44" s="3"/>
      <c r="F44" s="3"/>
      <c r="G44" s="3"/>
      <c r="H44" s="3"/>
      <c r="I44" s="3"/>
      <c r="N44" s="5"/>
      <c r="O44" s="5"/>
      <c r="P44" s="5"/>
      <c r="Q44" s="5"/>
      <c r="R44" s="5"/>
      <c r="S44" s="5"/>
      <c r="T44" s="5"/>
      <c r="U44" s="5"/>
      <c r="V44" s="3"/>
      <c r="W44" s="3"/>
      <c r="X44" s="3"/>
      <c r="Y44" s="166"/>
      <c r="Z44" s="5"/>
      <c r="AA44" s="5"/>
      <c r="AF44" s="5"/>
      <c r="AG44" s="5"/>
      <c r="AH44" s="3"/>
      <c r="AI44" s="3"/>
      <c r="AJ44" s="3"/>
      <c r="AK44" s="5"/>
      <c r="AL44" s="5"/>
      <c r="AM44" s="3"/>
      <c r="AR44" s="3"/>
      <c r="AS44" s="3"/>
      <c r="AT44" s="3"/>
      <c r="AU44" s="3"/>
      <c r="AV44" s="3"/>
      <c r="AW44" s="3"/>
      <c r="AX44" s="3"/>
      <c r="AY44" s="3"/>
      <c r="BD44" s="3"/>
      <c r="BE44" s="3"/>
      <c r="BJ44" s="3"/>
      <c r="BK44" s="3"/>
      <c r="BP44" s="3"/>
      <c r="BQ44" s="3"/>
      <c r="BV44" s="3"/>
      <c r="BW44" s="3"/>
      <c r="BX44" s="3"/>
      <c r="BY44" s="3"/>
      <c r="BZ44" s="3"/>
      <c r="CA44" s="3"/>
      <c r="CF44" s="3"/>
    </row>
    <row r="45" ht="16.5" customHeight="1">
      <c r="A45" s="145">
        <v>60.0</v>
      </c>
      <c r="B45" s="145">
        <v>64.0</v>
      </c>
      <c r="C45" s="145" t="s">
        <v>168</v>
      </c>
      <c r="D45" s="146">
        <v>125.5</v>
      </c>
      <c r="E45" s="3"/>
      <c r="F45" s="3"/>
      <c r="G45" s="3"/>
      <c r="H45" s="3"/>
      <c r="I45" s="3"/>
      <c r="N45" s="5"/>
      <c r="O45" s="5"/>
      <c r="P45" s="5"/>
      <c r="Q45" s="5"/>
      <c r="R45" s="5"/>
      <c r="S45" s="5"/>
      <c r="T45" s="5"/>
      <c r="U45" s="5"/>
      <c r="V45" s="3"/>
      <c r="W45" s="3"/>
      <c r="X45" s="3"/>
      <c r="Y45" s="166"/>
      <c r="Z45" s="5"/>
      <c r="AA45" s="5"/>
      <c r="AF45" s="5"/>
      <c r="AG45" s="5"/>
      <c r="AH45" s="5"/>
      <c r="AI45" s="5"/>
      <c r="AJ45" s="5"/>
      <c r="AK45" s="5"/>
      <c r="AL45" s="5"/>
      <c r="AM45" s="3"/>
      <c r="AR45" s="3"/>
      <c r="AS45" s="3"/>
      <c r="AT45" s="3"/>
      <c r="AU45" s="3"/>
      <c r="AV45" s="3"/>
      <c r="AW45" s="3"/>
      <c r="AX45" s="3"/>
      <c r="AY45" s="3"/>
      <c r="BD45" s="3"/>
      <c r="BE45" s="3"/>
      <c r="BJ45" s="3"/>
      <c r="BK45" s="3"/>
      <c r="BP45" s="3"/>
      <c r="BQ45" s="3"/>
      <c r="BV45" s="3"/>
      <c r="BW45" s="3"/>
      <c r="BX45" s="3"/>
      <c r="BY45" s="3"/>
      <c r="BZ45" s="3"/>
      <c r="CA45" s="3"/>
      <c r="CF45" s="3"/>
    </row>
    <row r="46" ht="16.5" customHeight="1">
      <c r="A46" s="145">
        <v>65.0</v>
      </c>
      <c r="B46" s="145">
        <v>69.0</v>
      </c>
      <c r="C46" s="145" t="s">
        <v>168</v>
      </c>
      <c r="D46" s="146">
        <v>167.5</v>
      </c>
      <c r="E46" s="3"/>
      <c r="F46" s="3"/>
      <c r="G46" s="3"/>
      <c r="H46" s="3"/>
      <c r="I46" s="3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3"/>
      <c r="AR46" s="3"/>
      <c r="AS46" s="3"/>
      <c r="AT46" s="3"/>
      <c r="AU46" s="3"/>
      <c r="AV46" s="3"/>
      <c r="AW46" s="3"/>
      <c r="AX46" s="3"/>
      <c r="AY46" s="3"/>
      <c r="BD46" s="3"/>
      <c r="BE46" s="3"/>
      <c r="BJ46" s="3"/>
      <c r="BK46" s="3"/>
      <c r="BP46" s="3"/>
      <c r="BQ46" s="3"/>
      <c r="BV46" s="3"/>
      <c r="BW46" s="3"/>
      <c r="BX46" s="3"/>
      <c r="BY46" s="3"/>
      <c r="BZ46" s="3"/>
      <c r="CA46" s="3"/>
      <c r="CF46" s="3"/>
    </row>
    <row r="47" ht="16.5" customHeight="1">
      <c r="A47" s="145">
        <v>70.0</v>
      </c>
      <c r="B47" s="145">
        <v>120.0</v>
      </c>
      <c r="C47" s="145" t="s">
        <v>168</v>
      </c>
      <c r="D47" s="146">
        <v>180.0</v>
      </c>
      <c r="E47" s="3"/>
      <c r="F47" s="3"/>
      <c r="G47" s="3"/>
      <c r="H47" s="3"/>
      <c r="I47" s="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3"/>
      <c r="AR47" s="3"/>
      <c r="AS47" s="3"/>
      <c r="AT47" s="3"/>
      <c r="AU47" s="3"/>
      <c r="AV47" s="3"/>
      <c r="AW47" s="3"/>
      <c r="AX47" s="3"/>
      <c r="AY47" s="3"/>
      <c r="BD47" s="3"/>
      <c r="BE47" s="3"/>
      <c r="BJ47" s="3"/>
      <c r="BK47" s="3"/>
      <c r="BP47" s="3"/>
      <c r="BQ47" s="3"/>
      <c r="BV47" s="3"/>
      <c r="BW47" s="3"/>
      <c r="BX47" s="3"/>
      <c r="BY47" s="3"/>
      <c r="BZ47" s="3"/>
      <c r="CA47" s="3"/>
      <c r="CF47" s="3"/>
    </row>
    <row r="48" ht="16.5" customHeight="1">
      <c r="A48" s="145">
        <v>0.0</v>
      </c>
      <c r="B48" s="145">
        <v>24.0</v>
      </c>
      <c r="C48" s="145" t="s">
        <v>169</v>
      </c>
      <c r="D48" s="146">
        <v>41.0</v>
      </c>
      <c r="E48" s="3"/>
      <c r="F48" s="3"/>
      <c r="G48" s="3"/>
      <c r="H48" s="3"/>
      <c r="I48" s="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3"/>
      <c r="AR48" s="3"/>
      <c r="AS48" s="3"/>
      <c r="AT48" s="3"/>
      <c r="AU48" s="3"/>
      <c r="AV48" s="3"/>
      <c r="AW48" s="3"/>
      <c r="AX48" s="3"/>
      <c r="AY48" s="3"/>
      <c r="BD48" s="3"/>
      <c r="BE48" s="3"/>
      <c r="BJ48" s="3"/>
      <c r="BK48" s="3"/>
      <c r="BP48" s="3"/>
      <c r="BQ48" s="3"/>
      <c r="BV48" s="3"/>
      <c r="BW48" s="3"/>
      <c r="BX48" s="3"/>
      <c r="BY48" s="3"/>
      <c r="BZ48" s="3"/>
      <c r="CA48" s="3"/>
      <c r="CF48" s="3"/>
    </row>
    <row r="49" ht="16.5" customHeight="1">
      <c r="A49" s="145">
        <v>25.0</v>
      </c>
      <c r="B49" s="145">
        <v>44.0</v>
      </c>
      <c r="C49" s="145" t="s">
        <v>169</v>
      </c>
      <c r="D49" s="146">
        <v>53.5</v>
      </c>
      <c r="E49" s="3"/>
      <c r="F49" s="3"/>
      <c r="G49" s="3"/>
      <c r="H49" s="3"/>
      <c r="I49" s="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3"/>
      <c r="AR49" s="3"/>
      <c r="AS49" s="3"/>
      <c r="AT49" s="3"/>
      <c r="AU49" s="3"/>
      <c r="AV49" s="3"/>
      <c r="AW49" s="3"/>
      <c r="AX49" s="3"/>
      <c r="AY49" s="3"/>
      <c r="BD49" s="3"/>
      <c r="BE49" s="3"/>
      <c r="BJ49" s="3"/>
      <c r="BK49" s="3"/>
      <c r="BP49" s="3"/>
      <c r="BQ49" s="3"/>
      <c r="BV49" s="3"/>
      <c r="BW49" s="3"/>
      <c r="BX49" s="3"/>
      <c r="BY49" s="3"/>
      <c r="BZ49" s="3"/>
      <c r="CA49" s="3"/>
      <c r="CF49" s="3"/>
    </row>
    <row r="50" ht="16.5" customHeight="1">
      <c r="A50" s="145">
        <v>45.0</v>
      </c>
      <c r="B50" s="145">
        <v>54.0</v>
      </c>
      <c r="C50" s="145" t="s">
        <v>169</v>
      </c>
      <c r="D50" s="146">
        <v>66.0</v>
      </c>
      <c r="E50" s="3"/>
      <c r="F50" s="3"/>
      <c r="G50" s="3"/>
      <c r="H50" s="3"/>
      <c r="I50" s="3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3"/>
      <c r="AR50" s="3"/>
      <c r="AS50" s="3"/>
      <c r="AT50" s="3"/>
      <c r="AU50" s="3"/>
      <c r="AV50" s="3"/>
      <c r="AW50" s="3"/>
      <c r="AX50" s="3"/>
      <c r="AY50" s="3"/>
      <c r="BD50" s="3"/>
      <c r="BE50" s="3"/>
      <c r="BJ50" s="3"/>
      <c r="BK50" s="3"/>
      <c r="BP50" s="3"/>
      <c r="BQ50" s="3"/>
      <c r="BV50" s="3"/>
      <c r="BW50" s="3"/>
      <c r="BX50" s="3"/>
      <c r="BY50" s="3"/>
      <c r="BZ50" s="3"/>
      <c r="CA50" s="3"/>
      <c r="CF50" s="3"/>
    </row>
    <row r="51" ht="16.5" customHeight="1">
      <c r="A51" s="145">
        <v>55.0</v>
      </c>
      <c r="B51" s="145">
        <v>59.0</v>
      </c>
      <c r="C51" s="145" t="s">
        <v>169</v>
      </c>
      <c r="D51" s="146">
        <v>101.0</v>
      </c>
      <c r="E51" s="3"/>
      <c r="F51" s="3"/>
      <c r="G51" s="3"/>
      <c r="H51" s="3"/>
      <c r="I51" s="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3"/>
      <c r="AR51" s="3"/>
      <c r="AS51" s="3"/>
      <c r="AT51" s="3"/>
      <c r="AU51" s="3"/>
      <c r="AV51" s="3"/>
      <c r="AW51" s="3"/>
      <c r="AX51" s="3"/>
      <c r="AY51" s="3"/>
      <c r="BD51" s="3"/>
      <c r="BE51" s="3"/>
      <c r="BJ51" s="3"/>
      <c r="BK51" s="3"/>
      <c r="BP51" s="3"/>
      <c r="BQ51" s="3"/>
      <c r="BV51" s="3"/>
      <c r="BW51" s="3"/>
      <c r="BX51" s="3"/>
      <c r="BY51" s="3"/>
      <c r="BZ51" s="3"/>
      <c r="CA51" s="3"/>
      <c r="CF51" s="3"/>
    </row>
    <row r="52" ht="16.5" customHeight="1">
      <c r="A52" s="145">
        <v>60.0</v>
      </c>
      <c r="B52" s="145">
        <v>64.0</v>
      </c>
      <c r="C52" s="145" t="s">
        <v>169</v>
      </c>
      <c r="D52" s="146">
        <v>126.0</v>
      </c>
      <c r="E52" s="3"/>
      <c r="F52" s="3"/>
      <c r="G52" s="3"/>
      <c r="H52" s="3"/>
      <c r="I52" s="3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3"/>
      <c r="AR52" s="3"/>
      <c r="AS52" s="3"/>
      <c r="AT52" s="3"/>
      <c r="AU52" s="3"/>
      <c r="AV52" s="3"/>
      <c r="AW52" s="3"/>
      <c r="AX52" s="3"/>
      <c r="AY52" s="3"/>
      <c r="BD52" s="3"/>
      <c r="BE52" s="3"/>
      <c r="BJ52" s="3"/>
      <c r="BK52" s="3"/>
      <c r="BP52" s="3"/>
      <c r="BQ52" s="3"/>
      <c r="BV52" s="3"/>
      <c r="BW52" s="3"/>
      <c r="BX52" s="3"/>
      <c r="BY52" s="3"/>
      <c r="BZ52" s="3"/>
      <c r="CA52" s="3"/>
      <c r="CF52" s="3"/>
    </row>
    <row r="53" ht="16.5" customHeight="1">
      <c r="A53" s="145">
        <v>65.0</v>
      </c>
      <c r="B53" s="145">
        <v>69.0</v>
      </c>
      <c r="C53" s="145" t="s">
        <v>169</v>
      </c>
      <c r="D53" s="146">
        <v>168.0</v>
      </c>
      <c r="E53" s="3"/>
      <c r="F53" s="3"/>
      <c r="G53" s="3"/>
      <c r="H53" s="3"/>
      <c r="I53" s="3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3"/>
      <c r="AR53" s="3"/>
      <c r="AS53" s="3"/>
      <c r="AT53" s="3"/>
      <c r="AU53" s="3"/>
      <c r="AV53" s="3"/>
      <c r="AW53" s="3"/>
      <c r="AX53" s="3"/>
      <c r="AY53" s="3"/>
      <c r="BD53" s="3"/>
      <c r="BE53" s="3"/>
      <c r="BJ53" s="3"/>
      <c r="BK53" s="3"/>
      <c r="BP53" s="3"/>
      <c r="BQ53" s="3"/>
      <c r="BV53" s="3"/>
      <c r="BW53" s="3"/>
      <c r="BX53" s="3"/>
      <c r="BY53" s="3"/>
      <c r="BZ53" s="3"/>
      <c r="CA53" s="3"/>
      <c r="CF53" s="3"/>
    </row>
    <row r="54" ht="16.5" customHeight="1">
      <c r="A54" s="145">
        <v>70.0</v>
      </c>
      <c r="B54" s="145">
        <v>120.0</v>
      </c>
      <c r="C54" s="145" t="s">
        <v>169</v>
      </c>
      <c r="D54" s="146">
        <v>181.0</v>
      </c>
      <c r="E54" s="3"/>
      <c r="F54" s="3"/>
      <c r="G54" s="3"/>
      <c r="H54" s="3"/>
      <c r="I54" s="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3"/>
      <c r="AR54" s="3"/>
      <c r="AS54" s="3"/>
      <c r="AT54" s="3"/>
      <c r="AU54" s="3"/>
      <c r="AV54" s="3"/>
      <c r="AW54" s="3"/>
      <c r="AX54" s="3"/>
      <c r="AY54" s="3"/>
      <c r="BD54" s="3"/>
      <c r="BE54" s="3"/>
      <c r="BJ54" s="3"/>
      <c r="BK54" s="3"/>
      <c r="BP54" s="3"/>
      <c r="BQ54" s="3"/>
      <c r="BV54" s="3"/>
      <c r="BW54" s="3"/>
      <c r="BX54" s="3"/>
      <c r="BY54" s="3"/>
      <c r="BZ54" s="3"/>
      <c r="CA54" s="3"/>
      <c r="CF54" s="3"/>
    </row>
    <row r="55" ht="16.5" customHeight="1">
      <c r="A55" s="145">
        <v>0.0</v>
      </c>
      <c r="B55" s="145">
        <v>24.0</v>
      </c>
      <c r="C55" s="145" t="s">
        <v>170</v>
      </c>
      <c r="D55" s="146">
        <v>42.5</v>
      </c>
      <c r="E55" s="3"/>
      <c r="F55" s="3"/>
      <c r="G55" s="3"/>
      <c r="H55" s="3"/>
      <c r="I55" s="3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3"/>
      <c r="AR55" s="3"/>
      <c r="AS55" s="3"/>
      <c r="AT55" s="3"/>
      <c r="AU55" s="3"/>
      <c r="AV55" s="3"/>
      <c r="AW55" s="3"/>
      <c r="AX55" s="3"/>
      <c r="AY55" s="3"/>
      <c r="BD55" s="3"/>
      <c r="BE55" s="3"/>
      <c r="BJ55" s="3"/>
      <c r="BK55" s="3"/>
      <c r="BP55" s="3"/>
      <c r="BQ55" s="3"/>
      <c r="BV55" s="3"/>
      <c r="BW55" s="3"/>
      <c r="BX55" s="3"/>
      <c r="BY55" s="3"/>
      <c r="BZ55" s="3"/>
      <c r="CA55" s="3"/>
      <c r="CF55" s="3"/>
    </row>
    <row r="56" ht="16.5" customHeight="1">
      <c r="A56" s="145">
        <v>25.0</v>
      </c>
      <c r="B56" s="145">
        <v>44.0</v>
      </c>
      <c r="C56" s="145" t="s">
        <v>170</v>
      </c>
      <c r="D56" s="146">
        <v>54.0</v>
      </c>
      <c r="E56" s="3"/>
      <c r="F56" s="3"/>
      <c r="G56" s="3"/>
      <c r="H56" s="3"/>
      <c r="I56" s="3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3"/>
      <c r="AR56" s="3"/>
      <c r="AS56" s="3"/>
      <c r="AT56" s="3"/>
      <c r="AU56" s="3"/>
      <c r="AV56" s="3"/>
      <c r="AW56" s="3"/>
      <c r="AX56" s="3"/>
      <c r="AY56" s="3"/>
      <c r="BD56" s="3"/>
      <c r="BE56" s="3"/>
      <c r="BJ56" s="3"/>
      <c r="BK56" s="3"/>
      <c r="BP56" s="3"/>
      <c r="BQ56" s="3"/>
      <c r="BV56" s="3"/>
      <c r="BW56" s="3"/>
      <c r="BX56" s="3"/>
      <c r="BY56" s="3"/>
      <c r="BZ56" s="3"/>
      <c r="CA56" s="3"/>
      <c r="CF56" s="3"/>
    </row>
    <row r="57" ht="16.5" customHeight="1">
      <c r="A57" s="145">
        <v>45.0</v>
      </c>
      <c r="B57" s="145">
        <v>54.0</v>
      </c>
      <c r="C57" s="145" t="s">
        <v>170</v>
      </c>
      <c r="D57" s="146">
        <v>66.5</v>
      </c>
      <c r="E57" s="3"/>
      <c r="F57" s="3"/>
      <c r="G57" s="3"/>
      <c r="H57" s="3"/>
      <c r="I57" s="3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3"/>
      <c r="AR57" s="3"/>
      <c r="AS57" s="3"/>
      <c r="AT57" s="3"/>
      <c r="AU57" s="3"/>
      <c r="AV57" s="3"/>
      <c r="AW57" s="3"/>
      <c r="AX57" s="3"/>
      <c r="AY57" s="3"/>
      <c r="BD57" s="3"/>
      <c r="BE57" s="3"/>
      <c r="BJ57" s="3"/>
      <c r="BK57" s="3"/>
      <c r="BP57" s="3"/>
      <c r="BQ57" s="3"/>
      <c r="BV57" s="3"/>
      <c r="BW57" s="3"/>
      <c r="BX57" s="3"/>
      <c r="BY57" s="3"/>
      <c r="BZ57" s="3"/>
      <c r="CA57" s="3"/>
      <c r="CF57" s="3"/>
    </row>
    <row r="58" ht="16.5" customHeight="1">
      <c r="A58" s="145">
        <v>55.0</v>
      </c>
      <c r="B58" s="145">
        <v>59.0</v>
      </c>
      <c r="C58" s="145" t="s">
        <v>170</v>
      </c>
      <c r="D58" s="146">
        <v>103.0</v>
      </c>
      <c r="E58" s="3"/>
      <c r="F58" s="3"/>
      <c r="G58" s="3"/>
      <c r="H58" s="3"/>
      <c r="I58" s="3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3"/>
      <c r="AR58" s="3"/>
      <c r="AS58" s="3"/>
      <c r="AT58" s="3"/>
      <c r="AU58" s="3"/>
      <c r="AV58" s="3"/>
      <c r="AW58" s="3"/>
      <c r="AX58" s="3"/>
      <c r="AY58" s="3"/>
      <c r="BD58" s="3"/>
      <c r="BE58" s="3"/>
      <c r="BJ58" s="3"/>
      <c r="BK58" s="3"/>
      <c r="BP58" s="3"/>
      <c r="BQ58" s="3"/>
      <c r="BV58" s="3"/>
      <c r="BW58" s="3"/>
      <c r="BX58" s="3"/>
      <c r="BY58" s="3"/>
      <c r="BZ58" s="3"/>
      <c r="CA58" s="3"/>
      <c r="CF58" s="3"/>
    </row>
    <row r="59" ht="16.5" customHeight="1">
      <c r="A59" s="145">
        <v>60.0</v>
      </c>
      <c r="B59" s="145">
        <v>64.0</v>
      </c>
      <c r="C59" s="145" t="s">
        <v>170</v>
      </c>
      <c r="D59" s="146">
        <v>127.0</v>
      </c>
      <c r="E59" s="3"/>
      <c r="F59" s="3"/>
      <c r="G59" s="3"/>
      <c r="H59" s="3"/>
      <c r="I59" s="3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3"/>
      <c r="AR59" s="3"/>
      <c r="AS59" s="3"/>
      <c r="AT59" s="3"/>
      <c r="AU59" s="3"/>
      <c r="AV59" s="3"/>
      <c r="AW59" s="3"/>
      <c r="AX59" s="3"/>
      <c r="AY59" s="3"/>
      <c r="BD59" s="3"/>
      <c r="BE59" s="3"/>
      <c r="BJ59" s="3"/>
      <c r="BK59" s="3"/>
      <c r="BP59" s="3"/>
      <c r="BQ59" s="3"/>
      <c r="BV59" s="3"/>
      <c r="BW59" s="3"/>
      <c r="BX59" s="3"/>
      <c r="BY59" s="3"/>
      <c r="BZ59" s="3"/>
      <c r="CA59" s="3"/>
      <c r="CF59" s="3"/>
    </row>
    <row r="60" ht="16.5" customHeight="1">
      <c r="A60" s="145">
        <v>65.0</v>
      </c>
      <c r="B60" s="145">
        <v>69.0</v>
      </c>
      <c r="C60" s="145" t="s">
        <v>170</v>
      </c>
      <c r="D60" s="146">
        <v>169.0</v>
      </c>
      <c r="E60" s="3"/>
      <c r="F60" s="3"/>
      <c r="G60" s="3"/>
      <c r="H60" s="3"/>
      <c r="I60" s="3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3"/>
      <c r="AR60" s="3"/>
      <c r="AS60" s="3"/>
      <c r="AT60" s="3"/>
      <c r="AU60" s="3"/>
      <c r="AV60" s="3"/>
      <c r="AW60" s="3"/>
      <c r="AX60" s="3"/>
      <c r="AY60" s="3"/>
      <c r="BD60" s="3"/>
      <c r="BE60" s="3"/>
      <c r="BJ60" s="3"/>
      <c r="BK60" s="3"/>
      <c r="BP60" s="3"/>
      <c r="BQ60" s="3"/>
      <c r="BV60" s="3"/>
      <c r="BW60" s="3"/>
      <c r="BX60" s="3"/>
      <c r="BY60" s="3"/>
      <c r="BZ60" s="3"/>
      <c r="CA60" s="3"/>
      <c r="CF60" s="3"/>
    </row>
    <row r="61" ht="16.5" customHeight="1">
      <c r="A61" s="145">
        <v>70.0</v>
      </c>
      <c r="B61" s="145">
        <v>120.0</v>
      </c>
      <c r="C61" s="145" t="s">
        <v>170</v>
      </c>
      <c r="D61" s="146">
        <v>182.0</v>
      </c>
      <c r="E61" s="3"/>
      <c r="F61" s="3"/>
      <c r="G61" s="3"/>
      <c r="H61" s="3"/>
      <c r="I61" s="3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3"/>
      <c r="AR61" s="3"/>
      <c r="AS61" s="3"/>
      <c r="AT61" s="3"/>
      <c r="AU61" s="3"/>
      <c r="AV61" s="3"/>
      <c r="AW61" s="3"/>
      <c r="AX61" s="3"/>
      <c r="AY61" s="3"/>
      <c r="BD61" s="3"/>
      <c r="BE61" s="3"/>
      <c r="BJ61" s="3"/>
      <c r="BK61" s="3"/>
      <c r="BP61" s="3"/>
      <c r="BQ61" s="3"/>
      <c r="BV61" s="3"/>
      <c r="BW61" s="3"/>
      <c r="BX61" s="3"/>
      <c r="BY61" s="3"/>
      <c r="BZ61" s="3"/>
      <c r="CA61" s="3"/>
      <c r="CF61" s="3"/>
    </row>
    <row r="62" ht="16.5" customHeight="1">
      <c r="A62" s="145">
        <v>0.0</v>
      </c>
      <c r="B62" s="145">
        <v>24.0</v>
      </c>
      <c r="C62" s="145" t="s">
        <v>171</v>
      </c>
      <c r="D62" s="146">
        <v>50.0</v>
      </c>
      <c r="E62" s="3"/>
      <c r="F62" s="3"/>
      <c r="G62" s="3"/>
      <c r="H62" s="3"/>
      <c r="I62" s="3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3"/>
      <c r="AR62" s="3"/>
      <c r="AS62" s="3"/>
      <c r="AT62" s="3"/>
      <c r="AU62" s="3"/>
      <c r="AV62" s="3"/>
      <c r="AW62" s="3"/>
      <c r="AX62" s="3"/>
      <c r="AY62" s="3"/>
      <c r="BD62" s="3"/>
      <c r="BE62" s="3"/>
      <c r="BJ62" s="3"/>
      <c r="BK62" s="3"/>
      <c r="BP62" s="3"/>
      <c r="BQ62" s="3"/>
      <c r="BV62" s="3"/>
      <c r="BW62" s="3"/>
      <c r="BX62" s="3"/>
      <c r="BY62" s="3"/>
      <c r="BZ62" s="3"/>
      <c r="CA62" s="3"/>
      <c r="CF62" s="3"/>
    </row>
    <row r="63" ht="16.5" customHeight="1">
      <c r="A63" s="145">
        <v>25.0</v>
      </c>
      <c r="B63" s="145">
        <v>44.0</v>
      </c>
      <c r="C63" s="145" t="s">
        <v>171</v>
      </c>
      <c r="D63" s="146">
        <v>60.0</v>
      </c>
      <c r="E63" s="3"/>
      <c r="F63" s="3"/>
      <c r="G63" s="3"/>
      <c r="H63" s="3"/>
      <c r="I63" s="3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3"/>
      <c r="AR63" s="3"/>
      <c r="AS63" s="3"/>
      <c r="AT63" s="3"/>
      <c r="AU63" s="3"/>
      <c r="AV63" s="3"/>
      <c r="AW63" s="3"/>
      <c r="AX63" s="3"/>
      <c r="AY63" s="3"/>
      <c r="BD63" s="3"/>
      <c r="BE63" s="3"/>
      <c r="BJ63" s="3"/>
      <c r="BK63" s="3"/>
      <c r="BP63" s="3"/>
      <c r="BQ63" s="3"/>
      <c r="BV63" s="3"/>
      <c r="BW63" s="3"/>
      <c r="BX63" s="3"/>
      <c r="BY63" s="3"/>
      <c r="BZ63" s="3"/>
      <c r="CA63" s="3"/>
      <c r="CF63" s="3"/>
    </row>
    <row r="64" ht="16.5" customHeight="1">
      <c r="A64" s="145">
        <v>45.0</v>
      </c>
      <c r="B64" s="145">
        <v>54.0</v>
      </c>
      <c r="C64" s="145" t="s">
        <v>171</v>
      </c>
      <c r="D64" s="146">
        <v>72.0</v>
      </c>
      <c r="E64" s="3"/>
      <c r="F64" s="3"/>
      <c r="G64" s="3"/>
      <c r="H64" s="3"/>
      <c r="I64" s="3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3"/>
      <c r="AR64" s="3"/>
      <c r="AS64" s="3"/>
      <c r="AT64" s="3"/>
      <c r="AU64" s="3"/>
      <c r="AV64" s="3"/>
      <c r="AW64" s="3"/>
      <c r="AX64" s="3"/>
      <c r="AY64" s="3"/>
      <c r="BD64" s="3"/>
      <c r="BE64" s="3"/>
      <c r="BJ64" s="3"/>
      <c r="BK64" s="3"/>
      <c r="BP64" s="3"/>
      <c r="BQ64" s="3"/>
      <c r="BV64" s="3"/>
      <c r="BW64" s="3"/>
      <c r="BX64" s="3"/>
      <c r="BY64" s="3"/>
      <c r="BZ64" s="3"/>
      <c r="CA64" s="3"/>
      <c r="CF64" s="3"/>
    </row>
    <row r="65" ht="16.5" customHeight="1">
      <c r="A65" s="145">
        <v>55.0</v>
      </c>
      <c r="B65" s="145">
        <v>59.0</v>
      </c>
      <c r="C65" s="145" t="s">
        <v>171</v>
      </c>
      <c r="D65" s="146">
        <v>105.0</v>
      </c>
      <c r="E65" s="3"/>
      <c r="F65" s="3"/>
      <c r="G65" s="3"/>
      <c r="H65" s="3"/>
      <c r="I65" s="3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3"/>
      <c r="AR65" s="3"/>
      <c r="AS65" s="3"/>
      <c r="AT65" s="3"/>
      <c r="AU65" s="3"/>
      <c r="AV65" s="3"/>
      <c r="AW65" s="3"/>
      <c r="AX65" s="3"/>
      <c r="AY65" s="3"/>
      <c r="BD65" s="3"/>
      <c r="BE65" s="3"/>
      <c r="BJ65" s="3"/>
      <c r="BK65" s="3"/>
      <c r="BP65" s="3"/>
      <c r="BQ65" s="3"/>
      <c r="BV65" s="3"/>
      <c r="BW65" s="3"/>
      <c r="BX65" s="3"/>
      <c r="BY65" s="3"/>
      <c r="BZ65" s="3"/>
      <c r="CA65" s="3"/>
      <c r="CF65" s="3"/>
    </row>
    <row r="66" ht="16.5" customHeight="1">
      <c r="A66" s="145">
        <v>60.0</v>
      </c>
      <c r="B66" s="145">
        <v>64.0</v>
      </c>
      <c r="C66" s="145" t="s">
        <v>171</v>
      </c>
      <c r="D66" s="146">
        <v>128.0</v>
      </c>
      <c r="E66" s="3"/>
      <c r="F66" s="3"/>
      <c r="G66" s="3"/>
      <c r="H66" s="3"/>
      <c r="I66" s="3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3"/>
      <c r="AR66" s="3"/>
      <c r="AS66" s="3"/>
      <c r="AT66" s="3"/>
      <c r="AU66" s="3"/>
      <c r="AV66" s="3"/>
      <c r="AW66" s="3"/>
      <c r="AX66" s="3"/>
      <c r="AY66" s="3"/>
      <c r="BD66" s="3"/>
      <c r="BE66" s="3"/>
      <c r="BJ66" s="3"/>
      <c r="BK66" s="3"/>
      <c r="BP66" s="3"/>
      <c r="BQ66" s="3"/>
      <c r="BV66" s="3"/>
      <c r="BW66" s="3"/>
      <c r="BX66" s="3"/>
      <c r="BY66" s="3"/>
      <c r="BZ66" s="3"/>
      <c r="CA66" s="3"/>
      <c r="CF66" s="3"/>
    </row>
    <row r="67" ht="16.5" customHeight="1">
      <c r="A67" s="145">
        <v>65.0</v>
      </c>
      <c r="B67" s="145">
        <v>69.0</v>
      </c>
      <c r="C67" s="145" t="s">
        <v>171</v>
      </c>
      <c r="D67" s="146">
        <v>166.0</v>
      </c>
      <c r="E67" s="3"/>
      <c r="F67" s="3"/>
      <c r="G67" s="3"/>
      <c r="H67" s="3"/>
      <c r="I67" s="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3"/>
      <c r="AR67" s="3"/>
      <c r="AS67" s="3"/>
      <c r="AT67" s="3"/>
      <c r="AU67" s="3"/>
      <c r="AV67" s="3"/>
      <c r="AW67" s="3"/>
      <c r="AX67" s="3"/>
      <c r="AY67" s="3"/>
      <c r="BD67" s="3"/>
      <c r="BE67" s="3"/>
      <c r="BJ67" s="3"/>
      <c r="BK67" s="3"/>
      <c r="BP67" s="3"/>
      <c r="BQ67" s="3"/>
      <c r="BV67" s="3"/>
      <c r="BW67" s="3"/>
      <c r="BX67" s="3"/>
      <c r="BY67" s="3"/>
      <c r="BZ67" s="3"/>
      <c r="CA67" s="3"/>
      <c r="CF67" s="3"/>
    </row>
    <row r="68" ht="16.5" customHeight="1">
      <c r="A68" s="145">
        <v>70.0</v>
      </c>
      <c r="B68" s="145">
        <v>120.0</v>
      </c>
      <c r="C68" s="145" t="s">
        <v>171</v>
      </c>
      <c r="D68" s="146">
        <v>225.0</v>
      </c>
      <c r="E68" s="3"/>
      <c r="F68" s="3"/>
      <c r="G68" s="3"/>
      <c r="H68" s="3"/>
      <c r="I68" s="3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3"/>
      <c r="AR68" s="3"/>
      <c r="AS68" s="3"/>
      <c r="AT68" s="3"/>
      <c r="AU68" s="3"/>
      <c r="AV68" s="3"/>
      <c r="AW68" s="3"/>
      <c r="AX68" s="3"/>
      <c r="AY68" s="3"/>
      <c r="BD68" s="3"/>
      <c r="BE68" s="3"/>
      <c r="BJ68" s="3"/>
      <c r="BK68" s="3"/>
      <c r="BP68" s="3"/>
      <c r="BQ68" s="3"/>
      <c r="BV68" s="3"/>
      <c r="BW68" s="3"/>
      <c r="BX68" s="3"/>
      <c r="BY68" s="3"/>
      <c r="BZ68" s="3"/>
      <c r="CA68" s="3"/>
      <c r="CF68" s="3"/>
    </row>
    <row r="69" ht="16.5" customHeight="1">
      <c r="A69" s="145">
        <v>0.0</v>
      </c>
      <c r="B69" s="145">
        <v>24.0</v>
      </c>
      <c r="C69" s="145" t="s">
        <v>172</v>
      </c>
      <c r="D69" s="146">
        <v>51.0</v>
      </c>
      <c r="E69" s="3"/>
      <c r="F69" s="3"/>
      <c r="G69" s="3"/>
      <c r="H69" s="3"/>
      <c r="I69" s="3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3"/>
      <c r="AR69" s="3"/>
      <c r="AS69" s="3"/>
      <c r="AT69" s="3"/>
      <c r="AU69" s="3"/>
      <c r="AV69" s="3"/>
      <c r="AW69" s="3"/>
      <c r="AX69" s="3"/>
      <c r="AY69" s="3"/>
      <c r="BD69" s="3"/>
      <c r="BE69" s="3"/>
      <c r="BJ69" s="3"/>
      <c r="BK69" s="3"/>
      <c r="BP69" s="3"/>
      <c r="BQ69" s="3"/>
      <c r="BV69" s="3"/>
      <c r="BW69" s="3"/>
      <c r="BX69" s="3"/>
      <c r="BY69" s="3"/>
      <c r="BZ69" s="3"/>
      <c r="CA69" s="3"/>
      <c r="CF69" s="3"/>
    </row>
    <row r="70" ht="16.5" customHeight="1">
      <c r="A70" s="145">
        <v>25.0</v>
      </c>
      <c r="B70" s="145">
        <v>44.0</v>
      </c>
      <c r="C70" s="145" t="s">
        <v>172</v>
      </c>
      <c r="D70" s="146">
        <v>62.0</v>
      </c>
      <c r="E70" s="3"/>
      <c r="F70" s="3"/>
      <c r="G70" s="3"/>
      <c r="H70" s="3"/>
      <c r="I70" s="3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3"/>
      <c r="AR70" s="3"/>
      <c r="AS70" s="3"/>
      <c r="AT70" s="3"/>
      <c r="AU70" s="3"/>
      <c r="AV70" s="3"/>
      <c r="AW70" s="3"/>
      <c r="AX70" s="3"/>
      <c r="AY70" s="3"/>
      <c r="BD70" s="3"/>
      <c r="BE70" s="3"/>
      <c r="BJ70" s="3"/>
      <c r="BK70" s="3"/>
      <c r="BP70" s="3"/>
      <c r="BQ70" s="3"/>
      <c r="BV70" s="3"/>
      <c r="BW70" s="3"/>
      <c r="BX70" s="3"/>
      <c r="BY70" s="3"/>
      <c r="BZ70" s="3"/>
      <c r="CA70" s="3"/>
      <c r="CF70" s="3"/>
    </row>
    <row r="71" ht="16.5" customHeight="1">
      <c r="A71" s="145">
        <v>45.0</v>
      </c>
      <c r="B71" s="145">
        <v>54.0</v>
      </c>
      <c r="C71" s="145" t="s">
        <v>172</v>
      </c>
      <c r="D71" s="146">
        <v>73.0</v>
      </c>
      <c r="E71" s="3"/>
      <c r="F71" s="3"/>
      <c r="G71" s="3"/>
      <c r="H71" s="3"/>
      <c r="I71" s="3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3"/>
      <c r="AR71" s="3"/>
      <c r="AS71" s="3"/>
      <c r="AT71" s="3"/>
      <c r="AU71" s="3"/>
      <c r="AV71" s="3"/>
      <c r="AW71" s="3"/>
      <c r="AX71" s="3"/>
      <c r="AY71" s="3"/>
      <c r="BD71" s="3"/>
      <c r="BE71" s="3"/>
      <c r="BJ71" s="3"/>
      <c r="BK71" s="3"/>
      <c r="BP71" s="3"/>
      <c r="BQ71" s="3"/>
      <c r="BV71" s="3"/>
      <c r="BW71" s="3"/>
      <c r="BX71" s="3"/>
      <c r="BY71" s="3"/>
      <c r="BZ71" s="3"/>
      <c r="CA71" s="3"/>
      <c r="CF71" s="3"/>
    </row>
    <row r="72" ht="16.5" customHeight="1">
      <c r="A72" s="145">
        <v>55.0</v>
      </c>
      <c r="B72" s="145">
        <v>59.0</v>
      </c>
      <c r="C72" s="145" t="s">
        <v>172</v>
      </c>
      <c r="D72" s="146">
        <v>107.0</v>
      </c>
      <c r="E72" s="3"/>
      <c r="F72" s="3"/>
      <c r="G72" s="3"/>
      <c r="H72" s="3"/>
      <c r="I72" s="3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3"/>
      <c r="AR72" s="3"/>
      <c r="AS72" s="3"/>
      <c r="AT72" s="3"/>
      <c r="AU72" s="3"/>
      <c r="AV72" s="3"/>
      <c r="AW72" s="3"/>
      <c r="AX72" s="3"/>
      <c r="AY72" s="3"/>
      <c r="BD72" s="3"/>
      <c r="BE72" s="3"/>
      <c r="BJ72" s="3"/>
      <c r="BK72" s="3"/>
      <c r="BP72" s="3"/>
      <c r="BQ72" s="3"/>
      <c r="BV72" s="3"/>
      <c r="BW72" s="3"/>
      <c r="BX72" s="3"/>
      <c r="BY72" s="3"/>
      <c r="BZ72" s="3"/>
      <c r="CA72" s="3"/>
      <c r="CF72" s="3"/>
    </row>
    <row r="73" ht="16.5" customHeight="1">
      <c r="A73" s="145">
        <v>60.0</v>
      </c>
      <c r="B73" s="145">
        <v>64.0</v>
      </c>
      <c r="C73" s="145" t="s">
        <v>172</v>
      </c>
      <c r="D73" s="146">
        <v>130.0</v>
      </c>
      <c r="E73" s="3"/>
      <c r="F73" s="3"/>
      <c r="G73" s="3"/>
      <c r="H73" s="3"/>
      <c r="I73" s="3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3"/>
      <c r="AR73" s="3"/>
      <c r="AS73" s="3"/>
      <c r="AT73" s="3"/>
      <c r="AU73" s="3"/>
      <c r="AV73" s="3"/>
      <c r="AW73" s="3"/>
      <c r="AX73" s="3"/>
      <c r="AY73" s="3"/>
      <c r="BD73" s="3"/>
      <c r="BE73" s="3"/>
      <c r="BJ73" s="3"/>
      <c r="BK73" s="3"/>
      <c r="BP73" s="3"/>
      <c r="BQ73" s="3"/>
      <c r="BV73" s="3"/>
      <c r="BW73" s="3"/>
      <c r="BX73" s="3"/>
      <c r="BY73" s="3"/>
      <c r="BZ73" s="3"/>
      <c r="CA73" s="3"/>
      <c r="CF73" s="3"/>
    </row>
    <row r="74" ht="16.5" customHeight="1">
      <c r="A74" s="145">
        <v>65.0</v>
      </c>
      <c r="B74" s="145">
        <v>69.0</v>
      </c>
      <c r="C74" s="145" t="s">
        <v>172</v>
      </c>
      <c r="D74" s="146">
        <v>167.0</v>
      </c>
      <c r="E74" s="3"/>
      <c r="F74" s="3"/>
      <c r="G74" s="3"/>
      <c r="H74" s="3"/>
      <c r="I74" s="3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3"/>
      <c r="AR74" s="3"/>
      <c r="AS74" s="3"/>
      <c r="AT74" s="3"/>
      <c r="AU74" s="3"/>
      <c r="AV74" s="3"/>
      <c r="AW74" s="3"/>
      <c r="AX74" s="3"/>
      <c r="AY74" s="3"/>
      <c r="BD74" s="3"/>
      <c r="BE74" s="3"/>
      <c r="BJ74" s="3"/>
      <c r="BK74" s="3"/>
      <c r="BP74" s="3"/>
      <c r="BQ74" s="3"/>
      <c r="BV74" s="3"/>
      <c r="BW74" s="3"/>
      <c r="BX74" s="3"/>
      <c r="BY74" s="3"/>
      <c r="BZ74" s="3"/>
      <c r="CA74" s="3"/>
      <c r="CF74" s="3"/>
    </row>
    <row r="75" ht="16.5" customHeight="1">
      <c r="A75" s="145">
        <v>70.0</v>
      </c>
      <c r="B75" s="145">
        <v>120.0</v>
      </c>
      <c r="C75" s="145" t="s">
        <v>172</v>
      </c>
      <c r="D75" s="146">
        <v>227.0</v>
      </c>
      <c r="E75" s="3"/>
      <c r="F75" s="3"/>
      <c r="G75" s="3"/>
      <c r="H75" s="3"/>
      <c r="I75" s="3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3"/>
      <c r="AR75" s="3"/>
      <c r="AS75" s="3"/>
      <c r="AT75" s="3"/>
      <c r="AU75" s="3"/>
      <c r="AV75" s="3"/>
      <c r="AW75" s="3"/>
      <c r="AX75" s="3"/>
      <c r="AY75" s="3"/>
      <c r="BD75" s="3"/>
      <c r="BE75" s="3"/>
      <c r="BJ75" s="3"/>
      <c r="BK75" s="3"/>
      <c r="BP75" s="3"/>
      <c r="BQ75" s="3"/>
      <c r="BV75" s="3"/>
      <c r="BW75" s="3"/>
      <c r="BX75" s="3"/>
      <c r="BY75" s="3"/>
      <c r="BZ75" s="3"/>
      <c r="CA75" s="3"/>
      <c r="CF75" s="3"/>
    </row>
    <row r="76" ht="16.5" customHeight="1">
      <c r="A76" s="145">
        <v>0.0</v>
      </c>
      <c r="B76" s="145">
        <v>24.0</v>
      </c>
      <c r="C76" s="145" t="s">
        <v>173</v>
      </c>
      <c r="D76" s="146">
        <v>52.0</v>
      </c>
      <c r="E76" s="3"/>
      <c r="F76" s="3"/>
      <c r="G76" s="3"/>
      <c r="H76" s="3"/>
      <c r="I76" s="3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3"/>
      <c r="AR76" s="3"/>
      <c r="AS76" s="3"/>
      <c r="AT76" s="3"/>
      <c r="AU76" s="3"/>
      <c r="AV76" s="3"/>
      <c r="AW76" s="3"/>
      <c r="AX76" s="3"/>
      <c r="AY76" s="3"/>
      <c r="BD76" s="3"/>
      <c r="BE76" s="3"/>
      <c r="BJ76" s="3"/>
      <c r="BK76" s="3"/>
      <c r="BP76" s="3"/>
      <c r="BQ76" s="3"/>
      <c r="BV76" s="3"/>
      <c r="BW76" s="3"/>
      <c r="BX76" s="3"/>
      <c r="BY76" s="3"/>
      <c r="BZ76" s="3"/>
      <c r="CA76" s="3"/>
      <c r="CF76" s="3"/>
    </row>
    <row r="77" ht="16.5" customHeight="1">
      <c r="A77" s="145">
        <v>25.0</v>
      </c>
      <c r="B77" s="145">
        <v>44.0</v>
      </c>
      <c r="C77" s="145" t="s">
        <v>173</v>
      </c>
      <c r="D77" s="146">
        <v>63.0</v>
      </c>
      <c r="E77" s="3"/>
      <c r="F77" s="3"/>
      <c r="G77" s="3"/>
      <c r="H77" s="3"/>
      <c r="I77" s="3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3"/>
      <c r="AR77" s="3"/>
      <c r="AS77" s="3"/>
      <c r="AT77" s="3"/>
      <c r="AU77" s="3"/>
      <c r="AV77" s="3"/>
      <c r="AW77" s="3"/>
      <c r="AX77" s="3"/>
      <c r="AY77" s="3"/>
      <c r="BD77" s="3"/>
      <c r="BE77" s="3"/>
      <c r="BJ77" s="3"/>
      <c r="BK77" s="3"/>
      <c r="BP77" s="3"/>
      <c r="BQ77" s="3"/>
      <c r="BV77" s="3"/>
      <c r="BW77" s="3"/>
      <c r="BX77" s="3"/>
      <c r="BY77" s="3"/>
      <c r="BZ77" s="3"/>
      <c r="CA77" s="3"/>
      <c r="CF77" s="3"/>
    </row>
    <row r="78" ht="16.5" customHeight="1">
      <c r="A78" s="145">
        <v>45.0</v>
      </c>
      <c r="B78" s="145">
        <v>54.0</v>
      </c>
      <c r="C78" s="145" t="s">
        <v>173</v>
      </c>
      <c r="D78" s="146">
        <v>74.0</v>
      </c>
      <c r="E78" s="3"/>
      <c r="F78" s="3"/>
      <c r="G78" s="3"/>
      <c r="H78" s="3"/>
      <c r="I78" s="3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3"/>
      <c r="AR78" s="3"/>
      <c r="AS78" s="3"/>
      <c r="AT78" s="3"/>
      <c r="AU78" s="3"/>
      <c r="AV78" s="3"/>
      <c r="AW78" s="3"/>
      <c r="AX78" s="3"/>
      <c r="AY78" s="3"/>
      <c r="BD78" s="3"/>
      <c r="BE78" s="3"/>
      <c r="BJ78" s="3"/>
      <c r="BK78" s="3"/>
      <c r="BP78" s="3"/>
      <c r="BQ78" s="3"/>
      <c r="BV78" s="3"/>
      <c r="BW78" s="3"/>
      <c r="BX78" s="3"/>
      <c r="BY78" s="3"/>
      <c r="BZ78" s="3"/>
      <c r="CA78" s="3"/>
      <c r="CF78" s="3"/>
    </row>
    <row r="79" ht="16.5" customHeight="1">
      <c r="A79" s="145">
        <v>55.0</v>
      </c>
      <c r="B79" s="145">
        <v>59.0</v>
      </c>
      <c r="C79" s="145" t="s">
        <v>173</v>
      </c>
      <c r="D79" s="146">
        <v>109.0</v>
      </c>
      <c r="E79" s="3"/>
      <c r="F79" s="3"/>
      <c r="G79" s="3"/>
      <c r="H79" s="3"/>
      <c r="I79" s="3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3"/>
      <c r="AR79" s="3"/>
      <c r="AS79" s="3"/>
      <c r="AT79" s="3"/>
      <c r="AU79" s="3"/>
      <c r="AV79" s="3"/>
      <c r="AW79" s="3"/>
      <c r="AX79" s="3"/>
      <c r="AY79" s="3"/>
      <c r="BD79" s="3"/>
      <c r="BE79" s="3"/>
      <c r="BJ79" s="3"/>
      <c r="BK79" s="3"/>
      <c r="BP79" s="3"/>
      <c r="BQ79" s="3"/>
      <c r="BV79" s="3"/>
      <c r="BW79" s="3"/>
      <c r="BX79" s="3"/>
      <c r="BY79" s="3"/>
      <c r="BZ79" s="3"/>
      <c r="CA79" s="3"/>
      <c r="CF79" s="3"/>
    </row>
    <row r="80" ht="16.5" customHeight="1">
      <c r="A80" s="145">
        <v>60.0</v>
      </c>
      <c r="B80" s="145">
        <v>64.0</v>
      </c>
      <c r="C80" s="145" t="s">
        <v>173</v>
      </c>
      <c r="D80" s="146">
        <v>131.0</v>
      </c>
      <c r="E80" s="3"/>
      <c r="F80" s="3"/>
      <c r="G80" s="3"/>
      <c r="H80" s="3"/>
      <c r="I80" s="3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3"/>
      <c r="AR80" s="3"/>
      <c r="AS80" s="3"/>
      <c r="AT80" s="3"/>
      <c r="AU80" s="3"/>
      <c r="AV80" s="3"/>
      <c r="AW80" s="3"/>
      <c r="AX80" s="3"/>
      <c r="AY80" s="3"/>
      <c r="BD80" s="3"/>
      <c r="BE80" s="3"/>
      <c r="BJ80" s="3"/>
      <c r="BK80" s="3"/>
      <c r="BP80" s="3"/>
      <c r="BQ80" s="3"/>
      <c r="BV80" s="3"/>
      <c r="BW80" s="3"/>
      <c r="BX80" s="3"/>
      <c r="BY80" s="3"/>
      <c r="BZ80" s="3"/>
      <c r="CA80" s="3"/>
      <c r="CF80" s="3"/>
    </row>
    <row r="81" ht="16.5" customHeight="1">
      <c r="A81" s="145">
        <v>65.0</v>
      </c>
      <c r="B81" s="145">
        <v>69.0</v>
      </c>
      <c r="C81" s="145" t="s">
        <v>173</v>
      </c>
      <c r="D81" s="146">
        <v>169.0</v>
      </c>
      <c r="E81" s="3"/>
      <c r="F81" s="3"/>
      <c r="G81" s="3"/>
      <c r="H81" s="3"/>
      <c r="I81" s="3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3"/>
      <c r="AR81" s="3"/>
      <c r="AS81" s="3"/>
      <c r="AT81" s="3"/>
      <c r="AU81" s="3"/>
      <c r="AV81" s="3"/>
      <c r="AW81" s="3"/>
      <c r="AX81" s="3"/>
      <c r="AY81" s="3"/>
      <c r="BD81" s="3"/>
      <c r="BE81" s="3"/>
      <c r="BJ81" s="3"/>
      <c r="BK81" s="3"/>
      <c r="BP81" s="3"/>
      <c r="BQ81" s="3"/>
      <c r="BV81" s="3"/>
      <c r="BW81" s="3"/>
      <c r="BX81" s="3"/>
      <c r="BY81" s="3"/>
      <c r="BZ81" s="3"/>
      <c r="CA81" s="3"/>
      <c r="CF81" s="3"/>
    </row>
    <row r="82" ht="16.5" customHeight="1">
      <c r="A82" s="145">
        <v>70.0</v>
      </c>
      <c r="B82" s="145">
        <v>120.0</v>
      </c>
      <c r="C82" s="145" t="s">
        <v>173</v>
      </c>
      <c r="D82" s="146">
        <v>229.0</v>
      </c>
      <c r="E82" s="3"/>
      <c r="F82" s="3"/>
      <c r="G82" s="3"/>
      <c r="H82" s="3"/>
      <c r="I82" s="3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3"/>
      <c r="AR82" s="3"/>
      <c r="AS82" s="3"/>
      <c r="AT82" s="3"/>
      <c r="AU82" s="3"/>
      <c r="AV82" s="3"/>
      <c r="AW82" s="3"/>
      <c r="AX82" s="3"/>
      <c r="AY82" s="3"/>
      <c r="BD82" s="3"/>
      <c r="BE82" s="3"/>
      <c r="BJ82" s="3"/>
      <c r="BK82" s="3"/>
      <c r="BP82" s="3"/>
      <c r="BQ82" s="3"/>
      <c r="BV82" s="3"/>
      <c r="BW82" s="3"/>
      <c r="BX82" s="3"/>
      <c r="BY82" s="3"/>
      <c r="BZ82" s="3"/>
      <c r="CA82" s="3"/>
      <c r="CF82" s="3"/>
    </row>
    <row r="83" ht="16.5" customHeight="1">
      <c r="A83" s="145">
        <v>0.0</v>
      </c>
      <c r="B83" s="145">
        <v>24.0</v>
      </c>
      <c r="C83" s="145" t="s">
        <v>174</v>
      </c>
      <c r="D83" s="146">
        <v>53.0</v>
      </c>
      <c r="E83" s="3"/>
      <c r="F83" s="3"/>
      <c r="G83" s="3"/>
      <c r="H83" s="3"/>
      <c r="I83" s="3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3"/>
      <c r="AR83" s="3"/>
      <c r="AS83" s="3"/>
      <c r="AT83" s="3"/>
      <c r="AU83" s="3"/>
      <c r="AV83" s="3"/>
      <c r="AW83" s="3"/>
      <c r="AX83" s="3"/>
      <c r="AY83" s="3"/>
      <c r="BD83" s="3"/>
      <c r="BE83" s="3"/>
      <c r="BJ83" s="3"/>
      <c r="BK83" s="3"/>
      <c r="BP83" s="3"/>
      <c r="BQ83" s="3"/>
      <c r="BV83" s="3"/>
      <c r="BW83" s="3"/>
      <c r="BX83" s="3"/>
      <c r="BY83" s="3"/>
      <c r="BZ83" s="3"/>
      <c r="CA83" s="3"/>
      <c r="CF83" s="3"/>
    </row>
    <row r="84" ht="16.5" customHeight="1">
      <c r="A84" s="145">
        <v>25.0</v>
      </c>
      <c r="B84" s="145">
        <v>44.0</v>
      </c>
      <c r="C84" s="145" t="s">
        <v>174</v>
      </c>
      <c r="D84" s="146">
        <v>64.0</v>
      </c>
      <c r="E84" s="3"/>
      <c r="F84" s="3"/>
      <c r="G84" s="3"/>
      <c r="H84" s="3"/>
      <c r="I84" s="3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3"/>
      <c r="AR84" s="3"/>
      <c r="AS84" s="3"/>
      <c r="AT84" s="3"/>
      <c r="AU84" s="3"/>
      <c r="AV84" s="3"/>
      <c r="AW84" s="3"/>
      <c r="AX84" s="3"/>
      <c r="AY84" s="3"/>
      <c r="BD84" s="3"/>
      <c r="BE84" s="3"/>
      <c r="BJ84" s="3"/>
      <c r="BK84" s="3"/>
      <c r="BP84" s="3"/>
      <c r="BQ84" s="3"/>
      <c r="BV84" s="3"/>
      <c r="BW84" s="3"/>
      <c r="BX84" s="3"/>
      <c r="BY84" s="3"/>
      <c r="BZ84" s="3"/>
      <c r="CA84" s="3"/>
      <c r="CF84" s="3"/>
    </row>
    <row r="85" ht="16.5" customHeight="1">
      <c r="A85" s="145">
        <v>45.0</v>
      </c>
      <c r="B85" s="145">
        <v>54.0</v>
      </c>
      <c r="C85" s="145" t="s">
        <v>174</v>
      </c>
      <c r="D85" s="146">
        <v>75.0</v>
      </c>
      <c r="E85" s="3"/>
      <c r="F85" s="3"/>
      <c r="G85" s="3"/>
      <c r="H85" s="3"/>
      <c r="I85" s="3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3"/>
      <c r="AR85" s="3"/>
      <c r="AS85" s="3"/>
      <c r="AT85" s="3"/>
      <c r="AU85" s="3"/>
      <c r="AV85" s="3"/>
      <c r="AW85" s="3"/>
      <c r="AX85" s="3"/>
      <c r="AY85" s="3"/>
      <c r="BD85" s="3"/>
      <c r="BE85" s="3"/>
      <c r="BJ85" s="3"/>
      <c r="BK85" s="3"/>
      <c r="BP85" s="3"/>
      <c r="BQ85" s="3"/>
      <c r="BV85" s="3"/>
      <c r="BW85" s="3"/>
      <c r="BX85" s="3"/>
      <c r="BY85" s="3"/>
      <c r="BZ85" s="3"/>
      <c r="CA85" s="3"/>
      <c r="CF85" s="3"/>
    </row>
    <row r="86" ht="16.5" customHeight="1">
      <c r="A86" s="145">
        <v>55.0</v>
      </c>
      <c r="B86" s="145">
        <v>59.0</v>
      </c>
      <c r="C86" s="145" t="s">
        <v>174</v>
      </c>
      <c r="D86" s="146">
        <v>110.0</v>
      </c>
      <c r="E86" s="3"/>
      <c r="F86" s="3"/>
      <c r="G86" s="3"/>
      <c r="H86" s="3"/>
      <c r="I86" s="3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3"/>
      <c r="AR86" s="3"/>
      <c r="AS86" s="3"/>
      <c r="AT86" s="3"/>
      <c r="AU86" s="3"/>
      <c r="AV86" s="3"/>
      <c r="AW86" s="3"/>
      <c r="AX86" s="3"/>
      <c r="AY86" s="3"/>
      <c r="BD86" s="3"/>
      <c r="BE86" s="3"/>
      <c r="BJ86" s="3"/>
      <c r="BK86" s="3"/>
      <c r="BP86" s="3"/>
      <c r="BQ86" s="3"/>
      <c r="BV86" s="3"/>
      <c r="BW86" s="3"/>
      <c r="BX86" s="3"/>
      <c r="BY86" s="3"/>
      <c r="BZ86" s="3"/>
      <c r="CA86" s="3"/>
      <c r="CF86" s="3"/>
    </row>
    <row r="87" ht="16.5" customHeight="1">
      <c r="A87" s="145">
        <v>60.0</v>
      </c>
      <c r="B87" s="145">
        <v>64.0</v>
      </c>
      <c r="C87" s="145" t="s">
        <v>174</v>
      </c>
      <c r="D87" s="146">
        <v>135.0</v>
      </c>
      <c r="E87" s="3"/>
      <c r="F87" s="3"/>
      <c r="G87" s="3"/>
      <c r="H87" s="3"/>
      <c r="I87" s="3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3"/>
      <c r="AR87" s="3"/>
      <c r="AS87" s="3"/>
      <c r="AT87" s="3"/>
      <c r="AU87" s="3"/>
      <c r="AV87" s="3"/>
      <c r="AW87" s="3"/>
      <c r="AX87" s="3"/>
      <c r="AY87" s="3"/>
      <c r="BD87" s="3"/>
      <c r="BE87" s="3"/>
      <c r="BJ87" s="3"/>
      <c r="BK87" s="3"/>
      <c r="BP87" s="3"/>
      <c r="BQ87" s="3"/>
      <c r="BV87" s="3"/>
      <c r="BW87" s="3"/>
      <c r="BX87" s="3"/>
      <c r="BY87" s="3"/>
      <c r="BZ87" s="3"/>
      <c r="CA87" s="3"/>
      <c r="CF87" s="3"/>
    </row>
    <row r="88" ht="16.5" customHeight="1">
      <c r="A88" s="145">
        <v>65.0</v>
      </c>
      <c r="B88" s="145">
        <v>69.0</v>
      </c>
      <c r="C88" s="145" t="s">
        <v>174</v>
      </c>
      <c r="D88" s="146">
        <v>172.0</v>
      </c>
      <c r="E88" s="3"/>
      <c r="F88" s="3"/>
      <c r="G88" s="3"/>
      <c r="H88" s="3"/>
      <c r="I88" s="3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3"/>
      <c r="AR88" s="3"/>
      <c r="AS88" s="3"/>
      <c r="AT88" s="3"/>
      <c r="AU88" s="3"/>
      <c r="AV88" s="3"/>
      <c r="AW88" s="3"/>
      <c r="AX88" s="3"/>
      <c r="AY88" s="3"/>
      <c r="BD88" s="3"/>
      <c r="BE88" s="3"/>
      <c r="BJ88" s="3"/>
      <c r="BK88" s="3"/>
      <c r="BP88" s="3"/>
      <c r="BQ88" s="3"/>
      <c r="BV88" s="3"/>
      <c r="BW88" s="3"/>
      <c r="BX88" s="3"/>
      <c r="BY88" s="3"/>
      <c r="BZ88" s="3"/>
      <c r="CA88" s="3"/>
      <c r="CF88" s="3"/>
    </row>
    <row r="89" ht="16.5" customHeight="1">
      <c r="A89" s="145">
        <v>70.0</v>
      </c>
      <c r="B89" s="145">
        <v>120.0</v>
      </c>
      <c r="C89" s="145" t="s">
        <v>174</v>
      </c>
      <c r="D89" s="146">
        <v>235.0</v>
      </c>
      <c r="E89" s="3"/>
      <c r="F89" s="3"/>
      <c r="G89" s="3"/>
      <c r="H89" s="3"/>
      <c r="I89" s="3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3"/>
      <c r="AR89" s="3"/>
      <c r="AS89" s="3"/>
      <c r="AT89" s="3"/>
      <c r="AU89" s="3"/>
      <c r="AV89" s="3"/>
      <c r="AW89" s="3"/>
      <c r="AX89" s="3"/>
      <c r="AY89" s="3"/>
      <c r="BD89" s="3"/>
      <c r="BE89" s="3"/>
      <c r="BJ89" s="3"/>
      <c r="BK89" s="3"/>
      <c r="BP89" s="3"/>
      <c r="BQ89" s="3"/>
      <c r="BV89" s="3"/>
      <c r="BW89" s="3"/>
      <c r="BX89" s="3"/>
      <c r="BY89" s="3"/>
      <c r="BZ89" s="3"/>
      <c r="CA89" s="3"/>
      <c r="CF89" s="3"/>
    </row>
    <row r="90" ht="16.5" customHeight="1">
      <c r="A90" s="145">
        <v>0.0</v>
      </c>
      <c r="B90" s="145">
        <v>24.0</v>
      </c>
      <c r="C90" s="145" t="s">
        <v>175</v>
      </c>
      <c r="D90" s="146">
        <v>54.0</v>
      </c>
      <c r="E90" s="3"/>
      <c r="F90" s="3"/>
      <c r="G90" s="3"/>
      <c r="H90" s="3"/>
      <c r="I90" s="3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3"/>
      <c r="AR90" s="3"/>
      <c r="AS90" s="3"/>
      <c r="AT90" s="3"/>
      <c r="AU90" s="3"/>
      <c r="AV90" s="3"/>
      <c r="AW90" s="3"/>
      <c r="AX90" s="3"/>
      <c r="AY90" s="3"/>
      <c r="BD90" s="3"/>
      <c r="BE90" s="3"/>
      <c r="BJ90" s="3"/>
      <c r="BK90" s="3"/>
      <c r="BP90" s="3"/>
      <c r="BQ90" s="3"/>
      <c r="BV90" s="3"/>
      <c r="BW90" s="3"/>
      <c r="BX90" s="3"/>
      <c r="BY90" s="3"/>
      <c r="BZ90" s="3"/>
      <c r="CA90" s="3"/>
      <c r="CF90" s="3"/>
    </row>
    <row r="91" ht="16.5" customHeight="1">
      <c r="A91" s="145">
        <v>25.0</v>
      </c>
      <c r="B91" s="145">
        <v>44.0</v>
      </c>
      <c r="C91" s="145" t="s">
        <v>175</v>
      </c>
      <c r="D91" s="146">
        <v>65.0</v>
      </c>
      <c r="E91" s="3"/>
      <c r="F91" s="3"/>
      <c r="G91" s="3"/>
      <c r="H91" s="3"/>
      <c r="I91" s="3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3"/>
      <c r="AR91" s="3"/>
      <c r="AS91" s="3"/>
      <c r="AT91" s="3"/>
      <c r="AU91" s="3"/>
      <c r="AV91" s="3"/>
      <c r="AW91" s="3"/>
      <c r="AX91" s="3"/>
      <c r="AY91" s="3"/>
      <c r="BD91" s="3"/>
      <c r="BE91" s="3"/>
      <c r="BJ91" s="3"/>
      <c r="BK91" s="3"/>
      <c r="BP91" s="3"/>
      <c r="BQ91" s="3"/>
      <c r="BV91" s="3"/>
      <c r="BW91" s="3"/>
      <c r="BX91" s="3"/>
      <c r="BY91" s="3"/>
      <c r="BZ91" s="3"/>
      <c r="CA91" s="3"/>
      <c r="CF91" s="3"/>
    </row>
    <row r="92" ht="16.5" customHeight="1">
      <c r="A92" s="145">
        <v>45.0</v>
      </c>
      <c r="B92" s="145">
        <v>54.0</v>
      </c>
      <c r="C92" s="145" t="s">
        <v>175</v>
      </c>
      <c r="D92" s="146">
        <v>78.0</v>
      </c>
      <c r="E92" s="3"/>
      <c r="F92" s="3"/>
      <c r="G92" s="3"/>
      <c r="H92" s="3"/>
      <c r="I92" s="3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3"/>
      <c r="AR92" s="3"/>
      <c r="AS92" s="3"/>
      <c r="AT92" s="3"/>
      <c r="AU92" s="3"/>
      <c r="AV92" s="3"/>
      <c r="AW92" s="3"/>
      <c r="AX92" s="3"/>
      <c r="AY92" s="3"/>
      <c r="BD92" s="3"/>
      <c r="BE92" s="3"/>
      <c r="BJ92" s="3"/>
      <c r="BK92" s="3"/>
      <c r="BP92" s="3"/>
      <c r="BQ92" s="3"/>
      <c r="BV92" s="3"/>
      <c r="BW92" s="3"/>
      <c r="BX92" s="3"/>
      <c r="BY92" s="3"/>
      <c r="BZ92" s="3"/>
      <c r="CA92" s="3"/>
      <c r="CF92" s="3"/>
    </row>
    <row r="93" ht="16.5" customHeight="1">
      <c r="A93" s="145">
        <v>55.0</v>
      </c>
      <c r="B93" s="145">
        <v>59.0</v>
      </c>
      <c r="C93" s="145" t="s">
        <v>175</v>
      </c>
      <c r="D93" s="146">
        <v>112.0</v>
      </c>
      <c r="E93" s="3"/>
      <c r="F93" s="3"/>
      <c r="G93" s="3"/>
      <c r="H93" s="3"/>
      <c r="I93" s="3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3"/>
      <c r="AR93" s="3"/>
      <c r="AS93" s="3"/>
      <c r="AT93" s="3"/>
      <c r="AU93" s="3"/>
      <c r="AV93" s="3"/>
      <c r="AW93" s="3"/>
      <c r="AX93" s="3"/>
      <c r="AY93" s="3"/>
      <c r="BD93" s="3"/>
      <c r="BE93" s="3"/>
      <c r="BJ93" s="3"/>
      <c r="BK93" s="3"/>
      <c r="BP93" s="3"/>
      <c r="BQ93" s="3"/>
      <c r="BV93" s="3"/>
      <c r="BW93" s="3"/>
      <c r="BX93" s="3"/>
      <c r="BY93" s="3"/>
      <c r="BZ93" s="3"/>
      <c r="CA93" s="3"/>
      <c r="CF93" s="3"/>
    </row>
    <row r="94" ht="16.5" customHeight="1">
      <c r="A94" s="145">
        <v>60.0</v>
      </c>
      <c r="B94" s="145">
        <v>64.0</v>
      </c>
      <c r="C94" s="145" t="s">
        <v>175</v>
      </c>
      <c r="D94" s="146">
        <v>139.0</v>
      </c>
      <c r="E94" s="3"/>
      <c r="F94" s="3"/>
      <c r="G94" s="3"/>
      <c r="H94" s="3"/>
      <c r="I94" s="3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3"/>
      <c r="AR94" s="3"/>
      <c r="AS94" s="3"/>
      <c r="AT94" s="3"/>
      <c r="AU94" s="3"/>
      <c r="AV94" s="3"/>
      <c r="AW94" s="3"/>
      <c r="AX94" s="3"/>
      <c r="AY94" s="3"/>
      <c r="BD94" s="3"/>
      <c r="BE94" s="3"/>
      <c r="BJ94" s="3"/>
      <c r="BK94" s="3"/>
      <c r="BP94" s="3"/>
      <c r="BQ94" s="3"/>
      <c r="BV94" s="3"/>
      <c r="BW94" s="3"/>
      <c r="BX94" s="3"/>
      <c r="BY94" s="3"/>
      <c r="BZ94" s="3"/>
      <c r="CA94" s="3"/>
      <c r="CF94" s="3"/>
    </row>
    <row r="95" ht="16.5" customHeight="1">
      <c r="A95" s="145">
        <v>65.0</v>
      </c>
      <c r="B95" s="145">
        <v>69.0</v>
      </c>
      <c r="C95" s="145" t="s">
        <v>175</v>
      </c>
      <c r="D95" s="146">
        <v>175.0</v>
      </c>
      <c r="E95" s="3"/>
      <c r="F95" s="3"/>
      <c r="G95" s="3"/>
      <c r="H95" s="3"/>
      <c r="I95" s="3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3"/>
      <c r="AR95" s="3"/>
      <c r="AS95" s="3"/>
      <c r="AT95" s="3"/>
      <c r="AU95" s="3"/>
      <c r="AV95" s="3"/>
      <c r="AW95" s="3"/>
      <c r="AX95" s="3"/>
      <c r="AY95" s="3"/>
      <c r="BD95" s="3"/>
      <c r="BE95" s="3"/>
      <c r="BJ95" s="3"/>
      <c r="BK95" s="3"/>
      <c r="BP95" s="3"/>
      <c r="BQ95" s="3"/>
      <c r="BV95" s="3"/>
      <c r="BW95" s="3"/>
      <c r="BX95" s="3"/>
      <c r="BY95" s="3"/>
      <c r="BZ95" s="3"/>
      <c r="CA95" s="3"/>
      <c r="CF95" s="3"/>
    </row>
    <row r="96" ht="16.5" customHeight="1">
      <c r="A96" s="145">
        <v>70.0</v>
      </c>
      <c r="B96" s="145">
        <v>120.0</v>
      </c>
      <c r="C96" s="145" t="s">
        <v>175</v>
      </c>
      <c r="D96" s="146">
        <v>239.0</v>
      </c>
      <c r="E96" s="3"/>
      <c r="F96" s="3"/>
      <c r="G96" s="3"/>
      <c r="H96" s="3"/>
      <c r="I96" s="3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3"/>
      <c r="AR96" s="3"/>
      <c r="AS96" s="3"/>
      <c r="AT96" s="3"/>
      <c r="AU96" s="3"/>
      <c r="AV96" s="3"/>
      <c r="AW96" s="3"/>
      <c r="AX96" s="3"/>
      <c r="AY96" s="3"/>
      <c r="BD96" s="3"/>
      <c r="BE96" s="3"/>
      <c r="BJ96" s="3"/>
      <c r="BK96" s="3"/>
      <c r="BP96" s="3"/>
      <c r="BQ96" s="3"/>
      <c r="BV96" s="3"/>
      <c r="BW96" s="3"/>
      <c r="BX96" s="3"/>
      <c r="BY96" s="3"/>
      <c r="BZ96" s="3"/>
      <c r="CA96" s="3"/>
      <c r="CF96" s="3"/>
    </row>
    <row r="97" ht="16.5" customHeight="1">
      <c r="A97" s="145">
        <v>0.0</v>
      </c>
      <c r="B97" s="145">
        <v>24.0</v>
      </c>
      <c r="C97" s="145" t="s">
        <v>176</v>
      </c>
      <c r="D97" s="146">
        <v>55.0</v>
      </c>
      <c r="E97" s="3"/>
      <c r="F97" s="3"/>
      <c r="G97" s="3"/>
      <c r="H97" s="3"/>
      <c r="I97" s="3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3"/>
      <c r="AR97" s="3"/>
      <c r="AS97" s="3"/>
      <c r="AT97" s="3"/>
      <c r="AU97" s="3"/>
      <c r="AV97" s="3"/>
      <c r="AW97" s="3"/>
      <c r="AX97" s="3"/>
      <c r="AY97" s="3"/>
      <c r="BD97" s="3"/>
      <c r="BE97" s="3"/>
      <c r="BJ97" s="3"/>
      <c r="BK97" s="3"/>
      <c r="BP97" s="3"/>
      <c r="BQ97" s="3"/>
      <c r="BV97" s="3"/>
      <c r="BW97" s="3"/>
      <c r="BX97" s="3"/>
      <c r="BY97" s="3"/>
      <c r="BZ97" s="3"/>
      <c r="CA97" s="3"/>
      <c r="CF97" s="3"/>
    </row>
    <row r="98" ht="16.5" customHeight="1">
      <c r="A98" s="145">
        <v>25.0</v>
      </c>
      <c r="B98" s="145">
        <v>44.0</v>
      </c>
      <c r="C98" s="145" t="s">
        <v>176</v>
      </c>
      <c r="D98" s="146">
        <v>66.0</v>
      </c>
      <c r="E98" s="3"/>
      <c r="F98" s="3"/>
      <c r="G98" s="3"/>
      <c r="H98" s="3"/>
      <c r="I98" s="3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3"/>
      <c r="AR98" s="3"/>
      <c r="AS98" s="3"/>
      <c r="AT98" s="3"/>
      <c r="AU98" s="3"/>
      <c r="AV98" s="3"/>
      <c r="AW98" s="3"/>
      <c r="AX98" s="3"/>
      <c r="AY98" s="3"/>
      <c r="BD98" s="3"/>
      <c r="BE98" s="3"/>
      <c r="BJ98" s="3"/>
      <c r="BK98" s="3"/>
      <c r="BP98" s="3"/>
      <c r="BQ98" s="3"/>
      <c r="BV98" s="3"/>
      <c r="BW98" s="3"/>
      <c r="BX98" s="3"/>
      <c r="BY98" s="3"/>
      <c r="BZ98" s="3"/>
      <c r="CA98" s="3"/>
      <c r="CF98" s="3"/>
    </row>
    <row r="99" ht="16.5" customHeight="1">
      <c r="A99" s="145">
        <v>45.0</v>
      </c>
      <c r="B99" s="145">
        <v>54.0</v>
      </c>
      <c r="C99" s="145" t="s">
        <v>176</v>
      </c>
      <c r="D99" s="146">
        <v>79.0</v>
      </c>
      <c r="E99" s="3"/>
      <c r="F99" s="3"/>
      <c r="G99" s="3"/>
      <c r="H99" s="3"/>
      <c r="I99" s="3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3"/>
      <c r="AR99" s="3"/>
      <c r="AS99" s="3"/>
      <c r="AT99" s="3"/>
      <c r="AU99" s="3"/>
      <c r="AV99" s="3"/>
      <c r="AW99" s="3"/>
      <c r="AX99" s="3"/>
      <c r="AY99" s="3"/>
      <c r="BD99" s="3"/>
      <c r="BE99" s="3"/>
      <c r="BJ99" s="3"/>
      <c r="BK99" s="3"/>
      <c r="BP99" s="3"/>
      <c r="BQ99" s="3"/>
      <c r="BV99" s="3"/>
      <c r="BW99" s="3"/>
      <c r="BX99" s="3"/>
      <c r="BY99" s="3"/>
      <c r="BZ99" s="3"/>
      <c r="CA99" s="3"/>
      <c r="CF99" s="3"/>
    </row>
    <row r="100" ht="16.5" customHeight="1">
      <c r="A100" s="145">
        <v>55.0</v>
      </c>
      <c r="B100" s="145">
        <v>59.0</v>
      </c>
      <c r="C100" s="145" t="s">
        <v>176</v>
      </c>
      <c r="D100" s="146">
        <v>114.0</v>
      </c>
      <c r="E100" s="3"/>
      <c r="F100" s="3"/>
      <c r="G100" s="3"/>
      <c r="H100" s="3"/>
      <c r="I100" s="3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3"/>
      <c r="AR100" s="3"/>
      <c r="AS100" s="3"/>
      <c r="AT100" s="3"/>
      <c r="AU100" s="3"/>
      <c r="AV100" s="3"/>
      <c r="AW100" s="3"/>
      <c r="AX100" s="3"/>
      <c r="AY100" s="3"/>
      <c r="BD100" s="3"/>
      <c r="BE100" s="3"/>
      <c r="BJ100" s="3"/>
      <c r="BK100" s="3"/>
      <c r="BP100" s="3"/>
      <c r="BQ100" s="3"/>
      <c r="BV100" s="3"/>
      <c r="BW100" s="3"/>
      <c r="BX100" s="3"/>
      <c r="BY100" s="3"/>
      <c r="BZ100" s="3"/>
      <c r="CA100" s="3"/>
      <c r="CF100" s="3"/>
    </row>
    <row r="101" ht="16.5" customHeight="1">
      <c r="A101" s="145">
        <v>60.0</v>
      </c>
      <c r="B101" s="145">
        <v>64.0</v>
      </c>
      <c r="C101" s="145" t="s">
        <v>176</v>
      </c>
      <c r="D101" s="146">
        <v>140.0</v>
      </c>
      <c r="E101" s="3"/>
      <c r="F101" s="3"/>
      <c r="G101" s="3"/>
      <c r="H101" s="3"/>
      <c r="I101" s="3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3"/>
      <c r="AR101" s="3"/>
      <c r="AS101" s="3"/>
      <c r="AT101" s="3"/>
      <c r="AU101" s="3"/>
      <c r="AV101" s="3"/>
      <c r="AW101" s="3"/>
      <c r="AX101" s="3"/>
      <c r="AY101" s="3"/>
      <c r="BD101" s="3"/>
      <c r="BE101" s="3"/>
      <c r="BJ101" s="3"/>
      <c r="BK101" s="3"/>
      <c r="BP101" s="3"/>
      <c r="BQ101" s="3"/>
      <c r="BV101" s="3"/>
      <c r="BW101" s="3"/>
      <c r="BX101" s="3"/>
      <c r="BY101" s="3"/>
      <c r="BZ101" s="3"/>
      <c r="CA101" s="3"/>
      <c r="CF101" s="3"/>
    </row>
    <row r="102" ht="16.5" customHeight="1">
      <c r="A102" s="145">
        <v>65.0</v>
      </c>
      <c r="B102" s="145">
        <v>69.0</v>
      </c>
      <c r="C102" s="145" t="s">
        <v>176</v>
      </c>
      <c r="D102" s="146">
        <v>179.0</v>
      </c>
      <c r="E102" s="3"/>
      <c r="F102" s="3"/>
      <c r="G102" s="3"/>
      <c r="H102" s="3"/>
      <c r="I102" s="3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3"/>
      <c r="AR102" s="3"/>
      <c r="AS102" s="3"/>
      <c r="AT102" s="3"/>
      <c r="AU102" s="3"/>
      <c r="AV102" s="3"/>
      <c r="AW102" s="3"/>
      <c r="AX102" s="3"/>
      <c r="AY102" s="3"/>
      <c r="BD102" s="3"/>
      <c r="BE102" s="3"/>
      <c r="BJ102" s="3"/>
      <c r="BK102" s="3"/>
      <c r="BP102" s="3"/>
      <c r="BQ102" s="3"/>
      <c r="BV102" s="3"/>
      <c r="BW102" s="3"/>
      <c r="BX102" s="3"/>
      <c r="BY102" s="3"/>
      <c r="BZ102" s="3"/>
      <c r="CA102" s="3"/>
      <c r="CF102" s="3"/>
    </row>
    <row r="103" ht="16.5" customHeight="1">
      <c r="A103" s="145">
        <v>70.0</v>
      </c>
      <c r="B103" s="145">
        <v>120.0</v>
      </c>
      <c r="C103" s="145" t="s">
        <v>176</v>
      </c>
      <c r="D103" s="146">
        <v>240.0</v>
      </c>
      <c r="E103" s="3"/>
      <c r="F103" s="3"/>
      <c r="G103" s="3"/>
      <c r="H103" s="3"/>
      <c r="I103" s="3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3"/>
      <c r="AR103" s="3"/>
      <c r="AS103" s="3"/>
      <c r="AT103" s="3"/>
      <c r="AU103" s="3"/>
      <c r="AV103" s="3"/>
      <c r="AW103" s="3"/>
      <c r="AX103" s="3"/>
      <c r="AY103" s="3"/>
      <c r="BD103" s="3"/>
      <c r="BE103" s="3"/>
      <c r="BJ103" s="3"/>
      <c r="BK103" s="3"/>
      <c r="BP103" s="3"/>
      <c r="BQ103" s="3"/>
      <c r="BV103" s="3"/>
      <c r="BW103" s="3"/>
      <c r="BX103" s="3"/>
      <c r="BY103" s="3"/>
      <c r="BZ103" s="3"/>
      <c r="CA103" s="3"/>
      <c r="CF103" s="3"/>
    </row>
    <row r="104" ht="16.5" customHeight="1">
      <c r="A104" s="145">
        <v>0.0</v>
      </c>
      <c r="B104" s="145">
        <v>24.0</v>
      </c>
      <c r="C104" s="145" t="s">
        <v>177</v>
      </c>
      <c r="D104" s="146">
        <v>62.0</v>
      </c>
      <c r="E104" s="3"/>
      <c r="F104" s="3"/>
      <c r="G104" s="3"/>
      <c r="H104" s="3"/>
      <c r="I104" s="3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3"/>
      <c r="AR104" s="3"/>
      <c r="AS104" s="3"/>
      <c r="AT104" s="3"/>
      <c r="AU104" s="3"/>
      <c r="AV104" s="3"/>
      <c r="AW104" s="3"/>
      <c r="AX104" s="3"/>
      <c r="AY104" s="3"/>
      <c r="BD104" s="3"/>
      <c r="BE104" s="3"/>
      <c r="BJ104" s="3"/>
      <c r="BK104" s="3"/>
      <c r="BP104" s="3"/>
      <c r="BQ104" s="3"/>
      <c r="BV104" s="3"/>
      <c r="BW104" s="3"/>
      <c r="BX104" s="3"/>
      <c r="BY104" s="3"/>
      <c r="BZ104" s="3"/>
      <c r="CA104" s="3"/>
      <c r="CF104" s="3"/>
    </row>
    <row r="105" ht="16.5" customHeight="1">
      <c r="A105" s="145">
        <v>25.0</v>
      </c>
      <c r="B105" s="145">
        <v>44.0</v>
      </c>
      <c r="C105" s="145" t="s">
        <v>177</v>
      </c>
      <c r="D105" s="146">
        <v>72.0</v>
      </c>
      <c r="E105" s="3"/>
      <c r="F105" s="3"/>
      <c r="G105" s="3"/>
      <c r="H105" s="3"/>
      <c r="I105" s="3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3"/>
      <c r="AR105" s="3"/>
      <c r="AS105" s="3"/>
      <c r="AT105" s="3"/>
      <c r="AU105" s="3"/>
      <c r="AV105" s="3"/>
      <c r="AW105" s="3"/>
      <c r="AX105" s="3"/>
      <c r="AY105" s="3"/>
      <c r="BD105" s="3"/>
      <c r="BE105" s="3"/>
      <c r="BJ105" s="3"/>
      <c r="BK105" s="3"/>
      <c r="BP105" s="3"/>
      <c r="BQ105" s="3"/>
      <c r="BV105" s="3"/>
      <c r="BW105" s="3"/>
      <c r="BX105" s="3"/>
      <c r="BY105" s="3"/>
      <c r="BZ105" s="3"/>
      <c r="CA105" s="3"/>
      <c r="CF105" s="3"/>
    </row>
    <row r="106" ht="16.5" customHeight="1">
      <c r="A106" s="145">
        <v>45.0</v>
      </c>
      <c r="B106" s="145">
        <v>54.0</v>
      </c>
      <c r="C106" s="145" t="s">
        <v>177</v>
      </c>
      <c r="D106" s="146">
        <v>92.0</v>
      </c>
      <c r="E106" s="3"/>
      <c r="F106" s="3"/>
      <c r="G106" s="3"/>
      <c r="H106" s="3"/>
      <c r="I106" s="3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3"/>
      <c r="AR106" s="3"/>
      <c r="AS106" s="3"/>
      <c r="AT106" s="3"/>
      <c r="AU106" s="3"/>
      <c r="AV106" s="3"/>
      <c r="AW106" s="3"/>
      <c r="AX106" s="3"/>
      <c r="AY106" s="3"/>
      <c r="BD106" s="3"/>
      <c r="BE106" s="3"/>
      <c r="BJ106" s="3"/>
      <c r="BK106" s="3"/>
      <c r="BP106" s="3"/>
      <c r="BQ106" s="3"/>
      <c r="BV106" s="3"/>
      <c r="BW106" s="3"/>
      <c r="BX106" s="3"/>
      <c r="BY106" s="3"/>
      <c r="BZ106" s="3"/>
      <c r="CA106" s="3"/>
      <c r="CF106" s="3"/>
    </row>
    <row r="107" ht="16.5" customHeight="1">
      <c r="A107" s="145">
        <v>55.0</v>
      </c>
      <c r="B107" s="145">
        <v>59.0</v>
      </c>
      <c r="C107" s="145" t="s">
        <v>177</v>
      </c>
      <c r="D107" s="146">
        <v>149.0</v>
      </c>
      <c r="E107" s="3"/>
      <c r="F107" s="3"/>
      <c r="G107" s="3"/>
      <c r="H107" s="3"/>
      <c r="I107" s="3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3"/>
      <c r="AR107" s="3"/>
      <c r="AS107" s="3"/>
      <c r="AT107" s="3"/>
      <c r="AU107" s="3"/>
      <c r="AV107" s="3"/>
      <c r="AW107" s="3"/>
      <c r="AX107" s="3"/>
      <c r="AY107" s="3"/>
      <c r="BD107" s="3"/>
      <c r="BE107" s="3"/>
      <c r="BJ107" s="3"/>
      <c r="BK107" s="3"/>
      <c r="BP107" s="3"/>
      <c r="BQ107" s="3"/>
      <c r="BV107" s="3"/>
      <c r="BW107" s="3"/>
      <c r="BX107" s="3"/>
      <c r="BY107" s="3"/>
      <c r="BZ107" s="3"/>
      <c r="CA107" s="3"/>
      <c r="CF107" s="3"/>
    </row>
    <row r="108" ht="16.5" customHeight="1">
      <c r="A108" s="145">
        <v>60.0</v>
      </c>
      <c r="B108" s="145">
        <v>64.0</v>
      </c>
      <c r="C108" s="145" t="s">
        <v>177</v>
      </c>
      <c r="D108" s="146">
        <v>175.0</v>
      </c>
      <c r="E108" s="3"/>
      <c r="F108" s="3"/>
      <c r="G108" s="3"/>
      <c r="H108" s="3"/>
      <c r="I108" s="3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3"/>
      <c r="AR108" s="3"/>
      <c r="AS108" s="3"/>
      <c r="AT108" s="3"/>
      <c r="AU108" s="3"/>
      <c r="AV108" s="3"/>
      <c r="AW108" s="3"/>
      <c r="AX108" s="3"/>
      <c r="AY108" s="3"/>
      <c r="BD108" s="3"/>
      <c r="BE108" s="3"/>
      <c r="BJ108" s="3"/>
      <c r="BK108" s="3"/>
      <c r="BP108" s="3"/>
      <c r="BQ108" s="3"/>
      <c r="BV108" s="3"/>
      <c r="BW108" s="3"/>
      <c r="BX108" s="3"/>
      <c r="BY108" s="3"/>
      <c r="BZ108" s="3"/>
      <c r="CA108" s="3"/>
      <c r="CF108" s="3"/>
    </row>
    <row r="109" ht="16.5" customHeight="1">
      <c r="A109" s="145">
        <v>65.0</v>
      </c>
      <c r="B109" s="145">
        <v>69.0</v>
      </c>
      <c r="C109" s="145" t="s">
        <v>177</v>
      </c>
      <c r="D109" s="146">
        <v>239.0</v>
      </c>
      <c r="E109" s="3"/>
      <c r="F109" s="3"/>
      <c r="G109" s="3"/>
      <c r="H109" s="3"/>
      <c r="I109" s="3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3"/>
      <c r="AR109" s="3"/>
      <c r="AS109" s="3"/>
      <c r="AT109" s="3"/>
      <c r="AU109" s="3"/>
      <c r="AV109" s="3"/>
      <c r="AW109" s="3"/>
      <c r="AX109" s="3"/>
      <c r="AY109" s="3"/>
      <c r="BD109" s="3"/>
      <c r="BE109" s="3"/>
      <c r="BJ109" s="3"/>
      <c r="BK109" s="3"/>
      <c r="BP109" s="3"/>
      <c r="BQ109" s="3"/>
      <c r="BV109" s="3"/>
      <c r="BW109" s="3"/>
      <c r="BX109" s="3"/>
      <c r="BY109" s="3"/>
      <c r="BZ109" s="3"/>
      <c r="CA109" s="3"/>
      <c r="CF109" s="3"/>
    </row>
    <row r="110" ht="16.5" customHeight="1">
      <c r="A110" s="145">
        <v>70.0</v>
      </c>
      <c r="B110" s="145">
        <v>120.0</v>
      </c>
      <c r="C110" s="145" t="s">
        <v>177</v>
      </c>
      <c r="D110" s="146">
        <v>255.0</v>
      </c>
      <c r="E110" s="3"/>
      <c r="F110" s="3"/>
      <c r="G110" s="3"/>
      <c r="H110" s="3"/>
      <c r="I110" s="3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3"/>
      <c r="AR110" s="3"/>
      <c r="AS110" s="3"/>
      <c r="AT110" s="3"/>
      <c r="AU110" s="3"/>
      <c r="AV110" s="3"/>
      <c r="AW110" s="3"/>
      <c r="AX110" s="3"/>
      <c r="AY110" s="3"/>
      <c r="BD110" s="3"/>
      <c r="BE110" s="3"/>
      <c r="BJ110" s="3"/>
      <c r="BK110" s="3"/>
      <c r="BP110" s="3"/>
      <c r="BQ110" s="3"/>
      <c r="BV110" s="3"/>
      <c r="BW110" s="3"/>
      <c r="BX110" s="3"/>
      <c r="BY110" s="3"/>
      <c r="BZ110" s="3"/>
      <c r="CA110" s="3"/>
      <c r="CF110" s="3"/>
    </row>
    <row r="111" ht="16.5" customHeight="1">
      <c r="A111" s="145">
        <v>0.0</v>
      </c>
      <c r="B111" s="145">
        <v>24.0</v>
      </c>
      <c r="C111" s="145" t="s">
        <v>178</v>
      </c>
      <c r="D111" s="146">
        <v>64.0</v>
      </c>
      <c r="E111" s="3"/>
      <c r="F111" s="3"/>
      <c r="G111" s="3"/>
      <c r="H111" s="3"/>
      <c r="I111" s="3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3"/>
      <c r="AR111" s="3"/>
      <c r="AS111" s="3"/>
      <c r="AT111" s="3"/>
      <c r="AU111" s="3"/>
      <c r="AV111" s="3"/>
      <c r="AW111" s="3"/>
      <c r="AX111" s="3"/>
      <c r="AY111" s="3"/>
      <c r="BD111" s="3"/>
      <c r="BE111" s="3"/>
      <c r="BJ111" s="3"/>
      <c r="BK111" s="3"/>
      <c r="BP111" s="3"/>
      <c r="BQ111" s="3"/>
      <c r="BV111" s="3"/>
      <c r="BW111" s="3"/>
      <c r="BX111" s="3"/>
      <c r="BY111" s="3"/>
      <c r="BZ111" s="3"/>
      <c r="CA111" s="3"/>
      <c r="CF111" s="3"/>
    </row>
    <row r="112" ht="16.5" customHeight="1">
      <c r="A112" s="145">
        <v>25.0</v>
      </c>
      <c r="B112" s="145">
        <v>44.0</v>
      </c>
      <c r="C112" s="145" t="s">
        <v>178</v>
      </c>
      <c r="D112" s="146">
        <v>75.0</v>
      </c>
      <c r="E112" s="3"/>
      <c r="F112" s="3"/>
      <c r="G112" s="3"/>
      <c r="H112" s="3"/>
      <c r="I112" s="3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3"/>
      <c r="AR112" s="3"/>
      <c r="AS112" s="3"/>
      <c r="AT112" s="3"/>
      <c r="AU112" s="3"/>
      <c r="AV112" s="3"/>
      <c r="AW112" s="3"/>
      <c r="AX112" s="3"/>
      <c r="AY112" s="3"/>
      <c r="BD112" s="3"/>
      <c r="BE112" s="3"/>
      <c r="BJ112" s="3"/>
      <c r="BK112" s="3"/>
      <c r="BP112" s="3"/>
      <c r="BQ112" s="3"/>
      <c r="BV112" s="3"/>
      <c r="BW112" s="3"/>
      <c r="BX112" s="3"/>
      <c r="BY112" s="3"/>
      <c r="BZ112" s="3"/>
      <c r="CA112" s="3"/>
      <c r="CF112" s="3"/>
    </row>
    <row r="113" ht="16.5" customHeight="1">
      <c r="A113" s="145">
        <v>45.0</v>
      </c>
      <c r="B113" s="145">
        <v>54.0</v>
      </c>
      <c r="C113" s="145" t="s">
        <v>178</v>
      </c>
      <c r="D113" s="146">
        <v>94.0</v>
      </c>
      <c r="E113" s="3"/>
      <c r="F113" s="3"/>
      <c r="G113" s="3"/>
      <c r="H113" s="3"/>
      <c r="I113" s="3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3"/>
      <c r="AR113" s="3"/>
      <c r="AS113" s="3"/>
      <c r="AT113" s="3"/>
      <c r="AU113" s="3"/>
      <c r="AV113" s="3"/>
      <c r="AW113" s="3"/>
      <c r="AX113" s="3"/>
      <c r="AY113" s="3"/>
      <c r="BD113" s="3"/>
      <c r="BE113" s="3"/>
      <c r="BJ113" s="3"/>
      <c r="BK113" s="3"/>
      <c r="BP113" s="3"/>
      <c r="BQ113" s="3"/>
      <c r="BV113" s="3"/>
      <c r="BW113" s="3"/>
      <c r="BX113" s="3"/>
      <c r="BY113" s="3"/>
      <c r="BZ113" s="3"/>
      <c r="CA113" s="3"/>
      <c r="CF113" s="3"/>
    </row>
    <row r="114" ht="16.5" customHeight="1">
      <c r="A114" s="145">
        <v>55.0</v>
      </c>
      <c r="B114" s="145">
        <v>59.0</v>
      </c>
      <c r="C114" s="145" t="s">
        <v>178</v>
      </c>
      <c r="D114" s="146">
        <v>155.0</v>
      </c>
      <c r="E114" s="3"/>
      <c r="F114" s="3"/>
      <c r="G114" s="3"/>
      <c r="H114" s="3"/>
      <c r="I114" s="3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3"/>
      <c r="AR114" s="3"/>
      <c r="AS114" s="3"/>
      <c r="AT114" s="3"/>
      <c r="AU114" s="3"/>
      <c r="AV114" s="3"/>
      <c r="AW114" s="3"/>
      <c r="AX114" s="3"/>
      <c r="AY114" s="3"/>
      <c r="BD114" s="3"/>
      <c r="BE114" s="3"/>
      <c r="BJ114" s="3"/>
      <c r="BK114" s="3"/>
      <c r="BP114" s="3"/>
      <c r="BQ114" s="3"/>
      <c r="BV114" s="3"/>
      <c r="BW114" s="3"/>
      <c r="BX114" s="3"/>
      <c r="BY114" s="3"/>
      <c r="BZ114" s="3"/>
      <c r="CA114" s="3"/>
      <c r="CF114" s="3"/>
    </row>
    <row r="115" ht="16.5" customHeight="1">
      <c r="A115" s="145">
        <v>60.0</v>
      </c>
      <c r="B115" s="145">
        <v>64.0</v>
      </c>
      <c r="C115" s="145" t="s">
        <v>178</v>
      </c>
      <c r="D115" s="146">
        <v>181.0</v>
      </c>
      <c r="E115" s="3"/>
      <c r="F115" s="3"/>
      <c r="G115" s="3"/>
      <c r="H115" s="3"/>
      <c r="I115" s="3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3"/>
      <c r="AR115" s="3"/>
      <c r="AS115" s="3"/>
      <c r="AT115" s="3"/>
      <c r="AU115" s="3"/>
      <c r="AV115" s="3"/>
      <c r="AW115" s="3"/>
      <c r="AX115" s="3"/>
      <c r="AY115" s="3"/>
      <c r="BD115" s="3"/>
      <c r="BE115" s="3"/>
      <c r="BJ115" s="3"/>
      <c r="BK115" s="3"/>
      <c r="BP115" s="3"/>
      <c r="BQ115" s="3"/>
      <c r="BV115" s="3"/>
      <c r="BW115" s="3"/>
      <c r="BX115" s="3"/>
      <c r="BY115" s="3"/>
      <c r="BZ115" s="3"/>
      <c r="CA115" s="3"/>
      <c r="CF115" s="3"/>
    </row>
    <row r="116" ht="16.5" customHeight="1">
      <c r="A116" s="145">
        <v>65.0</v>
      </c>
      <c r="B116" s="145">
        <v>69.0</v>
      </c>
      <c r="C116" s="145" t="s">
        <v>178</v>
      </c>
      <c r="D116" s="146">
        <v>255.0</v>
      </c>
      <c r="E116" s="3"/>
      <c r="F116" s="3"/>
      <c r="G116" s="3"/>
      <c r="H116" s="3"/>
      <c r="I116" s="3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3"/>
      <c r="AR116" s="3"/>
      <c r="AS116" s="3"/>
      <c r="AT116" s="3"/>
      <c r="AU116" s="3"/>
      <c r="AV116" s="3"/>
      <c r="AW116" s="3"/>
      <c r="AX116" s="3"/>
      <c r="AY116" s="3"/>
      <c r="BD116" s="3"/>
      <c r="BE116" s="3"/>
      <c r="BJ116" s="3"/>
      <c r="BK116" s="3"/>
      <c r="BP116" s="3"/>
      <c r="BQ116" s="3"/>
      <c r="BV116" s="3"/>
      <c r="BW116" s="3"/>
      <c r="BX116" s="3"/>
      <c r="BY116" s="3"/>
      <c r="BZ116" s="3"/>
      <c r="CA116" s="3"/>
      <c r="CF116" s="3"/>
    </row>
    <row r="117" ht="16.5" customHeight="1">
      <c r="A117" s="145">
        <v>70.0</v>
      </c>
      <c r="B117" s="145">
        <v>120.0</v>
      </c>
      <c r="C117" s="145" t="s">
        <v>178</v>
      </c>
      <c r="D117" s="146">
        <v>259.0</v>
      </c>
      <c r="E117" s="3"/>
      <c r="F117" s="3"/>
      <c r="G117" s="3"/>
      <c r="H117" s="3"/>
      <c r="I117" s="3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3"/>
      <c r="AR117" s="3"/>
      <c r="AS117" s="3"/>
      <c r="AT117" s="3"/>
      <c r="AU117" s="3"/>
      <c r="AV117" s="3"/>
      <c r="AW117" s="3"/>
      <c r="AX117" s="3"/>
      <c r="AY117" s="3"/>
      <c r="BD117" s="3"/>
      <c r="BE117" s="3"/>
      <c r="BJ117" s="3"/>
      <c r="BK117" s="3"/>
      <c r="BP117" s="3"/>
      <c r="BQ117" s="3"/>
      <c r="BV117" s="3"/>
      <c r="BW117" s="3"/>
      <c r="BX117" s="3"/>
      <c r="BY117" s="3"/>
      <c r="BZ117" s="3"/>
      <c r="CA117" s="3"/>
      <c r="CF117" s="3"/>
    </row>
    <row r="118" ht="16.5" customHeight="1">
      <c r="A118" s="145">
        <v>0.0</v>
      </c>
      <c r="B118" s="145">
        <v>24.0</v>
      </c>
      <c r="C118" s="145" t="s">
        <v>179</v>
      </c>
      <c r="D118" s="146">
        <v>64.0</v>
      </c>
      <c r="E118" s="3"/>
      <c r="F118" s="3"/>
      <c r="G118" s="3"/>
      <c r="H118" s="3"/>
      <c r="I118" s="3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3"/>
      <c r="AR118" s="3"/>
      <c r="AS118" s="3"/>
      <c r="AT118" s="3"/>
      <c r="AU118" s="3"/>
      <c r="AV118" s="3"/>
      <c r="AW118" s="3"/>
      <c r="AX118" s="3"/>
      <c r="AY118" s="3"/>
      <c r="BD118" s="3"/>
      <c r="BE118" s="3"/>
      <c r="BJ118" s="3"/>
      <c r="BK118" s="3"/>
      <c r="BP118" s="3"/>
      <c r="BQ118" s="3"/>
      <c r="BV118" s="3"/>
      <c r="BW118" s="3"/>
      <c r="BX118" s="3"/>
      <c r="BY118" s="3"/>
      <c r="BZ118" s="3"/>
      <c r="CA118" s="3"/>
      <c r="CF118" s="3"/>
    </row>
    <row r="119" ht="16.5" customHeight="1">
      <c r="A119" s="145">
        <v>25.0</v>
      </c>
      <c r="B119" s="145">
        <v>44.0</v>
      </c>
      <c r="C119" s="145" t="s">
        <v>179</v>
      </c>
      <c r="D119" s="146">
        <v>76.0</v>
      </c>
      <c r="E119" s="3"/>
      <c r="F119" s="3"/>
      <c r="G119" s="3"/>
      <c r="H119" s="3"/>
      <c r="I119" s="3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3"/>
      <c r="AR119" s="3"/>
      <c r="AS119" s="3"/>
      <c r="AT119" s="3"/>
      <c r="AU119" s="3"/>
      <c r="AV119" s="3"/>
      <c r="AW119" s="3"/>
      <c r="AX119" s="3"/>
      <c r="AY119" s="3"/>
      <c r="BD119" s="3"/>
      <c r="BE119" s="3"/>
      <c r="BJ119" s="3"/>
      <c r="BK119" s="3"/>
      <c r="BP119" s="3"/>
      <c r="BQ119" s="3"/>
      <c r="BV119" s="3"/>
      <c r="BW119" s="3"/>
      <c r="BX119" s="3"/>
      <c r="BY119" s="3"/>
      <c r="BZ119" s="3"/>
      <c r="CA119" s="3"/>
      <c r="CF119" s="3"/>
    </row>
    <row r="120" ht="16.5" customHeight="1">
      <c r="A120" s="145">
        <v>45.0</v>
      </c>
      <c r="B120" s="145">
        <v>54.0</v>
      </c>
      <c r="C120" s="145" t="s">
        <v>179</v>
      </c>
      <c r="D120" s="146">
        <v>96.0</v>
      </c>
      <c r="E120" s="3"/>
      <c r="F120" s="3"/>
      <c r="G120" s="3"/>
      <c r="H120" s="3"/>
      <c r="I120" s="3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3"/>
      <c r="AR120" s="3"/>
      <c r="AS120" s="3"/>
      <c r="AT120" s="3"/>
      <c r="AU120" s="3"/>
      <c r="AV120" s="3"/>
      <c r="AW120" s="3"/>
      <c r="AX120" s="3"/>
      <c r="AY120" s="3"/>
      <c r="BD120" s="3"/>
      <c r="BE120" s="3"/>
      <c r="BJ120" s="3"/>
      <c r="BK120" s="3"/>
      <c r="BP120" s="3"/>
      <c r="BQ120" s="3"/>
      <c r="BV120" s="3"/>
      <c r="BW120" s="3"/>
      <c r="BX120" s="3"/>
      <c r="BY120" s="3"/>
      <c r="BZ120" s="3"/>
      <c r="CA120" s="3"/>
      <c r="CF120" s="3"/>
    </row>
    <row r="121" ht="16.5" customHeight="1">
      <c r="A121" s="145">
        <v>55.0</v>
      </c>
      <c r="B121" s="145">
        <v>59.0</v>
      </c>
      <c r="C121" s="145" t="s">
        <v>179</v>
      </c>
      <c r="D121" s="146">
        <v>159.0</v>
      </c>
      <c r="E121" s="3"/>
      <c r="F121" s="3"/>
      <c r="G121" s="3"/>
      <c r="H121" s="3"/>
      <c r="I121" s="3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3"/>
      <c r="AR121" s="3"/>
      <c r="AS121" s="3"/>
      <c r="AT121" s="3"/>
      <c r="AU121" s="3"/>
      <c r="AV121" s="3"/>
      <c r="AW121" s="3"/>
      <c r="AX121" s="3"/>
      <c r="AY121" s="3"/>
      <c r="BD121" s="3"/>
      <c r="BE121" s="3"/>
      <c r="BJ121" s="3"/>
      <c r="BK121" s="3"/>
      <c r="BP121" s="3"/>
      <c r="BQ121" s="3"/>
      <c r="BV121" s="3"/>
      <c r="BW121" s="3"/>
      <c r="BX121" s="3"/>
      <c r="BY121" s="3"/>
      <c r="BZ121" s="3"/>
      <c r="CA121" s="3"/>
      <c r="CF121" s="3"/>
    </row>
    <row r="122" ht="16.5" customHeight="1">
      <c r="A122" s="145">
        <v>60.0</v>
      </c>
      <c r="B122" s="145">
        <v>64.0</v>
      </c>
      <c r="C122" s="145" t="s">
        <v>179</v>
      </c>
      <c r="D122" s="146">
        <v>185.0</v>
      </c>
      <c r="E122" s="3"/>
      <c r="F122" s="3"/>
      <c r="G122" s="3"/>
      <c r="H122" s="3"/>
      <c r="I122" s="3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3"/>
      <c r="AR122" s="3"/>
      <c r="AS122" s="3"/>
      <c r="AT122" s="3"/>
      <c r="AU122" s="3"/>
      <c r="AV122" s="3"/>
      <c r="AW122" s="3"/>
      <c r="AX122" s="3"/>
      <c r="AY122" s="3"/>
      <c r="BD122" s="3"/>
      <c r="BE122" s="3"/>
      <c r="BJ122" s="3"/>
      <c r="BK122" s="3"/>
      <c r="BP122" s="3"/>
      <c r="BQ122" s="3"/>
      <c r="BV122" s="3"/>
      <c r="BW122" s="3"/>
      <c r="BX122" s="3"/>
      <c r="BY122" s="3"/>
      <c r="BZ122" s="3"/>
      <c r="CA122" s="3"/>
      <c r="CF122" s="3"/>
    </row>
    <row r="123" ht="16.5" customHeight="1">
      <c r="A123" s="145">
        <v>65.0</v>
      </c>
      <c r="B123" s="145">
        <v>69.0</v>
      </c>
      <c r="C123" s="145" t="s">
        <v>179</v>
      </c>
      <c r="D123" s="146">
        <v>259.0</v>
      </c>
      <c r="E123" s="3"/>
      <c r="F123" s="3"/>
      <c r="G123" s="3"/>
      <c r="H123" s="3"/>
      <c r="I123" s="3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3"/>
      <c r="AR123" s="3"/>
      <c r="AS123" s="3"/>
      <c r="AT123" s="3"/>
      <c r="AU123" s="3"/>
      <c r="AV123" s="3"/>
      <c r="AW123" s="3"/>
      <c r="AX123" s="3"/>
      <c r="AY123" s="3"/>
      <c r="BD123" s="3"/>
      <c r="BE123" s="3"/>
      <c r="BJ123" s="3"/>
      <c r="BK123" s="3"/>
      <c r="BP123" s="3"/>
      <c r="BQ123" s="3"/>
      <c r="BV123" s="3"/>
      <c r="BW123" s="3"/>
      <c r="BX123" s="3"/>
      <c r="BY123" s="3"/>
      <c r="BZ123" s="3"/>
      <c r="CA123" s="3"/>
      <c r="CF123" s="3"/>
    </row>
    <row r="124" ht="16.5" customHeight="1">
      <c r="A124" s="145">
        <v>70.0</v>
      </c>
      <c r="B124" s="145">
        <v>120.0</v>
      </c>
      <c r="C124" s="145" t="s">
        <v>179</v>
      </c>
      <c r="D124" s="146">
        <v>265.0</v>
      </c>
      <c r="E124" s="3"/>
      <c r="F124" s="3"/>
      <c r="G124" s="3"/>
      <c r="H124" s="3"/>
      <c r="I124" s="3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3"/>
      <c r="AR124" s="3"/>
      <c r="AS124" s="3"/>
      <c r="AT124" s="3"/>
      <c r="AU124" s="3"/>
      <c r="AV124" s="3"/>
      <c r="AW124" s="3"/>
      <c r="AX124" s="3"/>
      <c r="AY124" s="3"/>
      <c r="BD124" s="3"/>
      <c r="BE124" s="3"/>
      <c r="BJ124" s="3"/>
      <c r="BK124" s="3"/>
      <c r="BP124" s="3"/>
      <c r="BQ124" s="3"/>
      <c r="BV124" s="3"/>
      <c r="BW124" s="3"/>
      <c r="BX124" s="3"/>
      <c r="BY124" s="3"/>
      <c r="BZ124" s="3"/>
      <c r="CA124" s="3"/>
      <c r="CF124" s="3"/>
    </row>
    <row r="125" ht="16.5" customHeight="1">
      <c r="A125" s="145">
        <v>0.0</v>
      </c>
      <c r="B125" s="145">
        <v>24.0</v>
      </c>
      <c r="C125" s="145" t="s">
        <v>180</v>
      </c>
      <c r="D125" s="146">
        <v>66.0</v>
      </c>
      <c r="E125" s="3"/>
      <c r="F125" s="3"/>
      <c r="G125" s="3"/>
      <c r="H125" s="3"/>
      <c r="I125" s="3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3"/>
      <c r="AR125" s="3"/>
      <c r="AS125" s="3"/>
      <c r="AT125" s="3"/>
      <c r="AU125" s="3"/>
      <c r="AV125" s="3"/>
      <c r="AW125" s="3"/>
      <c r="AX125" s="3"/>
      <c r="AY125" s="3"/>
      <c r="BD125" s="3"/>
      <c r="BE125" s="3"/>
      <c r="BJ125" s="3"/>
      <c r="BK125" s="3"/>
      <c r="BP125" s="3"/>
      <c r="BQ125" s="3"/>
      <c r="BV125" s="3"/>
      <c r="BW125" s="3"/>
      <c r="BX125" s="3"/>
      <c r="BY125" s="3"/>
      <c r="BZ125" s="3"/>
      <c r="CA125" s="3"/>
      <c r="CF125" s="3"/>
    </row>
    <row r="126" ht="16.5" customHeight="1">
      <c r="A126" s="145">
        <v>25.0</v>
      </c>
      <c r="B126" s="145">
        <v>44.0</v>
      </c>
      <c r="C126" s="145" t="s">
        <v>180</v>
      </c>
      <c r="D126" s="146">
        <v>77.0</v>
      </c>
      <c r="E126" s="3"/>
      <c r="F126" s="3"/>
      <c r="G126" s="3"/>
      <c r="H126" s="3"/>
      <c r="I126" s="3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3"/>
      <c r="AR126" s="3"/>
      <c r="AS126" s="3"/>
      <c r="AT126" s="3"/>
      <c r="AU126" s="3"/>
      <c r="AV126" s="3"/>
      <c r="AW126" s="3"/>
      <c r="AX126" s="3"/>
      <c r="AY126" s="3"/>
      <c r="BD126" s="3"/>
      <c r="BE126" s="3"/>
      <c r="BJ126" s="3"/>
      <c r="BK126" s="3"/>
      <c r="BP126" s="3"/>
      <c r="BQ126" s="3"/>
      <c r="BV126" s="3"/>
      <c r="BW126" s="3"/>
      <c r="BX126" s="3"/>
      <c r="BY126" s="3"/>
      <c r="BZ126" s="3"/>
      <c r="CA126" s="3"/>
      <c r="CF126" s="3"/>
    </row>
    <row r="127" ht="16.5" customHeight="1">
      <c r="A127" s="145">
        <v>45.0</v>
      </c>
      <c r="B127" s="145">
        <v>54.0</v>
      </c>
      <c r="C127" s="145" t="s">
        <v>180</v>
      </c>
      <c r="D127" s="146">
        <v>99.0</v>
      </c>
      <c r="E127" s="3"/>
      <c r="F127" s="3"/>
      <c r="G127" s="3"/>
      <c r="H127" s="3"/>
      <c r="I127" s="3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3"/>
      <c r="AR127" s="3"/>
      <c r="AS127" s="3"/>
      <c r="AT127" s="3"/>
      <c r="AU127" s="3"/>
      <c r="AV127" s="3"/>
      <c r="AW127" s="3"/>
      <c r="AX127" s="3"/>
      <c r="AY127" s="3"/>
      <c r="BD127" s="3"/>
      <c r="BE127" s="3"/>
      <c r="BJ127" s="3"/>
      <c r="BK127" s="3"/>
      <c r="BP127" s="3"/>
      <c r="BQ127" s="3"/>
      <c r="BV127" s="3"/>
      <c r="BW127" s="3"/>
      <c r="BX127" s="3"/>
      <c r="BY127" s="3"/>
      <c r="BZ127" s="3"/>
      <c r="CA127" s="3"/>
      <c r="CF127" s="3"/>
    </row>
    <row r="128" ht="16.5" customHeight="1">
      <c r="A128" s="145">
        <v>55.0</v>
      </c>
      <c r="B128" s="145">
        <v>59.0</v>
      </c>
      <c r="C128" s="145" t="s">
        <v>180</v>
      </c>
      <c r="D128" s="146">
        <v>164.0</v>
      </c>
      <c r="E128" s="3"/>
      <c r="F128" s="3"/>
      <c r="G128" s="3"/>
      <c r="H128" s="3"/>
      <c r="I128" s="3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3"/>
      <c r="AR128" s="3"/>
      <c r="AS128" s="3"/>
      <c r="AT128" s="3"/>
      <c r="AU128" s="3"/>
      <c r="AV128" s="3"/>
      <c r="AW128" s="3"/>
      <c r="AX128" s="3"/>
      <c r="AY128" s="3"/>
      <c r="BD128" s="3"/>
      <c r="BE128" s="3"/>
      <c r="BJ128" s="3"/>
      <c r="BK128" s="3"/>
      <c r="BP128" s="3"/>
      <c r="BQ128" s="3"/>
      <c r="BV128" s="3"/>
      <c r="BW128" s="3"/>
      <c r="BX128" s="3"/>
      <c r="BY128" s="3"/>
      <c r="BZ128" s="3"/>
      <c r="CA128" s="3"/>
      <c r="CF128" s="3"/>
    </row>
    <row r="129" ht="16.5" customHeight="1">
      <c r="A129" s="145">
        <v>60.0</v>
      </c>
      <c r="B129" s="145">
        <v>64.0</v>
      </c>
      <c r="C129" s="145" t="s">
        <v>180</v>
      </c>
      <c r="D129" s="146">
        <v>196.0</v>
      </c>
      <c r="E129" s="3"/>
      <c r="F129" s="3"/>
      <c r="G129" s="3"/>
      <c r="H129" s="3"/>
      <c r="I129" s="3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3"/>
      <c r="AR129" s="3"/>
      <c r="AS129" s="3"/>
      <c r="AT129" s="3"/>
      <c r="AU129" s="3"/>
      <c r="AV129" s="3"/>
      <c r="AW129" s="3"/>
      <c r="AX129" s="3"/>
      <c r="AY129" s="3"/>
      <c r="BD129" s="3"/>
      <c r="BE129" s="3"/>
      <c r="BJ129" s="3"/>
      <c r="BK129" s="3"/>
      <c r="BP129" s="3"/>
      <c r="BQ129" s="3"/>
      <c r="BV129" s="3"/>
      <c r="BW129" s="3"/>
      <c r="BX129" s="3"/>
      <c r="BY129" s="3"/>
      <c r="BZ129" s="3"/>
      <c r="CA129" s="3"/>
      <c r="CF129" s="3"/>
    </row>
    <row r="130" ht="16.5" customHeight="1">
      <c r="A130" s="145">
        <v>65.0</v>
      </c>
      <c r="B130" s="145">
        <v>69.0</v>
      </c>
      <c r="C130" s="145" t="s">
        <v>180</v>
      </c>
      <c r="D130" s="146">
        <v>275.0</v>
      </c>
      <c r="E130" s="3"/>
      <c r="F130" s="3"/>
      <c r="G130" s="3"/>
      <c r="H130" s="3"/>
      <c r="I130" s="3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3"/>
      <c r="AR130" s="3"/>
      <c r="AS130" s="3"/>
      <c r="AT130" s="3"/>
      <c r="AU130" s="3"/>
      <c r="AV130" s="3"/>
      <c r="AW130" s="3"/>
      <c r="AX130" s="3"/>
      <c r="AY130" s="3"/>
      <c r="BD130" s="3"/>
      <c r="BE130" s="3"/>
      <c r="BJ130" s="3"/>
      <c r="BK130" s="3"/>
      <c r="BP130" s="3"/>
      <c r="BQ130" s="3"/>
      <c r="BV130" s="3"/>
      <c r="BW130" s="3"/>
      <c r="BX130" s="3"/>
      <c r="BY130" s="3"/>
      <c r="BZ130" s="3"/>
      <c r="CA130" s="3"/>
      <c r="CF130" s="3"/>
    </row>
    <row r="131" ht="16.5" customHeight="1">
      <c r="A131" s="145">
        <v>70.0</v>
      </c>
      <c r="B131" s="145">
        <v>120.0</v>
      </c>
      <c r="C131" s="145" t="s">
        <v>180</v>
      </c>
      <c r="D131" s="146">
        <v>279.0</v>
      </c>
      <c r="E131" s="3"/>
      <c r="F131" s="3"/>
      <c r="G131" s="3"/>
      <c r="H131" s="3"/>
      <c r="I131" s="3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3"/>
      <c r="AR131" s="3"/>
      <c r="AS131" s="3"/>
      <c r="AT131" s="3"/>
      <c r="AU131" s="3"/>
      <c r="AV131" s="3"/>
      <c r="AW131" s="3"/>
      <c r="AX131" s="3"/>
      <c r="AY131" s="3"/>
      <c r="BD131" s="3"/>
      <c r="BE131" s="3"/>
      <c r="BJ131" s="3"/>
      <c r="BK131" s="3"/>
      <c r="BP131" s="3"/>
      <c r="BQ131" s="3"/>
      <c r="BV131" s="3"/>
      <c r="BW131" s="3"/>
      <c r="BX131" s="3"/>
      <c r="BY131" s="3"/>
      <c r="BZ131" s="3"/>
      <c r="CA131" s="3"/>
      <c r="CF131" s="3"/>
    </row>
    <row r="132" ht="16.5" customHeight="1">
      <c r="A132" s="145">
        <v>0.0</v>
      </c>
      <c r="B132" s="145">
        <v>24.0</v>
      </c>
      <c r="C132" s="145" t="s">
        <v>181</v>
      </c>
      <c r="D132" s="146">
        <v>67.0</v>
      </c>
      <c r="E132" s="3"/>
      <c r="F132" s="3"/>
      <c r="G132" s="3"/>
      <c r="H132" s="3"/>
      <c r="I132" s="3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3"/>
      <c r="AR132" s="3"/>
      <c r="AS132" s="3"/>
      <c r="AT132" s="3"/>
      <c r="AU132" s="3"/>
      <c r="AV132" s="3"/>
      <c r="AW132" s="3"/>
      <c r="AX132" s="3"/>
      <c r="AY132" s="3"/>
      <c r="BD132" s="3"/>
      <c r="BE132" s="3"/>
      <c r="BJ132" s="3"/>
      <c r="BK132" s="3"/>
      <c r="BP132" s="3"/>
      <c r="BQ132" s="3"/>
      <c r="BV132" s="3"/>
      <c r="BW132" s="3"/>
      <c r="BX132" s="3"/>
      <c r="BY132" s="3"/>
      <c r="BZ132" s="3"/>
      <c r="CA132" s="3"/>
      <c r="CF132" s="3"/>
    </row>
    <row r="133" ht="16.5" customHeight="1">
      <c r="A133" s="145">
        <v>25.0</v>
      </c>
      <c r="B133" s="145">
        <v>44.0</v>
      </c>
      <c r="C133" s="145" t="s">
        <v>181</v>
      </c>
      <c r="D133" s="146">
        <v>79.0</v>
      </c>
      <c r="E133" s="3"/>
      <c r="F133" s="3"/>
      <c r="G133" s="3"/>
      <c r="H133" s="3"/>
      <c r="I133" s="3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3"/>
      <c r="AR133" s="3"/>
      <c r="AS133" s="3"/>
      <c r="AT133" s="3"/>
      <c r="AU133" s="3"/>
      <c r="AV133" s="3"/>
      <c r="AW133" s="3"/>
      <c r="AX133" s="3"/>
      <c r="AY133" s="3"/>
      <c r="BD133" s="3"/>
      <c r="BE133" s="3"/>
      <c r="BJ133" s="3"/>
      <c r="BK133" s="3"/>
      <c r="BP133" s="3"/>
      <c r="BQ133" s="3"/>
      <c r="BV133" s="3"/>
      <c r="BW133" s="3"/>
      <c r="BX133" s="3"/>
      <c r="BY133" s="3"/>
      <c r="BZ133" s="3"/>
      <c r="CA133" s="3"/>
      <c r="CF133" s="3"/>
    </row>
    <row r="134" ht="16.5" customHeight="1">
      <c r="A134" s="145">
        <v>45.0</v>
      </c>
      <c r="B134" s="145">
        <v>54.0</v>
      </c>
      <c r="C134" s="145" t="s">
        <v>181</v>
      </c>
      <c r="D134" s="146">
        <v>100.0</v>
      </c>
      <c r="E134" s="3"/>
      <c r="F134" s="3"/>
      <c r="G134" s="3"/>
      <c r="H134" s="3"/>
      <c r="I134" s="3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3"/>
      <c r="AR134" s="3"/>
      <c r="AS134" s="3"/>
      <c r="AT134" s="3"/>
      <c r="AU134" s="3"/>
      <c r="AV134" s="3"/>
      <c r="AW134" s="3"/>
      <c r="AX134" s="3"/>
      <c r="AY134" s="3"/>
      <c r="BD134" s="3"/>
      <c r="BE134" s="3"/>
      <c r="BJ134" s="3"/>
      <c r="BK134" s="3"/>
      <c r="BP134" s="3"/>
      <c r="BQ134" s="3"/>
      <c r="BV134" s="3"/>
      <c r="BW134" s="3"/>
      <c r="BX134" s="3"/>
      <c r="BY134" s="3"/>
      <c r="BZ134" s="3"/>
      <c r="CA134" s="3"/>
      <c r="CF134" s="3"/>
    </row>
    <row r="135" ht="16.5" customHeight="1">
      <c r="A135" s="145">
        <v>55.0</v>
      </c>
      <c r="B135" s="145">
        <v>59.0</v>
      </c>
      <c r="C135" s="145" t="s">
        <v>181</v>
      </c>
      <c r="D135" s="146">
        <v>166.0</v>
      </c>
      <c r="E135" s="3"/>
      <c r="F135" s="3"/>
      <c r="G135" s="3"/>
      <c r="H135" s="3"/>
      <c r="I135" s="3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3"/>
      <c r="AR135" s="3"/>
      <c r="AS135" s="3"/>
      <c r="AT135" s="3"/>
      <c r="AU135" s="3"/>
      <c r="AV135" s="3"/>
      <c r="AW135" s="3"/>
      <c r="AX135" s="3"/>
      <c r="AY135" s="3"/>
      <c r="BD135" s="3"/>
      <c r="BE135" s="3"/>
      <c r="BJ135" s="3"/>
      <c r="BK135" s="3"/>
      <c r="BP135" s="3"/>
      <c r="BQ135" s="3"/>
      <c r="BV135" s="3"/>
      <c r="BW135" s="3"/>
      <c r="BX135" s="3"/>
      <c r="BY135" s="3"/>
      <c r="BZ135" s="3"/>
      <c r="CA135" s="3"/>
      <c r="CF135" s="3"/>
    </row>
    <row r="136" ht="16.5" customHeight="1">
      <c r="A136" s="145">
        <v>60.0</v>
      </c>
      <c r="B136" s="145">
        <v>64.0</v>
      </c>
      <c r="C136" s="145" t="s">
        <v>181</v>
      </c>
      <c r="D136" s="146">
        <v>205.0</v>
      </c>
      <c r="E136" s="3"/>
      <c r="F136" s="3"/>
      <c r="G136" s="3"/>
      <c r="H136" s="3"/>
      <c r="I136" s="3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3"/>
      <c r="AR136" s="3"/>
      <c r="AS136" s="3"/>
      <c r="AT136" s="3"/>
      <c r="AU136" s="3"/>
      <c r="AV136" s="3"/>
      <c r="AW136" s="3"/>
      <c r="AX136" s="3"/>
      <c r="AY136" s="3"/>
      <c r="BD136" s="3"/>
      <c r="BE136" s="3"/>
      <c r="BJ136" s="3"/>
      <c r="BK136" s="3"/>
      <c r="BP136" s="3"/>
      <c r="BQ136" s="3"/>
      <c r="BV136" s="3"/>
      <c r="BW136" s="3"/>
      <c r="BX136" s="3"/>
      <c r="BY136" s="3"/>
      <c r="BZ136" s="3"/>
      <c r="CA136" s="3"/>
      <c r="CF136" s="3"/>
    </row>
    <row r="137" ht="16.5" customHeight="1">
      <c r="A137" s="145">
        <v>65.0</v>
      </c>
      <c r="B137" s="145">
        <v>69.0</v>
      </c>
      <c r="C137" s="145" t="s">
        <v>181</v>
      </c>
      <c r="D137" s="146">
        <v>289.0</v>
      </c>
      <c r="E137" s="3"/>
      <c r="F137" s="3"/>
      <c r="G137" s="3"/>
      <c r="H137" s="3"/>
      <c r="I137" s="3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3"/>
      <c r="AR137" s="3"/>
      <c r="AS137" s="3"/>
      <c r="AT137" s="3"/>
      <c r="AU137" s="3"/>
      <c r="AV137" s="3"/>
      <c r="AW137" s="3"/>
      <c r="AX137" s="3"/>
      <c r="AY137" s="3"/>
      <c r="BD137" s="3"/>
      <c r="BE137" s="3"/>
      <c r="BJ137" s="3"/>
      <c r="BK137" s="3"/>
      <c r="BP137" s="3"/>
      <c r="BQ137" s="3"/>
      <c r="BV137" s="3"/>
      <c r="BW137" s="3"/>
      <c r="BX137" s="3"/>
      <c r="BY137" s="3"/>
      <c r="BZ137" s="3"/>
      <c r="CA137" s="3"/>
      <c r="CF137" s="3"/>
    </row>
    <row r="138" ht="16.5" customHeight="1">
      <c r="A138" s="145">
        <v>70.0</v>
      </c>
      <c r="B138" s="145">
        <v>120.0</v>
      </c>
      <c r="C138" s="145" t="s">
        <v>181</v>
      </c>
      <c r="D138" s="146">
        <v>295.0</v>
      </c>
      <c r="E138" s="3"/>
      <c r="F138" s="3"/>
      <c r="G138" s="3"/>
      <c r="H138" s="3"/>
      <c r="I138" s="3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3"/>
      <c r="AR138" s="3"/>
      <c r="AS138" s="3"/>
      <c r="AT138" s="3"/>
      <c r="AU138" s="3"/>
      <c r="AV138" s="3"/>
      <c r="AW138" s="3"/>
      <c r="AX138" s="3"/>
      <c r="AY138" s="3"/>
      <c r="BD138" s="3"/>
      <c r="BE138" s="3"/>
      <c r="BJ138" s="3"/>
      <c r="BK138" s="3"/>
      <c r="BP138" s="3"/>
      <c r="BQ138" s="3"/>
      <c r="BV138" s="3"/>
      <c r="BW138" s="3"/>
      <c r="BX138" s="3"/>
      <c r="BY138" s="3"/>
      <c r="BZ138" s="3"/>
      <c r="CA138" s="3"/>
      <c r="CF138" s="3"/>
    </row>
    <row r="139" ht="16.5" customHeight="1">
      <c r="A139" s="145">
        <v>0.0</v>
      </c>
      <c r="B139" s="145">
        <v>24.0</v>
      </c>
      <c r="C139" s="145" t="s">
        <v>182</v>
      </c>
      <c r="D139" s="146">
        <v>69.0</v>
      </c>
      <c r="E139" s="3"/>
      <c r="F139" s="3"/>
      <c r="G139" s="3"/>
      <c r="H139" s="3"/>
      <c r="I139" s="3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3"/>
      <c r="AR139" s="3"/>
      <c r="AS139" s="3"/>
      <c r="AT139" s="3"/>
      <c r="AU139" s="3"/>
      <c r="AV139" s="3"/>
      <c r="AW139" s="3"/>
      <c r="AX139" s="3"/>
      <c r="AY139" s="3"/>
      <c r="BD139" s="3"/>
      <c r="BE139" s="3"/>
      <c r="BJ139" s="3"/>
      <c r="BK139" s="3"/>
      <c r="BP139" s="3"/>
      <c r="BQ139" s="3"/>
      <c r="BV139" s="3"/>
      <c r="BW139" s="3"/>
      <c r="BX139" s="3"/>
      <c r="BY139" s="3"/>
      <c r="BZ139" s="3"/>
      <c r="CA139" s="3"/>
      <c r="CF139" s="3"/>
    </row>
    <row r="140" ht="16.5" customHeight="1">
      <c r="A140" s="145">
        <v>25.0</v>
      </c>
      <c r="B140" s="145">
        <v>44.0</v>
      </c>
      <c r="C140" s="145" t="s">
        <v>182</v>
      </c>
      <c r="D140" s="146">
        <v>79.0</v>
      </c>
      <c r="E140" s="3"/>
      <c r="F140" s="3"/>
      <c r="G140" s="3"/>
      <c r="H140" s="3"/>
      <c r="I140" s="3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3"/>
      <c r="AR140" s="3"/>
      <c r="AS140" s="3"/>
      <c r="AT140" s="3"/>
      <c r="AU140" s="3"/>
      <c r="AV140" s="3"/>
      <c r="AW140" s="3"/>
      <c r="AX140" s="3"/>
      <c r="AY140" s="3"/>
      <c r="BD140" s="3"/>
      <c r="BE140" s="3"/>
      <c r="BJ140" s="3"/>
      <c r="BK140" s="3"/>
      <c r="BP140" s="3"/>
      <c r="BQ140" s="3"/>
      <c r="BV140" s="3"/>
      <c r="BW140" s="3"/>
      <c r="BX140" s="3"/>
      <c r="BY140" s="3"/>
      <c r="BZ140" s="3"/>
      <c r="CA140" s="3"/>
      <c r="CF140" s="3"/>
    </row>
    <row r="141" ht="16.5" customHeight="1">
      <c r="A141" s="145">
        <v>45.0</v>
      </c>
      <c r="B141" s="145">
        <v>54.0</v>
      </c>
      <c r="C141" s="145" t="s">
        <v>182</v>
      </c>
      <c r="D141" s="146">
        <v>105.0</v>
      </c>
      <c r="E141" s="3"/>
      <c r="F141" s="3"/>
      <c r="G141" s="3"/>
      <c r="H141" s="3"/>
      <c r="I141" s="3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3"/>
      <c r="AR141" s="3"/>
      <c r="AS141" s="3"/>
      <c r="AT141" s="3"/>
      <c r="AU141" s="3"/>
      <c r="AV141" s="3"/>
      <c r="AW141" s="3"/>
      <c r="AX141" s="3"/>
      <c r="AY141" s="3"/>
      <c r="BD141" s="3"/>
      <c r="BE141" s="3"/>
      <c r="BJ141" s="3"/>
      <c r="BK141" s="3"/>
      <c r="BP141" s="3"/>
      <c r="BQ141" s="3"/>
      <c r="BV141" s="3"/>
      <c r="BW141" s="3"/>
      <c r="BX141" s="3"/>
      <c r="BY141" s="3"/>
      <c r="BZ141" s="3"/>
      <c r="CA141" s="3"/>
      <c r="CF141" s="3"/>
    </row>
    <row r="142" ht="16.5" customHeight="1">
      <c r="A142" s="145">
        <v>55.0</v>
      </c>
      <c r="B142" s="145">
        <v>59.0</v>
      </c>
      <c r="C142" s="145" t="s">
        <v>182</v>
      </c>
      <c r="D142" s="146">
        <v>167.0</v>
      </c>
      <c r="E142" s="3"/>
      <c r="F142" s="3"/>
      <c r="G142" s="3"/>
      <c r="H142" s="3"/>
      <c r="I142" s="3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3"/>
      <c r="AR142" s="3"/>
      <c r="AS142" s="3"/>
      <c r="AT142" s="3"/>
      <c r="AU142" s="3"/>
      <c r="AV142" s="3"/>
      <c r="AW142" s="3"/>
      <c r="AX142" s="3"/>
      <c r="AY142" s="3"/>
      <c r="BD142" s="3"/>
      <c r="BE142" s="3"/>
      <c r="BJ142" s="3"/>
      <c r="BK142" s="3"/>
      <c r="BP142" s="3"/>
      <c r="BQ142" s="3"/>
      <c r="BV142" s="3"/>
      <c r="BW142" s="3"/>
      <c r="BX142" s="3"/>
      <c r="BY142" s="3"/>
      <c r="BZ142" s="3"/>
      <c r="CA142" s="3"/>
      <c r="CF142" s="3"/>
    </row>
    <row r="143" ht="16.5" customHeight="1">
      <c r="A143" s="145">
        <v>60.0</v>
      </c>
      <c r="B143" s="145">
        <v>64.0</v>
      </c>
      <c r="C143" s="145" t="s">
        <v>182</v>
      </c>
      <c r="D143" s="146">
        <v>207.0</v>
      </c>
      <c r="E143" s="3"/>
      <c r="F143" s="3"/>
      <c r="G143" s="3"/>
      <c r="H143" s="3"/>
      <c r="I143" s="3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3"/>
      <c r="AR143" s="3"/>
      <c r="AS143" s="3"/>
      <c r="AT143" s="3"/>
      <c r="AU143" s="3"/>
      <c r="AV143" s="3"/>
      <c r="AW143" s="3"/>
      <c r="AX143" s="3"/>
      <c r="AY143" s="3"/>
      <c r="BD143" s="3"/>
      <c r="BE143" s="3"/>
      <c r="BJ143" s="3"/>
      <c r="BK143" s="3"/>
      <c r="BP143" s="3"/>
      <c r="BQ143" s="3"/>
      <c r="BV143" s="3"/>
      <c r="BW143" s="3"/>
      <c r="BX143" s="3"/>
      <c r="BY143" s="3"/>
      <c r="BZ143" s="3"/>
      <c r="CA143" s="3"/>
      <c r="CF143" s="3"/>
    </row>
    <row r="144" ht="16.5" customHeight="1">
      <c r="A144" s="145">
        <v>65.0</v>
      </c>
      <c r="B144" s="145">
        <v>69.0</v>
      </c>
      <c r="C144" s="145" t="s">
        <v>182</v>
      </c>
      <c r="D144" s="146">
        <v>291.0</v>
      </c>
      <c r="E144" s="3"/>
      <c r="F144" s="3"/>
      <c r="G144" s="3"/>
      <c r="H144" s="3"/>
      <c r="I144" s="3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3"/>
      <c r="AR144" s="3"/>
      <c r="AS144" s="3"/>
      <c r="AT144" s="3"/>
      <c r="AU144" s="3"/>
      <c r="AV144" s="3"/>
      <c r="AW144" s="3"/>
      <c r="AX144" s="3"/>
      <c r="AY144" s="3"/>
      <c r="BD144" s="3"/>
      <c r="BE144" s="3"/>
      <c r="BJ144" s="3"/>
      <c r="BK144" s="3"/>
      <c r="BP144" s="3"/>
      <c r="BQ144" s="3"/>
      <c r="BV144" s="3"/>
      <c r="BW144" s="3"/>
      <c r="BX144" s="3"/>
      <c r="BY144" s="3"/>
      <c r="BZ144" s="3"/>
      <c r="CA144" s="3"/>
      <c r="CF144" s="3"/>
    </row>
    <row r="145" ht="16.5" customHeight="1">
      <c r="A145" s="145">
        <v>70.0</v>
      </c>
      <c r="B145" s="145">
        <v>120.0</v>
      </c>
      <c r="C145" s="145" t="s">
        <v>182</v>
      </c>
      <c r="D145" s="146">
        <v>297.0</v>
      </c>
      <c r="E145" s="3"/>
      <c r="F145" s="3"/>
      <c r="G145" s="3"/>
      <c r="H145" s="3"/>
      <c r="I145" s="3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3"/>
      <c r="AR145" s="3"/>
      <c r="AS145" s="3"/>
      <c r="AT145" s="3"/>
      <c r="AU145" s="3"/>
      <c r="AV145" s="3"/>
      <c r="AW145" s="3"/>
      <c r="AX145" s="3"/>
      <c r="AY145" s="3"/>
      <c r="BD145" s="3"/>
      <c r="BE145" s="3"/>
      <c r="BJ145" s="3"/>
      <c r="BK145" s="3"/>
      <c r="BP145" s="3"/>
      <c r="BQ145" s="3"/>
      <c r="BV145" s="3"/>
      <c r="BW145" s="3"/>
      <c r="BX145" s="3"/>
      <c r="BY145" s="3"/>
      <c r="BZ145" s="3"/>
      <c r="CA145" s="3"/>
      <c r="CF145" s="3"/>
    </row>
    <row r="146" ht="16.5" customHeight="1">
      <c r="A146" s="145">
        <v>0.0</v>
      </c>
      <c r="B146" s="145">
        <v>24.0</v>
      </c>
      <c r="C146" s="145" t="s">
        <v>183</v>
      </c>
      <c r="D146" s="146">
        <v>83.0</v>
      </c>
      <c r="E146" s="3"/>
      <c r="F146" s="3"/>
      <c r="G146" s="3"/>
      <c r="H146" s="3"/>
      <c r="I146" s="3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3"/>
      <c r="AR146" s="3"/>
      <c r="AS146" s="3"/>
      <c r="AT146" s="3"/>
      <c r="AU146" s="3"/>
      <c r="AV146" s="3"/>
      <c r="AW146" s="3"/>
      <c r="AX146" s="3"/>
      <c r="AY146" s="3"/>
      <c r="BD146" s="3"/>
      <c r="BE146" s="3"/>
      <c r="BJ146" s="3"/>
      <c r="BK146" s="3"/>
      <c r="BP146" s="3"/>
      <c r="BQ146" s="3"/>
      <c r="BV146" s="3"/>
      <c r="BW146" s="3"/>
      <c r="BX146" s="3"/>
      <c r="BY146" s="3"/>
      <c r="BZ146" s="3"/>
      <c r="CA146" s="3"/>
      <c r="CF146" s="3"/>
    </row>
    <row r="147" ht="16.5" customHeight="1">
      <c r="A147" s="145">
        <v>25.0</v>
      </c>
      <c r="B147" s="145">
        <v>44.0</v>
      </c>
      <c r="C147" s="145" t="s">
        <v>183</v>
      </c>
      <c r="D147" s="146">
        <v>99.0</v>
      </c>
      <c r="E147" s="3"/>
      <c r="F147" s="3"/>
      <c r="G147" s="3"/>
      <c r="H147" s="3"/>
      <c r="I147" s="3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3"/>
      <c r="AR147" s="3"/>
      <c r="AS147" s="3"/>
      <c r="AT147" s="3"/>
      <c r="AU147" s="3"/>
      <c r="AV147" s="3"/>
      <c r="AW147" s="3"/>
      <c r="AX147" s="3"/>
      <c r="AY147" s="3"/>
      <c r="BD147" s="3"/>
      <c r="BE147" s="3"/>
      <c r="BJ147" s="3"/>
      <c r="BK147" s="3"/>
      <c r="BP147" s="3"/>
      <c r="BQ147" s="3"/>
      <c r="BV147" s="3"/>
      <c r="BW147" s="3"/>
      <c r="BX147" s="3"/>
      <c r="BY147" s="3"/>
      <c r="BZ147" s="3"/>
      <c r="CA147" s="3"/>
      <c r="CF147" s="3"/>
    </row>
    <row r="148" ht="16.5" customHeight="1">
      <c r="A148" s="145">
        <v>45.0</v>
      </c>
      <c r="B148" s="145">
        <v>54.0</v>
      </c>
      <c r="C148" s="145" t="s">
        <v>183</v>
      </c>
      <c r="D148" s="146">
        <v>121.0</v>
      </c>
      <c r="E148" s="3"/>
      <c r="F148" s="3"/>
      <c r="G148" s="3"/>
      <c r="H148" s="3"/>
      <c r="I148" s="3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3"/>
      <c r="AR148" s="3"/>
      <c r="AS148" s="3"/>
      <c r="AT148" s="3"/>
      <c r="AU148" s="3"/>
      <c r="AV148" s="3"/>
      <c r="AW148" s="3"/>
      <c r="AX148" s="3"/>
      <c r="AY148" s="3"/>
      <c r="BD148" s="3"/>
      <c r="BE148" s="3"/>
      <c r="BJ148" s="3"/>
      <c r="BK148" s="3"/>
      <c r="BP148" s="3"/>
      <c r="BQ148" s="3"/>
      <c r="BV148" s="3"/>
      <c r="BW148" s="3"/>
      <c r="BX148" s="3"/>
      <c r="BY148" s="3"/>
      <c r="BZ148" s="3"/>
      <c r="CA148" s="3"/>
      <c r="CF148" s="3"/>
    </row>
    <row r="149" ht="16.5" customHeight="1">
      <c r="A149" s="145">
        <v>55.0</v>
      </c>
      <c r="B149" s="145">
        <v>59.0</v>
      </c>
      <c r="C149" s="145" t="s">
        <v>183</v>
      </c>
      <c r="D149" s="146">
        <v>169.0</v>
      </c>
      <c r="E149" s="3"/>
      <c r="F149" s="3"/>
      <c r="G149" s="3"/>
      <c r="H149" s="3"/>
      <c r="I149" s="3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3"/>
      <c r="AR149" s="3"/>
      <c r="AS149" s="3"/>
      <c r="AT149" s="3"/>
      <c r="AU149" s="3"/>
      <c r="AV149" s="3"/>
      <c r="AW149" s="3"/>
      <c r="AX149" s="3"/>
      <c r="AY149" s="3"/>
      <c r="BD149" s="3"/>
      <c r="BE149" s="3"/>
      <c r="BJ149" s="3"/>
      <c r="BK149" s="3"/>
      <c r="BP149" s="3"/>
      <c r="BQ149" s="3"/>
      <c r="BV149" s="3"/>
      <c r="BW149" s="3"/>
      <c r="BX149" s="3"/>
      <c r="BY149" s="3"/>
      <c r="BZ149" s="3"/>
      <c r="CA149" s="3"/>
      <c r="CF149" s="3"/>
    </row>
    <row r="150" ht="16.5" customHeight="1">
      <c r="A150" s="145">
        <v>60.0</v>
      </c>
      <c r="B150" s="145">
        <v>62.0</v>
      </c>
      <c r="C150" s="145" t="s">
        <v>183</v>
      </c>
      <c r="D150" s="146">
        <v>207.0</v>
      </c>
      <c r="E150" s="3"/>
      <c r="F150" s="3"/>
      <c r="G150" s="3"/>
      <c r="H150" s="3"/>
      <c r="I150" s="3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3"/>
      <c r="AR150" s="3"/>
      <c r="AS150" s="3"/>
      <c r="AT150" s="3"/>
      <c r="AU150" s="3"/>
      <c r="AV150" s="3"/>
      <c r="AW150" s="3"/>
      <c r="AX150" s="3"/>
      <c r="AY150" s="3"/>
      <c r="BD150" s="3"/>
      <c r="BE150" s="3"/>
      <c r="BJ150" s="3"/>
      <c r="BK150" s="3"/>
      <c r="BP150" s="3"/>
      <c r="BQ150" s="3"/>
      <c r="BV150" s="3"/>
      <c r="BW150" s="3"/>
      <c r="BX150" s="3"/>
      <c r="BY150" s="3"/>
      <c r="BZ150" s="3"/>
      <c r="CA150" s="3"/>
      <c r="CF150" s="3"/>
    </row>
    <row r="151" ht="16.5" customHeight="1">
      <c r="A151" s="145">
        <v>63.0</v>
      </c>
      <c r="B151" s="145">
        <v>120.0</v>
      </c>
      <c r="C151" s="145" t="s">
        <v>183</v>
      </c>
      <c r="D151" s="146">
        <v>273.0</v>
      </c>
      <c r="E151" s="3"/>
      <c r="F151" s="3"/>
      <c r="G151" s="3"/>
      <c r="H151" s="3"/>
      <c r="I151" s="3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3"/>
      <c r="AR151" s="3"/>
      <c r="AS151" s="3"/>
      <c r="AT151" s="3"/>
      <c r="AU151" s="3"/>
      <c r="AV151" s="3"/>
      <c r="AW151" s="3"/>
      <c r="AX151" s="3"/>
      <c r="AY151" s="3"/>
      <c r="BD151" s="3"/>
      <c r="BE151" s="3"/>
      <c r="BJ151" s="3"/>
      <c r="BK151" s="3"/>
      <c r="BP151" s="3"/>
      <c r="BQ151" s="3"/>
      <c r="BV151" s="3"/>
      <c r="BW151" s="3"/>
      <c r="BX151" s="3"/>
      <c r="BY151" s="3"/>
      <c r="BZ151" s="3"/>
      <c r="CA151" s="3"/>
      <c r="CF151" s="3"/>
    </row>
    <row r="152" ht="16.5" customHeight="1">
      <c r="A152" s="145">
        <v>0.0</v>
      </c>
      <c r="B152" s="145">
        <v>24.0</v>
      </c>
      <c r="C152" s="145" t="s">
        <v>184</v>
      </c>
      <c r="D152" s="146">
        <v>85.0</v>
      </c>
      <c r="E152" s="3"/>
      <c r="F152" s="3"/>
      <c r="G152" s="3"/>
      <c r="H152" s="3"/>
      <c r="I152" s="3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3"/>
      <c r="AR152" s="3"/>
      <c r="AS152" s="3"/>
      <c r="AT152" s="3"/>
      <c r="AU152" s="3"/>
      <c r="AV152" s="3"/>
      <c r="AW152" s="3"/>
      <c r="AX152" s="3"/>
      <c r="AY152" s="3"/>
      <c r="BD152" s="3"/>
      <c r="BE152" s="3"/>
      <c r="BJ152" s="3"/>
      <c r="BK152" s="3"/>
      <c r="BP152" s="3"/>
      <c r="BQ152" s="3"/>
      <c r="BV152" s="3"/>
      <c r="BW152" s="3"/>
      <c r="BX152" s="3"/>
      <c r="BY152" s="3"/>
      <c r="BZ152" s="3"/>
      <c r="CA152" s="3"/>
      <c r="CF152" s="3"/>
    </row>
    <row r="153" ht="16.5" customHeight="1">
      <c r="A153" s="145">
        <v>25.0</v>
      </c>
      <c r="B153" s="145">
        <v>44.0</v>
      </c>
      <c r="C153" s="145" t="s">
        <v>184</v>
      </c>
      <c r="D153" s="146">
        <v>103.0</v>
      </c>
      <c r="E153" s="3"/>
      <c r="F153" s="3"/>
      <c r="G153" s="3"/>
      <c r="H153" s="3"/>
      <c r="I153" s="3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3"/>
      <c r="AR153" s="3"/>
      <c r="AS153" s="3"/>
      <c r="AT153" s="3"/>
      <c r="AU153" s="3"/>
      <c r="AV153" s="3"/>
      <c r="AW153" s="3"/>
      <c r="AX153" s="3"/>
      <c r="AY153" s="3"/>
      <c r="BD153" s="3"/>
      <c r="BE153" s="3"/>
      <c r="BJ153" s="3"/>
      <c r="BK153" s="3"/>
      <c r="BP153" s="3"/>
      <c r="BQ153" s="3"/>
      <c r="BV153" s="3"/>
      <c r="BW153" s="3"/>
      <c r="BX153" s="3"/>
      <c r="BY153" s="3"/>
      <c r="BZ153" s="3"/>
      <c r="CA153" s="3"/>
      <c r="CF153" s="3"/>
    </row>
    <row r="154" ht="16.5" customHeight="1">
      <c r="A154" s="145">
        <v>45.0</v>
      </c>
      <c r="B154" s="145">
        <v>54.0</v>
      </c>
      <c r="C154" s="145" t="s">
        <v>184</v>
      </c>
      <c r="D154" s="146">
        <v>124.0</v>
      </c>
      <c r="E154" s="3"/>
      <c r="F154" s="3"/>
      <c r="G154" s="3"/>
      <c r="H154" s="3"/>
      <c r="I154" s="3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3"/>
      <c r="AR154" s="3"/>
      <c r="AS154" s="3"/>
      <c r="AT154" s="3"/>
      <c r="AU154" s="3"/>
      <c r="AV154" s="3"/>
      <c r="AW154" s="3"/>
      <c r="AX154" s="3"/>
      <c r="AY154" s="3"/>
      <c r="BD154" s="3"/>
      <c r="BE154" s="3"/>
      <c r="BJ154" s="3"/>
      <c r="BK154" s="3"/>
      <c r="BP154" s="3"/>
      <c r="BQ154" s="3"/>
      <c r="BV154" s="3"/>
      <c r="BW154" s="3"/>
      <c r="BX154" s="3"/>
      <c r="BY154" s="3"/>
      <c r="BZ154" s="3"/>
      <c r="CA154" s="3"/>
      <c r="CF154" s="3"/>
    </row>
    <row r="155" ht="16.5" customHeight="1">
      <c r="A155" s="145">
        <v>55.0</v>
      </c>
      <c r="B155" s="145">
        <v>59.0</v>
      </c>
      <c r="C155" s="145" t="s">
        <v>184</v>
      </c>
      <c r="D155" s="146">
        <v>176.0</v>
      </c>
      <c r="E155" s="3"/>
      <c r="F155" s="3"/>
      <c r="G155" s="3"/>
      <c r="H155" s="3"/>
      <c r="I155" s="3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3"/>
      <c r="AR155" s="3"/>
      <c r="AS155" s="3"/>
      <c r="AT155" s="3"/>
      <c r="AU155" s="3"/>
      <c r="AV155" s="3"/>
      <c r="AW155" s="3"/>
      <c r="AX155" s="3"/>
      <c r="AY155" s="3"/>
      <c r="BD155" s="3"/>
      <c r="BE155" s="3"/>
      <c r="BJ155" s="3"/>
      <c r="BK155" s="3"/>
      <c r="BP155" s="3"/>
      <c r="BQ155" s="3"/>
      <c r="BV155" s="3"/>
      <c r="BW155" s="3"/>
      <c r="BX155" s="3"/>
      <c r="BY155" s="3"/>
      <c r="BZ155" s="3"/>
      <c r="CA155" s="3"/>
      <c r="CF155" s="3"/>
    </row>
    <row r="156" ht="16.5" customHeight="1">
      <c r="A156" s="145">
        <v>60.0</v>
      </c>
      <c r="B156" s="145">
        <v>62.0</v>
      </c>
      <c r="C156" s="145" t="s">
        <v>184</v>
      </c>
      <c r="D156" s="146">
        <v>217.0</v>
      </c>
      <c r="E156" s="3"/>
      <c r="F156" s="3"/>
      <c r="G156" s="3"/>
      <c r="H156" s="3"/>
      <c r="I156" s="3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3"/>
      <c r="AR156" s="3"/>
      <c r="AS156" s="3"/>
      <c r="AT156" s="3"/>
      <c r="AU156" s="3"/>
      <c r="AV156" s="3"/>
      <c r="AW156" s="3"/>
      <c r="AX156" s="3"/>
      <c r="AY156" s="3"/>
      <c r="BD156" s="3"/>
      <c r="BE156" s="3"/>
      <c r="BJ156" s="3"/>
      <c r="BK156" s="3"/>
      <c r="BP156" s="3"/>
      <c r="BQ156" s="3"/>
      <c r="BV156" s="3"/>
      <c r="BW156" s="3"/>
      <c r="BX156" s="3"/>
      <c r="BY156" s="3"/>
      <c r="BZ156" s="3"/>
      <c r="CA156" s="3"/>
      <c r="CF156" s="3"/>
    </row>
    <row r="157" ht="16.5" customHeight="1">
      <c r="A157" s="145">
        <v>63.0</v>
      </c>
      <c r="B157" s="145">
        <v>120.0</v>
      </c>
      <c r="C157" s="145" t="s">
        <v>184</v>
      </c>
      <c r="D157" s="146">
        <v>284.0</v>
      </c>
      <c r="E157" s="3"/>
      <c r="F157" s="3"/>
      <c r="G157" s="3"/>
      <c r="H157" s="3"/>
      <c r="I157" s="3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3"/>
      <c r="AR157" s="3"/>
      <c r="AS157" s="3"/>
      <c r="AT157" s="3"/>
      <c r="AU157" s="3"/>
      <c r="AV157" s="3"/>
      <c r="AW157" s="3"/>
      <c r="AX157" s="3"/>
      <c r="AY157" s="3"/>
      <c r="BD157" s="3"/>
      <c r="BE157" s="3"/>
      <c r="BJ157" s="3"/>
      <c r="BK157" s="3"/>
      <c r="BP157" s="3"/>
      <c r="BQ157" s="3"/>
      <c r="BV157" s="3"/>
      <c r="BW157" s="3"/>
      <c r="BX157" s="3"/>
      <c r="BY157" s="3"/>
      <c r="BZ157" s="3"/>
      <c r="CA157" s="3"/>
      <c r="CF157" s="3"/>
    </row>
    <row r="158" ht="16.5" customHeight="1">
      <c r="A158" s="145">
        <v>0.0</v>
      </c>
      <c r="B158" s="145">
        <v>24.0</v>
      </c>
      <c r="C158" s="145" t="s">
        <v>185</v>
      </c>
      <c r="D158" s="146">
        <v>86.0</v>
      </c>
      <c r="E158" s="3"/>
      <c r="F158" s="3"/>
      <c r="G158" s="3"/>
      <c r="H158" s="3"/>
      <c r="I158" s="3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3"/>
      <c r="AR158" s="3"/>
      <c r="AS158" s="3"/>
      <c r="AT158" s="3"/>
      <c r="AU158" s="3"/>
      <c r="AV158" s="3"/>
      <c r="AW158" s="3"/>
      <c r="AX158" s="3"/>
      <c r="AY158" s="3"/>
      <c r="BD158" s="3"/>
      <c r="BE158" s="3"/>
      <c r="BJ158" s="3"/>
      <c r="BK158" s="3"/>
      <c r="BP158" s="3"/>
      <c r="BQ158" s="3"/>
      <c r="BV158" s="3"/>
      <c r="BW158" s="3"/>
      <c r="BX158" s="3"/>
      <c r="BY158" s="3"/>
      <c r="BZ158" s="3"/>
      <c r="CA158" s="3"/>
      <c r="CF158" s="3"/>
    </row>
    <row r="159" ht="16.5" customHeight="1">
      <c r="A159" s="145">
        <v>25.0</v>
      </c>
      <c r="B159" s="145">
        <v>44.0</v>
      </c>
      <c r="C159" s="145" t="s">
        <v>185</v>
      </c>
      <c r="D159" s="146">
        <v>104.0</v>
      </c>
      <c r="E159" s="3"/>
      <c r="F159" s="3"/>
      <c r="G159" s="3"/>
      <c r="H159" s="3"/>
      <c r="I159" s="3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3"/>
      <c r="AR159" s="3"/>
      <c r="AS159" s="3"/>
      <c r="AT159" s="3"/>
      <c r="AU159" s="3"/>
      <c r="AV159" s="3"/>
      <c r="AW159" s="3"/>
      <c r="AX159" s="3"/>
      <c r="AY159" s="3"/>
      <c r="BD159" s="3"/>
      <c r="BE159" s="3"/>
      <c r="BJ159" s="3"/>
      <c r="BK159" s="3"/>
      <c r="BP159" s="3"/>
      <c r="BQ159" s="3"/>
      <c r="BV159" s="3"/>
      <c r="BW159" s="3"/>
      <c r="BX159" s="3"/>
      <c r="BY159" s="3"/>
      <c r="BZ159" s="3"/>
      <c r="CA159" s="3"/>
      <c r="CF159" s="3"/>
    </row>
    <row r="160" ht="16.5" customHeight="1">
      <c r="A160" s="145">
        <v>45.0</v>
      </c>
      <c r="B160" s="145">
        <v>54.0</v>
      </c>
      <c r="C160" s="145" t="s">
        <v>185</v>
      </c>
      <c r="D160" s="146">
        <v>126.5</v>
      </c>
      <c r="E160" s="3"/>
      <c r="F160" s="3"/>
      <c r="G160" s="3"/>
      <c r="H160" s="3"/>
      <c r="I160" s="3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3"/>
      <c r="AR160" s="3"/>
      <c r="AS160" s="3"/>
      <c r="AT160" s="3"/>
      <c r="AU160" s="3"/>
      <c r="AV160" s="3"/>
      <c r="AW160" s="3"/>
      <c r="AX160" s="3"/>
      <c r="AY160" s="3"/>
      <c r="BD160" s="3"/>
      <c r="BE160" s="3"/>
      <c r="BJ160" s="3"/>
      <c r="BK160" s="3"/>
      <c r="BP160" s="3"/>
      <c r="BQ160" s="3"/>
      <c r="BV160" s="3"/>
      <c r="BW160" s="3"/>
      <c r="BX160" s="3"/>
      <c r="BY160" s="3"/>
      <c r="BZ160" s="3"/>
      <c r="CA160" s="3"/>
      <c r="CF160" s="3"/>
    </row>
    <row r="161" ht="16.5" customHeight="1">
      <c r="A161" s="145">
        <v>55.0</v>
      </c>
      <c r="B161" s="145">
        <v>59.0</v>
      </c>
      <c r="C161" s="145" t="s">
        <v>185</v>
      </c>
      <c r="D161" s="146">
        <v>179.0</v>
      </c>
      <c r="E161" s="3"/>
      <c r="F161" s="3"/>
      <c r="G161" s="3"/>
      <c r="H161" s="3"/>
      <c r="I161" s="3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3"/>
      <c r="AR161" s="3"/>
      <c r="AS161" s="3"/>
      <c r="AT161" s="3"/>
      <c r="AU161" s="3"/>
      <c r="AV161" s="3"/>
      <c r="AW161" s="3"/>
      <c r="AX161" s="3"/>
      <c r="AY161" s="3"/>
      <c r="BD161" s="3"/>
      <c r="BE161" s="3"/>
      <c r="BJ161" s="3"/>
      <c r="BK161" s="3"/>
      <c r="BP161" s="3"/>
      <c r="BQ161" s="3"/>
      <c r="BV161" s="3"/>
      <c r="BW161" s="3"/>
      <c r="BX161" s="3"/>
      <c r="BY161" s="3"/>
      <c r="BZ161" s="3"/>
      <c r="CA161" s="3"/>
      <c r="CF161" s="3"/>
    </row>
    <row r="162" ht="16.5" customHeight="1">
      <c r="A162" s="145">
        <v>60.0</v>
      </c>
      <c r="B162" s="145">
        <v>62.0</v>
      </c>
      <c r="C162" s="145" t="s">
        <v>185</v>
      </c>
      <c r="D162" s="146">
        <v>223.0</v>
      </c>
      <c r="E162" s="3"/>
      <c r="F162" s="3"/>
      <c r="G162" s="3"/>
      <c r="H162" s="3"/>
      <c r="I162" s="3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3"/>
      <c r="AR162" s="3"/>
      <c r="AS162" s="3"/>
      <c r="AT162" s="3"/>
      <c r="AU162" s="3"/>
      <c r="AV162" s="3"/>
      <c r="AW162" s="3"/>
      <c r="AX162" s="3"/>
      <c r="AY162" s="3"/>
      <c r="BD162" s="3"/>
      <c r="BE162" s="3"/>
      <c r="BJ162" s="3"/>
      <c r="BK162" s="3"/>
      <c r="BP162" s="3"/>
      <c r="BQ162" s="3"/>
      <c r="BV162" s="3"/>
      <c r="BW162" s="3"/>
      <c r="BX162" s="3"/>
      <c r="BY162" s="3"/>
      <c r="BZ162" s="3"/>
      <c r="CA162" s="3"/>
      <c r="CF162" s="3"/>
    </row>
    <row r="163" ht="16.5" customHeight="1">
      <c r="A163" s="145">
        <v>63.0</v>
      </c>
      <c r="B163" s="145">
        <v>120.0</v>
      </c>
      <c r="C163" s="145" t="s">
        <v>185</v>
      </c>
      <c r="D163" s="146">
        <v>288.0</v>
      </c>
      <c r="E163" s="3"/>
      <c r="F163" s="3"/>
      <c r="G163" s="3"/>
      <c r="H163" s="3"/>
      <c r="I163" s="3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3"/>
      <c r="AR163" s="3"/>
      <c r="AS163" s="3"/>
      <c r="AT163" s="3"/>
      <c r="AU163" s="3"/>
      <c r="AV163" s="3"/>
      <c r="AW163" s="3"/>
      <c r="AX163" s="3"/>
      <c r="AY163" s="3"/>
      <c r="BD163" s="3"/>
      <c r="BE163" s="3"/>
      <c r="BJ163" s="3"/>
      <c r="BK163" s="3"/>
      <c r="BP163" s="3"/>
      <c r="BQ163" s="3"/>
      <c r="BV163" s="3"/>
      <c r="BW163" s="3"/>
      <c r="BX163" s="3"/>
      <c r="BY163" s="3"/>
      <c r="BZ163" s="3"/>
      <c r="CA163" s="3"/>
      <c r="CF163" s="3"/>
    </row>
    <row r="164" ht="16.5" customHeight="1">
      <c r="A164" s="145">
        <v>0.0</v>
      </c>
      <c r="B164" s="145">
        <v>24.0</v>
      </c>
      <c r="C164" s="145" t="s">
        <v>186</v>
      </c>
      <c r="D164" s="146">
        <v>87.0</v>
      </c>
      <c r="E164" s="3"/>
      <c r="F164" s="3"/>
      <c r="G164" s="3"/>
      <c r="H164" s="3"/>
      <c r="I164" s="3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3"/>
      <c r="AR164" s="3"/>
      <c r="AS164" s="3"/>
      <c r="AT164" s="3"/>
      <c r="AU164" s="3"/>
      <c r="AV164" s="3"/>
      <c r="AW164" s="3"/>
      <c r="AX164" s="3"/>
      <c r="AY164" s="3"/>
      <c r="BD164" s="3"/>
      <c r="BE164" s="3"/>
      <c r="BJ164" s="3"/>
      <c r="BK164" s="3"/>
      <c r="BP164" s="3"/>
      <c r="BQ164" s="3"/>
      <c r="BV164" s="3"/>
      <c r="BW164" s="3"/>
      <c r="BX164" s="3"/>
      <c r="BY164" s="3"/>
      <c r="BZ164" s="3"/>
      <c r="CA164" s="3"/>
      <c r="CF164" s="3"/>
    </row>
    <row r="165" ht="16.5" customHeight="1">
      <c r="A165" s="145">
        <v>25.0</v>
      </c>
      <c r="B165" s="145">
        <v>44.0</v>
      </c>
      <c r="C165" s="145" t="s">
        <v>186</v>
      </c>
      <c r="D165" s="146">
        <v>105.5</v>
      </c>
      <c r="E165" s="3"/>
      <c r="F165" s="3"/>
      <c r="G165" s="3"/>
      <c r="H165" s="3"/>
      <c r="I165" s="3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3"/>
      <c r="AR165" s="3"/>
      <c r="AS165" s="3"/>
      <c r="AT165" s="3"/>
      <c r="AU165" s="3"/>
      <c r="AV165" s="3"/>
      <c r="AW165" s="3"/>
      <c r="AX165" s="3"/>
      <c r="AY165" s="3"/>
      <c r="BD165" s="3"/>
      <c r="BE165" s="3"/>
      <c r="BJ165" s="3"/>
      <c r="BK165" s="3"/>
      <c r="BP165" s="3"/>
      <c r="BQ165" s="3"/>
      <c r="BV165" s="3"/>
      <c r="BW165" s="3"/>
      <c r="BX165" s="3"/>
      <c r="BY165" s="3"/>
      <c r="BZ165" s="3"/>
      <c r="CA165" s="3"/>
      <c r="CF165" s="3"/>
    </row>
    <row r="166" ht="16.5" customHeight="1">
      <c r="A166" s="145">
        <v>45.0</v>
      </c>
      <c r="B166" s="145">
        <v>54.0</v>
      </c>
      <c r="C166" s="145" t="s">
        <v>186</v>
      </c>
      <c r="D166" s="146">
        <v>131.0</v>
      </c>
      <c r="E166" s="3"/>
      <c r="F166" s="3"/>
      <c r="G166" s="3"/>
      <c r="H166" s="3"/>
      <c r="I166" s="3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3"/>
      <c r="AR166" s="3"/>
      <c r="AS166" s="3"/>
      <c r="AT166" s="3"/>
      <c r="AU166" s="3"/>
      <c r="AV166" s="3"/>
      <c r="AW166" s="3"/>
      <c r="AX166" s="3"/>
      <c r="AY166" s="3"/>
      <c r="BD166" s="3"/>
      <c r="BE166" s="3"/>
      <c r="BJ166" s="3"/>
      <c r="BK166" s="3"/>
      <c r="BP166" s="3"/>
      <c r="BQ166" s="3"/>
      <c r="BV166" s="3"/>
      <c r="BW166" s="3"/>
      <c r="BX166" s="3"/>
      <c r="BY166" s="3"/>
      <c r="BZ166" s="3"/>
      <c r="CA166" s="3"/>
      <c r="CF166" s="3"/>
    </row>
    <row r="167" ht="16.5" customHeight="1">
      <c r="A167" s="145">
        <v>55.0</v>
      </c>
      <c r="B167" s="145">
        <v>59.0</v>
      </c>
      <c r="C167" s="145" t="s">
        <v>186</v>
      </c>
      <c r="D167" s="146">
        <v>181.0</v>
      </c>
      <c r="E167" s="3"/>
      <c r="F167" s="3"/>
      <c r="G167" s="3"/>
      <c r="H167" s="3"/>
      <c r="I167" s="3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3"/>
      <c r="AR167" s="3"/>
      <c r="AS167" s="3"/>
      <c r="AT167" s="3"/>
      <c r="AU167" s="3"/>
      <c r="AV167" s="3"/>
      <c r="AW167" s="3"/>
      <c r="AX167" s="3"/>
      <c r="AY167" s="3"/>
      <c r="BD167" s="3"/>
      <c r="BE167" s="3"/>
      <c r="BJ167" s="3"/>
      <c r="BK167" s="3"/>
      <c r="BP167" s="3"/>
      <c r="BQ167" s="3"/>
      <c r="BV167" s="3"/>
      <c r="BW167" s="3"/>
      <c r="BX167" s="3"/>
      <c r="BY167" s="3"/>
      <c r="BZ167" s="3"/>
      <c r="CA167" s="3"/>
      <c r="CF167" s="3"/>
    </row>
    <row r="168" ht="16.5" customHeight="1">
      <c r="A168" s="145">
        <v>60.0</v>
      </c>
      <c r="B168" s="145">
        <v>62.0</v>
      </c>
      <c r="C168" s="145" t="s">
        <v>186</v>
      </c>
      <c r="D168" s="146">
        <v>227.0</v>
      </c>
      <c r="E168" s="3"/>
      <c r="F168" s="3"/>
      <c r="G168" s="3"/>
      <c r="H168" s="3"/>
      <c r="I168" s="3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3"/>
      <c r="AR168" s="3"/>
      <c r="AS168" s="3"/>
      <c r="AT168" s="3"/>
      <c r="AU168" s="3"/>
      <c r="AV168" s="3"/>
      <c r="AW168" s="3"/>
      <c r="AX168" s="3"/>
      <c r="AY168" s="3"/>
      <c r="BD168" s="3"/>
      <c r="BE168" s="3"/>
      <c r="BJ168" s="3"/>
      <c r="BK168" s="3"/>
      <c r="BP168" s="3"/>
      <c r="BQ168" s="3"/>
      <c r="BV168" s="3"/>
      <c r="BW168" s="3"/>
      <c r="BX168" s="3"/>
      <c r="BY168" s="3"/>
      <c r="BZ168" s="3"/>
      <c r="CA168" s="3"/>
      <c r="CF168" s="3"/>
    </row>
    <row r="169" ht="16.5" customHeight="1">
      <c r="A169" s="145">
        <v>63.0</v>
      </c>
      <c r="B169" s="145">
        <v>120.0</v>
      </c>
      <c r="C169" s="145" t="s">
        <v>186</v>
      </c>
      <c r="D169" s="146">
        <v>294.0</v>
      </c>
      <c r="E169" s="3"/>
      <c r="F169" s="3"/>
      <c r="G169" s="3"/>
      <c r="H169" s="3"/>
      <c r="I169" s="3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3"/>
      <c r="AR169" s="3"/>
      <c r="AS169" s="3"/>
      <c r="AT169" s="3"/>
      <c r="AU169" s="3"/>
      <c r="AV169" s="3"/>
      <c r="AW169" s="3"/>
      <c r="AX169" s="3"/>
      <c r="AY169" s="3"/>
      <c r="BD169" s="3"/>
      <c r="BE169" s="3"/>
      <c r="BJ169" s="3"/>
      <c r="BK169" s="3"/>
      <c r="BP169" s="3"/>
      <c r="BQ169" s="3"/>
      <c r="BV169" s="3"/>
      <c r="BW169" s="3"/>
      <c r="BX169" s="3"/>
      <c r="BY169" s="3"/>
      <c r="BZ169" s="3"/>
      <c r="CA169" s="3"/>
      <c r="CF169" s="3"/>
    </row>
    <row r="170" ht="16.5" customHeight="1">
      <c r="A170" s="145">
        <v>0.0</v>
      </c>
      <c r="B170" s="145">
        <v>24.0</v>
      </c>
      <c r="C170" s="145" t="s">
        <v>187</v>
      </c>
      <c r="D170" s="146">
        <v>88.5</v>
      </c>
      <c r="E170" s="3"/>
      <c r="F170" s="3"/>
      <c r="G170" s="3"/>
      <c r="H170" s="3"/>
      <c r="I170" s="3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3"/>
      <c r="AR170" s="3"/>
      <c r="AS170" s="3"/>
      <c r="AT170" s="3"/>
      <c r="AU170" s="3"/>
      <c r="AV170" s="3"/>
      <c r="AW170" s="3"/>
      <c r="AX170" s="3"/>
      <c r="AY170" s="3"/>
      <c r="BD170" s="3"/>
      <c r="BE170" s="3"/>
      <c r="BJ170" s="3"/>
      <c r="BK170" s="3"/>
      <c r="BP170" s="3"/>
      <c r="BQ170" s="3"/>
      <c r="BV170" s="3"/>
      <c r="BW170" s="3"/>
      <c r="BX170" s="3"/>
      <c r="BY170" s="3"/>
      <c r="BZ170" s="3"/>
      <c r="CA170" s="3"/>
      <c r="CF170" s="3"/>
    </row>
    <row r="171" ht="16.5" customHeight="1">
      <c r="A171" s="145">
        <v>25.0</v>
      </c>
      <c r="B171" s="145">
        <v>44.0</v>
      </c>
      <c r="C171" s="145" t="s">
        <v>187</v>
      </c>
      <c r="D171" s="146">
        <v>108.5</v>
      </c>
      <c r="E171" s="3"/>
      <c r="F171" s="3"/>
      <c r="G171" s="3"/>
      <c r="H171" s="3"/>
      <c r="I171" s="3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3"/>
      <c r="AR171" s="3"/>
      <c r="AS171" s="3"/>
      <c r="AT171" s="3"/>
      <c r="AU171" s="3"/>
      <c r="AV171" s="3"/>
      <c r="AW171" s="3"/>
      <c r="AX171" s="3"/>
      <c r="AY171" s="3"/>
      <c r="BD171" s="3"/>
      <c r="BE171" s="3"/>
      <c r="BJ171" s="3"/>
      <c r="BK171" s="3"/>
      <c r="BP171" s="3"/>
      <c r="BQ171" s="3"/>
      <c r="BV171" s="3"/>
      <c r="BW171" s="3"/>
      <c r="BX171" s="3"/>
      <c r="BY171" s="3"/>
      <c r="BZ171" s="3"/>
      <c r="CA171" s="3"/>
      <c r="CF171" s="3"/>
    </row>
    <row r="172" ht="16.5" customHeight="1">
      <c r="A172" s="145">
        <v>45.0</v>
      </c>
      <c r="B172" s="145">
        <v>54.0</v>
      </c>
      <c r="C172" s="145" t="s">
        <v>187</v>
      </c>
      <c r="D172" s="146">
        <v>135.5</v>
      </c>
      <c r="E172" s="3"/>
      <c r="F172" s="3"/>
      <c r="G172" s="3"/>
      <c r="H172" s="3"/>
      <c r="I172" s="3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3"/>
      <c r="AR172" s="3"/>
      <c r="AS172" s="3"/>
      <c r="AT172" s="3"/>
      <c r="AU172" s="3"/>
      <c r="AV172" s="3"/>
      <c r="AW172" s="3"/>
      <c r="AX172" s="3"/>
      <c r="AY172" s="3"/>
      <c r="BD172" s="3"/>
      <c r="BE172" s="3"/>
      <c r="BJ172" s="3"/>
      <c r="BK172" s="3"/>
      <c r="BP172" s="3"/>
      <c r="BQ172" s="3"/>
      <c r="BV172" s="3"/>
      <c r="BW172" s="3"/>
      <c r="BX172" s="3"/>
      <c r="BY172" s="3"/>
      <c r="BZ172" s="3"/>
      <c r="CA172" s="3"/>
      <c r="CF172" s="3"/>
    </row>
    <row r="173" ht="16.5" customHeight="1">
      <c r="A173" s="145">
        <v>55.0</v>
      </c>
      <c r="B173" s="145">
        <v>59.0</v>
      </c>
      <c r="C173" s="145" t="s">
        <v>187</v>
      </c>
      <c r="D173" s="146">
        <v>189.0</v>
      </c>
      <c r="E173" s="3"/>
      <c r="F173" s="3"/>
      <c r="G173" s="3"/>
      <c r="H173" s="3"/>
      <c r="I173" s="3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3"/>
      <c r="AR173" s="3"/>
      <c r="AS173" s="3"/>
      <c r="AT173" s="3"/>
      <c r="AU173" s="3"/>
      <c r="AV173" s="3"/>
      <c r="AW173" s="3"/>
      <c r="AX173" s="3"/>
      <c r="AY173" s="3"/>
      <c r="BD173" s="3"/>
      <c r="BE173" s="3"/>
      <c r="BJ173" s="3"/>
      <c r="BK173" s="3"/>
      <c r="BP173" s="3"/>
      <c r="BQ173" s="3"/>
      <c r="BV173" s="3"/>
      <c r="BW173" s="3"/>
      <c r="BX173" s="3"/>
      <c r="BY173" s="3"/>
      <c r="BZ173" s="3"/>
      <c r="CA173" s="3"/>
      <c r="CF173" s="3"/>
    </row>
    <row r="174" ht="16.5" customHeight="1">
      <c r="A174" s="145">
        <v>60.0</v>
      </c>
      <c r="B174" s="145">
        <v>62.0</v>
      </c>
      <c r="C174" s="145" t="s">
        <v>187</v>
      </c>
      <c r="D174" s="146">
        <v>243.0</v>
      </c>
      <c r="E174" s="3"/>
      <c r="F174" s="3"/>
      <c r="G174" s="3"/>
      <c r="H174" s="3"/>
      <c r="I174" s="3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3"/>
      <c r="AR174" s="3"/>
      <c r="AS174" s="3"/>
      <c r="AT174" s="3"/>
      <c r="AU174" s="3"/>
      <c r="AV174" s="3"/>
      <c r="AW174" s="3"/>
      <c r="AX174" s="3"/>
      <c r="AY174" s="3"/>
      <c r="BD174" s="3"/>
      <c r="BE174" s="3"/>
      <c r="BJ174" s="3"/>
      <c r="BK174" s="3"/>
      <c r="BP174" s="3"/>
      <c r="BQ174" s="3"/>
      <c r="BV174" s="3"/>
      <c r="BW174" s="3"/>
      <c r="BX174" s="3"/>
      <c r="BY174" s="3"/>
      <c r="BZ174" s="3"/>
      <c r="CA174" s="3"/>
      <c r="CF174" s="3"/>
    </row>
    <row r="175" ht="16.5" customHeight="1">
      <c r="A175" s="145">
        <v>63.0</v>
      </c>
      <c r="B175" s="145">
        <v>120.0</v>
      </c>
      <c r="C175" s="145" t="s">
        <v>187</v>
      </c>
      <c r="D175" s="146">
        <v>315.0</v>
      </c>
      <c r="E175" s="3"/>
      <c r="F175" s="3"/>
      <c r="G175" s="3"/>
      <c r="H175" s="3"/>
      <c r="I175" s="3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3"/>
      <c r="AR175" s="3"/>
      <c r="AS175" s="3"/>
      <c r="AT175" s="3"/>
      <c r="AU175" s="3"/>
      <c r="AV175" s="3"/>
      <c r="AW175" s="3"/>
      <c r="AX175" s="3"/>
      <c r="AY175" s="3"/>
      <c r="BD175" s="3"/>
      <c r="BE175" s="3"/>
      <c r="BJ175" s="3"/>
      <c r="BK175" s="3"/>
      <c r="BP175" s="3"/>
      <c r="BQ175" s="3"/>
      <c r="BV175" s="3"/>
      <c r="BW175" s="3"/>
      <c r="BX175" s="3"/>
      <c r="BY175" s="3"/>
      <c r="BZ175" s="3"/>
      <c r="CA175" s="3"/>
      <c r="CF175" s="3"/>
    </row>
    <row r="176" ht="16.5" customHeight="1">
      <c r="A176" s="145">
        <v>0.0</v>
      </c>
      <c r="B176" s="145">
        <v>24.0</v>
      </c>
      <c r="C176" s="145" t="s">
        <v>188</v>
      </c>
      <c r="D176" s="146">
        <v>89.5</v>
      </c>
      <c r="E176" s="3"/>
      <c r="F176" s="3"/>
      <c r="G176" s="3"/>
      <c r="H176" s="3"/>
      <c r="I176" s="3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3"/>
      <c r="AR176" s="3"/>
      <c r="AS176" s="3"/>
      <c r="AT176" s="3"/>
      <c r="AU176" s="3"/>
      <c r="AV176" s="3"/>
      <c r="AW176" s="3"/>
      <c r="AX176" s="3"/>
      <c r="AY176" s="3"/>
      <c r="BD176" s="3"/>
      <c r="BE176" s="3"/>
      <c r="BJ176" s="3"/>
      <c r="BK176" s="3"/>
      <c r="BP176" s="3"/>
      <c r="BQ176" s="3"/>
      <c r="BV176" s="3"/>
      <c r="BW176" s="3"/>
      <c r="BX176" s="3"/>
      <c r="BY176" s="3"/>
      <c r="BZ176" s="3"/>
      <c r="CA176" s="3"/>
      <c r="CF176" s="3"/>
    </row>
    <row r="177" ht="16.5" customHeight="1">
      <c r="A177" s="145">
        <v>25.0</v>
      </c>
      <c r="B177" s="145">
        <v>44.0</v>
      </c>
      <c r="C177" s="145" t="s">
        <v>188</v>
      </c>
      <c r="D177" s="146">
        <v>111.0</v>
      </c>
      <c r="E177" s="3"/>
      <c r="F177" s="3"/>
      <c r="G177" s="3"/>
      <c r="H177" s="3"/>
      <c r="I177" s="3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3"/>
      <c r="AR177" s="3"/>
      <c r="AS177" s="3"/>
      <c r="AT177" s="3"/>
      <c r="AU177" s="3"/>
      <c r="AV177" s="3"/>
      <c r="AW177" s="3"/>
      <c r="AX177" s="3"/>
      <c r="AY177" s="3"/>
      <c r="BD177" s="3"/>
      <c r="BE177" s="3"/>
      <c r="BJ177" s="3"/>
      <c r="BK177" s="3"/>
      <c r="BP177" s="3"/>
      <c r="BQ177" s="3"/>
      <c r="BV177" s="3"/>
      <c r="BW177" s="3"/>
      <c r="BX177" s="3"/>
      <c r="BY177" s="3"/>
      <c r="BZ177" s="3"/>
      <c r="CA177" s="3"/>
      <c r="CF177" s="3"/>
    </row>
    <row r="178" ht="16.5" customHeight="1">
      <c r="A178" s="145">
        <v>45.0</v>
      </c>
      <c r="B178" s="145">
        <v>54.0</v>
      </c>
      <c r="C178" s="145" t="s">
        <v>188</v>
      </c>
      <c r="D178" s="146">
        <v>137.0</v>
      </c>
      <c r="E178" s="3"/>
      <c r="F178" s="3"/>
      <c r="G178" s="3"/>
      <c r="H178" s="3"/>
      <c r="I178" s="3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3"/>
      <c r="AR178" s="3"/>
      <c r="AS178" s="3"/>
      <c r="AT178" s="3"/>
      <c r="AU178" s="3"/>
      <c r="AV178" s="3"/>
      <c r="AW178" s="3"/>
      <c r="AX178" s="3"/>
      <c r="AY178" s="3"/>
      <c r="BD178" s="3"/>
      <c r="BE178" s="3"/>
      <c r="BJ178" s="3"/>
      <c r="BK178" s="3"/>
      <c r="BP178" s="3"/>
      <c r="BQ178" s="3"/>
      <c r="BV178" s="3"/>
      <c r="BW178" s="3"/>
      <c r="BX178" s="3"/>
      <c r="BY178" s="3"/>
      <c r="BZ178" s="3"/>
      <c r="CA178" s="3"/>
      <c r="CF178" s="3"/>
    </row>
    <row r="179" ht="16.5" customHeight="1">
      <c r="A179" s="145">
        <v>55.0</v>
      </c>
      <c r="B179" s="145">
        <v>59.0</v>
      </c>
      <c r="C179" s="145" t="s">
        <v>188</v>
      </c>
      <c r="D179" s="146">
        <v>192.0</v>
      </c>
      <c r="E179" s="3"/>
      <c r="F179" s="3"/>
      <c r="G179" s="3"/>
      <c r="H179" s="3"/>
      <c r="I179" s="3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3"/>
      <c r="AR179" s="3"/>
      <c r="AS179" s="3"/>
      <c r="AT179" s="3"/>
      <c r="AU179" s="3"/>
      <c r="AV179" s="3"/>
      <c r="AW179" s="3"/>
      <c r="AX179" s="3"/>
      <c r="AY179" s="3"/>
      <c r="BD179" s="3"/>
      <c r="BE179" s="3"/>
      <c r="BJ179" s="3"/>
      <c r="BK179" s="3"/>
      <c r="BP179" s="3"/>
      <c r="BQ179" s="3"/>
      <c r="BV179" s="3"/>
      <c r="BW179" s="3"/>
      <c r="BX179" s="3"/>
      <c r="BY179" s="3"/>
      <c r="BZ179" s="3"/>
      <c r="CA179" s="3"/>
      <c r="CF179" s="3"/>
    </row>
    <row r="180" ht="16.5" customHeight="1">
      <c r="A180" s="145">
        <v>60.0</v>
      </c>
      <c r="B180" s="145">
        <v>62.0</v>
      </c>
      <c r="C180" s="145" t="s">
        <v>188</v>
      </c>
      <c r="D180" s="146">
        <v>247.0</v>
      </c>
      <c r="E180" s="3"/>
      <c r="F180" s="3"/>
      <c r="G180" s="3"/>
      <c r="H180" s="3"/>
      <c r="I180" s="3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3"/>
      <c r="AR180" s="3"/>
      <c r="AS180" s="3"/>
      <c r="AT180" s="3"/>
      <c r="AU180" s="3"/>
      <c r="AV180" s="3"/>
      <c r="AW180" s="3"/>
      <c r="AX180" s="3"/>
      <c r="AY180" s="3"/>
      <c r="BD180" s="3"/>
      <c r="BE180" s="3"/>
      <c r="BJ180" s="3"/>
      <c r="BK180" s="3"/>
      <c r="BP180" s="3"/>
      <c r="BQ180" s="3"/>
      <c r="BV180" s="3"/>
      <c r="BW180" s="3"/>
      <c r="BX180" s="3"/>
      <c r="BY180" s="3"/>
      <c r="BZ180" s="3"/>
      <c r="CA180" s="3"/>
      <c r="CF180" s="3"/>
    </row>
    <row r="181" ht="16.5" customHeight="1">
      <c r="A181" s="145">
        <v>63.0</v>
      </c>
      <c r="B181" s="145">
        <v>120.0</v>
      </c>
      <c r="C181" s="145" t="s">
        <v>188</v>
      </c>
      <c r="D181" s="146">
        <v>318.0</v>
      </c>
      <c r="E181" s="3"/>
      <c r="F181" s="3"/>
      <c r="G181" s="3"/>
      <c r="H181" s="3"/>
      <c r="I181" s="3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3"/>
      <c r="AR181" s="3"/>
      <c r="AS181" s="3"/>
      <c r="AT181" s="3"/>
      <c r="AU181" s="3"/>
      <c r="AV181" s="3"/>
      <c r="AW181" s="3"/>
      <c r="AX181" s="3"/>
      <c r="AY181" s="3"/>
      <c r="BD181" s="3"/>
      <c r="BE181" s="3"/>
      <c r="BJ181" s="3"/>
      <c r="BK181" s="3"/>
      <c r="BP181" s="3"/>
      <c r="BQ181" s="3"/>
      <c r="BV181" s="3"/>
      <c r="BW181" s="3"/>
      <c r="BX181" s="3"/>
      <c r="BY181" s="3"/>
      <c r="BZ181" s="3"/>
      <c r="CA181" s="3"/>
      <c r="CF181" s="3"/>
    </row>
    <row r="182" ht="16.5" customHeight="1">
      <c r="A182" s="145">
        <v>0.0</v>
      </c>
      <c r="B182" s="145">
        <v>44.0</v>
      </c>
      <c r="C182" s="145" t="s">
        <v>189</v>
      </c>
      <c r="D182" s="146">
        <v>51.0</v>
      </c>
      <c r="E182" s="3"/>
      <c r="F182" s="3"/>
      <c r="G182" s="3"/>
      <c r="H182" s="3"/>
      <c r="I182" s="3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3"/>
      <c r="AR182" s="3"/>
      <c r="AS182" s="3"/>
      <c r="AT182" s="3"/>
      <c r="AU182" s="3"/>
      <c r="AV182" s="3"/>
      <c r="AW182" s="3"/>
      <c r="AX182" s="3"/>
      <c r="AY182" s="3"/>
      <c r="BD182" s="3"/>
      <c r="BE182" s="3"/>
      <c r="BJ182" s="3"/>
      <c r="BK182" s="3"/>
      <c r="BP182" s="3"/>
      <c r="BQ182" s="3"/>
      <c r="BV182" s="3"/>
      <c r="BW182" s="3"/>
      <c r="BX182" s="3"/>
      <c r="BY182" s="3"/>
      <c r="BZ182" s="3"/>
      <c r="CA182" s="3"/>
      <c r="CF182" s="3"/>
    </row>
    <row r="183" ht="16.5" customHeight="1">
      <c r="A183" s="145">
        <v>45.0</v>
      </c>
      <c r="B183" s="145">
        <v>54.0</v>
      </c>
      <c r="C183" s="145" t="s">
        <v>189</v>
      </c>
      <c r="D183" s="146">
        <v>59.0</v>
      </c>
      <c r="E183" s="3"/>
      <c r="F183" s="3"/>
      <c r="G183" s="3"/>
      <c r="H183" s="3"/>
      <c r="I183" s="3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3"/>
      <c r="AR183" s="3"/>
      <c r="AS183" s="3"/>
      <c r="AT183" s="3"/>
      <c r="AU183" s="3"/>
      <c r="AV183" s="3"/>
      <c r="AW183" s="3"/>
      <c r="AX183" s="3"/>
      <c r="AY183" s="3"/>
      <c r="BD183" s="3"/>
      <c r="BE183" s="3"/>
      <c r="BJ183" s="3"/>
      <c r="BK183" s="3"/>
      <c r="BP183" s="3"/>
      <c r="BQ183" s="3"/>
      <c r="BV183" s="3"/>
      <c r="BW183" s="3"/>
      <c r="BX183" s="3"/>
      <c r="BY183" s="3"/>
      <c r="BZ183" s="3"/>
      <c r="CA183" s="3"/>
      <c r="CF183" s="3"/>
    </row>
    <row r="184" ht="16.5" customHeight="1">
      <c r="A184" s="145">
        <v>55.0</v>
      </c>
      <c r="B184" s="145">
        <v>59.0</v>
      </c>
      <c r="C184" s="145" t="s">
        <v>189</v>
      </c>
      <c r="D184" s="146">
        <v>76.0</v>
      </c>
      <c r="E184" s="3"/>
      <c r="F184" s="3"/>
      <c r="G184" s="3"/>
      <c r="H184" s="3"/>
      <c r="I184" s="3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3"/>
      <c r="AR184" s="3"/>
      <c r="AS184" s="3"/>
      <c r="AT184" s="3"/>
      <c r="AU184" s="3"/>
      <c r="AV184" s="3"/>
      <c r="AW184" s="3"/>
      <c r="AX184" s="3"/>
      <c r="AY184" s="3"/>
      <c r="BD184" s="3"/>
      <c r="BE184" s="3"/>
      <c r="BJ184" s="3"/>
      <c r="BK184" s="3"/>
      <c r="BP184" s="3"/>
      <c r="BQ184" s="3"/>
      <c r="BV184" s="3"/>
      <c r="BW184" s="3"/>
      <c r="BX184" s="3"/>
      <c r="BY184" s="3"/>
      <c r="BZ184" s="3"/>
      <c r="CA184" s="3"/>
      <c r="CF184" s="3"/>
    </row>
    <row r="185" ht="16.5" customHeight="1">
      <c r="A185" s="145">
        <v>60.0</v>
      </c>
      <c r="B185" s="145">
        <v>67.0</v>
      </c>
      <c r="C185" s="145" t="s">
        <v>189</v>
      </c>
      <c r="D185" s="146">
        <v>97.0</v>
      </c>
      <c r="E185" s="3"/>
      <c r="F185" s="3"/>
      <c r="G185" s="3"/>
      <c r="H185" s="3"/>
      <c r="I185" s="3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3"/>
      <c r="AR185" s="3"/>
      <c r="AS185" s="3"/>
      <c r="AT185" s="3"/>
      <c r="AU185" s="3"/>
      <c r="AV185" s="3"/>
      <c r="AW185" s="3"/>
      <c r="AX185" s="3"/>
      <c r="AY185" s="3"/>
      <c r="BD185" s="3"/>
      <c r="BE185" s="3"/>
      <c r="BJ185" s="3"/>
      <c r="BK185" s="3"/>
      <c r="BP185" s="3"/>
      <c r="BQ185" s="3"/>
      <c r="BV185" s="3"/>
      <c r="BW185" s="3"/>
      <c r="BX185" s="3"/>
      <c r="BY185" s="3"/>
      <c r="BZ185" s="3"/>
      <c r="CA185" s="3"/>
      <c r="CF185" s="3"/>
    </row>
    <row r="186" ht="16.5" customHeight="1">
      <c r="A186" s="145">
        <v>68.0</v>
      </c>
      <c r="B186" s="145">
        <v>120.0</v>
      </c>
      <c r="C186" s="145" t="s">
        <v>189</v>
      </c>
      <c r="D186" s="146">
        <v>160.0</v>
      </c>
      <c r="E186" s="3"/>
      <c r="F186" s="3"/>
      <c r="G186" s="3"/>
      <c r="H186" s="3"/>
      <c r="I186" s="3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3"/>
      <c r="AR186" s="3"/>
      <c r="AS186" s="3"/>
      <c r="AT186" s="3"/>
      <c r="AU186" s="3"/>
      <c r="AV186" s="3"/>
      <c r="AW186" s="3"/>
      <c r="AX186" s="3"/>
      <c r="AY186" s="3"/>
      <c r="BD186" s="3"/>
      <c r="BE186" s="3"/>
      <c r="BJ186" s="3"/>
      <c r="BK186" s="3"/>
      <c r="BP186" s="3"/>
      <c r="BQ186" s="3"/>
      <c r="BV186" s="3"/>
      <c r="BW186" s="3"/>
      <c r="BX186" s="3"/>
      <c r="BY186" s="3"/>
      <c r="BZ186" s="3"/>
      <c r="CA186" s="3"/>
      <c r="CF186" s="3"/>
    </row>
    <row r="187" ht="16.5" customHeight="1">
      <c r="A187" s="145">
        <v>0.0</v>
      </c>
      <c r="B187" s="145">
        <v>44.0</v>
      </c>
      <c r="C187" s="145" t="s">
        <v>190</v>
      </c>
      <c r="D187" s="146">
        <v>52.0</v>
      </c>
      <c r="E187" s="3"/>
      <c r="F187" s="3"/>
      <c r="G187" s="3"/>
      <c r="H187" s="3"/>
      <c r="I187" s="3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3"/>
      <c r="AR187" s="3"/>
      <c r="AS187" s="3"/>
      <c r="AT187" s="3"/>
      <c r="AU187" s="3"/>
      <c r="AV187" s="3"/>
      <c r="AW187" s="3"/>
      <c r="AX187" s="3"/>
      <c r="AY187" s="3"/>
      <c r="BD187" s="3"/>
      <c r="BE187" s="3"/>
      <c r="BJ187" s="3"/>
      <c r="BK187" s="3"/>
      <c r="BP187" s="3"/>
      <c r="BQ187" s="3"/>
      <c r="BV187" s="3"/>
      <c r="BW187" s="3"/>
      <c r="BX187" s="3"/>
      <c r="BY187" s="3"/>
      <c r="BZ187" s="3"/>
      <c r="CA187" s="3"/>
      <c r="CF187" s="3"/>
    </row>
    <row r="188" ht="16.5" customHeight="1">
      <c r="A188" s="145">
        <v>45.0</v>
      </c>
      <c r="B188" s="145">
        <v>54.0</v>
      </c>
      <c r="C188" s="145" t="s">
        <v>190</v>
      </c>
      <c r="D188" s="146">
        <v>61.5</v>
      </c>
      <c r="E188" s="3"/>
      <c r="F188" s="3"/>
      <c r="G188" s="3"/>
      <c r="H188" s="3"/>
      <c r="I188" s="3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3"/>
      <c r="AR188" s="3"/>
      <c r="AS188" s="3"/>
      <c r="AT188" s="3"/>
      <c r="AU188" s="3"/>
      <c r="AV188" s="3"/>
      <c r="AW188" s="3"/>
      <c r="AX188" s="3"/>
      <c r="AY188" s="3"/>
      <c r="BD188" s="3"/>
      <c r="BE188" s="3"/>
      <c r="BJ188" s="3"/>
      <c r="BK188" s="3"/>
      <c r="BP188" s="3"/>
      <c r="BQ188" s="3"/>
      <c r="BV188" s="3"/>
      <c r="BW188" s="3"/>
      <c r="BX188" s="3"/>
      <c r="BY188" s="3"/>
      <c r="BZ188" s="3"/>
      <c r="CA188" s="3"/>
      <c r="CF188" s="3"/>
    </row>
    <row r="189" ht="16.5" customHeight="1">
      <c r="A189" s="145">
        <v>55.0</v>
      </c>
      <c r="B189" s="145">
        <v>59.0</v>
      </c>
      <c r="C189" s="145" t="s">
        <v>190</v>
      </c>
      <c r="D189" s="146">
        <v>81.0</v>
      </c>
      <c r="E189" s="3"/>
      <c r="F189" s="3"/>
      <c r="G189" s="3"/>
      <c r="H189" s="3"/>
      <c r="I189" s="3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3"/>
      <c r="AR189" s="3"/>
      <c r="AS189" s="3"/>
      <c r="AT189" s="3"/>
      <c r="AU189" s="3"/>
      <c r="AV189" s="3"/>
      <c r="AW189" s="3"/>
      <c r="AX189" s="3"/>
      <c r="AY189" s="3"/>
      <c r="BD189" s="3"/>
      <c r="BE189" s="3"/>
      <c r="BJ189" s="3"/>
      <c r="BK189" s="3"/>
      <c r="BP189" s="3"/>
      <c r="BQ189" s="3"/>
      <c r="BV189" s="3"/>
      <c r="BW189" s="3"/>
      <c r="BX189" s="3"/>
      <c r="BY189" s="3"/>
      <c r="BZ189" s="3"/>
      <c r="CA189" s="3"/>
      <c r="CF189" s="3"/>
    </row>
    <row r="190" ht="16.5" customHeight="1">
      <c r="A190" s="145">
        <v>60.0</v>
      </c>
      <c r="B190" s="145">
        <v>67.0</v>
      </c>
      <c r="C190" s="145" t="s">
        <v>190</v>
      </c>
      <c r="D190" s="146">
        <v>105.0</v>
      </c>
      <c r="E190" s="3"/>
      <c r="F190" s="3"/>
      <c r="G190" s="3"/>
      <c r="H190" s="3"/>
      <c r="I190" s="3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3"/>
      <c r="AR190" s="3"/>
      <c r="AS190" s="3"/>
      <c r="AT190" s="3"/>
      <c r="AU190" s="3"/>
      <c r="AV190" s="3"/>
      <c r="AW190" s="3"/>
      <c r="AX190" s="3"/>
      <c r="AY190" s="3"/>
      <c r="BD190" s="3"/>
      <c r="BE190" s="3"/>
      <c r="BJ190" s="3"/>
      <c r="BK190" s="3"/>
      <c r="BP190" s="3"/>
      <c r="BQ190" s="3"/>
      <c r="BV190" s="3"/>
      <c r="BW190" s="3"/>
      <c r="BX190" s="3"/>
      <c r="BY190" s="3"/>
      <c r="BZ190" s="3"/>
      <c r="CA190" s="3"/>
      <c r="CF190" s="3"/>
    </row>
    <row r="191" ht="16.5" customHeight="1">
      <c r="A191" s="145">
        <v>68.0</v>
      </c>
      <c r="B191" s="145">
        <v>120.0</v>
      </c>
      <c r="C191" s="145" t="s">
        <v>190</v>
      </c>
      <c r="D191" s="146">
        <v>169.0</v>
      </c>
      <c r="E191" s="3"/>
      <c r="F191" s="3"/>
      <c r="G191" s="3"/>
      <c r="H191" s="3"/>
      <c r="I191" s="3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3"/>
      <c r="AR191" s="3"/>
      <c r="AS191" s="3"/>
      <c r="AT191" s="3"/>
      <c r="AU191" s="3"/>
      <c r="AV191" s="3"/>
      <c r="AW191" s="3"/>
      <c r="AX191" s="3"/>
      <c r="AY191" s="3"/>
      <c r="BD191" s="3"/>
      <c r="BE191" s="3"/>
      <c r="BJ191" s="3"/>
      <c r="BK191" s="3"/>
      <c r="BP191" s="3"/>
      <c r="BQ191" s="3"/>
      <c r="BV191" s="3"/>
      <c r="BW191" s="3"/>
      <c r="BX191" s="3"/>
      <c r="BY191" s="3"/>
      <c r="BZ191" s="3"/>
      <c r="CA191" s="3"/>
      <c r="CF191" s="3"/>
    </row>
    <row r="192" ht="16.5" customHeight="1">
      <c r="A192" s="145">
        <v>0.0</v>
      </c>
      <c r="B192" s="145">
        <v>44.0</v>
      </c>
      <c r="C192" s="145" t="s">
        <v>191</v>
      </c>
      <c r="D192" s="146">
        <v>53.0</v>
      </c>
      <c r="E192" s="3"/>
      <c r="F192" s="3"/>
      <c r="G192" s="3"/>
      <c r="H192" s="3"/>
      <c r="I192" s="3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3"/>
      <c r="AR192" s="3"/>
      <c r="AS192" s="3"/>
      <c r="AT192" s="3"/>
      <c r="AU192" s="3"/>
      <c r="AV192" s="3"/>
      <c r="AW192" s="3"/>
      <c r="AX192" s="3"/>
      <c r="AY192" s="3"/>
      <c r="BD192" s="3"/>
      <c r="BE192" s="3"/>
      <c r="BJ192" s="3"/>
      <c r="BK192" s="3"/>
      <c r="BP192" s="3"/>
      <c r="BQ192" s="3"/>
      <c r="BV192" s="3"/>
      <c r="BW192" s="3"/>
      <c r="BX192" s="3"/>
      <c r="BY192" s="3"/>
      <c r="BZ192" s="3"/>
      <c r="CA192" s="3"/>
      <c r="CF192" s="3"/>
    </row>
    <row r="193" ht="16.5" customHeight="1">
      <c r="A193" s="145">
        <v>45.0</v>
      </c>
      <c r="B193" s="145">
        <v>54.0</v>
      </c>
      <c r="C193" s="145" t="s">
        <v>191</v>
      </c>
      <c r="D193" s="146">
        <v>62.0</v>
      </c>
      <c r="E193" s="3"/>
      <c r="F193" s="3"/>
      <c r="G193" s="3"/>
      <c r="H193" s="3"/>
      <c r="I193" s="3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3"/>
      <c r="AR193" s="3"/>
      <c r="AS193" s="3"/>
      <c r="AT193" s="3"/>
      <c r="AU193" s="3"/>
      <c r="AV193" s="3"/>
      <c r="AW193" s="3"/>
      <c r="AX193" s="3"/>
      <c r="AY193" s="3"/>
      <c r="BD193" s="3"/>
      <c r="BE193" s="3"/>
      <c r="BJ193" s="3"/>
      <c r="BK193" s="3"/>
      <c r="BP193" s="3"/>
      <c r="BQ193" s="3"/>
      <c r="BV193" s="3"/>
      <c r="BW193" s="3"/>
      <c r="BX193" s="3"/>
      <c r="BY193" s="3"/>
      <c r="BZ193" s="3"/>
      <c r="CA193" s="3"/>
      <c r="CF193" s="3"/>
    </row>
    <row r="194" ht="16.5" customHeight="1">
      <c r="A194" s="145">
        <v>55.0</v>
      </c>
      <c r="B194" s="145">
        <v>59.0</v>
      </c>
      <c r="C194" s="145" t="s">
        <v>191</v>
      </c>
      <c r="D194" s="146">
        <v>82.0</v>
      </c>
      <c r="E194" s="3"/>
      <c r="F194" s="3"/>
      <c r="G194" s="3"/>
      <c r="H194" s="3"/>
      <c r="I194" s="3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3"/>
      <c r="AR194" s="3"/>
      <c r="AS194" s="3"/>
      <c r="AT194" s="3"/>
      <c r="AU194" s="3"/>
      <c r="AV194" s="3"/>
      <c r="AW194" s="3"/>
      <c r="AX194" s="3"/>
      <c r="AY194" s="3"/>
      <c r="BD194" s="3"/>
      <c r="BE194" s="3"/>
      <c r="BJ194" s="3"/>
      <c r="BK194" s="3"/>
      <c r="BP194" s="3"/>
      <c r="BQ194" s="3"/>
      <c r="BV194" s="3"/>
      <c r="BW194" s="3"/>
      <c r="BX194" s="3"/>
      <c r="BY194" s="3"/>
      <c r="BZ194" s="3"/>
      <c r="CA194" s="3"/>
      <c r="CF194" s="3"/>
    </row>
    <row r="195" ht="16.5" customHeight="1">
      <c r="A195" s="145">
        <v>60.0</v>
      </c>
      <c r="B195" s="145">
        <v>67.0</v>
      </c>
      <c r="C195" s="145" t="s">
        <v>191</v>
      </c>
      <c r="D195" s="146">
        <v>105.5</v>
      </c>
      <c r="E195" s="3"/>
      <c r="F195" s="3"/>
      <c r="G195" s="3"/>
      <c r="H195" s="3"/>
      <c r="I195" s="3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3"/>
      <c r="AR195" s="3"/>
      <c r="AS195" s="3"/>
      <c r="AT195" s="3"/>
      <c r="AU195" s="3"/>
      <c r="AV195" s="3"/>
      <c r="AW195" s="3"/>
      <c r="AX195" s="3"/>
      <c r="AY195" s="3"/>
      <c r="BD195" s="3"/>
      <c r="BE195" s="3"/>
      <c r="BJ195" s="3"/>
      <c r="BK195" s="3"/>
      <c r="BP195" s="3"/>
      <c r="BQ195" s="3"/>
      <c r="BV195" s="3"/>
      <c r="BW195" s="3"/>
      <c r="BX195" s="3"/>
      <c r="BY195" s="3"/>
      <c r="BZ195" s="3"/>
      <c r="CA195" s="3"/>
      <c r="CF195" s="3"/>
    </row>
    <row r="196" ht="16.5" customHeight="1">
      <c r="A196" s="145">
        <v>68.0</v>
      </c>
      <c r="B196" s="145">
        <v>120.0</v>
      </c>
      <c r="C196" s="145" t="s">
        <v>191</v>
      </c>
      <c r="D196" s="146">
        <v>170.0</v>
      </c>
      <c r="E196" s="3"/>
      <c r="F196" s="3"/>
      <c r="G196" s="3"/>
      <c r="H196" s="3"/>
      <c r="I196" s="3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3"/>
      <c r="AR196" s="3"/>
      <c r="AS196" s="3"/>
      <c r="AT196" s="3"/>
      <c r="AU196" s="3"/>
      <c r="AV196" s="3"/>
      <c r="AW196" s="3"/>
      <c r="AX196" s="3"/>
      <c r="AY196" s="3"/>
      <c r="BD196" s="3"/>
      <c r="BE196" s="3"/>
      <c r="BJ196" s="3"/>
      <c r="BK196" s="3"/>
      <c r="BP196" s="3"/>
      <c r="BQ196" s="3"/>
      <c r="BV196" s="3"/>
      <c r="BW196" s="3"/>
      <c r="BX196" s="3"/>
      <c r="BY196" s="3"/>
      <c r="BZ196" s="3"/>
      <c r="CA196" s="3"/>
      <c r="CF196" s="3"/>
    </row>
    <row r="197" ht="16.5" customHeight="1">
      <c r="A197" s="145">
        <v>0.0</v>
      </c>
      <c r="B197" s="145">
        <v>44.0</v>
      </c>
      <c r="C197" s="145" t="s">
        <v>192</v>
      </c>
      <c r="D197" s="146">
        <v>54.0</v>
      </c>
      <c r="E197" s="3"/>
      <c r="F197" s="3"/>
      <c r="G197" s="3"/>
      <c r="H197" s="3"/>
      <c r="I197" s="3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3"/>
      <c r="AR197" s="3"/>
      <c r="AS197" s="3"/>
      <c r="AT197" s="3"/>
      <c r="AU197" s="3"/>
      <c r="AV197" s="3"/>
      <c r="AW197" s="3"/>
      <c r="AX197" s="3"/>
      <c r="AY197" s="3"/>
      <c r="BD197" s="3"/>
      <c r="BE197" s="3"/>
      <c r="BJ197" s="3"/>
      <c r="BK197" s="3"/>
      <c r="BP197" s="3"/>
      <c r="BQ197" s="3"/>
      <c r="BV197" s="3"/>
      <c r="BW197" s="3"/>
      <c r="BX197" s="3"/>
      <c r="BY197" s="3"/>
      <c r="BZ197" s="3"/>
      <c r="CA197" s="3"/>
      <c r="CF197" s="3"/>
    </row>
    <row r="198" ht="16.5" customHeight="1">
      <c r="A198" s="145">
        <v>45.0</v>
      </c>
      <c r="B198" s="145">
        <v>54.0</v>
      </c>
      <c r="C198" s="145" t="s">
        <v>192</v>
      </c>
      <c r="D198" s="146">
        <v>63.5</v>
      </c>
      <c r="E198" s="3"/>
      <c r="F198" s="3"/>
      <c r="G198" s="3"/>
      <c r="H198" s="3"/>
      <c r="I198" s="3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3"/>
      <c r="AR198" s="3"/>
      <c r="AS198" s="3"/>
      <c r="AT198" s="3"/>
      <c r="AU198" s="3"/>
      <c r="AV198" s="3"/>
      <c r="AW198" s="3"/>
      <c r="AX198" s="3"/>
      <c r="AY198" s="3"/>
      <c r="BD198" s="3"/>
      <c r="BE198" s="3"/>
      <c r="BJ198" s="3"/>
      <c r="BK198" s="3"/>
      <c r="BP198" s="3"/>
      <c r="BQ198" s="3"/>
      <c r="BV198" s="3"/>
      <c r="BW198" s="3"/>
      <c r="BX198" s="3"/>
      <c r="BY198" s="3"/>
      <c r="BZ198" s="3"/>
      <c r="CA198" s="3"/>
      <c r="CF198" s="3"/>
    </row>
    <row r="199" ht="16.5" customHeight="1">
      <c r="A199" s="145">
        <v>55.0</v>
      </c>
      <c r="B199" s="145">
        <v>59.0</v>
      </c>
      <c r="C199" s="145" t="s">
        <v>192</v>
      </c>
      <c r="D199" s="146">
        <v>85.5</v>
      </c>
      <c r="E199" s="3"/>
      <c r="F199" s="3"/>
      <c r="G199" s="3"/>
      <c r="H199" s="3"/>
      <c r="I199" s="3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3"/>
      <c r="AR199" s="3"/>
      <c r="AS199" s="3"/>
      <c r="AT199" s="3"/>
      <c r="AU199" s="3"/>
      <c r="AV199" s="3"/>
      <c r="AW199" s="3"/>
      <c r="AX199" s="3"/>
      <c r="AY199" s="3"/>
      <c r="BD199" s="3"/>
      <c r="BE199" s="3"/>
      <c r="BJ199" s="3"/>
      <c r="BK199" s="3"/>
      <c r="BP199" s="3"/>
      <c r="BQ199" s="3"/>
      <c r="BV199" s="3"/>
      <c r="BW199" s="3"/>
      <c r="BX199" s="3"/>
      <c r="BY199" s="3"/>
      <c r="BZ199" s="3"/>
      <c r="CA199" s="3"/>
      <c r="CF199" s="3"/>
    </row>
    <row r="200" ht="16.5" customHeight="1">
      <c r="A200" s="145">
        <v>60.0</v>
      </c>
      <c r="B200" s="145">
        <v>67.0</v>
      </c>
      <c r="C200" s="145" t="s">
        <v>192</v>
      </c>
      <c r="D200" s="146">
        <v>109.0</v>
      </c>
      <c r="E200" s="3"/>
      <c r="F200" s="3"/>
      <c r="G200" s="3"/>
      <c r="H200" s="3"/>
      <c r="I200" s="3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3"/>
      <c r="AR200" s="3"/>
      <c r="AS200" s="3"/>
      <c r="AT200" s="3"/>
      <c r="AU200" s="3"/>
      <c r="AV200" s="3"/>
      <c r="AW200" s="3"/>
      <c r="AX200" s="3"/>
      <c r="AY200" s="3"/>
      <c r="BD200" s="3"/>
      <c r="BE200" s="3"/>
      <c r="BJ200" s="3"/>
      <c r="BK200" s="3"/>
      <c r="BP200" s="3"/>
      <c r="BQ200" s="3"/>
      <c r="BV200" s="3"/>
      <c r="BW200" s="3"/>
      <c r="BX200" s="3"/>
      <c r="BY200" s="3"/>
      <c r="BZ200" s="3"/>
      <c r="CA200" s="3"/>
      <c r="CF200" s="3"/>
    </row>
    <row r="201" ht="16.5" customHeight="1">
      <c r="A201" s="145">
        <v>68.0</v>
      </c>
      <c r="B201" s="145">
        <v>120.0</v>
      </c>
      <c r="C201" s="145" t="s">
        <v>192</v>
      </c>
      <c r="D201" s="146">
        <v>179.0</v>
      </c>
      <c r="E201" s="3"/>
      <c r="F201" s="3"/>
      <c r="G201" s="3"/>
      <c r="H201" s="3"/>
      <c r="I201" s="3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3"/>
      <c r="AR201" s="3"/>
      <c r="AS201" s="3"/>
      <c r="AT201" s="3"/>
      <c r="AU201" s="3"/>
      <c r="AV201" s="3"/>
      <c r="AW201" s="3"/>
      <c r="AX201" s="3"/>
      <c r="AY201" s="3"/>
      <c r="BD201" s="3"/>
      <c r="BE201" s="3"/>
      <c r="BJ201" s="3"/>
      <c r="BK201" s="3"/>
      <c r="BP201" s="3"/>
      <c r="BQ201" s="3"/>
      <c r="BV201" s="3"/>
      <c r="BW201" s="3"/>
      <c r="BX201" s="3"/>
      <c r="BY201" s="3"/>
      <c r="BZ201" s="3"/>
      <c r="CA201" s="3"/>
      <c r="CF201" s="3"/>
    </row>
    <row r="202" ht="16.5" customHeight="1">
      <c r="A202" s="145">
        <v>0.0</v>
      </c>
      <c r="B202" s="145">
        <v>44.0</v>
      </c>
      <c r="C202" s="145" t="s">
        <v>193</v>
      </c>
      <c r="D202" s="146">
        <v>55.0</v>
      </c>
      <c r="E202" s="3"/>
      <c r="F202" s="3"/>
      <c r="G202" s="3"/>
      <c r="H202" s="3"/>
      <c r="I202" s="3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3"/>
      <c r="AR202" s="3"/>
      <c r="AS202" s="3"/>
      <c r="AT202" s="3"/>
      <c r="AU202" s="3"/>
      <c r="AV202" s="3"/>
      <c r="AW202" s="3"/>
      <c r="AX202" s="3"/>
      <c r="AY202" s="3"/>
      <c r="BD202" s="3"/>
      <c r="BE202" s="3"/>
      <c r="BJ202" s="3"/>
      <c r="BK202" s="3"/>
      <c r="BP202" s="3"/>
      <c r="BQ202" s="3"/>
      <c r="BV202" s="3"/>
      <c r="BW202" s="3"/>
      <c r="BX202" s="3"/>
      <c r="BY202" s="3"/>
      <c r="BZ202" s="3"/>
      <c r="CA202" s="3"/>
      <c r="CF202" s="3"/>
    </row>
    <row r="203" ht="16.5" customHeight="1">
      <c r="A203" s="145">
        <v>45.0</v>
      </c>
      <c r="B203" s="145">
        <v>54.0</v>
      </c>
      <c r="C203" s="145" t="s">
        <v>193</v>
      </c>
      <c r="D203" s="146">
        <v>65.5</v>
      </c>
      <c r="E203" s="3"/>
      <c r="F203" s="3"/>
      <c r="G203" s="3"/>
      <c r="H203" s="3"/>
      <c r="I203" s="3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3"/>
      <c r="AR203" s="3"/>
      <c r="AS203" s="3"/>
      <c r="AT203" s="3"/>
      <c r="AU203" s="3"/>
      <c r="AV203" s="3"/>
      <c r="AW203" s="3"/>
      <c r="AX203" s="3"/>
      <c r="AY203" s="3"/>
      <c r="BD203" s="3"/>
      <c r="BE203" s="3"/>
      <c r="BJ203" s="3"/>
      <c r="BK203" s="3"/>
      <c r="BP203" s="3"/>
      <c r="BQ203" s="3"/>
      <c r="BV203" s="3"/>
      <c r="BW203" s="3"/>
      <c r="BX203" s="3"/>
      <c r="BY203" s="3"/>
      <c r="BZ203" s="3"/>
      <c r="CA203" s="3"/>
      <c r="CF203" s="3"/>
    </row>
    <row r="204" ht="16.5" customHeight="1">
      <c r="A204" s="145">
        <v>55.0</v>
      </c>
      <c r="B204" s="145">
        <v>59.0</v>
      </c>
      <c r="C204" s="145" t="s">
        <v>193</v>
      </c>
      <c r="D204" s="146">
        <v>90.0</v>
      </c>
      <c r="E204" s="3"/>
      <c r="F204" s="3"/>
      <c r="G204" s="3"/>
      <c r="H204" s="3"/>
      <c r="I204" s="3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3"/>
      <c r="AR204" s="3"/>
      <c r="AS204" s="3"/>
      <c r="AT204" s="3"/>
      <c r="AU204" s="3"/>
      <c r="AV204" s="3"/>
      <c r="AW204" s="3"/>
      <c r="AX204" s="3"/>
      <c r="AY204" s="3"/>
      <c r="BD204" s="3"/>
      <c r="BE204" s="3"/>
      <c r="BJ204" s="3"/>
      <c r="BK204" s="3"/>
      <c r="BP204" s="3"/>
      <c r="BQ204" s="3"/>
      <c r="BV204" s="3"/>
      <c r="BW204" s="3"/>
      <c r="BX204" s="3"/>
      <c r="BY204" s="3"/>
      <c r="BZ204" s="3"/>
      <c r="CA204" s="3"/>
      <c r="CF204" s="3"/>
    </row>
    <row r="205" ht="16.5" customHeight="1">
      <c r="A205" s="145">
        <v>60.0</v>
      </c>
      <c r="B205" s="145">
        <v>67.0</v>
      </c>
      <c r="C205" s="145" t="s">
        <v>193</v>
      </c>
      <c r="D205" s="146">
        <v>112.0</v>
      </c>
      <c r="E205" s="3"/>
      <c r="F205" s="3"/>
      <c r="G205" s="3"/>
      <c r="H205" s="3"/>
      <c r="I205" s="3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3"/>
      <c r="AR205" s="3"/>
      <c r="AS205" s="3"/>
      <c r="AT205" s="3"/>
      <c r="AU205" s="3"/>
      <c r="AV205" s="3"/>
      <c r="AW205" s="3"/>
      <c r="AX205" s="3"/>
      <c r="AY205" s="3"/>
      <c r="BD205" s="3"/>
      <c r="BE205" s="3"/>
      <c r="BJ205" s="3"/>
      <c r="BK205" s="3"/>
      <c r="BP205" s="3"/>
      <c r="BQ205" s="3"/>
      <c r="BV205" s="3"/>
      <c r="BW205" s="3"/>
      <c r="BX205" s="3"/>
      <c r="BY205" s="3"/>
      <c r="BZ205" s="3"/>
      <c r="CA205" s="3"/>
      <c r="CF205" s="3"/>
    </row>
    <row r="206" ht="16.5" customHeight="1">
      <c r="A206" s="145">
        <v>68.0</v>
      </c>
      <c r="B206" s="145">
        <v>120.0</v>
      </c>
      <c r="C206" s="145" t="s">
        <v>193</v>
      </c>
      <c r="D206" s="146">
        <v>185.0</v>
      </c>
      <c r="E206" s="3"/>
      <c r="F206" s="3"/>
      <c r="G206" s="3"/>
      <c r="H206" s="3"/>
      <c r="I206" s="3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3"/>
      <c r="AR206" s="3"/>
      <c r="AS206" s="3"/>
      <c r="AT206" s="3"/>
      <c r="AU206" s="3"/>
      <c r="AV206" s="3"/>
      <c r="AW206" s="3"/>
      <c r="AX206" s="3"/>
      <c r="AY206" s="3"/>
      <c r="BD206" s="3"/>
      <c r="BE206" s="3"/>
      <c r="BJ206" s="3"/>
      <c r="BK206" s="3"/>
      <c r="BP206" s="3"/>
      <c r="BQ206" s="3"/>
      <c r="BV206" s="3"/>
      <c r="BW206" s="3"/>
      <c r="BX206" s="3"/>
      <c r="BY206" s="3"/>
      <c r="BZ206" s="3"/>
      <c r="CA206" s="3"/>
      <c r="CF206" s="3"/>
    </row>
    <row r="207" ht="16.5" customHeight="1">
      <c r="A207" s="145">
        <v>0.0</v>
      </c>
      <c r="B207" s="145">
        <v>44.0</v>
      </c>
      <c r="C207" s="145" t="s">
        <v>194</v>
      </c>
      <c r="D207" s="146">
        <v>56.0</v>
      </c>
      <c r="E207" s="3"/>
      <c r="F207" s="3"/>
      <c r="G207" s="3"/>
      <c r="H207" s="3"/>
      <c r="I207" s="3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3"/>
      <c r="AR207" s="3"/>
      <c r="AS207" s="3"/>
      <c r="AT207" s="3"/>
      <c r="AU207" s="3"/>
      <c r="AV207" s="3"/>
      <c r="AW207" s="3"/>
      <c r="AX207" s="3"/>
      <c r="AY207" s="3"/>
      <c r="BD207" s="3"/>
      <c r="BE207" s="3"/>
      <c r="BJ207" s="3"/>
      <c r="BK207" s="3"/>
      <c r="BP207" s="3"/>
      <c r="BQ207" s="3"/>
      <c r="BV207" s="3"/>
      <c r="BW207" s="3"/>
      <c r="BX207" s="3"/>
      <c r="BY207" s="3"/>
      <c r="BZ207" s="3"/>
      <c r="CA207" s="3"/>
      <c r="CF207" s="3"/>
    </row>
    <row r="208" ht="16.5" customHeight="1">
      <c r="A208" s="145">
        <v>45.0</v>
      </c>
      <c r="B208" s="145">
        <v>54.0</v>
      </c>
      <c r="C208" s="145" t="s">
        <v>194</v>
      </c>
      <c r="D208" s="146">
        <v>66.5</v>
      </c>
      <c r="E208" s="3"/>
      <c r="F208" s="3"/>
      <c r="G208" s="3"/>
      <c r="H208" s="3"/>
      <c r="I208" s="3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3"/>
      <c r="AR208" s="3"/>
      <c r="AS208" s="3"/>
      <c r="AT208" s="3"/>
      <c r="AU208" s="3"/>
      <c r="AV208" s="3"/>
      <c r="AW208" s="3"/>
      <c r="AX208" s="3"/>
      <c r="AY208" s="3"/>
      <c r="BD208" s="3"/>
      <c r="BE208" s="3"/>
      <c r="BJ208" s="3"/>
      <c r="BK208" s="3"/>
      <c r="BP208" s="3"/>
      <c r="BQ208" s="3"/>
      <c r="BV208" s="3"/>
      <c r="BW208" s="3"/>
      <c r="BX208" s="3"/>
      <c r="BY208" s="3"/>
      <c r="BZ208" s="3"/>
      <c r="CA208" s="3"/>
      <c r="CF208" s="3"/>
    </row>
    <row r="209" ht="16.5" customHeight="1">
      <c r="A209" s="145">
        <v>55.0</v>
      </c>
      <c r="B209" s="145">
        <v>59.0</v>
      </c>
      <c r="C209" s="145" t="s">
        <v>194</v>
      </c>
      <c r="D209" s="146">
        <v>91.0</v>
      </c>
      <c r="E209" s="3"/>
      <c r="F209" s="3"/>
      <c r="G209" s="3"/>
      <c r="H209" s="3"/>
      <c r="I209" s="3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3"/>
      <c r="AR209" s="3"/>
      <c r="AS209" s="3"/>
      <c r="AT209" s="3"/>
      <c r="AU209" s="3"/>
      <c r="AV209" s="3"/>
      <c r="AW209" s="3"/>
      <c r="AX209" s="3"/>
      <c r="AY209" s="3"/>
      <c r="BD209" s="3"/>
      <c r="BE209" s="3"/>
      <c r="BJ209" s="3"/>
      <c r="BK209" s="3"/>
      <c r="BP209" s="3"/>
      <c r="BQ209" s="3"/>
      <c r="BV209" s="3"/>
      <c r="BW209" s="3"/>
      <c r="BX209" s="3"/>
      <c r="BY209" s="3"/>
      <c r="BZ209" s="3"/>
      <c r="CA209" s="3"/>
      <c r="CF209" s="3"/>
    </row>
    <row r="210" ht="16.5" customHeight="1">
      <c r="A210" s="145">
        <v>60.0</v>
      </c>
      <c r="B210" s="145">
        <v>67.0</v>
      </c>
      <c r="C210" s="145" t="s">
        <v>194</v>
      </c>
      <c r="D210" s="146">
        <v>113.0</v>
      </c>
      <c r="E210" s="3"/>
      <c r="F210" s="3"/>
      <c r="G210" s="3"/>
      <c r="H210" s="3"/>
      <c r="I210" s="3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3"/>
      <c r="AR210" s="3"/>
      <c r="AS210" s="3"/>
      <c r="AT210" s="3"/>
      <c r="AU210" s="3"/>
      <c r="AV210" s="3"/>
      <c r="AW210" s="3"/>
      <c r="AX210" s="3"/>
      <c r="AY210" s="3"/>
      <c r="BD210" s="3"/>
      <c r="BE210" s="3"/>
      <c r="BJ210" s="3"/>
      <c r="BK210" s="3"/>
      <c r="BP210" s="3"/>
      <c r="BQ210" s="3"/>
      <c r="BV210" s="3"/>
      <c r="BW210" s="3"/>
      <c r="BX210" s="3"/>
      <c r="BY210" s="3"/>
      <c r="BZ210" s="3"/>
      <c r="CA210" s="3"/>
      <c r="CF210" s="3"/>
    </row>
    <row r="211" ht="16.5" customHeight="1">
      <c r="A211" s="145">
        <v>68.0</v>
      </c>
      <c r="B211" s="145">
        <v>120.0</v>
      </c>
      <c r="C211" s="145" t="s">
        <v>194</v>
      </c>
      <c r="D211" s="146">
        <v>186.0</v>
      </c>
      <c r="E211" s="3"/>
      <c r="F211" s="3"/>
      <c r="G211" s="3"/>
      <c r="H211" s="3"/>
      <c r="I211" s="3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3"/>
      <c r="AR211" s="3"/>
      <c r="AS211" s="3"/>
      <c r="AT211" s="3"/>
      <c r="AU211" s="3"/>
      <c r="AV211" s="3"/>
      <c r="AW211" s="3"/>
      <c r="AX211" s="3"/>
      <c r="AY211" s="3"/>
      <c r="BD211" s="3"/>
      <c r="BE211" s="3"/>
      <c r="BJ211" s="3"/>
      <c r="BK211" s="3"/>
      <c r="BP211" s="3"/>
      <c r="BQ211" s="3"/>
      <c r="BV211" s="3"/>
      <c r="BW211" s="3"/>
      <c r="BX211" s="3"/>
      <c r="BY211" s="3"/>
      <c r="BZ211" s="3"/>
      <c r="CA211" s="3"/>
      <c r="CF211" s="3"/>
    </row>
    <row r="212" ht="16.5" customHeight="1">
      <c r="A212" s="145">
        <v>0.0</v>
      </c>
      <c r="B212" s="145">
        <v>44.0</v>
      </c>
      <c r="C212" s="145" t="s">
        <v>195</v>
      </c>
      <c r="D212" s="146">
        <v>74.5</v>
      </c>
      <c r="E212" s="3"/>
      <c r="F212" s="3"/>
      <c r="G212" s="3"/>
      <c r="H212" s="3"/>
      <c r="I212" s="3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3"/>
      <c r="AR212" s="3"/>
      <c r="AS212" s="3"/>
      <c r="AT212" s="3"/>
      <c r="AU212" s="3"/>
      <c r="AV212" s="3"/>
      <c r="AW212" s="3"/>
      <c r="AX212" s="3"/>
      <c r="AY212" s="3"/>
      <c r="BD212" s="3"/>
      <c r="BE212" s="3"/>
      <c r="BJ212" s="3"/>
      <c r="BK212" s="3"/>
      <c r="BP212" s="3"/>
      <c r="BQ212" s="3"/>
      <c r="BV212" s="3"/>
      <c r="BW212" s="3"/>
      <c r="BX212" s="3"/>
      <c r="BY212" s="3"/>
      <c r="BZ212" s="3"/>
      <c r="CA212" s="3"/>
      <c r="CF212" s="3"/>
    </row>
    <row r="213" ht="16.5" customHeight="1">
      <c r="A213" s="145">
        <v>45.0</v>
      </c>
      <c r="B213" s="145">
        <v>54.0</v>
      </c>
      <c r="C213" s="145" t="s">
        <v>195</v>
      </c>
      <c r="D213" s="146">
        <v>76.5</v>
      </c>
      <c r="E213" s="3"/>
      <c r="F213" s="3"/>
      <c r="G213" s="3"/>
      <c r="H213" s="3"/>
      <c r="I213" s="3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3"/>
      <c r="AR213" s="3"/>
      <c r="AS213" s="3"/>
      <c r="AT213" s="3"/>
      <c r="AU213" s="3"/>
      <c r="AV213" s="3"/>
      <c r="AW213" s="3"/>
      <c r="AX213" s="3"/>
      <c r="AY213" s="3"/>
      <c r="BD213" s="3"/>
      <c r="BE213" s="3"/>
      <c r="BJ213" s="3"/>
      <c r="BK213" s="3"/>
      <c r="BP213" s="3"/>
      <c r="BQ213" s="3"/>
      <c r="BV213" s="3"/>
      <c r="BW213" s="3"/>
      <c r="BX213" s="3"/>
      <c r="BY213" s="3"/>
      <c r="BZ213" s="3"/>
      <c r="CA213" s="3"/>
      <c r="CF213" s="3"/>
    </row>
    <row r="214" ht="16.5" customHeight="1">
      <c r="A214" s="145">
        <v>55.0</v>
      </c>
      <c r="B214" s="145">
        <v>59.0</v>
      </c>
      <c r="C214" s="145" t="s">
        <v>195</v>
      </c>
      <c r="D214" s="146">
        <v>111.0</v>
      </c>
      <c r="E214" s="3"/>
      <c r="F214" s="3"/>
      <c r="G214" s="3"/>
      <c r="H214" s="3"/>
      <c r="I214" s="3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3"/>
      <c r="AR214" s="3"/>
      <c r="AS214" s="3"/>
      <c r="AT214" s="3"/>
      <c r="AU214" s="3"/>
      <c r="AV214" s="3"/>
      <c r="AW214" s="3"/>
      <c r="AX214" s="3"/>
      <c r="AY214" s="3"/>
      <c r="BD214" s="3"/>
      <c r="BE214" s="3"/>
      <c r="BJ214" s="3"/>
      <c r="BK214" s="3"/>
      <c r="BP214" s="3"/>
      <c r="BQ214" s="3"/>
      <c r="BV214" s="3"/>
      <c r="BW214" s="3"/>
      <c r="BX214" s="3"/>
      <c r="BY214" s="3"/>
      <c r="BZ214" s="3"/>
      <c r="CA214" s="3"/>
      <c r="CF214" s="3"/>
    </row>
    <row r="215" ht="16.5" customHeight="1">
      <c r="A215" s="145">
        <v>60.0</v>
      </c>
      <c r="B215" s="145">
        <v>67.0</v>
      </c>
      <c r="C215" s="145" t="s">
        <v>195</v>
      </c>
      <c r="D215" s="146">
        <v>133.0</v>
      </c>
      <c r="E215" s="3"/>
      <c r="F215" s="3"/>
      <c r="G215" s="3"/>
      <c r="H215" s="3"/>
      <c r="I215" s="3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3"/>
      <c r="AR215" s="3"/>
      <c r="AS215" s="3"/>
      <c r="AT215" s="3"/>
      <c r="AU215" s="3"/>
      <c r="AV215" s="3"/>
      <c r="AW215" s="3"/>
      <c r="AX215" s="3"/>
      <c r="AY215" s="3"/>
      <c r="BD215" s="3"/>
      <c r="BE215" s="3"/>
      <c r="BJ215" s="3"/>
      <c r="BK215" s="3"/>
      <c r="BP215" s="3"/>
      <c r="BQ215" s="3"/>
      <c r="BV215" s="3"/>
      <c r="BW215" s="3"/>
      <c r="BX215" s="3"/>
      <c r="BY215" s="3"/>
      <c r="BZ215" s="3"/>
      <c r="CA215" s="3"/>
      <c r="CF215" s="3"/>
    </row>
    <row r="216" ht="16.5" customHeight="1">
      <c r="A216" s="145">
        <v>68.0</v>
      </c>
      <c r="B216" s="145">
        <v>120.0</v>
      </c>
      <c r="C216" s="145" t="s">
        <v>195</v>
      </c>
      <c r="D216" s="146">
        <v>205.0</v>
      </c>
      <c r="E216" s="3"/>
      <c r="F216" s="3"/>
      <c r="G216" s="3"/>
      <c r="H216" s="3"/>
      <c r="I216" s="3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3"/>
      <c r="AR216" s="3"/>
      <c r="AS216" s="3"/>
      <c r="AT216" s="3"/>
      <c r="AU216" s="3"/>
      <c r="AV216" s="3"/>
      <c r="AW216" s="3"/>
      <c r="AX216" s="3"/>
      <c r="AY216" s="3"/>
      <c r="BD216" s="3"/>
      <c r="BE216" s="3"/>
      <c r="BJ216" s="3"/>
      <c r="BK216" s="3"/>
      <c r="BP216" s="3"/>
      <c r="BQ216" s="3"/>
      <c r="BV216" s="3"/>
      <c r="BW216" s="3"/>
      <c r="BX216" s="3"/>
      <c r="BY216" s="3"/>
      <c r="BZ216" s="3"/>
      <c r="CA216" s="3"/>
      <c r="CF216" s="3"/>
    </row>
    <row r="217" ht="16.5" customHeight="1">
      <c r="A217" s="145">
        <v>0.0</v>
      </c>
      <c r="B217" s="145">
        <v>44.0</v>
      </c>
      <c r="C217" s="145" t="s">
        <v>196</v>
      </c>
      <c r="D217" s="146">
        <v>76.5</v>
      </c>
      <c r="E217" s="3"/>
      <c r="F217" s="3"/>
      <c r="G217" s="3"/>
      <c r="H217" s="3"/>
      <c r="I217" s="3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3"/>
      <c r="AR217" s="3"/>
      <c r="AS217" s="3"/>
      <c r="AT217" s="3"/>
      <c r="AU217" s="3"/>
      <c r="AV217" s="3"/>
      <c r="AW217" s="3"/>
      <c r="AX217" s="3"/>
      <c r="AY217" s="3"/>
      <c r="BD217" s="3"/>
      <c r="BE217" s="3"/>
      <c r="BJ217" s="3"/>
      <c r="BK217" s="3"/>
      <c r="BP217" s="3"/>
      <c r="BQ217" s="3"/>
      <c r="BV217" s="3"/>
      <c r="BW217" s="3"/>
      <c r="BX217" s="3"/>
      <c r="BY217" s="3"/>
      <c r="BZ217" s="3"/>
      <c r="CA217" s="3"/>
      <c r="CF217" s="3"/>
    </row>
    <row r="218" ht="16.5" customHeight="1">
      <c r="A218" s="145">
        <v>45.0</v>
      </c>
      <c r="B218" s="145">
        <v>54.0</v>
      </c>
      <c r="C218" s="145" t="s">
        <v>196</v>
      </c>
      <c r="D218" s="146">
        <v>79.5</v>
      </c>
      <c r="E218" s="3"/>
      <c r="F218" s="3"/>
      <c r="G218" s="3"/>
      <c r="H218" s="3"/>
      <c r="I218" s="3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3"/>
      <c r="AR218" s="3"/>
      <c r="AS218" s="3"/>
      <c r="AT218" s="3"/>
      <c r="AU218" s="3"/>
      <c r="AV218" s="3"/>
      <c r="AW218" s="3"/>
      <c r="AX218" s="3"/>
      <c r="AY218" s="3"/>
      <c r="BD218" s="3"/>
      <c r="BE218" s="3"/>
      <c r="BJ218" s="3"/>
      <c r="BK218" s="3"/>
      <c r="BP218" s="3"/>
      <c r="BQ218" s="3"/>
      <c r="BV218" s="3"/>
      <c r="BW218" s="3"/>
      <c r="BX218" s="3"/>
      <c r="BY218" s="3"/>
      <c r="BZ218" s="3"/>
      <c r="CA218" s="3"/>
      <c r="CF218" s="3"/>
    </row>
    <row r="219" ht="16.5" customHeight="1">
      <c r="A219" s="145">
        <v>55.0</v>
      </c>
      <c r="B219" s="145">
        <v>59.0</v>
      </c>
      <c r="C219" s="145" t="s">
        <v>196</v>
      </c>
      <c r="D219" s="146">
        <v>115.0</v>
      </c>
      <c r="E219" s="3"/>
      <c r="F219" s="3"/>
      <c r="G219" s="3"/>
      <c r="H219" s="3"/>
      <c r="I219" s="3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3"/>
      <c r="AR219" s="3"/>
      <c r="AS219" s="3"/>
      <c r="AT219" s="3"/>
      <c r="AU219" s="3"/>
      <c r="AV219" s="3"/>
      <c r="AW219" s="3"/>
      <c r="AX219" s="3"/>
      <c r="AY219" s="3"/>
      <c r="BD219" s="3"/>
      <c r="BE219" s="3"/>
      <c r="BJ219" s="3"/>
      <c r="BK219" s="3"/>
      <c r="BP219" s="3"/>
      <c r="BQ219" s="3"/>
      <c r="BV219" s="3"/>
      <c r="BW219" s="3"/>
      <c r="BX219" s="3"/>
      <c r="BY219" s="3"/>
      <c r="BZ219" s="3"/>
      <c r="CA219" s="3"/>
      <c r="CF219" s="3"/>
    </row>
    <row r="220" ht="16.5" customHeight="1">
      <c r="A220" s="145">
        <v>60.0</v>
      </c>
      <c r="B220" s="145">
        <v>67.0</v>
      </c>
      <c r="C220" s="145" t="s">
        <v>196</v>
      </c>
      <c r="D220" s="146">
        <v>137.0</v>
      </c>
      <c r="E220" s="3"/>
      <c r="F220" s="3"/>
      <c r="G220" s="3"/>
      <c r="H220" s="3"/>
      <c r="I220" s="3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3"/>
      <c r="AR220" s="3"/>
      <c r="AS220" s="3"/>
      <c r="AT220" s="3"/>
      <c r="AU220" s="3"/>
      <c r="AV220" s="3"/>
      <c r="AW220" s="3"/>
      <c r="AX220" s="3"/>
      <c r="AY220" s="3"/>
      <c r="BD220" s="3"/>
      <c r="BE220" s="3"/>
      <c r="BJ220" s="3"/>
      <c r="BK220" s="3"/>
      <c r="BP220" s="3"/>
      <c r="BQ220" s="3"/>
      <c r="BV220" s="3"/>
      <c r="BW220" s="3"/>
      <c r="BX220" s="3"/>
      <c r="BY220" s="3"/>
      <c r="BZ220" s="3"/>
      <c r="CA220" s="3"/>
      <c r="CF220" s="3"/>
    </row>
    <row r="221" ht="16.5" customHeight="1">
      <c r="A221" s="145">
        <v>68.0</v>
      </c>
      <c r="B221" s="145">
        <v>120.0</v>
      </c>
      <c r="C221" s="145" t="s">
        <v>196</v>
      </c>
      <c r="D221" s="146">
        <v>210.0</v>
      </c>
      <c r="E221" s="3"/>
      <c r="F221" s="3"/>
      <c r="G221" s="3"/>
      <c r="H221" s="3"/>
      <c r="I221" s="3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3"/>
      <c r="AR221" s="3"/>
      <c r="AS221" s="3"/>
      <c r="AT221" s="3"/>
      <c r="AU221" s="3"/>
      <c r="AV221" s="3"/>
      <c r="AW221" s="3"/>
      <c r="AX221" s="3"/>
      <c r="AY221" s="3"/>
      <c r="BD221" s="3"/>
      <c r="BE221" s="3"/>
      <c r="BJ221" s="3"/>
      <c r="BK221" s="3"/>
      <c r="BP221" s="3"/>
      <c r="BQ221" s="3"/>
      <c r="BV221" s="3"/>
      <c r="BW221" s="3"/>
      <c r="BX221" s="3"/>
      <c r="BY221" s="3"/>
      <c r="BZ221" s="3"/>
      <c r="CA221" s="3"/>
      <c r="CF221" s="3"/>
    </row>
    <row r="222" ht="16.5" customHeight="1">
      <c r="A222" s="145">
        <v>0.0</v>
      </c>
      <c r="B222" s="145">
        <v>44.0</v>
      </c>
      <c r="C222" s="145" t="s">
        <v>197</v>
      </c>
      <c r="D222" s="146">
        <v>77.5</v>
      </c>
      <c r="E222" s="3"/>
      <c r="F222" s="3"/>
      <c r="G222" s="3"/>
      <c r="H222" s="3"/>
      <c r="I222" s="3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3"/>
      <c r="AR222" s="3"/>
      <c r="AS222" s="3"/>
      <c r="AT222" s="3"/>
      <c r="AU222" s="3"/>
      <c r="AV222" s="3"/>
      <c r="AW222" s="3"/>
      <c r="AX222" s="3"/>
      <c r="AY222" s="3"/>
      <c r="BD222" s="3"/>
      <c r="BE222" s="3"/>
      <c r="BJ222" s="3"/>
      <c r="BK222" s="3"/>
      <c r="BP222" s="3"/>
      <c r="BQ222" s="3"/>
      <c r="BV222" s="3"/>
      <c r="BW222" s="3"/>
      <c r="BX222" s="3"/>
      <c r="BY222" s="3"/>
      <c r="BZ222" s="3"/>
      <c r="CA222" s="3"/>
      <c r="CF222" s="3"/>
    </row>
    <row r="223" ht="16.5" customHeight="1">
      <c r="A223" s="145">
        <v>45.0</v>
      </c>
      <c r="B223" s="145">
        <v>54.0</v>
      </c>
      <c r="C223" s="145" t="s">
        <v>197</v>
      </c>
      <c r="D223" s="146">
        <v>80.0</v>
      </c>
      <c r="E223" s="3"/>
      <c r="F223" s="3"/>
      <c r="G223" s="3"/>
      <c r="H223" s="3"/>
      <c r="I223" s="3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3"/>
      <c r="AR223" s="3"/>
      <c r="AS223" s="3"/>
      <c r="AT223" s="3"/>
      <c r="AU223" s="3"/>
      <c r="AV223" s="3"/>
      <c r="AW223" s="3"/>
      <c r="AX223" s="3"/>
      <c r="AY223" s="3"/>
      <c r="BD223" s="3"/>
      <c r="BE223" s="3"/>
      <c r="BJ223" s="3"/>
      <c r="BK223" s="3"/>
      <c r="BP223" s="3"/>
      <c r="BQ223" s="3"/>
      <c r="BV223" s="3"/>
      <c r="BW223" s="3"/>
      <c r="BX223" s="3"/>
      <c r="BY223" s="3"/>
      <c r="BZ223" s="3"/>
      <c r="CA223" s="3"/>
      <c r="CF223" s="3"/>
    </row>
    <row r="224" ht="16.5" customHeight="1">
      <c r="A224" s="145">
        <v>55.0</v>
      </c>
      <c r="B224" s="145">
        <v>59.0</v>
      </c>
      <c r="C224" s="145" t="s">
        <v>197</v>
      </c>
      <c r="D224" s="146">
        <v>116.0</v>
      </c>
      <c r="E224" s="3"/>
      <c r="F224" s="3"/>
      <c r="G224" s="3"/>
      <c r="H224" s="3"/>
      <c r="I224" s="3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3"/>
      <c r="AR224" s="3"/>
      <c r="AS224" s="3"/>
      <c r="AT224" s="3"/>
      <c r="AU224" s="3"/>
      <c r="AV224" s="3"/>
      <c r="AW224" s="3"/>
      <c r="AX224" s="3"/>
      <c r="AY224" s="3"/>
      <c r="BD224" s="3"/>
      <c r="BE224" s="3"/>
      <c r="BJ224" s="3"/>
      <c r="BK224" s="3"/>
      <c r="BP224" s="3"/>
      <c r="BQ224" s="3"/>
      <c r="BV224" s="3"/>
      <c r="BW224" s="3"/>
      <c r="BX224" s="3"/>
      <c r="BY224" s="3"/>
      <c r="BZ224" s="3"/>
      <c r="CA224" s="3"/>
      <c r="CF224" s="3"/>
    </row>
    <row r="225" ht="16.5" customHeight="1">
      <c r="A225" s="145">
        <v>60.0</v>
      </c>
      <c r="B225" s="145">
        <v>67.0</v>
      </c>
      <c r="C225" s="145" t="s">
        <v>197</v>
      </c>
      <c r="D225" s="146">
        <v>141.0</v>
      </c>
      <c r="E225" s="3"/>
      <c r="F225" s="3"/>
      <c r="G225" s="3"/>
      <c r="H225" s="3"/>
      <c r="I225" s="3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3"/>
      <c r="AR225" s="3"/>
      <c r="AS225" s="3"/>
      <c r="AT225" s="3"/>
      <c r="AU225" s="3"/>
      <c r="AV225" s="3"/>
      <c r="AW225" s="3"/>
      <c r="AX225" s="3"/>
      <c r="AY225" s="3"/>
      <c r="BD225" s="3"/>
      <c r="BE225" s="3"/>
      <c r="BJ225" s="3"/>
      <c r="BK225" s="3"/>
      <c r="BP225" s="3"/>
      <c r="BQ225" s="3"/>
      <c r="BV225" s="3"/>
      <c r="BW225" s="3"/>
      <c r="BX225" s="3"/>
      <c r="BY225" s="3"/>
      <c r="BZ225" s="3"/>
      <c r="CA225" s="3"/>
      <c r="CF225" s="3"/>
    </row>
    <row r="226" ht="16.5" customHeight="1">
      <c r="A226" s="145">
        <v>68.0</v>
      </c>
      <c r="B226" s="145">
        <v>120.0</v>
      </c>
      <c r="C226" s="145" t="s">
        <v>197</v>
      </c>
      <c r="D226" s="146">
        <v>215.0</v>
      </c>
      <c r="E226" s="3"/>
      <c r="F226" s="3"/>
      <c r="G226" s="3"/>
      <c r="H226" s="3"/>
      <c r="I226" s="3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3"/>
      <c r="AR226" s="3"/>
      <c r="AS226" s="3"/>
      <c r="AT226" s="3"/>
      <c r="AU226" s="3"/>
      <c r="AV226" s="3"/>
      <c r="AW226" s="3"/>
      <c r="AX226" s="3"/>
      <c r="AY226" s="3"/>
      <c r="BD226" s="3"/>
      <c r="BE226" s="3"/>
      <c r="BJ226" s="3"/>
      <c r="BK226" s="3"/>
      <c r="BP226" s="3"/>
      <c r="BQ226" s="3"/>
      <c r="BV226" s="3"/>
      <c r="BW226" s="3"/>
      <c r="BX226" s="3"/>
      <c r="BY226" s="3"/>
      <c r="BZ226" s="3"/>
      <c r="CA226" s="3"/>
      <c r="CF226" s="3"/>
    </row>
    <row r="227" ht="16.5" customHeight="1">
      <c r="A227" s="145">
        <v>0.0</v>
      </c>
      <c r="B227" s="145">
        <v>44.0</v>
      </c>
      <c r="C227" s="145" t="s">
        <v>198</v>
      </c>
      <c r="D227" s="146">
        <v>80.0</v>
      </c>
      <c r="E227" s="3"/>
      <c r="F227" s="3"/>
      <c r="G227" s="3"/>
      <c r="H227" s="3"/>
      <c r="I227" s="3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3"/>
      <c r="AR227" s="3"/>
      <c r="AS227" s="3"/>
      <c r="AT227" s="3"/>
      <c r="AU227" s="3"/>
      <c r="AV227" s="3"/>
      <c r="AW227" s="3"/>
      <c r="AX227" s="3"/>
      <c r="AY227" s="3"/>
      <c r="BD227" s="3"/>
      <c r="BE227" s="3"/>
      <c r="BJ227" s="3"/>
      <c r="BK227" s="3"/>
      <c r="BP227" s="3"/>
      <c r="BQ227" s="3"/>
      <c r="BV227" s="3"/>
      <c r="BW227" s="3"/>
      <c r="BX227" s="3"/>
      <c r="BY227" s="3"/>
      <c r="BZ227" s="3"/>
      <c r="CA227" s="3"/>
      <c r="CF227" s="3"/>
    </row>
    <row r="228" ht="16.5" customHeight="1">
      <c r="A228" s="145">
        <v>45.0</v>
      </c>
      <c r="B228" s="145">
        <v>54.0</v>
      </c>
      <c r="C228" s="145" t="s">
        <v>198</v>
      </c>
      <c r="D228" s="146">
        <v>82.0</v>
      </c>
      <c r="E228" s="3"/>
      <c r="F228" s="3"/>
      <c r="G228" s="3"/>
      <c r="H228" s="3"/>
      <c r="I228" s="3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3"/>
      <c r="AR228" s="3"/>
      <c r="AS228" s="3"/>
      <c r="AT228" s="3"/>
      <c r="AU228" s="3"/>
      <c r="AV228" s="3"/>
      <c r="AW228" s="3"/>
      <c r="AX228" s="3"/>
      <c r="AY228" s="3"/>
      <c r="BD228" s="3"/>
      <c r="BE228" s="3"/>
      <c r="BJ228" s="3"/>
      <c r="BK228" s="3"/>
      <c r="BP228" s="3"/>
      <c r="BQ228" s="3"/>
      <c r="BV228" s="3"/>
      <c r="BW228" s="3"/>
      <c r="BX228" s="3"/>
      <c r="BY228" s="3"/>
      <c r="BZ228" s="3"/>
      <c r="CA228" s="3"/>
      <c r="CF228" s="3"/>
    </row>
    <row r="229" ht="16.5" customHeight="1">
      <c r="A229" s="145">
        <v>55.0</v>
      </c>
      <c r="B229" s="145">
        <v>59.0</v>
      </c>
      <c r="C229" s="145" t="s">
        <v>198</v>
      </c>
      <c r="D229" s="146">
        <v>119.0</v>
      </c>
      <c r="E229" s="3"/>
      <c r="F229" s="3"/>
      <c r="G229" s="3"/>
      <c r="H229" s="3"/>
      <c r="I229" s="3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3"/>
      <c r="AR229" s="3"/>
      <c r="AS229" s="3"/>
      <c r="AT229" s="3"/>
      <c r="AU229" s="3"/>
      <c r="AV229" s="3"/>
      <c r="AW229" s="3"/>
      <c r="AX229" s="3"/>
      <c r="AY229" s="3"/>
      <c r="BD229" s="3"/>
      <c r="BE229" s="3"/>
      <c r="BJ229" s="3"/>
      <c r="BK229" s="3"/>
      <c r="BP229" s="3"/>
      <c r="BQ229" s="3"/>
      <c r="BV229" s="3"/>
      <c r="BW229" s="3"/>
      <c r="BX229" s="3"/>
      <c r="BY229" s="3"/>
      <c r="BZ229" s="3"/>
      <c r="CA229" s="3"/>
      <c r="CF229" s="3"/>
    </row>
    <row r="230" ht="16.5" customHeight="1">
      <c r="A230" s="145">
        <v>60.0</v>
      </c>
      <c r="B230" s="145">
        <v>67.0</v>
      </c>
      <c r="C230" s="145" t="s">
        <v>198</v>
      </c>
      <c r="D230" s="146">
        <v>143.0</v>
      </c>
      <c r="E230" s="3"/>
      <c r="F230" s="3"/>
      <c r="G230" s="3"/>
      <c r="H230" s="3"/>
      <c r="I230" s="3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3"/>
      <c r="AR230" s="3"/>
      <c r="AS230" s="3"/>
      <c r="AT230" s="3"/>
      <c r="AU230" s="3"/>
      <c r="AV230" s="3"/>
      <c r="AW230" s="3"/>
      <c r="AX230" s="3"/>
      <c r="AY230" s="3"/>
      <c r="BD230" s="3"/>
      <c r="BE230" s="3"/>
      <c r="BJ230" s="3"/>
      <c r="BK230" s="3"/>
      <c r="BP230" s="3"/>
      <c r="BQ230" s="3"/>
      <c r="BV230" s="3"/>
      <c r="BW230" s="3"/>
      <c r="BX230" s="3"/>
      <c r="BY230" s="3"/>
      <c r="BZ230" s="3"/>
      <c r="CA230" s="3"/>
      <c r="CF230" s="3"/>
    </row>
    <row r="231" ht="16.5" customHeight="1">
      <c r="A231" s="145">
        <v>68.0</v>
      </c>
      <c r="B231" s="145">
        <v>120.0</v>
      </c>
      <c r="C231" s="145" t="s">
        <v>198</v>
      </c>
      <c r="D231" s="146">
        <v>219.0</v>
      </c>
      <c r="E231" s="3"/>
      <c r="F231" s="3"/>
      <c r="G231" s="3"/>
      <c r="H231" s="3"/>
      <c r="I231" s="3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3"/>
      <c r="AR231" s="3"/>
      <c r="AS231" s="3"/>
      <c r="AT231" s="3"/>
      <c r="AU231" s="3"/>
      <c r="AV231" s="3"/>
      <c r="AW231" s="3"/>
      <c r="AX231" s="3"/>
      <c r="AY231" s="3"/>
      <c r="BD231" s="3"/>
      <c r="BE231" s="3"/>
      <c r="BJ231" s="3"/>
      <c r="BK231" s="3"/>
      <c r="BP231" s="3"/>
      <c r="BQ231" s="3"/>
      <c r="BV231" s="3"/>
      <c r="BW231" s="3"/>
      <c r="BX231" s="3"/>
      <c r="BY231" s="3"/>
      <c r="BZ231" s="3"/>
      <c r="CA231" s="3"/>
      <c r="CF231" s="3"/>
    </row>
    <row r="232" ht="16.5" customHeight="1">
      <c r="A232" s="145">
        <v>0.0</v>
      </c>
      <c r="B232" s="145">
        <v>44.0</v>
      </c>
      <c r="C232" s="145" t="s">
        <v>199</v>
      </c>
      <c r="D232" s="146">
        <v>81.0</v>
      </c>
      <c r="E232" s="3"/>
      <c r="F232" s="3"/>
      <c r="G232" s="3"/>
      <c r="H232" s="3"/>
      <c r="I232" s="3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3"/>
      <c r="AR232" s="3"/>
      <c r="AS232" s="3"/>
      <c r="AT232" s="3"/>
      <c r="AU232" s="3"/>
      <c r="AV232" s="3"/>
      <c r="AW232" s="3"/>
      <c r="AX232" s="3"/>
      <c r="AY232" s="3"/>
      <c r="BD232" s="3"/>
      <c r="BE232" s="3"/>
      <c r="BJ232" s="3"/>
      <c r="BK232" s="3"/>
      <c r="BP232" s="3"/>
      <c r="BQ232" s="3"/>
      <c r="BV232" s="3"/>
      <c r="BW232" s="3"/>
      <c r="BX232" s="3"/>
      <c r="BY232" s="3"/>
      <c r="BZ232" s="3"/>
      <c r="CA232" s="3"/>
      <c r="CF232" s="3"/>
    </row>
    <row r="233" ht="16.5" customHeight="1">
      <c r="A233" s="145">
        <v>45.0</v>
      </c>
      <c r="B233" s="145">
        <v>54.0</v>
      </c>
      <c r="C233" s="145" t="s">
        <v>199</v>
      </c>
      <c r="D233" s="146">
        <v>84.0</v>
      </c>
      <c r="E233" s="3"/>
      <c r="F233" s="3"/>
      <c r="G233" s="3"/>
      <c r="H233" s="3"/>
      <c r="I233" s="3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3"/>
      <c r="AR233" s="3"/>
      <c r="AS233" s="3"/>
      <c r="AT233" s="3"/>
      <c r="AU233" s="3"/>
      <c r="AV233" s="3"/>
      <c r="AW233" s="3"/>
      <c r="AX233" s="3"/>
      <c r="AY233" s="3"/>
      <c r="BD233" s="3"/>
      <c r="BE233" s="3"/>
      <c r="BJ233" s="3"/>
      <c r="BK233" s="3"/>
      <c r="BP233" s="3"/>
      <c r="BQ233" s="3"/>
      <c r="BV233" s="3"/>
      <c r="BW233" s="3"/>
      <c r="BX233" s="3"/>
      <c r="BY233" s="3"/>
      <c r="BZ233" s="3"/>
      <c r="CA233" s="3"/>
      <c r="CF233" s="3"/>
    </row>
    <row r="234" ht="16.5" customHeight="1">
      <c r="A234" s="145">
        <v>55.0</v>
      </c>
      <c r="B234" s="145">
        <v>59.0</v>
      </c>
      <c r="C234" s="145" t="s">
        <v>199</v>
      </c>
      <c r="D234" s="146">
        <v>122.0</v>
      </c>
      <c r="E234" s="3"/>
      <c r="F234" s="3"/>
      <c r="G234" s="3"/>
      <c r="H234" s="3"/>
      <c r="I234" s="3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3"/>
      <c r="AR234" s="3"/>
      <c r="AS234" s="3"/>
      <c r="AT234" s="3"/>
      <c r="AU234" s="3"/>
      <c r="AV234" s="3"/>
      <c r="AW234" s="3"/>
      <c r="AX234" s="3"/>
      <c r="AY234" s="3"/>
      <c r="BD234" s="3"/>
      <c r="BE234" s="3"/>
      <c r="BJ234" s="3"/>
      <c r="BK234" s="3"/>
      <c r="BP234" s="3"/>
      <c r="BQ234" s="3"/>
      <c r="BV234" s="3"/>
      <c r="BW234" s="3"/>
      <c r="BX234" s="3"/>
      <c r="BY234" s="3"/>
      <c r="BZ234" s="3"/>
      <c r="CA234" s="3"/>
      <c r="CF234" s="3"/>
    </row>
    <row r="235" ht="16.5" customHeight="1">
      <c r="A235" s="145">
        <v>60.0</v>
      </c>
      <c r="B235" s="145">
        <v>67.0</v>
      </c>
      <c r="C235" s="145" t="s">
        <v>199</v>
      </c>
      <c r="D235" s="146">
        <v>147.0</v>
      </c>
      <c r="E235" s="3"/>
      <c r="F235" s="3"/>
      <c r="G235" s="3"/>
      <c r="H235" s="3"/>
      <c r="I235" s="3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3"/>
      <c r="AR235" s="3"/>
      <c r="AS235" s="3"/>
      <c r="AT235" s="3"/>
      <c r="AU235" s="3"/>
      <c r="AV235" s="3"/>
      <c r="AW235" s="3"/>
      <c r="AX235" s="3"/>
      <c r="AY235" s="3"/>
      <c r="BD235" s="3"/>
      <c r="BE235" s="3"/>
      <c r="BJ235" s="3"/>
      <c r="BK235" s="3"/>
      <c r="BP235" s="3"/>
      <c r="BQ235" s="3"/>
      <c r="BV235" s="3"/>
      <c r="BW235" s="3"/>
      <c r="BX235" s="3"/>
      <c r="BY235" s="3"/>
      <c r="BZ235" s="3"/>
      <c r="CA235" s="3"/>
      <c r="CF235" s="3"/>
    </row>
    <row r="236" ht="16.5" customHeight="1">
      <c r="A236" s="145">
        <v>68.0</v>
      </c>
      <c r="B236" s="145">
        <v>120.0</v>
      </c>
      <c r="C236" s="145" t="s">
        <v>199</v>
      </c>
      <c r="D236" s="146">
        <v>230.0</v>
      </c>
      <c r="E236" s="3"/>
      <c r="F236" s="3"/>
      <c r="G236" s="3"/>
      <c r="H236" s="3"/>
      <c r="I236" s="3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3"/>
      <c r="AR236" s="3"/>
      <c r="AS236" s="3"/>
      <c r="AT236" s="3"/>
      <c r="AU236" s="3"/>
      <c r="AV236" s="3"/>
      <c r="AW236" s="3"/>
      <c r="AX236" s="3"/>
      <c r="AY236" s="3"/>
      <c r="BD236" s="3"/>
      <c r="BE236" s="3"/>
      <c r="BJ236" s="3"/>
      <c r="BK236" s="3"/>
      <c r="BP236" s="3"/>
      <c r="BQ236" s="3"/>
      <c r="BV236" s="3"/>
      <c r="BW236" s="3"/>
      <c r="BX236" s="3"/>
      <c r="BY236" s="3"/>
      <c r="BZ236" s="3"/>
      <c r="CA236" s="3"/>
      <c r="CF236" s="3"/>
    </row>
    <row r="237" ht="16.5" customHeight="1">
      <c r="A237" s="145">
        <v>0.0</v>
      </c>
      <c r="B237" s="145">
        <v>44.0</v>
      </c>
      <c r="C237" s="145" t="s">
        <v>200</v>
      </c>
      <c r="D237" s="146">
        <v>82.0</v>
      </c>
      <c r="E237" s="3"/>
      <c r="F237" s="3"/>
      <c r="G237" s="3"/>
      <c r="H237" s="3"/>
      <c r="I237" s="3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3"/>
      <c r="AR237" s="3"/>
      <c r="AS237" s="3"/>
      <c r="AT237" s="3"/>
      <c r="AU237" s="3"/>
      <c r="AV237" s="3"/>
      <c r="AW237" s="3"/>
      <c r="AX237" s="3"/>
      <c r="AY237" s="3"/>
      <c r="BD237" s="3"/>
      <c r="BE237" s="3"/>
      <c r="BJ237" s="3"/>
      <c r="BK237" s="3"/>
      <c r="BP237" s="3"/>
      <c r="BQ237" s="3"/>
      <c r="BV237" s="3"/>
      <c r="BW237" s="3"/>
      <c r="BX237" s="3"/>
      <c r="BY237" s="3"/>
      <c r="BZ237" s="3"/>
      <c r="CA237" s="3"/>
      <c r="CF237" s="3"/>
    </row>
    <row r="238" ht="16.5" customHeight="1">
      <c r="A238" s="145">
        <v>45.0</v>
      </c>
      <c r="B238" s="145">
        <v>54.0</v>
      </c>
      <c r="C238" s="145" t="s">
        <v>200</v>
      </c>
      <c r="D238" s="146">
        <v>86.0</v>
      </c>
      <c r="E238" s="3"/>
      <c r="F238" s="3"/>
      <c r="G238" s="3"/>
      <c r="H238" s="3"/>
      <c r="I238" s="3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3"/>
      <c r="AR238" s="3"/>
      <c r="AS238" s="3"/>
      <c r="AT238" s="3"/>
      <c r="AU238" s="3"/>
      <c r="AV238" s="3"/>
      <c r="AW238" s="3"/>
      <c r="AX238" s="3"/>
      <c r="AY238" s="3"/>
      <c r="BD238" s="3"/>
      <c r="BE238" s="3"/>
      <c r="BJ238" s="3"/>
      <c r="BK238" s="3"/>
      <c r="BP238" s="3"/>
      <c r="BQ238" s="3"/>
      <c r="BV238" s="3"/>
      <c r="BW238" s="3"/>
      <c r="BX238" s="3"/>
      <c r="BY238" s="3"/>
      <c r="BZ238" s="3"/>
      <c r="CA238" s="3"/>
      <c r="CF238" s="3"/>
    </row>
    <row r="239" ht="16.5" customHeight="1">
      <c r="A239" s="145">
        <v>55.0</v>
      </c>
      <c r="B239" s="145">
        <v>59.0</v>
      </c>
      <c r="C239" s="145" t="s">
        <v>200</v>
      </c>
      <c r="D239" s="146">
        <v>125.0</v>
      </c>
      <c r="E239" s="3"/>
      <c r="F239" s="3"/>
      <c r="G239" s="3"/>
      <c r="H239" s="3"/>
      <c r="I239" s="3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3"/>
      <c r="AR239" s="3"/>
      <c r="AS239" s="3"/>
      <c r="AT239" s="3"/>
      <c r="AU239" s="3"/>
      <c r="AV239" s="3"/>
      <c r="AW239" s="3"/>
      <c r="AX239" s="3"/>
      <c r="AY239" s="3"/>
      <c r="BD239" s="3"/>
      <c r="BE239" s="3"/>
      <c r="BJ239" s="3"/>
      <c r="BK239" s="3"/>
      <c r="BP239" s="3"/>
      <c r="BQ239" s="3"/>
      <c r="BV239" s="3"/>
      <c r="BW239" s="3"/>
      <c r="BX239" s="3"/>
      <c r="BY239" s="3"/>
      <c r="BZ239" s="3"/>
      <c r="CA239" s="3"/>
      <c r="CF239" s="3"/>
    </row>
    <row r="240" ht="16.5" customHeight="1">
      <c r="A240" s="145">
        <v>60.0</v>
      </c>
      <c r="B240" s="145">
        <v>67.0</v>
      </c>
      <c r="C240" s="145" t="s">
        <v>200</v>
      </c>
      <c r="D240" s="146">
        <v>149.0</v>
      </c>
      <c r="E240" s="3"/>
      <c r="F240" s="3"/>
      <c r="G240" s="3"/>
      <c r="H240" s="3"/>
      <c r="I240" s="3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3"/>
      <c r="AR240" s="3"/>
      <c r="AS240" s="3"/>
      <c r="AT240" s="3"/>
      <c r="AU240" s="3"/>
      <c r="AV240" s="3"/>
      <c r="AW240" s="3"/>
      <c r="AX240" s="3"/>
      <c r="AY240" s="3"/>
      <c r="BD240" s="3"/>
      <c r="BE240" s="3"/>
      <c r="BJ240" s="3"/>
      <c r="BK240" s="3"/>
      <c r="BP240" s="3"/>
      <c r="BQ240" s="3"/>
      <c r="BV240" s="3"/>
      <c r="BW240" s="3"/>
      <c r="BX240" s="3"/>
      <c r="BY240" s="3"/>
      <c r="BZ240" s="3"/>
      <c r="CA240" s="3"/>
      <c r="CF240" s="3"/>
    </row>
    <row r="241" ht="16.5" customHeight="1">
      <c r="A241" s="145">
        <v>68.0</v>
      </c>
      <c r="B241" s="145">
        <v>120.0</v>
      </c>
      <c r="C241" s="145" t="s">
        <v>200</v>
      </c>
      <c r="D241" s="146">
        <v>231.0</v>
      </c>
      <c r="E241" s="3"/>
      <c r="F241" s="3"/>
      <c r="G241" s="3"/>
      <c r="H241" s="3"/>
      <c r="I241" s="3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3"/>
      <c r="AR241" s="3"/>
      <c r="AS241" s="3"/>
      <c r="AT241" s="3"/>
      <c r="AU241" s="3"/>
      <c r="AV241" s="3"/>
      <c r="AW241" s="3"/>
      <c r="AX241" s="3"/>
      <c r="AY241" s="3"/>
      <c r="BD241" s="3"/>
      <c r="BE241" s="3"/>
      <c r="BJ241" s="3"/>
      <c r="BK241" s="3"/>
      <c r="BP241" s="3"/>
      <c r="BQ241" s="3"/>
      <c r="BV241" s="3"/>
      <c r="BW241" s="3"/>
      <c r="BX241" s="3"/>
      <c r="BY241" s="3"/>
      <c r="BZ241" s="3"/>
      <c r="CA241" s="3"/>
      <c r="CF241" s="3"/>
    </row>
    <row r="242" ht="16.5" customHeight="1">
      <c r="A242" s="145">
        <v>0.0</v>
      </c>
      <c r="B242" s="145">
        <v>65.0</v>
      </c>
      <c r="C242" s="145" t="s">
        <v>201</v>
      </c>
      <c r="D242" s="146">
        <v>56.0</v>
      </c>
      <c r="E242" s="3"/>
      <c r="F242" s="3"/>
      <c r="G242" s="3"/>
      <c r="H242" s="3"/>
      <c r="I242" s="3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3"/>
      <c r="AR242" s="3"/>
      <c r="AS242" s="3"/>
      <c r="AT242" s="3"/>
      <c r="AU242" s="3"/>
      <c r="AV242" s="3"/>
      <c r="AW242" s="3"/>
      <c r="AX242" s="3"/>
      <c r="AY242" s="3"/>
      <c r="BD242" s="3"/>
      <c r="BE242" s="3"/>
      <c r="BJ242" s="3"/>
      <c r="BK242" s="3"/>
      <c r="BP242" s="3"/>
      <c r="BQ242" s="3"/>
      <c r="BV242" s="3"/>
      <c r="BW242" s="3"/>
      <c r="BX242" s="3"/>
      <c r="BY242" s="3"/>
      <c r="BZ242" s="3"/>
      <c r="CA242" s="3"/>
      <c r="CF242" s="3"/>
    </row>
    <row r="243" ht="16.5" customHeight="1">
      <c r="A243" s="145">
        <v>66.0</v>
      </c>
      <c r="B243" s="145">
        <v>67.0</v>
      </c>
      <c r="C243" s="145" t="s">
        <v>201</v>
      </c>
      <c r="D243" s="146">
        <v>89.0</v>
      </c>
      <c r="E243" s="3"/>
      <c r="F243" s="3"/>
      <c r="G243" s="3"/>
      <c r="H243" s="3"/>
      <c r="I243" s="3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3"/>
      <c r="AR243" s="3"/>
      <c r="AS243" s="3"/>
      <c r="AT243" s="3"/>
      <c r="AU243" s="3"/>
      <c r="AV243" s="3"/>
      <c r="AW243" s="3"/>
      <c r="AX243" s="3"/>
      <c r="AY243" s="3"/>
      <c r="BD243" s="3"/>
      <c r="BE243" s="3"/>
      <c r="BJ243" s="3"/>
      <c r="BK243" s="3"/>
      <c r="BP243" s="3"/>
      <c r="BQ243" s="3"/>
      <c r="BV243" s="3"/>
      <c r="BW243" s="3"/>
      <c r="BX243" s="3"/>
      <c r="BY243" s="3"/>
      <c r="BZ243" s="3"/>
      <c r="CA243" s="3"/>
      <c r="CF243" s="3"/>
    </row>
    <row r="244" ht="16.5" customHeight="1">
      <c r="A244" s="145">
        <v>68.0</v>
      </c>
      <c r="B244" s="145">
        <v>120.0</v>
      </c>
      <c r="C244" s="145" t="s">
        <v>201</v>
      </c>
      <c r="D244" s="146">
        <v>168.0</v>
      </c>
      <c r="E244" s="3"/>
      <c r="F244" s="3"/>
      <c r="G244" s="3"/>
      <c r="H244" s="3"/>
      <c r="I244" s="3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3"/>
      <c r="AR244" s="3"/>
      <c r="AS244" s="3"/>
      <c r="AT244" s="3"/>
      <c r="AU244" s="3"/>
      <c r="AV244" s="3"/>
      <c r="AW244" s="3"/>
      <c r="AX244" s="3"/>
      <c r="AY244" s="3"/>
      <c r="BD244" s="3"/>
      <c r="BE244" s="3"/>
      <c r="BJ244" s="3"/>
      <c r="BK244" s="3"/>
      <c r="BP244" s="3"/>
      <c r="BQ244" s="3"/>
      <c r="BV244" s="3"/>
      <c r="BW244" s="3"/>
      <c r="BX244" s="3"/>
      <c r="BY244" s="3"/>
      <c r="BZ244" s="3"/>
      <c r="CA244" s="3"/>
      <c r="CF244" s="3"/>
    </row>
    <row r="245" ht="16.5" customHeight="1">
      <c r="A245" s="145">
        <v>0.0</v>
      </c>
      <c r="B245" s="145">
        <v>65.0</v>
      </c>
      <c r="C245" s="145" t="s">
        <v>202</v>
      </c>
      <c r="D245" s="146">
        <v>58.5</v>
      </c>
      <c r="E245" s="3"/>
      <c r="F245" s="3"/>
      <c r="G245" s="3"/>
      <c r="H245" s="3"/>
      <c r="I245" s="3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3"/>
      <c r="AR245" s="3"/>
      <c r="AS245" s="3"/>
      <c r="AT245" s="3"/>
      <c r="AU245" s="3"/>
      <c r="AV245" s="3"/>
      <c r="AW245" s="3"/>
      <c r="AX245" s="3"/>
      <c r="AY245" s="3"/>
      <c r="BD245" s="3"/>
      <c r="BE245" s="3"/>
      <c r="BJ245" s="3"/>
      <c r="BK245" s="3"/>
      <c r="BP245" s="3"/>
      <c r="BQ245" s="3"/>
      <c r="BV245" s="3"/>
      <c r="BW245" s="3"/>
      <c r="BX245" s="3"/>
      <c r="BY245" s="3"/>
      <c r="BZ245" s="3"/>
      <c r="CA245" s="3"/>
      <c r="CF245" s="3"/>
    </row>
    <row r="246" ht="16.5" customHeight="1">
      <c r="A246" s="145">
        <v>66.0</v>
      </c>
      <c r="B246" s="145">
        <v>67.0</v>
      </c>
      <c r="C246" s="145" t="s">
        <v>202</v>
      </c>
      <c r="D246" s="146">
        <v>92.0</v>
      </c>
      <c r="E246" s="3"/>
      <c r="F246" s="3"/>
      <c r="G246" s="3"/>
      <c r="H246" s="3"/>
      <c r="I246" s="3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3"/>
      <c r="AR246" s="3"/>
      <c r="AS246" s="3"/>
      <c r="AT246" s="3"/>
      <c r="AU246" s="3"/>
      <c r="AV246" s="3"/>
      <c r="AW246" s="3"/>
      <c r="AX246" s="3"/>
      <c r="AY246" s="3"/>
      <c r="BD246" s="3"/>
      <c r="BE246" s="3"/>
      <c r="BJ246" s="3"/>
      <c r="BK246" s="3"/>
      <c r="BP246" s="3"/>
      <c r="BQ246" s="3"/>
      <c r="BV246" s="3"/>
      <c r="BW246" s="3"/>
      <c r="BX246" s="3"/>
      <c r="BY246" s="3"/>
      <c r="BZ246" s="3"/>
      <c r="CA246" s="3"/>
      <c r="CF246" s="3"/>
    </row>
    <row r="247" ht="16.5" customHeight="1">
      <c r="A247" s="145">
        <v>68.0</v>
      </c>
      <c r="B247" s="145">
        <v>120.0</v>
      </c>
      <c r="C247" s="145" t="s">
        <v>202</v>
      </c>
      <c r="D247" s="146">
        <v>175.0</v>
      </c>
      <c r="E247" s="3"/>
      <c r="F247" s="3"/>
      <c r="G247" s="3"/>
      <c r="H247" s="3"/>
      <c r="I247" s="3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3"/>
      <c r="AR247" s="3"/>
      <c r="AS247" s="3"/>
      <c r="AT247" s="3"/>
      <c r="AU247" s="3"/>
      <c r="AV247" s="3"/>
      <c r="AW247" s="3"/>
      <c r="AX247" s="3"/>
      <c r="AY247" s="3"/>
      <c r="BD247" s="3"/>
      <c r="BE247" s="3"/>
      <c r="BJ247" s="3"/>
      <c r="BK247" s="3"/>
      <c r="BP247" s="3"/>
      <c r="BQ247" s="3"/>
      <c r="BV247" s="3"/>
      <c r="BW247" s="3"/>
      <c r="BX247" s="3"/>
      <c r="BY247" s="3"/>
      <c r="BZ247" s="3"/>
      <c r="CA247" s="3"/>
      <c r="CF247" s="3"/>
    </row>
    <row r="248" ht="16.5" customHeight="1">
      <c r="A248" s="145">
        <v>0.0</v>
      </c>
      <c r="B248" s="145">
        <v>65.0</v>
      </c>
      <c r="C248" s="145" t="s">
        <v>203</v>
      </c>
      <c r="D248" s="146">
        <v>59.0</v>
      </c>
      <c r="E248" s="3"/>
      <c r="F248" s="3"/>
      <c r="G248" s="3"/>
      <c r="H248" s="3"/>
      <c r="I248" s="3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3"/>
      <c r="AR248" s="3"/>
      <c r="AS248" s="3"/>
      <c r="AT248" s="3"/>
      <c r="AU248" s="3"/>
      <c r="AV248" s="3"/>
      <c r="AW248" s="3"/>
      <c r="AX248" s="3"/>
      <c r="AY248" s="3"/>
      <c r="BD248" s="3"/>
      <c r="BE248" s="3"/>
      <c r="BJ248" s="3"/>
      <c r="BK248" s="3"/>
      <c r="BP248" s="3"/>
      <c r="BQ248" s="3"/>
      <c r="BV248" s="3"/>
      <c r="BW248" s="3"/>
      <c r="BX248" s="3"/>
      <c r="BY248" s="3"/>
      <c r="BZ248" s="3"/>
      <c r="CA248" s="3"/>
      <c r="CF248" s="3"/>
    </row>
    <row r="249" ht="16.5" customHeight="1">
      <c r="A249" s="145">
        <v>66.0</v>
      </c>
      <c r="B249" s="145">
        <v>67.0</v>
      </c>
      <c r="C249" s="145" t="s">
        <v>203</v>
      </c>
      <c r="D249" s="146">
        <v>100.0</v>
      </c>
      <c r="E249" s="3"/>
      <c r="F249" s="3"/>
      <c r="G249" s="3"/>
      <c r="H249" s="3"/>
      <c r="I249" s="3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3"/>
      <c r="AR249" s="3"/>
      <c r="AS249" s="3"/>
      <c r="AT249" s="3"/>
      <c r="AU249" s="3"/>
      <c r="AV249" s="3"/>
      <c r="AW249" s="3"/>
      <c r="AX249" s="3"/>
      <c r="AY249" s="3"/>
      <c r="BD249" s="3"/>
      <c r="BE249" s="3"/>
      <c r="BJ249" s="3"/>
      <c r="BK249" s="3"/>
      <c r="BP249" s="3"/>
      <c r="BQ249" s="3"/>
      <c r="BV249" s="3"/>
      <c r="BW249" s="3"/>
      <c r="BX249" s="3"/>
      <c r="BY249" s="3"/>
      <c r="BZ249" s="3"/>
      <c r="CA249" s="3"/>
      <c r="CF249" s="3"/>
    </row>
    <row r="250" ht="16.5" customHeight="1">
      <c r="A250" s="145">
        <v>68.0</v>
      </c>
      <c r="B250" s="145">
        <v>120.0</v>
      </c>
      <c r="C250" s="145" t="s">
        <v>203</v>
      </c>
      <c r="D250" s="146">
        <v>193.0</v>
      </c>
      <c r="E250" s="3"/>
      <c r="F250" s="3"/>
      <c r="G250" s="3"/>
      <c r="H250" s="3"/>
      <c r="I250" s="3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3"/>
      <c r="AR250" s="3"/>
      <c r="AS250" s="3"/>
      <c r="AT250" s="3"/>
      <c r="AU250" s="3"/>
      <c r="AV250" s="3"/>
      <c r="AW250" s="3"/>
      <c r="AX250" s="3"/>
      <c r="AY250" s="3"/>
      <c r="BD250" s="3"/>
      <c r="BE250" s="3"/>
      <c r="BJ250" s="3"/>
      <c r="BK250" s="3"/>
      <c r="BP250" s="3"/>
      <c r="BQ250" s="3"/>
      <c r="BV250" s="3"/>
      <c r="BW250" s="3"/>
      <c r="BX250" s="3"/>
      <c r="BY250" s="3"/>
      <c r="BZ250" s="3"/>
      <c r="CA250" s="3"/>
      <c r="CF250" s="3"/>
    </row>
    <row r="251" ht="16.5" customHeight="1">
      <c r="A251" s="145">
        <v>0.0</v>
      </c>
      <c r="B251" s="145">
        <v>65.0</v>
      </c>
      <c r="C251" s="145" t="s">
        <v>204</v>
      </c>
      <c r="D251" s="146">
        <v>60.0</v>
      </c>
      <c r="E251" s="3"/>
      <c r="F251" s="3"/>
      <c r="G251" s="3"/>
      <c r="H251" s="3"/>
      <c r="I251" s="3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3"/>
      <c r="AR251" s="3"/>
      <c r="AS251" s="3"/>
      <c r="AT251" s="3"/>
      <c r="AU251" s="3"/>
      <c r="AV251" s="3"/>
      <c r="AW251" s="3"/>
      <c r="AX251" s="3"/>
      <c r="AY251" s="3"/>
      <c r="BD251" s="3"/>
      <c r="BE251" s="3"/>
      <c r="BJ251" s="3"/>
      <c r="BK251" s="3"/>
      <c r="BP251" s="3"/>
      <c r="BQ251" s="3"/>
      <c r="BV251" s="3"/>
      <c r="BW251" s="3"/>
      <c r="BX251" s="3"/>
      <c r="BY251" s="3"/>
      <c r="BZ251" s="3"/>
      <c r="CA251" s="3"/>
      <c r="CF251" s="3"/>
    </row>
    <row r="252" ht="16.5" customHeight="1">
      <c r="A252" s="145">
        <v>66.0</v>
      </c>
      <c r="B252" s="145">
        <v>67.0</v>
      </c>
      <c r="C252" s="145" t="s">
        <v>204</v>
      </c>
      <c r="D252" s="146">
        <v>101.0</v>
      </c>
      <c r="E252" s="3"/>
      <c r="F252" s="3"/>
      <c r="G252" s="3"/>
      <c r="H252" s="3"/>
      <c r="I252" s="3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3"/>
      <c r="AR252" s="3"/>
      <c r="AS252" s="3"/>
      <c r="AT252" s="3"/>
      <c r="AU252" s="3"/>
      <c r="AV252" s="3"/>
      <c r="AW252" s="3"/>
      <c r="AX252" s="3"/>
      <c r="AY252" s="3"/>
      <c r="BD252" s="3"/>
      <c r="BE252" s="3"/>
      <c r="BJ252" s="3"/>
      <c r="BK252" s="3"/>
      <c r="BP252" s="3"/>
      <c r="BQ252" s="3"/>
      <c r="BV252" s="3"/>
      <c r="BW252" s="3"/>
      <c r="BX252" s="3"/>
      <c r="BY252" s="3"/>
      <c r="BZ252" s="3"/>
      <c r="CA252" s="3"/>
      <c r="CF252" s="3"/>
    </row>
    <row r="253" ht="16.5" customHeight="1">
      <c r="A253" s="145">
        <v>68.0</v>
      </c>
      <c r="B253" s="145">
        <v>120.0</v>
      </c>
      <c r="C253" s="145" t="s">
        <v>204</v>
      </c>
      <c r="D253" s="146">
        <v>199.0</v>
      </c>
      <c r="E253" s="3"/>
      <c r="F253" s="3"/>
      <c r="G253" s="3"/>
      <c r="H253" s="3"/>
      <c r="I253" s="3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3"/>
      <c r="AR253" s="3"/>
      <c r="AS253" s="3"/>
      <c r="AT253" s="3"/>
      <c r="AU253" s="3"/>
      <c r="AV253" s="3"/>
      <c r="AW253" s="3"/>
      <c r="AX253" s="3"/>
      <c r="AY253" s="3"/>
      <c r="BD253" s="3"/>
      <c r="BE253" s="3"/>
      <c r="BJ253" s="3"/>
      <c r="BK253" s="3"/>
      <c r="BP253" s="3"/>
      <c r="BQ253" s="3"/>
      <c r="BV253" s="3"/>
      <c r="BW253" s="3"/>
      <c r="BX253" s="3"/>
      <c r="BY253" s="3"/>
      <c r="BZ253" s="3"/>
      <c r="CA253" s="3"/>
      <c r="CF253" s="3"/>
    </row>
    <row r="254" ht="16.5" customHeight="1">
      <c r="A254" s="145">
        <v>0.0</v>
      </c>
      <c r="B254" s="145">
        <v>65.0</v>
      </c>
      <c r="C254" s="145" t="s">
        <v>205</v>
      </c>
      <c r="D254" s="146">
        <v>61.5</v>
      </c>
      <c r="E254" s="3"/>
      <c r="F254" s="3"/>
      <c r="G254" s="3"/>
      <c r="H254" s="3"/>
      <c r="I254" s="3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3"/>
      <c r="AR254" s="3"/>
      <c r="AS254" s="3"/>
      <c r="AT254" s="3"/>
      <c r="AU254" s="3"/>
      <c r="AV254" s="3"/>
      <c r="AW254" s="3"/>
      <c r="AX254" s="3"/>
      <c r="AY254" s="3"/>
      <c r="BD254" s="3"/>
      <c r="BE254" s="3"/>
      <c r="BJ254" s="3"/>
      <c r="BK254" s="3"/>
      <c r="BP254" s="3"/>
      <c r="BQ254" s="3"/>
      <c r="BV254" s="3"/>
      <c r="BW254" s="3"/>
      <c r="BX254" s="3"/>
      <c r="BY254" s="3"/>
      <c r="BZ254" s="3"/>
      <c r="CA254" s="3"/>
      <c r="CF254" s="3"/>
    </row>
    <row r="255" ht="16.5" customHeight="1">
      <c r="A255" s="145">
        <v>66.0</v>
      </c>
      <c r="B255" s="145">
        <v>67.0</v>
      </c>
      <c r="C255" s="145" t="s">
        <v>205</v>
      </c>
      <c r="D255" s="146">
        <v>102.0</v>
      </c>
      <c r="E255" s="3"/>
      <c r="F255" s="3"/>
      <c r="G255" s="3"/>
      <c r="H255" s="3"/>
      <c r="I255" s="3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3"/>
      <c r="AR255" s="3"/>
      <c r="AS255" s="3"/>
      <c r="AT255" s="3"/>
      <c r="AU255" s="3"/>
      <c r="AV255" s="3"/>
      <c r="AW255" s="3"/>
      <c r="AX255" s="3"/>
      <c r="AY255" s="3"/>
      <c r="BD255" s="3"/>
      <c r="BE255" s="3"/>
      <c r="BJ255" s="3"/>
      <c r="BK255" s="3"/>
      <c r="BP255" s="3"/>
      <c r="BQ255" s="3"/>
      <c r="BV255" s="3"/>
      <c r="BW255" s="3"/>
      <c r="BX255" s="3"/>
      <c r="BY255" s="3"/>
      <c r="BZ255" s="3"/>
      <c r="CA255" s="3"/>
      <c r="CF255" s="3"/>
    </row>
    <row r="256" ht="16.5" customHeight="1">
      <c r="A256" s="145">
        <v>68.0</v>
      </c>
      <c r="B256" s="145">
        <v>120.0</v>
      </c>
      <c r="C256" s="145" t="s">
        <v>205</v>
      </c>
      <c r="D256" s="146">
        <v>200.0</v>
      </c>
      <c r="E256" s="3"/>
      <c r="F256" s="3"/>
      <c r="G256" s="3"/>
      <c r="H256" s="3"/>
      <c r="I256" s="3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3"/>
      <c r="AR256" s="3"/>
      <c r="AS256" s="3"/>
      <c r="AT256" s="3"/>
      <c r="AU256" s="3"/>
      <c r="AV256" s="3"/>
      <c r="AW256" s="3"/>
      <c r="AX256" s="3"/>
      <c r="AY256" s="3"/>
      <c r="BD256" s="3"/>
      <c r="BE256" s="3"/>
      <c r="BJ256" s="3"/>
      <c r="BK256" s="3"/>
      <c r="BP256" s="3"/>
      <c r="BQ256" s="3"/>
      <c r="BV256" s="3"/>
      <c r="BW256" s="3"/>
      <c r="BX256" s="3"/>
      <c r="BY256" s="3"/>
      <c r="BZ256" s="3"/>
      <c r="CA256" s="3"/>
      <c r="CF256" s="3"/>
    </row>
    <row r="257" ht="16.5" customHeight="1">
      <c r="A257" s="145">
        <v>0.0</v>
      </c>
      <c r="B257" s="145">
        <v>65.0</v>
      </c>
      <c r="C257" s="145" t="s">
        <v>206</v>
      </c>
      <c r="D257" s="146">
        <v>62.5</v>
      </c>
      <c r="E257" s="3"/>
      <c r="F257" s="3"/>
      <c r="G257" s="3"/>
      <c r="H257" s="3"/>
      <c r="I257" s="3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3"/>
      <c r="AR257" s="3"/>
      <c r="AS257" s="3"/>
      <c r="AT257" s="3"/>
      <c r="AU257" s="3"/>
      <c r="AV257" s="3"/>
      <c r="AW257" s="3"/>
      <c r="AX257" s="3"/>
      <c r="AY257" s="3"/>
      <c r="BD257" s="3"/>
      <c r="BE257" s="3"/>
      <c r="BJ257" s="3"/>
      <c r="BK257" s="3"/>
      <c r="BP257" s="3"/>
      <c r="BQ257" s="3"/>
      <c r="BV257" s="3"/>
      <c r="BW257" s="3"/>
      <c r="BX257" s="3"/>
      <c r="BY257" s="3"/>
      <c r="BZ257" s="3"/>
      <c r="CA257" s="3"/>
      <c r="CF257" s="3"/>
    </row>
    <row r="258" ht="16.5" customHeight="1">
      <c r="A258" s="145">
        <v>66.0</v>
      </c>
      <c r="B258" s="145">
        <v>67.0</v>
      </c>
      <c r="C258" s="145" t="s">
        <v>206</v>
      </c>
      <c r="D258" s="146">
        <v>103.0</v>
      </c>
      <c r="E258" s="3"/>
      <c r="F258" s="3"/>
      <c r="G258" s="3"/>
      <c r="H258" s="3"/>
      <c r="I258" s="3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3"/>
      <c r="AR258" s="3"/>
      <c r="AS258" s="3"/>
      <c r="AT258" s="3"/>
      <c r="AU258" s="3"/>
      <c r="AV258" s="3"/>
      <c r="AW258" s="3"/>
      <c r="AX258" s="3"/>
      <c r="AY258" s="3"/>
      <c r="BD258" s="3"/>
      <c r="BE258" s="3"/>
      <c r="BJ258" s="3"/>
      <c r="BK258" s="3"/>
      <c r="BP258" s="3"/>
      <c r="BQ258" s="3"/>
      <c r="BV258" s="3"/>
      <c r="BW258" s="3"/>
      <c r="BX258" s="3"/>
      <c r="BY258" s="3"/>
      <c r="BZ258" s="3"/>
      <c r="CA258" s="3"/>
      <c r="CF258" s="3"/>
    </row>
    <row r="259" ht="16.5" customHeight="1">
      <c r="A259" s="145">
        <v>68.0</v>
      </c>
      <c r="B259" s="145">
        <v>120.0</v>
      </c>
      <c r="C259" s="145" t="s">
        <v>206</v>
      </c>
      <c r="D259" s="146">
        <v>201.0</v>
      </c>
      <c r="E259" s="3"/>
      <c r="F259" s="3"/>
      <c r="G259" s="3"/>
      <c r="H259" s="3"/>
      <c r="I259" s="3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3"/>
      <c r="AR259" s="3"/>
      <c r="AS259" s="3"/>
      <c r="AT259" s="3"/>
      <c r="AU259" s="3"/>
      <c r="AV259" s="3"/>
      <c r="AW259" s="3"/>
      <c r="AX259" s="3"/>
      <c r="AY259" s="3"/>
      <c r="BD259" s="3"/>
      <c r="BE259" s="3"/>
      <c r="BJ259" s="3"/>
      <c r="BK259" s="3"/>
      <c r="BP259" s="3"/>
      <c r="BQ259" s="3"/>
      <c r="BV259" s="3"/>
      <c r="BW259" s="3"/>
      <c r="BX259" s="3"/>
      <c r="BY259" s="3"/>
      <c r="BZ259" s="3"/>
      <c r="CA259" s="3"/>
      <c r="CF259" s="3"/>
    </row>
    <row r="260" ht="16.5" customHeight="1">
      <c r="A260" s="145">
        <v>0.0</v>
      </c>
      <c r="B260" s="145">
        <v>65.0</v>
      </c>
      <c r="C260" s="145" t="s">
        <v>207</v>
      </c>
      <c r="D260" s="146">
        <v>79.0</v>
      </c>
      <c r="E260" s="3"/>
      <c r="F260" s="3"/>
      <c r="G260" s="3"/>
      <c r="H260" s="3"/>
      <c r="I260" s="3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3"/>
      <c r="AR260" s="3"/>
      <c r="AS260" s="3"/>
      <c r="AT260" s="3"/>
      <c r="AU260" s="3"/>
      <c r="AV260" s="3"/>
      <c r="AW260" s="3"/>
      <c r="AX260" s="3"/>
      <c r="AY260" s="3"/>
      <c r="BD260" s="3"/>
      <c r="BE260" s="3"/>
      <c r="BJ260" s="3"/>
      <c r="BK260" s="3"/>
      <c r="BP260" s="3"/>
      <c r="BQ260" s="3"/>
      <c r="BV260" s="3"/>
      <c r="BW260" s="3"/>
      <c r="BX260" s="3"/>
      <c r="BY260" s="3"/>
      <c r="BZ260" s="3"/>
      <c r="CA260" s="3"/>
      <c r="CF260" s="3"/>
    </row>
    <row r="261" ht="16.5" customHeight="1">
      <c r="A261" s="145">
        <v>66.0</v>
      </c>
      <c r="B261" s="145">
        <v>67.0</v>
      </c>
      <c r="C261" s="145" t="s">
        <v>207</v>
      </c>
      <c r="D261" s="146">
        <v>106.0</v>
      </c>
      <c r="E261" s="3"/>
      <c r="F261" s="3"/>
      <c r="G261" s="3"/>
      <c r="H261" s="3"/>
      <c r="I261" s="3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3"/>
      <c r="AR261" s="3"/>
      <c r="AS261" s="3"/>
      <c r="AT261" s="3"/>
      <c r="AU261" s="3"/>
      <c r="AV261" s="3"/>
      <c r="AW261" s="3"/>
      <c r="AX261" s="3"/>
      <c r="AY261" s="3"/>
      <c r="BD261" s="3"/>
      <c r="BE261" s="3"/>
      <c r="BJ261" s="3"/>
      <c r="BK261" s="3"/>
      <c r="BP261" s="3"/>
      <c r="BQ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</row>
    <row r="262" ht="16.5" customHeight="1">
      <c r="A262" s="145">
        <v>68.0</v>
      </c>
      <c r="B262" s="145">
        <v>120.0</v>
      </c>
      <c r="C262" s="145" t="s">
        <v>207</v>
      </c>
      <c r="D262" s="146">
        <v>199.0</v>
      </c>
      <c r="E262" s="3"/>
      <c r="F262" s="3"/>
      <c r="G262" s="3"/>
      <c r="H262" s="3"/>
      <c r="I262" s="3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3"/>
      <c r="AR262" s="3"/>
      <c r="AS262" s="3"/>
      <c r="AT262" s="3"/>
      <c r="AU262" s="3"/>
      <c r="AV262" s="3"/>
      <c r="AW262" s="3"/>
      <c r="AX262" s="3"/>
      <c r="AY262" s="3"/>
      <c r="BD262" s="3"/>
      <c r="BE262" s="3"/>
      <c r="BJ262" s="3"/>
      <c r="BK262" s="3"/>
      <c r="BP262" s="3"/>
      <c r="BQ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</row>
    <row r="263" ht="16.5" customHeight="1">
      <c r="A263" s="145">
        <v>0.0</v>
      </c>
      <c r="B263" s="145">
        <v>65.0</v>
      </c>
      <c r="C263" s="145" t="s">
        <v>208</v>
      </c>
      <c r="D263" s="146">
        <v>81.5</v>
      </c>
      <c r="E263" s="3"/>
      <c r="F263" s="3"/>
      <c r="G263" s="3"/>
      <c r="H263" s="3"/>
      <c r="I263" s="3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3"/>
      <c r="AR263" s="3"/>
      <c r="AS263" s="3"/>
      <c r="AT263" s="3"/>
      <c r="AU263" s="3"/>
      <c r="AV263" s="3"/>
      <c r="AW263" s="3"/>
      <c r="AX263" s="3"/>
      <c r="AY263" s="3"/>
      <c r="BD263" s="3"/>
      <c r="BE263" s="3"/>
      <c r="BJ263" s="3"/>
      <c r="BK263" s="3"/>
      <c r="BP263" s="3"/>
      <c r="BQ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</row>
    <row r="264" ht="16.5" customHeight="1">
      <c r="A264" s="145">
        <v>66.0</v>
      </c>
      <c r="B264" s="145">
        <v>67.0</v>
      </c>
      <c r="C264" s="145" t="s">
        <v>208</v>
      </c>
      <c r="D264" s="146">
        <v>115.0</v>
      </c>
      <c r="E264" s="3"/>
      <c r="F264" s="3"/>
      <c r="G264" s="3"/>
      <c r="H264" s="3"/>
      <c r="I264" s="3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3"/>
      <c r="AR264" s="3"/>
      <c r="AS264" s="3"/>
      <c r="AT264" s="3"/>
      <c r="AU264" s="3"/>
      <c r="AV264" s="3"/>
      <c r="AW264" s="3"/>
      <c r="AX264" s="3"/>
      <c r="AY264" s="3"/>
      <c r="BD264" s="3"/>
      <c r="BE264" s="3"/>
      <c r="BJ264" s="3"/>
      <c r="BK264" s="3"/>
      <c r="BP264" s="3"/>
      <c r="BQ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</row>
    <row r="265" ht="16.5" customHeight="1">
      <c r="A265" s="145">
        <v>68.0</v>
      </c>
      <c r="B265" s="145">
        <v>120.0</v>
      </c>
      <c r="C265" s="145" t="s">
        <v>208</v>
      </c>
      <c r="D265" s="146">
        <v>219.0</v>
      </c>
      <c r="E265" s="3"/>
      <c r="F265" s="3"/>
      <c r="G265" s="3"/>
      <c r="H265" s="3"/>
      <c r="I265" s="3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3"/>
      <c r="AR265" s="3"/>
      <c r="AS265" s="3"/>
      <c r="AT265" s="3"/>
      <c r="AU265" s="3"/>
      <c r="AV265" s="3"/>
      <c r="AW265" s="3"/>
      <c r="AX265" s="3"/>
      <c r="AY265" s="3"/>
      <c r="BD265" s="3"/>
      <c r="BE265" s="3"/>
      <c r="BJ265" s="3"/>
      <c r="BK265" s="3"/>
      <c r="BP265" s="3"/>
      <c r="BQ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</row>
    <row r="266" ht="16.5" customHeight="1">
      <c r="A266" s="145">
        <v>0.0</v>
      </c>
      <c r="B266" s="145">
        <v>65.0</v>
      </c>
      <c r="C266" s="145" t="s">
        <v>209</v>
      </c>
      <c r="D266" s="146">
        <v>82.5</v>
      </c>
      <c r="E266" s="3"/>
      <c r="F266" s="3"/>
      <c r="G266" s="3"/>
      <c r="H266" s="3"/>
      <c r="I266" s="3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3"/>
      <c r="AR266" s="3"/>
      <c r="AS266" s="3"/>
      <c r="AT266" s="3"/>
      <c r="AU266" s="3"/>
      <c r="AV266" s="3"/>
      <c r="AW266" s="3"/>
      <c r="AX266" s="3"/>
      <c r="AY266" s="3"/>
      <c r="BD266" s="3"/>
      <c r="BE266" s="3"/>
      <c r="BJ266" s="3"/>
      <c r="BK266" s="3"/>
      <c r="BP266" s="3"/>
      <c r="BQ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</row>
    <row r="267" ht="16.5" customHeight="1">
      <c r="A267" s="145">
        <v>66.0</v>
      </c>
      <c r="B267" s="145">
        <v>67.0</v>
      </c>
      <c r="C267" s="145" t="s">
        <v>209</v>
      </c>
      <c r="D267" s="146">
        <v>120.0</v>
      </c>
      <c r="E267" s="3"/>
      <c r="F267" s="3"/>
      <c r="G267" s="3"/>
      <c r="H267" s="3"/>
      <c r="I267" s="3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3"/>
      <c r="AR267" s="3"/>
      <c r="AS267" s="3"/>
      <c r="AT267" s="3"/>
      <c r="AU267" s="3"/>
      <c r="AV267" s="3"/>
      <c r="AW267" s="3"/>
      <c r="AX267" s="3"/>
      <c r="AY267" s="3"/>
      <c r="BD267" s="3"/>
      <c r="BE267" s="3"/>
      <c r="BJ267" s="3"/>
      <c r="BK267" s="3"/>
      <c r="BP267" s="3"/>
      <c r="BQ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</row>
    <row r="268" ht="16.5" customHeight="1">
      <c r="A268" s="145">
        <v>68.0</v>
      </c>
      <c r="B268" s="145">
        <v>120.0</v>
      </c>
      <c r="C268" s="145" t="s">
        <v>209</v>
      </c>
      <c r="D268" s="146">
        <v>225.0</v>
      </c>
      <c r="E268" s="3"/>
      <c r="F268" s="3"/>
      <c r="G268" s="3"/>
      <c r="H268" s="3"/>
      <c r="I268" s="3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3"/>
      <c r="AR268" s="3"/>
      <c r="AS268" s="3"/>
      <c r="AT268" s="3"/>
      <c r="AU268" s="3"/>
      <c r="AV268" s="3"/>
      <c r="AW268" s="3"/>
      <c r="AX268" s="3"/>
      <c r="AY268" s="3"/>
      <c r="BD268" s="3"/>
      <c r="BE268" s="3"/>
      <c r="BJ268" s="3"/>
      <c r="BK268" s="3"/>
      <c r="BP268" s="3"/>
      <c r="BQ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</row>
    <row r="269" ht="16.5" customHeight="1">
      <c r="A269" s="145">
        <v>0.0</v>
      </c>
      <c r="B269" s="145">
        <v>65.0</v>
      </c>
      <c r="C269" s="145" t="s">
        <v>210</v>
      </c>
      <c r="D269" s="146">
        <v>85.0</v>
      </c>
      <c r="E269" s="3"/>
      <c r="F269" s="3"/>
      <c r="G269" s="3"/>
      <c r="H269" s="3"/>
      <c r="I269" s="3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3"/>
      <c r="AR269" s="3"/>
      <c r="AS269" s="3"/>
      <c r="AT269" s="3"/>
      <c r="AU269" s="3"/>
      <c r="AV269" s="3"/>
      <c r="AW269" s="3"/>
      <c r="AX269" s="3"/>
      <c r="AY269" s="3"/>
      <c r="BD269" s="3"/>
      <c r="BE269" s="3"/>
      <c r="BJ269" s="3"/>
      <c r="BK269" s="3"/>
      <c r="BP269" s="3"/>
      <c r="BQ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</row>
    <row r="270" ht="16.5" customHeight="1">
      <c r="A270" s="145">
        <v>66.0</v>
      </c>
      <c r="B270" s="145">
        <v>67.0</v>
      </c>
      <c r="C270" s="145" t="s">
        <v>210</v>
      </c>
      <c r="D270" s="146">
        <v>120.5</v>
      </c>
      <c r="E270" s="3"/>
      <c r="F270" s="3"/>
      <c r="G270" s="3"/>
      <c r="H270" s="3"/>
      <c r="I270" s="3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3"/>
      <c r="AR270" s="3"/>
      <c r="AS270" s="3"/>
      <c r="AT270" s="3"/>
      <c r="AU270" s="3"/>
      <c r="AV270" s="3"/>
      <c r="AW270" s="3"/>
      <c r="AX270" s="3"/>
      <c r="AY270" s="3"/>
      <c r="BD270" s="3"/>
      <c r="BE270" s="3"/>
      <c r="BJ270" s="3"/>
      <c r="BK270" s="3"/>
      <c r="BP270" s="3"/>
      <c r="BQ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</row>
    <row r="271" ht="16.5" customHeight="1">
      <c r="A271" s="145">
        <v>68.0</v>
      </c>
      <c r="B271" s="145">
        <v>120.0</v>
      </c>
      <c r="C271" s="145" t="s">
        <v>210</v>
      </c>
      <c r="D271" s="146">
        <v>225.5</v>
      </c>
      <c r="E271" s="3"/>
      <c r="F271" s="3"/>
      <c r="G271" s="3"/>
      <c r="H271" s="3"/>
      <c r="I271" s="3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3"/>
      <c r="AR271" s="3"/>
      <c r="AS271" s="3"/>
      <c r="AT271" s="3"/>
      <c r="AU271" s="3"/>
      <c r="AV271" s="3"/>
      <c r="AW271" s="3"/>
      <c r="AX271" s="3"/>
      <c r="AY271" s="3"/>
      <c r="BD271" s="3"/>
      <c r="BE271" s="3"/>
      <c r="BJ271" s="3"/>
      <c r="BK271" s="3"/>
      <c r="BP271" s="3"/>
      <c r="BQ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</row>
    <row r="272" ht="16.5" customHeight="1">
      <c r="A272" s="145">
        <v>0.0</v>
      </c>
      <c r="B272" s="145">
        <v>65.0</v>
      </c>
      <c r="C272" s="145" t="s">
        <v>211</v>
      </c>
      <c r="D272" s="146">
        <v>87.0</v>
      </c>
      <c r="E272" s="3"/>
      <c r="F272" s="3"/>
      <c r="G272" s="3"/>
      <c r="H272" s="3"/>
      <c r="I272" s="3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3"/>
      <c r="AR272" s="3"/>
      <c r="AS272" s="3"/>
      <c r="AT272" s="3"/>
      <c r="AU272" s="3"/>
      <c r="AV272" s="3"/>
      <c r="AW272" s="3"/>
      <c r="AX272" s="3"/>
      <c r="AY272" s="3"/>
      <c r="BD272" s="3"/>
      <c r="BE272" s="3"/>
      <c r="BJ272" s="3"/>
      <c r="BK272" s="3"/>
      <c r="BP272" s="3"/>
      <c r="BQ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</row>
    <row r="273" ht="16.5" customHeight="1">
      <c r="A273" s="145">
        <v>66.0</v>
      </c>
      <c r="B273" s="145">
        <v>67.0</v>
      </c>
      <c r="C273" s="145" t="s">
        <v>211</v>
      </c>
      <c r="D273" s="146">
        <v>121.0</v>
      </c>
      <c r="E273" s="3"/>
      <c r="F273" s="3"/>
      <c r="G273" s="3"/>
      <c r="H273" s="3"/>
      <c r="I273" s="3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3"/>
      <c r="AR273" s="3"/>
      <c r="AS273" s="3"/>
      <c r="AT273" s="3"/>
      <c r="AU273" s="3"/>
      <c r="AV273" s="3"/>
      <c r="AW273" s="3"/>
      <c r="AX273" s="3"/>
      <c r="AY273" s="3"/>
      <c r="BD273" s="3"/>
      <c r="BE273" s="3"/>
      <c r="BJ273" s="3"/>
      <c r="BK273" s="3"/>
      <c r="BP273" s="3"/>
      <c r="BQ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</row>
    <row r="274" ht="16.5" customHeight="1">
      <c r="A274" s="145">
        <v>68.0</v>
      </c>
      <c r="B274" s="145">
        <v>120.0</v>
      </c>
      <c r="C274" s="145" t="s">
        <v>211</v>
      </c>
      <c r="D274" s="146">
        <v>226.0</v>
      </c>
      <c r="E274" s="3"/>
      <c r="F274" s="3"/>
      <c r="G274" s="3"/>
      <c r="H274" s="3"/>
      <c r="I274" s="3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3"/>
      <c r="AR274" s="3"/>
      <c r="AS274" s="3"/>
      <c r="AT274" s="3"/>
      <c r="AU274" s="3"/>
      <c r="AV274" s="3"/>
      <c r="AW274" s="3"/>
      <c r="AX274" s="3"/>
      <c r="AY274" s="3"/>
      <c r="BD274" s="3"/>
      <c r="BE274" s="3"/>
      <c r="BJ274" s="3"/>
      <c r="BK274" s="3"/>
      <c r="BP274" s="3"/>
      <c r="BQ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</row>
    <row r="275" ht="16.5" customHeight="1">
      <c r="A275" s="145">
        <v>0.0</v>
      </c>
      <c r="B275" s="145">
        <v>65.0</v>
      </c>
      <c r="C275" s="145" t="s">
        <v>212</v>
      </c>
      <c r="D275" s="146">
        <v>88.5</v>
      </c>
      <c r="E275" s="3"/>
      <c r="F275" s="3"/>
      <c r="G275" s="3"/>
      <c r="H275" s="3"/>
      <c r="I275" s="3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3"/>
      <c r="AR275" s="3"/>
      <c r="AS275" s="3"/>
      <c r="AT275" s="3"/>
      <c r="AU275" s="3"/>
      <c r="AV275" s="3"/>
      <c r="AW275" s="3"/>
      <c r="AX275" s="3"/>
      <c r="AY275" s="3"/>
      <c r="BD275" s="3"/>
      <c r="BE275" s="3"/>
      <c r="BJ275" s="3"/>
      <c r="BK275" s="3"/>
      <c r="BP275" s="3"/>
      <c r="BQ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</row>
    <row r="276" ht="16.5" customHeight="1">
      <c r="A276" s="145">
        <v>66.0</v>
      </c>
      <c r="B276" s="145">
        <v>67.0</v>
      </c>
      <c r="C276" s="145" t="s">
        <v>212</v>
      </c>
      <c r="D276" s="146">
        <v>121.5</v>
      </c>
      <c r="E276" s="3"/>
      <c r="F276" s="3"/>
      <c r="G276" s="3"/>
      <c r="H276" s="3"/>
      <c r="I276" s="3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3"/>
      <c r="AR276" s="3"/>
      <c r="AS276" s="3"/>
      <c r="AT276" s="3"/>
      <c r="AU276" s="3"/>
      <c r="AV276" s="3"/>
      <c r="AW276" s="3"/>
      <c r="AX276" s="3"/>
      <c r="AY276" s="3"/>
      <c r="BD276" s="3"/>
      <c r="BE276" s="3"/>
      <c r="BJ276" s="3"/>
      <c r="BK276" s="3"/>
      <c r="BP276" s="3"/>
      <c r="BQ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</row>
    <row r="277" ht="16.5" customHeight="1">
      <c r="A277" s="145">
        <v>68.0</v>
      </c>
      <c r="B277" s="145">
        <v>120.0</v>
      </c>
      <c r="C277" s="145" t="s">
        <v>212</v>
      </c>
      <c r="D277" s="146">
        <v>227.0</v>
      </c>
      <c r="E277" s="3"/>
      <c r="F277" s="3"/>
      <c r="G277" s="3"/>
      <c r="H277" s="3"/>
      <c r="I277" s="3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3"/>
      <c r="AR277" s="3"/>
      <c r="AS277" s="3"/>
      <c r="AT277" s="3"/>
      <c r="AU277" s="3"/>
      <c r="AV277" s="3"/>
      <c r="AW277" s="3"/>
      <c r="AX277" s="3"/>
      <c r="AY277" s="3"/>
      <c r="BD277" s="3"/>
      <c r="BE277" s="3"/>
      <c r="BJ277" s="3"/>
      <c r="BK277" s="3"/>
      <c r="BP277" s="3"/>
      <c r="BQ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</row>
    <row r="278" ht="16.5" customHeight="1">
      <c r="A278" s="145">
        <v>0.0</v>
      </c>
      <c r="B278" s="145">
        <v>49.0</v>
      </c>
      <c r="C278" s="145" t="s">
        <v>213</v>
      </c>
      <c r="D278" s="146" t="s">
        <v>142</v>
      </c>
      <c r="E278" s="3"/>
      <c r="F278" s="3"/>
      <c r="G278" s="3"/>
      <c r="H278" s="3"/>
      <c r="I278" s="3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3"/>
      <c r="AR278" s="3"/>
      <c r="AS278" s="3"/>
      <c r="AT278" s="3"/>
      <c r="AU278" s="3"/>
      <c r="AV278" s="3"/>
      <c r="AW278" s="3"/>
      <c r="AX278" s="3"/>
      <c r="AY278" s="3"/>
      <c r="BD278" s="3"/>
      <c r="BE278" s="3"/>
      <c r="BJ278" s="3"/>
      <c r="BK278" s="3"/>
      <c r="BP278" s="3"/>
      <c r="BQ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</row>
    <row r="279" ht="16.5" customHeight="1">
      <c r="A279" s="145">
        <v>50.0</v>
      </c>
      <c r="B279" s="145">
        <v>54.0</v>
      </c>
      <c r="C279" s="145" t="s">
        <v>213</v>
      </c>
      <c r="D279" s="146">
        <v>67.5</v>
      </c>
      <c r="E279" s="3"/>
      <c r="F279" s="3"/>
      <c r="G279" s="3"/>
      <c r="H279" s="3"/>
      <c r="I279" s="3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3"/>
      <c r="AR279" s="3"/>
      <c r="AS279" s="3"/>
      <c r="AT279" s="3"/>
      <c r="AU279" s="3"/>
      <c r="AV279" s="3"/>
      <c r="AW279" s="3"/>
      <c r="AX279" s="3"/>
      <c r="AY279" s="3"/>
      <c r="BD279" s="3"/>
      <c r="BE279" s="3"/>
      <c r="BJ279" s="3"/>
      <c r="BK279" s="3"/>
      <c r="BP279" s="3"/>
      <c r="BQ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</row>
    <row r="280" ht="16.5" customHeight="1">
      <c r="A280" s="145">
        <v>55.0</v>
      </c>
      <c r="B280" s="145">
        <v>59.0</v>
      </c>
      <c r="C280" s="145" t="s">
        <v>213</v>
      </c>
      <c r="D280" s="146">
        <v>67.5</v>
      </c>
      <c r="E280" s="3"/>
      <c r="F280" s="3"/>
      <c r="G280" s="3"/>
      <c r="H280" s="3"/>
      <c r="I280" s="3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3"/>
      <c r="AR280" s="3"/>
      <c r="AS280" s="3"/>
      <c r="AT280" s="3"/>
      <c r="AU280" s="3"/>
      <c r="AV280" s="3"/>
      <c r="AW280" s="3"/>
      <c r="AX280" s="3"/>
      <c r="AY280" s="3"/>
      <c r="BD280" s="3"/>
      <c r="BE280" s="3"/>
      <c r="BJ280" s="3"/>
      <c r="BK280" s="3"/>
      <c r="BP280" s="3"/>
      <c r="BQ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</row>
    <row r="281" ht="16.5" customHeight="1">
      <c r="A281" s="145">
        <v>60.0</v>
      </c>
      <c r="B281" s="145">
        <v>64.0</v>
      </c>
      <c r="C281" s="145" t="s">
        <v>213</v>
      </c>
      <c r="D281" s="146">
        <v>86.0</v>
      </c>
      <c r="E281" s="3"/>
      <c r="F281" s="3"/>
      <c r="G281" s="3"/>
      <c r="H281" s="3"/>
      <c r="I281" s="3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3"/>
      <c r="AR281" s="3"/>
      <c r="AS281" s="3"/>
      <c r="AT281" s="3"/>
      <c r="AU281" s="3"/>
      <c r="AV281" s="3"/>
      <c r="AW281" s="3"/>
      <c r="AX281" s="3"/>
      <c r="AY281" s="3"/>
      <c r="BD281" s="3"/>
      <c r="BE281" s="3"/>
      <c r="BJ281" s="3"/>
      <c r="BK281" s="3"/>
      <c r="BP281" s="3"/>
      <c r="BQ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</row>
    <row r="282" ht="16.5" customHeight="1">
      <c r="A282" s="145">
        <v>65.0</v>
      </c>
      <c r="B282" s="145">
        <v>69.0</v>
      </c>
      <c r="C282" s="145" t="s">
        <v>213</v>
      </c>
      <c r="D282" s="146">
        <v>103.0</v>
      </c>
      <c r="E282" s="3"/>
      <c r="F282" s="3"/>
      <c r="G282" s="3"/>
      <c r="H282" s="3"/>
      <c r="I282" s="3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3"/>
      <c r="AR282" s="3"/>
      <c r="AS282" s="3"/>
      <c r="AT282" s="3"/>
      <c r="AU282" s="3"/>
      <c r="AV282" s="3"/>
      <c r="AW282" s="3"/>
      <c r="AX282" s="3"/>
      <c r="AY282" s="3"/>
      <c r="BD282" s="3"/>
      <c r="BE282" s="3"/>
      <c r="BJ282" s="3"/>
      <c r="BK282" s="3"/>
      <c r="BP282" s="3"/>
      <c r="BQ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</row>
    <row r="283" ht="16.5" customHeight="1">
      <c r="A283" s="145">
        <v>70.0</v>
      </c>
      <c r="B283" s="145">
        <v>74.0</v>
      </c>
      <c r="C283" s="145" t="s">
        <v>213</v>
      </c>
      <c r="D283" s="146">
        <v>133.0</v>
      </c>
      <c r="E283" s="3"/>
      <c r="F283" s="3"/>
      <c r="G283" s="3"/>
      <c r="H283" s="3"/>
      <c r="I283" s="3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3"/>
      <c r="AR283" s="3"/>
      <c r="AS283" s="3"/>
      <c r="AT283" s="3"/>
      <c r="AU283" s="3"/>
      <c r="AV283" s="3"/>
      <c r="AW283" s="3"/>
      <c r="AX283" s="3"/>
      <c r="AY283" s="3"/>
      <c r="BD283" s="3"/>
      <c r="BE283" s="3"/>
      <c r="BJ283" s="3"/>
      <c r="BK283" s="3"/>
      <c r="BP283" s="3"/>
      <c r="BQ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</row>
    <row r="284" ht="16.5" customHeight="1">
      <c r="A284" s="145">
        <v>75.0</v>
      </c>
      <c r="B284" s="145">
        <v>79.0</v>
      </c>
      <c r="C284" s="145" t="s">
        <v>213</v>
      </c>
      <c r="D284" s="146">
        <v>162.0</v>
      </c>
      <c r="E284" s="3"/>
      <c r="F284" s="3"/>
      <c r="G284" s="3"/>
      <c r="H284" s="3"/>
      <c r="I284" s="3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3"/>
      <c r="AR284" s="3"/>
      <c r="AS284" s="3"/>
      <c r="AT284" s="3"/>
      <c r="AU284" s="3"/>
      <c r="AV284" s="3"/>
      <c r="AW284" s="3"/>
      <c r="AX284" s="3"/>
      <c r="AY284" s="3"/>
      <c r="BD284" s="3"/>
      <c r="BE284" s="3"/>
      <c r="BJ284" s="3"/>
      <c r="BK284" s="3"/>
      <c r="BP284" s="3"/>
      <c r="BQ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</row>
    <row r="285" ht="16.5" customHeight="1">
      <c r="A285" s="145">
        <v>80.0</v>
      </c>
      <c r="B285" s="145">
        <v>84.0</v>
      </c>
      <c r="C285" s="145" t="s">
        <v>213</v>
      </c>
      <c r="D285" s="146">
        <v>170.0</v>
      </c>
      <c r="E285" s="3"/>
      <c r="F285" s="3"/>
      <c r="G285" s="3"/>
      <c r="H285" s="3"/>
      <c r="I285" s="3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3"/>
      <c r="AR285" s="3"/>
      <c r="AS285" s="3"/>
      <c r="AT285" s="3"/>
      <c r="AU285" s="3"/>
      <c r="AV285" s="3"/>
      <c r="AW285" s="3"/>
      <c r="AX285" s="3"/>
      <c r="AY285" s="3"/>
      <c r="BD285" s="3"/>
      <c r="BE285" s="3"/>
      <c r="BJ285" s="3"/>
      <c r="BK285" s="3"/>
      <c r="BP285" s="3"/>
      <c r="BQ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</row>
    <row r="286" ht="16.5" customHeight="1">
      <c r="A286" s="145">
        <v>85.0</v>
      </c>
      <c r="B286" s="145">
        <v>120.0</v>
      </c>
      <c r="C286" s="145" t="s">
        <v>213</v>
      </c>
      <c r="D286" s="146" t="s">
        <v>142</v>
      </c>
      <c r="E286" s="3"/>
      <c r="F286" s="3"/>
      <c r="G286" s="3"/>
      <c r="H286" s="3"/>
      <c r="I286" s="3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3"/>
      <c r="AR286" s="3"/>
      <c r="AS286" s="3"/>
      <c r="AT286" s="3"/>
      <c r="AU286" s="3"/>
      <c r="AV286" s="3"/>
      <c r="AW286" s="3"/>
      <c r="AX286" s="3"/>
      <c r="AY286" s="3"/>
      <c r="BD286" s="3"/>
      <c r="BE286" s="3"/>
      <c r="BJ286" s="3"/>
      <c r="BK286" s="3"/>
      <c r="BP286" s="3"/>
      <c r="BQ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</row>
    <row r="287" ht="16.5" customHeight="1">
      <c r="A287" s="145">
        <v>0.0</v>
      </c>
      <c r="B287" s="145">
        <v>49.0</v>
      </c>
      <c r="C287" s="145" t="s">
        <v>214</v>
      </c>
      <c r="D287" s="146" t="s">
        <v>142</v>
      </c>
      <c r="E287" s="3"/>
      <c r="F287" s="3"/>
      <c r="G287" s="3"/>
      <c r="H287" s="3"/>
      <c r="I287" s="3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3"/>
      <c r="AR287" s="3"/>
      <c r="AS287" s="3"/>
      <c r="AT287" s="3"/>
      <c r="AU287" s="3"/>
      <c r="AV287" s="3"/>
      <c r="AW287" s="3"/>
      <c r="AX287" s="3"/>
      <c r="AY287" s="3"/>
      <c r="BD287" s="3"/>
      <c r="BE287" s="3"/>
      <c r="BJ287" s="3"/>
      <c r="BK287" s="3"/>
      <c r="BP287" s="3"/>
      <c r="BQ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</row>
    <row r="288" ht="16.5" customHeight="1">
      <c r="A288" s="145">
        <v>50.0</v>
      </c>
      <c r="B288" s="145">
        <v>54.0</v>
      </c>
      <c r="C288" s="145" t="s">
        <v>214</v>
      </c>
      <c r="D288" s="146">
        <v>70.0</v>
      </c>
      <c r="E288" s="3"/>
      <c r="F288" s="3"/>
      <c r="G288" s="3"/>
      <c r="H288" s="3"/>
      <c r="I288" s="3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3"/>
      <c r="AR288" s="3"/>
      <c r="AS288" s="3"/>
      <c r="AT288" s="3"/>
      <c r="AU288" s="3"/>
      <c r="AV288" s="3"/>
      <c r="AW288" s="3"/>
      <c r="AX288" s="3"/>
      <c r="AY288" s="3"/>
      <c r="BD288" s="3"/>
      <c r="BE288" s="3"/>
      <c r="BJ288" s="3"/>
      <c r="BK288" s="3"/>
      <c r="BP288" s="3"/>
      <c r="BQ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</row>
    <row r="289" ht="16.5" customHeight="1">
      <c r="A289" s="145">
        <v>55.0</v>
      </c>
      <c r="B289" s="145">
        <v>59.0</v>
      </c>
      <c r="C289" s="145" t="s">
        <v>214</v>
      </c>
      <c r="D289" s="146">
        <v>70.0</v>
      </c>
      <c r="E289" s="3"/>
      <c r="F289" s="3"/>
      <c r="G289" s="3"/>
      <c r="H289" s="3"/>
      <c r="I289" s="3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3"/>
      <c r="AR289" s="3"/>
      <c r="AS289" s="3"/>
      <c r="AT289" s="3"/>
      <c r="AU289" s="3"/>
      <c r="AV289" s="3"/>
      <c r="AW289" s="3"/>
      <c r="AX289" s="3"/>
      <c r="AY289" s="3"/>
      <c r="BD289" s="3"/>
      <c r="BE289" s="3"/>
      <c r="BJ289" s="3"/>
      <c r="BK289" s="3"/>
      <c r="BP289" s="3"/>
      <c r="BQ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</row>
    <row r="290" ht="16.5" customHeight="1">
      <c r="A290" s="145">
        <v>60.0</v>
      </c>
      <c r="B290" s="145">
        <v>64.0</v>
      </c>
      <c r="C290" s="145" t="s">
        <v>214</v>
      </c>
      <c r="D290" s="146">
        <v>88.0</v>
      </c>
      <c r="E290" s="3"/>
      <c r="F290" s="3"/>
      <c r="G290" s="3"/>
      <c r="H290" s="3"/>
      <c r="I290" s="3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3"/>
      <c r="AR290" s="3"/>
      <c r="AS290" s="3"/>
      <c r="AT290" s="3"/>
      <c r="AU290" s="3"/>
      <c r="AV290" s="3"/>
      <c r="AW290" s="3"/>
      <c r="AX290" s="3"/>
      <c r="AY290" s="3"/>
      <c r="BD290" s="3"/>
      <c r="BE290" s="3"/>
      <c r="BJ290" s="3"/>
      <c r="BK290" s="3"/>
      <c r="BP290" s="3"/>
      <c r="BQ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</row>
    <row r="291" ht="16.5" customHeight="1">
      <c r="A291" s="145">
        <v>65.0</v>
      </c>
      <c r="B291" s="145">
        <v>69.0</v>
      </c>
      <c r="C291" s="145" t="s">
        <v>214</v>
      </c>
      <c r="D291" s="146">
        <v>105.0</v>
      </c>
      <c r="E291" s="3"/>
      <c r="F291" s="3"/>
      <c r="G291" s="3"/>
      <c r="H291" s="3"/>
      <c r="I291" s="3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3"/>
      <c r="AR291" s="3"/>
      <c r="AS291" s="3"/>
      <c r="AT291" s="3"/>
      <c r="AU291" s="3"/>
      <c r="AV291" s="3"/>
      <c r="AW291" s="3"/>
      <c r="AX291" s="3"/>
      <c r="AY291" s="3"/>
      <c r="BD291" s="3"/>
      <c r="BE291" s="3"/>
      <c r="BJ291" s="3"/>
      <c r="BK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</row>
    <row r="292" ht="16.5" customHeight="1">
      <c r="A292" s="145">
        <v>70.0</v>
      </c>
      <c r="B292" s="145">
        <v>74.0</v>
      </c>
      <c r="C292" s="145" t="s">
        <v>214</v>
      </c>
      <c r="D292" s="146">
        <v>138.0</v>
      </c>
      <c r="E292" s="3"/>
      <c r="F292" s="3"/>
      <c r="G292" s="3"/>
      <c r="H292" s="3"/>
      <c r="I292" s="3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3"/>
      <c r="AR292" s="3"/>
      <c r="AS292" s="3"/>
      <c r="AT292" s="3"/>
      <c r="AU292" s="3"/>
      <c r="AV292" s="3"/>
      <c r="AW292" s="3"/>
      <c r="AX292" s="3"/>
      <c r="AY292" s="3"/>
      <c r="BD292" s="3"/>
      <c r="BE292" s="3"/>
      <c r="BJ292" s="3"/>
      <c r="BK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</row>
    <row r="293" ht="16.5" customHeight="1">
      <c r="A293" s="145">
        <v>75.0</v>
      </c>
      <c r="B293" s="145">
        <v>79.0</v>
      </c>
      <c r="C293" s="145" t="s">
        <v>214</v>
      </c>
      <c r="D293" s="146">
        <v>167.0</v>
      </c>
      <c r="E293" s="3"/>
      <c r="F293" s="3"/>
      <c r="G293" s="3"/>
      <c r="H293" s="3"/>
      <c r="I293" s="3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3"/>
      <c r="AR293" s="3"/>
      <c r="AS293" s="3"/>
      <c r="AT293" s="3"/>
      <c r="AU293" s="3"/>
      <c r="AV293" s="3"/>
      <c r="AW293" s="3"/>
      <c r="AX293" s="3"/>
      <c r="AY293" s="3"/>
      <c r="BD293" s="3"/>
      <c r="BE293" s="3"/>
      <c r="BJ293" s="3"/>
      <c r="BK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</row>
    <row r="294" ht="16.5" customHeight="1">
      <c r="A294" s="145">
        <v>80.0</v>
      </c>
      <c r="B294" s="145">
        <v>84.0</v>
      </c>
      <c r="C294" s="145" t="s">
        <v>214</v>
      </c>
      <c r="D294" s="146">
        <v>175.0</v>
      </c>
      <c r="E294" s="3"/>
      <c r="F294" s="3"/>
      <c r="G294" s="3"/>
      <c r="H294" s="3"/>
      <c r="I294" s="3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3"/>
      <c r="AR294" s="3"/>
      <c r="AS294" s="3"/>
      <c r="AT294" s="3"/>
      <c r="AU294" s="3"/>
      <c r="AV294" s="3"/>
      <c r="AW294" s="3"/>
      <c r="AX294" s="3"/>
      <c r="AY294" s="3"/>
      <c r="BD294" s="3"/>
      <c r="BE294" s="3"/>
      <c r="BJ294" s="3"/>
      <c r="BK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</row>
    <row r="295" ht="16.5" customHeight="1">
      <c r="A295" s="145">
        <v>85.0</v>
      </c>
      <c r="B295" s="145">
        <v>120.0</v>
      </c>
      <c r="C295" s="145" t="s">
        <v>214</v>
      </c>
      <c r="D295" s="146" t="s">
        <v>142</v>
      </c>
      <c r="E295" s="3"/>
      <c r="F295" s="3"/>
      <c r="G295" s="3"/>
      <c r="H295" s="3"/>
      <c r="I295" s="3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3"/>
      <c r="AR295" s="3"/>
      <c r="AS295" s="3"/>
      <c r="AT295" s="3"/>
      <c r="AU295" s="3"/>
      <c r="AV295" s="3"/>
      <c r="AW295" s="3"/>
      <c r="AX295" s="3"/>
      <c r="AY295" s="3"/>
      <c r="BD295" s="3"/>
      <c r="BE295" s="3"/>
      <c r="BJ295" s="3"/>
      <c r="BK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</row>
    <row r="296" ht="16.5" customHeight="1">
      <c r="A296" s="145">
        <v>0.0</v>
      </c>
      <c r="B296" s="145">
        <v>49.0</v>
      </c>
      <c r="C296" s="145" t="s">
        <v>215</v>
      </c>
      <c r="D296" s="146" t="s">
        <v>142</v>
      </c>
      <c r="E296" s="3"/>
      <c r="F296" s="3"/>
      <c r="G296" s="3"/>
      <c r="H296" s="3"/>
      <c r="I296" s="3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3"/>
      <c r="AR296" s="3"/>
      <c r="AS296" s="3"/>
      <c r="AT296" s="3"/>
      <c r="AU296" s="3"/>
      <c r="AV296" s="3"/>
      <c r="AW296" s="3"/>
      <c r="AX296" s="3"/>
      <c r="AY296" s="3"/>
      <c r="BD296" s="3"/>
      <c r="BE296" s="3"/>
      <c r="BJ296" s="3"/>
      <c r="BK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</row>
    <row r="297" ht="16.5" customHeight="1">
      <c r="A297" s="145">
        <v>50.0</v>
      </c>
      <c r="B297" s="145">
        <v>54.0</v>
      </c>
      <c r="C297" s="145" t="s">
        <v>215</v>
      </c>
      <c r="D297" s="146">
        <v>71.0</v>
      </c>
      <c r="E297" s="3"/>
      <c r="F297" s="3"/>
      <c r="G297" s="3"/>
      <c r="H297" s="3"/>
      <c r="I297" s="3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3"/>
      <c r="AR297" s="3"/>
      <c r="AS297" s="3"/>
      <c r="AT297" s="3"/>
      <c r="AU297" s="3"/>
      <c r="AV297" s="3"/>
      <c r="AW297" s="3"/>
      <c r="AX297" s="3"/>
      <c r="AY297" s="3"/>
      <c r="BD297" s="3"/>
      <c r="BE297" s="3"/>
      <c r="BJ297" s="3"/>
      <c r="BK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</row>
    <row r="298" ht="16.5" customHeight="1">
      <c r="A298" s="145">
        <v>55.0</v>
      </c>
      <c r="B298" s="145">
        <v>59.0</v>
      </c>
      <c r="C298" s="145" t="s">
        <v>215</v>
      </c>
      <c r="D298" s="146">
        <v>71.0</v>
      </c>
      <c r="E298" s="3"/>
      <c r="F298" s="3"/>
      <c r="G298" s="3"/>
      <c r="H298" s="3"/>
      <c r="I298" s="3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3"/>
      <c r="AR298" s="3"/>
      <c r="AS298" s="3"/>
      <c r="AT298" s="3"/>
      <c r="AU298" s="3"/>
      <c r="AV298" s="3"/>
      <c r="AW298" s="3"/>
      <c r="AX298" s="3"/>
      <c r="AY298" s="3"/>
      <c r="BD298" s="3"/>
      <c r="BE298" s="3"/>
      <c r="BJ298" s="3"/>
      <c r="BK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</row>
    <row r="299" ht="16.5" customHeight="1">
      <c r="A299" s="145">
        <v>60.0</v>
      </c>
      <c r="B299" s="145">
        <v>64.0</v>
      </c>
      <c r="C299" s="145" t="s">
        <v>215</v>
      </c>
      <c r="D299" s="146">
        <v>89.5</v>
      </c>
      <c r="E299" s="3"/>
      <c r="F299" s="3"/>
      <c r="G299" s="3"/>
      <c r="H299" s="3"/>
      <c r="I299" s="3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3"/>
      <c r="AR299" s="3"/>
      <c r="AS299" s="3"/>
      <c r="AT299" s="3"/>
      <c r="AU299" s="3"/>
      <c r="AV299" s="3"/>
      <c r="AW299" s="3"/>
      <c r="AX299" s="3"/>
      <c r="AY299" s="3"/>
      <c r="BD299" s="3"/>
      <c r="BE299" s="3"/>
      <c r="BJ299" s="3"/>
      <c r="BK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</row>
    <row r="300" ht="16.5" customHeight="1">
      <c r="A300" s="145">
        <v>65.0</v>
      </c>
      <c r="B300" s="145">
        <v>69.0</v>
      </c>
      <c r="C300" s="145" t="s">
        <v>215</v>
      </c>
      <c r="D300" s="146">
        <v>106.0</v>
      </c>
      <c r="E300" s="3"/>
      <c r="F300" s="3"/>
      <c r="G300" s="3"/>
      <c r="H300" s="3"/>
      <c r="I300" s="3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3"/>
      <c r="AR300" s="3"/>
      <c r="AS300" s="3"/>
      <c r="AT300" s="3"/>
      <c r="AU300" s="3"/>
      <c r="AV300" s="3"/>
      <c r="AW300" s="3"/>
      <c r="AX300" s="3"/>
      <c r="AY300" s="3"/>
      <c r="BD300" s="3"/>
      <c r="BE300" s="3"/>
      <c r="BJ300" s="3"/>
      <c r="BK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</row>
    <row r="301" ht="16.5" customHeight="1">
      <c r="A301" s="145">
        <v>70.0</v>
      </c>
      <c r="B301" s="145">
        <v>74.0</v>
      </c>
      <c r="C301" s="145" t="s">
        <v>215</v>
      </c>
      <c r="D301" s="146">
        <v>140.0</v>
      </c>
      <c r="E301" s="3"/>
      <c r="F301" s="3"/>
      <c r="G301" s="3"/>
      <c r="H301" s="3"/>
      <c r="I301" s="3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3"/>
      <c r="AR301" s="3"/>
      <c r="AS301" s="3"/>
      <c r="AT301" s="3"/>
      <c r="AU301" s="3"/>
      <c r="AV301" s="3"/>
      <c r="AW301" s="3"/>
      <c r="AX301" s="3"/>
      <c r="AY301" s="3"/>
      <c r="BD301" s="3"/>
      <c r="BE301" s="3"/>
      <c r="BJ301" s="3"/>
      <c r="BK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</row>
    <row r="302" ht="16.5" customHeight="1">
      <c r="A302" s="145">
        <v>75.0</v>
      </c>
      <c r="B302" s="145">
        <v>79.0</v>
      </c>
      <c r="C302" s="145" t="s">
        <v>215</v>
      </c>
      <c r="D302" s="146">
        <v>170.0</v>
      </c>
      <c r="E302" s="3"/>
      <c r="F302" s="3"/>
      <c r="G302" s="3"/>
      <c r="H302" s="3"/>
      <c r="I302" s="3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3"/>
      <c r="AR302" s="3"/>
      <c r="AS302" s="3"/>
      <c r="AT302" s="3"/>
      <c r="AU302" s="3"/>
      <c r="AV302" s="3"/>
      <c r="AW302" s="3"/>
      <c r="AX302" s="3"/>
      <c r="AY302" s="3"/>
      <c r="BD302" s="3"/>
      <c r="BE302" s="3"/>
      <c r="BJ302" s="3"/>
      <c r="BK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</row>
    <row r="303" ht="16.5" customHeight="1">
      <c r="A303" s="145">
        <v>80.0</v>
      </c>
      <c r="B303" s="145">
        <v>84.0</v>
      </c>
      <c r="C303" s="145" t="s">
        <v>215</v>
      </c>
      <c r="D303" s="146">
        <v>177.0</v>
      </c>
      <c r="E303" s="3"/>
      <c r="F303" s="3"/>
      <c r="G303" s="3"/>
      <c r="H303" s="3"/>
      <c r="I303" s="3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3"/>
      <c r="AR303" s="3"/>
      <c r="AS303" s="3"/>
      <c r="AT303" s="3"/>
      <c r="AU303" s="3"/>
      <c r="AV303" s="3"/>
      <c r="AW303" s="3"/>
      <c r="AX303" s="3"/>
      <c r="AY303" s="3"/>
      <c r="BD303" s="3"/>
      <c r="BE303" s="3"/>
      <c r="BJ303" s="3"/>
      <c r="BK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</row>
    <row r="304" ht="16.5" customHeight="1">
      <c r="A304" s="145">
        <v>85.0</v>
      </c>
      <c r="B304" s="145">
        <v>120.0</v>
      </c>
      <c r="C304" s="145" t="s">
        <v>215</v>
      </c>
      <c r="D304" s="146" t="s">
        <v>142</v>
      </c>
      <c r="E304" s="3"/>
      <c r="F304" s="3"/>
      <c r="G304" s="3"/>
      <c r="H304" s="3"/>
      <c r="I304" s="3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3"/>
      <c r="AR304" s="3"/>
      <c r="AS304" s="3"/>
      <c r="AT304" s="3"/>
      <c r="AU304" s="3"/>
      <c r="AV304" s="3"/>
      <c r="AW304" s="3"/>
      <c r="AX304" s="3"/>
      <c r="AY304" s="3"/>
      <c r="BD304" s="3"/>
      <c r="BE304" s="3"/>
      <c r="BJ304" s="3"/>
      <c r="BK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</row>
    <row r="305" ht="16.5" customHeight="1">
      <c r="A305" s="145">
        <v>0.0</v>
      </c>
      <c r="B305" s="145">
        <v>49.0</v>
      </c>
      <c r="C305" s="145" t="s">
        <v>216</v>
      </c>
      <c r="D305" s="146" t="s">
        <v>142</v>
      </c>
      <c r="E305" s="3"/>
      <c r="F305" s="3"/>
      <c r="G305" s="3"/>
      <c r="H305" s="3"/>
      <c r="I305" s="3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3"/>
      <c r="AR305" s="3"/>
      <c r="AS305" s="3"/>
      <c r="AT305" s="3"/>
      <c r="AU305" s="3"/>
      <c r="AV305" s="3"/>
      <c r="AW305" s="3"/>
      <c r="AX305" s="3"/>
      <c r="AY305" s="3"/>
      <c r="BD305" s="3"/>
      <c r="BE305" s="3"/>
      <c r="BJ305" s="3"/>
      <c r="BK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</row>
    <row r="306" ht="16.5" customHeight="1">
      <c r="A306" s="145">
        <v>50.0</v>
      </c>
      <c r="B306" s="145">
        <v>54.0</v>
      </c>
      <c r="C306" s="145" t="s">
        <v>216</v>
      </c>
      <c r="D306" s="146">
        <v>72.0</v>
      </c>
      <c r="E306" s="3"/>
      <c r="F306" s="3"/>
      <c r="G306" s="3"/>
      <c r="H306" s="3"/>
      <c r="I306" s="3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3"/>
      <c r="AR306" s="3"/>
      <c r="AS306" s="3"/>
      <c r="AT306" s="3"/>
      <c r="AU306" s="3"/>
      <c r="AV306" s="3"/>
      <c r="AW306" s="3"/>
      <c r="AX306" s="3"/>
      <c r="AY306" s="3"/>
      <c r="BD306" s="3"/>
      <c r="BE306" s="3"/>
      <c r="BJ306" s="3"/>
      <c r="BK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</row>
    <row r="307" ht="16.5" customHeight="1">
      <c r="A307" s="145">
        <v>55.0</v>
      </c>
      <c r="B307" s="145">
        <v>59.0</v>
      </c>
      <c r="C307" s="145" t="s">
        <v>216</v>
      </c>
      <c r="D307" s="146">
        <v>72.0</v>
      </c>
      <c r="E307" s="3"/>
      <c r="F307" s="3"/>
      <c r="G307" s="3"/>
      <c r="H307" s="3"/>
      <c r="I307" s="3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3"/>
      <c r="AR307" s="3"/>
      <c r="AS307" s="3"/>
      <c r="AT307" s="3"/>
      <c r="AU307" s="3"/>
      <c r="AV307" s="3"/>
      <c r="AW307" s="3"/>
      <c r="AX307" s="3"/>
      <c r="AY307" s="3"/>
      <c r="BD307" s="3"/>
      <c r="BE307" s="3"/>
      <c r="BJ307" s="3"/>
      <c r="BK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</row>
    <row r="308" ht="16.5" customHeight="1">
      <c r="A308" s="145">
        <v>60.0</v>
      </c>
      <c r="B308" s="145">
        <v>64.0</v>
      </c>
      <c r="C308" s="145" t="s">
        <v>216</v>
      </c>
      <c r="D308" s="146">
        <v>92.0</v>
      </c>
      <c r="E308" s="3"/>
      <c r="F308" s="3"/>
      <c r="G308" s="3"/>
      <c r="H308" s="3"/>
      <c r="I308" s="3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3"/>
      <c r="AR308" s="3"/>
      <c r="AS308" s="3"/>
      <c r="AT308" s="3"/>
      <c r="AU308" s="3"/>
      <c r="AV308" s="3"/>
      <c r="AW308" s="3"/>
      <c r="AX308" s="3"/>
      <c r="AY308" s="3"/>
      <c r="BD308" s="3"/>
      <c r="BE308" s="3"/>
      <c r="BJ308" s="3"/>
      <c r="BK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</row>
    <row r="309" ht="16.5" customHeight="1">
      <c r="A309" s="145">
        <v>65.0</v>
      </c>
      <c r="B309" s="145">
        <v>69.0</v>
      </c>
      <c r="C309" s="145" t="s">
        <v>216</v>
      </c>
      <c r="D309" s="146">
        <v>111.0</v>
      </c>
      <c r="E309" s="3"/>
      <c r="F309" s="3"/>
      <c r="G309" s="3"/>
      <c r="H309" s="3"/>
      <c r="I309" s="3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3"/>
      <c r="AR309" s="3"/>
      <c r="AS309" s="3"/>
      <c r="AT309" s="3"/>
      <c r="AU309" s="3"/>
      <c r="AV309" s="3"/>
      <c r="AW309" s="3"/>
      <c r="AX309" s="3"/>
      <c r="AY309" s="3"/>
      <c r="BD309" s="3"/>
      <c r="BE309" s="3"/>
      <c r="BJ309" s="3"/>
      <c r="BK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</row>
    <row r="310" ht="16.5" customHeight="1">
      <c r="A310" s="145">
        <v>70.0</v>
      </c>
      <c r="B310" s="145">
        <v>74.0</v>
      </c>
      <c r="C310" s="145" t="s">
        <v>216</v>
      </c>
      <c r="D310" s="146">
        <v>145.0</v>
      </c>
      <c r="E310" s="3"/>
      <c r="F310" s="3"/>
      <c r="G310" s="3"/>
      <c r="H310" s="3"/>
      <c r="I310" s="3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3"/>
      <c r="AR310" s="3"/>
      <c r="AS310" s="3"/>
      <c r="AT310" s="3"/>
      <c r="AU310" s="3"/>
      <c r="AV310" s="3"/>
      <c r="AW310" s="3"/>
      <c r="AX310" s="3"/>
      <c r="AY310" s="3"/>
      <c r="BD310" s="3"/>
      <c r="BE310" s="3"/>
      <c r="BJ310" s="3"/>
      <c r="BK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</row>
    <row r="311" ht="16.5" customHeight="1">
      <c r="A311" s="145">
        <v>75.0</v>
      </c>
      <c r="B311" s="145">
        <v>79.0</v>
      </c>
      <c r="C311" s="145" t="s">
        <v>216</v>
      </c>
      <c r="D311" s="146">
        <v>175.0</v>
      </c>
      <c r="E311" s="3"/>
      <c r="F311" s="3"/>
      <c r="G311" s="3"/>
      <c r="H311" s="3"/>
      <c r="I311" s="3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3"/>
      <c r="AR311" s="3"/>
      <c r="AS311" s="3"/>
      <c r="AT311" s="3"/>
      <c r="AU311" s="3"/>
      <c r="AV311" s="3"/>
      <c r="AW311" s="3"/>
      <c r="AX311" s="3"/>
      <c r="AY311" s="3"/>
      <c r="BD311" s="3"/>
      <c r="BE311" s="3"/>
      <c r="BJ311" s="3"/>
      <c r="BK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</row>
    <row r="312" ht="16.5" customHeight="1">
      <c r="A312" s="145">
        <v>80.0</v>
      </c>
      <c r="B312" s="145">
        <v>84.0</v>
      </c>
      <c r="C312" s="145" t="s">
        <v>216</v>
      </c>
      <c r="D312" s="146">
        <v>182.0</v>
      </c>
      <c r="E312" s="3"/>
      <c r="F312" s="3"/>
      <c r="G312" s="3"/>
      <c r="H312" s="3"/>
      <c r="I312" s="3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3"/>
      <c r="AR312" s="3"/>
      <c r="AS312" s="3"/>
      <c r="AT312" s="3"/>
      <c r="AU312" s="3"/>
      <c r="AV312" s="3"/>
      <c r="AW312" s="3"/>
      <c r="AX312" s="3"/>
      <c r="AY312" s="3"/>
      <c r="BD312" s="3"/>
      <c r="BE312" s="3"/>
      <c r="BJ312" s="3"/>
      <c r="BK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</row>
    <row r="313" ht="16.5" customHeight="1">
      <c r="A313" s="145">
        <v>85.0</v>
      </c>
      <c r="B313" s="145">
        <v>120.0</v>
      </c>
      <c r="C313" s="145" t="s">
        <v>216</v>
      </c>
      <c r="D313" s="146" t="s">
        <v>142</v>
      </c>
      <c r="E313" s="3"/>
      <c r="F313" s="3"/>
      <c r="G313" s="3"/>
      <c r="H313" s="3"/>
      <c r="I313" s="3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3"/>
      <c r="AR313" s="3"/>
      <c r="AS313" s="3"/>
      <c r="AT313" s="3"/>
      <c r="AU313" s="3"/>
      <c r="AV313" s="3"/>
      <c r="AW313" s="3"/>
      <c r="AX313" s="3"/>
      <c r="AY313" s="3"/>
      <c r="BD313" s="3"/>
      <c r="BE313" s="3"/>
      <c r="BJ313" s="3"/>
      <c r="BK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</row>
    <row r="314" ht="16.5" customHeight="1">
      <c r="A314" s="145">
        <v>0.0</v>
      </c>
      <c r="B314" s="145">
        <v>49.0</v>
      </c>
      <c r="C314" s="145" t="s">
        <v>217</v>
      </c>
      <c r="D314" s="146" t="s">
        <v>142</v>
      </c>
      <c r="E314" s="3"/>
      <c r="F314" s="3"/>
      <c r="G314" s="3"/>
      <c r="H314" s="3"/>
      <c r="I314" s="3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3"/>
      <c r="AR314" s="3"/>
      <c r="AS314" s="3"/>
      <c r="AT314" s="3"/>
      <c r="AU314" s="3"/>
      <c r="AV314" s="3"/>
      <c r="AW314" s="3"/>
      <c r="AX314" s="3"/>
      <c r="AY314" s="3"/>
      <c r="BD314" s="3"/>
      <c r="BE314" s="3"/>
      <c r="BJ314" s="3"/>
      <c r="BK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</row>
    <row r="315" ht="16.5" customHeight="1">
      <c r="A315" s="145">
        <v>50.0</v>
      </c>
      <c r="B315" s="145">
        <v>54.0</v>
      </c>
      <c r="C315" s="145" t="s">
        <v>217</v>
      </c>
      <c r="D315" s="146">
        <v>73.0</v>
      </c>
      <c r="E315" s="3"/>
      <c r="F315" s="3"/>
      <c r="G315" s="3"/>
      <c r="H315" s="3"/>
      <c r="I315" s="3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3"/>
      <c r="AR315" s="3"/>
      <c r="AS315" s="3"/>
      <c r="AT315" s="3"/>
      <c r="AU315" s="3"/>
      <c r="AV315" s="3"/>
      <c r="AW315" s="3"/>
      <c r="AX315" s="3"/>
      <c r="AY315" s="3"/>
      <c r="BD315" s="3"/>
      <c r="BE315" s="3"/>
      <c r="BJ315" s="3"/>
      <c r="BK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</row>
    <row r="316" ht="16.5" customHeight="1">
      <c r="A316" s="145">
        <v>55.0</v>
      </c>
      <c r="B316" s="145">
        <v>59.0</v>
      </c>
      <c r="C316" s="145" t="s">
        <v>217</v>
      </c>
      <c r="D316" s="146">
        <v>73.0</v>
      </c>
      <c r="E316" s="3"/>
      <c r="F316" s="3"/>
      <c r="G316" s="3"/>
      <c r="H316" s="3"/>
      <c r="I316" s="3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3"/>
      <c r="AR316" s="3"/>
      <c r="AS316" s="3"/>
      <c r="AT316" s="3"/>
      <c r="AU316" s="3"/>
      <c r="AV316" s="3"/>
      <c r="AW316" s="3"/>
      <c r="AX316" s="3"/>
      <c r="AY316" s="3"/>
      <c r="BD316" s="3"/>
      <c r="BE316" s="3"/>
      <c r="BJ316" s="3"/>
      <c r="BK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</row>
    <row r="317" ht="16.5" customHeight="1">
      <c r="A317" s="145">
        <v>60.0</v>
      </c>
      <c r="B317" s="145">
        <v>64.0</v>
      </c>
      <c r="C317" s="145" t="s">
        <v>217</v>
      </c>
      <c r="D317" s="146">
        <v>93.0</v>
      </c>
      <c r="E317" s="3"/>
      <c r="F317" s="3"/>
      <c r="G317" s="3"/>
      <c r="H317" s="3"/>
      <c r="I317" s="3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3"/>
      <c r="AR317" s="3"/>
      <c r="AS317" s="3"/>
      <c r="AT317" s="3"/>
      <c r="AU317" s="3"/>
      <c r="AV317" s="3"/>
      <c r="AW317" s="3"/>
      <c r="AX317" s="3"/>
      <c r="AY317" s="3"/>
      <c r="BD317" s="3"/>
      <c r="BE317" s="3"/>
      <c r="BJ317" s="3"/>
      <c r="BK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</row>
    <row r="318" ht="16.5" customHeight="1">
      <c r="A318" s="145">
        <v>65.0</v>
      </c>
      <c r="B318" s="145">
        <v>69.0</v>
      </c>
      <c r="C318" s="145" t="s">
        <v>217</v>
      </c>
      <c r="D318" s="146">
        <v>113.0</v>
      </c>
      <c r="E318" s="3"/>
      <c r="F318" s="3"/>
      <c r="G318" s="3"/>
      <c r="H318" s="3"/>
      <c r="I318" s="3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3"/>
      <c r="AR318" s="3"/>
      <c r="AS318" s="3"/>
      <c r="AT318" s="3"/>
      <c r="AU318" s="3"/>
      <c r="AV318" s="3"/>
      <c r="AW318" s="3"/>
      <c r="AX318" s="3"/>
      <c r="AY318" s="3"/>
      <c r="BD318" s="3"/>
      <c r="BE318" s="3"/>
      <c r="BJ318" s="3"/>
      <c r="BK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</row>
    <row r="319" ht="16.5" customHeight="1">
      <c r="A319" s="145">
        <v>70.0</v>
      </c>
      <c r="B319" s="145">
        <v>74.0</v>
      </c>
      <c r="C319" s="145" t="s">
        <v>217</v>
      </c>
      <c r="D319" s="146">
        <v>149.0</v>
      </c>
      <c r="E319" s="3"/>
      <c r="F319" s="3"/>
      <c r="G319" s="3"/>
      <c r="H319" s="3"/>
      <c r="I319" s="3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3"/>
      <c r="AR319" s="3"/>
      <c r="AS319" s="3"/>
      <c r="AT319" s="3"/>
      <c r="AU319" s="3"/>
      <c r="AV319" s="3"/>
      <c r="AW319" s="3"/>
      <c r="AX319" s="3"/>
      <c r="AY319" s="3"/>
      <c r="BD319" s="3"/>
      <c r="BE319" s="3"/>
      <c r="BJ319" s="3"/>
      <c r="BK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</row>
    <row r="320" ht="16.5" customHeight="1">
      <c r="A320" s="145">
        <v>75.0</v>
      </c>
      <c r="B320" s="145">
        <v>79.0</v>
      </c>
      <c r="C320" s="145" t="s">
        <v>217</v>
      </c>
      <c r="D320" s="146">
        <v>179.0</v>
      </c>
      <c r="E320" s="3"/>
      <c r="F320" s="3"/>
      <c r="G320" s="3"/>
      <c r="H320" s="3"/>
      <c r="I320" s="3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3"/>
      <c r="AR320" s="3"/>
      <c r="AS320" s="3"/>
      <c r="AT320" s="3"/>
      <c r="AU320" s="3"/>
      <c r="AV320" s="3"/>
      <c r="AW320" s="3"/>
      <c r="AX320" s="3"/>
      <c r="AY320" s="3"/>
      <c r="BD320" s="3"/>
      <c r="BE320" s="3"/>
      <c r="BJ320" s="3"/>
      <c r="BK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</row>
    <row r="321" ht="16.5" customHeight="1">
      <c r="A321" s="145">
        <v>80.0</v>
      </c>
      <c r="B321" s="145">
        <v>84.0</v>
      </c>
      <c r="C321" s="145" t="s">
        <v>217</v>
      </c>
      <c r="D321" s="146">
        <v>188.0</v>
      </c>
      <c r="E321" s="3"/>
      <c r="F321" s="3"/>
      <c r="G321" s="3"/>
      <c r="H321" s="3"/>
      <c r="I321" s="3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3"/>
      <c r="AR321" s="3"/>
      <c r="AS321" s="3"/>
      <c r="AT321" s="3"/>
      <c r="AU321" s="3"/>
      <c r="AV321" s="3"/>
      <c r="AW321" s="3"/>
      <c r="AX321" s="3"/>
      <c r="AY321" s="3"/>
      <c r="BD321" s="3"/>
      <c r="BE321" s="3"/>
      <c r="BJ321" s="3"/>
      <c r="BK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</row>
    <row r="322" ht="16.5" customHeight="1">
      <c r="A322" s="145">
        <v>85.0</v>
      </c>
      <c r="B322" s="145">
        <v>120.0</v>
      </c>
      <c r="C322" s="145" t="s">
        <v>217</v>
      </c>
      <c r="D322" s="146" t="s">
        <v>142</v>
      </c>
      <c r="E322" s="3"/>
      <c r="F322" s="3"/>
      <c r="G322" s="3"/>
      <c r="H322" s="3"/>
      <c r="I322" s="3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3"/>
      <c r="AR322" s="3"/>
      <c r="AS322" s="3"/>
      <c r="AT322" s="3"/>
      <c r="AU322" s="3"/>
      <c r="AV322" s="3"/>
      <c r="AW322" s="3"/>
      <c r="AX322" s="3"/>
      <c r="AY322" s="3"/>
      <c r="BD322" s="3"/>
      <c r="BE322" s="3"/>
      <c r="BJ322" s="3"/>
      <c r="BK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</row>
    <row r="323" ht="16.5" customHeight="1">
      <c r="A323" s="145">
        <v>0.0</v>
      </c>
      <c r="B323" s="145">
        <v>49.0</v>
      </c>
      <c r="C323" s="145" t="s">
        <v>218</v>
      </c>
      <c r="D323" s="146" t="s">
        <v>142</v>
      </c>
      <c r="E323" s="3"/>
      <c r="F323" s="3"/>
      <c r="G323" s="3"/>
      <c r="H323" s="3"/>
      <c r="I323" s="3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3"/>
      <c r="AR323" s="3"/>
      <c r="AS323" s="3"/>
      <c r="AT323" s="3"/>
      <c r="AU323" s="3"/>
      <c r="AV323" s="3"/>
      <c r="AW323" s="3"/>
      <c r="AX323" s="3"/>
      <c r="AY323" s="3"/>
      <c r="BD323" s="3"/>
      <c r="BE323" s="3"/>
      <c r="BJ323" s="3"/>
      <c r="BK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</row>
    <row r="324" ht="16.5" customHeight="1">
      <c r="A324" s="145">
        <v>50.0</v>
      </c>
      <c r="B324" s="145">
        <v>54.0</v>
      </c>
      <c r="C324" s="145" t="s">
        <v>218</v>
      </c>
      <c r="D324" s="146">
        <v>74.0</v>
      </c>
      <c r="E324" s="3"/>
      <c r="F324" s="3"/>
      <c r="G324" s="3"/>
      <c r="H324" s="3"/>
      <c r="I324" s="3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3"/>
      <c r="AR324" s="3"/>
      <c r="AS324" s="3"/>
      <c r="AT324" s="3"/>
      <c r="AU324" s="3"/>
      <c r="AV324" s="3"/>
      <c r="AW324" s="3"/>
      <c r="AX324" s="3"/>
      <c r="AY324" s="3"/>
      <c r="BD324" s="3"/>
      <c r="BE324" s="3"/>
      <c r="BJ324" s="3"/>
      <c r="BK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</row>
    <row r="325" ht="16.5" customHeight="1">
      <c r="A325" s="145">
        <v>55.0</v>
      </c>
      <c r="B325" s="145">
        <v>59.0</v>
      </c>
      <c r="C325" s="145" t="s">
        <v>218</v>
      </c>
      <c r="D325" s="146">
        <v>74.0</v>
      </c>
      <c r="E325" s="3"/>
      <c r="F325" s="3"/>
      <c r="G325" s="3"/>
      <c r="H325" s="3"/>
      <c r="I325" s="3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3"/>
      <c r="AR325" s="3"/>
      <c r="AS325" s="3"/>
      <c r="AT325" s="3"/>
      <c r="AU325" s="3"/>
      <c r="AV325" s="3"/>
      <c r="AW325" s="3"/>
      <c r="AX325" s="3"/>
      <c r="AY325" s="3"/>
      <c r="BD325" s="3"/>
      <c r="BE325" s="3"/>
      <c r="BJ325" s="3"/>
      <c r="BK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</row>
    <row r="326" ht="16.5" customHeight="1">
      <c r="A326" s="145">
        <v>60.0</v>
      </c>
      <c r="B326" s="145">
        <v>64.0</v>
      </c>
      <c r="C326" s="145" t="s">
        <v>218</v>
      </c>
      <c r="D326" s="146">
        <v>94.0</v>
      </c>
      <c r="E326" s="3"/>
      <c r="F326" s="3"/>
      <c r="G326" s="3"/>
      <c r="H326" s="3"/>
      <c r="I326" s="3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3"/>
      <c r="AR326" s="3"/>
      <c r="AS326" s="3"/>
      <c r="AT326" s="3"/>
      <c r="AU326" s="3"/>
      <c r="AV326" s="3"/>
      <c r="AW326" s="3"/>
      <c r="AX326" s="3"/>
      <c r="AY326" s="3"/>
      <c r="BD326" s="3"/>
      <c r="BE326" s="3"/>
      <c r="BJ326" s="3"/>
      <c r="BK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</row>
    <row r="327" ht="16.5" customHeight="1">
      <c r="A327" s="145">
        <v>65.0</v>
      </c>
      <c r="B327" s="145">
        <v>69.0</v>
      </c>
      <c r="C327" s="145" t="s">
        <v>218</v>
      </c>
      <c r="D327" s="146">
        <v>115.0</v>
      </c>
      <c r="E327" s="3"/>
      <c r="F327" s="3"/>
      <c r="G327" s="3"/>
      <c r="H327" s="3"/>
      <c r="I327" s="3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3"/>
      <c r="AR327" s="3"/>
      <c r="AS327" s="3"/>
      <c r="AT327" s="3"/>
      <c r="AU327" s="3"/>
      <c r="AV327" s="3"/>
      <c r="AW327" s="3"/>
      <c r="AX327" s="3"/>
      <c r="AY327" s="3"/>
      <c r="BD327" s="3"/>
      <c r="BE327" s="3"/>
      <c r="BJ327" s="3"/>
      <c r="BK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</row>
    <row r="328" ht="16.5" customHeight="1">
      <c r="A328" s="145">
        <v>70.0</v>
      </c>
      <c r="B328" s="145">
        <v>74.0</v>
      </c>
      <c r="C328" s="145" t="s">
        <v>218</v>
      </c>
      <c r="D328" s="146">
        <v>150.0</v>
      </c>
      <c r="E328" s="3"/>
      <c r="F328" s="3"/>
      <c r="G328" s="3"/>
      <c r="H328" s="3"/>
      <c r="I328" s="3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3"/>
      <c r="AR328" s="3"/>
      <c r="AS328" s="3"/>
      <c r="AT328" s="3"/>
      <c r="AU328" s="3"/>
      <c r="AV328" s="3"/>
      <c r="AW328" s="3"/>
      <c r="AX328" s="3"/>
      <c r="AY328" s="3"/>
      <c r="BD328" s="3"/>
      <c r="BE328" s="3"/>
      <c r="BJ328" s="3"/>
      <c r="BK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</row>
    <row r="329" ht="16.5" customHeight="1">
      <c r="A329" s="145">
        <v>75.0</v>
      </c>
      <c r="B329" s="145">
        <v>79.0</v>
      </c>
      <c r="C329" s="145" t="s">
        <v>218</v>
      </c>
      <c r="D329" s="146">
        <v>183.0</v>
      </c>
      <c r="E329" s="3"/>
      <c r="F329" s="3"/>
      <c r="G329" s="3"/>
      <c r="H329" s="3"/>
      <c r="I329" s="3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3"/>
      <c r="AR329" s="3"/>
      <c r="AS329" s="3"/>
      <c r="AT329" s="3"/>
      <c r="AU329" s="3"/>
      <c r="AV329" s="3"/>
      <c r="AW329" s="3"/>
      <c r="AX329" s="3"/>
      <c r="AY329" s="3"/>
      <c r="BD329" s="3"/>
      <c r="BE329" s="3"/>
      <c r="BJ329" s="3"/>
      <c r="BK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</row>
    <row r="330" ht="16.5" customHeight="1">
      <c r="A330" s="145">
        <v>80.0</v>
      </c>
      <c r="B330" s="145">
        <v>84.0</v>
      </c>
      <c r="C330" s="145" t="s">
        <v>218</v>
      </c>
      <c r="D330" s="146">
        <v>190.0</v>
      </c>
      <c r="E330" s="3"/>
      <c r="F330" s="3"/>
      <c r="G330" s="3"/>
      <c r="H330" s="3"/>
      <c r="I330" s="3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3"/>
      <c r="AR330" s="3"/>
      <c r="AS330" s="3"/>
      <c r="AT330" s="3"/>
      <c r="AU330" s="3"/>
      <c r="AV330" s="3"/>
      <c r="AW330" s="3"/>
      <c r="AX330" s="3"/>
      <c r="AY330" s="3"/>
      <c r="BD330" s="3"/>
      <c r="BE330" s="3"/>
      <c r="BJ330" s="3"/>
      <c r="BK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</row>
    <row r="331" ht="16.5" customHeight="1">
      <c r="A331" s="145">
        <v>85.0</v>
      </c>
      <c r="B331" s="145">
        <v>120.0</v>
      </c>
      <c r="C331" s="145" t="s">
        <v>218</v>
      </c>
      <c r="D331" s="146" t="s">
        <v>142</v>
      </c>
      <c r="E331" s="3"/>
      <c r="F331" s="3"/>
      <c r="G331" s="3"/>
      <c r="H331" s="3"/>
      <c r="I331" s="3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3"/>
      <c r="AR331" s="3"/>
      <c r="AS331" s="3"/>
      <c r="AT331" s="3"/>
      <c r="AU331" s="3"/>
      <c r="AV331" s="3"/>
      <c r="AW331" s="3"/>
      <c r="AX331" s="3"/>
      <c r="AY331" s="3"/>
      <c r="BD331" s="3"/>
      <c r="BE331" s="3"/>
      <c r="BJ331" s="3"/>
      <c r="BK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</row>
    <row r="332" ht="16.5" customHeight="1">
      <c r="A332" s="145">
        <v>0.0</v>
      </c>
      <c r="B332" s="145">
        <v>59.0</v>
      </c>
      <c r="C332" s="145" t="s">
        <v>219</v>
      </c>
      <c r="D332" s="146" t="s">
        <v>142</v>
      </c>
      <c r="E332" s="3"/>
      <c r="F332" s="3"/>
      <c r="G332" s="3"/>
      <c r="H332" s="3"/>
      <c r="I332" s="3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3"/>
      <c r="AR332" s="3"/>
      <c r="AS332" s="3"/>
      <c r="AT332" s="3"/>
      <c r="AU332" s="3"/>
      <c r="AV332" s="3"/>
      <c r="AW332" s="3"/>
      <c r="AX332" s="3"/>
      <c r="AY332" s="3"/>
      <c r="BD332" s="3"/>
      <c r="BE332" s="3"/>
      <c r="BJ332" s="3"/>
      <c r="BK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</row>
    <row r="333" ht="16.5" customHeight="1">
      <c r="A333" s="145">
        <v>60.0</v>
      </c>
      <c r="B333" s="145">
        <v>62.0</v>
      </c>
      <c r="C333" s="145" t="s">
        <v>219</v>
      </c>
      <c r="D333" s="146">
        <v>101.0</v>
      </c>
      <c r="E333" s="3"/>
      <c r="F333" s="3"/>
      <c r="G333" s="3"/>
      <c r="H333" s="3"/>
      <c r="I333" s="3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3"/>
      <c r="AR333" s="3"/>
      <c r="AS333" s="3"/>
      <c r="AT333" s="3"/>
      <c r="AU333" s="3"/>
      <c r="AV333" s="3"/>
      <c r="AW333" s="3"/>
      <c r="AX333" s="3"/>
      <c r="AY333" s="3"/>
      <c r="BD333" s="3"/>
      <c r="BE333" s="3"/>
      <c r="BJ333" s="3"/>
      <c r="BK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</row>
    <row r="334" ht="16.5" customHeight="1">
      <c r="A334" s="145">
        <v>63.0</v>
      </c>
      <c r="B334" s="145">
        <v>64.0</v>
      </c>
      <c r="C334" s="145" t="s">
        <v>219</v>
      </c>
      <c r="D334" s="146">
        <v>101.0</v>
      </c>
      <c r="E334" s="3"/>
      <c r="F334" s="3"/>
      <c r="G334" s="3"/>
      <c r="H334" s="3"/>
      <c r="I334" s="3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3"/>
      <c r="AR334" s="3"/>
      <c r="AS334" s="3"/>
      <c r="AT334" s="3"/>
      <c r="AU334" s="3"/>
      <c r="AV334" s="3"/>
      <c r="AW334" s="3"/>
      <c r="AX334" s="3"/>
      <c r="AY334" s="3"/>
      <c r="BD334" s="3"/>
      <c r="BE334" s="3"/>
      <c r="BJ334" s="3"/>
      <c r="BK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</row>
    <row r="335" ht="16.5" customHeight="1">
      <c r="A335" s="145">
        <v>65.0</v>
      </c>
      <c r="B335" s="145">
        <v>69.0</v>
      </c>
      <c r="C335" s="145" t="s">
        <v>219</v>
      </c>
      <c r="D335" s="146">
        <v>138.0</v>
      </c>
      <c r="E335" s="3"/>
      <c r="F335" s="3"/>
      <c r="G335" s="3"/>
      <c r="H335" s="3"/>
      <c r="I335" s="3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3"/>
      <c r="AR335" s="3"/>
      <c r="AS335" s="3"/>
      <c r="AT335" s="3"/>
      <c r="AU335" s="3"/>
      <c r="AV335" s="3"/>
      <c r="AW335" s="3"/>
      <c r="AX335" s="3"/>
      <c r="AY335" s="3"/>
      <c r="BD335" s="3"/>
      <c r="BE335" s="3"/>
      <c r="BJ335" s="3"/>
      <c r="BK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</row>
    <row r="336" ht="16.5" customHeight="1">
      <c r="A336" s="145">
        <v>70.0</v>
      </c>
      <c r="B336" s="145">
        <v>74.0</v>
      </c>
      <c r="C336" s="145" t="s">
        <v>219</v>
      </c>
      <c r="D336" s="146">
        <v>172.0</v>
      </c>
      <c r="E336" s="3"/>
      <c r="F336" s="3"/>
      <c r="G336" s="3"/>
      <c r="H336" s="3"/>
      <c r="I336" s="3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3"/>
      <c r="AR336" s="3"/>
      <c r="AS336" s="3"/>
      <c r="AT336" s="3"/>
      <c r="AU336" s="3"/>
      <c r="AV336" s="3"/>
      <c r="AW336" s="3"/>
      <c r="AX336" s="3"/>
      <c r="AY336" s="3"/>
      <c r="BD336" s="3"/>
      <c r="BE336" s="3"/>
      <c r="BJ336" s="3"/>
      <c r="BK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</row>
    <row r="337" ht="16.5" customHeight="1">
      <c r="A337" s="145">
        <v>75.0</v>
      </c>
      <c r="B337" s="145">
        <v>84.0</v>
      </c>
      <c r="C337" s="145" t="s">
        <v>219</v>
      </c>
      <c r="D337" s="146">
        <v>231.0</v>
      </c>
      <c r="E337" s="3"/>
      <c r="F337" s="3"/>
      <c r="G337" s="3"/>
      <c r="H337" s="3"/>
      <c r="I337" s="3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3"/>
      <c r="AR337" s="3"/>
      <c r="AS337" s="3"/>
      <c r="AT337" s="3"/>
      <c r="AU337" s="3"/>
      <c r="AV337" s="3"/>
      <c r="AW337" s="3"/>
      <c r="AX337" s="3"/>
      <c r="AY337" s="3"/>
      <c r="BD337" s="3"/>
      <c r="BE337" s="3"/>
      <c r="BJ337" s="3"/>
      <c r="BK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</row>
    <row r="338" ht="16.5" customHeight="1">
      <c r="A338" s="145">
        <v>85.0</v>
      </c>
      <c r="B338" s="145">
        <v>120.0</v>
      </c>
      <c r="C338" s="145" t="s">
        <v>219</v>
      </c>
      <c r="D338" s="146" t="s">
        <v>142</v>
      </c>
      <c r="E338" s="3"/>
      <c r="F338" s="3"/>
      <c r="G338" s="3"/>
      <c r="H338" s="3"/>
      <c r="I338" s="3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3"/>
      <c r="AR338" s="3"/>
      <c r="AS338" s="3"/>
      <c r="AT338" s="3"/>
      <c r="AU338" s="3"/>
      <c r="AV338" s="3"/>
      <c r="AW338" s="3"/>
      <c r="AX338" s="3"/>
      <c r="AY338" s="3"/>
      <c r="BD338" s="3"/>
      <c r="BE338" s="3"/>
      <c r="BJ338" s="3"/>
      <c r="BK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</row>
    <row r="339" ht="16.5" customHeight="1">
      <c r="A339" s="145">
        <v>0.0</v>
      </c>
      <c r="B339" s="145">
        <v>59.0</v>
      </c>
      <c r="C339" s="145" t="s">
        <v>220</v>
      </c>
      <c r="D339" s="146" t="s">
        <v>142</v>
      </c>
      <c r="E339" s="3"/>
      <c r="F339" s="3"/>
      <c r="G339" s="3"/>
      <c r="H339" s="3"/>
      <c r="I339" s="3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3"/>
      <c r="AR339" s="3"/>
      <c r="AS339" s="3"/>
      <c r="AT339" s="3"/>
      <c r="AU339" s="3"/>
      <c r="AV339" s="3"/>
      <c r="AW339" s="3"/>
      <c r="AX339" s="3"/>
      <c r="AY339" s="3"/>
      <c r="BD339" s="3"/>
      <c r="BE339" s="3"/>
      <c r="BJ339" s="3"/>
      <c r="BK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</row>
    <row r="340" ht="16.5" customHeight="1">
      <c r="A340" s="145">
        <v>60.0</v>
      </c>
      <c r="B340" s="145">
        <v>62.0</v>
      </c>
      <c r="C340" s="145" t="s">
        <v>220</v>
      </c>
      <c r="D340" s="146">
        <v>104.0</v>
      </c>
      <c r="E340" s="3"/>
      <c r="F340" s="3"/>
      <c r="G340" s="3"/>
      <c r="H340" s="3"/>
      <c r="I340" s="3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3"/>
      <c r="AR340" s="3"/>
      <c r="AS340" s="3"/>
      <c r="AT340" s="3"/>
      <c r="AU340" s="3"/>
      <c r="AV340" s="3"/>
      <c r="AW340" s="3"/>
      <c r="AX340" s="3"/>
      <c r="AY340" s="3"/>
      <c r="BD340" s="3"/>
      <c r="BE340" s="3"/>
      <c r="BJ340" s="3"/>
      <c r="BK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</row>
    <row r="341" ht="16.5" customHeight="1">
      <c r="A341" s="145">
        <v>63.0</v>
      </c>
      <c r="B341" s="145">
        <v>64.0</v>
      </c>
      <c r="C341" s="145" t="s">
        <v>220</v>
      </c>
      <c r="D341" s="146">
        <v>104.0</v>
      </c>
      <c r="E341" s="3"/>
      <c r="F341" s="3"/>
      <c r="G341" s="3"/>
      <c r="H341" s="3"/>
      <c r="I341" s="3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3"/>
      <c r="AR341" s="3"/>
      <c r="AS341" s="3"/>
      <c r="AT341" s="3"/>
      <c r="AU341" s="3"/>
      <c r="AV341" s="3"/>
      <c r="AW341" s="3"/>
      <c r="AX341" s="3"/>
      <c r="AY341" s="3"/>
      <c r="BD341" s="3"/>
      <c r="BE341" s="3"/>
      <c r="BJ341" s="3"/>
      <c r="BK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</row>
    <row r="342" ht="16.5" customHeight="1">
      <c r="A342" s="145">
        <v>65.0</v>
      </c>
      <c r="B342" s="145">
        <v>69.0</v>
      </c>
      <c r="C342" s="145" t="s">
        <v>220</v>
      </c>
      <c r="D342" s="146">
        <v>142.0</v>
      </c>
      <c r="E342" s="3"/>
      <c r="F342" s="3"/>
      <c r="G342" s="3"/>
      <c r="H342" s="3"/>
      <c r="I342" s="3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3"/>
      <c r="AR342" s="3"/>
      <c r="AS342" s="3"/>
      <c r="AT342" s="3"/>
      <c r="AU342" s="3"/>
      <c r="AV342" s="3"/>
      <c r="AW342" s="3"/>
      <c r="AX342" s="3"/>
      <c r="AY342" s="3"/>
      <c r="BD342" s="3"/>
      <c r="BE342" s="3"/>
      <c r="BJ342" s="3"/>
      <c r="BK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</row>
    <row r="343" ht="16.5" customHeight="1">
      <c r="A343" s="145">
        <v>70.0</v>
      </c>
      <c r="B343" s="145">
        <v>74.0</v>
      </c>
      <c r="C343" s="145" t="s">
        <v>220</v>
      </c>
      <c r="D343" s="146">
        <v>176.0</v>
      </c>
      <c r="E343" s="3"/>
      <c r="F343" s="3"/>
      <c r="G343" s="3"/>
      <c r="H343" s="3"/>
      <c r="I343" s="3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3"/>
      <c r="AR343" s="3"/>
      <c r="AS343" s="3"/>
      <c r="AT343" s="3"/>
      <c r="AU343" s="3"/>
      <c r="AV343" s="3"/>
      <c r="AW343" s="3"/>
      <c r="AX343" s="3"/>
      <c r="AY343" s="3"/>
      <c r="BD343" s="3"/>
      <c r="BE343" s="3"/>
      <c r="BJ343" s="3"/>
      <c r="BK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</row>
    <row r="344" ht="16.5" customHeight="1">
      <c r="A344" s="145">
        <v>75.0</v>
      </c>
      <c r="B344" s="145">
        <v>84.0</v>
      </c>
      <c r="C344" s="145" t="s">
        <v>220</v>
      </c>
      <c r="D344" s="146">
        <v>239.0</v>
      </c>
      <c r="E344" s="3"/>
      <c r="F344" s="3"/>
      <c r="G344" s="3"/>
      <c r="H344" s="3"/>
      <c r="I344" s="3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3"/>
      <c r="AR344" s="3"/>
      <c r="AS344" s="3"/>
      <c r="AT344" s="3"/>
      <c r="AU344" s="3"/>
      <c r="AV344" s="3"/>
      <c r="AW344" s="3"/>
      <c r="AX344" s="3"/>
      <c r="AY344" s="3"/>
      <c r="BD344" s="3"/>
      <c r="BE344" s="3"/>
      <c r="BJ344" s="3"/>
      <c r="BK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</row>
    <row r="345" ht="16.5" customHeight="1">
      <c r="A345" s="145">
        <v>85.0</v>
      </c>
      <c r="B345" s="145">
        <v>120.0</v>
      </c>
      <c r="C345" s="145" t="s">
        <v>220</v>
      </c>
      <c r="D345" s="146" t="s">
        <v>142</v>
      </c>
      <c r="E345" s="3"/>
      <c r="F345" s="3"/>
      <c r="G345" s="3"/>
      <c r="H345" s="3"/>
      <c r="I345" s="3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3"/>
      <c r="AR345" s="3"/>
      <c r="AS345" s="3"/>
      <c r="AT345" s="3"/>
      <c r="AU345" s="3"/>
      <c r="AV345" s="3"/>
      <c r="AW345" s="3"/>
      <c r="AX345" s="3"/>
      <c r="AY345" s="3"/>
      <c r="BD345" s="3"/>
      <c r="BE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</row>
    <row r="346" ht="16.5" customHeight="1">
      <c r="A346" s="145">
        <v>0.0</v>
      </c>
      <c r="B346" s="145">
        <v>59.0</v>
      </c>
      <c r="C346" s="145" t="s">
        <v>221</v>
      </c>
      <c r="D346" s="146" t="s">
        <v>142</v>
      </c>
      <c r="E346" s="3"/>
      <c r="F346" s="3"/>
      <c r="G346" s="3"/>
      <c r="H346" s="3"/>
      <c r="I346" s="3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3"/>
      <c r="AR346" s="3"/>
      <c r="AS346" s="3"/>
      <c r="AT346" s="3"/>
      <c r="AU346" s="3"/>
      <c r="AV346" s="3"/>
      <c r="AW346" s="3"/>
      <c r="AX346" s="3"/>
      <c r="AY346" s="3"/>
      <c r="BD346" s="3"/>
      <c r="BE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</row>
    <row r="347" ht="16.5" customHeight="1">
      <c r="A347" s="145">
        <v>60.0</v>
      </c>
      <c r="B347" s="145">
        <v>62.0</v>
      </c>
      <c r="C347" s="145" t="s">
        <v>221</v>
      </c>
      <c r="D347" s="146">
        <v>105.0</v>
      </c>
      <c r="E347" s="3"/>
      <c r="F347" s="3"/>
      <c r="G347" s="3"/>
      <c r="H347" s="3"/>
      <c r="I347" s="3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3"/>
      <c r="AR347" s="3"/>
      <c r="AS347" s="3"/>
      <c r="AT347" s="3"/>
      <c r="AU347" s="3"/>
      <c r="AV347" s="3"/>
      <c r="AW347" s="3"/>
      <c r="AX347" s="3"/>
      <c r="AY347" s="3"/>
      <c r="BD347" s="3"/>
      <c r="BE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</row>
    <row r="348" ht="16.5" customHeight="1">
      <c r="A348" s="145">
        <v>63.0</v>
      </c>
      <c r="B348" s="145">
        <v>64.0</v>
      </c>
      <c r="C348" s="145" t="s">
        <v>221</v>
      </c>
      <c r="D348" s="146">
        <v>105.0</v>
      </c>
      <c r="E348" s="3"/>
      <c r="F348" s="3"/>
      <c r="G348" s="3"/>
      <c r="H348" s="3"/>
      <c r="I348" s="3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3"/>
      <c r="AR348" s="3"/>
      <c r="AS348" s="3"/>
      <c r="AT348" s="3"/>
      <c r="AU348" s="3"/>
      <c r="AV348" s="3"/>
      <c r="AW348" s="3"/>
      <c r="AX348" s="3"/>
      <c r="AY348" s="3"/>
      <c r="BD348" s="3"/>
      <c r="BE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</row>
    <row r="349" ht="16.5" customHeight="1">
      <c r="A349" s="145">
        <v>65.0</v>
      </c>
      <c r="B349" s="145">
        <v>69.0</v>
      </c>
      <c r="C349" s="145" t="s">
        <v>221</v>
      </c>
      <c r="D349" s="146">
        <v>144.0</v>
      </c>
      <c r="E349" s="3"/>
      <c r="F349" s="3"/>
      <c r="G349" s="3"/>
      <c r="H349" s="3"/>
      <c r="I349" s="3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3"/>
      <c r="AR349" s="3"/>
      <c r="AS349" s="3"/>
      <c r="AT349" s="3"/>
      <c r="AU349" s="3"/>
      <c r="AV349" s="3"/>
      <c r="AW349" s="3"/>
      <c r="AX349" s="3"/>
      <c r="AY349" s="3"/>
      <c r="BD349" s="3"/>
      <c r="BE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</row>
    <row r="350" ht="16.5" customHeight="1">
      <c r="A350" s="145">
        <v>70.0</v>
      </c>
      <c r="B350" s="145">
        <v>74.0</v>
      </c>
      <c r="C350" s="145" t="s">
        <v>221</v>
      </c>
      <c r="D350" s="146">
        <v>180.0</v>
      </c>
      <c r="E350" s="3"/>
      <c r="F350" s="3"/>
      <c r="G350" s="3"/>
      <c r="H350" s="3"/>
      <c r="I350" s="3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3"/>
      <c r="AR350" s="3"/>
      <c r="AS350" s="3"/>
      <c r="AT350" s="3"/>
      <c r="AU350" s="3"/>
      <c r="AV350" s="3"/>
      <c r="AW350" s="3"/>
      <c r="AX350" s="3"/>
      <c r="AY350" s="3"/>
      <c r="BD350" s="3"/>
      <c r="BE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</row>
    <row r="351" ht="16.5" customHeight="1">
      <c r="A351" s="145">
        <v>75.0</v>
      </c>
      <c r="B351" s="145">
        <v>84.0</v>
      </c>
      <c r="C351" s="145" t="s">
        <v>221</v>
      </c>
      <c r="D351" s="146">
        <v>245.0</v>
      </c>
      <c r="E351" s="3"/>
      <c r="F351" s="3"/>
      <c r="G351" s="3"/>
      <c r="H351" s="3"/>
      <c r="I351" s="3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3"/>
      <c r="AR351" s="3"/>
      <c r="AS351" s="3"/>
      <c r="AT351" s="3"/>
      <c r="AU351" s="3"/>
      <c r="AV351" s="3"/>
      <c r="AW351" s="3"/>
      <c r="AX351" s="3"/>
      <c r="AY351" s="3"/>
      <c r="BD351" s="3"/>
      <c r="BE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</row>
    <row r="352" ht="16.5" customHeight="1">
      <c r="A352" s="145">
        <v>85.0</v>
      </c>
      <c r="B352" s="145">
        <v>120.0</v>
      </c>
      <c r="C352" s="145" t="s">
        <v>221</v>
      </c>
      <c r="D352" s="146" t="s">
        <v>142</v>
      </c>
      <c r="E352" s="3"/>
      <c r="F352" s="3"/>
      <c r="G352" s="3"/>
      <c r="H352" s="3"/>
      <c r="I352" s="3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3"/>
      <c r="AR352" s="3"/>
      <c r="AS352" s="3"/>
      <c r="AT352" s="3"/>
      <c r="AU352" s="3"/>
      <c r="AV352" s="3"/>
      <c r="AW352" s="3"/>
      <c r="AX352" s="3"/>
      <c r="AY352" s="3"/>
      <c r="BD352" s="3"/>
      <c r="BE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</row>
    <row r="353" ht="16.5" customHeight="1">
      <c r="A353" s="145">
        <v>0.0</v>
      </c>
      <c r="B353" s="145">
        <v>59.0</v>
      </c>
      <c r="C353" s="145" t="s">
        <v>222</v>
      </c>
      <c r="D353" s="146" t="s">
        <v>142</v>
      </c>
      <c r="E353" s="3"/>
      <c r="F353" s="3"/>
      <c r="G353" s="3"/>
      <c r="H353" s="3"/>
      <c r="I353" s="3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3"/>
      <c r="AR353" s="3"/>
      <c r="AS353" s="3"/>
      <c r="AT353" s="3"/>
      <c r="AU353" s="3"/>
      <c r="AV353" s="3"/>
      <c r="AW353" s="3"/>
      <c r="AX353" s="3"/>
      <c r="AY353" s="3"/>
      <c r="BD353" s="3"/>
      <c r="BE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</row>
    <row r="354" ht="16.5" customHeight="1">
      <c r="A354" s="145">
        <v>60.0</v>
      </c>
      <c r="B354" s="145">
        <v>62.0</v>
      </c>
      <c r="C354" s="145" t="s">
        <v>222</v>
      </c>
      <c r="D354" s="146">
        <v>110.0</v>
      </c>
      <c r="E354" s="3"/>
      <c r="F354" s="3"/>
      <c r="G354" s="3"/>
      <c r="H354" s="3"/>
      <c r="I354" s="3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3"/>
      <c r="AR354" s="3"/>
      <c r="AS354" s="3"/>
      <c r="AT354" s="3"/>
      <c r="AU354" s="3"/>
      <c r="AV354" s="3"/>
      <c r="AW354" s="3"/>
      <c r="AX354" s="3"/>
      <c r="AY354" s="3"/>
      <c r="BD354" s="3"/>
      <c r="BE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</row>
    <row r="355" ht="16.5" customHeight="1">
      <c r="A355" s="145">
        <v>63.0</v>
      </c>
      <c r="B355" s="145">
        <v>64.0</v>
      </c>
      <c r="C355" s="145" t="s">
        <v>222</v>
      </c>
      <c r="D355" s="146">
        <v>110.0</v>
      </c>
      <c r="E355" s="3"/>
      <c r="F355" s="3"/>
      <c r="G355" s="3"/>
      <c r="H355" s="3"/>
      <c r="I355" s="3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3"/>
      <c r="AR355" s="3"/>
      <c r="AS355" s="3"/>
      <c r="AT355" s="3"/>
      <c r="AU355" s="3"/>
      <c r="AV355" s="3"/>
      <c r="AW355" s="3"/>
      <c r="AX355" s="3"/>
      <c r="AY355" s="3"/>
      <c r="BD355" s="3"/>
      <c r="BE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</row>
    <row r="356" ht="16.5" customHeight="1">
      <c r="A356" s="145">
        <v>65.0</v>
      </c>
      <c r="B356" s="145">
        <v>69.0</v>
      </c>
      <c r="C356" s="145" t="s">
        <v>222</v>
      </c>
      <c r="D356" s="146">
        <v>145.0</v>
      </c>
      <c r="E356" s="3"/>
      <c r="F356" s="3"/>
      <c r="G356" s="3"/>
      <c r="H356" s="3"/>
      <c r="I356" s="3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3"/>
      <c r="AR356" s="3"/>
      <c r="AS356" s="3"/>
      <c r="AT356" s="3"/>
      <c r="AU356" s="3"/>
      <c r="AV356" s="3"/>
      <c r="AW356" s="3"/>
      <c r="AX356" s="3"/>
      <c r="AY356" s="3"/>
      <c r="BD356" s="3"/>
      <c r="BE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</row>
    <row r="357" ht="16.5" customHeight="1">
      <c r="A357" s="145">
        <v>70.0</v>
      </c>
      <c r="B357" s="145">
        <v>74.0</v>
      </c>
      <c r="C357" s="145" t="s">
        <v>222</v>
      </c>
      <c r="D357" s="146">
        <v>184.0</v>
      </c>
      <c r="E357" s="3"/>
      <c r="F357" s="3"/>
      <c r="G357" s="3"/>
      <c r="H357" s="3"/>
      <c r="I357" s="3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3"/>
      <c r="AR357" s="3"/>
      <c r="AS357" s="3"/>
      <c r="AT357" s="3"/>
      <c r="AU357" s="3"/>
      <c r="AV357" s="3"/>
      <c r="AW357" s="3"/>
      <c r="AX357" s="3"/>
      <c r="AY357" s="3"/>
      <c r="BD357" s="3"/>
      <c r="BE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</row>
    <row r="358" ht="16.5" customHeight="1">
      <c r="A358" s="145">
        <v>75.0</v>
      </c>
      <c r="B358" s="145">
        <v>84.0</v>
      </c>
      <c r="C358" s="145" t="s">
        <v>222</v>
      </c>
      <c r="D358" s="146">
        <v>252.0</v>
      </c>
      <c r="E358" s="3"/>
      <c r="F358" s="3"/>
      <c r="G358" s="3"/>
      <c r="H358" s="3"/>
      <c r="I358" s="3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3"/>
      <c r="AR358" s="3"/>
      <c r="AS358" s="3"/>
      <c r="AT358" s="3"/>
      <c r="AU358" s="3"/>
      <c r="AV358" s="3"/>
      <c r="AW358" s="3"/>
      <c r="AX358" s="3"/>
      <c r="AY358" s="3"/>
      <c r="BD358" s="3"/>
      <c r="BE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</row>
    <row r="359" ht="16.5" customHeight="1">
      <c r="A359" s="145">
        <v>85.0</v>
      </c>
      <c r="B359" s="145">
        <v>120.0</v>
      </c>
      <c r="C359" s="145" t="s">
        <v>222</v>
      </c>
      <c r="D359" s="146" t="s">
        <v>142</v>
      </c>
      <c r="E359" s="3"/>
      <c r="F359" s="3"/>
      <c r="G359" s="3"/>
      <c r="H359" s="3"/>
      <c r="I359" s="3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3"/>
      <c r="AR359" s="3"/>
      <c r="AS359" s="3"/>
      <c r="AT359" s="3"/>
      <c r="AU359" s="3"/>
      <c r="AV359" s="3"/>
      <c r="AW359" s="3"/>
      <c r="AX359" s="3"/>
      <c r="AY359" s="3"/>
      <c r="BD359" s="3"/>
      <c r="BE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</row>
    <row r="360" ht="16.5" customHeight="1">
      <c r="A360" s="145">
        <v>0.0</v>
      </c>
      <c r="B360" s="145">
        <v>59.0</v>
      </c>
      <c r="C360" s="145" t="s">
        <v>223</v>
      </c>
      <c r="D360" s="146" t="s">
        <v>142</v>
      </c>
      <c r="E360" s="3"/>
      <c r="F360" s="3"/>
      <c r="G360" s="3"/>
      <c r="H360" s="3"/>
      <c r="I360" s="3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3"/>
      <c r="AR360" s="3"/>
      <c r="AS360" s="3"/>
      <c r="AT360" s="3"/>
      <c r="AU360" s="3"/>
      <c r="AV360" s="3"/>
      <c r="AW360" s="3"/>
      <c r="AX360" s="3"/>
      <c r="AY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</row>
    <row r="361" ht="16.5" customHeight="1">
      <c r="A361" s="145">
        <v>60.0</v>
      </c>
      <c r="B361" s="145">
        <v>62.0</v>
      </c>
      <c r="C361" s="145" t="s">
        <v>223</v>
      </c>
      <c r="D361" s="146">
        <v>113.0</v>
      </c>
      <c r="E361" s="3"/>
      <c r="F361" s="3"/>
      <c r="G361" s="3"/>
      <c r="H361" s="3"/>
      <c r="I361" s="3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3"/>
      <c r="AR361" s="3"/>
      <c r="AS361" s="3"/>
      <c r="AT361" s="3"/>
      <c r="AU361" s="3"/>
      <c r="AV361" s="3"/>
      <c r="AW361" s="3"/>
      <c r="AX361" s="3"/>
      <c r="AY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</row>
    <row r="362" ht="16.5" customHeight="1">
      <c r="A362" s="145">
        <v>63.0</v>
      </c>
      <c r="B362" s="145">
        <v>64.0</v>
      </c>
      <c r="C362" s="145" t="s">
        <v>223</v>
      </c>
      <c r="D362" s="146">
        <v>113.0</v>
      </c>
      <c r="E362" s="3"/>
      <c r="F362" s="3"/>
      <c r="G362" s="3"/>
      <c r="H362" s="3"/>
      <c r="I362" s="3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3"/>
      <c r="AR362" s="3"/>
      <c r="AS362" s="3"/>
      <c r="AT362" s="3"/>
      <c r="AU362" s="3"/>
      <c r="AV362" s="3"/>
      <c r="AW362" s="3"/>
      <c r="AX362" s="3"/>
      <c r="AY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</row>
    <row r="363" ht="16.5" customHeight="1">
      <c r="A363" s="145">
        <v>65.0</v>
      </c>
      <c r="B363" s="145">
        <v>69.0</v>
      </c>
      <c r="C363" s="145" t="s">
        <v>223</v>
      </c>
      <c r="D363" s="146">
        <v>151.5</v>
      </c>
      <c r="E363" s="3"/>
      <c r="F363" s="3"/>
      <c r="G363" s="3"/>
      <c r="H363" s="3"/>
      <c r="I363" s="3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3"/>
      <c r="AR363" s="3"/>
      <c r="AS363" s="3"/>
      <c r="AT363" s="3"/>
      <c r="AU363" s="3"/>
      <c r="AV363" s="3"/>
      <c r="AW363" s="3"/>
      <c r="AX363" s="3"/>
      <c r="AY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</row>
    <row r="364" ht="16.5" customHeight="1">
      <c r="A364" s="145">
        <v>70.0</v>
      </c>
      <c r="B364" s="145">
        <v>74.0</v>
      </c>
      <c r="C364" s="145" t="s">
        <v>223</v>
      </c>
      <c r="D364" s="146">
        <v>190.0</v>
      </c>
      <c r="E364" s="3"/>
      <c r="F364" s="3"/>
      <c r="G364" s="3"/>
      <c r="H364" s="3"/>
      <c r="I364" s="3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3"/>
      <c r="AR364" s="3"/>
      <c r="AS364" s="3"/>
      <c r="AT364" s="3"/>
      <c r="AU364" s="3"/>
      <c r="AV364" s="3"/>
      <c r="AW364" s="3"/>
      <c r="AX364" s="3"/>
      <c r="AY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</row>
    <row r="365" ht="16.5" customHeight="1">
      <c r="A365" s="145">
        <v>75.0</v>
      </c>
      <c r="B365" s="145">
        <v>84.0</v>
      </c>
      <c r="C365" s="145" t="s">
        <v>223</v>
      </c>
      <c r="D365" s="146">
        <v>254.0</v>
      </c>
      <c r="E365" s="3"/>
      <c r="F365" s="3"/>
      <c r="G365" s="3"/>
      <c r="H365" s="3"/>
      <c r="I365" s="3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3"/>
      <c r="AR365" s="3"/>
      <c r="AS365" s="3"/>
      <c r="AT365" s="3"/>
      <c r="AU365" s="3"/>
      <c r="AV365" s="3"/>
      <c r="AW365" s="3"/>
      <c r="AX365" s="3"/>
      <c r="AY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</row>
    <row r="366" ht="16.5" customHeight="1">
      <c r="A366" s="145">
        <v>85.0</v>
      </c>
      <c r="B366" s="145">
        <v>120.0</v>
      </c>
      <c r="C366" s="145" t="s">
        <v>223</v>
      </c>
      <c r="D366" s="146" t="s">
        <v>142</v>
      </c>
      <c r="E366" s="3"/>
      <c r="F366" s="3"/>
      <c r="G366" s="3"/>
      <c r="H366" s="3"/>
      <c r="I366" s="3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3"/>
      <c r="AR366" s="3"/>
      <c r="AS366" s="3"/>
      <c r="AT366" s="3"/>
      <c r="AU366" s="3"/>
      <c r="AV366" s="3"/>
      <c r="AW366" s="3"/>
      <c r="AX366" s="3"/>
      <c r="AY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</row>
    <row r="367" ht="16.5" customHeight="1">
      <c r="A367" s="145">
        <v>0.0</v>
      </c>
      <c r="B367" s="145">
        <v>59.0</v>
      </c>
      <c r="C367" s="145" t="s">
        <v>224</v>
      </c>
      <c r="D367" s="146" t="s">
        <v>142</v>
      </c>
      <c r="E367" s="3"/>
      <c r="F367" s="3"/>
      <c r="G367" s="3"/>
      <c r="H367" s="3"/>
      <c r="I367" s="3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3"/>
      <c r="AR367" s="3"/>
      <c r="AS367" s="3"/>
      <c r="AT367" s="3"/>
      <c r="AU367" s="3"/>
      <c r="AV367" s="3"/>
      <c r="AW367" s="3"/>
      <c r="AX367" s="3"/>
      <c r="AY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</row>
    <row r="368" ht="16.5" customHeight="1">
      <c r="A368" s="145">
        <v>60.0</v>
      </c>
      <c r="B368" s="145">
        <v>62.0</v>
      </c>
      <c r="C368" s="145" t="s">
        <v>224</v>
      </c>
      <c r="D368" s="146">
        <v>116.0</v>
      </c>
      <c r="E368" s="3"/>
      <c r="F368" s="3"/>
      <c r="G368" s="3"/>
      <c r="H368" s="3"/>
      <c r="I368" s="3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3"/>
      <c r="AR368" s="3"/>
      <c r="AS368" s="3"/>
      <c r="AT368" s="3"/>
      <c r="AU368" s="3"/>
      <c r="AV368" s="3"/>
      <c r="AW368" s="3"/>
      <c r="AX368" s="3"/>
      <c r="AY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</row>
    <row r="369" ht="16.5" customHeight="1">
      <c r="A369" s="145">
        <v>63.0</v>
      </c>
      <c r="B369" s="145">
        <v>64.0</v>
      </c>
      <c r="C369" s="145" t="s">
        <v>224</v>
      </c>
      <c r="D369" s="146">
        <v>116.0</v>
      </c>
      <c r="E369" s="3"/>
      <c r="F369" s="3"/>
      <c r="G369" s="3"/>
      <c r="H369" s="3"/>
      <c r="I369" s="3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3"/>
      <c r="AR369" s="3"/>
      <c r="AS369" s="3"/>
      <c r="AT369" s="3"/>
      <c r="AU369" s="3"/>
      <c r="AV369" s="3"/>
      <c r="AW369" s="3"/>
      <c r="AX369" s="3"/>
      <c r="AY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</row>
    <row r="370" ht="16.5" customHeight="1">
      <c r="A370" s="145">
        <v>65.0</v>
      </c>
      <c r="B370" s="145">
        <v>69.0</v>
      </c>
      <c r="C370" s="145" t="s">
        <v>224</v>
      </c>
      <c r="D370" s="146">
        <v>155.0</v>
      </c>
      <c r="E370" s="3"/>
      <c r="F370" s="3"/>
      <c r="G370" s="3"/>
      <c r="H370" s="3"/>
      <c r="I370" s="3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3"/>
      <c r="AR370" s="3"/>
      <c r="AS370" s="3"/>
      <c r="AT370" s="3"/>
      <c r="AU370" s="3"/>
      <c r="AV370" s="3"/>
      <c r="AW370" s="3"/>
      <c r="AX370" s="3"/>
      <c r="AY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</row>
    <row r="371" ht="16.5" customHeight="1">
      <c r="A371" s="145">
        <v>70.0</v>
      </c>
      <c r="B371" s="145">
        <v>74.0</v>
      </c>
      <c r="C371" s="145" t="s">
        <v>224</v>
      </c>
      <c r="D371" s="146">
        <v>195.0</v>
      </c>
      <c r="E371" s="3"/>
      <c r="F371" s="3"/>
      <c r="G371" s="3"/>
      <c r="H371" s="3"/>
      <c r="I371" s="3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3"/>
      <c r="AR371" s="3"/>
      <c r="AS371" s="3"/>
      <c r="AT371" s="3"/>
      <c r="AU371" s="3"/>
      <c r="AV371" s="3"/>
      <c r="AW371" s="3"/>
      <c r="AX371" s="3"/>
      <c r="AY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</row>
    <row r="372" ht="16.5" customHeight="1">
      <c r="A372" s="145">
        <v>75.0</v>
      </c>
      <c r="B372" s="145">
        <v>84.0</v>
      </c>
      <c r="C372" s="145" t="s">
        <v>224</v>
      </c>
      <c r="D372" s="146">
        <v>259.0</v>
      </c>
      <c r="E372" s="3"/>
      <c r="F372" s="3"/>
      <c r="G372" s="3"/>
      <c r="H372" s="3"/>
      <c r="I372" s="3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3"/>
      <c r="AR372" s="3"/>
      <c r="AS372" s="3"/>
      <c r="AT372" s="3"/>
      <c r="AU372" s="3"/>
      <c r="AV372" s="3"/>
      <c r="AW372" s="3"/>
      <c r="AX372" s="3"/>
      <c r="AY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</row>
    <row r="373" ht="16.5" customHeight="1">
      <c r="A373" s="145">
        <v>85.0</v>
      </c>
      <c r="B373" s="145">
        <v>120.0</v>
      </c>
      <c r="C373" s="145" t="s">
        <v>224</v>
      </c>
      <c r="D373" s="146" t="s">
        <v>142</v>
      </c>
      <c r="E373" s="3"/>
      <c r="F373" s="3"/>
      <c r="G373" s="3"/>
      <c r="H373" s="3"/>
      <c r="I373" s="3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3"/>
      <c r="AR373" s="3"/>
      <c r="AS373" s="3"/>
      <c r="AT373" s="3"/>
      <c r="AU373" s="3"/>
      <c r="AV373" s="3"/>
      <c r="AW373" s="3"/>
      <c r="AX373" s="3"/>
      <c r="AY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</row>
    <row r="374" ht="16.5" customHeight="1">
      <c r="A374" s="145">
        <v>0.0</v>
      </c>
      <c r="B374" s="145">
        <v>44.0</v>
      </c>
      <c r="C374" s="145" t="s">
        <v>225</v>
      </c>
      <c r="D374" s="146">
        <v>60.0</v>
      </c>
      <c r="E374" s="3"/>
      <c r="F374" s="3"/>
      <c r="G374" s="3"/>
      <c r="H374" s="3"/>
      <c r="I374" s="3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3"/>
      <c r="AR374" s="3"/>
      <c r="AS374" s="3"/>
      <c r="AT374" s="3"/>
      <c r="AU374" s="3"/>
      <c r="AV374" s="3"/>
      <c r="AW374" s="3"/>
      <c r="AX374" s="3"/>
      <c r="AY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</row>
    <row r="375" ht="16.5" customHeight="1">
      <c r="A375" s="145">
        <v>45.0</v>
      </c>
      <c r="B375" s="145">
        <v>54.0</v>
      </c>
      <c r="C375" s="145" t="s">
        <v>225</v>
      </c>
      <c r="D375" s="146">
        <v>72.0</v>
      </c>
      <c r="E375" s="3"/>
      <c r="F375" s="3"/>
      <c r="G375" s="3"/>
      <c r="H375" s="3"/>
      <c r="I375" s="3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3"/>
      <c r="AR375" s="3"/>
      <c r="AS375" s="3"/>
      <c r="AT375" s="3"/>
      <c r="AU375" s="3"/>
      <c r="AV375" s="3"/>
      <c r="AW375" s="3"/>
      <c r="AX375" s="3"/>
      <c r="AY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</row>
    <row r="376" ht="16.5" customHeight="1">
      <c r="A376" s="145">
        <v>55.0</v>
      </c>
      <c r="B376" s="145">
        <v>59.0</v>
      </c>
      <c r="C376" s="145" t="s">
        <v>225</v>
      </c>
      <c r="D376" s="146">
        <v>89.0</v>
      </c>
      <c r="E376" s="3"/>
      <c r="F376" s="3"/>
      <c r="G376" s="3"/>
      <c r="H376" s="3"/>
      <c r="I376" s="3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3"/>
      <c r="AR376" s="3"/>
      <c r="AS376" s="3"/>
      <c r="AT376" s="3"/>
      <c r="AU376" s="3"/>
      <c r="AV376" s="3"/>
      <c r="AW376" s="3"/>
      <c r="AX376" s="3"/>
      <c r="AY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</row>
    <row r="377" ht="16.5" customHeight="1">
      <c r="A377" s="145">
        <v>60.0</v>
      </c>
      <c r="B377" s="145">
        <v>67.0</v>
      </c>
      <c r="C377" s="145" t="s">
        <v>225</v>
      </c>
      <c r="D377" s="146">
        <v>125.0</v>
      </c>
      <c r="E377" s="3"/>
      <c r="F377" s="3"/>
      <c r="G377" s="3"/>
      <c r="H377" s="3"/>
      <c r="I377" s="3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3"/>
      <c r="AR377" s="3"/>
      <c r="AS377" s="3"/>
      <c r="AT377" s="3"/>
      <c r="AU377" s="3"/>
      <c r="AV377" s="3"/>
      <c r="AW377" s="3"/>
      <c r="AX377" s="3"/>
      <c r="AY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</row>
    <row r="378" ht="16.5" customHeight="1">
      <c r="A378" s="145">
        <v>68.0</v>
      </c>
      <c r="B378" s="145">
        <v>120.0</v>
      </c>
      <c r="C378" s="145" t="s">
        <v>225</v>
      </c>
      <c r="D378" s="146">
        <v>189.0</v>
      </c>
      <c r="E378" s="3"/>
      <c r="F378" s="3"/>
      <c r="G378" s="3"/>
      <c r="H378" s="3"/>
      <c r="I378" s="3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3"/>
      <c r="AR378" s="3"/>
      <c r="AS378" s="3"/>
      <c r="AT378" s="3"/>
      <c r="AU378" s="3"/>
      <c r="AV378" s="3"/>
      <c r="AW378" s="3"/>
      <c r="AX378" s="3"/>
      <c r="AY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</row>
    <row r="379" ht="16.5" customHeight="1">
      <c r="A379" s="145">
        <v>0.0</v>
      </c>
      <c r="B379" s="145">
        <v>44.0</v>
      </c>
      <c r="C379" s="145" t="s">
        <v>226</v>
      </c>
      <c r="D379" s="146">
        <v>62.0</v>
      </c>
      <c r="E379" s="3"/>
      <c r="F379" s="3"/>
      <c r="G379" s="3"/>
      <c r="H379" s="3"/>
      <c r="I379" s="3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3"/>
      <c r="AR379" s="3"/>
      <c r="AS379" s="3"/>
      <c r="AT379" s="3"/>
      <c r="AU379" s="3"/>
      <c r="AV379" s="3"/>
      <c r="AW379" s="3"/>
      <c r="AX379" s="3"/>
      <c r="AY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</row>
    <row r="380" ht="16.5" customHeight="1">
      <c r="A380" s="145">
        <v>45.0</v>
      </c>
      <c r="B380" s="145">
        <v>54.0</v>
      </c>
      <c r="C380" s="145" t="s">
        <v>226</v>
      </c>
      <c r="D380" s="146">
        <v>73.0</v>
      </c>
      <c r="E380" s="3"/>
      <c r="F380" s="3"/>
      <c r="G380" s="3"/>
      <c r="H380" s="3"/>
      <c r="I380" s="3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3"/>
      <c r="AR380" s="3"/>
      <c r="AS380" s="3"/>
      <c r="AT380" s="3"/>
      <c r="AU380" s="3"/>
      <c r="AV380" s="3"/>
      <c r="AW380" s="3"/>
      <c r="AX380" s="3"/>
      <c r="AY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</row>
    <row r="381" ht="16.5" customHeight="1">
      <c r="A381" s="145">
        <v>55.0</v>
      </c>
      <c r="B381" s="145">
        <v>59.0</v>
      </c>
      <c r="C381" s="145" t="s">
        <v>226</v>
      </c>
      <c r="D381" s="146">
        <v>95.0</v>
      </c>
      <c r="E381" s="3"/>
      <c r="F381" s="3"/>
      <c r="G381" s="3"/>
      <c r="H381" s="3"/>
      <c r="I381" s="3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3"/>
      <c r="AR381" s="3"/>
      <c r="AS381" s="3"/>
      <c r="AT381" s="3"/>
      <c r="AU381" s="3"/>
      <c r="AV381" s="3"/>
      <c r="AW381" s="3"/>
      <c r="AX381" s="3"/>
      <c r="AY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</row>
    <row r="382" ht="16.5" customHeight="1">
      <c r="A382" s="145">
        <v>60.0</v>
      </c>
      <c r="B382" s="145">
        <v>67.0</v>
      </c>
      <c r="C382" s="145" t="s">
        <v>226</v>
      </c>
      <c r="D382" s="146">
        <v>129.0</v>
      </c>
      <c r="E382" s="3"/>
      <c r="F382" s="3"/>
      <c r="G382" s="3"/>
      <c r="H382" s="3"/>
      <c r="I382" s="3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3"/>
      <c r="AR382" s="3"/>
      <c r="AS382" s="3"/>
      <c r="AT382" s="3"/>
      <c r="AU382" s="3"/>
      <c r="AV382" s="3"/>
      <c r="AW382" s="3"/>
      <c r="AX382" s="3"/>
      <c r="AY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</row>
    <row r="383" ht="16.5" customHeight="1">
      <c r="A383" s="145">
        <v>68.0</v>
      </c>
      <c r="B383" s="145">
        <v>120.0</v>
      </c>
      <c r="C383" s="145" t="s">
        <v>226</v>
      </c>
      <c r="D383" s="146">
        <v>199.0</v>
      </c>
      <c r="E383" s="3"/>
      <c r="F383" s="3"/>
      <c r="G383" s="3"/>
      <c r="H383" s="3"/>
      <c r="I383" s="3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3"/>
      <c r="AR383" s="3"/>
      <c r="AS383" s="3"/>
      <c r="AT383" s="3"/>
      <c r="AU383" s="3"/>
      <c r="AV383" s="3"/>
      <c r="AW383" s="3"/>
      <c r="AX383" s="3"/>
      <c r="AY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</row>
    <row r="384" ht="16.5" customHeight="1">
      <c r="A384" s="145">
        <v>0.0</v>
      </c>
      <c r="B384" s="145">
        <v>44.0</v>
      </c>
      <c r="C384" s="145" t="s">
        <v>227</v>
      </c>
      <c r="D384" s="146">
        <v>63.0</v>
      </c>
      <c r="E384" s="3"/>
      <c r="F384" s="3"/>
      <c r="G384" s="3"/>
      <c r="H384" s="3"/>
      <c r="I384" s="3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3"/>
      <c r="AR384" s="3"/>
      <c r="AS384" s="3"/>
      <c r="AT384" s="3"/>
      <c r="AU384" s="3"/>
      <c r="AV384" s="3"/>
      <c r="AW384" s="3"/>
      <c r="AX384" s="3"/>
      <c r="AY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</row>
    <row r="385" ht="16.5" customHeight="1">
      <c r="A385" s="145">
        <v>45.0</v>
      </c>
      <c r="B385" s="145">
        <v>54.0</v>
      </c>
      <c r="C385" s="145" t="s">
        <v>227</v>
      </c>
      <c r="D385" s="146">
        <v>75.0</v>
      </c>
      <c r="E385" s="3"/>
      <c r="F385" s="3"/>
      <c r="G385" s="3"/>
      <c r="H385" s="3"/>
      <c r="I385" s="3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3"/>
      <c r="AR385" s="3"/>
      <c r="AS385" s="3"/>
      <c r="AT385" s="3"/>
      <c r="AU385" s="3"/>
      <c r="AV385" s="3"/>
      <c r="AW385" s="3"/>
      <c r="AX385" s="3"/>
      <c r="AY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</row>
    <row r="386" ht="16.5" customHeight="1">
      <c r="A386" s="145">
        <v>55.0</v>
      </c>
      <c r="B386" s="145">
        <v>59.0</v>
      </c>
      <c r="C386" s="145" t="s">
        <v>227</v>
      </c>
      <c r="D386" s="146">
        <v>98.0</v>
      </c>
      <c r="E386" s="3"/>
      <c r="F386" s="3"/>
      <c r="G386" s="3"/>
      <c r="H386" s="3"/>
      <c r="I386" s="3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</row>
    <row r="387" ht="16.5" customHeight="1">
      <c r="A387" s="145">
        <v>60.0</v>
      </c>
      <c r="B387" s="145">
        <v>67.0</v>
      </c>
      <c r="C387" s="145" t="s">
        <v>227</v>
      </c>
      <c r="D387" s="146">
        <v>135.0</v>
      </c>
      <c r="E387" s="3"/>
      <c r="F387" s="3"/>
      <c r="G387" s="3"/>
      <c r="H387" s="3"/>
      <c r="I387" s="3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</row>
    <row r="388" ht="16.5" customHeight="1">
      <c r="A388" s="145">
        <v>68.0</v>
      </c>
      <c r="B388" s="145">
        <v>120.0</v>
      </c>
      <c r="C388" s="145" t="s">
        <v>227</v>
      </c>
      <c r="D388" s="146">
        <v>205.0</v>
      </c>
      <c r="E388" s="3"/>
      <c r="F388" s="3"/>
      <c r="G388" s="3"/>
      <c r="H388" s="3"/>
      <c r="I388" s="3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</row>
    <row r="389" ht="16.5" customHeight="1">
      <c r="A389" s="145">
        <v>0.0</v>
      </c>
      <c r="B389" s="145">
        <v>44.0</v>
      </c>
      <c r="C389" s="145" t="s">
        <v>228</v>
      </c>
      <c r="D389" s="146">
        <v>65.0</v>
      </c>
      <c r="E389" s="3"/>
      <c r="F389" s="3"/>
      <c r="G389" s="3"/>
      <c r="H389" s="3"/>
      <c r="I389" s="3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</row>
    <row r="390" ht="16.5" customHeight="1">
      <c r="A390" s="145">
        <v>45.0</v>
      </c>
      <c r="B390" s="145">
        <v>54.0</v>
      </c>
      <c r="C390" s="145" t="s">
        <v>228</v>
      </c>
      <c r="D390" s="146">
        <v>76.0</v>
      </c>
      <c r="E390" s="3"/>
      <c r="F390" s="3"/>
      <c r="G390" s="3"/>
      <c r="H390" s="3"/>
      <c r="I390" s="3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</row>
    <row r="391" ht="16.5" customHeight="1">
      <c r="A391" s="145">
        <v>55.0</v>
      </c>
      <c r="B391" s="145">
        <v>59.0</v>
      </c>
      <c r="C391" s="145" t="s">
        <v>228</v>
      </c>
      <c r="D391" s="146">
        <v>99.0</v>
      </c>
      <c r="E391" s="3"/>
      <c r="F391" s="3"/>
      <c r="G391" s="3"/>
      <c r="H391" s="3"/>
      <c r="I391" s="3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</row>
    <row r="392" ht="16.5" customHeight="1">
      <c r="A392" s="145">
        <v>60.0</v>
      </c>
      <c r="B392" s="145">
        <v>67.0</v>
      </c>
      <c r="C392" s="145" t="s">
        <v>228</v>
      </c>
      <c r="D392" s="146">
        <v>139.0</v>
      </c>
      <c r="E392" s="3"/>
      <c r="F392" s="3"/>
      <c r="G392" s="3"/>
      <c r="H392" s="3"/>
      <c r="I392" s="3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</row>
    <row r="393" ht="16.5" customHeight="1">
      <c r="A393" s="145">
        <v>68.0</v>
      </c>
      <c r="B393" s="145">
        <v>120.0</v>
      </c>
      <c r="C393" s="145" t="s">
        <v>228</v>
      </c>
      <c r="D393" s="146">
        <v>209.0</v>
      </c>
      <c r="E393" s="3"/>
      <c r="F393" s="3"/>
      <c r="G393" s="3"/>
      <c r="H393" s="3"/>
      <c r="I393" s="3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</row>
    <row r="394" ht="16.5" customHeight="1">
      <c r="A394" s="145">
        <v>0.0</v>
      </c>
      <c r="B394" s="145">
        <v>44.0</v>
      </c>
      <c r="C394" s="145" t="s">
        <v>229</v>
      </c>
      <c r="D394" s="169">
        <v>66.0</v>
      </c>
      <c r="E394" s="3"/>
      <c r="F394" s="3"/>
      <c r="G394" s="3"/>
      <c r="H394" s="3"/>
      <c r="I394" s="3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</row>
    <row r="395" ht="16.5" customHeight="1">
      <c r="A395" s="145">
        <v>45.0</v>
      </c>
      <c r="B395" s="145">
        <v>54.0</v>
      </c>
      <c r="C395" s="145" t="s">
        <v>229</v>
      </c>
      <c r="D395" s="169">
        <v>79.0</v>
      </c>
      <c r="E395" s="3"/>
      <c r="F395" s="3"/>
      <c r="G395" s="3"/>
      <c r="H395" s="3"/>
      <c r="I395" s="3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</row>
    <row r="396" ht="16.5" customHeight="1">
      <c r="A396" s="145">
        <v>55.0</v>
      </c>
      <c r="B396" s="145">
        <v>59.0</v>
      </c>
      <c r="C396" s="145" t="s">
        <v>229</v>
      </c>
      <c r="D396" s="169">
        <v>105.0</v>
      </c>
      <c r="E396" s="3"/>
      <c r="F396" s="3"/>
      <c r="G396" s="3"/>
      <c r="H396" s="3"/>
      <c r="I396" s="3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</row>
    <row r="397" ht="16.5" customHeight="1">
      <c r="A397" s="145">
        <v>60.0</v>
      </c>
      <c r="B397" s="145">
        <v>67.0</v>
      </c>
      <c r="C397" s="145" t="s">
        <v>229</v>
      </c>
      <c r="D397" s="169">
        <v>139.0</v>
      </c>
      <c r="E397" s="3"/>
      <c r="F397" s="3"/>
      <c r="G397" s="3"/>
      <c r="H397" s="3"/>
      <c r="I397" s="3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</row>
    <row r="398" ht="16.5" customHeight="1">
      <c r="A398" s="145">
        <v>68.0</v>
      </c>
      <c r="B398" s="145">
        <v>120.0</v>
      </c>
      <c r="C398" s="145" t="s">
        <v>229</v>
      </c>
      <c r="D398" s="169">
        <v>219.0</v>
      </c>
      <c r="E398" s="3"/>
      <c r="F398" s="3"/>
      <c r="G398" s="3"/>
      <c r="H398" s="3"/>
      <c r="I398" s="3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</row>
    <row r="399" ht="16.5" customHeight="1">
      <c r="A399" s="145">
        <v>0.0</v>
      </c>
      <c r="B399" s="145">
        <v>44.0</v>
      </c>
      <c r="C399" s="145" t="s">
        <v>230</v>
      </c>
      <c r="D399" s="169">
        <v>67.0</v>
      </c>
      <c r="E399" s="3"/>
      <c r="F399" s="3"/>
      <c r="G399" s="3"/>
      <c r="H399" s="3"/>
      <c r="I399" s="3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</row>
    <row r="400" ht="16.5" customHeight="1">
      <c r="A400" s="145">
        <v>45.0</v>
      </c>
      <c r="B400" s="145">
        <v>54.0</v>
      </c>
      <c r="C400" s="145" t="s">
        <v>230</v>
      </c>
      <c r="D400" s="169">
        <v>80.0</v>
      </c>
      <c r="E400" s="3"/>
      <c r="F400" s="3"/>
      <c r="G400" s="3"/>
      <c r="H400" s="3"/>
      <c r="I400" s="3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</row>
    <row r="401" ht="16.5" customHeight="1">
      <c r="A401" s="145">
        <v>55.0</v>
      </c>
      <c r="B401" s="145">
        <v>59.0</v>
      </c>
      <c r="C401" s="145" t="s">
        <v>230</v>
      </c>
      <c r="D401" s="169">
        <v>110.0</v>
      </c>
      <c r="E401" s="3"/>
      <c r="F401" s="3"/>
      <c r="G401" s="3"/>
      <c r="H401" s="3"/>
      <c r="I401" s="3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</row>
    <row r="402" ht="16.5" customHeight="1">
      <c r="A402" s="145">
        <v>60.0</v>
      </c>
      <c r="B402" s="145">
        <v>67.0</v>
      </c>
      <c r="C402" s="145" t="s">
        <v>230</v>
      </c>
      <c r="D402" s="169">
        <v>145.0</v>
      </c>
      <c r="E402" s="3"/>
      <c r="F402" s="3"/>
      <c r="G402" s="3"/>
      <c r="H402" s="3"/>
      <c r="I402" s="3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</row>
    <row r="403" ht="16.5" customHeight="1">
      <c r="A403" s="145">
        <v>68.0</v>
      </c>
      <c r="B403" s="145">
        <v>120.0</v>
      </c>
      <c r="C403" s="145" t="s">
        <v>230</v>
      </c>
      <c r="D403" s="169">
        <v>225.0</v>
      </c>
      <c r="E403" s="3"/>
      <c r="F403" s="3"/>
      <c r="G403" s="3"/>
      <c r="H403" s="3"/>
      <c r="I403" s="3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</row>
    <row r="404" ht="16.5" customHeight="1">
      <c r="A404" s="145">
        <v>0.0</v>
      </c>
      <c r="B404" s="145">
        <v>24.0</v>
      </c>
      <c r="C404" s="145" t="s">
        <v>231</v>
      </c>
      <c r="D404" s="169">
        <v>55.5</v>
      </c>
      <c r="E404" s="3"/>
      <c r="F404" s="3"/>
      <c r="G404" s="3"/>
      <c r="H404" s="3"/>
      <c r="I404" s="3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</row>
    <row r="405" ht="16.5" customHeight="1">
      <c r="A405" s="145">
        <v>25.0</v>
      </c>
      <c r="B405" s="145">
        <v>44.0</v>
      </c>
      <c r="C405" s="145" t="s">
        <v>231</v>
      </c>
      <c r="D405" s="169">
        <v>61.0</v>
      </c>
      <c r="E405" s="3"/>
      <c r="F405" s="3"/>
      <c r="G405" s="3"/>
      <c r="H405" s="3"/>
      <c r="I405" s="3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</row>
    <row r="406" ht="16.5" customHeight="1">
      <c r="A406" s="145">
        <v>45.0</v>
      </c>
      <c r="B406" s="145">
        <v>54.0</v>
      </c>
      <c r="C406" s="145" t="s">
        <v>231</v>
      </c>
      <c r="D406" s="169">
        <v>79.0</v>
      </c>
      <c r="E406" s="3"/>
      <c r="F406" s="3"/>
      <c r="G406" s="3"/>
      <c r="H406" s="3"/>
      <c r="I406" s="3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</row>
    <row r="407" ht="16.5" customHeight="1">
      <c r="A407" s="145">
        <v>55.0</v>
      </c>
      <c r="B407" s="145">
        <v>59.0</v>
      </c>
      <c r="C407" s="145" t="s">
        <v>231</v>
      </c>
      <c r="D407" s="169">
        <v>123.0</v>
      </c>
      <c r="E407" s="3"/>
      <c r="F407" s="3"/>
      <c r="G407" s="3"/>
      <c r="H407" s="3"/>
      <c r="I407" s="3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</row>
    <row r="408" ht="16.5" customHeight="1">
      <c r="A408" s="145">
        <v>60.0</v>
      </c>
      <c r="B408" s="145">
        <v>64.0</v>
      </c>
      <c r="C408" s="145" t="s">
        <v>231</v>
      </c>
      <c r="D408" s="169">
        <v>153.0</v>
      </c>
      <c r="E408" s="3"/>
      <c r="F408" s="3"/>
      <c r="G408" s="3"/>
      <c r="H408" s="3"/>
      <c r="I408" s="3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</row>
    <row r="409" ht="16.5" customHeight="1">
      <c r="A409" s="145">
        <v>65.0</v>
      </c>
      <c r="B409" s="145">
        <v>69.0</v>
      </c>
      <c r="C409" s="145" t="s">
        <v>231</v>
      </c>
      <c r="D409" s="146">
        <v>235.0</v>
      </c>
      <c r="E409" s="3"/>
      <c r="F409" s="3"/>
      <c r="G409" s="3"/>
      <c r="H409" s="3"/>
      <c r="I409" s="3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</row>
    <row r="410" ht="16.5" customHeight="1">
      <c r="A410" s="145">
        <v>70.0</v>
      </c>
      <c r="B410" s="145">
        <v>120.0</v>
      </c>
      <c r="C410" s="145" t="s">
        <v>231</v>
      </c>
      <c r="D410" s="146">
        <v>239.0</v>
      </c>
      <c r="E410" s="3"/>
      <c r="F410" s="3"/>
      <c r="G410" s="3"/>
      <c r="H410" s="3"/>
      <c r="I410" s="3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</row>
    <row r="411" ht="16.5" customHeight="1">
      <c r="A411" s="145">
        <v>0.0</v>
      </c>
      <c r="B411" s="145">
        <v>24.0</v>
      </c>
      <c r="C411" s="145" t="s">
        <v>232</v>
      </c>
      <c r="D411" s="146">
        <v>56.5</v>
      </c>
      <c r="E411" s="3"/>
      <c r="F411" s="3"/>
      <c r="G411" s="3"/>
      <c r="H411" s="3"/>
      <c r="I411" s="3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</row>
    <row r="412" ht="16.5" customHeight="1">
      <c r="A412" s="145">
        <v>25.0</v>
      </c>
      <c r="B412" s="145">
        <v>44.0</v>
      </c>
      <c r="C412" s="145" t="s">
        <v>232</v>
      </c>
      <c r="D412" s="146">
        <v>63.5</v>
      </c>
      <c r="E412" s="3"/>
      <c r="F412" s="3"/>
      <c r="G412" s="3"/>
      <c r="H412" s="3"/>
      <c r="I412" s="3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</row>
    <row r="413" ht="16.5" customHeight="1">
      <c r="A413" s="145">
        <v>45.0</v>
      </c>
      <c r="B413" s="145">
        <v>54.0</v>
      </c>
      <c r="C413" s="145" t="s">
        <v>232</v>
      </c>
      <c r="D413" s="146">
        <v>83.0</v>
      </c>
      <c r="E413" s="3"/>
      <c r="F413" s="3"/>
      <c r="G413" s="3"/>
      <c r="H413" s="3"/>
      <c r="I413" s="3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</row>
    <row r="414" ht="16.5" customHeight="1">
      <c r="A414" s="145">
        <v>55.0</v>
      </c>
      <c r="B414" s="145">
        <v>59.0</v>
      </c>
      <c r="C414" s="145" t="s">
        <v>232</v>
      </c>
      <c r="D414" s="146">
        <v>127.0</v>
      </c>
      <c r="E414" s="3"/>
      <c r="F414" s="3"/>
      <c r="G414" s="3"/>
      <c r="H414" s="3"/>
      <c r="I414" s="3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</row>
    <row r="415" ht="16.5" customHeight="1">
      <c r="A415" s="145">
        <v>60.0</v>
      </c>
      <c r="B415" s="145">
        <v>64.0</v>
      </c>
      <c r="C415" s="145" t="s">
        <v>232</v>
      </c>
      <c r="D415" s="146">
        <v>159.0</v>
      </c>
      <c r="E415" s="3"/>
      <c r="F415" s="3"/>
      <c r="G415" s="3"/>
      <c r="H415" s="3"/>
      <c r="I415" s="3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</row>
    <row r="416" ht="16.5" customHeight="1">
      <c r="A416" s="145">
        <v>65.0</v>
      </c>
      <c r="B416" s="145">
        <v>69.0</v>
      </c>
      <c r="C416" s="145" t="s">
        <v>232</v>
      </c>
      <c r="D416" s="146">
        <v>238.0</v>
      </c>
      <c r="E416" s="3"/>
      <c r="F416" s="3"/>
      <c r="G416" s="3"/>
      <c r="H416" s="3"/>
      <c r="I416" s="3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</row>
    <row r="417" ht="16.5" customHeight="1">
      <c r="A417" s="145">
        <v>70.0</v>
      </c>
      <c r="B417" s="145">
        <v>120.0</v>
      </c>
      <c r="C417" s="145" t="s">
        <v>232</v>
      </c>
      <c r="D417" s="146">
        <v>246.0</v>
      </c>
      <c r="E417" s="3"/>
      <c r="F417" s="3"/>
      <c r="G417" s="3"/>
      <c r="H417" s="3"/>
      <c r="I417" s="3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</row>
    <row r="418" ht="16.5" customHeight="1">
      <c r="A418" s="145">
        <v>0.0</v>
      </c>
      <c r="B418" s="145">
        <v>24.0</v>
      </c>
      <c r="C418" s="145" t="s">
        <v>233</v>
      </c>
      <c r="D418" s="146">
        <v>57.0</v>
      </c>
      <c r="E418" s="3"/>
      <c r="F418" s="3"/>
      <c r="G418" s="3"/>
      <c r="H418" s="3"/>
      <c r="I418" s="3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</row>
    <row r="419" ht="16.5" customHeight="1">
      <c r="A419" s="145">
        <v>25.0</v>
      </c>
      <c r="B419" s="145">
        <v>44.0</v>
      </c>
      <c r="C419" s="145" t="s">
        <v>233</v>
      </c>
      <c r="D419" s="146">
        <v>64.5</v>
      </c>
      <c r="E419" s="3"/>
      <c r="F419" s="3"/>
      <c r="G419" s="3"/>
      <c r="H419" s="3"/>
      <c r="I419" s="3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</row>
    <row r="420" ht="16.5" customHeight="1">
      <c r="A420" s="145">
        <v>45.0</v>
      </c>
      <c r="B420" s="145">
        <v>54.0</v>
      </c>
      <c r="C420" s="145" t="s">
        <v>233</v>
      </c>
      <c r="D420" s="146">
        <v>84.0</v>
      </c>
      <c r="E420" s="3"/>
      <c r="F420" s="3"/>
      <c r="G420" s="3"/>
      <c r="H420" s="3"/>
      <c r="I420" s="3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</row>
    <row r="421" ht="16.5" customHeight="1">
      <c r="A421" s="145">
        <v>55.0</v>
      </c>
      <c r="B421" s="145">
        <v>59.0</v>
      </c>
      <c r="C421" s="145" t="s">
        <v>233</v>
      </c>
      <c r="D421" s="146">
        <v>129.0</v>
      </c>
      <c r="E421" s="3"/>
      <c r="F421" s="3"/>
      <c r="G421" s="3"/>
      <c r="H421" s="3"/>
      <c r="I421" s="3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</row>
    <row r="422" ht="16.5" customHeight="1">
      <c r="A422" s="145">
        <v>60.0</v>
      </c>
      <c r="B422" s="145">
        <v>64.0</v>
      </c>
      <c r="C422" s="145" t="s">
        <v>233</v>
      </c>
      <c r="D422" s="146">
        <v>160.0</v>
      </c>
      <c r="E422" s="3"/>
      <c r="F422" s="3"/>
      <c r="G422" s="3"/>
      <c r="H422" s="3"/>
      <c r="I422" s="3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</row>
    <row r="423" ht="16.5" customHeight="1">
      <c r="A423" s="145">
        <v>65.0</v>
      </c>
      <c r="B423" s="145">
        <v>69.0</v>
      </c>
      <c r="C423" s="145" t="s">
        <v>233</v>
      </c>
      <c r="D423" s="146">
        <v>240.0</v>
      </c>
      <c r="E423" s="3"/>
      <c r="F423" s="3"/>
      <c r="G423" s="3"/>
      <c r="H423" s="3"/>
      <c r="I423" s="3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</row>
    <row r="424" ht="16.5" customHeight="1">
      <c r="A424" s="145">
        <v>70.0</v>
      </c>
      <c r="B424" s="145">
        <v>120.0</v>
      </c>
      <c r="C424" s="145" t="s">
        <v>233</v>
      </c>
      <c r="D424" s="146">
        <v>249.0</v>
      </c>
      <c r="E424" s="3"/>
      <c r="F424" s="3"/>
      <c r="G424" s="3"/>
      <c r="H424" s="3"/>
      <c r="I424" s="3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</row>
    <row r="425" ht="16.5" customHeight="1">
      <c r="A425" s="145">
        <v>0.0</v>
      </c>
      <c r="B425" s="145">
        <v>24.0</v>
      </c>
      <c r="C425" s="145" t="s">
        <v>234</v>
      </c>
      <c r="D425" s="146">
        <v>59.0</v>
      </c>
      <c r="E425" s="3"/>
      <c r="F425" s="3"/>
      <c r="G425" s="3"/>
      <c r="H425" s="3"/>
      <c r="I425" s="3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</row>
    <row r="426" ht="16.5" customHeight="1">
      <c r="A426" s="145">
        <v>25.0</v>
      </c>
      <c r="B426" s="145">
        <v>44.0</v>
      </c>
      <c r="C426" s="145" t="s">
        <v>234</v>
      </c>
      <c r="D426" s="146">
        <v>65.5</v>
      </c>
      <c r="E426" s="3"/>
      <c r="F426" s="3"/>
      <c r="G426" s="3"/>
      <c r="H426" s="3"/>
      <c r="I426" s="3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</row>
    <row r="427" ht="16.5" customHeight="1">
      <c r="A427" s="145">
        <v>45.0</v>
      </c>
      <c r="B427" s="145">
        <v>54.0</v>
      </c>
      <c r="C427" s="145" t="s">
        <v>234</v>
      </c>
      <c r="D427" s="146">
        <v>86.5</v>
      </c>
      <c r="E427" s="3"/>
      <c r="F427" s="3"/>
      <c r="G427" s="3"/>
      <c r="H427" s="3"/>
      <c r="I427" s="3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</row>
    <row r="428" ht="16.5" customHeight="1">
      <c r="A428" s="145">
        <v>55.0</v>
      </c>
      <c r="B428" s="145">
        <v>59.0</v>
      </c>
      <c r="C428" s="145" t="s">
        <v>234</v>
      </c>
      <c r="D428" s="146">
        <v>134.0</v>
      </c>
      <c r="E428" s="3"/>
      <c r="F428" s="3"/>
      <c r="G428" s="3"/>
      <c r="H428" s="3"/>
      <c r="I428" s="3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</row>
    <row r="429" ht="16.5" customHeight="1">
      <c r="A429" s="145">
        <v>60.0</v>
      </c>
      <c r="B429" s="145">
        <v>64.0</v>
      </c>
      <c r="C429" s="145" t="s">
        <v>234</v>
      </c>
      <c r="D429" s="146">
        <v>170.0</v>
      </c>
      <c r="E429" s="3"/>
      <c r="F429" s="3"/>
      <c r="G429" s="3"/>
      <c r="H429" s="3"/>
      <c r="I429" s="3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</row>
    <row r="430" ht="16.5" customHeight="1">
      <c r="A430" s="145">
        <v>65.0</v>
      </c>
      <c r="B430" s="145">
        <v>69.0</v>
      </c>
      <c r="C430" s="145" t="s">
        <v>234</v>
      </c>
      <c r="D430" s="146">
        <v>249.0</v>
      </c>
      <c r="E430" s="3"/>
      <c r="F430" s="3"/>
      <c r="G430" s="3"/>
      <c r="H430" s="3"/>
      <c r="I430" s="3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</row>
    <row r="431" ht="16.5" customHeight="1">
      <c r="A431" s="145">
        <v>70.0</v>
      </c>
      <c r="B431" s="145">
        <v>120.0</v>
      </c>
      <c r="C431" s="145" t="s">
        <v>234</v>
      </c>
      <c r="D431" s="146">
        <v>261.0</v>
      </c>
      <c r="E431" s="3"/>
      <c r="F431" s="3"/>
      <c r="G431" s="3"/>
      <c r="H431" s="3"/>
      <c r="I431" s="3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</row>
    <row r="432" ht="16.5" customHeight="1">
      <c r="A432" s="145">
        <v>0.0</v>
      </c>
      <c r="B432" s="145">
        <v>24.0</v>
      </c>
      <c r="C432" s="145" t="s">
        <v>235</v>
      </c>
      <c r="D432" s="169">
        <v>61.0</v>
      </c>
      <c r="E432" s="3"/>
      <c r="F432" s="3"/>
      <c r="G432" s="3"/>
      <c r="H432" s="3"/>
      <c r="I432" s="3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</row>
    <row r="433" ht="16.5" customHeight="1">
      <c r="A433" s="145">
        <v>25.0</v>
      </c>
      <c r="B433" s="145">
        <v>44.0</v>
      </c>
      <c r="C433" s="145" t="s">
        <v>235</v>
      </c>
      <c r="D433" s="169">
        <v>66.5</v>
      </c>
      <c r="E433" s="3"/>
      <c r="F433" s="3"/>
      <c r="G433" s="3"/>
      <c r="H433" s="3"/>
      <c r="I433" s="3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</row>
    <row r="434" ht="16.5" customHeight="1">
      <c r="A434" s="145">
        <v>45.0</v>
      </c>
      <c r="B434" s="145">
        <v>54.0</v>
      </c>
      <c r="C434" s="145" t="s">
        <v>235</v>
      </c>
      <c r="D434" s="169">
        <v>88.5</v>
      </c>
      <c r="E434" s="3"/>
      <c r="F434" s="3"/>
      <c r="G434" s="3"/>
      <c r="H434" s="3"/>
      <c r="I434" s="3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</row>
    <row r="435" ht="16.5" customHeight="1">
      <c r="A435" s="145">
        <v>55.0</v>
      </c>
      <c r="B435" s="145">
        <v>59.0</v>
      </c>
      <c r="C435" s="145" t="s">
        <v>235</v>
      </c>
      <c r="D435" s="169">
        <v>139.0</v>
      </c>
      <c r="E435" s="3"/>
      <c r="F435" s="3"/>
      <c r="G435" s="3"/>
      <c r="H435" s="3"/>
      <c r="I435" s="3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</row>
    <row r="436" ht="16.5" customHeight="1">
      <c r="A436" s="145">
        <v>60.0</v>
      </c>
      <c r="B436" s="145">
        <v>64.0</v>
      </c>
      <c r="C436" s="145" t="s">
        <v>235</v>
      </c>
      <c r="D436" s="169">
        <v>175.0</v>
      </c>
      <c r="E436" s="3"/>
      <c r="F436" s="3"/>
      <c r="G436" s="3"/>
      <c r="H436" s="3"/>
      <c r="I436" s="3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</row>
    <row r="437" ht="16.5" customHeight="1">
      <c r="A437" s="145">
        <v>65.0</v>
      </c>
      <c r="B437" s="145">
        <v>69.0</v>
      </c>
      <c r="C437" s="145" t="s">
        <v>235</v>
      </c>
      <c r="D437" s="169">
        <v>259.0</v>
      </c>
      <c r="E437" s="3"/>
      <c r="F437" s="3"/>
      <c r="G437" s="3"/>
      <c r="H437" s="3"/>
      <c r="I437" s="3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</row>
    <row r="438" ht="16.5" customHeight="1">
      <c r="A438" s="145">
        <v>70.0</v>
      </c>
      <c r="B438" s="145">
        <v>120.0</v>
      </c>
      <c r="C438" s="145" t="s">
        <v>235</v>
      </c>
      <c r="D438" s="169">
        <v>265.0</v>
      </c>
      <c r="E438" s="3"/>
      <c r="F438" s="3"/>
      <c r="G438" s="3"/>
      <c r="H438" s="3"/>
      <c r="I438" s="3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</row>
    <row r="439" ht="16.5" customHeight="1">
      <c r="A439" s="145">
        <v>0.0</v>
      </c>
      <c r="B439" s="145">
        <v>24.0</v>
      </c>
      <c r="C439" s="145" t="s">
        <v>236</v>
      </c>
      <c r="D439" s="169">
        <v>61.5</v>
      </c>
      <c r="E439" s="3"/>
      <c r="F439" s="3"/>
      <c r="G439" s="3"/>
      <c r="H439" s="3"/>
      <c r="I439" s="3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</row>
    <row r="440" ht="16.5" customHeight="1">
      <c r="A440" s="145">
        <v>25.0</v>
      </c>
      <c r="B440" s="145">
        <v>44.0</v>
      </c>
      <c r="C440" s="145" t="s">
        <v>236</v>
      </c>
      <c r="D440" s="169">
        <v>68.0</v>
      </c>
      <c r="E440" s="3"/>
      <c r="F440" s="3"/>
      <c r="G440" s="3"/>
      <c r="H440" s="3"/>
      <c r="I440" s="3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</row>
    <row r="441" ht="16.5" customHeight="1">
      <c r="A441" s="145">
        <v>45.0</v>
      </c>
      <c r="B441" s="145">
        <v>54.0</v>
      </c>
      <c r="C441" s="145" t="s">
        <v>236</v>
      </c>
      <c r="D441" s="169">
        <v>89.5</v>
      </c>
      <c r="E441" s="3"/>
      <c r="F441" s="3"/>
      <c r="G441" s="3"/>
      <c r="H441" s="3"/>
      <c r="I441" s="3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</row>
    <row r="442" ht="16.5" customHeight="1">
      <c r="A442" s="145">
        <v>55.0</v>
      </c>
      <c r="B442" s="145">
        <v>59.0</v>
      </c>
      <c r="C442" s="145" t="s">
        <v>236</v>
      </c>
      <c r="D442" s="169">
        <v>139.5</v>
      </c>
      <c r="E442" s="3"/>
      <c r="F442" s="3"/>
      <c r="G442" s="3"/>
      <c r="H442" s="3"/>
      <c r="I442" s="3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</row>
    <row r="443" ht="16.5" customHeight="1">
      <c r="A443" s="145">
        <v>60.0</v>
      </c>
      <c r="B443" s="145">
        <v>64.0</v>
      </c>
      <c r="C443" s="145" t="s">
        <v>236</v>
      </c>
      <c r="D443" s="169">
        <v>176.0</v>
      </c>
      <c r="E443" s="3"/>
      <c r="F443" s="3"/>
      <c r="G443" s="3"/>
      <c r="H443" s="3"/>
      <c r="I443" s="3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</row>
    <row r="444" ht="16.5" customHeight="1">
      <c r="A444" s="145">
        <v>65.0</v>
      </c>
      <c r="B444" s="145">
        <v>69.0</v>
      </c>
      <c r="C444" s="145" t="s">
        <v>236</v>
      </c>
      <c r="D444" s="169">
        <v>264.0</v>
      </c>
      <c r="E444" s="3"/>
      <c r="F444" s="3"/>
      <c r="G444" s="3"/>
      <c r="H444" s="3"/>
      <c r="I444" s="3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</row>
    <row r="445" ht="16.5" customHeight="1">
      <c r="A445" s="145">
        <v>70.0</v>
      </c>
      <c r="B445" s="145">
        <v>120.0</v>
      </c>
      <c r="C445" s="145" t="s">
        <v>236</v>
      </c>
      <c r="D445" s="169">
        <v>275.0</v>
      </c>
      <c r="E445" s="3"/>
      <c r="F445" s="3"/>
      <c r="G445" s="3"/>
      <c r="H445" s="3"/>
      <c r="I445" s="3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</row>
    <row r="446" ht="16.5" customHeight="1">
      <c r="A446" s="145">
        <v>0.0</v>
      </c>
      <c r="B446" s="145">
        <v>24.0</v>
      </c>
      <c r="C446" s="145" t="s">
        <v>237</v>
      </c>
      <c r="D446" s="169"/>
      <c r="E446" s="3"/>
      <c r="F446" s="3"/>
      <c r="G446" s="3"/>
      <c r="H446" s="3"/>
      <c r="I446" s="3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</row>
    <row r="447" ht="16.5" customHeight="1">
      <c r="A447" s="145">
        <v>25.0</v>
      </c>
      <c r="B447" s="145">
        <v>44.0</v>
      </c>
      <c r="C447" s="145" t="s">
        <v>237</v>
      </c>
      <c r="D447" s="169"/>
      <c r="E447" s="3"/>
      <c r="F447" s="3"/>
      <c r="G447" s="3"/>
      <c r="H447" s="3"/>
      <c r="I447" s="3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</row>
    <row r="448" ht="16.5" customHeight="1">
      <c r="A448" s="145">
        <v>45.0</v>
      </c>
      <c r="B448" s="145">
        <v>54.0</v>
      </c>
      <c r="C448" s="145" t="s">
        <v>237</v>
      </c>
      <c r="D448" s="169"/>
      <c r="E448" s="3"/>
      <c r="F448" s="3"/>
      <c r="G448" s="3"/>
      <c r="H448" s="3"/>
      <c r="I448" s="3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</row>
    <row r="449" ht="16.5" customHeight="1">
      <c r="A449" s="145">
        <v>55.0</v>
      </c>
      <c r="B449" s="145">
        <v>59.0</v>
      </c>
      <c r="C449" s="145" t="s">
        <v>237</v>
      </c>
      <c r="D449" s="169"/>
      <c r="E449" s="3"/>
      <c r="F449" s="3"/>
      <c r="G449" s="3"/>
      <c r="H449" s="3"/>
      <c r="I449" s="3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</row>
    <row r="450" ht="16.5" customHeight="1">
      <c r="A450" s="145">
        <v>60.0</v>
      </c>
      <c r="B450" s="145">
        <v>64.0</v>
      </c>
      <c r="C450" s="145" t="s">
        <v>237</v>
      </c>
      <c r="D450" s="169"/>
      <c r="E450" s="3"/>
      <c r="F450" s="3"/>
      <c r="G450" s="3"/>
      <c r="H450" s="3"/>
      <c r="I450" s="3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</row>
    <row r="451" ht="16.5" customHeight="1">
      <c r="A451" s="145">
        <v>65.0</v>
      </c>
      <c r="B451" s="145">
        <v>69.0</v>
      </c>
      <c r="C451" s="145" t="s">
        <v>237</v>
      </c>
      <c r="D451" s="146"/>
      <c r="E451" s="3"/>
      <c r="F451" s="3"/>
      <c r="G451" s="3"/>
      <c r="H451" s="3"/>
      <c r="I451" s="3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</row>
    <row r="452" ht="16.5" customHeight="1">
      <c r="A452" s="145">
        <v>70.0</v>
      </c>
      <c r="B452" s="145">
        <v>120.0</v>
      </c>
      <c r="C452" s="145" t="s">
        <v>237</v>
      </c>
      <c r="D452" s="146"/>
      <c r="E452" s="3"/>
      <c r="F452" s="3"/>
      <c r="G452" s="3"/>
      <c r="H452" s="3"/>
      <c r="I452" s="3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</row>
    <row r="453" ht="16.5" customHeight="1">
      <c r="A453" s="145">
        <v>0.0</v>
      </c>
      <c r="B453" s="145">
        <v>24.0</v>
      </c>
      <c r="C453" s="145" t="s">
        <v>238</v>
      </c>
      <c r="D453" s="146"/>
      <c r="E453" s="3"/>
      <c r="F453" s="3"/>
      <c r="G453" s="3"/>
      <c r="H453" s="3"/>
      <c r="I453" s="3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</row>
    <row r="454" ht="16.5" customHeight="1">
      <c r="A454" s="145">
        <v>25.0</v>
      </c>
      <c r="B454" s="145">
        <v>44.0</v>
      </c>
      <c r="C454" s="145" t="s">
        <v>238</v>
      </c>
      <c r="D454" s="146"/>
      <c r="E454" s="3"/>
      <c r="F454" s="3"/>
      <c r="G454" s="3"/>
      <c r="H454" s="3"/>
      <c r="I454" s="3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</row>
    <row r="455" ht="16.5" customHeight="1">
      <c r="A455" s="145">
        <v>45.0</v>
      </c>
      <c r="B455" s="145">
        <v>54.0</v>
      </c>
      <c r="C455" s="145" t="s">
        <v>238</v>
      </c>
      <c r="D455" s="146"/>
      <c r="E455" s="3"/>
      <c r="F455" s="3"/>
      <c r="G455" s="3"/>
      <c r="H455" s="3"/>
      <c r="I455" s="3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</row>
    <row r="456" ht="16.5" customHeight="1">
      <c r="A456" s="145">
        <v>55.0</v>
      </c>
      <c r="B456" s="145">
        <v>59.0</v>
      </c>
      <c r="C456" s="145" t="s">
        <v>238</v>
      </c>
      <c r="D456" s="146"/>
      <c r="E456" s="3"/>
      <c r="F456" s="3"/>
      <c r="G456" s="3"/>
      <c r="H456" s="3"/>
      <c r="I456" s="3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</row>
    <row r="457" ht="16.5" customHeight="1">
      <c r="A457" s="145">
        <v>60.0</v>
      </c>
      <c r="B457" s="145">
        <v>64.0</v>
      </c>
      <c r="C457" s="145" t="s">
        <v>238</v>
      </c>
      <c r="D457" s="146"/>
      <c r="E457" s="3"/>
      <c r="F457" s="3"/>
      <c r="G457" s="3"/>
      <c r="H457" s="3"/>
      <c r="I457" s="3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</row>
    <row r="458" ht="16.5" customHeight="1">
      <c r="A458" s="145">
        <v>65.0</v>
      </c>
      <c r="B458" s="145">
        <v>69.0</v>
      </c>
      <c r="C458" s="145" t="s">
        <v>238</v>
      </c>
      <c r="D458" s="146"/>
      <c r="E458" s="3"/>
      <c r="F458" s="3"/>
      <c r="G458" s="3"/>
      <c r="H458" s="3"/>
      <c r="I458" s="3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</row>
    <row r="459" ht="16.5" customHeight="1">
      <c r="A459" s="145">
        <v>70.0</v>
      </c>
      <c r="B459" s="145">
        <v>120.0</v>
      </c>
      <c r="C459" s="145" t="s">
        <v>238</v>
      </c>
      <c r="D459" s="146"/>
      <c r="E459" s="3"/>
      <c r="F459" s="3"/>
      <c r="G459" s="3"/>
      <c r="H459" s="3"/>
      <c r="I459" s="3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</row>
    <row r="460" ht="16.5" customHeight="1">
      <c r="A460" s="145">
        <v>0.0</v>
      </c>
      <c r="B460" s="145">
        <v>24.0</v>
      </c>
      <c r="C460" s="145" t="s">
        <v>239</v>
      </c>
      <c r="D460" s="146"/>
      <c r="E460" s="3"/>
      <c r="F460" s="3"/>
      <c r="G460" s="3"/>
      <c r="H460" s="3"/>
      <c r="I460" s="3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</row>
    <row r="461" ht="16.5" customHeight="1">
      <c r="A461" s="145">
        <v>25.0</v>
      </c>
      <c r="B461" s="145">
        <v>44.0</v>
      </c>
      <c r="C461" s="145" t="s">
        <v>239</v>
      </c>
      <c r="D461" s="146"/>
      <c r="E461" s="3"/>
      <c r="F461" s="3"/>
      <c r="G461" s="3"/>
      <c r="H461" s="3"/>
      <c r="I461" s="3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</row>
    <row r="462" ht="16.5" customHeight="1">
      <c r="A462" s="145">
        <v>45.0</v>
      </c>
      <c r="B462" s="145">
        <v>54.0</v>
      </c>
      <c r="C462" s="145" t="s">
        <v>239</v>
      </c>
      <c r="D462" s="146"/>
      <c r="E462" s="3"/>
      <c r="F462" s="3"/>
      <c r="G462" s="3"/>
      <c r="H462" s="3"/>
      <c r="I462" s="3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</row>
    <row r="463" ht="16.5" customHeight="1">
      <c r="A463" s="145">
        <v>55.0</v>
      </c>
      <c r="B463" s="145">
        <v>59.0</v>
      </c>
      <c r="C463" s="145" t="s">
        <v>239</v>
      </c>
      <c r="D463" s="146"/>
      <c r="E463" s="3"/>
      <c r="F463" s="3"/>
      <c r="G463" s="3"/>
      <c r="H463" s="3"/>
      <c r="I463" s="3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</row>
    <row r="464" ht="16.5" customHeight="1">
      <c r="A464" s="145">
        <v>60.0</v>
      </c>
      <c r="B464" s="145">
        <v>64.0</v>
      </c>
      <c r="C464" s="145" t="s">
        <v>239</v>
      </c>
      <c r="D464" s="146"/>
      <c r="E464" s="3"/>
      <c r="F464" s="3"/>
      <c r="G464" s="3"/>
      <c r="H464" s="3"/>
      <c r="I464" s="3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</row>
    <row r="465" ht="16.5" customHeight="1">
      <c r="A465" s="145">
        <v>65.0</v>
      </c>
      <c r="B465" s="145">
        <v>69.0</v>
      </c>
      <c r="C465" s="145" t="s">
        <v>239</v>
      </c>
      <c r="D465" s="146"/>
      <c r="E465" s="3"/>
      <c r="F465" s="3"/>
      <c r="G465" s="3"/>
      <c r="H465" s="3"/>
      <c r="I465" s="3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</row>
    <row r="466" ht="16.5" customHeight="1">
      <c r="A466" s="145">
        <v>70.0</v>
      </c>
      <c r="B466" s="145">
        <v>120.0</v>
      </c>
      <c r="C466" s="145" t="s">
        <v>239</v>
      </c>
      <c r="D466" s="146"/>
      <c r="E466" s="3"/>
      <c r="F466" s="3"/>
      <c r="G466" s="3"/>
      <c r="H466" s="3"/>
      <c r="I466" s="3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</row>
    <row r="467" ht="16.5" customHeight="1">
      <c r="A467" s="145">
        <v>0.0</v>
      </c>
      <c r="B467" s="145">
        <v>24.0</v>
      </c>
      <c r="C467" s="145" t="s">
        <v>240</v>
      </c>
      <c r="D467" s="146"/>
      <c r="E467" s="3"/>
      <c r="F467" s="3"/>
      <c r="G467" s="3"/>
      <c r="H467" s="3"/>
      <c r="I467" s="3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</row>
    <row r="468" ht="16.5" customHeight="1">
      <c r="A468" s="145">
        <v>25.0</v>
      </c>
      <c r="B468" s="145">
        <v>44.0</v>
      </c>
      <c r="C468" s="145" t="s">
        <v>240</v>
      </c>
      <c r="D468" s="146"/>
      <c r="E468" s="3"/>
      <c r="F468" s="3"/>
      <c r="G468" s="3"/>
      <c r="H468" s="3"/>
      <c r="I468" s="3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</row>
    <row r="469" ht="16.5" customHeight="1">
      <c r="A469" s="145">
        <v>45.0</v>
      </c>
      <c r="B469" s="145">
        <v>54.0</v>
      </c>
      <c r="C469" s="145" t="s">
        <v>240</v>
      </c>
      <c r="D469" s="146"/>
      <c r="E469" s="3"/>
      <c r="F469" s="3"/>
      <c r="G469" s="3"/>
      <c r="H469" s="3"/>
      <c r="I469" s="3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</row>
    <row r="470" ht="16.5" customHeight="1">
      <c r="A470" s="145">
        <v>55.0</v>
      </c>
      <c r="B470" s="145">
        <v>59.0</v>
      </c>
      <c r="C470" s="145" t="s">
        <v>240</v>
      </c>
      <c r="D470" s="146"/>
      <c r="E470" s="3"/>
      <c r="F470" s="3"/>
      <c r="G470" s="3"/>
      <c r="H470" s="3"/>
      <c r="I470" s="3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</row>
    <row r="471" ht="16.5" customHeight="1">
      <c r="A471" s="145">
        <v>60.0</v>
      </c>
      <c r="B471" s="145">
        <v>64.0</v>
      </c>
      <c r="C471" s="145" t="s">
        <v>240</v>
      </c>
      <c r="D471" s="146"/>
      <c r="E471" s="3"/>
      <c r="F471" s="3"/>
      <c r="G471" s="3"/>
      <c r="H471" s="3"/>
      <c r="I471" s="3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</row>
    <row r="472" ht="16.5" customHeight="1">
      <c r="A472" s="145">
        <v>65.0</v>
      </c>
      <c r="B472" s="145">
        <v>69.0</v>
      </c>
      <c r="C472" s="145" t="s">
        <v>240</v>
      </c>
      <c r="D472" s="146"/>
      <c r="E472" s="3"/>
      <c r="F472" s="3"/>
      <c r="G472" s="3"/>
      <c r="H472" s="3"/>
      <c r="I472" s="3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</row>
    <row r="473" ht="16.5" customHeight="1">
      <c r="A473" s="145">
        <v>70.0</v>
      </c>
      <c r="B473" s="145">
        <v>120.0</v>
      </c>
      <c r="C473" s="145" t="s">
        <v>240</v>
      </c>
      <c r="D473" s="146"/>
      <c r="E473" s="3"/>
      <c r="F473" s="3"/>
      <c r="G473" s="3"/>
      <c r="H473" s="3"/>
      <c r="I473" s="3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</row>
    <row r="474" ht="16.5" customHeight="1">
      <c r="A474" s="145">
        <v>0.0</v>
      </c>
      <c r="B474" s="145">
        <v>24.0</v>
      </c>
      <c r="C474" s="145" t="s">
        <v>241</v>
      </c>
      <c r="D474" s="146"/>
      <c r="E474" s="3"/>
      <c r="F474" s="3"/>
      <c r="G474" s="3"/>
      <c r="H474" s="3"/>
      <c r="I474" s="3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</row>
    <row r="475" ht="16.5" customHeight="1">
      <c r="A475" s="145">
        <v>25.0</v>
      </c>
      <c r="B475" s="145">
        <v>44.0</v>
      </c>
      <c r="C475" s="145" t="s">
        <v>241</v>
      </c>
      <c r="D475" s="146"/>
      <c r="E475" s="3"/>
      <c r="F475" s="3"/>
      <c r="G475" s="3"/>
      <c r="H475" s="3"/>
      <c r="I475" s="3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</row>
    <row r="476" ht="16.5" customHeight="1">
      <c r="A476" s="145">
        <v>45.0</v>
      </c>
      <c r="B476" s="145">
        <v>54.0</v>
      </c>
      <c r="C476" s="145" t="s">
        <v>241</v>
      </c>
      <c r="D476" s="146"/>
      <c r="E476" s="3"/>
      <c r="F476" s="3"/>
      <c r="G476" s="3"/>
      <c r="H476" s="3"/>
      <c r="I476" s="3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</row>
    <row r="477" ht="16.5" customHeight="1">
      <c r="A477" s="145">
        <v>55.0</v>
      </c>
      <c r="B477" s="145">
        <v>59.0</v>
      </c>
      <c r="C477" s="145" t="s">
        <v>241</v>
      </c>
      <c r="D477" s="146"/>
      <c r="E477" s="3"/>
      <c r="F477" s="3"/>
      <c r="G477" s="3"/>
      <c r="H477" s="3"/>
      <c r="I477" s="3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</row>
    <row r="478" ht="16.5" customHeight="1">
      <c r="A478" s="145">
        <v>60.0</v>
      </c>
      <c r="B478" s="145">
        <v>64.0</v>
      </c>
      <c r="C478" s="145" t="s">
        <v>241</v>
      </c>
      <c r="D478" s="146"/>
      <c r="E478" s="3"/>
      <c r="F478" s="3"/>
      <c r="G478" s="3"/>
      <c r="H478" s="3"/>
      <c r="I478" s="3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</row>
    <row r="479" ht="16.5" customHeight="1">
      <c r="A479" s="145">
        <v>65.0</v>
      </c>
      <c r="B479" s="145">
        <v>69.0</v>
      </c>
      <c r="C479" s="145" t="s">
        <v>241</v>
      </c>
      <c r="D479" s="146"/>
      <c r="E479" s="3"/>
      <c r="F479" s="3"/>
      <c r="G479" s="3"/>
      <c r="H479" s="3"/>
      <c r="I479" s="3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</row>
    <row r="480" ht="16.5" customHeight="1">
      <c r="A480" s="145">
        <v>70.0</v>
      </c>
      <c r="B480" s="145">
        <v>120.0</v>
      </c>
      <c r="C480" s="145" t="s">
        <v>241</v>
      </c>
      <c r="D480" s="146"/>
      <c r="E480" s="3"/>
      <c r="F480" s="3"/>
      <c r="G480" s="3"/>
      <c r="H480" s="3"/>
      <c r="I480" s="3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</row>
    <row r="481" ht="16.5" customHeight="1">
      <c r="A481" s="145">
        <v>0.0</v>
      </c>
      <c r="B481" s="145">
        <v>24.0</v>
      </c>
      <c r="C481" s="145" t="s">
        <v>242</v>
      </c>
      <c r="D481" s="146"/>
      <c r="E481" s="3"/>
      <c r="F481" s="3"/>
      <c r="G481" s="3"/>
      <c r="H481" s="3"/>
      <c r="I481" s="3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</row>
    <row r="482" ht="16.5" customHeight="1">
      <c r="A482" s="145">
        <v>25.0</v>
      </c>
      <c r="B482" s="145">
        <v>44.0</v>
      </c>
      <c r="C482" s="145" t="s">
        <v>242</v>
      </c>
      <c r="D482" s="146"/>
      <c r="E482" s="3"/>
      <c r="F482" s="3"/>
      <c r="G482" s="3"/>
      <c r="H482" s="3"/>
      <c r="I482" s="3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</row>
    <row r="483" ht="16.5" customHeight="1">
      <c r="A483" s="145">
        <v>45.0</v>
      </c>
      <c r="B483" s="145">
        <v>54.0</v>
      </c>
      <c r="C483" s="145" t="s">
        <v>242</v>
      </c>
      <c r="D483" s="146"/>
      <c r="E483" s="3"/>
      <c r="F483" s="3"/>
      <c r="G483" s="3"/>
      <c r="H483" s="3"/>
      <c r="I483" s="3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</row>
    <row r="484" ht="16.5" customHeight="1">
      <c r="A484" s="145">
        <v>55.0</v>
      </c>
      <c r="B484" s="145">
        <v>59.0</v>
      </c>
      <c r="C484" s="145" t="s">
        <v>242</v>
      </c>
      <c r="D484" s="146"/>
      <c r="E484" s="3"/>
      <c r="F484" s="3"/>
      <c r="G484" s="3"/>
      <c r="H484" s="3"/>
      <c r="I484" s="3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</row>
    <row r="485" ht="16.5" customHeight="1">
      <c r="A485" s="145">
        <v>60.0</v>
      </c>
      <c r="B485" s="145">
        <v>64.0</v>
      </c>
      <c r="C485" s="145" t="s">
        <v>242</v>
      </c>
      <c r="D485" s="146"/>
      <c r="E485" s="3"/>
      <c r="F485" s="3"/>
      <c r="G485" s="3"/>
      <c r="H485" s="3"/>
      <c r="I485" s="3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</row>
    <row r="486" ht="16.5" customHeight="1">
      <c r="A486" s="145">
        <v>65.0</v>
      </c>
      <c r="B486" s="145">
        <v>69.0</v>
      </c>
      <c r="C486" s="145" t="s">
        <v>242</v>
      </c>
      <c r="D486" s="146"/>
      <c r="E486" s="3"/>
      <c r="F486" s="3"/>
      <c r="G486" s="3"/>
      <c r="H486" s="3"/>
      <c r="I486" s="3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</row>
    <row r="487" ht="16.5" customHeight="1">
      <c r="A487" s="145">
        <v>70.0</v>
      </c>
      <c r="B487" s="145">
        <v>120.0</v>
      </c>
      <c r="C487" s="145" t="s">
        <v>242</v>
      </c>
      <c r="D487" s="146"/>
      <c r="E487" s="3"/>
      <c r="F487" s="3"/>
      <c r="G487" s="3"/>
      <c r="H487" s="3"/>
      <c r="I487" s="3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</row>
    <row r="488" ht="16.5" customHeight="1">
      <c r="A488" s="145">
        <v>0.0</v>
      </c>
      <c r="B488" s="145">
        <v>24.0</v>
      </c>
      <c r="C488" s="145" t="s">
        <v>243</v>
      </c>
      <c r="D488" s="146">
        <v>90.0</v>
      </c>
      <c r="E488" s="3"/>
      <c r="F488" s="3"/>
      <c r="G488" s="3"/>
      <c r="H488" s="3"/>
      <c r="I488" s="3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</row>
    <row r="489" ht="16.5" customHeight="1">
      <c r="A489" s="145">
        <v>25.0</v>
      </c>
      <c r="B489" s="145">
        <v>44.0</v>
      </c>
      <c r="C489" s="145" t="s">
        <v>243</v>
      </c>
      <c r="D489" s="146">
        <v>106.0</v>
      </c>
      <c r="E489" s="3"/>
      <c r="F489" s="3"/>
      <c r="G489" s="3"/>
      <c r="H489" s="3"/>
      <c r="I489" s="3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</row>
    <row r="490" ht="16.5" customHeight="1">
      <c r="A490" s="145">
        <v>45.0</v>
      </c>
      <c r="B490" s="145">
        <v>54.0</v>
      </c>
      <c r="C490" s="145" t="s">
        <v>243</v>
      </c>
      <c r="D490" s="146">
        <v>112.0</v>
      </c>
      <c r="E490" s="3"/>
      <c r="F490" s="3"/>
      <c r="G490" s="3"/>
      <c r="H490" s="3"/>
      <c r="I490" s="3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</row>
    <row r="491" ht="16.5" customHeight="1">
      <c r="A491" s="145">
        <v>55.0</v>
      </c>
      <c r="B491" s="145">
        <v>59.0</v>
      </c>
      <c r="C491" s="145" t="s">
        <v>243</v>
      </c>
      <c r="D491" s="146">
        <v>174.0</v>
      </c>
      <c r="E491" s="3"/>
      <c r="F491" s="3"/>
      <c r="G491" s="3"/>
      <c r="H491" s="3"/>
      <c r="I491" s="3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</row>
    <row r="492" ht="16.5" customHeight="1">
      <c r="A492" s="145">
        <v>60.0</v>
      </c>
      <c r="B492" s="145">
        <v>64.0</v>
      </c>
      <c r="C492" s="145" t="s">
        <v>243</v>
      </c>
      <c r="D492" s="146">
        <v>206.0</v>
      </c>
      <c r="E492" s="3"/>
      <c r="F492" s="3"/>
      <c r="G492" s="3"/>
      <c r="H492" s="3"/>
      <c r="I492" s="3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</row>
    <row r="493" ht="16.5" customHeight="1">
      <c r="A493" s="145">
        <v>65.0</v>
      </c>
      <c r="B493" s="145">
        <v>69.0</v>
      </c>
      <c r="C493" s="145" t="s">
        <v>243</v>
      </c>
      <c r="D493" s="146">
        <v>293.0</v>
      </c>
      <c r="E493" s="3"/>
      <c r="F493" s="3"/>
      <c r="G493" s="3"/>
      <c r="H493" s="3"/>
      <c r="I493" s="3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</row>
    <row r="494" ht="16.5" customHeight="1">
      <c r="A494" s="145">
        <v>70.0</v>
      </c>
      <c r="B494" s="145">
        <v>120.0</v>
      </c>
      <c r="C494" s="145" t="s">
        <v>243</v>
      </c>
      <c r="D494" s="146">
        <v>304.0</v>
      </c>
      <c r="E494" s="3"/>
      <c r="F494" s="3"/>
      <c r="G494" s="3"/>
      <c r="H494" s="3"/>
      <c r="I494" s="3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</row>
    <row r="495" ht="16.5" customHeight="1">
      <c r="A495" s="145">
        <v>0.0</v>
      </c>
      <c r="B495" s="145">
        <v>24.0</v>
      </c>
      <c r="C495" s="145" t="s">
        <v>244</v>
      </c>
      <c r="D495" s="146">
        <v>93.0</v>
      </c>
      <c r="E495" s="3"/>
      <c r="F495" s="3"/>
      <c r="G495" s="3"/>
      <c r="H495" s="3"/>
      <c r="I495" s="3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</row>
    <row r="496" ht="16.5" customHeight="1">
      <c r="A496" s="145">
        <v>25.0</v>
      </c>
      <c r="B496" s="145">
        <v>44.0</v>
      </c>
      <c r="C496" s="145" t="s">
        <v>244</v>
      </c>
      <c r="D496" s="146">
        <v>110.0</v>
      </c>
      <c r="E496" s="3"/>
      <c r="F496" s="3"/>
      <c r="G496" s="3"/>
      <c r="H496" s="3"/>
      <c r="I496" s="3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</row>
    <row r="497" ht="16.5" customHeight="1">
      <c r="A497" s="145">
        <v>45.0</v>
      </c>
      <c r="B497" s="145">
        <v>54.0</v>
      </c>
      <c r="C497" s="145" t="s">
        <v>244</v>
      </c>
      <c r="D497" s="146">
        <v>118.0</v>
      </c>
      <c r="E497" s="3"/>
      <c r="F497" s="3"/>
      <c r="G497" s="3"/>
      <c r="H497" s="3"/>
      <c r="I497" s="3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</row>
    <row r="498" ht="16.5" customHeight="1">
      <c r="A498" s="145">
        <v>55.0</v>
      </c>
      <c r="B498" s="145">
        <v>59.0</v>
      </c>
      <c r="C498" s="145" t="s">
        <v>244</v>
      </c>
      <c r="D498" s="146">
        <v>180.0</v>
      </c>
      <c r="E498" s="3"/>
      <c r="F498" s="3"/>
      <c r="G498" s="3"/>
      <c r="H498" s="3"/>
      <c r="I498" s="3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</row>
    <row r="499" ht="16.5" customHeight="1">
      <c r="A499" s="145">
        <v>60.0</v>
      </c>
      <c r="B499" s="145">
        <v>64.0</v>
      </c>
      <c r="C499" s="145" t="s">
        <v>244</v>
      </c>
      <c r="D499" s="146">
        <v>210.0</v>
      </c>
      <c r="E499" s="3"/>
      <c r="F499" s="3"/>
      <c r="G499" s="3"/>
      <c r="H499" s="3"/>
      <c r="I499" s="3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</row>
    <row r="500" ht="16.5" customHeight="1">
      <c r="A500" s="145">
        <v>65.0</v>
      </c>
      <c r="B500" s="145">
        <v>69.0</v>
      </c>
      <c r="C500" s="145" t="s">
        <v>244</v>
      </c>
      <c r="D500" s="146">
        <v>301.0</v>
      </c>
      <c r="E500" s="3"/>
      <c r="F500" s="3"/>
      <c r="G500" s="3"/>
      <c r="H500" s="3"/>
      <c r="I500" s="3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</row>
    <row r="501" ht="16.5" customHeight="1">
      <c r="A501" s="145">
        <v>70.0</v>
      </c>
      <c r="B501" s="145">
        <v>120.0</v>
      </c>
      <c r="C501" s="145" t="s">
        <v>244</v>
      </c>
      <c r="D501" s="146">
        <v>309.0</v>
      </c>
      <c r="E501" s="3"/>
      <c r="F501" s="3"/>
      <c r="G501" s="3"/>
      <c r="H501" s="3"/>
      <c r="I501" s="3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</row>
    <row r="502" ht="16.5" customHeight="1">
      <c r="A502" s="145">
        <v>0.0</v>
      </c>
      <c r="B502" s="145">
        <v>24.0</v>
      </c>
      <c r="C502" s="145" t="s">
        <v>245</v>
      </c>
      <c r="D502" s="146">
        <v>94.0</v>
      </c>
      <c r="E502" s="3"/>
      <c r="F502" s="3"/>
      <c r="G502" s="3"/>
      <c r="H502" s="3"/>
      <c r="I502" s="3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</row>
    <row r="503" ht="16.5" customHeight="1">
      <c r="A503" s="145">
        <v>25.0</v>
      </c>
      <c r="B503" s="145">
        <v>44.0</v>
      </c>
      <c r="C503" s="145" t="s">
        <v>245</v>
      </c>
      <c r="D503" s="146">
        <v>111.0</v>
      </c>
      <c r="E503" s="3"/>
      <c r="F503" s="3"/>
      <c r="G503" s="3"/>
      <c r="H503" s="3"/>
      <c r="I503" s="3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</row>
    <row r="504" ht="16.5" customHeight="1">
      <c r="A504" s="145">
        <v>45.0</v>
      </c>
      <c r="B504" s="145">
        <v>54.0</v>
      </c>
      <c r="C504" s="145" t="s">
        <v>245</v>
      </c>
      <c r="D504" s="146">
        <v>119.0</v>
      </c>
      <c r="E504" s="3"/>
      <c r="F504" s="3"/>
      <c r="G504" s="3"/>
      <c r="H504" s="3"/>
      <c r="I504" s="3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</row>
    <row r="505" ht="16.5" customHeight="1">
      <c r="A505" s="145">
        <v>55.0</v>
      </c>
      <c r="B505" s="145">
        <v>59.0</v>
      </c>
      <c r="C505" s="145" t="s">
        <v>245</v>
      </c>
      <c r="D505" s="146">
        <v>185.0</v>
      </c>
      <c r="E505" s="3"/>
      <c r="F505" s="3"/>
      <c r="G505" s="3"/>
      <c r="H505" s="3"/>
      <c r="I505" s="3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</row>
    <row r="506" ht="16.5" customHeight="1">
      <c r="A506" s="145">
        <v>60.0</v>
      </c>
      <c r="B506" s="145">
        <v>64.0</v>
      </c>
      <c r="C506" s="145" t="s">
        <v>245</v>
      </c>
      <c r="D506" s="146">
        <v>215.0</v>
      </c>
      <c r="E506" s="3"/>
      <c r="F506" s="3"/>
      <c r="G506" s="3"/>
      <c r="H506" s="3"/>
      <c r="I506" s="3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</row>
    <row r="507" ht="16.5" customHeight="1">
      <c r="A507" s="145">
        <v>65.0</v>
      </c>
      <c r="B507" s="145">
        <v>69.0</v>
      </c>
      <c r="C507" s="145" t="s">
        <v>245</v>
      </c>
      <c r="D507" s="146">
        <v>308.0</v>
      </c>
      <c r="E507" s="3"/>
      <c r="F507" s="3"/>
      <c r="G507" s="3"/>
      <c r="H507" s="3"/>
      <c r="I507" s="3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</row>
    <row r="508" ht="16.5" customHeight="1">
      <c r="A508" s="145">
        <v>70.0</v>
      </c>
      <c r="B508" s="145">
        <v>120.0</v>
      </c>
      <c r="C508" s="145" t="s">
        <v>245</v>
      </c>
      <c r="D508" s="146">
        <v>319.0</v>
      </c>
      <c r="E508" s="3"/>
      <c r="F508" s="3"/>
      <c r="G508" s="3"/>
      <c r="H508" s="3"/>
      <c r="I508" s="3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</row>
    <row r="509" ht="16.5" customHeight="1">
      <c r="A509" s="145">
        <v>0.0</v>
      </c>
      <c r="B509" s="145">
        <v>24.0</v>
      </c>
      <c r="C509" s="145" t="s">
        <v>246</v>
      </c>
      <c r="D509" s="146">
        <v>102.0</v>
      </c>
      <c r="E509" s="3"/>
      <c r="F509" s="3"/>
      <c r="G509" s="3"/>
      <c r="H509" s="3"/>
      <c r="I509" s="3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</row>
    <row r="510" ht="16.5" customHeight="1">
      <c r="A510" s="145">
        <v>25.0</v>
      </c>
      <c r="B510" s="145">
        <v>44.0</v>
      </c>
      <c r="C510" s="145" t="s">
        <v>246</v>
      </c>
      <c r="D510" s="146">
        <v>120.0</v>
      </c>
      <c r="E510" s="3"/>
      <c r="F510" s="3"/>
      <c r="G510" s="3"/>
      <c r="H510" s="3"/>
      <c r="I510" s="3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</row>
    <row r="511" ht="16.5" customHeight="1">
      <c r="A511" s="145">
        <v>45.0</v>
      </c>
      <c r="B511" s="145">
        <v>54.0</v>
      </c>
      <c r="C511" s="145" t="s">
        <v>246</v>
      </c>
      <c r="D511" s="146">
        <f>129</f>
        <v>129</v>
      </c>
      <c r="E511" s="3"/>
      <c r="F511" s="3"/>
      <c r="G511" s="3"/>
      <c r="H511" s="3"/>
      <c r="I511" s="3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</row>
    <row r="512" ht="16.5" customHeight="1">
      <c r="A512" s="145">
        <v>55.0</v>
      </c>
      <c r="B512" s="145">
        <v>59.0</v>
      </c>
      <c r="C512" s="145" t="s">
        <v>246</v>
      </c>
      <c r="D512" s="146">
        <v>198.0</v>
      </c>
      <c r="E512" s="3"/>
      <c r="F512" s="3"/>
      <c r="G512" s="3"/>
      <c r="H512" s="3"/>
      <c r="I512" s="3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</row>
    <row r="513" ht="16.5" customHeight="1">
      <c r="A513" s="145">
        <v>60.0</v>
      </c>
      <c r="B513" s="145">
        <v>64.0</v>
      </c>
      <c r="C513" s="145" t="s">
        <v>246</v>
      </c>
      <c r="D513" s="146">
        <v>228.0</v>
      </c>
      <c r="E513" s="3"/>
      <c r="F513" s="3"/>
      <c r="G513" s="3"/>
      <c r="H513" s="3"/>
      <c r="I513" s="3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</row>
    <row r="514" ht="16.5" customHeight="1">
      <c r="A514" s="145">
        <v>65.0</v>
      </c>
      <c r="B514" s="145">
        <v>69.0</v>
      </c>
      <c r="C514" s="145" t="s">
        <v>246</v>
      </c>
      <c r="D514" s="146">
        <v>320.0</v>
      </c>
      <c r="E514" s="3"/>
      <c r="F514" s="3"/>
      <c r="G514" s="3"/>
      <c r="H514" s="3"/>
      <c r="I514" s="3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</row>
    <row r="515" ht="16.5" customHeight="1">
      <c r="A515" s="145">
        <v>70.0</v>
      </c>
      <c r="B515" s="145">
        <v>120.0</v>
      </c>
      <c r="C515" s="145" t="s">
        <v>246</v>
      </c>
      <c r="D515" s="146">
        <v>329.0</v>
      </c>
      <c r="E515" s="3"/>
      <c r="F515" s="3"/>
      <c r="G515" s="3"/>
      <c r="H515" s="3"/>
      <c r="I515" s="3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</row>
    <row r="516" ht="16.5" customHeight="1">
      <c r="A516" s="145">
        <v>0.0</v>
      </c>
      <c r="B516" s="145">
        <v>24.0</v>
      </c>
      <c r="C516" s="145" t="s">
        <v>247</v>
      </c>
      <c r="D516" s="146">
        <v>102.5</v>
      </c>
      <c r="E516" s="3"/>
      <c r="F516" s="3"/>
      <c r="G516" s="3"/>
      <c r="H516" s="3"/>
      <c r="I516" s="3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</row>
    <row r="517" ht="16.5" customHeight="1">
      <c r="A517" s="145">
        <v>25.0</v>
      </c>
      <c r="B517" s="145">
        <v>44.0</v>
      </c>
      <c r="C517" s="145" t="s">
        <v>247</v>
      </c>
      <c r="D517" s="146">
        <v>120.5</v>
      </c>
      <c r="E517" s="3"/>
      <c r="F517" s="3"/>
      <c r="G517" s="3"/>
      <c r="H517" s="3"/>
      <c r="I517" s="3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</row>
    <row r="518" ht="16.5" customHeight="1">
      <c r="A518" s="145">
        <v>45.0</v>
      </c>
      <c r="B518" s="145">
        <v>54.0</v>
      </c>
      <c r="C518" s="145" t="s">
        <v>247</v>
      </c>
      <c r="D518" s="146">
        <v>130.0</v>
      </c>
      <c r="E518" s="3"/>
      <c r="F518" s="3"/>
      <c r="G518" s="3"/>
      <c r="H518" s="3"/>
      <c r="I518" s="3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</row>
    <row r="519" ht="16.5" customHeight="1">
      <c r="A519" s="145">
        <v>55.0</v>
      </c>
      <c r="B519" s="145">
        <v>59.0</v>
      </c>
      <c r="C519" s="145" t="s">
        <v>247</v>
      </c>
      <c r="D519" s="146">
        <v>198.5</v>
      </c>
      <c r="E519" s="3"/>
      <c r="F519" s="3"/>
      <c r="G519" s="3"/>
      <c r="H519" s="3"/>
      <c r="I519" s="3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</row>
    <row r="520" ht="16.5" customHeight="1">
      <c r="A520" s="145">
        <v>60.0</v>
      </c>
      <c r="B520" s="145">
        <v>64.0</v>
      </c>
      <c r="C520" s="145" t="s">
        <v>247</v>
      </c>
      <c r="D520" s="146">
        <v>228.5</v>
      </c>
      <c r="E520" s="3"/>
      <c r="F520" s="3"/>
      <c r="G520" s="3"/>
      <c r="H520" s="3"/>
      <c r="I520" s="3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</row>
    <row r="521" ht="16.5" customHeight="1">
      <c r="A521" s="145">
        <v>65.0</v>
      </c>
      <c r="B521" s="145">
        <v>69.0</v>
      </c>
      <c r="C521" s="145" t="s">
        <v>247</v>
      </c>
      <c r="D521" s="146">
        <v>321.0</v>
      </c>
      <c r="E521" s="3"/>
      <c r="F521" s="3"/>
      <c r="G521" s="3"/>
      <c r="H521" s="3"/>
      <c r="I521" s="3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</row>
    <row r="522" ht="16.5" customHeight="1">
      <c r="A522" s="145">
        <v>70.0</v>
      </c>
      <c r="B522" s="145">
        <v>120.0</v>
      </c>
      <c r="C522" s="145" t="s">
        <v>247</v>
      </c>
      <c r="D522" s="146">
        <v>330.0</v>
      </c>
      <c r="E522" s="3"/>
      <c r="F522" s="3"/>
      <c r="G522" s="3"/>
      <c r="H522" s="3"/>
      <c r="I522" s="3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</row>
    <row r="523" ht="16.5" customHeight="1">
      <c r="A523" s="145">
        <v>0.0</v>
      </c>
      <c r="B523" s="145">
        <v>24.0</v>
      </c>
      <c r="C523" s="145" t="s">
        <v>248</v>
      </c>
      <c r="D523" s="146">
        <v>104.0</v>
      </c>
      <c r="E523" s="3"/>
      <c r="F523" s="3"/>
      <c r="G523" s="3"/>
      <c r="H523" s="3"/>
      <c r="I523" s="3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</row>
    <row r="524" ht="16.5" customHeight="1">
      <c r="A524" s="145">
        <v>25.0</v>
      </c>
      <c r="B524" s="145">
        <v>44.0</v>
      </c>
      <c r="C524" s="145" t="s">
        <v>248</v>
      </c>
      <c r="D524" s="146">
        <v>122.0</v>
      </c>
      <c r="E524" s="3"/>
      <c r="F524" s="3"/>
      <c r="G524" s="3"/>
      <c r="H524" s="3"/>
      <c r="I524" s="3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</row>
    <row r="525" ht="16.5" customHeight="1">
      <c r="A525" s="145">
        <v>45.0</v>
      </c>
      <c r="B525" s="145">
        <v>54.0</v>
      </c>
      <c r="C525" s="145" t="s">
        <v>248</v>
      </c>
      <c r="D525" s="146">
        <v>132.0</v>
      </c>
      <c r="E525" s="3"/>
      <c r="F525" s="3"/>
      <c r="G525" s="3"/>
      <c r="H525" s="3"/>
      <c r="I525" s="3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</row>
    <row r="526" ht="16.5" customHeight="1">
      <c r="A526" s="145">
        <v>55.0</v>
      </c>
      <c r="B526" s="145">
        <v>59.0</v>
      </c>
      <c r="C526" s="145" t="s">
        <v>248</v>
      </c>
      <c r="D526" s="146">
        <v>203.0</v>
      </c>
      <c r="E526" s="3"/>
      <c r="F526" s="3"/>
      <c r="G526" s="3"/>
      <c r="H526" s="3"/>
      <c r="I526" s="3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</row>
    <row r="527" ht="16.5" customHeight="1">
      <c r="A527" s="145">
        <v>60.0</v>
      </c>
      <c r="B527" s="145">
        <v>64.0</v>
      </c>
      <c r="C527" s="145" t="s">
        <v>248</v>
      </c>
      <c r="D527" s="146">
        <v>233.0</v>
      </c>
      <c r="E527" s="3"/>
      <c r="F527" s="3"/>
      <c r="G527" s="3"/>
      <c r="H527" s="3"/>
      <c r="I527" s="3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</row>
    <row r="528" ht="16.5" customHeight="1">
      <c r="A528" s="145">
        <v>65.0</v>
      </c>
      <c r="B528" s="145">
        <v>69.0</v>
      </c>
      <c r="C528" s="145" t="s">
        <v>248</v>
      </c>
      <c r="D528" s="146">
        <v>330.0</v>
      </c>
      <c r="E528" s="3"/>
      <c r="F528" s="3"/>
      <c r="G528" s="3"/>
      <c r="H528" s="3"/>
      <c r="I528" s="3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</row>
    <row r="529" ht="16.5" customHeight="1">
      <c r="A529" s="145">
        <v>70.0</v>
      </c>
      <c r="B529" s="145">
        <v>120.0</v>
      </c>
      <c r="C529" s="145" t="s">
        <v>248</v>
      </c>
      <c r="D529" s="146">
        <v>340.0</v>
      </c>
      <c r="E529" s="3"/>
      <c r="F529" s="3"/>
      <c r="G529" s="3"/>
      <c r="H529" s="3"/>
      <c r="I529" s="3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</row>
    <row r="530" ht="16.5" customHeight="1">
      <c r="A530" s="145">
        <v>0.0</v>
      </c>
      <c r="B530" s="145">
        <v>24.0</v>
      </c>
      <c r="C530" s="145" t="s">
        <v>249</v>
      </c>
      <c r="D530" s="146">
        <v>48.5</v>
      </c>
      <c r="E530" s="3"/>
      <c r="F530" s="3"/>
      <c r="G530" s="3"/>
      <c r="H530" s="3"/>
      <c r="I530" s="3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</row>
    <row r="531" ht="16.5" customHeight="1">
      <c r="A531" s="145">
        <v>25.0</v>
      </c>
      <c r="B531" s="145">
        <v>44.0</v>
      </c>
      <c r="C531" s="145" t="s">
        <v>249</v>
      </c>
      <c r="D531" s="146">
        <v>59.5</v>
      </c>
      <c r="E531" s="3"/>
      <c r="F531" s="3"/>
      <c r="G531" s="3"/>
      <c r="H531" s="3"/>
      <c r="I531" s="3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</row>
    <row r="532" ht="16.5" customHeight="1">
      <c r="A532" s="145">
        <v>45.0</v>
      </c>
      <c r="B532" s="145">
        <v>54.0</v>
      </c>
      <c r="C532" s="145" t="s">
        <v>249</v>
      </c>
      <c r="D532" s="146">
        <v>72.5</v>
      </c>
      <c r="E532" s="3"/>
      <c r="F532" s="3"/>
      <c r="G532" s="3"/>
      <c r="H532" s="3"/>
      <c r="I532" s="3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</row>
    <row r="533" ht="16.5" customHeight="1">
      <c r="A533" s="145">
        <v>55.0</v>
      </c>
      <c r="B533" s="145">
        <v>59.0</v>
      </c>
      <c r="C533" s="145" t="s">
        <v>249</v>
      </c>
      <c r="D533" s="146">
        <v>110.0</v>
      </c>
      <c r="E533" s="3"/>
      <c r="F533" s="3"/>
      <c r="G533" s="3"/>
      <c r="H533" s="3"/>
      <c r="I533" s="3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</row>
    <row r="534" ht="16.5" customHeight="1">
      <c r="A534" s="145">
        <v>60.0</v>
      </c>
      <c r="B534" s="145">
        <v>62.0</v>
      </c>
      <c r="C534" s="145" t="s">
        <v>249</v>
      </c>
      <c r="D534" s="146">
        <v>132.0</v>
      </c>
      <c r="E534" s="3"/>
      <c r="F534" s="3"/>
      <c r="G534" s="3"/>
      <c r="H534" s="3"/>
      <c r="I534" s="3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</row>
    <row r="535" ht="16.5" customHeight="1">
      <c r="A535" s="145">
        <v>63.0</v>
      </c>
      <c r="B535" s="145">
        <v>120.0</v>
      </c>
      <c r="C535" s="145" t="s">
        <v>249</v>
      </c>
      <c r="D535" s="146">
        <v>196.0</v>
      </c>
      <c r="E535" s="3"/>
      <c r="F535" s="3"/>
      <c r="G535" s="3"/>
      <c r="H535" s="3"/>
      <c r="I535" s="3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</row>
    <row r="536" ht="16.5" customHeight="1">
      <c r="A536" s="145">
        <v>0.0</v>
      </c>
      <c r="B536" s="145">
        <v>24.0</v>
      </c>
      <c r="C536" s="145" t="s">
        <v>250</v>
      </c>
      <c r="D536" s="146">
        <v>49.0</v>
      </c>
      <c r="E536" s="3"/>
      <c r="F536" s="3"/>
      <c r="G536" s="3"/>
      <c r="H536" s="3"/>
      <c r="I536" s="3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</row>
    <row r="537" ht="16.5" customHeight="1">
      <c r="A537" s="145">
        <v>25.0</v>
      </c>
      <c r="B537" s="145">
        <v>44.0</v>
      </c>
      <c r="C537" s="145" t="s">
        <v>250</v>
      </c>
      <c r="D537" s="146">
        <v>61.0</v>
      </c>
      <c r="E537" s="3"/>
      <c r="F537" s="3"/>
      <c r="G537" s="3"/>
      <c r="H537" s="3"/>
      <c r="I537" s="3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</row>
    <row r="538" ht="16.5" customHeight="1">
      <c r="A538" s="145">
        <v>45.0</v>
      </c>
      <c r="B538" s="145">
        <v>54.0</v>
      </c>
      <c r="C538" s="145" t="s">
        <v>250</v>
      </c>
      <c r="D538" s="146">
        <v>73.5</v>
      </c>
      <c r="E538" s="3"/>
      <c r="F538" s="3"/>
      <c r="G538" s="3"/>
      <c r="H538" s="3"/>
      <c r="I538" s="3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</row>
    <row r="539" ht="16.5" customHeight="1">
      <c r="A539" s="145">
        <v>55.0</v>
      </c>
      <c r="B539" s="145">
        <v>59.0</v>
      </c>
      <c r="C539" s="145" t="s">
        <v>250</v>
      </c>
      <c r="D539" s="146">
        <v>112.0</v>
      </c>
      <c r="E539" s="3"/>
      <c r="F539" s="3"/>
      <c r="G539" s="3"/>
      <c r="H539" s="3"/>
      <c r="I539" s="3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</row>
    <row r="540" ht="16.5" customHeight="1">
      <c r="A540" s="145">
        <v>60.0</v>
      </c>
      <c r="B540" s="145">
        <v>62.0</v>
      </c>
      <c r="C540" s="145" t="s">
        <v>250</v>
      </c>
      <c r="D540" s="146">
        <v>133.0</v>
      </c>
      <c r="E540" s="3"/>
      <c r="F540" s="3"/>
      <c r="G540" s="3"/>
      <c r="H540" s="3"/>
      <c r="I540" s="3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</row>
    <row r="541" ht="16.5" customHeight="1">
      <c r="A541" s="145">
        <v>63.0</v>
      </c>
      <c r="B541" s="145">
        <v>120.0</v>
      </c>
      <c r="C541" s="145" t="s">
        <v>250</v>
      </c>
      <c r="D541" s="146">
        <v>201.0</v>
      </c>
      <c r="E541" s="3"/>
      <c r="F541" s="3"/>
      <c r="G541" s="3"/>
      <c r="H541" s="3"/>
      <c r="I541" s="3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</row>
    <row r="542" ht="16.5" customHeight="1">
      <c r="A542" s="145">
        <v>0.0</v>
      </c>
      <c r="B542" s="145">
        <v>24.0</v>
      </c>
      <c r="C542" s="145" t="s">
        <v>251</v>
      </c>
      <c r="D542" s="146">
        <v>50.0</v>
      </c>
      <c r="E542" s="3"/>
      <c r="F542" s="3"/>
      <c r="G542" s="3"/>
      <c r="H542" s="3"/>
      <c r="I542" s="3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</row>
    <row r="543" ht="16.5" customHeight="1">
      <c r="A543" s="145">
        <v>25.0</v>
      </c>
      <c r="B543" s="145">
        <v>44.0</v>
      </c>
      <c r="C543" s="145" t="s">
        <v>251</v>
      </c>
      <c r="D543" s="146">
        <v>62.0</v>
      </c>
      <c r="E543" s="3"/>
      <c r="F543" s="3"/>
      <c r="G543" s="3"/>
      <c r="H543" s="3"/>
      <c r="I543" s="3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</row>
    <row r="544" ht="16.5" customHeight="1">
      <c r="A544" s="145">
        <v>45.0</v>
      </c>
      <c r="B544" s="145">
        <v>54.0</v>
      </c>
      <c r="C544" s="145" t="s">
        <v>251</v>
      </c>
      <c r="D544" s="146">
        <v>75.0</v>
      </c>
      <c r="E544" s="3"/>
      <c r="F544" s="3"/>
      <c r="G544" s="3"/>
      <c r="H544" s="3"/>
      <c r="I544" s="3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</row>
    <row r="545" ht="16.5" customHeight="1">
      <c r="A545" s="145">
        <v>55.0</v>
      </c>
      <c r="B545" s="145">
        <v>59.0</v>
      </c>
      <c r="C545" s="145" t="s">
        <v>251</v>
      </c>
      <c r="D545" s="146">
        <v>114.0</v>
      </c>
      <c r="E545" s="3"/>
      <c r="F545" s="3"/>
      <c r="G545" s="3"/>
      <c r="H545" s="3"/>
      <c r="I545" s="3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</row>
    <row r="546" ht="16.5" customHeight="1">
      <c r="A546" s="145">
        <v>60.0</v>
      </c>
      <c r="B546" s="145">
        <v>62.0</v>
      </c>
      <c r="C546" s="145" t="s">
        <v>251</v>
      </c>
      <c r="D546" s="146">
        <v>137.0</v>
      </c>
      <c r="E546" s="3"/>
      <c r="F546" s="3"/>
      <c r="G546" s="3"/>
      <c r="H546" s="3"/>
      <c r="I546" s="3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</row>
    <row r="547" ht="16.5" customHeight="1">
      <c r="A547" s="145">
        <v>63.0</v>
      </c>
      <c r="B547" s="145">
        <v>120.0</v>
      </c>
      <c r="C547" s="145" t="s">
        <v>251</v>
      </c>
      <c r="D547" s="146">
        <v>210.0</v>
      </c>
      <c r="E547" s="3"/>
      <c r="F547" s="3"/>
      <c r="G547" s="3"/>
      <c r="H547" s="3"/>
      <c r="I547" s="3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</row>
    <row r="548" ht="16.5" customHeight="1">
      <c r="A548" s="145">
        <v>0.0</v>
      </c>
      <c r="B548" s="145">
        <v>24.0</v>
      </c>
      <c r="C548" s="145" t="s">
        <v>252</v>
      </c>
      <c r="D548" s="146">
        <v>50.5</v>
      </c>
      <c r="E548" s="3"/>
      <c r="F548" s="3"/>
      <c r="G548" s="3"/>
      <c r="H548" s="3"/>
      <c r="I548" s="3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</row>
    <row r="549" ht="16.5" customHeight="1">
      <c r="A549" s="145">
        <v>25.0</v>
      </c>
      <c r="B549" s="145">
        <v>44.0</v>
      </c>
      <c r="C549" s="145" t="s">
        <v>252</v>
      </c>
      <c r="D549" s="146">
        <v>62.5</v>
      </c>
      <c r="E549" s="3"/>
      <c r="F549" s="3"/>
      <c r="G549" s="3"/>
      <c r="H549" s="3"/>
      <c r="I549" s="3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</row>
    <row r="550" ht="16.5" customHeight="1">
      <c r="A550" s="145">
        <v>45.0</v>
      </c>
      <c r="B550" s="145">
        <v>54.0</v>
      </c>
      <c r="C550" s="145" t="s">
        <v>252</v>
      </c>
      <c r="D550" s="146">
        <v>75.5</v>
      </c>
      <c r="E550" s="3"/>
      <c r="F550" s="3"/>
      <c r="G550" s="3"/>
      <c r="H550" s="3"/>
      <c r="I550" s="3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</row>
    <row r="551" ht="16.5" customHeight="1">
      <c r="A551" s="145">
        <v>55.0</v>
      </c>
      <c r="B551" s="145">
        <v>59.0</v>
      </c>
      <c r="C551" s="145" t="s">
        <v>252</v>
      </c>
      <c r="D551" s="146">
        <v>114.5</v>
      </c>
      <c r="E551" s="3"/>
      <c r="F551" s="3"/>
      <c r="G551" s="3"/>
      <c r="H551" s="3"/>
      <c r="I551" s="3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</row>
    <row r="552" ht="16.5" customHeight="1">
      <c r="A552" s="145">
        <v>60.0</v>
      </c>
      <c r="B552" s="145">
        <v>62.0</v>
      </c>
      <c r="C552" s="145" t="s">
        <v>252</v>
      </c>
      <c r="D552" s="146">
        <v>137.5</v>
      </c>
      <c r="E552" s="3"/>
      <c r="F552" s="3"/>
      <c r="G552" s="3"/>
      <c r="H552" s="3"/>
      <c r="I552" s="3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</row>
    <row r="553" ht="16.5" customHeight="1">
      <c r="A553" s="145">
        <v>63.0</v>
      </c>
      <c r="B553" s="145">
        <v>120.0</v>
      </c>
      <c r="C553" s="145" t="s">
        <v>252</v>
      </c>
      <c r="D553" s="146">
        <v>210.5</v>
      </c>
      <c r="E553" s="3"/>
      <c r="F553" s="3"/>
      <c r="G553" s="3"/>
      <c r="H553" s="3"/>
      <c r="I553" s="3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</row>
    <row r="554" ht="16.5" customHeight="1">
      <c r="A554" s="145">
        <v>0.0</v>
      </c>
      <c r="B554" s="145">
        <v>24.0</v>
      </c>
      <c r="C554" s="145" t="s">
        <v>253</v>
      </c>
      <c r="D554" s="169">
        <v>52.0</v>
      </c>
      <c r="E554" s="3"/>
      <c r="F554" s="3"/>
      <c r="G554" s="3"/>
      <c r="H554" s="3"/>
      <c r="I554" s="3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</row>
    <row r="555" ht="16.5" customHeight="1">
      <c r="A555" s="145">
        <v>25.0</v>
      </c>
      <c r="B555" s="145">
        <v>44.0</v>
      </c>
      <c r="C555" s="145" t="s">
        <v>253</v>
      </c>
      <c r="D555" s="169">
        <v>63.0</v>
      </c>
      <c r="E555" s="3"/>
      <c r="F555" s="3"/>
      <c r="G555" s="3"/>
      <c r="H555" s="3"/>
      <c r="I555" s="3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</row>
    <row r="556" ht="16.5" customHeight="1">
      <c r="A556" s="145">
        <v>45.0</v>
      </c>
      <c r="B556" s="145">
        <v>54.0</v>
      </c>
      <c r="C556" s="145" t="s">
        <v>253</v>
      </c>
      <c r="D556" s="169">
        <v>77.0</v>
      </c>
      <c r="E556" s="3"/>
      <c r="F556" s="3"/>
      <c r="G556" s="3"/>
      <c r="H556" s="3"/>
      <c r="I556" s="3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</row>
    <row r="557" ht="16.5" customHeight="1">
      <c r="A557" s="145">
        <v>55.0</v>
      </c>
      <c r="B557" s="145">
        <v>59.0</v>
      </c>
      <c r="C557" s="145" t="s">
        <v>253</v>
      </c>
      <c r="D557" s="169">
        <v>115.0</v>
      </c>
      <c r="E557" s="3"/>
      <c r="F557" s="3"/>
      <c r="G557" s="3"/>
      <c r="H557" s="3"/>
      <c r="I557" s="3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</row>
    <row r="558" ht="16.5" customHeight="1">
      <c r="A558" s="145">
        <v>60.0</v>
      </c>
      <c r="B558" s="145">
        <v>62.0</v>
      </c>
      <c r="C558" s="145" t="s">
        <v>253</v>
      </c>
      <c r="D558" s="169">
        <v>140.0</v>
      </c>
      <c r="E558" s="3"/>
      <c r="F558" s="3"/>
      <c r="G558" s="3"/>
      <c r="H558" s="3"/>
      <c r="I558" s="3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</row>
    <row r="559" ht="16.5" customHeight="1">
      <c r="A559" s="145">
        <v>63.0</v>
      </c>
      <c r="B559" s="145">
        <v>120.0</v>
      </c>
      <c r="C559" s="145" t="s">
        <v>253</v>
      </c>
      <c r="D559" s="169">
        <v>230.0</v>
      </c>
      <c r="E559" s="3"/>
      <c r="F559" s="3"/>
      <c r="G559" s="3"/>
      <c r="H559" s="3"/>
      <c r="I559" s="3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</row>
    <row r="560" ht="16.5" customHeight="1">
      <c r="A560" s="145">
        <v>0.0</v>
      </c>
      <c r="B560" s="145">
        <v>24.0</v>
      </c>
      <c r="C560" s="145" t="s">
        <v>254</v>
      </c>
      <c r="D560" s="169">
        <v>53.0</v>
      </c>
      <c r="E560" s="3"/>
      <c r="F560" s="3"/>
      <c r="G560" s="3"/>
      <c r="H560" s="3"/>
      <c r="I560" s="3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</row>
    <row r="561" ht="16.5" customHeight="1">
      <c r="A561" s="145">
        <v>25.0</v>
      </c>
      <c r="B561" s="145">
        <v>44.0</v>
      </c>
      <c r="C561" s="145" t="s">
        <v>254</v>
      </c>
      <c r="D561" s="169">
        <v>65.0</v>
      </c>
      <c r="E561" s="3"/>
      <c r="F561" s="3"/>
      <c r="G561" s="3"/>
      <c r="H561" s="3"/>
      <c r="I561" s="3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</row>
    <row r="562" ht="16.5" customHeight="1">
      <c r="A562" s="145">
        <v>45.0</v>
      </c>
      <c r="B562" s="145">
        <v>54.0</v>
      </c>
      <c r="C562" s="145" t="s">
        <v>254</v>
      </c>
      <c r="D562" s="169">
        <v>78.5</v>
      </c>
      <c r="E562" s="3"/>
      <c r="F562" s="3"/>
      <c r="G562" s="3"/>
      <c r="H562" s="3"/>
      <c r="I562" s="3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</row>
    <row r="563" ht="16.5" customHeight="1">
      <c r="A563" s="145">
        <v>55.0</v>
      </c>
      <c r="B563" s="145">
        <v>59.0</v>
      </c>
      <c r="C563" s="145" t="s">
        <v>254</v>
      </c>
      <c r="D563" s="169">
        <v>118.0</v>
      </c>
      <c r="E563" s="3"/>
      <c r="F563" s="3"/>
      <c r="G563" s="3"/>
      <c r="H563" s="3"/>
      <c r="I563" s="3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</row>
    <row r="564" ht="16.5" customHeight="1">
      <c r="A564" s="145">
        <v>60.0</v>
      </c>
      <c r="B564" s="145">
        <v>62.0</v>
      </c>
      <c r="C564" s="145" t="s">
        <v>254</v>
      </c>
      <c r="D564" s="169">
        <v>142.0</v>
      </c>
      <c r="E564" s="3"/>
      <c r="F564" s="3"/>
      <c r="G564" s="3"/>
      <c r="H564" s="3"/>
      <c r="I564" s="3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</row>
    <row r="565" ht="16.5" customHeight="1">
      <c r="A565" s="145">
        <v>63.0</v>
      </c>
      <c r="B565" s="145">
        <v>120.0</v>
      </c>
      <c r="C565" s="145" t="s">
        <v>254</v>
      </c>
      <c r="D565" s="169">
        <v>235.0</v>
      </c>
      <c r="E565" s="3"/>
      <c r="F565" s="3"/>
      <c r="G565" s="3"/>
      <c r="H565" s="3"/>
      <c r="I565" s="3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</row>
    <row r="566" ht="16.5" customHeight="1">
      <c r="A566" s="145">
        <v>0.0</v>
      </c>
      <c r="B566" s="145">
        <v>24.0</v>
      </c>
      <c r="C566" s="145" t="s">
        <v>255</v>
      </c>
      <c r="D566" s="169">
        <v>90.0</v>
      </c>
      <c r="E566" s="3"/>
      <c r="F566" s="3"/>
      <c r="G566" s="3"/>
      <c r="H566" s="3"/>
      <c r="I566" s="3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</row>
    <row r="567" ht="16.5" customHeight="1">
      <c r="A567" s="145">
        <v>25.0</v>
      </c>
      <c r="B567" s="145">
        <v>44.0</v>
      </c>
      <c r="C567" s="145" t="s">
        <v>255</v>
      </c>
      <c r="D567" s="169">
        <v>106.0</v>
      </c>
      <c r="E567" s="3"/>
      <c r="F567" s="3"/>
      <c r="G567" s="3"/>
      <c r="H567" s="3"/>
      <c r="I567" s="3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</row>
    <row r="568" ht="16.5" customHeight="1">
      <c r="A568" s="145">
        <v>45.0</v>
      </c>
      <c r="B568" s="145">
        <v>54.0</v>
      </c>
      <c r="C568" s="145" t="s">
        <v>255</v>
      </c>
      <c r="D568" s="169">
        <v>112.0</v>
      </c>
      <c r="E568" s="3"/>
      <c r="F568" s="3"/>
      <c r="G568" s="3"/>
      <c r="H568" s="3"/>
      <c r="I568" s="3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</row>
    <row r="569" ht="16.5" customHeight="1">
      <c r="A569" s="145">
        <v>55.0</v>
      </c>
      <c r="B569" s="145">
        <v>59.0</v>
      </c>
      <c r="C569" s="145" t="s">
        <v>255</v>
      </c>
      <c r="D569" s="169">
        <v>174.0</v>
      </c>
      <c r="E569" s="3"/>
      <c r="F569" s="3"/>
      <c r="G569" s="3"/>
      <c r="H569" s="3"/>
      <c r="I569" s="3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</row>
    <row r="570" ht="16.5" customHeight="1">
      <c r="A570" s="145">
        <v>60.0</v>
      </c>
      <c r="B570" s="145">
        <v>64.0</v>
      </c>
      <c r="C570" s="145" t="s">
        <v>255</v>
      </c>
      <c r="D570" s="169">
        <v>206.0</v>
      </c>
      <c r="E570" s="3"/>
      <c r="F570" s="3"/>
      <c r="G570" s="3"/>
      <c r="H570" s="3"/>
      <c r="I570" s="3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</row>
    <row r="571" ht="16.5" customHeight="1">
      <c r="A571" s="145">
        <v>65.0</v>
      </c>
      <c r="B571" s="145">
        <v>69.0</v>
      </c>
      <c r="C571" s="145" t="s">
        <v>255</v>
      </c>
      <c r="D571" s="146">
        <v>293.0</v>
      </c>
      <c r="E571" s="3"/>
      <c r="F571" s="3"/>
      <c r="G571" s="3"/>
      <c r="H571" s="3"/>
      <c r="I571" s="3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</row>
    <row r="572" ht="16.5" customHeight="1">
      <c r="A572" s="145">
        <v>70.0</v>
      </c>
      <c r="B572" s="145">
        <v>120.0</v>
      </c>
      <c r="C572" s="145" t="s">
        <v>255</v>
      </c>
      <c r="D572" s="146">
        <v>304.0</v>
      </c>
      <c r="E572" s="3"/>
      <c r="F572" s="3"/>
      <c r="G572" s="3"/>
      <c r="H572" s="3"/>
      <c r="I572" s="3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</row>
    <row r="573" ht="16.5" customHeight="1">
      <c r="A573" s="145">
        <v>0.0</v>
      </c>
      <c r="B573" s="145">
        <v>24.0</v>
      </c>
      <c r="C573" s="145" t="s">
        <v>256</v>
      </c>
      <c r="D573" s="146">
        <v>93.0</v>
      </c>
      <c r="E573" s="3"/>
      <c r="F573" s="3"/>
      <c r="G573" s="3"/>
      <c r="H573" s="3"/>
      <c r="I573" s="3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</row>
    <row r="574" ht="16.5" customHeight="1">
      <c r="A574" s="145">
        <v>25.0</v>
      </c>
      <c r="B574" s="145">
        <v>44.0</v>
      </c>
      <c r="C574" s="145" t="s">
        <v>256</v>
      </c>
      <c r="D574" s="146">
        <v>110.0</v>
      </c>
      <c r="E574" s="3"/>
      <c r="F574" s="3"/>
      <c r="G574" s="3"/>
      <c r="H574" s="3"/>
      <c r="I574" s="3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</row>
    <row r="575" ht="16.5" customHeight="1">
      <c r="A575" s="145">
        <v>45.0</v>
      </c>
      <c r="B575" s="145">
        <v>54.0</v>
      </c>
      <c r="C575" s="145" t="s">
        <v>256</v>
      </c>
      <c r="D575" s="146">
        <v>118.0</v>
      </c>
      <c r="E575" s="3"/>
      <c r="F575" s="3"/>
      <c r="G575" s="3"/>
      <c r="H575" s="3"/>
      <c r="I575" s="3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</row>
    <row r="576" ht="16.5" customHeight="1">
      <c r="A576" s="145">
        <v>55.0</v>
      </c>
      <c r="B576" s="145">
        <v>59.0</v>
      </c>
      <c r="C576" s="145" t="s">
        <v>256</v>
      </c>
      <c r="D576" s="146">
        <v>180.0</v>
      </c>
      <c r="E576" s="3"/>
      <c r="F576" s="3"/>
      <c r="G576" s="3"/>
      <c r="H576" s="3"/>
      <c r="I576" s="3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</row>
    <row r="577" ht="16.5" customHeight="1">
      <c r="A577" s="145">
        <v>60.0</v>
      </c>
      <c r="B577" s="145">
        <v>64.0</v>
      </c>
      <c r="C577" s="145" t="s">
        <v>256</v>
      </c>
      <c r="D577" s="146">
        <v>210.0</v>
      </c>
      <c r="E577" s="3"/>
      <c r="F577" s="3"/>
      <c r="G577" s="3"/>
      <c r="H577" s="3"/>
      <c r="I577" s="3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</row>
    <row r="578" ht="16.5" customHeight="1">
      <c r="A578" s="145">
        <v>65.0</v>
      </c>
      <c r="B578" s="145">
        <v>69.0</v>
      </c>
      <c r="C578" s="145" t="s">
        <v>256</v>
      </c>
      <c r="D578" s="146">
        <v>301.0</v>
      </c>
      <c r="E578" s="3"/>
      <c r="F578" s="3"/>
      <c r="G578" s="3"/>
      <c r="H578" s="3"/>
      <c r="I578" s="3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</row>
    <row r="579" ht="16.5" customHeight="1">
      <c r="A579" s="145">
        <v>70.0</v>
      </c>
      <c r="B579" s="145">
        <v>120.0</v>
      </c>
      <c r="C579" s="145" t="s">
        <v>256</v>
      </c>
      <c r="D579" s="146">
        <v>309.0</v>
      </c>
      <c r="E579" s="3"/>
      <c r="F579" s="3"/>
      <c r="G579" s="3"/>
      <c r="H579" s="3"/>
      <c r="I579" s="3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</row>
    <row r="580" ht="16.5" customHeight="1">
      <c r="A580" s="145">
        <v>0.0</v>
      </c>
      <c r="B580" s="145">
        <v>24.0</v>
      </c>
      <c r="C580" s="145" t="s">
        <v>257</v>
      </c>
      <c r="D580" s="146">
        <v>94.0</v>
      </c>
      <c r="E580" s="3"/>
      <c r="F580" s="3"/>
      <c r="G580" s="3"/>
      <c r="H580" s="3"/>
      <c r="I580" s="3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</row>
    <row r="581" ht="16.5" customHeight="1">
      <c r="A581" s="145">
        <v>25.0</v>
      </c>
      <c r="B581" s="145">
        <v>44.0</v>
      </c>
      <c r="C581" s="145" t="s">
        <v>257</v>
      </c>
      <c r="D581" s="146">
        <v>111.0</v>
      </c>
      <c r="E581" s="3"/>
      <c r="F581" s="3"/>
      <c r="G581" s="3"/>
      <c r="H581" s="3"/>
      <c r="I581" s="3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</row>
    <row r="582" ht="16.5" customHeight="1">
      <c r="A582" s="145">
        <v>45.0</v>
      </c>
      <c r="B582" s="145">
        <v>54.0</v>
      </c>
      <c r="C582" s="145" t="s">
        <v>257</v>
      </c>
      <c r="D582" s="146">
        <v>119.0</v>
      </c>
      <c r="E582" s="3"/>
      <c r="F582" s="3"/>
      <c r="G582" s="3"/>
      <c r="H582" s="3"/>
      <c r="I582" s="3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</row>
    <row r="583" ht="16.5" customHeight="1">
      <c r="A583" s="145">
        <v>55.0</v>
      </c>
      <c r="B583" s="145">
        <v>59.0</v>
      </c>
      <c r="C583" s="145" t="s">
        <v>257</v>
      </c>
      <c r="D583" s="146">
        <v>185.0</v>
      </c>
      <c r="E583" s="3"/>
      <c r="F583" s="3"/>
      <c r="G583" s="3"/>
      <c r="H583" s="3"/>
      <c r="I583" s="3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</row>
    <row r="584" ht="16.5" customHeight="1">
      <c r="A584" s="145">
        <v>60.0</v>
      </c>
      <c r="B584" s="145">
        <v>64.0</v>
      </c>
      <c r="C584" s="145" t="s">
        <v>257</v>
      </c>
      <c r="D584" s="146">
        <v>215.0</v>
      </c>
      <c r="E584" s="3"/>
      <c r="F584" s="3"/>
      <c r="G584" s="3"/>
      <c r="H584" s="3"/>
      <c r="I584" s="3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</row>
    <row r="585" ht="16.5" customHeight="1">
      <c r="A585" s="145">
        <v>65.0</v>
      </c>
      <c r="B585" s="145">
        <v>69.0</v>
      </c>
      <c r="C585" s="145" t="s">
        <v>257</v>
      </c>
      <c r="D585" s="146">
        <v>308.0</v>
      </c>
      <c r="E585" s="3"/>
      <c r="F585" s="3"/>
      <c r="G585" s="3"/>
      <c r="H585" s="3"/>
      <c r="I585" s="3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</row>
    <row r="586" ht="16.5" customHeight="1">
      <c r="A586" s="145">
        <v>70.0</v>
      </c>
      <c r="B586" s="145">
        <v>120.0</v>
      </c>
      <c r="C586" s="145" t="s">
        <v>257</v>
      </c>
      <c r="D586" s="146">
        <v>319.0</v>
      </c>
      <c r="E586" s="3"/>
      <c r="F586" s="3"/>
      <c r="G586" s="3"/>
      <c r="H586" s="3"/>
      <c r="I586" s="3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</row>
    <row r="587" ht="16.5" customHeight="1">
      <c r="A587" s="145">
        <v>0.0</v>
      </c>
      <c r="B587" s="145">
        <v>24.0</v>
      </c>
      <c r="C587" s="145" t="s">
        <v>258</v>
      </c>
      <c r="D587" s="146">
        <v>102.0</v>
      </c>
      <c r="E587" s="3"/>
      <c r="F587" s="3"/>
      <c r="G587" s="3"/>
      <c r="H587" s="3"/>
      <c r="I587" s="3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</row>
    <row r="588" ht="16.5" customHeight="1">
      <c r="A588" s="145">
        <v>25.0</v>
      </c>
      <c r="B588" s="145">
        <v>44.0</v>
      </c>
      <c r="C588" s="145" t="s">
        <v>258</v>
      </c>
      <c r="D588" s="146">
        <v>120.0</v>
      </c>
      <c r="E588" s="3"/>
      <c r="F588" s="3"/>
      <c r="G588" s="3"/>
      <c r="H588" s="3"/>
      <c r="I588" s="3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</row>
    <row r="589" ht="16.5" customHeight="1">
      <c r="A589" s="145">
        <v>45.0</v>
      </c>
      <c r="B589" s="145">
        <v>54.0</v>
      </c>
      <c r="C589" s="145" t="s">
        <v>258</v>
      </c>
      <c r="D589" s="146">
        <v>129.0</v>
      </c>
      <c r="E589" s="3"/>
      <c r="F589" s="3"/>
      <c r="G589" s="3"/>
      <c r="H589" s="3"/>
      <c r="I589" s="3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</row>
    <row r="590" ht="16.5" customHeight="1">
      <c r="A590" s="145">
        <v>55.0</v>
      </c>
      <c r="B590" s="145">
        <v>59.0</v>
      </c>
      <c r="C590" s="145" t="s">
        <v>258</v>
      </c>
      <c r="D590" s="146">
        <v>198.0</v>
      </c>
      <c r="E590" s="3"/>
      <c r="F590" s="3"/>
      <c r="G590" s="3"/>
      <c r="H590" s="3"/>
      <c r="I590" s="3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</row>
    <row r="591" ht="16.5" customHeight="1">
      <c r="A591" s="145">
        <v>60.0</v>
      </c>
      <c r="B591" s="145">
        <v>64.0</v>
      </c>
      <c r="C591" s="145" t="s">
        <v>258</v>
      </c>
      <c r="D591" s="146">
        <v>228.0</v>
      </c>
      <c r="E591" s="3"/>
      <c r="F591" s="3"/>
      <c r="G591" s="3"/>
      <c r="H591" s="3"/>
      <c r="I591" s="3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</row>
    <row r="592" ht="16.5" customHeight="1">
      <c r="A592" s="145">
        <v>65.0</v>
      </c>
      <c r="B592" s="145">
        <v>69.0</v>
      </c>
      <c r="C592" s="145" t="s">
        <v>258</v>
      </c>
      <c r="D592" s="146">
        <v>320.0</v>
      </c>
      <c r="E592" s="3"/>
      <c r="F592" s="3"/>
      <c r="G592" s="3"/>
      <c r="H592" s="3"/>
      <c r="I592" s="3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</row>
    <row r="593" ht="16.5" customHeight="1">
      <c r="A593" s="145">
        <v>70.0</v>
      </c>
      <c r="B593" s="145">
        <v>120.0</v>
      </c>
      <c r="C593" s="145" t="s">
        <v>258</v>
      </c>
      <c r="D593" s="146">
        <v>329.0</v>
      </c>
      <c r="E593" s="3"/>
      <c r="F593" s="3"/>
      <c r="G593" s="3"/>
      <c r="H593" s="3"/>
      <c r="I593" s="3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</row>
    <row r="594">
      <c r="A594" s="145">
        <v>0.0</v>
      </c>
      <c r="B594" s="145">
        <v>24.0</v>
      </c>
      <c r="C594" s="145" t="s">
        <v>259</v>
      </c>
      <c r="D594" s="169">
        <v>102.5</v>
      </c>
      <c r="E594" s="3"/>
      <c r="F594" s="3"/>
      <c r="G594" s="3"/>
      <c r="H594" s="3"/>
      <c r="I594" s="3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</row>
    <row r="595">
      <c r="A595" s="145">
        <v>25.0</v>
      </c>
      <c r="B595" s="145">
        <v>44.0</v>
      </c>
      <c r="C595" s="145" t="s">
        <v>259</v>
      </c>
      <c r="D595" s="169">
        <v>120.5</v>
      </c>
      <c r="E595" s="3"/>
      <c r="F595" s="3"/>
      <c r="G595" s="3"/>
      <c r="H595" s="3"/>
      <c r="I595" s="3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</row>
    <row r="596">
      <c r="A596" s="145">
        <v>45.0</v>
      </c>
      <c r="B596" s="145">
        <v>54.0</v>
      </c>
      <c r="C596" s="145" t="s">
        <v>259</v>
      </c>
      <c r="D596" s="169">
        <v>130.0</v>
      </c>
      <c r="E596" s="3"/>
      <c r="F596" s="3"/>
      <c r="G596" s="3"/>
      <c r="H596" s="3"/>
      <c r="I596" s="3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</row>
    <row r="597">
      <c r="A597" s="145">
        <v>55.0</v>
      </c>
      <c r="B597" s="145">
        <v>59.0</v>
      </c>
      <c r="C597" s="145" t="s">
        <v>259</v>
      </c>
      <c r="D597" s="169">
        <v>198.5</v>
      </c>
      <c r="E597" s="3"/>
      <c r="F597" s="3"/>
      <c r="G597" s="3"/>
      <c r="H597" s="3"/>
      <c r="I597" s="3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</row>
    <row r="598">
      <c r="A598" s="145">
        <v>60.0</v>
      </c>
      <c r="B598" s="145">
        <v>64.0</v>
      </c>
      <c r="C598" s="145" t="s">
        <v>259</v>
      </c>
      <c r="D598" s="169">
        <v>228.5</v>
      </c>
      <c r="E598" s="3"/>
      <c r="F598" s="3"/>
      <c r="G598" s="3"/>
      <c r="H598" s="3"/>
      <c r="I598" s="3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</row>
    <row r="599">
      <c r="A599" s="145">
        <v>65.0</v>
      </c>
      <c r="B599" s="145">
        <v>69.0</v>
      </c>
      <c r="C599" s="145" t="s">
        <v>259</v>
      </c>
      <c r="D599" s="169">
        <v>321.0</v>
      </c>
      <c r="E599" s="3"/>
      <c r="F599" s="3"/>
      <c r="G599" s="3"/>
      <c r="H599" s="3"/>
      <c r="I599" s="3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</row>
    <row r="600">
      <c r="A600" s="145">
        <v>70.0</v>
      </c>
      <c r="B600" s="145">
        <v>120.0</v>
      </c>
      <c r="C600" s="145" t="s">
        <v>259</v>
      </c>
      <c r="D600" s="169">
        <v>330.0</v>
      </c>
      <c r="E600" s="3"/>
      <c r="F600" s="3"/>
      <c r="G600" s="3"/>
      <c r="H600" s="3"/>
      <c r="I600" s="3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</row>
    <row r="601">
      <c r="A601" s="145">
        <v>0.0</v>
      </c>
      <c r="B601" s="145">
        <v>24.0</v>
      </c>
      <c r="C601" s="145" t="s">
        <v>260</v>
      </c>
      <c r="D601" s="169">
        <v>104.0</v>
      </c>
      <c r="E601" s="3"/>
      <c r="F601" s="3"/>
      <c r="G601" s="3"/>
      <c r="H601" s="3"/>
      <c r="I601" s="3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</row>
    <row r="602">
      <c r="A602" s="145">
        <v>25.0</v>
      </c>
      <c r="B602" s="145">
        <v>44.0</v>
      </c>
      <c r="C602" s="145" t="s">
        <v>260</v>
      </c>
      <c r="D602" s="169">
        <v>122.0</v>
      </c>
      <c r="E602" s="3"/>
      <c r="F602" s="3"/>
      <c r="G602" s="3"/>
      <c r="H602" s="3"/>
      <c r="I602" s="3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</row>
    <row r="603">
      <c r="A603" s="145">
        <v>45.0</v>
      </c>
      <c r="B603" s="145">
        <v>54.0</v>
      </c>
      <c r="C603" s="145" t="s">
        <v>260</v>
      </c>
      <c r="D603" s="169">
        <v>132.0</v>
      </c>
      <c r="E603" s="3"/>
      <c r="F603" s="3"/>
      <c r="G603" s="3"/>
      <c r="H603" s="3"/>
      <c r="I603" s="3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</row>
    <row r="604">
      <c r="A604" s="145">
        <v>55.0</v>
      </c>
      <c r="B604" s="145">
        <v>59.0</v>
      </c>
      <c r="C604" s="145" t="s">
        <v>260</v>
      </c>
      <c r="D604" s="169">
        <v>203.0</v>
      </c>
      <c r="E604" s="3"/>
      <c r="F604" s="3"/>
      <c r="G604" s="3"/>
      <c r="H604" s="3"/>
      <c r="I604" s="3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</row>
    <row r="605">
      <c r="A605" s="145">
        <v>60.0</v>
      </c>
      <c r="B605" s="145">
        <v>64.0</v>
      </c>
      <c r="C605" s="145" t="s">
        <v>260</v>
      </c>
      <c r="D605" s="169">
        <v>233.0</v>
      </c>
      <c r="E605" s="3"/>
      <c r="F605" s="3"/>
      <c r="G605" s="3"/>
      <c r="H605" s="3"/>
      <c r="I605" s="3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</row>
    <row r="606">
      <c r="A606" s="145">
        <v>65.0</v>
      </c>
      <c r="B606" s="145">
        <v>69.0</v>
      </c>
      <c r="C606" s="145" t="s">
        <v>260</v>
      </c>
      <c r="D606" s="169">
        <v>330.0</v>
      </c>
      <c r="E606" s="3"/>
      <c r="F606" s="3"/>
      <c r="G606" s="3"/>
      <c r="H606" s="3"/>
      <c r="I606" s="3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</row>
    <row r="607">
      <c r="A607" s="145">
        <v>70.0</v>
      </c>
      <c r="B607" s="145">
        <v>120.0</v>
      </c>
      <c r="C607" s="145" t="s">
        <v>260</v>
      </c>
      <c r="D607" s="169">
        <v>340.0</v>
      </c>
      <c r="E607" s="3"/>
      <c r="F607" s="3"/>
      <c r="G607" s="3"/>
      <c r="H607" s="3"/>
      <c r="I607" s="3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</row>
    <row r="608">
      <c r="A608" s="145">
        <v>0.0</v>
      </c>
      <c r="B608" s="145">
        <v>24.0</v>
      </c>
      <c r="C608" s="145" t="s">
        <v>261</v>
      </c>
      <c r="D608" s="169">
        <v>81.0</v>
      </c>
      <c r="E608" s="3"/>
      <c r="F608" s="3"/>
      <c r="G608" s="3"/>
      <c r="H608" s="3"/>
      <c r="I608" s="3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</row>
    <row r="609">
      <c r="A609" s="145">
        <v>25.0</v>
      </c>
      <c r="B609" s="145">
        <v>44.0</v>
      </c>
      <c r="C609" s="145" t="s">
        <v>261</v>
      </c>
      <c r="D609" s="169">
        <v>95.4</v>
      </c>
      <c r="E609" s="3"/>
      <c r="F609" s="3"/>
      <c r="G609" s="3"/>
      <c r="H609" s="3"/>
      <c r="I609" s="3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</row>
    <row r="610">
      <c r="A610" s="145">
        <v>45.0</v>
      </c>
      <c r="B610" s="145">
        <v>54.0</v>
      </c>
      <c r="C610" s="145" t="s">
        <v>261</v>
      </c>
      <c r="D610" s="169">
        <v>100.8</v>
      </c>
      <c r="E610" s="3"/>
      <c r="F610" s="3"/>
      <c r="G610" s="3"/>
      <c r="H610" s="3"/>
      <c r="I610" s="3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</row>
    <row r="611">
      <c r="A611" s="145">
        <v>55.0</v>
      </c>
      <c r="B611" s="145">
        <v>59.0</v>
      </c>
      <c r="C611" s="145" t="s">
        <v>261</v>
      </c>
      <c r="D611" s="169">
        <v>156.6</v>
      </c>
      <c r="E611" s="3"/>
      <c r="F611" s="3"/>
      <c r="G611" s="3"/>
      <c r="H611" s="3"/>
      <c r="I611" s="3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</row>
    <row r="612">
      <c r="A612" s="145">
        <v>60.0</v>
      </c>
      <c r="B612" s="145">
        <v>64.0</v>
      </c>
      <c r="C612" s="145" t="s">
        <v>261</v>
      </c>
      <c r="D612" s="169">
        <v>185.4</v>
      </c>
      <c r="E612" s="3"/>
      <c r="F612" s="3"/>
      <c r="G612" s="3"/>
      <c r="H612" s="3"/>
      <c r="I612" s="3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</row>
    <row r="613">
      <c r="A613" s="145">
        <v>65.0</v>
      </c>
      <c r="B613" s="145">
        <v>69.0</v>
      </c>
      <c r="C613" s="145" t="s">
        <v>261</v>
      </c>
      <c r="D613" s="146">
        <v>263.7</v>
      </c>
      <c r="E613" s="3"/>
      <c r="F613" s="3"/>
      <c r="G613" s="3"/>
      <c r="H613" s="3"/>
      <c r="I613" s="3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</row>
    <row r="614">
      <c r="A614" s="145">
        <v>70.0</v>
      </c>
      <c r="B614" s="145">
        <v>120.0</v>
      </c>
      <c r="C614" s="145" t="s">
        <v>261</v>
      </c>
      <c r="D614" s="146">
        <v>273.6</v>
      </c>
      <c r="E614" s="3"/>
      <c r="F614" s="3"/>
      <c r="G614" s="3"/>
      <c r="H614" s="3"/>
      <c r="I614" s="3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</row>
    <row r="615">
      <c r="A615" s="145">
        <v>0.0</v>
      </c>
      <c r="B615" s="145">
        <v>24.0</v>
      </c>
      <c r="C615" s="145" t="s">
        <v>262</v>
      </c>
      <c r="D615" s="146">
        <v>83.7</v>
      </c>
      <c r="E615" s="3"/>
      <c r="F615" s="3"/>
      <c r="G615" s="3"/>
      <c r="H615" s="3"/>
      <c r="I615" s="3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</row>
    <row r="616">
      <c r="A616" s="145">
        <v>25.0</v>
      </c>
      <c r="B616" s="145">
        <v>44.0</v>
      </c>
      <c r="C616" s="145" t="s">
        <v>262</v>
      </c>
      <c r="D616" s="146">
        <v>99.0</v>
      </c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</row>
    <row r="617">
      <c r="A617" s="145">
        <v>45.0</v>
      </c>
      <c r="B617" s="145">
        <v>54.0</v>
      </c>
      <c r="C617" s="145" t="s">
        <v>262</v>
      </c>
      <c r="D617" s="146">
        <v>106.2</v>
      </c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</row>
    <row r="618">
      <c r="A618" s="145">
        <v>55.0</v>
      </c>
      <c r="B618" s="145">
        <v>59.0</v>
      </c>
      <c r="C618" s="145" t="s">
        <v>262</v>
      </c>
      <c r="D618" s="146">
        <v>162.0</v>
      </c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</row>
    <row r="619">
      <c r="A619" s="145">
        <v>60.0</v>
      </c>
      <c r="B619" s="145">
        <v>64.0</v>
      </c>
      <c r="C619" s="145" t="s">
        <v>262</v>
      </c>
      <c r="D619" s="146">
        <v>189.0</v>
      </c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</row>
    <row r="620">
      <c r="A620" s="145">
        <v>65.0</v>
      </c>
      <c r="B620" s="145">
        <v>69.0</v>
      </c>
      <c r="C620" s="145" t="s">
        <v>262</v>
      </c>
      <c r="D620" s="146">
        <v>270.9</v>
      </c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</row>
    <row r="621">
      <c r="A621" s="145">
        <v>70.0</v>
      </c>
      <c r="B621" s="145">
        <v>120.0</v>
      </c>
      <c r="C621" s="145" t="s">
        <v>262</v>
      </c>
      <c r="D621" s="146">
        <v>278.1</v>
      </c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</row>
    <row r="622">
      <c r="A622" s="145">
        <v>0.0</v>
      </c>
      <c r="B622" s="145">
        <v>24.0</v>
      </c>
      <c r="C622" s="145" t="s">
        <v>263</v>
      </c>
      <c r="D622" s="146">
        <v>84.6</v>
      </c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</row>
    <row r="623">
      <c r="A623" s="145">
        <v>25.0</v>
      </c>
      <c r="B623" s="145">
        <v>44.0</v>
      </c>
      <c r="C623" s="145" t="s">
        <v>263</v>
      </c>
      <c r="D623" s="146">
        <v>99.9</v>
      </c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</row>
    <row r="624">
      <c r="A624" s="145">
        <v>45.0</v>
      </c>
      <c r="B624" s="145">
        <v>54.0</v>
      </c>
      <c r="C624" s="145" t="s">
        <v>263</v>
      </c>
      <c r="D624" s="146">
        <v>107.1</v>
      </c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</row>
    <row r="625">
      <c r="A625" s="145">
        <v>55.0</v>
      </c>
      <c r="B625" s="145">
        <v>59.0</v>
      </c>
      <c r="C625" s="145" t="s">
        <v>263</v>
      </c>
      <c r="D625" s="146">
        <v>166.5</v>
      </c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</row>
    <row r="626">
      <c r="A626" s="145">
        <v>60.0</v>
      </c>
      <c r="B626" s="145">
        <v>64.0</v>
      </c>
      <c r="C626" s="145" t="s">
        <v>263</v>
      </c>
      <c r="D626" s="146">
        <v>193.5</v>
      </c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</row>
    <row r="627">
      <c r="A627" s="145">
        <v>65.0</v>
      </c>
      <c r="B627" s="145">
        <v>69.0</v>
      </c>
      <c r="C627" s="145" t="s">
        <v>263</v>
      </c>
      <c r="D627" s="146">
        <v>277.2</v>
      </c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</row>
    <row r="628">
      <c r="A628" s="145">
        <v>70.0</v>
      </c>
      <c r="B628" s="145">
        <v>120.0</v>
      </c>
      <c r="C628" s="145" t="s">
        <v>263</v>
      </c>
      <c r="D628" s="146">
        <v>287.1</v>
      </c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</row>
    <row r="629">
      <c r="A629" s="145">
        <v>0.0</v>
      </c>
      <c r="B629" s="145">
        <v>24.0</v>
      </c>
      <c r="C629" s="145" t="s">
        <v>264</v>
      </c>
      <c r="D629" s="146">
        <v>91.8</v>
      </c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</row>
    <row r="630">
      <c r="A630" s="145">
        <v>25.0</v>
      </c>
      <c r="B630" s="145">
        <v>44.0</v>
      </c>
      <c r="C630" s="145" t="s">
        <v>264</v>
      </c>
      <c r="D630" s="146">
        <v>108.0</v>
      </c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</row>
    <row r="631">
      <c r="A631" s="145">
        <v>45.0</v>
      </c>
      <c r="B631" s="145">
        <v>54.0</v>
      </c>
      <c r="C631" s="145" t="s">
        <v>264</v>
      </c>
      <c r="D631" s="146">
        <v>116.1</v>
      </c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</row>
    <row r="632">
      <c r="A632" s="145">
        <v>55.0</v>
      </c>
      <c r="B632" s="145">
        <v>59.0</v>
      </c>
      <c r="C632" s="145" t="s">
        <v>264</v>
      </c>
      <c r="D632" s="146">
        <v>178.2</v>
      </c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</row>
    <row r="633">
      <c r="A633" s="145">
        <v>60.0</v>
      </c>
      <c r="B633" s="145">
        <v>64.0</v>
      </c>
      <c r="C633" s="145" t="s">
        <v>264</v>
      </c>
      <c r="D633" s="146">
        <v>205.2</v>
      </c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</row>
    <row r="634">
      <c r="A634" s="145">
        <v>65.0</v>
      </c>
      <c r="B634" s="145">
        <v>69.0</v>
      </c>
      <c r="C634" s="145" t="s">
        <v>264</v>
      </c>
      <c r="D634" s="146">
        <v>288.0</v>
      </c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</row>
    <row r="635">
      <c r="A635" s="145">
        <v>70.0</v>
      </c>
      <c r="B635" s="145">
        <v>120.0</v>
      </c>
      <c r="C635" s="145" t="s">
        <v>264</v>
      </c>
      <c r="D635" s="146">
        <v>296.1</v>
      </c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</row>
    <row r="636">
      <c r="A636" s="145">
        <v>0.0</v>
      </c>
      <c r="B636" s="145">
        <v>24.0</v>
      </c>
      <c r="C636" s="145" t="s">
        <v>265</v>
      </c>
      <c r="D636" s="146">
        <v>92.25</v>
      </c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</row>
    <row r="637">
      <c r="A637" s="145">
        <v>25.0</v>
      </c>
      <c r="B637" s="145">
        <v>44.0</v>
      </c>
      <c r="C637" s="145" t="s">
        <v>265</v>
      </c>
      <c r="D637" s="146">
        <v>108.45</v>
      </c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</row>
    <row r="638">
      <c r="A638" s="145">
        <v>45.0</v>
      </c>
      <c r="B638" s="145">
        <v>54.0</v>
      </c>
      <c r="C638" s="145" t="s">
        <v>265</v>
      </c>
      <c r="D638" s="146">
        <v>117.0</v>
      </c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</row>
    <row r="639">
      <c r="A639" s="145">
        <v>55.0</v>
      </c>
      <c r="B639" s="145">
        <v>59.0</v>
      </c>
      <c r="C639" s="145" t="s">
        <v>265</v>
      </c>
      <c r="D639" s="146">
        <v>178.65</v>
      </c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</row>
    <row r="640">
      <c r="A640" s="145">
        <v>60.0</v>
      </c>
      <c r="B640" s="145">
        <v>64.0</v>
      </c>
      <c r="C640" s="145" t="s">
        <v>265</v>
      </c>
      <c r="D640" s="146">
        <v>205.65</v>
      </c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</row>
    <row r="641">
      <c r="A641" s="145">
        <v>65.0</v>
      </c>
      <c r="B641" s="145">
        <v>69.0</v>
      </c>
      <c r="C641" s="145" t="s">
        <v>265</v>
      </c>
      <c r="D641" s="146">
        <v>288.9</v>
      </c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</row>
    <row r="642">
      <c r="A642" s="145">
        <v>70.0</v>
      </c>
      <c r="B642" s="145">
        <v>120.0</v>
      </c>
      <c r="C642" s="145" t="s">
        <v>265</v>
      </c>
      <c r="D642" s="146">
        <v>297.0</v>
      </c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</row>
    <row r="643">
      <c r="A643" s="145">
        <v>0.0</v>
      </c>
      <c r="B643" s="145">
        <v>24.0</v>
      </c>
      <c r="C643" s="145" t="s">
        <v>266</v>
      </c>
      <c r="D643" s="146">
        <v>93.6</v>
      </c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</row>
    <row r="644">
      <c r="A644" s="145">
        <v>25.0</v>
      </c>
      <c r="B644" s="145">
        <v>44.0</v>
      </c>
      <c r="C644" s="145" t="s">
        <v>266</v>
      </c>
      <c r="D644" s="146">
        <v>109.8</v>
      </c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</row>
    <row r="645">
      <c r="A645" s="145">
        <v>45.0</v>
      </c>
      <c r="B645" s="145">
        <v>54.0</v>
      </c>
      <c r="C645" s="145" t="s">
        <v>266</v>
      </c>
      <c r="D645" s="146">
        <v>118.8</v>
      </c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</row>
    <row r="646">
      <c r="A646" s="145">
        <v>55.0</v>
      </c>
      <c r="B646" s="145">
        <v>59.0</v>
      </c>
      <c r="C646" s="145" t="s">
        <v>266</v>
      </c>
      <c r="D646" s="146">
        <v>182.7</v>
      </c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</row>
    <row r="647">
      <c r="A647" s="145">
        <v>60.0</v>
      </c>
      <c r="B647" s="145">
        <v>64.0</v>
      </c>
      <c r="C647" s="145" t="s">
        <v>266</v>
      </c>
      <c r="D647" s="146">
        <v>209.7</v>
      </c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</row>
    <row r="648">
      <c r="A648" s="145">
        <v>65.0</v>
      </c>
      <c r="B648" s="145">
        <v>69.0</v>
      </c>
      <c r="C648" s="145" t="s">
        <v>266</v>
      </c>
      <c r="D648" s="146">
        <v>297.0</v>
      </c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</row>
    <row r="649">
      <c r="A649" s="145">
        <v>70.0</v>
      </c>
      <c r="B649" s="145">
        <v>120.0</v>
      </c>
      <c r="C649" s="145" t="s">
        <v>266</v>
      </c>
      <c r="D649" s="146">
        <v>306.0</v>
      </c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</row>
    <row r="650">
      <c r="A650" s="145"/>
      <c r="B650" s="145"/>
      <c r="C650" s="145"/>
      <c r="D650" s="170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</row>
    <row r="651">
      <c r="A651" s="145"/>
      <c r="B651" s="145"/>
      <c r="C651" s="145"/>
      <c r="D651" s="170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</row>
    <row r="652">
      <c r="A652" s="145"/>
      <c r="B652" s="145"/>
      <c r="C652" s="145"/>
      <c r="D652" s="170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</row>
    <row r="653">
      <c r="A653" s="145"/>
      <c r="B653" s="145"/>
      <c r="C653" s="145"/>
      <c r="D653" s="170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</row>
    <row r="654">
      <c r="A654" s="145"/>
      <c r="B654" s="145"/>
      <c r="C654" s="145"/>
      <c r="D654" s="170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</row>
    <row r="655">
      <c r="A655" s="145"/>
      <c r="B655" s="145"/>
      <c r="C655" s="145"/>
      <c r="D655" s="170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</row>
    <row r="656">
      <c r="A656" s="145"/>
      <c r="B656" s="145"/>
      <c r="C656" s="145"/>
      <c r="D656" s="170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</row>
    <row r="657">
      <c r="A657" s="145"/>
      <c r="B657" s="145"/>
      <c r="C657" s="145"/>
      <c r="D657" s="170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</row>
    <row r="658">
      <c r="A658" s="145"/>
      <c r="B658" s="145"/>
      <c r="C658" s="145"/>
      <c r="D658" s="170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</row>
    <row r="659">
      <c r="A659" s="145"/>
      <c r="B659" s="145"/>
      <c r="C659" s="145"/>
      <c r="D659" s="170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</row>
    <row r="660">
      <c r="A660" s="145"/>
      <c r="B660" s="145"/>
      <c r="C660" s="145"/>
      <c r="D660" s="170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</row>
    <row r="661">
      <c r="A661" s="145"/>
      <c r="B661" s="145"/>
      <c r="C661" s="145"/>
      <c r="D661" s="170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</row>
    <row r="662">
      <c r="A662" s="145"/>
      <c r="B662" s="145"/>
      <c r="C662" s="145"/>
      <c r="D662" s="170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</row>
    <row r="663">
      <c r="A663" s="145"/>
      <c r="B663" s="145"/>
      <c r="C663" s="145"/>
      <c r="D663" s="170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</row>
    <row r="664">
      <c r="A664" s="171"/>
      <c r="B664" s="171"/>
      <c r="C664" s="171"/>
      <c r="D664" s="170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</row>
    <row r="665">
      <c r="A665" s="171"/>
      <c r="B665" s="171"/>
      <c r="C665" s="171"/>
      <c r="D665" s="170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</row>
    <row r="666">
      <c r="A666" s="171"/>
      <c r="B666" s="171"/>
      <c r="C666" s="171"/>
      <c r="D666" s="170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</row>
    <row r="667">
      <c r="A667" s="171"/>
      <c r="B667" s="171"/>
      <c r="C667" s="171"/>
      <c r="D667" s="170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</row>
    <row r="668">
      <c r="A668" s="171"/>
      <c r="B668" s="171"/>
      <c r="C668" s="171"/>
      <c r="D668" s="170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</row>
    <row r="669">
      <c r="A669" s="171"/>
      <c r="B669" s="171"/>
      <c r="C669" s="171"/>
      <c r="D669" s="170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</row>
    <row r="670">
      <c r="A670" s="171"/>
      <c r="B670" s="171"/>
      <c r="C670" s="171"/>
      <c r="D670" s="170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</row>
    <row r="671">
      <c r="A671" s="171"/>
      <c r="B671" s="171"/>
      <c r="C671" s="171"/>
      <c r="D671" s="170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</row>
    <row r="672">
      <c r="A672" s="171"/>
      <c r="B672" s="171"/>
      <c r="C672" s="171"/>
      <c r="D672" s="170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</row>
    <row r="673">
      <c r="A673" s="171"/>
      <c r="B673" s="171"/>
      <c r="C673" s="171"/>
      <c r="D673" s="170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</row>
    <row r="674">
      <c r="A674" s="171"/>
      <c r="B674" s="171"/>
      <c r="C674" s="171"/>
      <c r="D674" s="170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</row>
    <row r="675">
      <c r="A675" s="171"/>
      <c r="B675" s="171"/>
      <c r="C675" s="171"/>
      <c r="D675" s="170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</row>
    <row r="676">
      <c r="A676" s="171"/>
      <c r="B676" s="171"/>
      <c r="C676" s="171"/>
      <c r="D676" s="170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</row>
    <row r="677">
      <c r="A677" s="171"/>
      <c r="B677" s="171"/>
      <c r="C677" s="171"/>
      <c r="D677" s="170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</row>
    <row r="678">
      <c r="A678" s="171"/>
      <c r="B678" s="171"/>
      <c r="C678" s="171"/>
      <c r="D678" s="170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</row>
    <row r="679">
      <c r="A679" s="171"/>
      <c r="B679" s="171"/>
      <c r="C679" s="171"/>
      <c r="D679" s="170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</row>
    <row r="680">
      <c r="A680" s="171"/>
      <c r="B680" s="171"/>
      <c r="C680" s="171"/>
      <c r="D680" s="170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</row>
    <row r="681">
      <c r="A681" s="171"/>
      <c r="B681" s="171"/>
      <c r="C681" s="171"/>
      <c r="D681" s="170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</row>
    <row r="682">
      <c r="A682" s="171"/>
      <c r="B682" s="171"/>
      <c r="C682" s="171"/>
      <c r="D682" s="170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</row>
    <row r="683">
      <c r="A683" s="171"/>
      <c r="B683" s="171"/>
      <c r="C683" s="171"/>
      <c r="D683" s="170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</row>
    <row r="684">
      <c r="A684" s="171"/>
      <c r="B684" s="171"/>
      <c r="C684" s="171"/>
      <c r="D684" s="170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</row>
    <row r="685">
      <c r="A685" s="171"/>
      <c r="B685" s="171"/>
      <c r="C685" s="171"/>
      <c r="D685" s="170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</row>
    <row r="686">
      <c r="A686" s="171"/>
      <c r="B686" s="171"/>
      <c r="C686" s="171"/>
      <c r="D686" s="170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</row>
    <row r="687">
      <c r="A687" s="171"/>
      <c r="B687" s="171"/>
      <c r="C687" s="171"/>
      <c r="D687" s="170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</row>
    <row r="688">
      <c r="A688" s="171"/>
      <c r="B688" s="171"/>
      <c r="C688" s="171"/>
      <c r="D688" s="170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</row>
    <row r="689">
      <c r="A689" s="171"/>
      <c r="B689" s="171"/>
      <c r="C689" s="171"/>
      <c r="D689" s="170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</row>
    <row r="690">
      <c r="A690" s="171"/>
      <c r="B690" s="171"/>
      <c r="C690" s="171"/>
      <c r="D690" s="170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</row>
    <row r="691">
      <c r="A691" s="171"/>
      <c r="B691" s="171"/>
      <c r="C691" s="171"/>
      <c r="D691" s="170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</row>
    <row r="692">
      <c r="A692" s="171"/>
      <c r="B692" s="171"/>
      <c r="C692" s="171"/>
      <c r="D692" s="170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</row>
    <row r="693">
      <c r="A693" s="171"/>
      <c r="B693" s="171"/>
      <c r="C693" s="171"/>
      <c r="D693" s="170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</row>
    <row r="694">
      <c r="A694" s="171"/>
      <c r="B694" s="171"/>
      <c r="C694" s="171"/>
      <c r="D694" s="170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</row>
    <row r="695">
      <c r="A695" s="171"/>
      <c r="B695" s="171"/>
      <c r="C695" s="171"/>
      <c r="D695" s="170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</row>
    <row r="696">
      <c r="A696" s="171"/>
      <c r="B696" s="171"/>
      <c r="C696" s="171"/>
      <c r="D696" s="170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</row>
    <row r="697">
      <c r="A697" s="171"/>
      <c r="B697" s="171"/>
      <c r="C697" s="171"/>
      <c r="D697" s="170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</row>
    <row r="698">
      <c r="A698" s="171"/>
      <c r="B698" s="171"/>
      <c r="C698" s="171"/>
      <c r="D698" s="170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</row>
    <row r="699">
      <c r="A699" s="171"/>
      <c r="B699" s="171"/>
      <c r="C699" s="171"/>
      <c r="D699" s="170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</row>
    <row r="700">
      <c r="A700" s="171"/>
      <c r="B700" s="171"/>
      <c r="C700" s="171"/>
      <c r="D700" s="170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</row>
    <row r="701">
      <c r="A701" s="171"/>
      <c r="B701" s="171"/>
      <c r="C701" s="171"/>
      <c r="D701" s="170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</row>
    <row r="702">
      <c r="A702" s="171"/>
      <c r="B702" s="171"/>
      <c r="C702" s="171"/>
      <c r="D702" s="170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</row>
    <row r="703">
      <c r="A703" s="171"/>
      <c r="B703" s="171"/>
      <c r="C703" s="171"/>
      <c r="D703" s="170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</row>
    <row r="704">
      <c r="A704" s="171"/>
      <c r="B704" s="171"/>
      <c r="C704" s="171"/>
      <c r="D704" s="170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</row>
    <row r="705">
      <c r="A705" s="171"/>
      <c r="B705" s="171"/>
      <c r="C705" s="171"/>
      <c r="D705" s="170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</row>
    <row r="706">
      <c r="A706" s="171"/>
      <c r="B706" s="171"/>
      <c r="C706" s="171"/>
      <c r="D706" s="170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</row>
    <row r="707">
      <c r="A707" s="171"/>
      <c r="B707" s="171"/>
      <c r="C707" s="171"/>
      <c r="D707" s="170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</row>
    <row r="708">
      <c r="A708" s="171"/>
      <c r="B708" s="171"/>
      <c r="C708" s="171"/>
      <c r="D708" s="170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</row>
    <row r="709">
      <c r="A709" s="171"/>
      <c r="B709" s="171"/>
      <c r="C709" s="171"/>
      <c r="D709" s="170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</row>
    <row r="710">
      <c r="A710" s="171"/>
      <c r="B710" s="171"/>
      <c r="C710" s="171"/>
      <c r="D710" s="170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</row>
    <row r="711">
      <c r="A711" s="171"/>
      <c r="B711" s="171"/>
      <c r="C711" s="171"/>
      <c r="D711" s="170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</row>
    <row r="712">
      <c r="A712" s="171"/>
      <c r="B712" s="171"/>
      <c r="C712" s="171"/>
      <c r="D712" s="170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</row>
    <row r="713">
      <c r="A713" s="171"/>
      <c r="B713" s="171"/>
      <c r="C713" s="171"/>
      <c r="D713" s="170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</row>
    <row r="714">
      <c r="A714" s="171"/>
      <c r="B714" s="171"/>
      <c r="C714" s="171"/>
      <c r="D714" s="170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</row>
    <row r="715">
      <c r="A715" s="171"/>
      <c r="B715" s="171"/>
      <c r="C715" s="171"/>
      <c r="D715" s="170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</row>
    <row r="716">
      <c r="A716" s="171"/>
      <c r="B716" s="171"/>
      <c r="C716" s="171"/>
      <c r="D716" s="170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</row>
    <row r="717">
      <c r="A717" s="171"/>
      <c r="B717" s="171"/>
      <c r="C717" s="171"/>
      <c r="D717" s="170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</row>
    <row r="718">
      <c r="A718" s="171"/>
      <c r="B718" s="171"/>
      <c r="C718" s="171"/>
      <c r="D718" s="170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</row>
    <row r="719">
      <c r="A719" s="171"/>
      <c r="B719" s="171"/>
      <c r="C719" s="171"/>
      <c r="D719" s="170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</row>
    <row r="720">
      <c r="A720" s="171"/>
      <c r="B720" s="171"/>
      <c r="C720" s="171"/>
      <c r="D720" s="170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</row>
    <row r="721">
      <c r="A721" s="171"/>
      <c r="B721" s="171"/>
      <c r="C721" s="171"/>
      <c r="D721" s="170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</row>
    <row r="722">
      <c r="A722" s="171"/>
      <c r="B722" s="171"/>
      <c r="C722" s="171"/>
      <c r="D722" s="170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</row>
    <row r="723">
      <c r="A723" s="171"/>
      <c r="B723" s="171"/>
      <c r="C723" s="171"/>
      <c r="D723" s="170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</row>
    <row r="724">
      <c r="A724" s="171"/>
      <c r="B724" s="171"/>
      <c r="C724" s="171"/>
      <c r="D724" s="170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</row>
    <row r="725">
      <c r="A725" s="171"/>
      <c r="B725" s="171"/>
      <c r="C725" s="171"/>
      <c r="D725" s="170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</row>
    <row r="726">
      <c r="A726" s="171"/>
      <c r="B726" s="171"/>
      <c r="C726" s="171"/>
      <c r="D726" s="170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</row>
    <row r="727">
      <c r="A727" s="171"/>
      <c r="B727" s="171"/>
      <c r="C727" s="171"/>
      <c r="D727" s="170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</row>
    <row r="728">
      <c r="A728" s="171"/>
      <c r="B728" s="171"/>
      <c r="C728" s="171"/>
      <c r="D728" s="170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</row>
    <row r="729">
      <c r="A729" s="171"/>
      <c r="B729" s="171"/>
      <c r="C729" s="171"/>
      <c r="D729" s="170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</row>
    <row r="730">
      <c r="A730" s="171"/>
      <c r="B730" s="171"/>
      <c r="C730" s="171"/>
      <c r="D730" s="170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</row>
    <row r="731">
      <c r="A731" s="171"/>
      <c r="B731" s="171"/>
      <c r="C731" s="171"/>
      <c r="D731" s="170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</row>
    <row r="732">
      <c r="A732" s="171"/>
      <c r="B732" s="171"/>
      <c r="C732" s="171"/>
      <c r="D732" s="170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</row>
    <row r="733">
      <c r="A733" s="171"/>
      <c r="B733" s="171"/>
      <c r="C733" s="171"/>
      <c r="D733" s="170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</row>
    <row r="734">
      <c r="A734" s="171"/>
      <c r="B734" s="171"/>
      <c r="C734" s="171"/>
      <c r="D734" s="170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</row>
    <row r="735">
      <c r="A735" s="171"/>
      <c r="B735" s="171"/>
      <c r="C735" s="171"/>
      <c r="D735" s="170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</row>
    <row r="736">
      <c r="A736" s="171"/>
      <c r="B736" s="171"/>
      <c r="C736" s="171"/>
      <c r="D736" s="170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</row>
    <row r="737">
      <c r="A737" s="171"/>
      <c r="B737" s="171"/>
      <c r="C737" s="171"/>
      <c r="D737" s="170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</row>
    <row r="738">
      <c r="A738" s="171"/>
      <c r="B738" s="171"/>
      <c r="C738" s="171"/>
      <c r="D738" s="170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</row>
    <row r="739">
      <c r="A739" s="171"/>
      <c r="B739" s="171"/>
      <c r="C739" s="171"/>
      <c r="D739" s="170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</row>
    <row r="740">
      <c r="A740" s="171"/>
      <c r="B740" s="171"/>
      <c r="C740" s="171"/>
      <c r="D740" s="170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</row>
    <row r="741">
      <c r="A741" s="171"/>
      <c r="B741" s="171"/>
      <c r="C741" s="171"/>
      <c r="D741" s="170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</row>
    <row r="742">
      <c r="A742" s="171"/>
      <c r="B742" s="171"/>
      <c r="C742" s="171"/>
      <c r="D742" s="170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</row>
    <row r="743">
      <c r="A743" s="171"/>
      <c r="B743" s="171"/>
      <c r="C743" s="171"/>
      <c r="D743" s="170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</row>
    <row r="744">
      <c r="A744" s="171"/>
      <c r="B744" s="171"/>
      <c r="C744" s="171"/>
      <c r="D744" s="170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</row>
    <row r="745">
      <c r="A745" s="171"/>
      <c r="B745" s="171"/>
      <c r="C745" s="171"/>
      <c r="D745" s="170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</row>
    <row r="746">
      <c r="A746" s="171"/>
      <c r="B746" s="171"/>
      <c r="C746" s="171"/>
      <c r="D746" s="170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</row>
    <row r="747">
      <c r="A747" s="171"/>
      <c r="B747" s="171"/>
      <c r="C747" s="171"/>
      <c r="D747" s="170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</row>
    <row r="748">
      <c r="A748" s="171"/>
      <c r="B748" s="171"/>
      <c r="C748" s="171"/>
      <c r="D748" s="170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</row>
    <row r="749">
      <c r="A749" s="171"/>
      <c r="B749" s="171"/>
      <c r="C749" s="171"/>
      <c r="D749" s="170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</row>
    <row r="750">
      <c r="A750" s="171"/>
      <c r="B750" s="171"/>
      <c r="C750" s="171"/>
      <c r="D750" s="170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</row>
    <row r="751">
      <c r="A751" s="171"/>
      <c r="B751" s="171"/>
      <c r="C751" s="171"/>
      <c r="D751" s="170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</row>
    <row r="752">
      <c r="A752" s="171"/>
      <c r="B752" s="171"/>
      <c r="C752" s="171"/>
      <c r="D752" s="170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</row>
    <row r="753">
      <c r="A753" s="171"/>
      <c r="B753" s="171"/>
      <c r="C753" s="171"/>
      <c r="D753" s="170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</row>
    <row r="754">
      <c r="A754" s="171"/>
      <c r="B754" s="171"/>
      <c r="C754" s="171"/>
      <c r="D754" s="170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</row>
    <row r="755">
      <c r="A755" s="171"/>
      <c r="B755" s="171"/>
      <c r="C755" s="171"/>
      <c r="D755" s="170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</row>
    <row r="756">
      <c r="A756" s="171"/>
      <c r="B756" s="171"/>
      <c r="C756" s="171"/>
      <c r="D756" s="170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</row>
    <row r="757">
      <c r="A757" s="171"/>
      <c r="B757" s="171"/>
      <c r="C757" s="171"/>
      <c r="D757" s="170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</row>
    <row r="758">
      <c r="A758" s="171"/>
      <c r="B758" s="171"/>
      <c r="C758" s="171"/>
      <c r="D758" s="170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</row>
    <row r="759">
      <c r="A759" s="171"/>
      <c r="B759" s="171"/>
      <c r="C759" s="171"/>
      <c r="D759" s="170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</row>
    <row r="760">
      <c r="A760" s="171"/>
      <c r="B760" s="171"/>
      <c r="C760" s="171"/>
      <c r="D760" s="170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</row>
    <row r="761">
      <c r="A761" s="171"/>
      <c r="B761" s="171"/>
      <c r="C761" s="171"/>
      <c r="D761" s="170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</row>
    <row r="762">
      <c r="A762" s="171"/>
      <c r="B762" s="171"/>
      <c r="C762" s="171"/>
      <c r="D762" s="170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</row>
    <row r="763">
      <c r="A763" s="171"/>
      <c r="B763" s="171"/>
      <c r="C763" s="171"/>
      <c r="D763" s="170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</row>
    <row r="764">
      <c r="A764" s="171"/>
      <c r="B764" s="171"/>
      <c r="C764" s="171"/>
      <c r="D764" s="170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</row>
    <row r="765">
      <c r="A765" s="171"/>
      <c r="B765" s="171"/>
      <c r="C765" s="171"/>
      <c r="D765" s="170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</row>
    <row r="766">
      <c r="A766" s="171"/>
      <c r="B766" s="171"/>
      <c r="C766" s="171"/>
      <c r="D766" s="170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</row>
    <row r="767">
      <c r="A767" s="171"/>
      <c r="B767" s="171"/>
      <c r="C767" s="171"/>
      <c r="D767" s="170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</row>
    <row r="768">
      <c r="A768" s="171"/>
      <c r="B768" s="171"/>
      <c r="C768" s="171"/>
      <c r="D768" s="170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</row>
    <row r="769">
      <c r="A769" s="171"/>
      <c r="B769" s="171"/>
      <c r="C769" s="171"/>
      <c r="D769" s="170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</row>
    <row r="770">
      <c r="A770" s="171"/>
      <c r="B770" s="171"/>
      <c r="C770" s="171"/>
      <c r="D770" s="170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</row>
    <row r="771">
      <c r="A771" s="171"/>
      <c r="B771" s="171"/>
      <c r="C771" s="171"/>
      <c r="D771" s="170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</row>
    <row r="772">
      <c r="A772" s="171"/>
      <c r="B772" s="171"/>
      <c r="C772" s="171"/>
      <c r="D772" s="170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</row>
    <row r="773">
      <c r="A773" s="171"/>
      <c r="B773" s="171"/>
      <c r="C773" s="171"/>
      <c r="D773" s="170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</row>
    <row r="774">
      <c r="A774" s="171"/>
      <c r="B774" s="171"/>
      <c r="C774" s="171"/>
      <c r="D774" s="170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</row>
    <row r="775">
      <c r="A775" s="171"/>
      <c r="B775" s="171"/>
      <c r="C775" s="171"/>
      <c r="D775" s="170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</row>
    <row r="776">
      <c r="A776" s="171"/>
      <c r="B776" s="171"/>
      <c r="C776" s="171"/>
      <c r="D776" s="170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</row>
    <row r="777">
      <c r="A777" s="171"/>
      <c r="B777" s="171"/>
      <c r="C777" s="171"/>
      <c r="D777" s="170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</row>
    <row r="778">
      <c r="A778" s="171"/>
      <c r="B778" s="171"/>
      <c r="C778" s="171"/>
      <c r="D778" s="170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</row>
    <row r="779">
      <c r="A779" s="171"/>
      <c r="B779" s="171"/>
      <c r="C779" s="171"/>
      <c r="D779" s="170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</row>
    <row r="780">
      <c r="A780" s="171"/>
      <c r="B780" s="171"/>
      <c r="C780" s="171"/>
      <c r="D780" s="170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</row>
    <row r="781">
      <c r="A781" s="171"/>
      <c r="B781" s="171"/>
      <c r="C781" s="171"/>
      <c r="D781" s="170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</row>
    <row r="782">
      <c r="A782" s="171"/>
      <c r="B782" s="171"/>
      <c r="C782" s="171"/>
      <c r="D782" s="170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</row>
    <row r="783">
      <c r="A783" s="171"/>
      <c r="B783" s="171"/>
      <c r="C783" s="171"/>
      <c r="D783" s="170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</row>
    <row r="784">
      <c r="A784" s="171"/>
      <c r="B784" s="171"/>
      <c r="C784" s="171"/>
      <c r="D784" s="170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</row>
    <row r="785">
      <c r="A785" s="171"/>
      <c r="B785" s="171"/>
      <c r="C785" s="171"/>
      <c r="D785" s="170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</row>
    <row r="786">
      <c r="A786" s="171"/>
      <c r="B786" s="171"/>
      <c r="C786" s="171"/>
      <c r="D786" s="170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</row>
    <row r="787">
      <c r="A787" s="171"/>
      <c r="B787" s="171"/>
      <c r="C787" s="171"/>
      <c r="D787" s="170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</row>
    <row r="788">
      <c r="A788" s="171"/>
      <c r="B788" s="171"/>
      <c r="C788" s="171"/>
      <c r="D788" s="170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</row>
    <row r="789">
      <c r="A789" s="171"/>
      <c r="B789" s="171"/>
      <c r="C789" s="171"/>
      <c r="D789" s="170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</row>
    <row r="790">
      <c r="A790" s="171"/>
      <c r="B790" s="171"/>
      <c r="C790" s="171"/>
      <c r="D790" s="170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</row>
    <row r="791">
      <c r="A791" s="171"/>
      <c r="B791" s="171"/>
      <c r="C791" s="171"/>
      <c r="D791" s="170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</row>
    <row r="792">
      <c r="A792" s="171"/>
      <c r="B792" s="171"/>
      <c r="C792" s="171"/>
      <c r="D792" s="170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</row>
    <row r="793">
      <c r="A793" s="171"/>
      <c r="B793" s="171"/>
      <c r="C793" s="171"/>
      <c r="D793" s="170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</row>
    <row r="794">
      <c r="A794" s="171"/>
      <c r="B794" s="171"/>
      <c r="C794" s="171"/>
      <c r="D794" s="170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</row>
    <row r="795">
      <c r="A795" s="171"/>
      <c r="B795" s="171"/>
      <c r="C795" s="171"/>
      <c r="D795" s="170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</row>
    <row r="796">
      <c r="A796" s="171"/>
      <c r="B796" s="171"/>
      <c r="C796" s="171"/>
      <c r="D796" s="170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</row>
    <row r="797">
      <c r="A797" s="171"/>
      <c r="B797" s="171"/>
      <c r="C797" s="171"/>
      <c r="D797" s="170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</row>
    <row r="798">
      <c r="A798" s="171"/>
      <c r="B798" s="171"/>
      <c r="C798" s="171"/>
      <c r="D798" s="170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</row>
    <row r="799">
      <c r="A799" s="171"/>
      <c r="B799" s="171"/>
      <c r="C799" s="171"/>
      <c r="D799" s="170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</row>
    <row r="800">
      <c r="A800" s="171"/>
      <c r="B800" s="171"/>
      <c r="C800" s="171"/>
      <c r="D800" s="170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</row>
    <row r="801">
      <c r="A801" s="171"/>
      <c r="B801" s="171"/>
      <c r="C801" s="171"/>
      <c r="D801" s="170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</row>
    <row r="802">
      <c r="A802" s="171"/>
      <c r="B802" s="171"/>
      <c r="C802" s="171"/>
      <c r="D802" s="170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</row>
    <row r="803">
      <c r="A803" s="171"/>
      <c r="B803" s="171"/>
      <c r="C803" s="171"/>
      <c r="D803" s="170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</row>
    <row r="804">
      <c r="A804" s="171"/>
      <c r="B804" s="171"/>
      <c r="C804" s="171"/>
      <c r="D804" s="170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</row>
    <row r="805">
      <c r="A805" s="171"/>
      <c r="B805" s="171"/>
      <c r="C805" s="171"/>
      <c r="D805" s="170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</row>
    <row r="806">
      <c r="A806" s="171"/>
      <c r="B806" s="171"/>
      <c r="C806" s="171"/>
      <c r="D806" s="170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</row>
    <row r="807">
      <c r="A807" s="171"/>
      <c r="B807" s="171"/>
      <c r="C807" s="171"/>
      <c r="D807" s="170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</row>
    <row r="808">
      <c r="A808" s="171"/>
      <c r="B808" s="171"/>
      <c r="C808" s="171"/>
      <c r="D808" s="170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</row>
    <row r="809">
      <c r="A809" s="171"/>
      <c r="B809" s="171"/>
      <c r="C809" s="171"/>
      <c r="D809" s="170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</row>
    <row r="810">
      <c r="A810" s="171"/>
      <c r="B810" s="171"/>
      <c r="C810" s="171"/>
      <c r="D810" s="170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</row>
    <row r="811">
      <c r="A811" s="171"/>
      <c r="B811" s="171"/>
      <c r="C811" s="171"/>
      <c r="D811" s="170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</row>
    <row r="812">
      <c r="A812" s="171"/>
      <c r="B812" s="171"/>
      <c r="C812" s="171"/>
      <c r="D812" s="170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</row>
    <row r="813">
      <c r="A813" s="171"/>
      <c r="B813" s="171"/>
      <c r="C813" s="171"/>
      <c r="D813" s="170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</row>
    <row r="814">
      <c r="A814" s="171"/>
      <c r="B814" s="171"/>
      <c r="C814" s="171"/>
      <c r="D814" s="170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</row>
    <row r="815">
      <c r="A815" s="171"/>
      <c r="B815" s="171"/>
      <c r="C815" s="171"/>
      <c r="D815" s="170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</row>
    <row r="816">
      <c r="A816" s="171"/>
      <c r="B816" s="171"/>
      <c r="C816" s="171"/>
      <c r="D816" s="170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</row>
    <row r="817">
      <c r="A817" s="171"/>
      <c r="B817" s="171"/>
      <c r="C817" s="171"/>
      <c r="D817" s="170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</row>
    <row r="818">
      <c r="A818" s="171"/>
      <c r="B818" s="171"/>
      <c r="C818" s="171"/>
      <c r="D818" s="170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</row>
    <row r="819">
      <c r="A819" s="171"/>
      <c r="B819" s="171"/>
      <c r="C819" s="171"/>
      <c r="D819" s="170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</row>
    <row r="820">
      <c r="A820" s="171"/>
      <c r="B820" s="171"/>
      <c r="C820" s="171"/>
      <c r="D820" s="170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</row>
    <row r="821">
      <c r="A821" s="171"/>
      <c r="B821" s="171"/>
      <c r="C821" s="171"/>
      <c r="D821" s="170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</row>
    <row r="822">
      <c r="A822" s="171"/>
      <c r="B822" s="171"/>
      <c r="C822" s="171"/>
      <c r="D822" s="170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</row>
    <row r="823">
      <c r="A823" s="171"/>
      <c r="B823" s="171"/>
      <c r="C823" s="171"/>
      <c r="D823" s="170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</row>
    <row r="824">
      <c r="A824" s="171"/>
      <c r="B824" s="171"/>
      <c r="C824" s="171"/>
      <c r="D824" s="170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</row>
    <row r="825">
      <c r="A825" s="171"/>
      <c r="B825" s="171"/>
      <c r="C825" s="171"/>
      <c r="D825" s="170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</row>
    <row r="826">
      <c r="A826" s="171"/>
      <c r="B826" s="171"/>
      <c r="C826" s="171"/>
      <c r="D826" s="170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</row>
    <row r="827">
      <c r="A827" s="171"/>
      <c r="B827" s="171"/>
      <c r="C827" s="171"/>
      <c r="D827" s="170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</row>
    <row r="828">
      <c r="A828" s="171"/>
      <c r="B828" s="171"/>
      <c r="C828" s="171"/>
      <c r="D828" s="170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</row>
    <row r="829">
      <c r="A829" s="171"/>
      <c r="B829" s="171"/>
      <c r="C829" s="171"/>
      <c r="D829" s="170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</row>
    <row r="830">
      <c r="A830" s="171"/>
      <c r="B830" s="171"/>
      <c r="C830" s="171"/>
      <c r="D830" s="170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</row>
    <row r="831">
      <c r="A831" s="171"/>
      <c r="B831" s="171"/>
      <c r="C831" s="171"/>
      <c r="D831" s="170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</row>
    <row r="832">
      <c r="A832" s="171"/>
      <c r="B832" s="171"/>
      <c r="C832" s="171"/>
      <c r="D832" s="170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</row>
    <row r="833">
      <c r="A833" s="171"/>
      <c r="B833" s="171"/>
      <c r="C833" s="171"/>
      <c r="D833" s="170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</row>
    <row r="834">
      <c r="A834" s="171"/>
      <c r="B834" s="171"/>
      <c r="C834" s="171"/>
      <c r="D834" s="170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</row>
    <row r="835">
      <c r="A835" s="171"/>
      <c r="B835" s="171"/>
      <c r="C835" s="171"/>
      <c r="D835" s="170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</row>
    <row r="836">
      <c r="A836" s="171"/>
      <c r="B836" s="171"/>
      <c r="C836" s="171"/>
      <c r="D836" s="170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</row>
    <row r="837">
      <c r="A837" s="171"/>
      <c r="B837" s="171"/>
      <c r="C837" s="171"/>
      <c r="D837" s="170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</row>
    <row r="838">
      <c r="A838" s="171"/>
      <c r="B838" s="171"/>
      <c r="C838" s="171"/>
      <c r="D838" s="170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</row>
    <row r="839">
      <c r="A839" s="171"/>
      <c r="B839" s="171"/>
      <c r="C839" s="171"/>
      <c r="D839" s="170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</row>
    <row r="840">
      <c r="A840" s="171"/>
      <c r="B840" s="171"/>
      <c r="C840" s="171"/>
      <c r="D840" s="170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</row>
    <row r="841">
      <c r="A841" s="171"/>
      <c r="B841" s="171"/>
      <c r="C841" s="171"/>
      <c r="D841" s="170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</row>
    <row r="842">
      <c r="A842" s="171"/>
      <c r="B842" s="171"/>
      <c r="C842" s="171"/>
      <c r="D842" s="170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</row>
    <row r="843">
      <c r="A843" s="171"/>
      <c r="B843" s="171"/>
      <c r="C843" s="171"/>
      <c r="D843" s="170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</row>
    <row r="844">
      <c r="A844" s="171"/>
      <c r="B844" s="171"/>
      <c r="C844" s="171"/>
      <c r="D844" s="170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</row>
    <row r="845">
      <c r="A845" s="171"/>
      <c r="B845" s="171"/>
      <c r="C845" s="171"/>
      <c r="D845" s="170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</row>
    <row r="846">
      <c r="A846" s="171"/>
      <c r="B846" s="171"/>
      <c r="C846" s="171"/>
      <c r="D846" s="170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</row>
    <row r="847">
      <c r="A847" s="171"/>
      <c r="B847" s="171"/>
      <c r="C847" s="171"/>
      <c r="D847" s="170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</row>
    <row r="848">
      <c r="A848" s="171"/>
      <c r="B848" s="171"/>
      <c r="C848" s="171"/>
      <c r="D848" s="170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</row>
    <row r="849">
      <c r="A849" s="171"/>
      <c r="B849" s="171"/>
      <c r="C849" s="171"/>
      <c r="D849" s="170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</row>
    <row r="850">
      <c r="A850" s="171"/>
      <c r="B850" s="171"/>
      <c r="C850" s="171"/>
      <c r="D850" s="170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</row>
    <row r="851">
      <c r="A851" s="171"/>
      <c r="B851" s="171"/>
      <c r="C851" s="171"/>
      <c r="D851" s="170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</row>
    <row r="852">
      <c r="A852" s="171"/>
      <c r="B852" s="171"/>
      <c r="C852" s="171"/>
      <c r="D852" s="170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</row>
    <row r="853">
      <c r="A853" s="171"/>
      <c r="B853" s="171"/>
      <c r="C853" s="171"/>
      <c r="D853" s="170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</row>
    <row r="854">
      <c r="A854" s="171"/>
      <c r="B854" s="171"/>
      <c r="C854" s="171"/>
      <c r="D854" s="170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</row>
    <row r="855">
      <c r="A855" s="171"/>
      <c r="B855" s="171"/>
      <c r="C855" s="171"/>
      <c r="D855" s="170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</row>
    <row r="856">
      <c r="A856" s="171"/>
      <c r="B856" s="171"/>
      <c r="C856" s="171"/>
      <c r="D856" s="170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</row>
    <row r="857">
      <c r="A857" s="171"/>
      <c r="B857" s="171"/>
      <c r="C857" s="171"/>
      <c r="D857" s="170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</row>
    <row r="858">
      <c r="A858" s="171"/>
      <c r="B858" s="171"/>
      <c r="C858" s="171"/>
      <c r="D858" s="170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</row>
    <row r="859">
      <c r="A859" s="171"/>
      <c r="B859" s="171"/>
      <c r="C859" s="171"/>
      <c r="D859" s="170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</row>
    <row r="860">
      <c r="A860" s="171"/>
      <c r="B860" s="171"/>
      <c r="C860" s="171"/>
      <c r="D860" s="170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</row>
    <row r="861">
      <c r="A861" s="171"/>
      <c r="B861" s="171"/>
      <c r="C861" s="171"/>
      <c r="D861" s="170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</row>
    <row r="862">
      <c r="A862" s="171"/>
      <c r="B862" s="171"/>
      <c r="C862" s="171"/>
      <c r="D862" s="170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</row>
    <row r="863">
      <c r="A863" s="171"/>
      <c r="B863" s="171"/>
      <c r="C863" s="171"/>
      <c r="D863" s="170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</row>
    <row r="864">
      <c r="A864" s="171"/>
      <c r="B864" s="171"/>
      <c r="C864" s="171"/>
      <c r="D864" s="170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</row>
    <row r="865">
      <c r="A865" s="171"/>
      <c r="B865" s="171"/>
      <c r="C865" s="171"/>
      <c r="D865" s="170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</row>
    <row r="866">
      <c r="A866" s="171"/>
      <c r="B866" s="171"/>
      <c r="C866" s="171"/>
      <c r="D866" s="170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</row>
    <row r="867">
      <c r="A867" s="171"/>
      <c r="B867" s="171"/>
      <c r="C867" s="171"/>
      <c r="D867" s="170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</row>
    <row r="868">
      <c r="A868" s="171"/>
      <c r="B868" s="171"/>
      <c r="C868" s="171"/>
      <c r="D868" s="170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</row>
    <row r="869">
      <c r="A869" s="171"/>
      <c r="B869" s="171"/>
      <c r="C869" s="171"/>
      <c r="D869" s="170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</row>
    <row r="870">
      <c r="A870" s="171"/>
      <c r="B870" s="171"/>
      <c r="C870" s="171"/>
      <c r="D870" s="170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</row>
    <row r="871">
      <c r="A871" s="171"/>
      <c r="B871" s="171"/>
      <c r="C871" s="171"/>
      <c r="D871" s="170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</row>
    <row r="872">
      <c r="A872" s="171"/>
      <c r="B872" s="171"/>
      <c r="C872" s="171"/>
      <c r="D872" s="170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</row>
    <row r="873">
      <c r="A873" s="171"/>
      <c r="B873" s="171"/>
      <c r="C873" s="171"/>
      <c r="D873" s="170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</row>
    <row r="874">
      <c r="A874" s="171"/>
      <c r="B874" s="171"/>
      <c r="C874" s="171"/>
      <c r="D874" s="170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</row>
    <row r="875">
      <c r="A875" s="171"/>
      <c r="B875" s="171"/>
      <c r="C875" s="171"/>
      <c r="D875" s="170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</row>
    <row r="876">
      <c r="A876" s="171"/>
      <c r="B876" s="171"/>
      <c r="C876" s="171"/>
      <c r="D876" s="170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</row>
    <row r="877">
      <c r="A877" s="171"/>
      <c r="B877" s="171"/>
      <c r="C877" s="171"/>
      <c r="D877" s="170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</row>
    <row r="878">
      <c r="A878" s="171"/>
      <c r="B878" s="171"/>
      <c r="C878" s="171"/>
      <c r="D878" s="170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</row>
    <row r="879">
      <c r="A879" s="171"/>
      <c r="B879" s="171"/>
      <c r="C879" s="171"/>
      <c r="D879" s="170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</row>
    <row r="880">
      <c r="A880" s="171"/>
      <c r="B880" s="171"/>
      <c r="C880" s="171"/>
      <c r="D880" s="170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</row>
    <row r="881">
      <c r="A881" s="171"/>
      <c r="B881" s="171"/>
      <c r="C881" s="171"/>
      <c r="D881" s="170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</row>
    <row r="882">
      <c r="A882" s="171"/>
      <c r="B882" s="171"/>
      <c r="C882" s="171"/>
      <c r="D882" s="170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</row>
    <row r="883">
      <c r="A883" s="171"/>
      <c r="B883" s="171"/>
      <c r="C883" s="171"/>
      <c r="D883" s="170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</row>
    <row r="884">
      <c r="A884" s="171"/>
      <c r="B884" s="171"/>
      <c r="C884" s="171"/>
      <c r="D884" s="170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</row>
    <row r="885">
      <c r="A885" s="171"/>
      <c r="B885" s="171"/>
      <c r="C885" s="171"/>
      <c r="D885" s="170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</row>
    <row r="886">
      <c r="A886" s="171"/>
      <c r="B886" s="171"/>
      <c r="C886" s="171"/>
      <c r="D886" s="170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</row>
    <row r="887">
      <c r="A887" s="171"/>
      <c r="B887" s="171"/>
      <c r="C887" s="171"/>
      <c r="D887" s="170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</row>
    <row r="888">
      <c r="A888" s="171"/>
      <c r="B888" s="171"/>
      <c r="C888" s="171"/>
      <c r="D888" s="170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</row>
    <row r="889">
      <c r="A889" s="171"/>
      <c r="B889" s="171"/>
      <c r="C889" s="171"/>
      <c r="D889" s="170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</row>
    <row r="890">
      <c r="A890" s="171"/>
      <c r="B890" s="171"/>
      <c r="C890" s="171"/>
      <c r="D890" s="170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</row>
    <row r="891">
      <c r="A891" s="171"/>
      <c r="B891" s="171"/>
      <c r="C891" s="171"/>
      <c r="D891" s="170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</row>
    <row r="892">
      <c r="A892" s="171"/>
      <c r="B892" s="171"/>
      <c r="C892" s="171"/>
      <c r="D892" s="170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</row>
    <row r="893">
      <c r="A893" s="171"/>
      <c r="B893" s="171"/>
      <c r="C893" s="171"/>
      <c r="D893" s="170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</row>
    <row r="894">
      <c r="A894" s="171"/>
      <c r="B894" s="171"/>
      <c r="C894" s="171"/>
      <c r="D894" s="170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</row>
    <row r="895">
      <c r="A895" s="171"/>
      <c r="B895" s="171"/>
      <c r="C895" s="171"/>
      <c r="D895" s="170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</row>
    <row r="896">
      <c r="A896" s="171"/>
      <c r="B896" s="171"/>
      <c r="C896" s="171"/>
      <c r="D896" s="170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</row>
    <row r="897">
      <c r="A897" s="171"/>
      <c r="B897" s="171"/>
      <c r="C897" s="171"/>
      <c r="D897" s="170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</row>
    <row r="898">
      <c r="A898" s="171"/>
      <c r="B898" s="171"/>
      <c r="C898" s="171"/>
      <c r="D898" s="170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</row>
    <row r="899">
      <c r="A899" s="171"/>
      <c r="B899" s="171"/>
      <c r="C899" s="171"/>
      <c r="D899" s="170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</row>
    <row r="900">
      <c r="A900" s="171"/>
      <c r="B900" s="171"/>
      <c r="C900" s="171"/>
      <c r="D900" s="170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</row>
    <row r="901">
      <c r="A901" s="171"/>
      <c r="B901" s="171"/>
      <c r="C901" s="171"/>
      <c r="D901" s="170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</row>
    <row r="902">
      <c r="A902" s="171"/>
      <c r="B902" s="171"/>
      <c r="C902" s="171"/>
      <c r="D902" s="170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</row>
    <row r="903">
      <c r="A903" s="171"/>
      <c r="B903" s="171"/>
      <c r="C903" s="171"/>
      <c r="D903" s="170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</row>
    <row r="904">
      <c r="A904" s="171"/>
      <c r="B904" s="171"/>
      <c r="C904" s="171"/>
      <c r="D904" s="170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</row>
    <row r="905">
      <c r="A905" s="171"/>
      <c r="B905" s="171"/>
      <c r="C905" s="171"/>
      <c r="D905" s="170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</row>
    <row r="906">
      <c r="A906" s="171"/>
      <c r="B906" s="171"/>
      <c r="C906" s="171"/>
      <c r="D906" s="170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</row>
    <row r="907">
      <c r="A907" s="171"/>
      <c r="B907" s="171"/>
      <c r="C907" s="171"/>
      <c r="D907" s="170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</row>
    <row r="908">
      <c r="A908" s="171"/>
      <c r="B908" s="171"/>
      <c r="C908" s="171"/>
      <c r="D908" s="170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</row>
    <row r="909">
      <c r="A909" s="171"/>
      <c r="B909" s="171"/>
      <c r="C909" s="171"/>
      <c r="D909" s="170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</row>
    <row r="910">
      <c r="A910" s="171"/>
      <c r="B910" s="171"/>
      <c r="C910" s="171"/>
      <c r="D910" s="170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</row>
    <row r="911">
      <c r="A911" s="171"/>
      <c r="B911" s="171"/>
      <c r="C911" s="171"/>
      <c r="D911" s="170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</row>
    <row r="912">
      <c r="A912" s="171"/>
      <c r="B912" s="171"/>
      <c r="C912" s="171"/>
      <c r="D912" s="170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</row>
    <row r="913">
      <c r="A913" s="171"/>
      <c r="B913" s="171"/>
      <c r="C913" s="171"/>
      <c r="D913" s="170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</row>
    <row r="914">
      <c r="A914" s="171"/>
      <c r="B914" s="171"/>
      <c r="C914" s="171"/>
      <c r="D914" s="170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</row>
    <row r="915">
      <c r="A915" s="171"/>
      <c r="B915" s="171"/>
      <c r="C915" s="171"/>
      <c r="D915" s="170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</row>
    <row r="916">
      <c r="A916" s="171"/>
      <c r="B916" s="171"/>
      <c r="C916" s="171"/>
      <c r="D916" s="170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</row>
    <row r="917">
      <c r="A917" s="171"/>
      <c r="B917" s="171"/>
      <c r="C917" s="171"/>
      <c r="D917" s="170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</row>
    <row r="918">
      <c r="A918" s="171"/>
      <c r="B918" s="171"/>
      <c r="C918" s="171"/>
      <c r="D918" s="170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</row>
    <row r="919">
      <c r="A919" s="171"/>
      <c r="B919" s="171"/>
      <c r="C919" s="171"/>
      <c r="D919" s="170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</row>
    <row r="920">
      <c r="A920" s="171"/>
      <c r="B920" s="171"/>
      <c r="C920" s="171"/>
      <c r="D920" s="170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</row>
    <row r="921">
      <c r="A921" s="171"/>
      <c r="B921" s="171"/>
      <c r="C921" s="171"/>
      <c r="D921" s="170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</row>
    <row r="922">
      <c r="A922" s="171"/>
      <c r="B922" s="171"/>
      <c r="C922" s="171"/>
      <c r="D922" s="170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</row>
    <row r="923">
      <c r="A923" s="171"/>
      <c r="B923" s="171"/>
      <c r="C923" s="171"/>
      <c r="D923" s="170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</row>
    <row r="924">
      <c r="A924" s="171"/>
      <c r="B924" s="171"/>
      <c r="C924" s="171"/>
      <c r="D924" s="170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</row>
    <row r="925">
      <c r="A925" s="171"/>
      <c r="B925" s="171"/>
      <c r="C925" s="171"/>
      <c r="D925" s="170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</row>
    <row r="926">
      <c r="A926" s="171"/>
      <c r="B926" s="171"/>
      <c r="C926" s="171"/>
      <c r="D926" s="170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</row>
    <row r="927">
      <c r="A927" s="171"/>
      <c r="B927" s="171"/>
      <c r="C927" s="171"/>
      <c r="D927" s="170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</row>
    <row r="928">
      <c r="A928" s="171"/>
      <c r="B928" s="171"/>
      <c r="C928" s="171"/>
      <c r="D928" s="170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</row>
    <row r="929">
      <c r="A929" s="171"/>
      <c r="B929" s="171"/>
      <c r="C929" s="171"/>
      <c r="D929" s="170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</row>
    <row r="930">
      <c r="A930" s="171"/>
      <c r="B930" s="171"/>
      <c r="C930" s="171"/>
      <c r="D930" s="170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</row>
    <row r="931">
      <c r="A931" s="171"/>
      <c r="B931" s="171"/>
      <c r="C931" s="171"/>
      <c r="D931" s="170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</row>
    <row r="932">
      <c r="A932" s="171"/>
      <c r="B932" s="171"/>
      <c r="C932" s="171"/>
      <c r="D932" s="170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</row>
    <row r="933">
      <c r="A933" s="171"/>
      <c r="B933" s="171"/>
      <c r="C933" s="171"/>
      <c r="D933" s="170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</row>
    <row r="934">
      <c r="A934" s="171"/>
      <c r="B934" s="171"/>
      <c r="C934" s="171"/>
      <c r="D934" s="170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</row>
    <row r="935">
      <c r="A935" s="171"/>
      <c r="B935" s="171"/>
      <c r="C935" s="171"/>
      <c r="D935" s="170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</row>
    <row r="936">
      <c r="A936" s="171"/>
      <c r="B936" s="171"/>
      <c r="C936" s="171"/>
      <c r="D936" s="170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</row>
    <row r="937">
      <c r="A937" s="171"/>
      <c r="B937" s="171"/>
      <c r="C937" s="171"/>
      <c r="D937" s="170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</row>
    <row r="938">
      <c r="A938" s="171"/>
      <c r="B938" s="171"/>
      <c r="C938" s="171"/>
      <c r="D938" s="170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</row>
    <row r="939">
      <c r="A939" s="171"/>
      <c r="B939" s="171"/>
      <c r="C939" s="171"/>
      <c r="D939" s="170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</row>
    <row r="940">
      <c r="A940" s="171"/>
      <c r="B940" s="171"/>
      <c r="C940" s="171"/>
      <c r="D940" s="170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</row>
    <row r="941">
      <c r="A941" s="171"/>
      <c r="B941" s="171"/>
      <c r="C941" s="171"/>
      <c r="D941" s="170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</row>
    <row r="942">
      <c r="A942" s="171"/>
      <c r="B942" s="171"/>
      <c r="C942" s="171"/>
      <c r="D942" s="170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</row>
    <row r="943">
      <c r="A943" s="171"/>
      <c r="B943" s="171"/>
      <c r="C943" s="171"/>
      <c r="D943" s="170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</row>
    <row r="944">
      <c r="A944" s="171"/>
      <c r="B944" s="171"/>
      <c r="C944" s="171"/>
      <c r="D944" s="170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</row>
    <row r="945">
      <c r="A945" s="171"/>
      <c r="B945" s="171"/>
      <c r="C945" s="171"/>
      <c r="D945" s="170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</row>
    <row r="946">
      <c r="A946" s="171"/>
      <c r="B946" s="171"/>
      <c r="C946" s="171"/>
      <c r="D946" s="170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</row>
    <row r="947">
      <c r="A947" s="171"/>
      <c r="B947" s="171"/>
      <c r="C947" s="171"/>
      <c r="D947" s="170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</row>
    <row r="948">
      <c r="A948" s="171"/>
      <c r="B948" s="171"/>
      <c r="C948" s="171"/>
      <c r="D948" s="170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</row>
    <row r="949">
      <c r="A949" s="171"/>
      <c r="B949" s="171"/>
      <c r="C949" s="171"/>
      <c r="D949" s="170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</row>
    <row r="950">
      <c r="A950" s="171"/>
      <c r="B950" s="171"/>
      <c r="C950" s="171"/>
      <c r="D950" s="170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</row>
    <row r="951">
      <c r="A951" s="171"/>
      <c r="B951" s="171"/>
      <c r="C951" s="171"/>
      <c r="D951" s="170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</row>
    <row r="952">
      <c r="A952" s="171"/>
      <c r="B952" s="171"/>
      <c r="C952" s="171"/>
      <c r="D952" s="170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</row>
    <row r="953">
      <c r="A953" s="171"/>
      <c r="B953" s="171"/>
      <c r="C953" s="171"/>
      <c r="D953" s="170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</row>
    <row r="954">
      <c r="A954" s="171"/>
      <c r="B954" s="171"/>
      <c r="C954" s="171"/>
      <c r="D954" s="170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</row>
    <row r="955">
      <c r="A955" s="171"/>
      <c r="B955" s="171"/>
      <c r="C955" s="171"/>
      <c r="D955" s="170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</row>
    <row r="956">
      <c r="A956" s="171"/>
      <c r="B956" s="171"/>
      <c r="C956" s="171"/>
      <c r="D956" s="170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</row>
    <row r="957">
      <c r="A957" s="171"/>
      <c r="B957" s="171"/>
      <c r="C957" s="171"/>
      <c r="D957" s="170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</row>
    <row r="958">
      <c r="A958" s="171"/>
      <c r="B958" s="171"/>
      <c r="C958" s="171"/>
      <c r="D958" s="170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</row>
    <row r="959">
      <c r="A959" s="171"/>
      <c r="B959" s="171"/>
      <c r="C959" s="171"/>
      <c r="D959" s="170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</row>
    <row r="960">
      <c r="A960" s="171"/>
      <c r="B960" s="171"/>
      <c r="C960" s="171"/>
      <c r="D960" s="170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</row>
    <row r="961">
      <c r="A961" s="171"/>
      <c r="B961" s="171"/>
      <c r="C961" s="171"/>
      <c r="D961" s="170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</row>
    <row r="962">
      <c r="A962" s="171"/>
      <c r="B962" s="171"/>
      <c r="C962" s="171"/>
      <c r="D962" s="170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</row>
    <row r="963">
      <c r="A963" s="171"/>
      <c r="B963" s="171"/>
      <c r="C963" s="171"/>
      <c r="D963" s="170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</row>
    <row r="964">
      <c r="A964" s="171"/>
      <c r="B964" s="171"/>
      <c r="C964" s="171"/>
      <c r="D964" s="170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</row>
    <row r="965">
      <c r="A965" s="171"/>
      <c r="B965" s="171"/>
      <c r="C965" s="171"/>
      <c r="D965" s="170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</row>
    <row r="966">
      <c r="A966" s="171"/>
      <c r="B966" s="171"/>
      <c r="C966" s="171"/>
      <c r="D966" s="170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</row>
    <row r="967">
      <c r="A967" s="171"/>
      <c r="B967" s="171"/>
      <c r="C967" s="171"/>
      <c r="D967" s="170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</row>
    <row r="968">
      <c r="A968" s="171"/>
      <c r="B968" s="171"/>
      <c r="C968" s="171"/>
      <c r="D968" s="170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</row>
    <row r="969">
      <c r="A969" s="171"/>
      <c r="B969" s="171"/>
      <c r="C969" s="171"/>
      <c r="D969" s="170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</row>
    <row r="970">
      <c r="A970" s="171"/>
      <c r="B970" s="171"/>
      <c r="C970" s="171"/>
      <c r="D970" s="170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</row>
    <row r="971">
      <c r="A971" s="171"/>
      <c r="B971" s="171"/>
      <c r="C971" s="171"/>
      <c r="D971" s="170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</row>
    <row r="972">
      <c r="A972" s="171"/>
      <c r="B972" s="171"/>
      <c r="C972" s="171"/>
      <c r="D972" s="170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</row>
    <row r="973">
      <c r="A973" s="171"/>
      <c r="B973" s="171"/>
      <c r="C973" s="171"/>
      <c r="D973" s="170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</row>
    <row r="974">
      <c r="A974" s="171"/>
      <c r="B974" s="171"/>
      <c r="C974" s="171"/>
      <c r="D974" s="170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</row>
    <row r="975">
      <c r="A975" s="171"/>
      <c r="B975" s="171"/>
      <c r="C975" s="171"/>
      <c r="D975" s="170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</row>
    <row r="976">
      <c r="A976" s="171"/>
      <c r="B976" s="171"/>
      <c r="C976" s="171"/>
      <c r="D976" s="170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</row>
    <row r="977">
      <c r="A977" s="171"/>
      <c r="B977" s="171"/>
      <c r="C977" s="171"/>
      <c r="D977" s="170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</row>
    <row r="978">
      <c r="A978" s="171"/>
      <c r="B978" s="171"/>
      <c r="C978" s="171"/>
      <c r="D978" s="170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</row>
    <row r="979">
      <c r="A979" s="171"/>
      <c r="B979" s="171"/>
      <c r="C979" s="171"/>
      <c r="D979" s="170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</row>
    <row r="980">
      <c r="A980" s="171"/>
      <c r="B980" s="171"/>
      <c r="C980" s="171"/>
      <c r="D980" s="170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</row>
    <row r="981">
      <c r="A981" s="171"/>
      <c r="B981" s="171"/>
      <c r="C981" s="171"/>
      <c r="D981" s="170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</row>
    <row r="982">
      <c r="A982" s="171"/>
      <c r="B982" s="171"/>
      <c r="C982" s="171"/>
      <c r="D982" s="170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</row>
    <row r="983">
      <c r="A983" s="171"/>
      <c r="B983" s="171"/>
      <c r="C983" s="171"/>
      <c r="D983" s="170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</row>
    <row r="984">
      <c r="A984" s="171"/>
      <c r="B984" s="171"/>
      <c r="C984" s="171"/>
      <c r="D984" s="170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</row>
    <row r="985">
      <c r="A985" s="171"/>
      <c r="B985" s="171"/>
      <c r="C985" s="171"/>
      <c r="D985" s="170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</row>
    <row r="986">
      <c r="A986" s="171"/>
      <c r="B986" s="171"/>
      <c r="C986" s="171"/>
      <c r="D986" s="170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</row>
    <row r="987">
      <c r="A987" s="171"/>
      <c r="B987" s="171"/>
      <c r="C987" s="171"/>
      <c r="D987" s="170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</row>
    <row r="988">
      <c r="A988" s="171"/>
      <c r="B988" s="171"/>
      <c r="C988" s="171"/>
      <c r="D988" s="170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</row>
    <row r="989">
      <c r="A989" s="171"/>
      <c r="B989" s="171"/>
      <c r="C989" s="171"/>
      <c r="D989" s="170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</row>
    <row r="990">
      <c r="A990" s="171"/>
      <c r="B990" s="171"/>
      <c r="C990" s="171"/>
      <c r="D990" s="170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</row>
    <row r="991">
      <c r="A991" s="171"/>
      <c r="B991" s="171"/>
      <c r="C991" s="171"/>
      <c r="D991" s="170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</row>
    <row r="992">
      <c r="A992" s="171"/>
      <c r="B992" s="171"/>
      <c r="C992" s="171"/>
      <c r="D992" s="170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</row>
    <row r="993">
      <c r="A993" s="171"/>
      <c r="B993" s="171"/>
      <c r="C993" s="171"/>
      <c r="D993" s="170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</row>
    <row r="994">
      <c r="A994" s="171"/>
      <c r="B994" s="171"/>
      <c r="C994" s="171"/>
      <c r="D994" s="170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</row>
    <row r="995">
      <c r="A995" s="171"/>
      <c r="B995" s="171"/>
      <c r="C995" s="171"/>
      <c r="D995" s="170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</row>
    <row r="996">
      <c r="A996" s="171"/>
      <c r="B996" s="171"/>
      <c r="C996" s="171"/>
      <c r="D996" s="170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</row>
    <row r="997">
      <c r="A997" s="171"/>
      <c r="B997" s="171"/>
      <c r="C997" s="171"/>
      <c r="D997" s="170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</row>
    <row r="998">
      <c r="A998" s="171"/>
      <c r="B998" s="171"/>
      <c r="C998" s="171"/>
      <c r="D998" s="170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</row>
    <row r="999">
      <c r="A999" s="171"/>
      <c r="B999" s="171"/>
      <c r="C999" s="171"/>
      <c r="D999" s="170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</row>
    <row r="1000">
      <c r="A1000" s="171"/>
      <c r="B1000" s="171"/>
      <c r="C1000" s="171"/>
      <c r="D1000" s="170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</row>
    <row r="1001">
      <c r="A1001" s="171"/>
      <c r="B1001" s="171"/>
      <c r="C1001" s="171"/>
      <c r="D1001" s="170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</row>
    <row r="1002">
      <c r="A1002" s="171"/>
      <c r="B1002" s="171"/>
      <c r="C1002" s="171"/>
      <c r="D1002" s="170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</row>
    <row r="1003">
      <c r="A1003" s="171"/>
      <c r="B1003" s="171"/>
      <c r="C1003" s="171"/>
      <c r="D1003" s="170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</row>
    <row r="1004">
      <c r="A1004" s="171"/>
      <c r="B1004" s="171"/>
      <c r="C1004" s="171"/>
      <c r="D1004" s="170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</row>
    <row r="1005">
      <c r="A1005" s="171"/>
      <c r="B1005" s="171"/>
      <c r="C1005" s="171"/>
      <c r="D1005" s="170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</row>
    <row r="1006">
      <c r="A1006" s="171"/>
      <c r="B1006" s="171"/>
      <c r="C1006" s="171"/>
      <c r="D1006" s="170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</row>
    <row r="1007">
      <c r="A1007" s="171"/>
      <c r="B1007" s="171"/>
      <c r="C1007" s="171"/>
      <c r="D1007" s="170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</row>
    <row r="1008">
      <c r="A1008" s="171"/>
      <c r="B1008" s="171"/>
      <c r="C1008" s="171"/>
      <c r="D1008" s="170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</row>
    <row r="1009">
      <c r="A1009" s="171"/>
      <c r="B1009" s="171"/>
      <c r="C1009" s="171"/>
      <c r="D1009" s="170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</row>
    <row r="1010">
      <c r="A1010" s="171"/>
      <c r="B1010" s="171"/>
      <c r="C1010" s="171"/>
      <c r="D1010" s="170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</row>
    <row r="1011">
      <c r="A1011" s="171"/>
      <c r="B1011" s="171"/>
      <c r="C1011" s="171"/>
      <c r="D1011" s="170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</row>
    <row r="1012">
      <c r="A1012" s="171"/>
      <c r="B1012" s="171"/>
      <c r="C1012" s="171"/>
      <c r="D1012" s="170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</row>
    <row r="1013">
      <c r="A1013" s="171"/>
      <c r="B1013" s="171"/>
      <c r="C1013" s="171"/>
      <c r="D1013" s="170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</row>
    <row r="1014">
      <c r="A1014" s="171"/>
      <c r="B1014" s="171"/>
      <c r="C1014" s="171"/>
      <c r="D1014" s="170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</row>
    <row r="1015">
      <c r="A1015" s="171"/>
      <c r="B1015" s="171"/>
      <c r="C1015" s="171"/>
      <c r="D1015" s="170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</row>
    <row r="1016">
      <c r="A1016" s="171"/>
      <c r="B1016" s="171"/>
      <c r="C1016" s="171"/>
      <c r="D1016" s="170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</row>
    <row r="1017">
      <c r="A1017" s="171"/>
      <c r="B1017" s="171"/>
      <c r="C1017" s="171"/>
      <c r="D1017" s="170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</row>
    <row r="1018">
      <c r="A1018" s="171"/>
      <c r="B1018" s="171"/>
      <c r="C1018" s="171"/>
      <c r="D1018" s="170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</row>
    <row r="1019">
      <c r="A1019" s="171"/>
      <c r="B1019" s="171"/>
      <c r="C1019" s="171"/>
      <c r="D1019" s="170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</row>
    <row r="1020">
      <c r="A1020" s="171"/>
      <c r="B1020" s="171"/>
      <c r="C1020" s="171"/>
      <c r="D1020" s="170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</row>
    <row r="1021">
      <c r="A1021" s="171"/>
      <c r="B1021" s="171"/>
      <c r="C1021" s="171"/>
      <c r="D1021" s="170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</row>
    <row r="1022">
      <c r="A1022" s="171"/>
      <c r="B1022" s="171"/>
      <c r="C1022" s="171"/>
      <c r="D1022" s="170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</row>
    <row r="1023">
      <c r="A1023" s="171"/>
      <c r="B1023" s="171"/>
      <c r="C1023" s="171"/>
      <c r="D1023" s="170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</row>
    <row r="1024">
      <c r="A1024" s="171"/>
      <c r="B1024" s="171"/>
      <c r="C1024" s="171"/>
      <c r="D1024" s="170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</row>
    <row r="1025">
      <c r="A1025" s="171"/>
      <c r="B1025" s="171"/>
      <c r="C1025" s="171"/>
      <c r="D1025" s="170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</row>
    <row r="1026">
      <c r="A1026" s="171"/>
      <c r="B1026" s="171"/>
      <c r="C1026" s="171"/>
      <c r="D1026" s="170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</row>
    <row r="1027">
      <c r="A1027" s="171"/>
      <c r="B1027" s="171"/>
      <c r="C1027" s="171"/>
      <c r="D1027" s="170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</row>
    <row r="1028">
      <c r="A1028" s="171"/>
      <c r="B1028" s="171"/>
      <c r="C1028" s="171"/>
      <c r="D1028" s="170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</row>
    <row r="1029">
      <c r="A1029" s="171"/>
      <c r="B1029" s="171"/>
      <c r="C1029" s="171"/>
      <c r="D1029" s="170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</row>
    <row r="1030">
      <c r="A1030" s="171"/>
      <c r="B1030" s="171"/>
      <c r="C1030" s="171"/>
      <c r="D1030" s="170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</row>
    <row r="1031">
      <c r="A1031" s="171"/>
      <c r="B1031" s="171"/>
      <c r="C1031" s="171"/>
      <c r="D1031" s="170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</row>
    <row r="1032">
      <c r="A1032" s="171"/>
      <c r="B1032" s="171"/>
      <c r="C1032" s="171"/>
      <c r="D1032" s="170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</row>
    <row r="1033">
      <c r="A1033" s="171"/>
      <c r="B1033" s="171"/>
      <c r="C1033" s="171"/>
      <c r="D1033" s="170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</row>
    <row r="1034">
      <c r="A1034" s="171"/>
      <c r="B1034" s="171"/>
      <c r="C1034" s="171"/>
      <c r="D1034" s="170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</row>
    <row r="1035">
      <c r="A1035" s="171"/>
      <c r="B1035" s="171"/>
      <c r="C1035" s="171"/>
      <c r="D1035" s="170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</row>
    <row r="1036">
      <c r="A1036" s="171"/>
      <c r="B1036" s="171"/>
      <c r="C1036" s="171"/>
      <c r="D1036" s="170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</row>
    <row r="1037">
      <c r="A1037" s="171"/>
      <c r="B1037" s="171"/>
      <c r="C1037" s="171"/>
      <c r="D1037" s="170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</row>
    <row r="1038">
      <c r="A1038" s="171"/>
      <c r="B1038" s="171"/>
      <c r="C1038" s="171"/>
      <c r="D1038" s="170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</row>
    <row r="1039">
      <c r="A1039" s="171"/>
      <c r="B1039" s="171"/>
      <c r="C1039" s="171"/>
      <c r="D1039" s="170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</row>
    <row r="1040">
      <c r="A1040" s="171"/>
      <c r="B1040" s="171"/>
      <c r="C1040" s="171"/>
      <c r="D1040" s="170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</row>
    <row r="1041">
      <c r="A1041" s="171"/>
      <c r="B1041" s="171"/>
      <c r="C1041" s="171"/>
      <c r="D1041" s="170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</row>
    <row r="1042">
      <c r="A1042" s="171"/>
      <c r="B1042" s="171"/>
      <c r="C1042" s="171"/>
      <c r="D1042" s="170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</row>
    <row r="1043">
      <c r="A1043" s="171"/>
      <c r="B1043" s="171"/>
      <c r="C1043" s="171"/>
      <c r="D1043" s="170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</row>
    <row r="1044">
      <c r="A1044" s="171"/>
      <c r="B1044" s="171"/>
      <c r="C1044" s="171"/>
      <c r="D1044" s="170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</row>
    <row r="1045">
      <c r="A1045" s="171"/>
      <c r="B1045" s="171"/>
      <c r="C1045" s="171"/>
      <c r="D1045" s="170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</row>
    <row r="1046">
      <c r="A1046" s="171"/>
      <c r="B1046" s="171"/>
      <c r="C1046" s="171"/>
      <c r="D1046" s="170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</row>
    <row r="1047">
      <c r="A1047" s="171"/>
      <c r="B1047" s="171"/>
      <c r="C1047" s="171"/>
      <c r="D1047" s="170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</row>
    <row r="1048">
      <c r="A1048" s="171"/>
      <c r="B1048" s="171"/>
      <c r="C1048" s="171"/>
      <c r="D1048" s="170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</row>
    <row r="1049">
      <c r="A1049" s="171"/>
      <c r="B1049" s="171"/>
      <c r="C1049" s="171"/>
      <c r="D1049" s="170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</row>
    <row r="1050">
      <c r="A1050" s="171"/>
      <c r="B1050" s="171"/>
      <c r="C1050" s="171"/>
      <c r="D1050" s="170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</row>
    <row r="1051">
      <c r="A1051" s="171"/>
      <c r="B1051" s="171"/>
      <c r="C1051" s="171"/>
      <c r="D1051" s="170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</row>
    <row r="1052">
      <c r="A1052" s="171"/>
      <c r="B1052" s="171"/>
      <c r="C1052" s="171"/>
      <c r="D1052" s="170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</row>
    <row r="1053">
      <c r="A1053" s="171"/>
      <c r="B1053" s="171"/>
      <c r="C1053" s="171"/>
      <c r="D1053" s="170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</row>
    <row r="1054">
      <c r="A1054" s="171"/>
      <c r="B1054" s="171"/>
      <c r="C1054" s="171"/>
      <c r="D1054" s="170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</row>
    <row r="1055">
      <c r="A1055" s="171"/>
      <c r="B1055" s="171"/>
      <c r="C1055" s="171"/>
      <c r="D1055" s="170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</row>
    <row r="1056">
      <c r="A1056" s="171"/>
      <c r="B1056" s="171"/>
      <c r="C1056" s="171"/>
      <c r="D1056" s="170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</row>
    <row r="1057">
      <c r="A1057" s="171"/>
      <c r="B1057" s="171"/>
      <c r="C1057" s="171"/>
      <c r="D1057" s="170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</row>
    <row r="1058">
      <c r="A1058" s="171"/>
      <c r="B1058" s="171"/>
      <c r="C1058" s="171"/>
      <c r="D1058" s="170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</row>
    <row r="1059">
      <c r="A1059" s="171"/>
      <c r="B1059" s="171"/>
      <c r="C1059" s="171"/>
      <c r="D1059" s="170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</row>
    <row r="1060">
      <c r="A1060" s="171"/>
      <c r="B1060" s="171"/>
      <c r="C1060" s="171"/>
      <c r="D1060" s="170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</row>
    <row r="1061">
      <c r="A1061" s="171"/>
      <c r="B1061" s="171"/>
      <c r="C1061" s="171"/>
      <c r="D1061" s="170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</row>
    <row r="1062">
      <c r="A1062" s="171"/>
      <c r="B1062" s="171"/>
      <c r="C1062" s="171"/>
      <c r="D1062" s="170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</row>
    <row r="1063">
      <c r="A1063" s="171"/>
      <c r="B1063" s="171"/>
      <c r="C1063" s="171"/>
      <c r="D1063" s="170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</row>
    <row r="1064">
      <c r="A1064" s="171"/>
      <c r="B1064" s="171"/>
      <c r="C1064" s="171"/>
      <c r="D1064" s="170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</row>
    <row r="1065">
      <c r="A1065" s="171"/>
      <c r="B1065" s="171"/>
      <c r="C1065" s="171"/>
      <c r="D1065" s="170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</row>
    <row r="1066">
      <c r="A1066" s="171"/>
      <c r="B1066" s="171"/>
      <c r="C1066" s="171"/>
      <c r="D1066" s="170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</row>
    <row r="1067">
      <c r="A1067" s="171"/>
      <c r="B1067" s="171"/>
      <c r="C1067" s="171"/>
      <c r="D1067" s="170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</row>
    <row r="1068">
      <c r="A1068" s="171"/>
      <c r="B1068" s="171"/>
      <c r="C1068" s="171"/>
      <c r="D1068" s="170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</row>
    <row r="1069">
      <c r="A1069" s="171"/>
      <c r="B1069" s="171"/>
      <c r="C1069" s="171"/>
      <c r="D1069" s="170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</row>
    <row r="1070">
      <c r="A1070" s="171"/>
      <c r="B1070" s="171"/>
      <c r="C1070" s="171"/>
      <c r="D1070" s="170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</row>
    <row r="1071">
      <c r="A1071" s="171"/>
      <c r="B1071" s="171"/>
      <c r="C1071" s="171"/>
      <c r="D1071" s="170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</row>
    <row r="1072">
      <c r="A1072" s="171"/>
      <c r="B1072" s="171"/>
      <c r="C1072" s="171"/>
      <c r="D1072" s="170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</row>
    <row r="1073">
      <c r="A1073" s="171"/>
      <c r="B1073" s="171"/>
      <c r="C1073" s="171"/>
      <c r="D1073" s="170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</row>
    <row r="1074">
      <c r="A1074" s="171"/>
      <c r="B1074" s="171"/>
      <c r="C1074" s="171"/>
      <c r="D1074" s="170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</row>
    <row r="1075">
      <c r="A1075" s="171"/>
      <c r="B1075" s="171"/>
      <c r="C1075" s="171"/>
      <c r="D1075" s="170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</row>
    <row r="1076">
      <c r="A1076" s="171"/>
      <c r="B1076" s="171"/>
      <c r="C1076" s="171"/>
      <c r="D1076" s="170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</row>
    <row r="1077">
      <c r="A1077" s="171"/>
      <c r="B1077" s="171"/>
      <c r="C1077" s="171"/>
      <c r="D1077" s="170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</row>
    <row r="1078">
      <c r="A1078" s="171"/>
      <c r="B1078" s="171"/>
      <c r="C1078" s="171"/>
      <c r="D1078" s="170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</row>
    <row r="1079">
      <c r="A1079" s="171"/>
      <c r="B1079" s="171"/>
      <c r="C1079" s="171"/>
      <c r="D1079" s="170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</row>
    <row r="1080">
      <c r="A1080" s="171"/>
      <c r="B1080" s="171"/>
      <c r="C1080" s="171"/>
      <c r="D1080" s="170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</row>
    <row r="1081">
      <c r="A1081" s="171"/>
      <c r="B1081" s="171"/>
      <c r="C1081" s="171"/>
      <c r="D1081" s="170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  <c r="CB1081" s="3"/>
      <c r="CC1081" s="3"/>
      <c r="CD1081" s="3"/>
      <c r="CE1081" s="3"/>
      <c r="CF1081" s="3"/>
    </row>
    <row r="1082">
      <c r="A1082" s="171"/>
      <c r="B1082" s="171"/>
      <c r="C1082" s="171"/>
      <c r="D1082" s="170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3"/>
      <c r="CD1082" s="3"/>
      <c r="CE1082" s="3"/>
      <c r="CF1082" s="3"/>
    </row>
    <row r="1083">
      <c r="A1083" s="171"/>
      <c r="B1083" s="171"/>
      <c r="C1083" s="171"/>
      <c r="D1083" s="170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/>
      <c r="CC1083" s="3"/>
      <c r="CD1083" s="3"/>
      <c r="CE1083" s="3"/>
      <c r="CF1083" s="3"/>
    </row>
    <row r="1084">
      <c r="A1084" s="171"/>
      <c r="B1084" s="171"/>
      <c r="C1084" s="171"/>
      <c r="D1084" s="170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/>
      <c r="CB1084" s="3"/>
      <c r="CC1084" s="3"/>
      <c r="CD1084" s="3"/>
      <c r="CE1084" s="3"/>
      <c r="CF1084" s="3"/>
    </row>
    <row r="1085">
      <c r="A1085" s="171"/>
      <c r="B1085" s="171"/>
      <c r="C1085" s="171"/>
      <c r="D1085" s="170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/>
      <c r="CB1085" s="3"/>
      <c r="CC1085" s="3"/>
      <c r="CD1085" s="3"/>
      <c r="CE1085" s="3"/>
      <c r="CF1085" s="3"/>
    </row>
    <row r="1086">
      <c r="A1086" s="171"/>
      <c r="B1086" s="171"/>
      <c r="C1086" s="171"/>
      <c r="D1086" s="170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3"/>
    </row>
    <row r="1087">
      <c r="A1087" s="171"/>
      <c r="B1087" s="171"/>
      <c r="C1087" s="171"/>
      <c r="D1087" s="170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</row>
    <row r="1088">
      <c r="A1088" s="171"/>
      <c r="B1088" s="171"/>
      <c r="C1088" s="171"/>
      <c r="D1088" s="170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</row>
    <row r="1089">
      <c r="A1089" s="171"/>
      <c r="B1089" s="171"/>
      <c r="C1089" s="171"/>
      <c r="D1089" s="170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</row>
    <row r="1090">
      <c r="A1090" s="171"/>
      <c r="B1090" s="171"/>
      <c r="C1090" s="171"/>
      <c r="D1090" s="170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</row>
    <row r="1091">
      <c r="A1091" s="171"/>
      <c r="B1091" s="171"/>
      <c r="C1091" s="171"/>
      <c r="D1091" s="170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</row>
    <row r="1092">
      <c r="A1092" s="171"/>
      <c r="B1092" s="171"/>
      <c r="C1092" s="171"/>
      <c r="D1092" s="170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</row>
    <row r="1093">
      <c r="A1093" s="171"/>
      <c r="B1093" s="171"/>
      <c r="C1093" s="171"/>
      <c r="D1093" s="170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</row>
    <row r="1094">
      <c r="A1094" s="171"/>
      <c r="B1094" s="171"/>
      <c r="C1094" s="171"/>
      <c r="D1094" s="170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</row>
    <row r="1095">
      <c r="A1095" s="171"/>
      <c r="B1095" s="171"/>
      <c r="C1095" s="171"/>
      <c r="D1095" s="170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</row>
    <row r="1096">
      <c r="A1096" s="171"/>
      <c r="B1096" s="171"/>
      <c r="C1096" s="171"/>
      <c r="D1096" s="170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</row>
    <row r="1097">
      <c r="A1097" s="171"/>
      <c r="B1097" s="171"/>
      <c r="C1097" s="171"/>
      <c r="D1097" s="170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</row>
    <row r="1098">
      <c r="A1098" s="171"/>
      <c r="B1098" s="171"/>
      <c r="C1098" s="171"/>
      <c r="D1098" s="170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3"/>
    </row>
    <row r="1099">
      <c r="A1099" s="171"/>
      <c r="B1099" s="171"/>
      <c r="C1099" s="171"/>
      <c r="D1099" s="170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  <c r="BZ1099" s="3"/>
      <c r="CA1099" s="3"/>
      <c r="CB1099" s="3"/>
      <c r="CC1099" s="3"/>
      <c r="CD1099" s="3"/>
      <c r="CE1099" s="3"/>
      <c r="CF1099" s="3"/>
    </row>
    <row r="1100">
      <c r="A1100" s="171"/>
      <c r="B1100" s="171"/>
      <c r="C1100" s="171"/>
      <c r="D1100" s="170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  <c r="CB1100" s="3"/>
      <c r="CC1100" s="3"/>
      <c r="CD1100" s="3"/>
      <c r="CE1100" s="3"/>
      <c r="CF1100" s="3"/>
    </row>
    <row r="1101">
      <c r="A1101" s="171"/>
      <c r="B1101" s="171"/>
      <c r="C1101" s="171"/>
      <c r="D1101" s="170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  <c r="BZ1101" s="3"/>
      <c r="CA1101" s="3"/>
      <c r="CB1101" s="3"/>
      <c r="CC1101" s="3"/>
      <c r="CD1101" s="3"/>
      <c r="CE1101" s="3"/>
      <c r="CF1101" s="3"/>
    </row>
    <row r="1102">
      <c r="A1102" s="171"/>
      <c r="B1102" s="171"/>
      <c r="C1102" s="171"/>
      <c r="D1102" s="170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3"/>
    </row>
    <row r="1103">
      <c r="A1103" s="171"/>
      <c r="B1103" s="171"/>
      <c r="C1103" s="171"/>
      <c r="D1103" s="170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  <c r="BZ1103" s="3"/>
      <c r="CA1103" s="3"/>
      <c r="CB1103" s="3"/>
      <c r="CC1103" s="3"/>
      <c r="CD1103" s="3"/>
      <c r="CE1103" s="3"/>
      <c r="CF1103" s="3"/>
    </row>
    <row r="1104">
      <c r="A1104" s="171"/>
      <c r="B1104" s="171"/>
      <c r="C1104" s="171"/>
      <c r="D1104" s="170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  <c r="BZ1104" s="3"/>
      <c r="CA1104" s="3"/>
      <c r="CB1104" s="3"/>
      <c r="CC1104" s="3"/>
      <c r="CD1104" s="3"/>
      <c r="CE1104" s="3"/>
      <c r="CF1104" s="3"/>
    </row>
    <row r="1105">
      <c r="A1105" s="171"/>
      <c r="B1105" s="171"/>
      <c r="C1105" s="171"/>
      <c r="D1105" s="170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/>
      <c r="CB1105" s="3"/>
      <c r="CC1105" s="3"/>
      <c r="CD1105" s="3"/>
      <c r="CE1105" s="3"/>
      <c r="CF1105" s="3"/>
    </row>
    <row r="1106">
      <c r="A1106" s="171"/>
      <c r="B1106" s="171"/>
      <c r="C1106" s="171"/>
      <c r="D1106" s="170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  <c r="BZ1106" s="3"/>
      <c r="CA1106" s="3"/>
      <c r="CB1106" s="3"/>
      <c r="CC1106" s="3"/>
      <c r="CD1106" s="3"/>
      <c r="CE1106" s="3"/>
      <c r="CF1106" s="3"/>
    </row>
    <row r="1107">
      <c r="A1107" s="171"/>
      <c r="B1107" s="171"/>
      <c r="C1107" s="171"/>
      <c r="D1107" s="170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/>
      <c r="BZ1107" s="3"/>
      <c r="CA1107" s="3"/>
      <c r="CB1107" s="3"/>
      <c r="CC1107" s="3"/>
      <c r="CD1107" s="3"/>
      <c r="CE1107" s="3"/>
      <c r="CF1107" s="3"/>
    </row>
    <row r="1108">
      <c r="A1108" s="171"/>
      <c r="B1108" s="171"/>
      <c r="C1108" s="171"/>
      <c r="D1108" s="170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/>
      <c r="CB1108" s="3"/>
      <c r="CC1108" s="3"/>
      <c r="CD1108" s="3"/>
      <c r="CE1108" s="3"/>
      <c r="CF1108" s="3"/>
    </row>
    <row r="1109">
      <c r="A1109" s="171"/>
      <c r="B1109" s="171"/>
      <c r="C1109" s="171"/>
      <c r="D1109" s="170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/>
      <c r="CB1109" s="3"/>
      <c r="CC1109" s="3"/>
      <c r="CD1109" s="3"/>
      <c r="CE1109" s="3"/>
      <c r="CF1109" s="3"/>
    </row>
    <row r="1110">
      <c r="A1110" s="171"/>
      <c r="B1110" s="171"/>
      <c r="C1110" s="171"/>
      <c r="D1110" s="170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/>
      <c r="CB1110" s="3"/>
      <c r="CC1110" s="3"/>
      <c r="CD1110" s="3"/>
      <c r="CE1110" s="3"/>
      <c r="CF1110" s="3"/>
    </row>
    <row r="1111">
      <c r="A1111" s="171"/>
      <c r="B1111" s="171"/>
      <c r="C1111" s="171"/>
      <c r="D1111" s="170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/>
      <c r="CB1111" s="3"/>
      <c r="CC1111" s="3"/>
      <c r="CD1111" s="3"/>
      <c r="CE1111" s="3"/>
      <c r="CF1111" s="3"/>
    </row>
    <row r="1112">
      <c r="A1112" s="171"/>
      <c r="B1112" s="171"/>
      <c r="C1112" s="171"/>
      <c r="D1112" s="170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</row>
    <row r="1113">
      <c r="A1113" s="171"/>
      <c r="B1113" s="171"/>
      <c r="C1113" s="171"/>
      <c r="D1113" s="170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</row>
    <row r="1114">
      <c r="A1114" s="171"/>
      <c r="B1114" s="171"/>
      <c r="C1114" s="171"/>
      <c r="D1114" s="170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</row>
    <row r="1115">
      <c r="A1115" s="171"/>
      <c r="B1115" s="171"/>
      <c r="C1115" s="171"/>
      <c r="D1115" s="170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</row>
    <row r="1116">
      <c r="A1116" s="171"/>
      <c r="B1116" s="171"/>
      <c r="C1116" s="171"/>
      <c r="D1116" s="170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</row>
    <row r="1117">
      <c r="A1117" s="171"/>
      <c r="B1117" s="171"/>
      <c r="C1117" s="171"/>
      <c r="D1117" s="170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</row>
    <row r="1118">
      <c r="A1118" s="171"/>
      <c r="B1118" s="171"/>
      <c r="C1118" s="171"/>
      <c r="D1118" s="170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</row>
    <row r="1119">
      <c r="A1119" s="171"/>
      <c r="B1119" s="171"/>
      <c r="C1119" s="171"/>
      <c r="D1119" s="170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</row>
    <row r="1120">
      <c r="A1120" s="171"/>
      <c r="B1120" s="171"/>
      <c r="C1120" s="171"/>
      <c r="D1120" s="170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</row>
    <row r="1121">
      <c r="A1121" s="171"/>
      <c r="B1121" s="171"/>
      <c r="C1121" s="171"/>
      <c r="D1121" s="170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</row>
    <row r="1122">
      <c r="A1122" s="171"/>
      <c r="B1122" s="171"/>
      <c r="C1122" s="171"/>
      <c r="D1122" s="170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/>
      <c r="CB1122" s="3"/>
      <c r="CC1122" s="3"/>
      <c r="CD1122" s="3"/>
      <c r="CE1122" s="3"/>
      <c r="CF1122" s="3"/>
    </row>
    <row r="1123">
      <c r="A1123" s="171"/>
      <c r="B1123" s="171"/>
      <c r="C1123" s="171"/>
      <c r="D1123" s="170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  <c r="BZ1123" s="3"/>
      <c r="CA1123" s="3"/>
      <c r="CB1123" s="3"/>
      <c r="CC1123" s="3"/>
      <c r="CD1123" s="3"/>
      <c r="CE1123" s="3"/>
      <c r="CF1123" s="3"/>
    </row>
    <row r="1124">
      <c r="A1124" s="171"/>
      <c r="B1124" s="171"/>
      <c r="C1124" s="171"/>
      <c r="D1124" s="170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3"/>
      <c r="CB1124" s="3"/>
      <c r="CC1124" s="3"/>
      <c r="CD1124" s="3"/>
      <c r="CE1124" s="3"/>
      <c r="CF1124" s="3"/>
    </row>
    <row r="1125">
      <c r="A1125" s="171"/>
      <c r="B1125" s="171"/>
      <c r="C1125" s="171"/>
      <c r="D1125" s="170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/>
      <c r="BZ1125" s="3"/>
      <c r="CA1125" s="3"/>
      <c r="CB1125" s="3"/>
      <c r="CC1125" s="3"/>
      <c r="CD1125" s="3"/>
      <c r="CE1125" s="3"/>
      <c r="CF1125" s="3"/>
    </row>
    <row r="1126">
      <c r="A1126" s="171"/>
      <c r="B1126" s="171"/>
      <c r="C1126" s="171"/>
      <c r="D1126" s="170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  <c r="BZ1126" s="3"/>
      <c r="CA1126" s="3"/>
      <c r="CB1126" s="3"/>
      <c r="CC1126" s="3"/>
      <c r="CD1126" s="3"/>
      <c r="CE1126" s="3"/>
      <c r="CF1126" s="3"/>
    </row>
    <row r="1127">
      <c r="A1127" s="171"/>
      <c r="B1127" s="171"/>
      <c r="C1127" s="171"/>
      <c r="D1127" s="170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/>
      <c r="CB1127" s="3"/>
      <c r="CC1127" s="3"/>
      <c r="CD1127" s="3"/>
      <c r="CE1127" s="3"/>
      <c r="CF1127" s="3"/>
    </row>
    <row r="1128">
      <c r="A1128" s="171"/>
      <c r="B1128" s="171"/>
      <c r="C1128" s="171"/>
      <c r="D1128" s="170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3"/>
      <c r="BW1128" s="3"/>
      <c r="BX1128" s="3"/>
      <c r="BY1128" s="3"/>
      <c r="BZ1128" s="3"/>
      <c r="CA1128" s="3"/>
      <c r="CB1128" s="3"/>
      <c r="CC1128" s="3"/>
      <c r="CD1128" s="3"/>
      <c r="CE1128" s="3"/>
      <c r="CF1128" s="3"/>
    </row>
    <row r="1129">
      <c r="A1129" s="171"/>
      <c r="B1129" s="171"/>
      <c r="C1129" s="171"/>
      <c r="D1129" s="170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/>
      <c r="CB1129" s="3"/>
      <c r="CC1129" s="3"/>
      <c r="CD1129" s="3"/>
      <c r="CE1129" s="3"/>
      <c r="CF1129" s="3"/>
    </row>
    <row r="1130">
      <c r="A1130" s="171"/>
      <c r="B1130" s="171"/>
      <c r="C1130" s="171"/>
      <c r="D1130" s="170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  <c r="BQ1130" s="3"/>
      <c r="BR1130" s="3"/>
      <c r="BS1130" s="3"/>
      <c r="BT1130" s="3"/>
      <c r="BU1130" s="3"/>
      <c r="BV1130" s="3"/>
      <c r="BW1130" s="3"/>
      <c r="BX1130" s="3"/>
      <c r="BY1130" s="3"/>
      <c r="BZ1130" s="3"/>
      <c r="CA1130" s="3"/>
      <c r="CB1130" s="3"/>
      <c r="CC1130" s="3"/>
      <c r="CD1130" s="3"/>
      <c r="CE1130" s="3"/>
      <c r="CF1130" s="3"/>
    </row>
    <row r="1131">
      <c r="A1131" s="171"/>
      <c r="B1131" s="171"/>
      <c r="C1131" s="171"/>
      <c r="D1131" s="170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/>
      <c r="BZ1131" s="3"/>
      <c r="CA1131" s="3"/>
      <c r="CB1131" s="3"/>
      <c r="CC1131" s="3"/>
      <c r="CD1131" s="3"/>
      <c r="CE1131" s="3"/>
      <c r="CF1131" s="3"/>
    </row>
    <row r="1132">
      <c r="A1132" s="171"/>
      <c r="B1132" s="171"/>
      <c r="C1132" s="171"/>
      <c r="D1132" s="170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/>
      <c r="BN1132" s="3"/>
      <c r="BO1132" s="3"/>
      <c r="BP1132" s="3"/>
      <c r="BQ1132" s="3"/>
      <c r="BR1132" s="3"/>
      <c r="BS1132" s="3"/>
      <c r="BT1132" s="3"/>
      <c r="BU1132" s="3"/>
      <c r="BV1132" s="3"/>
      <c r="BW1132" s="3"/>
      <c r="BX1132" s="3"/>
      <c r="BY1132" s="3"/>
      <c r="BZ1132" s="3"/>
      <c r="CA1132" s="3"/>
      <c r="CB1132" s="3"/>
      <c r="CC1132" s="3"/>
      <c r="CD1132" s="3"/>
      <c r="CE1132" s="3"/>
      <c r="CF1132" s="3"/>
    </row>
    <row r="1133">
      <c r="A1133" s="171"/>
      <c r="B1133" s="171"/>
      <c r="C1133" s="171"/>
      <c r="D1133" s="170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 s="3"/>
      <c r="BY1133" s="3"/>
      <c r="BZ1133" s="3"/>
      <c r="CA1133" s="3"/>
      <c r="CB1133" s="3"/>
      <c r="CC1133" s="3"/>
      <c r="CD1133" s="3"/>
      <c r="CE1133" s="3"/>
      <c r="CF1133" s="3"/>
    </row>
    <row r="1134">
      <c r="A1134" s="171"/>
      <c r="B1134" s="171"/>
      <c r="C1134" s="171"/>
      <c r="D1134" s="170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3"/>
      <c r="BR1134" s="3"/>
      <c r="BS1134" s="3"/>
      <c r="BT1134" s="3"/>
      <c r="BU1134" s="3"/>
      <c r="BV1134" s="3"/>
      <c r="BW1134" s="3"/>
      <c r="BX1134" s="3"/>
      <c r="BY1134" s="3"/>
      <c r="BZ1134" s="3"/>
      <c r="CA1134" s="3"/>
      <c r="CB1134" s="3"/>
      <c r="CC1134" s="3"/>
      <c r="CD1134" s="3"/>
      <c r="CE1134" s="3"/>
      <c r="CF1134" s="3"/>
    </row>
    <row r="1135">
      <c r="A1135" s="171"/>
      <c r="B1135" s="171"/>
      <c r="C1135" s="171"/>
      <c r="D1135" s="170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  <c r="BQ1135" s="3"/>
      <c r="BR1135" s="3"/>
      <c r="BS1135" s="3"/>
      <c r="BT1135" s="3"/>
      <c r="BU1135" s="3"/>
      <c r="BV1135" s="3"/>
      <c r="BW1135" s="3"/>
      <c r="BX1135" s="3"/>
      <c r="BY1135" s="3"/>
      <c r="BZ1135" s="3"/>
      <c r="CA1135" s="3"/>
      <c r="CB1135" s="3"/>
      <c r="CC1135" s="3"/>
      <c r="CD1135" s="3"/>
      <c r="CE1135" s="3"/>
      <c r="CF1135" s="3"/>
    </row>
    <row r="1136">
      <c r="A1136" s="171"/>
      <c r="B1136" s="171"/>
      <c r="C1136" s="171"/>
      <c r="D1136" s="170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</row>
    <row r="1137">
      <c r="A1137" s="171"/>
      <c r="B1137" s="171"/>
      <c r="C1137" s="171"/>
      <c r="D1137" s="170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/>
      <c r="CB1137" s="3"/>
      <c r="CC1137" s="3"/>
      <c r="CD1137" s="3"/>
      <c r="CE1137" s="3"/>
      <c r="CF1137" s="3"/>
    </row>
    <row r="1138">
      <c r="A1138" s="171"/>
      <c r="B1138" s="171"/>
      <c r="C1138" s="171"/>
      <c r="D1138" s="170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  <c r="CB1138" s="3"/>
      <c r="CC1138" s="3"/>
      <c r="CD1138" s="3"/>
      <c r="CE1138" s="3"/>
      <c r="CF1138" s="3"/>
    </row>
    <row r="1139">
      <c r="A1139" s="171"/>
      <c r="B1139" s="171"/>
      <c r="C1139" s="171"/>
      <c r="D1139" s="170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/>
      <c r="CB1139" s="3"/>
      <c r="CC1139" s="3"/>
      <c r="CD1139" s="3"/>
      <c r="CE1139" s="3"/>
      <c r="CF1139" s="3"/>
    </row>
    <row r="1140">
      <c r="A1140" s="171"/>
      <c r="B1140" s="171"/>
      <c r="C1140" s="171"/>
      <c r="D1140" s="170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  <c r="CD1140" s="3"/>
      <c r="CE1140" s="3"/>
      <c r="CF1140" s="3"/>
    </row>
    <row r="1141">
      <c r="A1141" s="171"/>
      <c r="B1141" s="171"/>
      <c r="C1141" s="171"/>
      <c r="D1141" s="170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  <c r="CB1141" s="3"/>
      <c r="CC1141" s="3"/>
      <c r="CD1141" s="3"/>
      <c r="CE1141" s="3"/>
      <c r="CF1141" s="3"/>
    </row>
    <row r="1142">
      <c r="A1142" s="171"/>
      <c r="B1142" s="171"/>
      <c r="C1142" s="171"/>
      <c r="D1142" s="170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</row>
    <row r="1143">
      <c r="A1143" s="171"/>
      <c r="B1143" s="171"/>
      <c r="C1143" s="171"/>
      <c r="D1143" s="170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</row>
    <row r="1144">
      <c r="A1144" s="171"/>
      <c r="B1144" s="171"/>
      <c r="C1144" s="171"/>
      <c r="D1144" s="170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</row>
    <row r="1145">
      <c r="A1145" s="171"/>
      <c r="B1145" s="171"/>
      <c r="C1145" s="171"/>
      <c r="D1145" s="170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</row>
    <row r="1146">
      <c r="A1146" s="171"/>
      <c r="B1146" s="171"/>
      <c r="C1146" s="171"/>
      <c r="D1146" s="170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/>
      <c r="BZ1146" s="3"/>
      <c r="CA1146" s="3"/>
      <c r="CB1146" s="3"/>
      <c r="CC1146" s="3"/>
      <c r="CD1146" s="3"/>
      <c r="CE1146" s="3"/>
      <c r="CF1146" s="3"/>
    </row>
    <row r="1147">
      <c r="A1147" s="171"/>
      <c r="B1147" s="171"/>
      <c r="C1147" s="171"/>
      <c r="D1147" s="170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/>
      <c r="BZ1147" s="3"/>
      <c r="CA1147" s="3"/>
      <c r="CB1147" s="3"/>
      <c r="CC1147" s="3"/>
      <c r="CD1147" s="3"/>
      <c r="CE1147" s="3"/>
      <c r="CF1147" s="3"/>
    </row>
    <row r="1148">
      <c r="A1148" s="171"/>
      <c r="B1148" s="171"/>
      <c r="C1148" s="171"/>
      <c r="D1148" s="170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X1148" s="3"/>
      <c r="BY1148" s="3"/>
      <c r="BZ1148" s="3"/>
      <c r="CA1148" s="3"/>
      <c r="CB1148" s="3"/>
      <c r="CC1148" s="3"/>
      <c r="CD1148" s="3"/>
      <c r="CE1148" s="3"/>
      <c r="CF1148" s="3"/>
    </row>
    <row r="1149">
      <c r="A1149" s="171"/>
      <c r="B1149" s="171"/>
      <c r="C1149" s="171"/>
      <c r="D1149" s="170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  <c r="BQ1149" s="3"/>
      <c r="BR1149" s="3"/>
      <c r="BS1149" s="3"/>
      <c r="BT1149" s="3"/>
      <c r="BU1149" s="3"/>
      <c r="BV1149" s="3"/>
      <c r="BW1149" s="3"/>
      <c r="BX1149" s="3"/>
      <c r="BY1149" s="3"/>
      <c r="BZ1149" s="3"/>
      <c r="CA1149" s="3"/>
      <c r="CB1149" s="3"/>
      <c r="CC1149" s="3"/>
      <c r="CD1149" s="3"/>
      <c r="CE1149" s="3"/>
      <c r="CF1149" s="3"/>
    </row>
    <row r="1150">
      <c r="A1150" s="171"/>
      <c r="B1150" s="171"/>
      <c r="C1150" s="171"/>
      <c r="D1150" s="170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X1150" s="3"/>
      <c r="BY1150" s="3"/>
      <c r="BZ1150" s="3"/>
      <c r="CA1150" s="3"/>
      <c r="CB1150" s="3"/>
      <c r="CC1150" s="3"/>
      <c r="CD1150" s="3"/>
      <c r="CE1150" s="3"/>
      <c r="CF1150" s="3"/>
    </row>
    <row r="1151">
      <c r="A1151" s="171"/>
      <c r="B1151" s="171"/>
      <c r="C1151" s="171"/>
      <c r="D1151" s="170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  <c r="BQ1151" s="3"/>
      <c r="BR1151" s="3"/>
      <c r="BS1151" s="3"/>
      <c r="BT1151" s="3"/>
      <c r="BU1151" s="3"/>
      <c r="BV1151" s="3"/>
      <c r="BW1151" s="3"/>
      <c r="BX1151" s="3"/>
      <c r="BY1151" s="3"/>
      <c r="BZ1151" s="3"/>
      <c r="CA1151" s="3"/>
      <c r="CB1151" s="3"/>
      <c r="CC1151" s="3"/>
      <c r="CD1151" s="3"/>
      <c r="CE1151" s="3"/>
      <c r="CF1151" s="3"/>
    </row>
    <row r="1152">
      <c r="A1152" s="171"/>
      <c r="B1152" s="171"/>
      <c r="C1152" s="171"/>
      <c r="D1152" s="170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3"/>
      <c r="BO1152" s="3"/>
      <c r="BP1152" s="3"/>
      <c r="BQ1152" s="3"/>
      <c r="BR1152" s="3"/>
      <c r="BS1152" s="3"/>
      <c r="BT1152" s="3"/>
      <c r="BU1152" s="3"/>
      <c r="BV1152" s="3"/>
      <c r="BW1152" s="3"/>
      <c r="BX1152" s="3"/>
      <c r="BY1152" s="3"/>
      <c r="BZ1152" s="3"/>
      <c r="CA1152" s="3"/>
      <c r="CB1152" s="3"/>
      <c r="CC1152" s="3"/>
      <c r="CD1152" s="3"/>
      <c r="CE1152" s="3"/>
      <c r="CF1152" s="3"/>
    </row>
    <row r="1153">
      <c r="A1153" s="171"/>
      <c r="B1153" s="171"/>
      <c r="C1153" s="171"/>
      <c r="D1153" s="170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/>
      <c r="BZ1153" s="3"/>
      <c r="CA1153" s="3"/>
      <c r="CB1153" s="3"/>
      <c r="CC1153" s="3"/>
      <c r="CD1153" s="3"/>
      <c r="CE1153" s="3"/>
      <c r="CF1153" s="3"/>
    </row>
    <row r="1154">
      <c r="A1154" s="171"/>
      <c r="B1154" s="171"/>
      <c r="C1154" s="171"/>
      <c r="D1154" s="170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/>
      <c r="BZ1154" s="3"/>
      <c r="CA1154" s="3"/>
      <c r="CB1154" s="3"/>
      <c r="CC1154" s="3"/>
      <c r="CD1154" s="3"/>
      <c r="CE1154" s="3"/>
      <c r="CF1154" s="3"/>
    </row>
    <row r="1155">
      <c r="A1155" s="171"/>
      <c r="B1155" s="171"/>
      <c r="C1155" s="171"/>
      <c r="D1155" s="170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  <c r="BK1155" s="3"/>
      <c r="BL1155" s="3"/>
      <c r="BM1155" s="3"/>
      <c r="BN1155" s="3"/>
      <c r="BO1155" s="3"/>
      <c r="BP1155" s="3"/>
      <c r="BQ1155" s="3"/>
      <c r="BR1155" s="3"/>
      <c r="BS1155" s="3"/>
      <c r="BT1155" s="3"/>
      <c r="BU1155" s="3"/>
      <c r="BV1155" s="3"/>
      <c r="BW1155" s="3"/>
      <c r="BX1155" s="3"/>
      <c r="BY1155" s="3"/>
      <c r="BZ1155" s="3"/>
      <c r="CA1155" s="3"/>
      <c r="CB1155" s="3"/>
      <c r="CC1155" s="3"/>
      <c r="CD1155" s="3"/>
      <c r="CE1155" s="3"/>
      <c r="CF1155" s="3"/>
    </row>
    <row r="1156">
      <c r="A1156" s="171"/>
      <c r="B1156" s="171"/>
      <c r="C1156" s="171"/>
      <c r="D1156" s="170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/>
      <c r="BZ1156" s="3"/>
      <c r="CA1156" s="3"/>
      <c r="CB1156" s="3"/>
      <c r="CC1156" s="3"/>
      <c r="CD1156" s="3"/>
      <c r="CE1156" s="3"/>
      <c r="CF1156" s="3"/>
    </row>
    <row r="1157">
      <c r="A1157" s="171"/>
      <c r="B1157" s="171"/>
      <c r="C1157" s="171"/>
      <c r="D1157" s="170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  <c r="BQ1157" s="3"/>
      <c r="BR1157" s="3"/>
      <c r="BS1157" s="3"/>
      <c r="BT1157" s="3"/>
      <c r="BU1157" s="3"/>
      <c r="BV1157" s="3"/>
      <c r="BW1157" s="3"/>
      <c r="BX1157" s="3"/>
      <c r="BY1157" s="3"/>
      <c r="BZ1157" s="3"/>
      <c r="CA1157" s="3"/>
      <c r="CB1157" s="3"/>
      <c r="CC1157" s="3"/>
      <c r="CD1157" s="3"/>
      <c r="CE1157" s="3"/>
      <c r="CF1157" s="3"/>
    </row>
    <row r="1158">
      <c r="A1158" s="171"/>
      <c r="B1158" s="171"/>
      <c r="C1158" s="171"/>
      <c r="D1158" s="170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  <c r="BZ1158" s="3"/>
      <c r="CA1158" s="3"/>
      <c r="CB1158" s="3"/>
      <c r="CC1158" s="3"/>
      <c r="CD1158" s="3"/>
      <c r="CE1158" s="3"/>
      <c r="CF1158" s="3"/>
    </row>
    <row r="1159">
      <c r="A1159" s="171"/>
      <c r="B1159" s="171"/>
      <c r="C1159" s="171"/>
      <c r="D1159" s="170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  <c r="BQ1159" s="3"/>
      <c r="BR1159" s="3"/>
      <c r="BS1159" s="3"/>
      <c r="BT1159" s="3"/>
      <c r="BU1159" s="3"/>
      <c r="BV1159" s="3"/>
      <c r="BW1159" s="3"/>
      <c r="BX1159" s="3"/>
      <c r="BY1159" s="3"/>
      <c r="BZ1159" s="3"/>
      <c r="CA1159" s="3"/>
      <c r="CB1159" s="3"/>
      <c r="CC1159" s="3"/>
      <c r="CD1159" s="3"/>
      <c r="CE1159" s="3"/>
      <c r="CF1159" s="3"/>
    </row>
    <row r="1160">
      <c r="A1160" s="171"/>
      <c r="B1160" s="171"/>
      <c r="C1160" s="171"/>
      <c r="D1160" s="170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  <c r="CD1160" s="3"/>
      <c r="CE1160" s="3"/>
      <c r="CF1160" s="3"/>
    </row>
    <row r="1161">
      <c r="A1161" s="171"/>
      <c r="B1161" s="171"/>
      <c r="C1161" s="171"/>
      <c r="D1161" s="170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</row>
    <row r="1162">
      <c r="A1162" s="171"/>
      <c r="B1162" s="171"/>
      <c r="C1162" s="171"/>
      <c r="D1162" s="170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/>
      <c r="CC1162" s="3"/>
      <c r="CD1162" s="3"/>
      <c r="CE1162" s="3"/>
      <c r="CF1162" s="3"/>
    </row>
    <row r="1163">
      <c r="A1163" s="171"/>
      <c r="B1163" s="171"/>
      <c r="C1163" s="171"/>
      <c r="D1163" s="170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  <c r="CB1163" s="3"/>
      <c r="CC1163" s="3"/>
      <c r="CD1163" s="3"/>
      <c r="CE1163" s="3"/>
      <c r="CF1163" s="3"/>
    </row>
    <row r="1164">
      <c r="A1164" s="171"/>
      <c r="B1164" s="171"/>
      <c r="C1164" s="171"/>
      <c r="D1164" s="170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</row>
    <row r="1165">
      <c r="A1165" s="171"/>
      <c r="B1165" s="171"/>
      <c r="C1165" s="171"/>
      <c r="D1165" s="170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/>
      <c r="CB1165" s="3"/>
      <c r="CC1165" s="3"/>
      <c r="CD1165" s="3"/>
      <c r="CE1165" s="3"/>
      <c r="CF1165" s="3"/>
    </row>
    <row r="1166">
      <c r="A1166" s="171"/>
      <c r="B1166" s="171"/>
      <c r="C1166" s="171"/>
      <c r="D1166" s="170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</row>
    <row r="1167">
      <c r="A1167" s="171"/>
      <c r="B1167" s="171"/>
      <c r="C1167" s="171"/>
      <c r="D1167" s="170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</row>
    <row r="1168">
      <c r="A1168" s="171"/>
      <c r="B1168" s="171"/>
      <c r="C1168" s="171"/>
      <c r="D1168" s="170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</row>
    <row r="1169">
      <c r="A1169" s="171"/>
      <c r="B1169" s="171"/>
      <c r="C1169" s="171"/>
      <c r="D1169" s="170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</row>
    <row r="1170">
      <c r="A1170" s="171"/>
      <c r="B1170" s="171"/>
      <c r="C1170" s="171"/>
      <c r="D1170" s="170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/>
      <c r="BZ1170" s="3"/>
      <c r="CA1170" s="3"/>
      <c r="CB1170" s="3"/>
      <c r="CC1170" s="3"/>
      <c r="CD1170" s="3"/>
      <c r="CE1170" s="3"/>
      <c r="CF1170" s="3"/>
    </row>
    <row r="1171">
      <c r="A1171" s="171"/>
      <c r="B1171" s="171"/>
      <c r="C1171" s="171"/>
      <c r="D1171" s="170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 s="3"/>
      <c r="BY1171" s="3"/>
      <c r="BZ1171" s="3"/>
      <c r="CA1171" s="3"/>
      <c r="CB1171" s="3"/>
      <c r="CC1171" s="3"/>
      <c r="CD1171" s="3"/>
      <c r="CE1171" s="3"/>
      <c r="CF1171" s="3"/>
    </row>
    <row r="1172">
      <c r="A1172" s="171"/>
      <c r="B1172" s="171"/>
      <c r="C1172" s="171"/>
      <c r="D1172" s="170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 s="3"/>
      <c r="BY1172" s="3"/>
      <c r="BZ1172" s="3"/>
      <c r="CA1172" s="3"/>
      <c r="CB1172" s="3"/>
      <c r="CC1172" s="3"/>
      <c r="CD1172" s="3"/>
      <c r="CE1172" s="3"/>
      <c r="CF1172" s="3"/>
    </row>
    <row r="1173">
      <c r="A1173" s="171"/>
      <c r="B1173" s="171"/>
      <c r="C1173" s="171"/>
      <c r="D1173" s="170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 s="3"/>
      <c r="BY1173" s="3"/>
      <c r="BZ1173" s="3"/>
      <c r="CA1173" s="3"/>
      <c r="CB1173" s="3"/>
      <c r="CC1173" s="3"/>
      <c r="CD1173" s="3"/>
      <c r="CE1173" s="3"/>
      <c r="CF1173" s="3"/>
    </row>
    <row r="1174">
      <c r="A1174" s="171"/>
      <c r="B1174" s="171"/>
      <c r="C1174" s="171"/>
      <c r="D1174" s="170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 s="3"/>
      <c r="BY1174" s="3"/>
      <c r="BZ1174" s="3"/>
      <c r="CA1174" s="3"/>
      <c r="CB1174" s="3"/>
      <c r="CC1174" s="3"/>
      <c r="CD1174" s="3"/>
      <c r="CE1174" s="3"/>
      <c r="CF1174" s="3"/>
    </row>
    <row r="1175">
      <c r="A1175" s="171"/>
      <c r="B1175" s="171"/>
      <c r="C1175" s="171"/>
      <c r="D1175" s="170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/>
      <c r="BZ1175" s="3"/>
      <c r="CA1175" s="3"/>
      <c r="CB1175" s="3"/>
      <c r="CC1175" s="3"/>
      <c r="CD1175" s="3"/>
      <c r="CE1175" s="3"/>
      <c r="CF1175" s="3"/>
    </row>
    <row r="1176">
      <c r="A1176" s="171"/>
      <c r="B1176" s="171"/>
      <c r="C1176" s="171"/>
      <c r="D1176" s="170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  <c r="BQ1176" s="3"/>
      <c r="BR1176" s="3"/>
      <c r="BS1176" s="3"/>
      <c r="BT1176" s="3"/>
      <c r="BU1176" s="3"/>
      <c r="BV1176" s="3"/>
      <c r="BW1176" s="3"/>
      <c r="BX1176" s="3"/>
      <c r="BY1176" s="3"/>
      <c r="BZ1176" s="3"/>
      <c r="CA1176" s="3"/>
      <c r="CB1176" s="3"/>
      <c r="CC1176" s="3"/>
      <c r="CD1176" s="3"/>
      <c r="CE1176" s="3"/>
      <c r="CF1176" s="3"/>
    </row>
    <row r="1177">
      <c r="A1177" s="171"/>
      <c r="B1177" s="171"/>
      <c r="C1177" s="171"/>
      <c r="D1177" s="170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/>
      <c r="BN1177" s="3"/>
      <c r="BO1177" s="3"/>
      <c r="BP1177" s="3"/>
      <c r="BQ1177" s="3"/>
      <c r="BR1177" s="3"/>
      <c r="BS1177" s="3"/>
      <c r="BT1177" s="3"/>
      <c r="BU1177" s="3"/>
      <c r="BV1177" s="3"/>
      <c r="BW1177" s="3"/>
      <c r="BX1177" s="3"/>
      <c r="BY1177" s="3"/>
      <c r="BZ1177" s="3"/>
      <c r="CA1177" s="3"/>
      <c r="CB1177" s="3"/>
      <c r="CC1177" s="3"/>
      <c r="CD1177" s="3"/>
      <c r="CE1177" s="3"/>
      <c r="CF1177" s="3"/>
    </row>
    <row r="1178">
      <c r="A1178" s="171"/>
      <c r="B1178" s="171"/>
      <c r="C1178" s="171"/>
      <c r="D1178" s="170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3"/>
      <c r="BR1178" s="3"/>
      <c r="BS1178" s="3"/>
      <c r="BT1178" s="3"/>
      <c r="BU1178" s="3"/>
      <c r="BV1178" s="3"/>
      <c r="BW1178" s="3"/>
      <c r="BX1178" s="3"/>
      <c r="BY1178" s="3"/>
      <c r="BZ1178" s="3"/>
      <c r="CA1178" s="3"/>
      <c r="CB1178" s="3"/>
      <c r="CC1178" s="3"/>
      <c r="CD1178" s="3"/>
      <c r="CE1178" s="3"/>
      <c r="CF1178" s="3"/>
    </row>
    <row r="1179">
      <c r="A1179" s="171"/>
      <c r="B1179" s="171"/>
      <c r="C1179" s="171"/>
      <c r="D1179" s="170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/>
      <c r="BN1179" s="3"/>
      <c r="BO1179" s="3"/>
      <c r="BP1179" s="3"/>
      <c r="BQ1179" s="3"/>
      <c r="BR1179" s="3"/>
      <c r="BS1179" s="3"/>
      <c r="BT1179" s="3"/>
      <c r="BU1179" s="3"/>
      <c r="BV1179" s="3"/>
      <c r="BW1179" s="3"/>
      <c r="BX1179" s="3"/>
      <c r="BY1179" s="3"/>
      <c r="BZ1179" s="3"/>
      <c r="CA1179" s="3"/>
      <c r="CB1179" s="3"/>
      <c r="CC1179" s="3"/>
      <c r="CD1179" s="3"/>
      <c r="CE1179" s="3"/>
      <c r="CF1179" s="3"/>
    </row>
    <row r="1180">
      <c r="A1180" s="171"/>
      <c r="B1180" s="171"/>
      <c r="C1180" s="171"/>
      <c r="D1180" s="170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/>
      <c r="BO1180" s="3"/>
      <c r="BP1180" s="3"/>
      <c r="BQ1180" s="3"/>
      <c r="BR1180" s="3"/>
      <c r="BS1180" s="3"/>
      <c r="BT1180" s="3"/>
      <c r="BU1180" s="3"/>
      <c r="BV1180" s="3"/>
      <c r="BW1180" s="3"/>
      <c r="BX1180" s="3"/>
      <c r="BY1180" s="3"/>
      <c r="BZ1180" s="3"/>
      <c r="CA1180" s="3"/>
      <c r="CB1180" s="3"/>
      <c r="CC1180" s="3"/>
      <c r="CD1180" s="3"/>
      <c r="CE1180" s="3"/>
      <c r="CF1180" s="3"/>
    </row>
    <row r="1181">
      <c r="A1181" s="171"/>
      <c r="B1181" s="171"/>
      <c r="C1181" s="171"/>
      <c r="D1181" s="170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/>
      <c r="BZ1181" s="3"/>
      <c r="CA1181" s="3"/>
      <c r="CB1181" s="3"/>
      <c r="CC1181" s="3"/>
      <c r="CD1181" s="3"/>
      <c r="CE1181" s="3"/>
      <c r="CF1181" s="3"/>
    </row>
    <row r="1182">
      <c r="D1182" s="172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/>
      <c r="BZ1182" s="3"/>
      <c r="CA1182" s="3"/>
      <c r="CB1182" s="3"/>
      <c r="CC1182" s="3"/>
      <c r="CD1182" s="3"/>
      <c r="CE1182" s="3"/>
      <c r="CF1182" s="3"/>
    </row>
    <row r="1183">
      <c r="D1183" s="172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  <c r="BM1183" s="3"/>
      <c r="BN1183" s="3"/>
      <c r="BO1183" s="3"/>
      <c r="BP1183" s="3"/>
      <c r="BQ1183" s="3"/>
      <c r="BR1183" s="3"/>
      <c r="BS1183" s="3"/>
      <c r="BT1183" s="3"/>
      <c r="BU1183" s="3"/>
      <c r="BV1183" s="3"/>
      <c r="BW1183" s="3"/>
      <c r="BX1183" s="3"/>
      <c r="BY1183" s="3"/>
      <c r="BZ1183" s="3"/>
      <c r="CA1183" s="3"/>
      <c r="CB1183" s="3"/>
      <c r="CC1183" s="3"/>
      <c r="CD1183" s="3"/>
      <c r="CE1183" s="3"/>
      <c r="CF1183" s="3"/>
    </row>
    <row r="1184">
      <c r="D1184" s="172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/>
      <c r="CB1184" s="3"/>
      <c r="CC1184" s="3"/>
      <c r="CD1184" s="3"/>
      <c r="CE1184" s="3"/>
      <c r="CF1184" s="3"/>
    </row>
    <row r="1185">
      <c r="D1185" s="172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/>
      <c r="CC1185" s="3"/>
      <c r="CD1185" s="3"/>
      <c r="CE1185" s="3"/>
      <c r="CF1185" s="3"/>
    </row>
    <row r="1186">
      <c r="D1186" s="172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/>
      <c r="CD1186" s="3"/>
      <c r="CE1186" s="3"/>
      <c r="CF1186" s="3"/>
    </row>
    <row r="1187">
      <c r="D1187" s="172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/>
      <c r="CB1187" s="3"/>
      <c r="CC1187" s="3"/>
      <c r="CD1187" s="3"/>
      <c r="CE1187" s="3"/>
      <c r="CF1187" s="3"/>
    </row>
    <row r="1188">
      <c r="D1188" s="172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/>
      <c r="CC1188" s="3"/>
      <c r="CD1188" s="3"/>
      <c r="CE1188" s="3"/>
      <c r="CF1188" s="3"/>
    </row>
    <row r="1189">
      <c r="D1189" s="172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/>
      <c r="CB1189" s="3"/>
      <c r="CC1189" s="3"/>
      <c r="CD1189" s="3"/>
      <c r="CE1189" s="3"/>
      <c r="CF1189" s="3"/>
    </row>
    <row r="1190">
      <c r="D1190" s="172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</row>
    <row r="1191">
      <c r="D1191" s="172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</row>
    <row r="1192">
      <c r="D1192" s="172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</row>
    <row r="1193">
      <c r="D1193" s="172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</row>
    <row r="1194">
      <c r="D1194" s="172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 s="3"/>
      <c r="BY1194" s="3"/>
      <c r="BZ1194" s="3"/>
      <c r="CA1194" s="3"/>
      <c r="CB1194" s="3"/>
      <c r="CC1194" s="3"/>
      <c r="CD1194" s="3"/>
      <c r="CE1194" s="3"/>
      <c r="CF1194" s="3"/>
    </row>
    <row r="1195">
      <c r="D1195" s="172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3"/>
      <c r="BO1195" s="3"/>
      <c r="BP1195" s="3"/>
      <c r="BQ1195" s="3"/>
      <c r="BR1195" s="3"/>
      <c r="BS1195" s="3"/>
      <c r="BT1195" s="3"/>
      <c r="BU1195" s="3"/>
      <c r="BV1195" s="3"/>
      <c r="BW1195" s="3"/>
      <c r="BX1195" s="3"/>
      <c r="BY1195" s="3"/>
      <c r="BZ1195" s="3"/>
      <c r="CA1195" s="3"/>
      <c r="CB1195" s="3"/>
      <c r="CC1195" s="3"/>
      <c r="CD1195" s="3"/>
      <c r="CE1195" s="3"/>
      <c r="CF1195" s="3"/>
    </row>
    <row r="1196">
      <c r="D1196" s="172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/>
      <c r="CB1196" s="3"/>
      <c r="CC1196" s="3"/>
      <c r="CD1196" s="3"/>
      <c r="CE1196" s="3"/>
      <c r="CF1196" s="3"/>
    </row>
    <row r="1197">
      <c r="D1197" s="172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/>
      <c r="BN1197" s="3"/>
      <c r="BO1197" s="3"/>
      <c r="BP1197" s="3"/>
      <c r="BQ1197" s="3"/>
      <c r="BR1197" s="3"/>
      <c r="BS1197" s="3"/>
      <c r="BT1197" s="3"/>
      <c r="BU1197" s="3"/>
      <c r="BV1197" s="3"/>
      <c r="BW1197" s="3"/>
      <c r="BX1197" s="3"/>
      <c r="BY1197" s="3"/>
      <c r="BZ1197" s="3"/>
      <c r="CA1197" s="3"/>
      <c r="CB1197" s="3"/>
      <c r="CC1197" s="3"/>
      <c r="CD1197" s="3"/>
      <c r="CE1197" s="3"/>
      <c r="CF1197" s="3"/>
    </row>
    <row r="1198">
      <c r="D1198" s="172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3"/>
      <c r="BY1198" s="3"/>
      <c r="BZ1198" s="3"/>
      <c r="CA1198" s="3"/>
      <c r="CB1198" s="3"/>
      <c r="CC1198" s="3"/>
      <c r="CD1198" s="3"/>
      <c r="CE1198" s="3"/>
      <c r="CF1198" s="3"/>
    </row>
    <row r="1199">
      <c r="D1199" s="172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  <c r="BQ1199" s="3"/>
      <c r="BR1199" s="3"/>
      <c r="BS1199" s="3"/>
      <c r="BT1199" s="3"/>
      <c r="BU1199" s="3"/>
      <c r="BV1199" s="3"/>
      <c r="BW1199" s="3"/>
      <c r="BX1199" s="3"/>
      <c r="BY1199" s="3"/>
      <c r="BZ1199" s="3"/>
      <c r="CA1199" s="3"/>
      <c r="CB1199" s="3"/>
      <c r="CC1199" s="3"/>
      <c r="CD1199" s="3"/>
      <c r="CE1199" s="3"/>
      <c r="CF1199" s="3"/>
    </row>
    <row r="1200">
      <c r="D1200" s="172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X1200" s="3"/>
      <c r="BY1200" s="3"/>
      <c r="BZ1200" s="3"/>
      <c r="CA1200" s="3"/>
      <c r="CB1200" s="3"/>
      <c r="CC1200" s="3"/>
      <c r="CD1200" s="3"/>
      <c r="CE1200" s="3"/>
      <c r="CF1200" s="3"/>
    </row>
    <row r="1201">
      <c r="D1201" s="172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  <c r="BQ1201" s="3"/>
      <c r="BR1201" s="3"/>
      <c r="BS1201" s="3"/>
      <c r="BT1201" s="3"/>
      <c r="BU1201" s="3"/>
      <c r="BV1201" s="3"/>
      <c r="BW1201" s="3"/>
      <c r="BX1201" s="3"/>
      <c r="BY1201" s="3"/>
      <c r="BZ1201" s="3"/>
      <c r="CA1201" s="3"/>
      <c r="CB1201" s="3"/>
      <c r="CC1201" s="3"/>
      <c r="CD1201" s="3"/>
      <c r="CE1201" s="3"/>
      <c r="CF1201" s="3"/>
    </row>
    <row r="1202">
      <c r="D1202" s="172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/>
      <c r="BZ1202" s="3"/>
      <c r="CA1202" s="3"/>
      <c r="CB1202" s="3"/>
      <c r="CC1202" s="3"/>
      <c r="CD1202" s="3"/>
      <c r="CE1202" s="3"/>
      <c r="CF1202" s="3"/>
    </row>
    <row r="1203">
      <c r="D1203" s="172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  <c r="BQ1203" s="3"/>
      <c r="BR1203" s="3"/>
      <c r="BS1203" s="3"/>
      <c r="BT1203" s="3"/>
      <c r="BU1203" s="3"/>
      <c r="BV1203" s="3"/>
      <c r="BW1203" s="3"/>
      <c r="BX1203" s="3"/>
      <c r="BY1203" s="3"/>
      <c r="BZ1203" s="3"/>
      <c r="CA1203" s="3"/>
      <c r="CB1203" s="3"/>
      <c r="CC1203" s="3"/>
      <c r="CD1203" s="3"/>
      <c r="CE1203" s="3"/>
      <c r="CF1203" s="3"/>
    </row>
    <row r="1204">
      <c r="D1204" s="172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/>
      <c r="BZ1204" s="3"/>
      <c r="CA1204" s="3"/>
      <c r="CB1204" s="3"/>
      <c r="CC1204" s="3"/>
      <c r="CD1204" s="3"/>
      <c r="CE1204" s="3"/>
      <c r="CF1204" s="3"/>
    </row>
    <row r="1205">
      <c r="D1205" s="172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  <c r="BQ1205" s="3"/>
      <c r="BR1205" s="3"/>
      <c r="BS1205" s="3"/>
      <c r="BT1205" s="3"/>
      <c r="BU1205" s="3"/>
      <c r="BV1205" s="3"/>
      <c r="BW1205" s="3"/>
      <c r="BX1205" s="3"/>
      <c r="BY1205" s="3"/>
      <c r="BZ1205" s="3"/>
      <c r="CA1205" s="3"/>
      <c r="CB1205" s="3"/>
      <c r="CC1205" s="3"/>
      <c r="CD1205" s="3"/>
      <c r="CE1205" s="3"/>
      <c r="CF1205" s="3"/>
    </row>
    <row r="1206">
      <c r="D1206" s="172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/>
      <c r="BZ1206" s="3"/>
      <c r="CA1206" s="3"/>
      <c r="CB1206" s="3"/>
      <c r="CC1206" s="3"/>
      <c r="CD1206" s="3"/>
      <c r="CE1206" s="3"/>
      <c r="CF1206" s="3"/>
    </row>
    <row r="1207">
      <c r="D1207" s="172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/>
      <c r="BN1207" s="3"/>
      <c r="BO1207" s="3"/>
      <c r="BP1207" s="3"/>
      <c r="BQ1207" s="3"/>
      <c r="BR1207" s="3"/>
      <c r="BS1207" s="3"/>
      <c r="BT1207" s="3"/>
      <c r="BU1207" s="3"/>
      <c r="BV1207" s="3"/>
      <c r="BW1207" s="3"/>
      <c r="BX1207" s="3"/>
      <c r="BY1207" s="3"/>
      <c r="BZ1207" s="3"/>
      <c r="CA1207" s="3"/>
      <c r="CB1207" s="3"/>
      <c r="CC1207" s="3"/>
      <c r="CD1207" s="3"/>
      <c r="CE1207" s="3"/>
      <c r="CF1207" s="3"/>
    </row>
    <row r="1208">
      <c r="D1208" s="172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  <c r="CD1208" s="3"/>
      <c r="CE1208" s="3"/>
      <c r="CF1208" s="3"/>
    </row>
    <row r="1209">
      <c r="D1209" s="172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/>
      <c r="CB1209" s="3"/>
      <c r="CC1209" s="3"/>
      <c r="CD1209" s="3"/>
      <c r="CE1209" s="3"/>
      <c r="CF1209" s="3"/>
    </row>
  </sheetData>
  <mergeCells count="1">
    <mergeCell ref="CB9:CC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173" t="s">
        <v>267</v>
      </c>
      <c r="B1" s="174" t="s">
        <v>3</v>
      </c>
      <c r="C1" s="1" t="s">
        <v>268</v>
      </c>
      <c r="D1" s="1" t="s">
        <v>269</v>
      </c>
      <c r="F1" s="175" t="s">
        <v>270</v>
      </c>
      <c r="G1" s="175" t="s">
        <v>271</v>
      </c>
    </row>
    <row r="2">
      <c r="A2" s="176" t="s">
        <v>272</v>
      </c>
      <c r="B2" s="177">
        <v>1.0</v>
      </c>
      <c r="C2" s="144" t="str">
        <f t="shared" ref="C2:C53" si="1">IF(LEN(B2)=1,"0"&amp;B2,TEXT(B2,0))</f>
        <v>01</v>
      </c>
      <c r="E2" s="144" t="str">
        <f t="shared" ref="E2:E53" si="2">A2</f>
        <v>Alava</v>
      </c>
      <c r="F2" s="175" t="s">
        <v>273</v>
      </c>
      <c r="G2" s="175" t="s">
        <v>274</v>
      </c>
    </row>
    <row r="3">
      <c r="A3" s="176" t="s">
        <v>275</v>
      </c>
      <c r="B3" s="177">
        <v>2.0</v>
      </c>
      <c r="C3" s="144" t="str">
        <f t="shared" si="1"/>
        <v>02</v>
      </c>
      <c r="D3" s="1">
        <v>4.0</v>
      </c>
      <c r="E3" s="144" t="str">
        <f t="shared" si="2"/>
        <v>Albacete</v>
      </c>
      <c r="F3" s="175">
        <v>0.0</v>
      </c>
      <c r="G3" s="175">
        <v>6.67</v>
      </c>
    </row>
    <row r="4">
      <c r="A4" s="176" t="s">
        <v>276</v>
      </c>
      <c r="B4" s="177">
        <v>3.0</v>
      </c>
      <c r="C4" s="144" t="str">
        <f t="shared" si="1"/>
        <v>03</v>
      </c>
      <c r="D4" s="1">
        <v>2.0</v>
      </c>
      <c r="E4" s="144" t="str">
        <f t="shared" si="2"/>
        <v>Alicante_Alacant</v>
      </c>
      <c r="F4" s="175">
        <v>1.0</v>
      </c>
      <c r="G4" s="175">
        <v>0.48</v>
      </c>
    </row>
    <row r="5">
      <c r="A5" s="176" t="s">
        <v>277</v>
      </c>
      <c r="B5" s="177">
        <v>4.0</v>
      </c>
      <c r="C5" s="144" t="str">
        <f t="shared" si="1"/>
        <v>04</v>
      </c>
      <c r="D5" s="1">
        <v>2.0</v>
      </c>
      <c r="E5" s="144" t="str">
        <f t="shared" si="2"/>
        <v>Almeria</v>
      </c>
      <c r="F5" s="175">
        <v>2.0</v>
      </c>
      <c r="G5" s="175">
        <v>0.4</v>
      </c>
    </row>
    <row r="6">
      <c r="A6" s="176" t="s">
        <v>278</v>
      </c>
      <c r="B6" s="177">
        <v>5.0</v>
      </c>
      <c r="C6" s="144" t="str">
        <f t="shared" si="1"/>
        <v>05</v>
      </c>
      <c r="D6" s="1">
        <v>3.0</v>
      </c>
      <c r="E6" s="144" t="str">
        <f t="shared" si="2"/>
        <v>Avila</v>
      </c>
      <c r="F6" s="175">
        <v>3.0</v>
      </c>
      <c r="G6" s="175">
        <v>0.32</v>
      </c>
    </row>
    <row r="7">
      <c r="A7" s="176" t="s">
        <v>279</v>
      </c>
      <c r="B7" s="177">
        <v>6.0</v>
      </c>
      <c r="C7" s="144" t="str">
        <f t="shared" si="1"/>
        <v>06</v>
      </c>
      <c r="D7" s="1">
        <v>1.0</v>
      </c>
      <c r="E7" s="144" t="str">
        <f t="shared" si="2"/>
        <v>Badajoz</v>
      </c>
      <c r="F7" s="175">
        <v>4.0</v>
      </c>
      <c r="G7" s="175">
        <v>0.26</v>
      </c>
    </row>
    <row r="8">
      <c r="A8" s="176" t="s">
        <v>280</v>
      </c>
      <c r="B8" s="177">
        <v>8.0</v>
      </c>
      <c r="C8" s="144" t="str">
        <f t="shared" si="1"/>
        <v>08</v>
      </c>
      <c r="D8" s="1">
        <v>5.0</v>
      </c>
      <c r="E8" s="144" t="str">
        <f t="shared" si="2"/>
        <v>Barcelona</v>
      </c>
      <c r="F8" s="175">
        <v>5.0</v>
      </c>
      <c r="G8" s="175">
        <v>0.22</v>
      </c>
    </row>
    <row r="9">
      <c r="A9" s="176" t="s">
        <v>281</v>
      </c>
      <c r="B9" s="177">
        <v>48.0</v>
      </c>
      <c r="C9" s="144" t="str">
        <f t="shared" si="1"/>
        <v>48</v>
      </c>
      <c r="E9" s="144" t="str">
        <f t="shared" si="2"/>
        <v>Bilbao</v>
      </c>
      <c r="F9" s="175">
        <v>6.0</v>
      </c>
      <c r="G9" s="175">
        <v>0.19</v>
      </c>
    </row>
    <row r="10">
      <c r="A10" s="176" t="s">
        <v>282</v>
      </c>
      <c r="B10" s="177">
        <v>9.0</v>
      </c>
      <c r="C10" s="144" t="str">
        <f t="shared" si="1"/>
        <v>09</v>
      </c>
      <c r="D10" s="1">
        <v>3.0</v>
      </c>
      <c r="E10" s="144" t="str">
        <f t="shared" si="2"/>
        <v>Burgos</v>
      </c>
      <c r="F10" s="175">
        <v>7.0</v>
      </c>
      <c r="G10" s="175">
        <v>0.18</v>
      </c>
      <c r="I10" s="1"/>
    </row>
    <row r="11">
      <c r="A11" s="176" t="s">
        <v>283</v>
      </c>
      <c r="B11" s="177">
        <v>10.0</v>
      </c>
      <c r="C11" s="144" t="str">
        <f t="shared" si="1"/>
        <v>10</v>
      </c>
      <c r="D11" s="1">
        <v>1.0</v>
      </c>
      <c r="E11" s="144" t="str">
        <f t="shared" si="2"/>
        <v>Caceres</v>
      </c>
      <c r="F11" s="175">
        <v>8.0</v>
      </c>
      <c r="G11" s="175">
        <v>0.17</v>
      </c>
    </row>
    <row r="12">
      <c r="A12" s="176" t="s">
        <v>284</v>
      </c>
      <c r="B12" s="177">
        <v>11.0</v>
      </c>
      <c r="C12" s="144" t="str">
        <f t="shared" si="1"/>
        <v>11</v>
      </c>
      <c r="D12" s="1">
        <v>2.0</v>
      </c>
      <c r="E12" s="144" t="str">
        <f t="shared" si="2"/>
        <v>Cadiz</v>
      </c>
      <c r="F12" s="175">
        <v>9.0</v>
      </c>
      <c r="G12" s="175">
        <v>0.17</v>
      </c>
    </row>
    <row r="13">
      <c r="A13" s="176" t="s">
        <v>285</v>
      </c>
      <c r="B13" s="177">
        <v>12.0</v>
      </c>
      <c r="C13" s="144" t="str">
        <f t="shared" si="1"/>
        <v>12</v>
      </c>
      <c r="D13" s="1">
        <v>2.0</v>
      </c>
      <c r="E13" s="144" t="str">
        <f t="shared" si="2"/>
        <v>Castellon_Castello</v>
      </c>
      <c r="F13" s="175">
        <v>10.0</v>
      </c>
      <c r="G13" s="175">
        <v>0.18</v>
      </c>
    </row>
    <row r="14">
      <c r="A14" s="176" t="s">
        <v>286</v>
      </c>
      <c r="B14" s="177">
        <v>51.0</v>
      </c>
      <c r="C14" s="144" t="str">
        <f t="shared" si="1"/>
        <v>51</v>
      </c>
      <c r="D14" s="1">
        <v>1.0</v>
      </c>
      <c r="E14" s="144" t="str">
        <f t="shared" si="2"/>
        <v>Ceuta</v>
      </c>
      <c r="F14" s="175">
        <v>11.0</v>
      </c>
      <c r="G14" s="175">
        <v>0.2</v>
      </c>
    </row>
    <row r="15">
      <c r="A15" s="176" t="s">
        <v>287</v>
      </c>
      <c r="B15" s="177">
        <v>13.0</v>
      </c>
      <c r="C15" s="144" t="str">
        <f t="shared" si="1"/>
        <v>13</v>
      </c>
      <c r="D15" s="1">
        <v>4.0</v>
      </c>
      <c r="E15" s="144" t="str">
        <f t="shared" si="2"/>
        <v>Ciudad_Real</v>
      </c>
      <c r="F15" s="175">
        <v>12.0</v>
      </c>
      <c r="G15" s="175">
        <v>0.24</v>
      </c>
    </row>
    <row r="16">
      <c r="A16" s="176" t="s">
        <v>288</v>
      </c>
      <c r="B16" s="177">
        <v>14.0</v>
      </c>
      <c r="C16" s="144" t="str">
        <f t="shared" si="1"/>
        <v>14</v>
      </c>
      <c r="D16" s="1">
        <v>2.0</v>
      </c>
      <c r="E16" s="144" t="str">
        <f t="shared" si="2"/>
        <v>Cordoba</v>
      </c>
      <c r="F16" s="175">
        <v>13.0</v>
      </c>
      <c r="G16" s="175">
        <v>0.3</v>
      </c>
    </row>
    <row r="17">
      <c r="A17" s="176" t="s">
        <v>289</v>
      </c>
      <c r="B17" s="177">
        <v>15.0</v>
      </c>
      <c r="C17" s="144" t="str">
        <f t="shared" si="1"/>
        <v>15</v>
      </c>
      <c r="D17" s="1">
        <v>1.0</v>
      </c>
      <c r="E17" s="144" t="str">
        <f t="shared" si="2"/>
        <v>Coruña__A</v>
      </c>
      <c r="F17" s="175">
        <v>14.0</v>
      </c>
      <c r="G17" s="175">
        <v>0.37</v>
      </c>
    </row>
    <row r="18">
      <c r="A18" s="176" t="s">
        <v>290</v>
      </c>
      <c r="B18" s="177">
        <v>16.0</v>
      </c>
      <c r="C18" s="144" t="str">
        <f t="shared" si="1"/>
        <v>16</v>
      </c>
      <c r="D18" s="1">
        <v>4.0</v>
      </c>
      <c r="E18" s="144" t="str">
        <f t="shared" si="2"/>
        <v>Cuenca</v>
      </c>
      <c r="F18" s="175">
        <v>15.0</v>
      </c>
      <c r="G18" s="175">
        <v>0.46</v>
      </c>
    </row>
    <row r="19">
      <c r="A19" s="176" t="s">
        <v>291</v>
      </c>
      <c r="B19" s="177">
        <v>20.0</v>
      </c>
      <c r="C19" s="144" t="str">
        <f t="shared" si="1"/>
        <v>20</v>
      </c>
      <c r="E19" s="144" t="str">
        <f t="shared" si="2"/>
        <v>Donostia_San_Sebastian</v>
      </c>
      <c r="F19" s="175">
        <v>16.0</v>
      </c>
      <c r="G19" s="175">
        <v>0.56</v>
      </c>
    </row>
    <row r="20">
      <c r="A20" s="176" t="s">
        <v>292</v>
      </c>
      <c r="B20" s="177">
        <v>17.0</v>
      </c>
      <c r="C20" s="144" t="str">
        <f t="shared" si="1"/>
        <v>17</v>
      </c>
      <c r="D20" s="1">
        <v>4.0</v>
      </c>
      <c r="E20" s="144" t="str">
        <f t="shared" si="2"/>
        <v>Girona</v>
      </c>
      <c r="F20" s="175">
        <v>17.0</v>
      </c>
      <c r="G20" s="175">
        <v>0.65</v>
      </c>
    </row>
    <row r="21">
      <c r="A21" s="176" t="s">
        <v>293</v>
      </c>
      <c r="B21" s="177">
        <v>18.0</v>
      </c>
      <c r="C21" s="144" t="str">
        <f t="shared" si="1"/>
        <v>18</v>
      </c>
      <c r="D21" s="1">
        <v>2.0</v>
      </c>
      <c r="E21" s="144" t="str">
        <f t="shared" si="2"/>
        <v>Granada</v>
      </c>
      <c r="F21" s="175">
        <v>18.0</v>
      </c>
      <c r="G21" s="175">
        <v>0.64</v>
      </c>
    </row>
    <row r="22">
      <c r="A22" s="176" t="s">
        <v>294</v>
      </c>
      <c r="B22" s="177">
        <v>19.0</v>
      </c>
      <c r="C22" s="144" t="str">
        <f t="shared" si="1"/>
        <v>19</v>
      </c>
      <c r="D22" s="1">
        <v>4.0</v>
      </c>
      <c r="E22" s="144" t="str">
        <f t="shared" si="2"/>
        <v>Guadalajara</v>
      </c>
      <c r="F22" s="175">
        <v>19.0</v>
      </c>
      <c r="G22" s="175">
        <v>0.65</v>
      </c>
    </row>
    <row r="23">
      <c r="A23" s="176" t="s">
        <v>295</v>
      </c>
      <c r="B23" s="177">
        <v>21.0</v>
      </c>
      <c r="C23" s="144" t="str">
        <f t="shared" si="1"/>
        <v>21</v>
      </c>
      <c r="D23" s="1">
        <v>2.0</v>
      </c>
      <c r="E23" s="144" t="str">
        <f t="shared" si="2"/>
        <v>Huelva</v>
      </c>
      <c r="F23" s="175">
        <v>20.0</v>
      </c>
      <c r="G23" s="175">
        <v>0.66</v>
      </c>
    </row>
    <row r="24">
      <c r="A24" s="176" t="s">
        <v>296</v>
      </c>
      <c r="B24" s="177">
        <v>22.0</v>
      </c>
      <c r="C24" s="144" t="str">
        <f t="shared" si="1"/>
        <v>22</v>
      </c>
      <c r="D24" s="1">
        <v>4.0</v>
      </c>
      <c r="E24" s="144" t="str">
        <f t="shared" si="2"/>
        <v>Huesca</v>
      </c>
      <c r="F24" s="175">
        <v>21.0</v>
      </c>
      <c r="G24" s="175">
        <v>0.67</v>
      </c>
    </row>
    <row r="25">
      <c r="A25" s="176" t="s">
        <v>297</v>
      </c>
      <c r="B25" s="177">
        <v>23.0</v>
      </c>
      <c r="C25" s="144" t="str">
        <f t="shared" si="1"/>
        <v>23</v>
      </c>
      <c r="D25" s="1">
        <v>2.0</v>
      </c>
      <c r="E25" s="144" t="str">
        <f t="shared" si="2"/>
        <v>Jaen</v>
      </c>
      <c r="F25" s="175">
        <v>22.0</v>
      </c>
      <c r="G25" s="175">
        <v>0.68</v>
      </c>
    </row>
    <row r="26">
      <c r="A26" s="176" t="s">
        <v>298</v>
      </c>
      <c r="B26" s="177">
        <v>26.0</v>
      </c>
      <c r="C26" s="144" t="str">
        <f t="shared" si="1"/>
        <v>26</v>
      </c>
      <c r="D26" s="1">
        <v>2.0</v>
      </c>
      <c r="E26" s="144" t="str">
        <f t="shared" si="2"/>
        <v>La_Rioja</v>
      </c>
      <c r="F26" s="175">
        <v>23.0</v>
      </c>
      <c r="G26" s="175">
        <v>0.7</v>
      </c>
    </row>
    <row r="27">
      <c r="A27" s="176" t="s">
        <v>299</v>
      </c>
      <c r="B27" s="177">
        <v>24.0</v>
      </c>
      <c r="C27" s="144" t="str">
        <f t="shared" si="1"/>
        <v>24</v>
      </c>
      <c r="D27" s="1">
        <v>3.0</v>
      </c>
      <c r="E27" s="144" t="str">
        <f t="shared" si="2"/>
        <v>Leon</v>
      </c>
      <c r="F27" s="175">
        <v>24.0</v>
      </c>
      <c r="G27" s="175">
        <v>0.71</v>
      </c>
    </row>
    <row r="28">
      <c r="A28" s="176" t="s">
        <v>300</v>
      </c>
      <c r="B28" s="177">
        <v>25.0</v>
      </c>
      <c r="C28" s="144" t="str">
        <f t="shared" si="1"/>
        <v>25</v>
      </c>
      <c r="D28" s="1">
        <v>4.0</v>
      </c>
      <c r="E28" s="144" t="str">
        <f t="shared" si="2"/>
        <v>Lleida</v>
      </c>
      <c r="F28" s="175">
        <v>25.0</v>
      </c>
      <c r="G28" s="175">
        <v>0.72</v>
      </c>
    </row>
    <row r="29">
      <c r="A29" s="176" t="s">
        <v>301</v>
      </c>
      <c r="B29" s="177">
        <v>27.0</v>
      </c>
      <c r="C29" s="144" t="str">
        <f t="shared" si="1"/>
        <v>27</v>
      </c>
      <c r="D29" s="1">
        <v>1.0</v>
      </c>
      <c r="E29" s="144" t="str">
        <f t="shared" si="2"/>
        <v>Lugo</v>
      </c>
      <c r="F29" s="175">
        <v>26.0</v>
      </c>
      <c r="G29" s="175">
        <v>0.72</v>
      </c>
    </row>
    <row r="30">
      <c r="A30" s="176" t="s">
        <v>302</v>
      </c>
      <c r="B30" s="177">
        <v>28.0</v>
      </c>
      <c r="C30" s="144" t="str">
        <f t="shared" si="1"/>
        <v>28</v>
      </c>
      <c r="D30" s="1">
        <v>4.0</v>
      </c>
      <c r="E30" s="144" t="str">
        <f t="shared" si="2"/>
        <v>Madrid</v>
      </c>
      <c r="F30" s="175">
        <v>27.0</v>
      </c>
      <c r="G30" s="175">
        <v>0.72</v>
      </c>
    </row>
    <row r="31">
      <c r="A31" s="176" t="s">
        <v>303</v>
      </c>
      <c r="B31" s="177">
        <v>29.0</v>
      </c>
      <c r="C31" s="144" t="str">
        <f t="shared" si="1"/>
        <v>29</v>
      </c>
      <c r="D31" s="1">
        <v>2.0</v>
      </c>
      <c r="E31" s="144" t="str">
        <f t="shared" si="2"/>
        <v>Malaga</v>
      </c>
      <c r="F31" s="175">
        <v>28.0</v>
      </c>
      <c r="G31" s="175">
        <v>0.71</v>
      </c>
    </row>
    <row r="32">
      <c r="A32" s="176" t="s">
        <v>304</v>
      </c>
      <c r="B32" s="177">
        <v>52.0</v>
      </c>
      <c r="C32" s="144" t="str">
        <f t="shared" si="1"/>
        <v>52</v>
      </c>
      <c r="D32" s="1">
        <v>1.0</v>
      </c>
      <c r="E32" s="144" t="str">
        <f t="shared" si="2"/>
        <v>Melilla</v>
      </c>
      <c r="F32" s="175">
        <v>29.0</v>
      </c>
      <c r="G32" s="175">
        <v>0.69</v>
      </c>
    </row>
    <row r="33">
      <c r="A33" s="176" t="s">
        <v>305</v>
      </c>
      <c r="B33" s="177">
        <v>30.0</v>
      </c>
      <c r="C33" s="144" t="str">
        <f t="shared" si="1"/>
        <v>30</v>
      </c>
      <c r="D33" s="1">
        <v>1.0</v>
      </c>
      <c r="E33" s="144" t="str">
        <f t="shared" si="2"/>
        <v>Murcia</v>
      </c>
      <c r="F33" s="175">
        <v>30.0</v>
      </c>
      <c r="G33" s="175">
        <v>0.68</v>
      </c>
    </row>
    <row r="34">
      <c r="A34" s="176" t="s">
        <v>306</v>
      </c>
      <c r="B34" s="177">
        <v>31.0</v>
      </c>
      <c r="C34" s="144" t="str">
        <f t="shared" si="1"/>
        <v>31</v>
      </c>
      <c r="E34" s="144" t="str">
        <f t="shared" si="2"/>
        <v>Navarra</v>
      </c>
      <c r="F34" s="175">
        <v>31.0</v>
      </c>
      <c r="G34" s="175">
        <v>0.68</v>
      </c>
    </row>
    <row r="35">
      <c r="A35" s="176" t="s">
        <v>307</v>
      </c>
      <c r="B35" s="177">
        <v>32.0</v>
      </c>
      <c r="C35" s="144" t="str">
        <f t="shared" si="1"/>
        <v>32</v>
      </c>
      <c r="D35" s="1">
        <v>1.0</v>
      </c>
      <c r="E35" s="144" t="str">
        <f t="shared" si="2"/>
        <v>Ourense</v>
      </c>
      <c r="F35" s="175">
        <v>32.0</v>
      </c>
      <c r="G35" s="175">
        <v>0.69</v>
      </c>
    </row>
    <row r="36">
      <c r="A36" s="176" t="s">
        <v>308</v>
      </c>
      <c r="B36" s="177">
        <v>33.0</v>
      </c>
      <c r="C36" s="144" t="str">
        <f t="shared" si="1"/>
        <v>33</v>
      </c>
      <c r="E36" s="144" t="str">
        <f t="shared" si="2"/>
        <v>Oviedo</v>
      </c>
      <c r="F36" s="175">
        <v>33.0</v>
      </c>
      <c r="G36" s="175">
        <v>0.71</v>
      </c>
    </row>
    <row r="37">
      <c r="A37" s="176" t="s">
        <v>309</v>
      </c>
      <c r="B37" s="177">
        <v>34.0</v>
      </c>
      <c r="C37" s="144" t="str">
        <f t="shared" si="1"/>
        <v>34</v>
      </c>
      <c r="D37" s="1">
        <v>3.0</v>
      </c>
      <c r="E37" s="144" t="str">
        <f t="shared" si="2"/>
        <v>Palencia</v>
      </c>
      <c r="F37" s="175">
        <v>34.0</v>
      </c>
      <c r="G37" s="175">
        <v>0.77</v>
      </c>
    </row>
    <row r="38">
      <c r="A38" s="176" t="s">
        <v>310</v>
      </c>
      <c r="B38" s="177">
        <v>7.0</v>
      </c>
      <c r="C38" s="144" t="str">
        <f t="shared" si="1"/>
        <v>07</v>
      </c>
      <c r="D38" s="1">
        <v>6.0</v>
      </c>
      <c r="E38" s="144" t="str">
        <f t="shared" si="2"/>
        <v>Palma</v>
      </c>
      <c r="F38" s="175">
        <v>35.0</v>
      </c>
      <c r="G38" s="175">
        <v>0.84</v>
      </c>
    </row>
    <row r="39">
      <c r="A39" s="176" t="s">
        <v>311</v>
      </c>
      <c r="B39" s="177">
        <v>35.0</v>
      </c>
      <c r="C39" s="144" t="str">
        <f t="shared" si="1"/>
        <v>35</v>
      </c>
      <c r="D39" s="1">
        <v>1.0</v>
      </c>
      <c r="E39" s="144" t="str">
        <f t="shared" si="2"/>
        <v>Palmas_de_Gran_Canaria__Las</v>
      </c>
      <c r="F39" s="175">
        <v>36.0</v>
      </c>
      <c r="G39" s="175">
        <v>0.94</v>
      </c>
    </row>
    <row r="40">
      <c r="A40" s="176" t="s">
        <v>312</v>
      </c>
      <c r="B40" s="177">
        <v>36.0</v>
      </c>
      <c r="C40" s="144" t="str">
        <f t="shared" si="1"/>
        <v>36</v>
      </c>
      <c r="D40" s="1">
        <v>1.0</v>
      </c>
      <c r="E40" s="144" t="str">
        <f t="shared" si="2"/>
        <v>Pontevedra</v>
      </c>
      <c r="F40" s="175">
        <v>37.0</v>
      </c>
      <c r="G40" s="175">
        <v>1.05</v>
      </c>
    </row>
    <row r="41">
      <c r="A41" s="176" t="s">
        <v>313</v>
      </c>
      <c r="B41" s="177">
        <v>37.0</v>
      </c>
      <c r="C41" s="144" t="str">
        <f t="shared" si="1"/>
        <v>37</v>
      </c>
      <c r="D41" s="1">
        <v>3.0</v>
      </c>
      <c r="E41" s="144" t="str">
        <f t="shared" si="2"/>
        <v>Salamanca</v>
      </c>
      <c r="F41" s="175">
        <v>38.0</v>
      </c>
      <c r="G41" s="175">
        <v>1.16</v>
      </c>
    </row>
    <row r="42">
      <c r="A42" s="176" t="s">
        <v>314</v>
      </c>
      <c r="B42" s="177">
        <v>38.0</v>
      </c>
      <c r="C42" s="144" t="str">
        <f t="shared" si="1"/>
        <v>38</v>
      </c>
      <c r="D42" s="1">
        <v>1.0</v>
      </c>
      <c r="E42" s="144" t="str">
        <f t="shared" si="2"/>
        <v>Santa_Cruz_de_Tenerife</v>
      </c>
      <c r="F42" s="175">
        <v>39.0</v>
      </c>
      <c r="G42" s="175">
        <v>1.28</v>
      </c>
    </row>
    <row r="43">
      <c r="A43" s="176" t="s">
        <v>315</v>
      </c>
      <c r="B43" s="177">
        <v>39.0</v>
      </c>
      <c r="C43" s="144" t="str">
        <f t="shared" si="1"/>
        <v>39</v>
      </c>
      <c r="D43" s="1">
        <v>2.0</v>
      </c>
      <c r="E43" s="144" t="str">
        <f t="shared" si="2"/>
        <v>Santander</v>
      </c>
      <c r="F43" s="175">
        <v>40.0</v>
      </c>
      <c r="G43" s="175">
        <v>1.4</v>
      </c>
    </row>
    <row r="44">
      <c r="A44" s="176" t="s">
        <v>316</v>
      </c>
      <c r="B44" s="177">
        <v>40.0</v>
      </c>
      <c r="C44" s="144" t="str">
        <f t="shared" si="1"/>
        <v>40</v>
      </c>
      <c r="D44" s="1">
        <v>3.0</v>
      </c>
      <c r="E44" s="144" t="str">
        <f t="shared" si="2"/>
        <v>Segovia</v>
      </c>
      <c r="F44" s="175">
        <v>41.0</v>
      </c>
      <c r="G44" s="175">
        <v>1.54</v>
      </c>
    </row>
    <row r="45">
      <c r="A45" s="176" t="s">
        <v>317</v>
      </c>
      <c r="B45" s="177">
        <v>41.0</v>
      </c>
      <c r="C45" s="144" t="str">
        <f t="shared" si="1"/>
        <v>41</v>
      </c>
      <c r="D45" s="1">
        <v>2.0</v>
      </c>
      <c r="E45" s="144" t="str">
        <f t="shared" si="2"/>
        <v>Sevilla</v>
      </c>
      <c r="F45" s="175">
        <v>42.0</v>
      </c>
      <c r="G45" s="175">
        <v>1.79</v>
      </c>
    </row>
    <row r="46">
      <c r="A46" s="176" t="s">
        <v>318</v>
      </c>
      <c r="B46" s="177">
        <v>42.0</v>
      </c>
      <c r="C46" s="144" t="str">
        <f t="shared" si="1"/>
        <v>42</v>
      </c>
      <c r="D46" s="1">
        <v>3.0</v>
      </c>
      <c r="E46" s="144" t="str">
        <f t="shared" si="2"/>
        <v>Soria</v>
      </c>
      <c r="F46" s="175">
        <v>43.0</v>
      </c>
      <c r="G46" s="175">
        <v>2.09</v>
      </c>
    </row>
    <row r="47">
      <c r="A47" s="176" t="s">
        <v>319</v>
      </c>
      <c r="B47" s="177">
        <v>43.0</v>
      </c>
      <c r="C47" s="144" t="str">
        <f t="shared" si="1"/>
        <v>43</v>
      </c>
      <c r="D47" s="1">
        <v>4.0</v>
      </c>
      <c r="E47" s="144" t="str">
        <f t="shared" si="2"/>
        <v>Tarragona</v>
      </c>
      <c r="F47" s="175">
        <v>44.0</v>
      </c>
      <c r="G47" s="175">
        <v>2.44</v>
      </c>
    </row>
    <row r="48">
      <c r="A48" s="176" t="s">
        <v>320</v>
      </c>
      <c r="B48" s="177">
        <v>44.0</v>
      </c>
      <c r="C48" s="144" t="str">
        <f t="shared" si="1"/>
        <v>44</v>
      </c>
      <c r="D48" s="1">
        <v>4.0</v>
      </c>
      <c r="E48" s="144" t="str">
        <f t="shared" si="2"/>
        <v>Teruel</v>
      </c>
      <c r="F48" s="175">
        <v>45.0</v>
      </c>
      <c r="G48" s="175">
        <v>2.85</v>
      </c>
    </row>
    <row r="49">
      <c r="A49" s="176" t="s">
        <v>321</v>
      </c>
      <c r="B49" s="177">
        <v>45.0</v>
      </c>
      <c r="C49" s="144" t="str">
        <f t="shared" si="1"/>
        <v>45</v>
      </c>
      <c r="D49" s="1">
        <v>4.0</v>
      </c>
      <c r="E49" s="144" t="str">
        <f t="shared" si="2"/>
        <v>Toledo</v>
      </c>
      <c r="F49" s="175">
        <v>46.0</v>
      </c>
      <c r="G49" s="175">
        <v>3.31</v>
      </c>
    </row>
    <row r="50">
      <c r="A50" s="176" t="s">
        <v>322</v>
      </c>
      <c r="B50" s="177">
        <v>46.0</v>
      </c>
      <c r="C50" s="144" t="str">
        <f t="shared" si="1"/>
        <v>46</v>
      </c>
      <c r="D50" s="1">
        <v>2.0</v>
      </c>
      <c r="E50" s="144" t="str">
        <f t="shared" si="2"/>
        <v>Valencia</v>
      </c>
      <c r="F50" s="175">
        <v>47.0</v>
      </c>
      <c r="G50" s="175">
        <v>3.84</v>
      </c>
    </row>
    <row r="51">
      <c r="A51" s="176" t="s">
        <v>323</v>
      </c>
      <c r="B51" s="177">
        <v>47.0</v>
      </c>
      <c r="C51" s="144" t="str">
        <f t="shared" si="1"/>
        <v>47</v>
      </c>
      <c r="D51" s="1">
        <v>3.0</v>
      </c>
      <c r="E51" s="144" t="str">
        <f t="shared" si="2"/>
        <v>Valladolid</v>
      </c>
      <c r="F51" s="175">
        <v>48.0</v>
      </c>
      <c r="G51" s="175">
        <v>4.44</v>
      </c>
    </row>
    <row r="52">
      <c r="A52" s="176" t="s">
        <v>324</v>
      </c>
      <c r="B52" s="177">
        <v>49.0</v>
      </c>
      <c r="C52" s="144" t="str">
        <f t="shared" si="1"/>
        <v>49</v>
      </c>
      <c r="D52" s="1">
        <v>3.0</v>
      </c>
      <c r="E52" s="144" t="str">
        <f t="shared" si="2"/>
        <v>Zamora</v>
      </c>
      <c r="F52" s="175">
        <v>49.0</v>
      </c>
      <c r="G52" s="175">
        <v>5.11</v>
      </c>
    </row>
    <row r="53">
      <c r="A53" s="176" t="s">
        <v>325</v>
      </c>
      <c r="B53" s="177">
        <v>50.0</v>
      </c>
      <c r="C53" s="144" t="str">
        <f t="shared" si="1"/>
        <v>50</v>
      </c>
      <c r="D53" s="1">
        <v>4.0</v>
      </c>
      <c r="E53" s="144" t="str">
        <f t="shared" si="2"/>
        <v>Zaragoza</v>
      </c>
      <c r="F53" s="175">
        <v>50.0</v>
      </c>
      <c r="G53" s="175">
        <v>5.85</v>
      </c>
    </row>
    <row r="54">
      <c r="F54" s="175">
        <v>51.0</v>
      </c>
      <c r="G54" s="175">
        <v>6.45</v>
      </c>
    </row>
    <row r="55">
      <c r="F55" s="175">
        <v>52.0</v>
      </c>
      <c r="G55" s="175">
        <v>7.08</v>
      </c>
    </row>
    <row r="56">
      <c r="F56" s="175">
        <v>53.0</v>
      </c>
      <c r="G56" s="175">
        <v>7.75</v>
      </c>
    </row>
    <row r="57">
      <c r="F57" s="175">
        <v>54.0</v>
      </c>
      <c r="G57" s="175">
        <v>8.43</v>
      </c>
    </row>
    <row r="58">
      <c r="F58" s="175">
        <v>55.0</v>
      </c>
      <c r="G58" s="175">
        <v>9.17</v>
      </c>
    </row>
    <row r="59">
      <c r="F59" s="175">
        <v>56.0</v>
      </c>
      <c r="G59" s="175">
        <v>9.92</v>
      </c>
    </row>
    <row r="60">
      <c r="F60" s="175">
        <v>57.0</v>
      </c>
      <c r="G60" s="175">
        <v>10.74</v>
      </c>
    </row>
    <row r="61">
      <c r="F61" s="175">
        <v>58.0</v>
      </c>
      <c r="G61" s="175">
        <v>11.6</v>
      </c>
    </row>
    <row r="62">
      <c r="F62" s="175">
        <v>59.0</v>
      </c>
      <c r="G62" s="175">
        <v>12.53</v>
      </c>
    </row>
    <row r="63">
      <c r="F63" s="175">
        <v>60.0</v>
      </c>
      <c r="G63" s="175">
        <v>13.55</v>
      </c>
    </row>
    <row r="64">
      <c r="F64" s="175">
        <v>61.0</v>
      </c>
      <c r="G64" s="175">
        <v>14.63</v>
      </c>
    </row>
    <row r="65">
      <c r="F65" s="175">
        <v>62.0</v>
      </c>
      <c r="G65" s="175">
        <v>15.84</v>
      </c>
    </row>
    <row r="66">
      <c r="F66" s="175">
        <v>63.0</v>
      </c>
      <c r="G66" s="175">
        <v>17.14</v>
      </c>
    </row>
    <row r="67">
      <c r="F67" s="175">
        <v>64.0</v>
      </c>
      <c r="G67" s="175">
        <v>18.57</v>
      </c>
    </row>
    <row r="68">
      <c r="F68" s="175">
        <v>65.0</v>
      </c>
      <c r="G68" s="175">
        <v>20.19</v>
      </c>
    </row>
    <row r="69">
      <c r="F69" s="175">
        <v>66.0</v>
      </c>
      <c r="G69" s="175">
        <v>21.91</v>
      </c>
    </row>
    <row r="70">
      <c r="F70" s="175">
        <v>67.0</v>
      </c>
      <c r="G70" s="175">
        <v>23.89</v>
      </c>
    </row>
    <row r="71">
      <c r="F71" s="175">
        <v>68.0</v>
      </c>
      <c r="G71" s="175">
        <v>26.06</v>
      </c>
    </row>
    <row r="72">
      <c r="F72" s="175">
        <v>69.0</v>
      </c>
      <c r="G72" s="175">
        <v>28.48</v>
      </c>
    </row>
    <row r="73">
      <c r="F73" s="175">
        <v>70.0</v>
      </c>
      <c r="G73" s="175">
        <v>31.24</v>
      </c>
    </row>
    <row r="74">
      <c r="F74" s="175">
        <v>71.0</v>
      </c>
      <c r="G74" s="175">
        <v>34.36</v>
      </c>
    </row>
    <row r="75">
      <c r="F75" s="175">
        <v>72.0</v>
      </c>
      <c r="G75" s="175">
        <v>37.9</v>
      </c>
    </row>
    <row r="76">
      <c r="F76" s="175">
        <v>73.0</v>
      </c>
      <c r="G76" s="175">
        <v>41.9</v>
      </c>
    </row>
    <row r="77">
      <c r="F77" s="175">
        <v>74.0</v>
      </c>
      <c r="G77" s="175">
        <v>46.48</v>
      </c>
    </row>
    <row r="78">
      <c r="F78" s="175">
        <v>75.0</v>
      </c>
      <c r="G78" s="175">
        <v>51.81</v>
      </c>
    </row>
    <row r="79">
      <c r="F79" s="175">
        <v>76.0</v>
      </c>
      <c r="G79" s="175">
        <v>57.81</v>
      </c>
    </row>
    <row r="80">
      <c r="F80" s="175">
        <v>77.0</v>
      </c>
      <c r="G80" s="175">
        <v>64.71</v>
      </c>
    </row>
    <row r="81">
      <c r="F81" s="175">
        <v>78.0</v>
      </c>
      <c r="G81" s="175">
        <v>72.72</v>
      </c>
    </row>
    <row r="82">
      <c r="F82" s="175">
        <v>79.0</v>
      </c>
      <c r="G82" s="175">
        <v>81.76</v>
      </c>
    </row>
    <row r="83">
      <c r="F83" s="175">
        <v>80.0</v>
      </c>
      <c r="G83" s="175">
        <v>92.35</v>
      </c>
    </row>
    <row r="84">
      <c r="F84" s="175">
        <v>81.0</v>
      </c>
      <c r="G84" s="175">
        <v>104.7</v>
      </c>
    </row>
    <row r="85">
      <c r="F85" s="175">
        <v>82.0</v>
      </c>
      <c r="G85" s="175">
        <v>119.04</v>
      </c>
    </row>
    <row r="86">
      <c r="F86" s="175">
        <v>83.0</v>
      </c>
      <c r="G86" s="175">
        <v>135.33</v>
      </c>
    </row>
    <row r="87">
      <c r="F87" s="175">
        <v>84.0</v>
      </c>
      <c r="G87" s="175">
        <v>153.99</v>
      </c>
    </row>
    <row r="88">
      <c r="F88" s="175">
        <v>85.0</v>
      </c>
      <c r="G88" s="175">
        <v>175.53</v>
      </c>
    </row>
    <row r="89">
      <c r="F89" s="175">
        <v>86.0</v>
      </c>
      <c r="G89" s="175">
        <v>199.68</v>
      </c>
    </row>
    <row r="90">
      <c r="F90" s="175">
        <v>87.0</v>
      </c>
      <c r="G90" s="175">
        <v>226.95</v>
      </c>
    </row>
    <row r="91">
      <c r="F91" s="175">
        <v>88.0</v>
      </c>
      <c r="G91" s="175">
        <v>257.39</v>
      </c>
    </row>
    <row r="92">
      <c r="F92" s="175">
        <v>89.0</v>
      </c>
      <c r="G92" s="175">
        <v>291.81</v>
      </c>
    </row>
    <row r="93">
      <c r="F93" s="175">
        <v>90.0</v>
      </c>
      <c r="G93" s="175">
        <v>329.28</v>
      </c>
    </row>
    <row r="94">
      <c r="F94" s="175">
        <v>91.0</v>
      </c>
      <c r="G94" s="175">
        <v>370.9</v>
      </c>
    </row>
    <row r="95">
      <c r="F95" s="175">
        <v>92.0</v>
      </c>
      <c r="G95" s="175">
        <v>416.12</v>
      </c>
    </row>
    <row r="96">
      <c r="F96" s="175">
        <v>93.0</v>
      </c>
      <c r="G96" s="175">
        <v>465.39</v>
      </c>
    </row>
    <row r="97">
      <c r="F97" s="175">
        <v>94.0</v>
      </c>
      <c r="G97" s="175">
        <v>519.22</v>
      </c>
    </row>
    <row r="98">
      <c r="F98" s="175">
        <v>95.0</v>
      </c>
      <c r="G98" s="175">
        <v>577.06</v>
      </c>
    </row>
    <row r="99">
      <c r="F99" s="175">
        <v>96.0</v>
      </c>
      <c r="G99" s="175">
        <v>640.45</v>
      </c>
    </row>
    <row r="100">
      <c r="F100" s="175">
        <v>97.0</v>
      </c>
      <c r="G100" s="175">
        <v>707.58</v>
      </c>
    </row>
    <row r="101">
      <c r="F101" s="175">
        <v>98.0</v>
      </c>
      <c r="G101" s="175">
        <v>778.79</v>
      </c>
    </row>
    <row r="102">
      <c r="F102" s="175">
        <v>99.0</v>
      </c>
      <c r="G102" s="175">
        <v>852.86</v>
      </c>
    </row>
    <row r="103">
      <c r="F103" s="175">
        <v>100.0</v>
      </c>
      <c r="G103" s="175">
        <v>967.18</v>
      </c>
    </row>
    <row r="104">
      <c r="F104" s="175">
        <v>101.0</v>
      </c>
      <c r="G104" s="178">
        <v>1097.93</v>
      </c>
    </row>
    <row r="105">
      <c r="F105" s="175">
        <v>102.0</v>
      </c>
      <c r="G105" s="178">
        <v>1248.82</v>
      </c>
    </row>
    <row r="106">
      <c r="F106" s="175">
        <v>103.0</v>
      </c>
      <c r="G106" s="178">
        <v>1415.37</v>
      </c>
    </row>
    <row r="107">
      <c r="F107" s="175">
        <v>104.0</v>
      </c>
      <c r="G107" s="178">
        <v>1590.93</v>
      </c>
    </row>
    <row r="108">
      <c r="F108" s="175">
        <v>105.0</v>
      </c>
      <c r="G108" s="178">
        <v>1767.5</v>
      </c>
    </row>
    <row r="109">
      <c r="F109" s="175">
        <v>106.0</v>
      </c>
      <c r="G109" s="178">
        <v>1936.57</v>
      </c>
    </row>
    <row r="110">
      <c r="F110" s="175">
        <v>107.0</v>
      </c>
      <c r="G110" s="178">
        <v>2089.92</v>
      </c>
    </row>
    <row r="111">
      <c r="F111" s="175">
        <v>108.0</v>
      </c>
      <c r="G111" s="178">
        <v>2217.13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38"/>
    <col customWidth="1" min="2" max="4" width="6.88"/>
    <col customWidth="1" min="5" max="5" width="2.63"/>
    <col customWidth="1" min="7" max="7" width="2.38"/>
    <col customWidth="1" min="9" max="9" width="4.25"/>
    <col customWidth="1" min="10" max="10" width="11.75"/>
    <col customWidth="1" min="11" max="11" width="4.13"/>
    <col customWidth="1" min="12" max="12" width="13.13"/>
    <col customWidth="1" min="13" max="14" width="10.63"/>
    <col customWidth="1" min="15" max="15" width="10.5"/>
    <col customWidth="1" min="16" max="21" width="10.63"/>
    <col customWidth="1" min="22" max="22" width="10.5"/>
    <col customWidth="1" min="23" max="25" width="10.63"/>
    <col customWidth="1" min="26" max="28" width="13.5"/>
    <col customWidth="1" min="29" max="29" width="20.63"/>
    <col customWidth="1" min="30" max="40" width="7.0"/>
  </cols>
  <sheetData>
    <row r="1" ht="18.75" customHeight="1">
      <c r="B1" s="2"/>
      <c r="C1" s="2"/>
      <c r="D1" s="3"/>
      <c r="E1" s="4"/>
      <c r="F1" s="3"/>
      <c r="G1" s="5"/>
      <c r="H1" s="3"/>
      <c r="J1" s="6"/>
      <c r="K1" s="5"/>
      <c r="N1" s="179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 ht="18.75" customHeight="1">
      <c r="B2" s="2"/>
      <c r="D2" s="3"/>
      <c r="E2" s="4"/>
      <c r="F2" s="3"/>
      <c r="G2" s="5"/>
      <c r="H2" s="7" t="str">
        <f>IF(LEN(H3)=5,VLOOKUP(LEFT(H3,2),AuxCP!C:E,3,0),VLOOKUP("0"&amp;LEFT(H3,1),AuxCP!C:E,3,0))</f>
        <v>Madrid</v>
      </c>
      <c r="J2" s="6" t="s">
        <v>1</v>
      </c>
      <c r="K2" s="5"/>
      <c r="N2" s="179"/>
      <c r="O2" s="180"/>
      <c r="P2" s="181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ht="27.0" customHeight="1">
      <c r="A3" s="9"/>
      <c r="B3" s="10"/>
      <c r="C3" s="10"/>
      <c r="D3" s="10"/>
      <c r="E3" s="10"/>
      <c r="F3" s="10" t="s">
        <v>3</v>
      </c>
      <c r="G3" s="10"/>
      <c r="H3" s="11">
        <v>28000.0</v>
      </c>
      <c r="I3" s="10"/>
      <c r="J3" s="12">
        <f>IF(LEN(H3)=5,VLOOKUP(LEFT(H3,2),AuxCP!C:D,2,0),VLOOKUP("0"&amp;LEFT(H3,1),AuxCP!C:D,2,0))</f>
        <v>4</v>
      </c>
      <c r="K3" s="4"/>
      <c r="L3" s="182" t="s">
        <v>4</v>
      </c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4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</row>
    <row r="4" ht="20.25" customHeight="1">
      <c r="B4" s="3" t="s">
        <v>8</v>
      </c>
      <c r="E4" s="4"/>
      <c r="F4" s="3" t="s">
        <v>9</v>
      </c>
      <c r="G4" s="5"/>
      <c r="H4" s="3"/>
      <c r="J4" s="19" t="s">
        <v>10</v>
      </c>
      <c r="K4" s="5"/>
      <c r="L4" s="185"/>
      <c r="M4" s="186" t="s">
        <v>326</v>
      </c>
      <c r="N4" s="26" t="s">
        <v>327</v>
      </c>
      <c r="O4" s="187" t="s">
        <v>328</v>
      </c>
      <c r="P4" s="26" t="s">
        <v>14</v>
      </c>
      <c r="Q4" s="26" t="s">
        <v>15</v>
      </c>
      <c r="R4" s="187" t="s">
        <v>16</v>
      </c>
      <c r="S4" s="26" t="s">
        <v>17</v>
      </c>
      <c r="T4" s="188" t="s">
        <v>18</v>
      </c>
      <c r="U4" s="188" t="s">
        <v>19</v>
      </c>
      <c r="V4" s="26" t="s">
        <v>20</v>
      </c>
      <c r="W4" s="189" t="s">
        <v>21</v>
      </c>
      <c r="X4" s="26" t="s">
        <v>22</v>
      </c>
      <c r="Y4" s="26" t="s">
        <v>23</v>
      </c>
      <c r="Z4" s="26" t="s">
        <v>24</v>
      </c>
      <c r="AA4" s="26" t="s">
        <v>25</v>
      </c>
      <c r="AB4" s="190" t="s">
        <v>26</v>
      </c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</row>
    <row r="5" ht="20.25" customHeight="1">
      <c r="A5" s="9"/>
      <c r="B5" s="30" t="s">
        <v>29</v>
      </c>
      <c r="C5" s="30" t="s">
        <v>30</v>
      </c>
      <c r="D5" s="30" t="s">
        <v>31</v>
      </c>
      <c r="E5" s="4"/>
      <c r="F5" s="30" t="s">
        <v>9</v>
      </c>
      <c r="G5" s="31"/>
      <c r="H5" s="32" t="s">
        <v>9</v>
      </c>
      <c r="I5" s="9"/>
      <c r="J5" s="33"/>
      <c r="K5" s="4"/>
      <c r="L5" s="185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191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Q5" s="9"/>
      <c r="AR5" s="9"/>
      <c r="AS5" s="9"/>
      <c r="AT5" s="9"/>
      <c r="AU5" s="9"/>
      <c r="AV5" s="9"/>
      <c r="AW5" s="9"/>
      <c r="AX5" s="9"/>
    </row>
    <row r="6" ht="34.5" customHeight="1">
      <c r="A6" s="38">
        <v>1.0</v>
      </c>
      <c r="B6" s="192"/>
      <c r="C6" s="192"/>
      <c r="D6" s="192"/>
      <c r="E6" s="4"/>
      <c r="F6" s="193">
        <v>52.0</v>
      </c>
      <c r="G6" s="4"/>
      <c r="H6" s="41">
        <f t="shared" ref="H6:H13" si="2">IF(F6=0,TRUNC((TODAY()-DATE(D6,C6,B6))/365.25,0),F6)</f>
        <v>52</v>
      </c>
      <c r="I6" s="4"/>
      <c r="J6" s="42">
        <f>IF(J10="Sí",0.06+J8,J8)</f>
        <v>0</v>
      </c>
      <c r="K6" s="5"/>
      <c r="L6" s="194" t="s">
        <v>34</v>
      </c>
      <c r="M6" s="48">
        <f>IF(H16="No Asegurable","", IF($F15&gt;1, SUM(M19:M26)*0.9,SUM(M19:M26)))</f>
        <v>59.4</v>
      </c>
      <c r="N6" s="48">
        <f>IF(H19="No Asegurable","", IF($F15&gt;3, SUM(N19:N26)*0.9,SUM(N19:N26)))</f>
        <v>164</v>
      </c>
      <c r="O6" s="4"/>
      <c r="P6" s="48">
        <f>IF(H20="No Asegurable","", IF($F15&gt;3, SUM(P19:P26)*0.9,SUM(P19:P26)))</f>
        <v>200</v>
      </c>
      <c r="Q6" s="48">
        <f>IF(H20="No Asegurable","", IF($F15&gt;3, SUM(Q19:Q26)*0.9,SUM(Q19:Q26)))</f>
        <v>252</v>
      </c>
      <c r="R6" s="4"/>
      <c r="S6" s="48">
        <f>IF(H25="No Asegurable","", IF($F15&gt;3, SUM(S19:S26)*0.9,SUM(S19:S26)))</f>
        <v>342</v>
      </c>
      <c r="T6" s="4" t="str">
        <f>IF(H17="No Asegurable","", IF($F15&gt;2, SUM(T19:T26)*0.9,SUM(T19:T26)))</f>
        <v/>
      </c>
      <c r="U6" s="4"/>
      <c r="V6" s="48">
        <f>IF(H21="No Asegurable","", IF($F15&gt;3, SUM(V19:V26)*0.9,SUM(V19:V26)))</f>
        <v>220</v>
      </c>
      <c r="W6" s="4"/>
      <c r="X6" s="48">
        <f>IF(H21="No Asegurable","", IF($F15&gt;3, SUM(X19:X26)*0.9,SUM(X19:X26)))</f>
        <v>307.8</v>
      </c>
      <c r="Y6" s="48">
        <f>IF(H28="No Asegurable","", IF($F15&gt;3, SUM(Y19:Y26)*0.9,SUM(Y19:Y26)))</f>
        <v>176</v>
      </c>
      <c r="Z6" s="48">
        <f>IF(H28="No Asegurable","", IF($F15&gt;3, SUM(Z19:Z26)*0.9,SUM(Z19:Z26)))</f>
        <v>236</v>
      </c>
      <c r="AA6" s="4" t="str">
        <f t="shared" ref="AA6:AB6" si="1">IF($H27="No asegurable","",SUM(AA19:AA26))</f>
        <v/>
      </c>
      <c r="AB6" s="195" t="str">
        <f t="shared" si="1"/>
        <v/>
      </c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4"/>
      <c r="AV6" s="4"/>
      <c r="AW6" s="4"/>
    </row>
    <row r="7" ht="34.5" customHeight="1">
      <c r="A7" s="38">
        <v>2.0</v>
      </c>
      <c r="B7" s="192"/>
      <c r="C7" s="192"/>
      <c r="D7" s="192"/>
      <c r="E7" s="4"/>
      <c r="F7" s="193">
        <v>54.0</v>
      </c>
      <c r="G7" s="4"/>
      <c r="H7" s="41">
        <f t="shared" si="2"/>
        <v>54</v>
      </c>
      <c r="I7" s="4"/>
      <c r="J7" s="52" t="s">
        <v>37</v>
      </c>
      <c r="K7" s="5"/>
      <c r="L7" s="196" t="s">
        <v>38</v>
      </c>
      <c r="M7" s="54">
        <f>IF(OR(M6=0,M6=""),"", IFERROR(M6+VLOOKUP($F$15,'aux antiguo'!$BO:$BQ,3,0),""))</f>
        <v>77.25</v>
      </c>
      <c r="N7" s="54">
        <f>IF(OR(N6=0,N6=""),"", IFERROR(N6+VLOOKUP($F$15,'aux antiguo'!$BO:$BQ,3,0),""))</f>
        <v>181.85</v>
      </c>
      <c r="O7" s="54">
        <f>IF(H24="No Asegurable","", IF($F15&gt;3, SUM(O19:O26)*0.9,SUM(O19:O26)))</f>
        <v>194</v>
      </c>
      <c r="P7" s="54">
        <f>IF(OR(P6=0,P6=""),"",IFERROR(P6+VLOOKUP($F$15,'aux antiguo'!$BO:$BQ,3,0),""))</f>
        <v>217.85</v>
      </c>
      <c r="Q7" s="54">
        <f>IF(OR(Q6=0,Q6=""),"",IFERROR(Q6+VLOOKUP($F$15,'aux antiguo'!$BO:$BQ,3,0),""))</f>
        <v>269.85</v>
      </c>
      <c r="R7" s="54">
        <f>IF(H24="No Asegurable","", IF($F15&gt;3, SUM(R19:R26)*0.9,SUM(R19:R26)))</f>
        <v>334</v>
      </c>
      <c r="S7" s="54">
        <f>IF(OR(S6=0,S6=""),"",IFERROR(S6+VLOOKUP($F$15,'aux antiguo'!$BO:$BQ,3,0),""))</f>
        <v>359.85</v>
      </c>
      <c r="T7" s="54" t="str">
        <f>IF(OR(T6=0,T6=""),"",IFERROR(T6+VLOOKUP($F$15,'aux antiguo'!$BO:$BQ,3,0),""))</f>
        <v/>
      </c>
      <c r="U7" s="54" t="str">
        <f>IF(H23="No Asegurable","", IF($F15&gt;2, SUM(U19:U26)*0.9,SUM(U19:U26)))</f>
        <v/>
      </c>
      <c r="V7" s="54">
        <f>IF(OR(V6=0,V6=""),"",IFERROR(V6+VLOOKUP($F$15,'aux antiguo'!$BO:$BQ,3,0),""))</f>
        <v>237.85</v>
      </c>
      <c r="W7" s="54">
        <f>IF(H22="No Asegurable","",SUM(W19:W26))</f>
        <v>198.1</v>
      </c>
      <c r="X7" s="54">
        <f>IF(OR(X6=0,X6=""),"",IFERROR(X6+VLOOKUP($F$15,'aux antiguo'!$BO:$BQ,3,0),""))</f>
        <v>325.65</v>
      </c>
      <c r="Y7" s="56"/>
      <c r="Z7" s="56"/>
      <c r="AA7" s="56"/>
      <c r="AB7" s="197"/>
      <c r="AC7" s="58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4"/>
      <c r="AV7" s="4"/>
      <c r="AW7" s="4"/>
    </row>
    <row r="8" ht="34.5" customHeight="1">
      <c r="A8" s="38">
        <v>3.0</v>
      </c>
      <c r="B8" s="192"/>
      <c r="C8" s="192"/>
      <c r="D8" s="192"/>
      <c r="E8" s="4"/>
      <c r="F8" s="193">
        <v>22.0</v>
      </c>
      <c r="G8" s="4"/>
      <c r="H8" s="41">
        <f t="shared" si="2"/>
        <v>22</v>
      </c>
      <c r="I8" s="4"/>
      <c r="J8" s="59">
        <v>0.0</v>
      </c>
      <c r="K8" s="5"/>
      <c r="L8" s="198" t="s">
        <v>40</v>
      </c>
      <c r="M8" s="64"/>
      <c r="N8" s="64"/>
      <c r="O8" s="199">
        <f>IF(OR($J$6=0.01, $J$6=0.02, $J$6=0.03, $J$6=0.04, $J$6=0.05),O7/ (1 - ($J$6 * 2)),O7/(1-J6))</f>
        <v>194</v>
      </c>
      <c r="P8" s="64"/>
      <c r="Q8" s="64"/>
      <c r="R8" s="199">
        <f>IF(OR($J$6=0.01, $J$6=0.02, $J$6=0.03, $J$6=0.04, $J$6=0.05),R7/ (1 - ($J$6 * 2)),R7/(1-J6))</f>
        <v>334</v>
      </c>
      <c r="S8" s="64"/>
      <c r="T8" s="64"/>
      <c r="U8" s="199">
        <f>IF(OR($J$6=0.01, $J$6=0.02, $J$6=0.03, $J$6=0.04, $J$6=0.05),U7/ (1 - ($J$6 * 2)),U7/(1-J6))</f>
        <v>0</v>
      </c>
      <c r="V8" s="64"/>
      <c r="W8" s="199">
        <f>W7*1.07</f>
        <v>211.967</v>
      </c>
      <c r="X8" s="64"/>
      <c r="Y8" s="64"/>
      <c r="Z8" s="64"/>
      <c r="AA8" s="64"/>
      <c r="AB8" s="200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4"/>
      <c r="AV8" s="4"/>
      <c r="AW8" s="4"/>
    </row>
    <row r="9" ht="34.5" customHeight="1">
      <c r="A9" s="38">
        <v>4.0</v>
      </c>
      <c r="B9" s="192"/>
      <c r="C9" s="192"/>
      <c r="D9" s="192"/>
      <c r="E9" s="4"/>
      <c r="F9" s="193"/>
      <c r="G9" s="4"/>
      <c r="H9" s="31" t="str">
        <f t="shared" si="2"/>
        <v>#NUM!</v>
      </c>
      <c r="I9" s="4"/>
      <c r="J9" s="52" t="s">
        <v>42</v>
      </c>
      <c r="K9" s="5"/>
      <c r="L9" s="201" t="s">
        <v>329</v>
      </c>
      <c r="AB9" s="202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4"/>
      <c r="AV9" s="4"/>
      <c r="AW9" s="4"/>
    </row>
    <row r="10" ht="34.5" customHeight="1">
      <c r="A10" s="38">
        <v>5.0</v>
      </c>
      <c r="B10" s="192"/>
      <c r="C10" s="192"/>
      <c r="D10" s="192"/>
      <c r="E10" s="4"/>
      <c r="F10" s="192"/>
      <c r="G10" s="4"/>
      <c r="H10" s="31" t="str">
        <f t="shared" si="2"/>
        <v>#NUM!</v>
      </c>
      <c r="I10" s="4"/>
      <c r="J10" s="192" t="s">
        <v>44</v>
      </c>
      <c r="K10" s="5"/>
      <c r="L10" s="194" t="s">
        <v>34</v>
      </c>
      <c r="M10" s="48">
        <v>0.0</v>
      </c>
      <c r="N10" s="48">
        <f>IF(N6="","",IF($H$2="Madrid",IF(OR($F$15=1,$F$15=2),((((N$6-(N$6/12))*12)-(50*$F$15))/12),IF(OR($F$15=3,$F$15=4,$F$15=5,$F$15=6),((((N$6-(N$6/12))*12)-(100*$F$15))/12))),IFERROR(IF(OR($F$15=1,$F$15=2),(((N$6*12)-(50*$F$15))/12),IF(OR($F$15=3,$F$15=4,$F$15=5,$F$15=6),(((N$6*12)-(100*$F$15))/12))),N$6)))</f>
        <v>125.3333333</v>
      </c>
      <c r="O10" s="4" t="str">
        <f t="shared" ref="O10:AB10" si="3">IF(O6="","",O6)</f>
        <v/>
      </c>
      <c r="P10" s="48">
        <f t="shared" si="3"/>
        <v>200</v>
      </c>
      <c r="Q10" s="48">
        <f t="shared" si="3"/>
        <v>252</v>
      </c>
      <c r="R10" s="4" t="str">
        <f t="shared" si="3"/>
        <v/>
      </c>
      <c r="S10" s="48">
        <f t="shared" si="3"/>
        <v>342</v>
      </c>
      <c r="T10" s="4" t="str">
        <f t="shared" si="3"/>
        <v/>
      </c>
      <c r="U10" s="4" t="str">
        <f t="shared" si="3"/>
        <v/>
      </c>
      <c r="V10" s="48">
        <f t="shared" si="3"/>
        <v>220</v>
      </c>
      <c r="W10" s="4" t="str">
        <f t="shared" si="3"/>
        <v/>
      </c>
      <c r="X10" s="48">
        <f t="shared" si="3"/>
        <v>307.8</v>
      </c>
      <c r="Y10" s="48">
        <f t="shared" si="3"/>
        <v>176</v>
      </c>
      <c r="Z10" s="48">
        <f t="shared" si="3"/>
        <v>236</v>
      </c>
      <c r="AA10" s="4" t="str">
        <f t="shared" si="3"/>
        <v/>
      </c>
      <c r="AB10" s="195" t="str">
        <f t="shared" si="3"/>
        <v/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4"/>
      <c r="AV10" s="4"/>
      <c r="AW10" s="4"/>
    </row>
    <row r="11" ht="34.5" customHeight="1">
      <c r="A11" s="38">
        <v>6.0</v>
      </c>
      <c r="B11" s="192"/>
      <c r="C11" s="192"/>
      <c r="D11" s="192"/>
      <c r="E11" s="4"/>
      <c r="F11" s="192"/>
      <c r="G11" s="4"/>
      <c r="H11" s="31" t="str">
        <f t="shared" si="2"/>
        <v>#NUM!</v>
      </c>
      <c r="I11" s="4"/>
      <c r="J11" s="75">
        <f t="shared" ref="J11:J13" si="7">$J$6</f>
        <v>0</v>
      </c>
      <c r="K11" s="5"/>
      <c r="L11" s="196" t="s">
        <v>38</v>
      </c>
      <c r="M11" s="54">
        <v>0.0</v>
      </c>
      <c r="N11" s="54">
        <f>IF(N7="","",IF($H$2="Madrid",IF(OR($F$15=1,$F$15=2),((((N$7-(N$7/12))*12)-(50*$F$15))/12),IF(OR($F$15=3,$F$15=4,$F$15=5,$F$15=6),((((N$7-(N$7/12))*12)-(100*$F$15))/12))),IFERROR(IF(OR($F$15=1,$F$15=2),(((N$7*12)-(50*$F$15))/12),IF(OR($F$15=3,$F$15=4,$F$15=5,$F$15=6),(((N$7*12)-(100*$F$15))/12))),N$7)))</f>
        <v>141.6958333</v>
      </c>
      <c r="O11" s="54">
        <f>IF(O$7="","", IF(AND($F$15&gt;0,$F$15&lt;=6,$H$2="Madrid"),((((O$7-(O$7/12))*12)-(100*$F$15))/12),IF(AND($F$15&gt;0,$F$15&lt;=6),(((O$7*12)-(100*$F$15))/12),O$7)))</f>
        <v>152.8333333</v>
      </c>
      <c r="P11" s="54">
        <f t="shared" ref="P11:Q11" si="4">IF(P7="","",IF($H$2="Madrid",IF(OR($F$15=1,$F$15=2),((((P$7-(P$7/12))*12)-(50*$F$15))/12),IF(OR($F$15=3,$F$15=4,$F$15=5,$F$15=6),((((P$7-(P$7/12))*12)-(100*$F$15))/12))),IFERROR(IF(OR($F$15=1,$F$15=2),(((P$7*12)-(50*$F$15))/12),IF(OR($F$15=3,$F$15=4,$F$15=5,$F$15=6),(((P$7*12)-(100*$F$15))/12))),P$7)))</f>
        <v>174.6958333</v>
      </c>
      <c r="Q11" s="54">
        <f t="shared" si="4"/>
        <v>222.3625</v>
      </c>
      <c r="R11" s="54">
        <f>IF(R$7="","", IF(AND($F$15&gt;0,$F$15&lt;=6,$H$2="Madrid"),((((R$7-(R$7/12))*12)-(100*$F$15))/12),IF(AND($F$15&gt;0,$F$15&lt;=6),(((R$7*12)-(100*$F$15))/12),R$7)))</f>
        <v>281.1666667</v>
      </c>
      <c r="S11" s="54">
        <f t="shared" ref="S11:T11" si="5">IF(S7="","",IF($H$2="Madrid",IF(OR($F$15=1,$F$15=2),((((S$7-(S$7/12))*12)-(50*$F$15))/12),IF(OR($F$15=3,$F$15=4,$F$15=5,$F$15=6),((((S$7-(S$7/12))*12)-(100*$F$15))/12))),IFERROR(IF(OR($F$15=1,$F$15=2),(((S$7*12)-(50*$F$15))/12),IF(OR($F$15=3,$F$15=4,$F$15=5,$F$15=6),(((S$7*12)-(100*$F$15))/12))),S$7)))</f>
        <v>304.8625</v>
      </c>
      <c r="T11" s="54" t="str">
        <f t="shared" si="5"/>
        <v/>
      </c>
      <c r="U11" s="54" t="str">
        <f>IF(U$7="","", IF(AND($F$15&gt;0,$F$15&lt;=6,$H$2="Madrid"),((((U$7-(U$7/12))*12)-(100*$F$15))/12),IF(AND($F$15&gt;0,$F$15&lt;=6),(((U$7*12)-(100*$F$15))/12),U$7)))</f>
        <v/>
      </c>
      <c r="V11" s="54">
        <f>IF(V7="","",IF($H$2="Madrid",IF(OR($F$15=1,$F$15=2),((((V$7-(V$7/12))*12)-(50*$F$15))/12),IF(OR($F$15=3,$F$15=4,$F$15=5,$F$15=6),((((V$7-(V$7/12))*12)-(100*$F$15))/12))),IFERROR(IF(OR($F$15=1,$F$15=2),(((V$7*12)-(50*$F$15))/12),IF(OR($F$15=3,$F$15=4,$F$15=5,$F$15=6),(((V$7*12)-(100*$F$15))/12))),V$7)))</f>
        <v>193.0291667</v>
      </c>
      <c r="W11" s="54">
        <f>W7</f>
        <v>198.1</v>
      </c>
      <c r="X11" s="54">
        <f t="shared" ref="X11:AB11" si="6">IF(X7="","",IF($H$2="Madrid",IF(OR($F$15=1,$F$15=2),((((X$7-(X$7/12))*12)-(50*$F$15))/12),IF(OR($F$15=3,$F$15=4,$F$15=5,$F$15=6),((((X$7-(X$7/12))*12)-(100*$F$15))/12))),IFERROR(IF(OR($F$15=1,$F$15=2),(((X$7*12)-(50*$F$15))/12),IF(OR($F$15=3,$F$15=4,$F$15=5,$F$15=6),(((X$7*12)-(100*$F$15))/12))),X$7)))</f>
        <v>273.5125</v>
      </c>
      <c r="Y11" s="54" t="str">
        <f t="shared" si="6"/>
        <v/>
      </c>
      <c r="Z11" s="54" t="str">
        <f t="shared" si="6"/>
        <v/>
      </c>
      <c r="AA11" s="54" t="str">
        <f t="shared" si="6"/>
        <v/>
      </c>
      <c r="AB11" s="197" t="str">
        <f t="shared" si="6"/>
        <v/>
      </c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4"/>
      <c r="AV11" s="4"/>
      <c r="AW11" s="4"/>
    </row>
    <row r="12" ht="34.5" customHeight="1">
      <c r="A12" s="38">
        <v>7.0</v>
      </c>
      <c r="B12" s="192"/>
      <c r="C12" s="192"/>
      <c r="D12" s="192"/>
      <c r="E12" s="4"/>
      <c r="F12" s="192"/>
      <c r="G12" s="4"/>
      <c r="H12" s="31" t="str">
        <f t="shared" si="2"/>
        <v>#NUM!</v>
      </c>
      <c r="I12" s="4"/>
      <c r="J12" s="75">
        <f t="shared" si="7"/>
        <v>0</v>
      </c>
      <c r="K12" s="5"/>
      <c r="L12" s="203"/>
      <c r="M12" s="4"/>
      <c r="N12" s="4"/>
      <c r="O12" s="10"/>
      <c r="P12" s="4"/>
      <c r="Q12" s="4"/>
      <c r="R12" s="103"/>
      <c r="S12" s="4"/>
      <c r="T12" s="4"/>
      <c r="U12" s="4"/>
      <c r="V12" s="4"/>
      <c r="W12" s="4"/>
      <c r="X12" s="4"/>
      <c r="Y12" s="4"/>
      <c r="Z12" s="9"/>
      <c r="AA12" s="9"/>
      <c r="AB12" s="204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4"/>
      <c r="AS12" s="4"/>
      <c r="AT12" s="4"/>
    </row>
    <row r="13" ht="34.5" customHeight="1">
      <c r="A13" s="38">
        <v>8.0</v>
      </c>
      <c r="B13" s="192"/>
      <c r="C13" s="192"/>
      <c r="D13" s="192"/>
      <c r="E13" s="4"/>
      <c r="F13" s="192"/>
      <c r="G13" s="4"/>
      <c r="H13" s="31" t="str">
        <f t="shared" si="2"/>
        <v>#NUM!</v>
      </c>
      <c r="I13" s="4"/>
      <c r="J13" s="75">
        <f t="shared" si="7"/>
        <v>0</v>
      </c>
      <c r="K13" s="5"/>
      <c r="L13" s="205" t="s">
        <v>330</v>
      </c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7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4"/>
      <c r="AS13" s="4"/>
      <c r="AT13" s="4"/>
    </row>
    <row r="14" ht="24.75" customHeight="1">
      <c r="K14" s="5"/>
      <c r="L14" s="194" t="s">
        <v>331</v>
      </c>
      <c r="M14" s="48">
        <v>0.0</v>
      </c>
      <c r="N14" s="208">
        <f>IF(N11="","", IFERROR(IF(OR($F$15=1,$F$15=2),50*$F$15,IF(AND($F$15&gt;2,$F$15&lt;=6),100*$F$15)),0))</f>
        <v>300</v>
      </c>
      <c r="O14" s="208">
        <f>IF(O$11="","",IF(AND($F$15&gt;0,$F$15&lt;=6),100*$F$15,0))</f>
        <v>300</v>
      </c>
      <c r="P14" s="208">
        <f t="shared" ref="P14:Q14" si="8">IF(P11="","", IFERROR(IF(OR($F$15=1,$F$15=2),50*$F$15,IF(AND($F$15&gt;2,$F$15&lt;=6),100*$F$15)),0))</f>
        <v>300</v>
      </c>
      <c r="Q14" s="208">
        <f t="shared" si="8"/>
        <v>300</v>
      </c>
      <c r="R14" s="208">
        <f>IF(R$11="","",IF(AND($F$15&gt;0,$F$15&lt;=6),100*$F$15,0))</f>
        <v>300</v>
      </c>
      <c r="S14" s="208">
        <f t="shared" ref="S14:T14" si="9">IF(S11="","", IFERROR(IF(OR($F$15=1,$F$15=2),50*$F$15,IF(AND($F$15&gt;2,$F$15&lt;=6),100*$F$15)),0))</f>
        <v>300</v>
      </c>
      <c r="T14" s="208" t="str">
        <f t="shared" si="9"/>
        <v/>
      </c>
      <c r="U14" s="208" t="str">
        <f>IF(U$11="","",IF(AND($F$15&gt;0,$F$15&lt;=6),100*$F$15,0))</f>
        <v/>
      </c>
      <c r="V14" s="208">
        <f>IF(V11="","", IFERROR(IF(OR($F$15=1,$F$15=2),50*$F$15,IF(AND($F$15&gt;2,$F$15&lt;=6),100*$F$15)),0))</f>
        <v>300</v>
      </c>
      <c r="W14" s="208"/>
      <c r="X14" s="208">
        <f t="shared" ref="X14:AB14" si="10">IF(X11="","", IFERROR(IF(OR($F$15=1,$F$15=2),50*$F$15,IF(AND($F$15&gt;2,$F$15&lt;=6),100*$F$15)),0))</f>
        <v>300</v>
      </c>
      <c r="Y14" s="208" t="str">
        <f t="shared" si="10"/>
        <v/>
      </c>
      <c r="Z14" s="208" t="str">
        <f t="shared" si="10"/>
        <v/>
      </c>
      <c r="AA14" s="208" t="str">
        <f t="shared" si="10"/>
        <v/>
      </c>
      <c r="AB14" s="209" t="str">
        <f t="shared" si="10"/>
        <v/>
      </c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</row>
    <row r="15" ht="33.75" customHeight="1">
      <c r="B15" s="210" t="s">
        <v>69</v>
      </c>
      <c r="E15" s="211"/>
      <c r="F15" s="212">
        <f>COUNT(H6:H13)</f>
        <v>3</v>
      </c>
      <c r="K15" s="5"/>
      <c r="L15" s="213" t="s">
        <v>332</v>
      </c>
      <c r="M15" s="214">
        <v>0.0</v>
      </c>
      <c r="N15" s="215" t="str">
        <f t="shared" ref="N15:V15" si="11">IF(N14="","", TEXT(EDATE(TODAY(),7),"mmmm"))</f>
        <v>octubre</v>
      </c>
      <c r="O15" s="215" t="str">
        <f t="shared" si="11"/>
        <v>octubre</v>
      </c>
      <c r="P15" s="215" t="str">
        <f t="shared" si="11"/>
        <v>octubre</v>
      </c>
      <c r="Q15" s="215" t="str">
        <f t="shared" si="11"/>
        <v>octubre</v>
      </c>
      <c r="R15" s="215" t="str">
        <f t="shared" si="11"/>
        <v>octubre</v>
      </c>
      <c r="S15" s="215" t="str">
        <f t="shared" si="11"/>
        <v>octubre</v>
      </c>
      <c r="T15" s="214" t="str">
        <f t="shared" si="11"/>
        <v/>
      </c>
      <c r="U15" s="214" t="str">
        <f t="shared" si="11"/>
        <v/>
      </c>
      <c r="V15" s="214" t="str">
        <f t="shared" si="11"/>
        <v>octubre</v>
      </c>
      <c r="W15" s="214"/>
      <c r="X15" s="214" t="str">
        <f t="shared" ref="X15:AB15" si="12">IF(X14="","", TEXT(EDATE(TODAY(),7),"mmmm"))</f>
        <v>octubre</v>
      </c>
      <c r="Y15" s="214" t="str">
        <f t="shared" si="12"/>
        <v/>
      </c>
      <c r="Z15" s="214" t="str">
        <f t="shared" si="12"/>
        <v/>
      </c>
      <c r="AA15" s="214" t="str">
        <f t="shared" si="12"/>
        <v/>
      </c>
      <c r="AB15" s="216" t="str">
        <f t="shared" si="12"/>
        <v/>
      </c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</row>
    <row r="16" ht="33.75" customHeight="1">
      <c r="B16" s="217" t="s">
        <v>333</v>
      </c>
      <c r="D16" s="217"/>
      <c r="E16" s="217"/>
      <c r="F16" s="218">
        <f>IFERROR(IF(H6&gt;70,-3,IF(H6&gt;59,0,1)),0)+IFERROR(IF(H7&gt;70,-3,IF(H7&gt;59,0,1)),0)+IFERROR(IF(H8&gt;70,-3,IF(H8&gt;59,0,1)),0)++IFERROR(IF(H9&gt;70,-3,IF(H9&gt;59,0,1)),0)+IFERROR(IF(H10&gt;70,-3,IF(H10&gt;59,0,1)),0)+IFERROR(IF(H11&gt;70,-3,IF(H11&gt;59,0,1)),0)+IFERROR(IF(H12&gt;70,-3,IF(H12&gt;59,0,1)),0)+IFERROR(IF(H13&gt;70,-3,IF(H13&gt;59,0,1)),0)</f>
        <v>3</v>
      </c>
      <c r="G16" s="123"/>
      <c r="H16" s="217">
        <f>IFERROR(VLOOKUP("No Asegurable",M19:M26,1,0),0)</f>
        <v>0</v>
      </c>
      <c r="J16" s="123">
        <f>IF(COUNTIF($H$6:$H$13,"&gt;70")&gt;0,IF(COUNTIF($H$6:$H$13,"&lt;60")&lt;3*COUNTIF($H$6:$H$13,"&gt;70"),-1,1),1)</f>
        <v>1</v>
      </c>
      <c r="K16" s="5"/>
      <c r="L16" s="4"/>
      <c r="M16" s="4"/>
      <c r="N16" s="48"/>
      <c r="O16" s="4"/>
      <c r="P16" s="4"/>
      <c r="Q16" s="48"/>
      <c r="R16" s="103"/>
      <c r="S16" s="48"/>
      <c r="T16" s="48"/>
      <c r="U16" s="103"/>
      <c r="V16" s="4"/>
      <c r="W16" s="48"/>
      <c r="X16" s="4"/>
      <c r="Y16" s="4"/>
      <c r="Z16" s="9"/>
      <c r="AA16" s="9"/>
      <c r="AB16" s="9"/>
      <c r="AC16" s="9"/>
      <c r="AD16" s="48"/>
      <c r="AE16" s="48"/>
      <c r="AF16" s="48"/>
      <c r="AG16" s="48"/>
      <c r="AH16" s="48"/>
      <c r="AI16" s="48"/>
      <c r="AJ16" s="109"/>
      <c r="AK16" s="10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</row>
    <row r="17" ht="33.75" customHeight="1">
      <c r="B17" s="219" t="s">
        <v>334</v>
      </c>
      <c r="C17" s="217"/>
      <c r="D17" s="217"/>
      <c r="E17" s="217"/>
      <c r="F17" s="218">
        <f>IF(AND(COUNTIF($H$6:$H$13,"&gt;=50")-COUNTIF($H$6:$H$13,"&gt;54")&gt;0, COUNTIF($H$6:$H$13,"&gt;=55")&gt;0), 1, IF(COUNTIF($H$6:$H$13,"&lt;55")&gt;0, -1, 1))</f>
        <v>-1</v>
      </c>
      <c r="G17" s="123"/>
      <c r="H17" s="217" t="str">
        <f>IFERROR(VLOOKUP("No Asegurable",T19:T26,1,0),0)</f>
        <v>No asegurable</v>
      </c>
      <c r="J17" s="123">
        <f>IF(AND(COUNTIF($H$6:$H$13,"&gt;=50")-COUNTIF($H$6:$H$13,"&gt;54")&gt;0, COUNTIF($H$6:$H$13,"&gt;=55")-COUNTIF($H$6:$H$13,"&gt;59")&gt;0), 1, IF(COUNTIF($H$6:$H$13,"&lt;55")&gt;0, -1, 1))</f>
        <v>-1</v>
      </c>
      <c r="K17" s="220"/>
      <c r="L17" s="221"/>
      <c r="M17" s="222" t="str">
        <f>"Adeslas Go"&amp;" "&amp;J3</f>
        <v>Adeslas Go 4</v>
      </c>
      <c r="N17" s="222" t="str">
        <f>"Adeslas Plena Vital"&amp;" "&amp;$J$3</f>
        <v>Adeslas Plena Vital 4</v>
      </c>
      <c r="O17" s="222" t="str">
        <f>"Adeslas Plena Total vital"&amp;" "&amp;$J$3</f>
        <v>Adeslas Plena Total vital 4</v>
      </c>
      <c r="P17" s="222" t="str">
        <f>"Adeslas Plena"&amp;" "&amp;$J$3</f>
        <v>Adeslas Plena 4</v>
      </c>
      <c r="Q17" s="222" t="str">
        <f>"Adeslas Plena Plus"&amp;" "&amp;$J$3</f>
        <v>Adeslas Plena Plus 4</v>
      </c>
      <c r="R17" s="106" t="str">
        <f>"Adeslas Plena Total"&amp;" "&amp;$J$3</f>
        <v>Adeslas Plena Total 4</v>
      </c>
      <c r="S17" s="222" t="str">
        <f>"Adeslas Plena Extra 150"&amp;" "&amp;$J$3</f>
        <v>Adeslas Plena Extra 150 4</v>
      </c>
      <c r="T17" s="222" t="str">
        <f>"Adeslas Seniors"&amp;" "&amp;$J$3</f>
        <v>Adeslas Seniors 4</v>
      </c>
      <c r="U17" s="106" t="str">
        <f>"Adeslas Plena Total Seniors"&amp;" "&amp;$J$3</f>
        <v>Adeslas Plena Total Seniors 4</v>
      </c>
      <c r="V17" s="222" t="str">
        <f>"Adeslas Negocios NIF"&amp;" "&amp;$J$3</f>
        <v>Adeslas Negocios NIF 4</v>
      </c>
      <c r="W17" s="106" t="str">
        <f>"Adeslas Pymes TOTAL"&amp;" "&amp;$J$3</f>
        <v>Adeslas Pymes TOTAL 4</v>
      </c>
      <c r="X17" s="222" t="str">
        <f>"Adeslas Extra Negocios NIF"&amp;" "&amp;$J$3</f>
        <v>Adeslas Extra Negocios NIF 4</v>
      </c>
      <c r="Y17" s="222" t="str">
        <f>"Adeslas Negocios CIF"&amp;" "&amp;$J$3</f>
        <v>Adeslas Negocios CIF 4</v>
      </c>
      <c r="Z17" s="222" t="str">
        <f>"Adeslas Extra Negocios CIF"&amp;" "&amp;$J$3</f>
        <v>Adeslas Extra Negocios CIF 4</v>
      </c>
      <c r="AA17" s="222" t="str">
        <f>"Adeslas Empresas"&amp;" "&amp;$J$3</f>
        <v>Adeslas Empresas 4</v>
      </c>
      <c r="AB17" s="223" t="str">
        <f>"Adeslas Extra Empresas"&amp;" "&amp;$J$3</f>
        <v>Adeslas Extra Empresas 4</v>
      </c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</row>
    <row r="18" ht="33.75" customHeight="1">
      <c r="B18" s="219" t="s">
        <v>335</v>
      </c>
      <c r="C18" s="217"/>
      <c r="D18" s="217"/>
      <c r="E18" s="217"/>
      <c r="F18" s="217">
        <f>IFERROR(IF(H6&gt;62,-3,IF(H6&gt;59,0,1)),0)+IFERROR(IF(H7&gt;62,-3,IF(H7&gt;59,0,1)),0)+IFERROR(IF(H8&gt;62,-3,IF(H8&gt;59,0,1)),0)++IFERROR(IF(H9&gt;62,-3,IF(H9&gt;59,0,1)),0)+IFERROR(IF(H10&gt;62,-3,IF(H10&gt;59,0,1)),0)+IFERROR(IF(H11&gt;62,-3,IF(H11&gt;59,0,1)),0)+IFERROR(IF(H12&gt;62,-3,IF(H12&gt;59,0,1)),0)+IFERROR(IF(H13&gt;62,-3,IF(H13&gt;59,0,1)),0)</f>
        <v>3</v>
      </c>
      <c r="G18" s="123"/>
      <c r="H18" s="217">
        <f>IFERROR(VLOOKUP("No Asegurable",R19:R26,1,0),0)</f>
        <v>0</v>
      </c>
      <c r="J18" s="224"/>
      <c r="K18" s="225"/>
      <c r="L18" s="226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7"/>
      <c r="AC18" s="9"/>
      <c r="AD18" s="48"/>
      <c r="AE18" s="48"/>
      <c r="AF18" s="48"/>
      <c r="AG18" s="48"/>
      <c r="AH18" s="48"/>
      <c r="AI18" s="109"/>
      <c r="AJ18" s="10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</row>
    <row r="19" ht="33.75" customHeight="1">
      <c r="B19" s="227" t="s">
        <v>336</v>
      </c>
      <c r="C19" s="217"/>
      <c r="D19" s="123"/>
      <c r="E19" s="123"/>
      <c r="F19" s="123">
        <f>IF(COUNTIF($H$6:$H$13,"&gt;70")&gt;0,IF(COUNTIF($H$6:$H$13,"&lt;60")&lt;3*COUNTIF($H$6:$H$13,"&gt;70"),-1,1),1)</f>
        <v>1</v>
      </c>
      <c r="G19" s="123"/>
      <c r="H19" s="217">
        <f>IFERROR(VLOOKUP("No Asegurable",N19:N26,1,0),0)</f>
        <v>0</v>
      </c>
      <c r="J19" s="123">
        <f t="shared" ref="J19:J21" si="13">IF(COUNTIF($H$6:$H$13,"&gt;70")&gt;0,IF(COUNTIF($H$6:$H$13,"&lt;60")&lt;3*COUNTIF($H$6:$H$13,"&gt;70"),-1,1),1)</f>
        <v>1</v>
      </c>
      <c r="K19" s="116">
        <v>1.0</v>
      </c>
      <c r="L19" s="48"/>
      <c r="M19" s="228">
        <f t="array" ref="M19">IFERROR(IF($H6="","",IF($F$16&gt;=0,IFERROR(INDEX('aux antiguo'!$B$2:$E$4,MATCH($H6,'aux antiguo'!$A$2:$A$4,1),MATCH(M$17,'aux antiguo'!$B$1:$E$1,0)),"No asegurable"),"No asegurable")),"")</f>
        <v>22</v>
      </c>
      <c r="N19" s="228">
        <f t="array" ref="N19">IFERROR(IF($H6="","",IF($F$19&gt;=0,IFERROR(INDEX('aux antiguo'!$H$2:$K$8,MATCH($H6,'aux antiguo'!$G$2:$G$8,1),MATCH(N$17,'aux antiguo'!$H$1:$K$1,0))*(1-$J$6),"No asegurable"),"No asegurable")),"")</f>
        <v>62</v>
      </c>
      <c r="O19" s="228">
        <f t="array" ref="O19">IFERROR(IF($H6="", "", 
    IF(AND($F$24&gt;=0, OR($J$6=0.01, $J$6=0.02, $J$6=0.03, $J$6=0.04, $J$6=0.05)),
        INDEX('aux antiguo'!$DA$2:$DD$7, 
               MATCH($H6, 'aux antiguo'!$CZ$2:$CZ$7, 1), 
               MATCH(O$17, 'aux antiguo'!$DA$1:$DD$1, 0)
        ) * (1 - ($J$6 * 2)),
        IF(AND($F$24&gt;=0, OR($J$6=0, $J$6&gt;=0.05)),
            INDEX('aux antiguo'!$DA$2:$DD$7, 
                   MATCH($H6, 'aux antiguo'!$CZ$2:$CZ$7, 1), 
                   MATCH(O$17, 'aux antiguo'!$DA$1:$DD$1, 0)
            ) * (1 - $J$6),
            "No asegurable"
        )
    )
),"")
</f>
        <v>72</v>
      </c>
      <c r="P19" s="228">
        <f t="array" ref="P19">IFERROR(IF($H6="","",IF($F$20&gt;=0,IFERROR(INDEX('aux antiguo'!$N$2:$Q$8,MATCH($H6,'aux antiguo'!$M$2:$M$8,1),MATCH(P$17,'aux antiguo'!$N$1:$Q$1,0))*(1-$J$6),"No asegurable"),"No asegurable")),"")</f>
        <v>74</v>
      </c>
      <c r="Q19" s="228">
        <f t="array" ref="Q19">IFERROR(IF($H6="","",IF($F$20&gt;=0,IFERROR(INDEX('aux antiguo'!$T$2:$W$8,MATCH($H6,'aux antiguo'!$S$2:$S$8,1),MATCH(Q$17,'aux antiguo'!$T$1:$W$1,0))*(1-$J$6),"No asegurable"),"No asegurable")),"")</f>
        <v>94</v>
      </c>
      <c r="R19" s="228">
        <f t="array" ref="R19">IFERROR(IF($H6="", "", 
    IF(AND($F$24&gt;=0, OR($J$6=0.01, $J$6=0.02, $J$6=0.03, $J$6=0.04, $J$6=0.05)),
        INDEX('aux antiguo'!$Z$2:$AC$8, 
               MATCH($H6, 'aux antiguo'!$Y$2:$Y$8, 1), 
               MATCH(R$17, 'aux antiguo'!$Z$1:$AC$1, 0)
        ) * (1 - ($J$6 * 2)),
        IF(AND($F$24&gt;=0, OR($J$6=0, $J$6&gt;=0.05)),
            INDEX('aux antiguo'!$Z$2:$AC$8, 
                   MATCH($H6, 'aux antiguo'!$Y$2:$Y$8, 1), 
                   MATCH(R$17, 'aux antiguo'!$Z$1:$AC$1, 0)
            ) * (1 - $J$6),
            "No asegurable"
        )
    )
),"")
</f>
        <v>125</v>
      </c>
      <c r="S19" s="228">
        <f t="array" ref="S19">IFERROR(IF($H6="","",IF($F$25&gt;=0,IFERROR(INDEX('aux antiguo'!$CU$2:$CX$8,MATCH($H6,'aux antiguo'!$CT$2:$CT$8,1),MATCH(S$17,'aux antiguo'!$CU$1:$CX$1,0))*(1-$J$6),"No asegurable"),"No asegurable")),"")</f>
        <v>122</v>
      </c>
      <c r="T19" s="228" t="str">
        <f t="array" ref="T19">IFERROR(IF($H6="","",IF($F$17&gt;=0,IFERROR(INDEX('aux antiguo'!$BD$2:$BG$10,MATCH($H6,'aux antiguo'!$BC$2:$BC$10,1),MATCH(T$17,'aux antiguo'!$BD$1:$BG$1,0))*(1-$J$6),"No asegurable"),"No asegurable")),"")</f>
        <v>No asegurable</v>
      </c>
      <c r="U19" s="228" t="str">
        <f t="array" ref="U19">IFERROR(IF($H6="", "", 
    IF(AND($F$23&gt;=0, OR($J$6=0.01, $J$6=0.02, $J$6=0.03, $J$6=0.04, $J$6=0.05)),
        INDEX('aux antiguo'!$BJ$2:$BM$8, 
               MATCH($H6, 'aux antiguo'!$BI$2:$BI$8, 1), 
               MATCH(U$17, 'aux antiguo'!$BJ$1:$BM$1, 0)
        ) * (1 - ($J$6 * 2)),
        IF(AND($F$23&gt;=0, OR($J$6=0, $J$6&gt;=0.05)),
            INDEX('aux antiguo'!$BJ$2:$BM$8, 
                   MATCH($H6, 'aux antiguo'!$BI$2:$BI$8, 1), 
                   MATCH(U$17, 'aux antiguo'!$BJ$1:$BM$1, 0)
            ) * (1 - $J$6),
            "No asegurable"
        )
    )
),"")
</f>
        <v>No asegurable</v>
      </c>
      <c r="V19" s="228">
        <f t="array" ref="V19">IFERROR(IF($H6="","",IF($F$26&gt;=0,IFERROR(INDEX('aux antiguo'!$BZ$2:$CC$8,MATCH($H6,'aux antiguo'!$BY$2:$BY$8,1),MATCH(V$17,'aux antiguo'!$BZ$1:$CC$1,0))*(1-$J$6),"No asegurable"),"No asegurable")),"")</f>
        <v>81</v>
      </c>
      <c r="W19" s="228">
        <f t="array" ref="W19">IFERROR(IF($H6="", "", 
    IF(AND($F$22&gt;=0, OR($J$6=0.01, $J$6=0.02, $J$6=0.03, $J$6=0.04, $J$6=0.05)),
        INDEX('aux antiguo'!$BT$11:$BW$15, 
               MATCH($H6, 'aux antiguo'!$BS$11:$BS$15, 1), 
               MATCH(W$17, 'aux antiguo'!$BT$10:$BW$10, 0)
        ) * (1 - ($J$6 * 2)),
        IF(AND($F$22&gt;=0, OR($J$6=0, $J$6&gt;=0.05)),
            INDEX('aux antiguo'!$BT$11:$BW$15, 
                   MATCH($H6, 'aux antiguo'!$BS$11:$BS$15, 1), 
                   MATCH(W$17, 'aux antiguo'!$BT$10:$BW$10, 0)
            ) * (1 - $J$6),
            "No asegurable"
        )
    )
),"")
</f>
        <v>69.75</v>
      </c>
      <c r="X19" s="229">
        <f t="array" ref="X19">IFERROR(IF($H6="","",IF(OR($F$15=1,$F$15=2),IFERROR(IF($F$26&gt;=0,INDEX('aux antiguo'!$CF$2:$CI$8,MATCH($H6,'aux antiguo'!$CE$2:$CE$8,1),MATCH(X$17,'aux antiguo'!$CF$1:$CI$1,0))*(1-$J$6),"No asegurable"),""),IF($F$15&gt;=3,IFERROR(IF($F$26&gt;=0,INDEX('aux antiguo'!$CL$2:$CO$8, MATCH($H6, 'aux antiguo'!$CK$2:$CK$8, 1), MATCH(X$17, 'aux antiguo'!$CL$1:$CO$1, 0))*(1-$J$6),"No asegurable"),"")))),"")</f>
        <v>109.8</v>
      </c>
      <c r="Y19" s="228">
        <f t="array" ref="Y19">IF($F$15&gt;4,"No asegurable",IFERROR(IF($H6="","",IF($F$28&gt;=0,IFERROR(INDEX('aux antiguo'!$AF$2:$AI$8,MATCH($H6,'aux antiguo'!$AE$2:$AE$8,1),MATCH(Y$17,'aux antiguo'!$AF$1:$AI$1,0))*(1-$J$6),"No asegurable"),"No asegurable")),""))</f>
        <v>61.5</v>
      </c>
      <c r="Z19" s="228">
        <f t="array" ref="Z19">IF($F$15&gt;4,"No asegurable",IFERROR(IF($H6="","",IF($F$28&gt;=0,IFERROR(INDEX('aux antiguo'!$AL$2:$AO$8,MATCH($H6,'aux antiguo'!$AK$2:$AK$8,1),MATCH(Z$17,'aux antiguo'!$AL$1:$AO$1,0))*(1-$J$6),"No asegurable"),"No asegurable")),""))</f>
        <v>79.5</v>
      </c>
      <c r="AA19" s="228" t="str">
        <f t="array" ref="AA19">IF(F6="","",IF($F$15&lt;5,"No asegurable",IFERROR(IF($H6="","",IF($F$27&gt;=0,IFERROR(INDEX('aux antiguo'!$AR$2:$AU$8,MATCH($H6,'aux antiguo'!$AQ$2:$AQ$8,1),MATCH(AA$17,'aux antiguo'!$AR$1:$AU$1,0))*(1-$J$6),"No asegurable"),"No asegurable")),"")))</f>
        <v>No asegurable</v>
      </c>
      <c r="AB19" s="119" t="str">
        <f t="array" ref="AB19">IFERROR(IF(H6="","",IF($F$15&lt;5,"No asegurable",IFERROR(IF($H6="","",IF($F$27&gt;=0,IFERROR(INDEX('aux antiguo'!$AX$2:$BA$8,MATCH($H6,'aux antiguo'!$AW$2:$AW$8,1),MATCH(AB$17,'aux antiguo'!$AX$1:$BA$1,0))*(1-$J$6),"No asegurable"),"No asegurable")),""))),"")</f>
        <v>No asegurable</v>
      </c>
      <c r="AC19" s="9"/>
      <c r="AI19" s="109"/>
      <c r="AJ19" s="10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</row>
    <row r="20" ht="33.75" customHeight="1">
      <c r="B20" s="227" t="s">
        <v>337</v>
      </c>
      <c r="C20" s="123"/>
      <c r="D20" s="123"/>
      <c r="E20" s="123"/>
      <c r="F20" s="123">
        <f>IFERROR(IF(H6&gt;70,-3,IF(H6&gt;59,0,1)),0)+IFERROR(IF(H7&gt;70,-3,IF(H7&gt;59,0,1)),0)+IFERROR(IF(H8&gt;70,-3,IF(H8&gt;59,0,1)),0)+IFERROR(IF(H9&gt;70,-3,IF(H9&gt;59,0,1)),0)+IFERROR(IF(H10&gt;70,-3,IF(H10&gt;59,0,1)),0)+IFERROR(IF(H11&gt;70,-3,IF(H11&gt;59,0,1)),0)+IFERROR(IF(H12&gt;70,-3,IF(H12&gt;59,0,1)),0)+IFERROR(IF(H13&gt;70,-3,IF(H13&gt;59,0,1)),0)</f>
        <v>3</v>
      </c>
      <c r="G20" s="123"/>
      <c r="H20" s="217">
        <f>IFERROR(VLOOKUP("No Asegurable",P19:Q26,1,0),0)</f>
        <v>0</v>
      </c>
      <c r="J20" s="123">
        <f t="shared" si="13"/>
        <v>1</v>
      </c>
      <c r="K20" s="116">
        <v>2.0</v>
      </c>
      <c r="L20" s="48"/>
      <c r="M20" s="228">
        <f t="array" ref="M20">IFERROR(IF($H7="","",IF($F$16&gt;=0,IFERROR(INDEX('aux antiguo'!$B$2:$E$4,MATCH($H7,'aux antiguo'!$A$2:$A$4,1),MATCH(M$17,'aux antiguo'!$B$1:$E$1,0)),"No asegurable"),"No asegurable")),"")</f>
        <v>22</v>
      </c>
      <c r="N20" s="228">
        <f t="array" ref="N20">IFERROR(IF($H7="","",IF($F$19&gt;=0,IFERROR(INDEX('aux antiguo'!$H$2:$K$8,MATCH($H7,'aux antiguo'!$G$2:$G$8,1),MATCH(N$17,'aux antiguo'!$H$1:$K$1,0))*(1-$J$6),"No asegurable"),"No asegurable")),"")</f>
        <v>62</v>
      </c>
      <c r="O20" s="228">
        <f t="array" ref="O20">IFERROR(IF($H7="", "", 
    IF(AND($F$24&gt;=0, OR($J$6=0.01, $J$6=0.02, $J$6=0.03, $J$6=0.04, $J$6=0.05)),
        INDEX('aux antiguo'!$DA$2:$DD$7, 
               MATCH($H7, 'aux antiguo'!$CZ$2:$CZ$7, 1), 
               MATCH(O$17, 'aux antiguo'!$DA$1:$DD$1, 0)
        ) * (1 - ($J$6 * 2)),
        IF(AND($F$24&gt;=0, OR($J$6=0, $J$6&gt;=0.05)),
            INDEX('aux antiguo'!$DA$2:$DD$7, 
                   MATCH($H7, 'aux antiguo'!$CZ$2:$CZ$7, 1), 
                   MATCH(O$17, 'aux antiguo'!$DA$1:$DD$1, 0)
            ) * (1 - $J$6),
            "No asegurable"
        )
    )
),"")
</f>
        <v>72</v>
      </c>
      <c r="P20" s="228">
        <f t="array" ref="P20">IFERROR(IF($H7="","",IF($F$20&gt;=0,IFERROR(INDEX('aux antiguo'!$N$2:$Q$8,MATCH($H7,'aux antiguo'!$M$2:$M$8,1),MATCH(P$17,'aux antiguo'!$N$1:$Q$1,0))*(1-$J$6),"No asegurable"),"No asegurable")),"")</f>
        <v>74</v>
      </c>
      <c r="Q20" s="228">
        <f t="array" ref="Q20">IFERROR(IF($H7="","",IF($F$20&gt;=0,IFERROR(INDEX('aux antiguo'!$T$2:$W$8,MATCH($H7,'aux antiguo'!$S$2:$S$8,1),MATCH(Q$17,'aux antiguo'!$T$1:$W$1,0))*(1-$J$6),"No asegurable"),"No asegurable")),"")</f>
        <v>94</v>
      </c>
      <c r="R20" s="228">
        <f t="array" ref="R20">IFERROR(IF($H7="", "", 
    IF(AND($F$24&gt;=0, OR($J$6=0.01, $J$6=0.02, $J$6=0.03, $J$6=0.04, $J$6=0.05)),
        INDEX('aux antiguo'!$Z$2:$AC$8, 
               MATCH($H7, 'aux antiguo'!$Y$2:$Y$8, 1), 
               MATCH(R$17, 'aux antiguo'!$Z$1:$AC$1, 0)
        ) * (1 - ($J$6 * 2)),
        IF(AND($F$24&gt;=0, OR($J$6=0, $J$6&gt;=0.05)),
            INDEX('aux antiguo'!$Z$2:$AC$8, 
                   MATCH($H7, 'aux antiguo'!$Y$2:$Y$8, 1), 
                   MATCH(R$17, 'aux antiguo'!$Z$1:$AC$1, 0)
            ) * (1 - $J$6),
            "No asegurable"
        )
    )
),"")
</f>
        <v>125</v>
      </c>
      <c r="S20" s="228">
        <f t="array" ref="S20">IFERROR(IF($H7="","",IF($F$25&gt;=0,IFERROR(INDEX('aux antiguo'!$CU$2:$CX$8,MATCH($H7,'aux antiguo'!$CT$2:$CT$8,1),MATCH(S$17,'aux antiguo'!$CU$1:$CX$1,0))*(1-$J$6),"No asegurable"),"No asegurable")),"")</f>
        <v>122</v>
      </c>
      <c r="T20" s="228" t="str">
        <f t="array" ref="T20">IFERROR(IF($H7="","",IF($F$17&gt;=0,IFERROR(INDEX('aux antiguo'!$BD$2:$BG$10,MATCH($H7,'aux antiguo'!$BC$2:$BC$10,1),MATCH(T$17,'aux antiguo'!$BD$1:$BG$1,0))*(1-$J$6),"No asegurable"),"No asegurable")),"")</f>
        <v>No asegurable</v>
      </c>
      <c r="U20" s="228" t="str">
        <f t="array" ref="U20">IFERROR(IF($H7="", "", 
    IF(AND($F$23&gt;=0, OR($J$6=0.01, $J$6=0.02, $J$6=0.03, $J$6=0.04, $J$6=0.05)),
        INDEX('aux antiguo'!$BJ$2:$BM$8, 
               MATCH($H7, 'aux antiguo'!$BI$2:$BI$8, 1), 
               MATCH(U$17, 'aux antiguo'!$BJ$1:$BM$1, 0)
        ) * (1 - ($J$6 * 2)),
        IF(AND($F$23&gt;=0, OR($J$6=0, $J$6&gt;=0.05)),
            INDEX('aux antiguo'!$BJ$2:$BM$8, 
                   MATCH($H7, 'aux antiguo'!$BI$2:$BI$8, 1), 
                   MATCH(U$17, 'aux antiguo'!$BJ$1:$BM$1, 0)
            ) * (1 - $J$6),
            "No asegurable"
        )
    )
),"")
</f>
        <v>No asegurable</v>
      </c>
      <c r="V20" s="228">
        <f t="array" ref="V20">IFERROR(IF($H7="","",IF($F$26&gt;=0,IFERROR(INDEX('aux antiguo'!$BZ$2:$CC$8,MATCH($H7,'aux antiguo'!$BY$2:$BY$8,1),MATCH(V$17,'aux antiguo'!$BZ$1:$CC$1,0))*(1-$J$6),"No asegurable"),"No asegurable")),"")</f>
        <v>81</v>
      </c>
      <c r="W20" s="228">
        <f t="array" ref="W20">IFERROR(IF($H7="", "", 
    IF(AND($F$22&gt;=0, OR($J$6=0.01, $J$6=0.02, $J$6=0.03, $J$6=0.04, $J$6=0.05)),
        INDEX('aux antiguo'!$BT$11:$BW$15, 
               MATCH($H7, 'aux antiguo'!$BS$11:$BS$15, 1), 
               MATCH(W$17, 'aux antiguo'!$BT$10:$BW$10, 0)
        ) * (1 - ($J$6 * 2)),
        IF(AND($F$22&gt;=0, OR($J$6=0, $J$6&gt;=0.05)),
            INDEX('aux antiguo'!$BT$11:$BW$15, 
                   MATCH($H7, 'aux antiguo'!$BS$11:$BS$15, 1), 
                   MATCH(W$17, 'aux antiguo'!$BT$10:$BW$10, 0)
            ) * (1 - $J$6),
            "No asegurable"
        )
    )
),"")
</f>
        <v>69.75</v>
      </c>
      <c r="X20" s="229">
        <f t="array" ref="X20">IFERROR(IF($H7="","",IF(OR($F$15=1,$F$15=2),IFERROR(IF($F$21&gt;=0,INDEX('aux antiguo'!$CF$2:$CI$8,MATCH($H7,'aux antiguo'!$CE$2:$CE$8,1),MATCH(X$17,'aux antiguo'!$CF$1:$CI$1,0))*(1-$J$6),"No asegurable"),""),IF($F$15&gt;=3,IFERROR(IF($F$21&gt;=0,INDEX('aux antiguo'!$CL$2:$CO$8, MATCH($H7, 'aux antiguo'!$CK$2:$CK$8, 1), MATCH(X$17, 'aux antiguo'!$CL$1:$CO$1, 0))*(1-$J$6),"No asegurable"),"")))),"")</f>
        <v>109.8</v>
      </c>
      <c r="Y20" s="229">
        <f t="array" ref="Y20">IF($F$15&gt;4,"No asegurable",IFERROR(IF($H7="","",IF($F$26&gt;=0,IFERROR(INDEX('aux antiguo'!$AF$2:$AI$8,MATCH($H7,'aux antiguo'!$AE$2:$AE$8,1),MATCH(Y$17,'aux antiguo'!$AF$1:$AI$1,0))*(1-$J$6),"No asegurable"),"No asegurable")),""))</f>
        <v>61.5</v>
      </c>
      <c r="Z20" s="229">
        <f t="array" ref="Z20">IF($F$15&gt;4,"No asegurable",IFERROR(IF($H7="","",IF($F$26&gt;=0,IFERROR(INDEX('aux antiguo'!$AL$2:$AO$8,MATCH($H7,'aux antiguo'!$AK$2:$AK$8,1),MATCH(Z$17,'aux antiguo'!$AL$1:$AO$1,0))*(1-$J$6),"No asegurable"),"No asegurable")),""))</f>
        <v>79.5</v>
      </c>
      <c r="AA20" s="74" t="str">
        <f t="array" ref="AA20">IF(F7="","",IF($F$15&lt;5,"No asegurable",IFERROR(IF($H7="","",IF($F$26&gt;=0,IFERROR(INDEX('aux antiguo'!$AR$2:$AU$8,MATCH($H7,'aux antiguo'!$AQ$2:$AQ$8,1),MATCH(AA$17,'aux antiguo'!$AR$1:$AU$1,0))*(1-$J$6),"No asegurable"),"No asegurable")),"")))</f>
        <v>No asegurable</v>
      </c>
      <c r="AB20" s="49" t="str">
        <f t="array" ref="AB20">IFERROR(IF(H7="","",IF($F$15&lt;5,"No asegurable",IFERROR(IF($H7="","",IF($F$26&gt;=0,IFERROR(INDEX('aux antiguo'!$AX$2:$BA$8,MATCH($H7,'aux antiguo'!$AW$2:$AW$8,1),MATCH(AB$17,'aux antiguo'!$AX$1:$BA$1,0))*(1-$J$6),"No asegurable"),"No asegurable")),""))),"")</f>
        <v>No asegurable</v>
      </c>
      <c r="AC20" s="48"/>
      <c r="AI20" s="109"/>
      <c r="AJ20" s="10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</row>
    <row r="21" ht="33.75" customHeight="1">
      <c r="B21" s="230" t="s">
        <v>338</v>
      </c>
      <c r="C21" s="231"/>
      <c r="D21" s="231"/>
      <c r="E21" s="231"/>
      <c r="F21" s="231">
        <f>IF(COUNTIF($H$6:$H$13,"&gt;69")&gt;0,IF(COUNTIF($H$6:$H$13,"&lt;60")&lt;3*COUNTIF($H$6:$H$13,"&gt;69"),-1,1),1)</f>
        <v>1</v>
      </c>
      <c r="G21" s="231"/>
      <c r="H21" s="232">
        <f>IFERROR(VLOOKUP("No Asegurable",V19:V26,1,0),0)</f>
        <v>0</v>
      </c>
      <c r="J21" s="231">
        <f t="shared" si="13"/>
        <v>1</v>
      </c>
      <c r="K21" s="116">
        <v>3.0</v>
      </c>
      <c r="L21" s="48"/>
      <c r="M21" s="228">
        <f t="array" ref="M21">IFERROR(IF($H8="","",IF($F$16&gt;=0,IFERROR(INDEX('aux antiguo'!$B$2:$E$4,MATCH($H8,'aux antiguo'!$A$2:$A$4,1),MATCH(M$17,'aux antiguo'!$B$1:$E$1,0)),"No asegurable"),"No asegurable")),"")</f>
        <v>22</v>
      </c>
      <c r="N21" s="228">
        <f t="array" ref="N21">IFERROR(IF($H8="","",IF($F$19&gt;=0,IFERROR(INDEX('aux antiguo'!$H$2:$K$8,MATCH($H8,'aux antiguo'!$G$2:$G$8,1),MATCH(N$17,'aux antiguo'!$H$1:$K$1,0))*(1-$J$6),"No asegurable"),"No asegurable")),"")</f>
        <v>40</v>
      </c>
      <c r="O21" s="228">
        <f t="array" ref="O21">IFERROR(IF($H8="", "", 
    IF(AND($F$24&gt;=0, OR($J$6=0.01, $J$6=0.02, $J$6=0.03, $J$6=0.04, $J$6=0.05)),
        INDEX('aux antiguo'!$DA$2:$DD$7, 
               MATCH($H8, 'aux antiguo'!$CZ$2:$CZ$7, 1), 
               MATCH(O$17, 'aux antiguo'!$DA$1:$DD$1, 0)
        ) * (1 - ($J$6 * 2)),
        IF(AND($F$24&gt;=0, OR($J$6=0, $J$6&gt;=0.05)),
            INDEX('aux antiguo'!$DA$2:$DD$7, 
                   MATCH($H8, 'aux antiguo'!$CZ$2:$CZ$7, 1), 
                   MATCH(O$17, 'aux antiguo'!$DA$1:$DD$1, 0)
            ) * (1 - $J$6),
            "No asegurable"
        )
    )
),"")
</f>
        <v>50</v>
      </c>
      <c r="P21" s="228">
        <f t="array" ref="P21">IFERROR(IF($H8="","",IF($F$20&gt;=0,IFERROR(INDEX('aux antiguo'!$N$2:$Q$8,MATCH($H8,'aux antiguo'!$M$2:$M$8,1),MATCH(P$17,'aux antiguo'!$N$1:$Q$1,0))*(1-$J$6),"No asegurable"),"No asegurable")),"")</f>
        <v>52</v>
      </c>
      <c r="Q21" s="228">
        <f t="array" ref="Q21">IFERROR(IF($H8="","",IF($F$20&gt;=0,IFERROR(INDEX('aux antiguo'!$T$2:$W$8,MATCH($H8,'aux antiguo'!$S$2:$S$8,1),MATCH(Q$17,'aux antiguo'!$T$1:$W$1,0))*(1-$J$6),"No asegurable"),"No asegurable")),"")</f>
        <v>64</v>
      </c>
      <c r="R21" s="228">
        <f t="array" ref="R21">IFERROR(IF($H8="", "", 
    IF(AND($F$24&gt;=0, OR($J$6=0.01, $J$6=0.02, $J$6=0.03, $J$6=0.04, $J$6=0.05)),
        INDEX('aux antiguo'!$Z$2:$AC$8, 
               MATCH($H8, 'aux antiguo'!$Y$2:$Y$8, 1), 
               MATCH(R$17, 'aux antiguo'!$Z$1:$AC$1, 0)
        ) * (1 - ($J$6 * 2)),
        IF(AND($F$24&gt;=0, OR($J$6=0, $J$6&gt;=0.05)),
            INDEX('aux antiguo'!$Z$2:$AC$8, 
                   MATCH($H8, 'aux antiguo'!$Y$2:$Y$8, 1), 
                   MATCH(R$17, 'aux antiguo'!$Z$1:$AC$1, 0)
            ) * (1 - $J$6),
            "No asegurable"
        )
    )
),"")
</f>
        <v>84</v>
      </c>
      <c r="S21" s="228">
        <f t="array" ref="S21">IFERROR(IF($H8="","",IF($F$25&gt;=0,IFERROR(INDEX('aux antiguo'!$CU$2:$CX$8,MATCH($H8,'aux antiguo'!$CT$2:$CT$8,1),MATCH(S$17,'aux antiguo'!$CU$1:$CX$1,0))*(1-$J$6),"No asegurable"),"No asegurable")),"")</f>
        <v>98</v>
      </c>
      <c r="T21" s="228" t="str">
        <f t="array" ref="T21">IFERROR(IF($H8="","",IF($F$17&gt;=0,IFERROR(INDEX('aux antiguo'!$BD$2:$BG$10,MATCH($H8,'aux antiguo'!$BC$2:$BC$10,1),MATCH(T$17,'aux antiguo'!$BD$1:$BG$1,0))*(1-$J$6),"No asegurable"),"No asegurable")),"")</f>
        <v>No asegurable</v>
      </c>
      <c r="U21" s="228" t="str">
        <f t="array" ref="U21">IFERROR(IF($H8="", "", 
    IF(AND($F$23&gt;=0, OR($J$6=0.01, $J$6=0.02, $J$6=0.03, $J$6=0.04, $J$6=0.05)),
        INDEX('aux antiguo'!$BJ$2:$BM$8, 
               MATCH($H8, 'aux antiguo'!$BI$2:$BI$8, 1), 
               MATCH(U$17, 'aux antiguo'!$BJ$1:$BM$1, 0)
        ) * (1 - ($J$6 * 2)),
        IF(AND($F$23&gt;=0, OR($J$6=0, $J$6&gt;=0.05)),
            INDEX('aux antiguo'!$BJ$2:$BM$8, 
                   MATCH($H8, 'aux antiguo'!$BI$2:$BI$8, 1), 
                   MATCH(U$17, 'aux antiguo'!$BJ$1:$BM$1, 0)
            ) * (1 - $J$6),
            "No asegurable"
        )
    )
),"")
</f>
        <v>No asegurable</v>
      </c>
      <c r="V21" s="228">
        <f t="array" ref="V21">IFERROR(IF($H8="","",IF($F$26&gt;=0,IFERROR(INDEX('aux antiguo'!$BZ$2:$CC$8,MATCH($H8,'aux antiguo'!$BY$2:$BY$8,1),MATCH(V$17,'aux antiguo'!$BZ$1:$CC$1,0))*(1-$J$6),"No asegurable"),"No asegurable")),"")</f>
        <v>58</v>
      </c>
      <c r="W21" s="228">
        <f t="array" ref="W21">IFERROR(IF($H8="", "", 
    IF(AND($F$22&gt;=0, OR($J$6=0.01, $J$6=0.02, $J$6=0.03, $J$6=0.04, $J$6=0.05)),
        INDEX('aux antiguo'!$BT$11:$BW$15, 
               MATCH($H8, 'aux antiguo'!$BS$11:$BS$15, 1), 
               MATCH(W$17, 'aux antiguo'!$BT$10:$BW$10, 0)
        ) * (1 - ($J$6 * 2)),
        IF(AND($F$22&gt;=0, OR($J$6=0, $J$6&gt;=0.05)),
            INDEX('aux antiguo'!$BT$11:$BW$15, 
                   MATCH($H8, 'aux antiguo'!$BS$11:$BS$15, 1), 
                   MATCH(W$17, 'aux antiguo'!$BT$10:$BW$10, 0)
            ) * (1 - $J$6),
            "No asegurable"
        )
    )
),"")
</f>
        <v>58.6</v>
      </c>
      <c r="X21" s="233">
        <f t="array" ref="X21">IFERROR(IF($H8="","",IF(OR($F$15=1,$F$15=2),IFERROR(IF($F$21&gt;=0,INDEX('aux antiguo'!$CF$2:$CI$8,MATCH($H8,'aux antiguo'!$CE$2:$CE$8,1),MATCH(X$17,'aux antiguo'!$CF$1:$CI$1,0))*(1-$J$6),"No asegurable"),""),IF($F$15&gt;=3,IFERROR(IF($F$21&gt;=0,INDEX('aux antiguo'!$CL$2:$CO$8, MATCH($H8, 'aux antiguo'!$CK$2:$CK$8, 1), MATCH(X$17, 'aux antiguo'!$CL$1:$CO$1, 0))*(1-$J$6),"No asegurable"),"")))),"")</f>
        <v>88.2</v>
      </c>
      <c r="Y21" s="229">
        <f t="array" ref="Y21">IF($F$15&gt;4,"No asegurable",IFERROR(IF($H8="","",IF($F$26&gt;=0,IFERROR(INDEX('aux antiguo'!$AF$2:$AI$8,MATCH($H8,'aux antiguo'!$AE$2:$AE$8,1),MATCH(Y$17,'aux antiguo'!$AF$1:$AI$1,0))*(1-$J$6),"No asegurable"),"No asegurable")),""))</f>
        <v>53</v>
      </c>
      <c r="Z21" s="229">
        <f t="array" ref="Z21">IF($F$15&gt;4,"No asegurable",IFERROR(IF($H8="","",IF($F$26&gt;=0,IFERROR(INDEX('aux antiguo'!$AL$2:$AO$8,MATCH($H8,'aux antiguo'!$AK$2:$AK$8,1),MATCH(Z$17,'aux antiguo'!$AL$1:$AO$1,0))*(1-$J$6),"No asegurable"),"No asegurable")),""))</f>
        <v>77</v>
      </c>
      <c r="AA21" s="74" t="str">
        <f t="array" ref="AA21">IF(F8="","",IF($F$15&lt;5,"No asegurable",IFERROR(IF($H8="","",IF($F$26&gt;=0,IFERROR(INDEX('aux antiguo'!$AR$2:$AU$8,MATCH($H8,'aux antiguo'!$AQ$2:$AQ$8,1),MATCH(AA$17,'aux antiguo'!$AR$1:$AU$1,0))*(1-$J$6),"No asegurable"),"No asegurable")),"")))</f>
        <v>No asegurable</v>
      </c>
      <c r="AB21" s="49" t="str">
        <f t="array" ref="AB21">IFERROR(IF(H8="","",IF($F$15&lt;5,"No asegurable",IFERROR(IF($H8="","",IF($F$26&gt;=0,IFERROR(INDEX('aux antiguo'!$AX$2:$BA$8,MATCH($H8,'aux antiguo'!$AW$2:$AW$8,1),MATCH(AB$17,'aux antiguo'!$AX$1:$BA$1,0))*(1-$J$6),"No asegurable"),"No asegurable")),""))),"")</f>
        <v>No asegurable</v>
      </c>
      <c r="AC21" s="9"/>
      <c r="AI21" s="109"/>
      <c r="AJ21" s="10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</row>
    <row r="22" ht="33.75" customHeight="1">
      <c r="B22" s="234" t="s">
        <v>339</v>
      </c>
      <c r="C22" s="123"/>
      <c r="D22" s="123"/>
      <c r="E22" s="123"/>
      <c r="F22" s="123">
        <f>IFERROR(IF(H6&gt;67,-3,IF(H6&gt;59,0,1)),0)+IFERROR(IF(H7&gt;67,-3,IF(H7&gt;59,0,1)),0)+IFERROR(IF(H8&gt;67,-3,IF(H8&gt;59,0,1)),0)++IFERROR(IF(H9&gt;67,-3,IF(H9&gt;59,0,1)),0)+IFERROR(IF(H10&gt;67,-3,IF(H10&gt;59,0,1)),0)+IFERROR(IF(H11&gt;67,-3,IF(H11&gt;59,0,1)),0)+IFERROR(IF(H12&gt;67,-3,IF(H12&gt;59,0,1)),0)+IFERROR(IF(H13&gt;67,-3,IF(H13&gt;59,0,1)),0)</f>
        <v>3</v>
      </c>
      <c r="G22" s="123"/>
      <c r="H22" s="217">
        <f>IFERROR(VLOOKUP("No Asegurable",$W$19:$W$26,1,0),0)</f>
        <v>0</v>
      </c>
      <c r="J22" s="123">
        <f>IF(COUNTIF($H$6:$H$13,"&gt;67")&gt;0,IF(COUNTIF($H$6:$H$13,"&lt;60")&lt;3*COUNTIF($H$6:$H$13,"&gt;67"),-1,1),1)</f>
        <v>1</v>
      </c>
      <c r="K22" s="116">
        <v>4.0</v>
      </c>
      <c r="L22" s="48"/>
      <c r="M22" s="228" t="str">
        <f t="array" ref="M22">IFERROR(IF($H9="","",IF($F$16&gt;=0,IFERROR(INDEX('aux antiguo'!$B$2:$E$4,MATCH($H9,'aux antiguo'!$A$2:$A$4,1),MATCH(M$17,'aux antiguo'!$B$1:$E$1,0)),"No asegurable"),"No asegurable")),"")</f>
        <v/>
      </c>
      <c r="N22" s="228" t="str">
        <f t="array" ref="N22">IFERROR(IF($H9="","",IF($F$19&gt;=0,IFERROR(INDEX('aux antiguo'!$H$2:$K$8,MATCH($H9,'aux antiguo'!$G$2:$G$8,1),MATCH(N$17,'aux antiguo'!$H$1:$K$1,0))*(1-$J$6),"No asegurable"),"No asegurable")),"")</f>
        <v/>
      </c>
      <c r="O22" s="228" t="str">
        <f t="array" ref="O22">IFERROR(IF($H9="", "", 
    IF(AND($F$24&gt;=0, OR($J$6=0.01, $J$6=0.02, $J$6=0.03, $J$6=0.04, $J$6=0.05)),
        INDEX('aux antiguo'!$DA$2:$DD$7, 
               MATCH($H9, 'aux antiguo'!$CZ$2:$CZ$7, 1), 
               MATCH(O$17, 'aux antiguo'!$DA$1:$DD$1, 0)
        ) * (1 - ($J$6 * 2)),
        IF(AND($F$24&gt;=0, OR($J$6=0, $J$6&gt;=0.05)),
            INDEX('aux antiguo'!$DA$2:$DD$7, 
                   MATCH($H9, 'aux antiguo'!$CZ$2:$CZ$7, 1), 
                   MATCH(O$17, 'aux antiguo'!$DA$1:$DD$1, 0)
            ) * (1 - $J$6),
            "No asegurable"
        )
    )
),"")
</f>
        <v/>
      </c>
      <c r="P22" s="228" t="str">
        <f t="array" ref="P22">IFERROR(IF($H9="","",IF($F$20&gt;=0,IFERROR(INDEX('aux antiguo'!$N$2:$Q$8,MATCH($H9,'aux antiguo'!$M$2:$M$8,1),MATCH(P$17,'aux antiguo'!$N$1:$Q$1,0))*(1-$J$6),"No asegurable"),"No asegurable")),"")</f>
        <v/>
      </c>
      <c r="Q22" s="228" t="str">
        <f t="array" ref="Q22">IFERROR(IF($H9="","",IF($F$20&gt;=0,IFERROR(INDEX('aux antiguo'!$T$2:$W$8,MATCH($H9,'aux antiguo'!$S$2:$S$8,1),MATCH(Q$17,'aux antiguo'!$T$1:$W$1,0))*(1-$J$6),"No asegurable"),"No asegurable")),"")</f>
        <v/>
      </c>
      <c r="R22" s="228" t="str">
        <f t="array" ref="R22">IFERROR(IF($H9="", "", 
    IF(AND($F$24&gt;=0, OR($J$6=0.01, $J$6=0.02, $J$6=0.03, $J$6=0.04, $J$6=0.05)),
        INDEX('aux antiguo'!$Z$2:$AC$8, 
               MATCH($H9, 'aux antiguo'!$Y$2:$Y$8, 1), 
               MATCH(R$17, 'aux antiguo'!$Z$1:$AC$1, 0)
        ) * (1 - ($J$6 * 2)),
        IF(AND($F$24&gt;=0, OR($J$6=0, $J$6&gt;=0.05)),
            INDEX('aux antiguo'!$Z$2:$AC$8, 
                   MATCH($H9, 'aux antiguo'!$Y$2:$Y$8, 1), 
                   MATCH(R$17, 'aux antiguo'!$Z$1:$AC$1, 0)
            ) * (1 - $J$6),
            "No asegurable"
        )
    )
),"")
</f>
        <v/>
      </c>
      <c r="S22" s="228" t="str">
        <f t="array" ref="S22">IFERROR(IF($H9="","",IF($F$25&gt;=0,IFERROR(INDEX('aux antiguo'!$CU$2:$CX$8,MATCH($H9,'aux antiguo'!$CT$2:$CT$8,1),MATCH(S$17,'aux antiguo'!$CU$1:$CX$1,0))*(1-$J$6),"No asegurable"),"No asegurable")),"")</f>
        <v/>
      </c>
      <c r="T22" s="228" t="str">
        <f t="array" ref="T22">IFERROR(IF($H9="","",IF($F$17&gt;=0,IFERROR(INDEX('aux antiguo'!$BD$2:$BG$10,MATCH($H9,'aux antiguo'!$BC$2:$BC$10,1),MATCH(T$17,'aux antiguo'!$BD$1:$BG$1,0))*(1-$J$6),"No asegurable"),"No asegurable")),"")</f>
        <v/>
      </c>
      <c r="U22" s="228" t="str">
        <f t="array" ref="U22">IFERROR(IF($H9="", "", 
    IF(AND($F$23&gt;=0, OR($J$6=0.01, $J$6=0.02, $J$6=0.03, $J$6=0.04, $J$6=0.05)),
        INDEX('aux antiguo'!$BJ$2:$BM$8, 
               MATCH($H9, 'aux antiguo'!$BI$2:$BI$8, 1), 
               MATCH(U$17, 'aux antiguo'!$BJ$1:$BM$1, 0)
        ) * (1 - ($J$6 * 2)),
        IF(AND($F$23&gt;=0, OR($J$6=0, $J$6&gt;=0.05)),
            INDEX('aux antiguo'!$BJ$2:$BM$8, 
                   MATCH($H9, 'aux antiguo'!$BI$2:$BI$8, 1), 
                   MATCH(U$17, 'aux antiguo'!$BJ$1:$BM$1, 0)
            ) * (1 - $J$6),
            "No asegurable"
        )
    )
),"")
</f>
        <v/>
      </c>
      <c r="V22" s="228" t="str">
        <f t="array" ref="V22">IFERROR(IF($H9="","",IF($F$26&gt;=0,IFERROR(INDEX('aux antiguo'!$BZ$2:$CC$8,MATCH($H9,'aux antiguo'!$BY$2:$BY$8,1),MATCH(V$17,'aux antiguo'!$BZ$1:$CC$1,0))*(1-$J$6),"No asegurable"),"No asegurable")),"")</f>
        <v/>
      </c>
      <c r="W22" s="228" t="str">
        <f t="array" ref="W22">IFERROR(IF($H9="", "", 
    IF(AND($F$22&gt;=0, OR($J$6=0.01, $J$6=0.02, $J$6=0.03, $J$6=0.04, $J$6=0.05)),
        INDEX('aux antiguo'!$BT$11:$BW$15, 
               MATCH($H9, 'aux antiguo'!$BS$11:$BS$15, 1), 
               MATCH(W$17, 'aux antiguo'!$BT$10:$BW$10, 0)
        ) * (1 - ($J$6 * 2)),
        IF(AND($F$22&gt;=0, OR($J$6=0, $J$6&gt;=0.05)),
            INDEX('aux antiguo'!$BT$11:$BW$15, 
                   MATCH($H9, 'aux antiguo'!$BS$11:$BS$15, 1), 
                   MATCH(W$17, 'aux antiguo'!$BT$10:$BW$10, 0)
            ) * (1 - $J$6),
            "No asegurable"
        )
    )
),"")
</f>
        <v/>
      </c>
      <c r="X22" s="229" t="str">
        <f t="array" ref="X22">IFERROR(IF($H9="","",IF(OR($F$15=1,$F$15=2),IFERROR(IF($F$21&gt;=0,INDEX('aux antiguo'!$CF$2:$CI$8,MATCH($H9,'aux antiguo'!$CE$2:$CE$8,1),MATCH(X$17,'aux antiguo'!$CF$1:$CI$1,0))*(1-$J$6),"No asegurable"),""),IF($F$15&gt;=3,IFERROR(IF($F$21&gt;=0,INDEX('aux antiguo'!$CL$2:$CO$8, MATCH($H9, 'aux antiguo'!$CK$2:$CK$8, 1), MATCH(X$17, 'aux antiguo'!$CL$1:$CO$1, 0))*(1-$J$6),"No asegurable"),"")))),"")</f>
        <v/>
      </c>
      <c r="Y22" s="229" t="str">
        <f t="array" ref="Y22">IF($F$15&gt;4,"No asegurable",IFERROR(IF($H9="","",IF($F$26&gt;=0,IFERROR(INDEX('aux antiguo'!$AF$2:$AI$8,MATCH($H9,'aux antiguo'!$AE$2:$AE$8,1),MATCH(Y$17,'aux antiguo'!$AF$1:$AI$1,0))*(1-$J$6),"No asegurable"),"No asegurable")),""))</f>
        <v/>
      </c>
      <c r="Z22" s="229" t="str">
        <f t="array" ref="Z22">IF($F$15&gt;4,"No asegurable",IFERROR(IF($H9="","",IF($F$26&gt;=0,IFERROR(INDEX('aux antiguo'!$AL$2:$AO$8,MATCH($H9,'aux antiguo'!$AK$2:$AK$8,1),MATCH(Z$17,'aux antiguo'!$AL$1:$AO$1,0))*(1-$J$6),"No asegurable"),"No asegurable")),""))</f>
        <v/>
      </c>
      <c r="AA22" s="74" t="str">
        <f t="array" ref="AA22">IF(F9="","",IF($F$15&lt;5,"No asegurable",IFERROR(IF($H9="","",IF($F$26&gt;=0,IFERROR(INDEX('aux antiguo'!$AR$2:$AU$8,MATCH($H9,'aux antiguo'!$AQ$2:$AQ$8,1),MATCH(AA$17,'aux antiguo'!$AR$1:$AU$1,0))*(1-$J$6),"No asegurable"),"No asegurable")),"")))</f>
        <v/>
      </c>
      <c r="AB22" s="49" t="str">
        <f t="array" ref="AB22">IFERROR(IF(H9="","",IF($F$15&lt;5,"No asegurable",IFERROR(IF($H9="","",IF($F$26&gt;=0,IFERROR(INDEX('aux antiguo'!$AX$2:$BA$8,MATCH($H9,'aux antiguo'!$AW$2:$AW$8,1),MATCH(AB$17,'aux antiguo'!$AX$1:$BA$1,0))*(1-$J$6),"No asegurable"),"No asegurable")),""))),"")</f>
        <v/>
      </c>
      <c r="AC22" s="48"/>
      <c r="AI22" s="109"/>
      <c r="AJ22" s="10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</row>
    <row r="23" ht="33.75" customHeight="1">
      <c r="B23" s="123" t="s">
        <v>340</v>
      </c>
      <c r="C23" s="123"/>
      <c r="D23" s="123"/>
      <c r="E23" s="123"/>
      <c r="F23" s="123">
        <f>IF(COUNTIF($H$6:$H$13,"&gt;84")&gt;0,-1,  
    IF(AND(AND(COUNTIF($H$6:$H$13,"&gt;=60"),COUNTIF($H$6:$H$13,"&lt;=62"))&gt;0,COUNTIF($H$6:$H$13,"&gt;=63")&gt;0,COUNTIF($H$6:$H$13,"&lt;60")=0),1,  
        -1))
</f>
        <v>-1</v>
      </c>
      <c r="G23" s="123"/>
      <c r="H23" s="217" t="str">
        <f>IFERROR(VLOOKUP("No Asegurable",$U$19:$U$26,1,0),0)</f>
        <v>No asegurable</v>
      </c>
      <c r="J23" s="123"/>
      <c r="K23" s="116">
        <v>5.0</v>
      </c>
      <c r="L23" s="48"/>
      <c r="M23" s="228" t="str">
        <f t="array" ref="M23">IFERROR(IF($H10="","",IF($F$16&gt;=0,IFERROR(INDEX('aux antiguo'!$B$2:$E$4,MATCH($H10,'aux antiguo'!$A$2:$A$4,1),MATCH(M$17,'aux antiguo'!$B$1:$E$1,0)),"No asegurable"),"No asegurable")),"")</f>
        <v/>
      </c>
      <c r="N23" s="228" t="str">
        <f t="array" ref="N23">IFERROR(IF($H10="","",IF($F$19&gt;=0,IFERROR(INDEX('aux antiguo'!$H$2:$K$8,MATCH($H10,'aux antiguo'!$G$2:$G$8,1),MATCH(N$17,'aux antiguo'!$H$1:$K$1,0))*(1-$J$6),"No asegurable"),"No asegurable")),"")</f>
        <v/>
      </c>
      <c r="O23" s="228" t="str">
        <f t="array" ref="O23">IFERROR(IF($H10="", "", 
    IF(AND($F$24&gt;=0, OR($J$6=0.01, $J$6=0.02, $J$6=0.03, $J$6=0.04, $J$6=0.05)),
        INDEX('aux antiguo'!$DA$2:$DD$7, 
               MATCH($H10, 'aux antiguo'!$CZ$2:$CZ$7, 1), 
               MATCH(O$17, 'aux antiguo'!$DA$1:$DD$1, 0)
        ) * (1 - ($J$6 * 2)),
        IF(AND($F$24&gt;=0, OR($J$6=0, $J$6&gt;=0.05)),
            INDEX('aux antiguo'!$DA$2:$DD$7, 
                   MATCH($H10, 'aux antiguo'!$CZ$2:$CZ$7, 1), 
                   MATCH(O$17, 'aux antiguo'!$DA$1:$DD$1, 0)
            ) * (1 - $J$6),
            "No asegurable"
        )
    )
),"")
</f>
        <v/>
      </c>
      <c r="P23" s="228" t="str">
        <f t="array" ref="P23">IFERROR(IF($H10="","",IF($F$20&gt;=0,IFERROR(INDEX('aux antiguo'!$N$2:$Q$8,MATCH($H10,'aux antiguo'!$M$2:$M$8,1),MATCH(P$17,'aux antiguo'!$N$1:$Q$1,0))*(1-$J$6),"No asegurable"),"No asegurable")),"")</f>
        <v/>
      </c>
      <c r="Q23" s="228" t="str">
        <f t="array" ref="Q23">IFERROR(IF($H10="","",IF($F$20&gt;=0,IFERROR(INDEX('aux antiguo'!$T$2:$W$8,MATCH($H10,'aux antiguo'!$S$2:$S$8,1),MATCH(Q$17,'aux antiguo'!$T$1:$W$1,0))*(1-$J$6),"No asegurable"),"No asegurable")),"")</f>
        <v/>
      </c>
      <c r="R23" s="228" t="str">
        <f t="array" ref="R23">IFERROR(IF($H10="", "", 
    IF(AND($F$24&gt;=0, OR($J$6=0.01, $J$6=0.02, $J$6=0.03, $J$6=0.04, $J$6=0.05)),
        INDEX('aux antiguo'!$Z$2:$AC$8, 
               MATCH($H10, 'aux antiguo'!$Y$2:$Y$8, 1), 
               MATCH(R$17, 'aux antiguo'!$Z$1:$AC$1, 0)
        ) * (1 - ($J$6 * 2)),
        IF(AND($F$24&gt;=0, OR($J$6=0, $J$6&gt;=0.05)),
            INDEX('aux antiguo'!$Z$2:$AC$8, 
                   MATCH($H10, 'aux antiguo'!$Y$2:$Y$8, 1), 
                   MATCH(R$17, 'aux antiguo'!$Z$1:$AC$1, 0)
            ) * (1 - $J$6),
            "No asegurable"
        )
    )
),"")
</f>
        <v/>
      </c>
      <c r="S23" s="228" t="str">
        <f t="array" ref="S23">IFERROR(IF($H10="","",IF($F$25&gt;=0,IFERROR(INDEX('aux antiguo'!$CU$2:$CX$8,MATCH($H10,'aux antiguo'!$CT$2:$CT$8,1),MATCH(S$17,'aux antiguo'!$CU$1:$CX$1,0))*(1-$J$6),"No asegurable"),"No asegurable")),"")</f>
        <v/>
      </c>
      <c r="T23" s="228" t="str">
        <f t="array" ref="T23">IFERROR(IF($H10="","",IF($F$17&gt;=0,IFERROR(INDEX('aux antiguo'!$BD$2:$BG$10,MATCH($H10,'aux antiguo'!$BC$2:$BC$10,1),MATCH(T$17,'aux antiguo'!$BD$1:$BG$1,0))*(1-$J$6),"No asegurable"),"No asegurable")),"")</f>
        <v/>
      </c>
      <c r="U23" s="228" t="str">
        <f t="array" ref="U23">IFERROR(IF($H10="", "", 
    IF(AND($F$23&gt;=0, OR($J$6=0.01, $J$6=0.02, $J$6=0.03, $J$6=0.04, $J$6=0.05)),
        INDEX('aux antiguo'!$BJ$2:$BM$8, 
               MATCH($H10, 'aux antiguo'!$BI$2:$BI$8, 1), 
               MATCH(U$17, 'aux antiguo'!$BJ$1:$BM$1, 0)
        ) * (1 - ($J$6 * 2)),
        IF(AND($F$23&gt;=0, OR($J$6=0, $J$6&gt;=0.05)),
            INDEX('aux antiguo'!$BJ$2:$BM$8, 
                   MATCH($H10, 'aux antiguo'!$BI$2:$BI$8, 1), 
                   MATCH(U$17, 'aux antiguo'!$BJ$1:$BM$1, 0)
            ) * (1 - $J$6),
            "No asegurable"
        )
    )
),"")
</f>
        <v/>
      </c>
      <c r="V23" s="228" t="str">
        <f t="array" ref="V23">IFERROR(IF($H10="","",IF($F$26&gt;=0,IFERROR(INDEX('aux antiguo'!$BZ$2:$CC$8,MATCH($H10,'aux antiguo'!$BY$2:$BY$8,1),MATCH(V$17,'aux antiguo'!$BZ$1:$CC$1,0))*(1-$J$6),"No asegurable"),"No asegurable")),"")</f>
        <v/>
      </c>
      <c r="W23" s="228" t="str">
        <f t="array" ref="W23">IFERROR(IF($H10="", "", 
    IF(AND($F$22&gt;=0, OR($J$6=0.01, $J$6=0.02, $J$6=0.03, $J$6=0.04, $J$6=0.05)),
        INDEX('aux antiguo'!$BT$11:$BW$15, 
               MATCH($H10, 'aux antiguo'!$BS$11:$BS$15, 1), 
               MATCH(W$17, 'aux antiguo'!$BT$10:$BW$10, 0)
        ) * (1 - ($J$6 * 2)),
        IF(AND($F$22&gt;=0, OR($J$6=0, $J$6&gt;=0.05)),
            INDEX('aux antiguo'!$BT$11:$BW$15, 
                   MATCH($H10, 'aux antiguo'!$BS$11:$BS$15, 1), 
                   MATCH(W$17, 'aux antiguo'!$BT$10:$BW$10, 0)
            ) * (1 - $J$6),
            "No asegurable"
        )
    )
),"")
</f>
        <v/>
      </c>
      <c r="X23" s="229" t="str">
        <f t="array" ref="X23">IFERROR(IF($H10="","",IF(OR($F$15=1,$F$15=2),IFERROR(IF($F$21&gt;=0,INDEX('aux antiguo'!$CF$2:$CI$8,MATCH($H10,'aux antiguo'!$CE$2:$CE$8,1),MATCH(X$17,'aux antiguo'!$CF$1:$CI$1,0))*(1-$J$6),"No asegurable"),""),IF($F$15&gt;=3,IFERROR(IF($F$21&gt;=0,INDEX('aux antiguo'!$CL$2:$CO$8, MATCH($H10, 'aux antiguo'!$CK$2:$CK$8, 1), MATCH(X$17, 'aux antiguo'!$CL$1:$CO$1, 0))*(1-$J$6),"No asegurable"),"")))),"")</f>
        <v/>
      </c>
      <c r="Y23" s="229" t="str">
        <f t="array" ref="Y23">IF($F$15&gt;4,"No asegurable",IFERROR(IF($H10="","",IF($F$26&gt;=0,IFERROR(INDEX('aux antiguo'!$AF$2:$AI$8,MATCH($H10,'aux antiguo'!$AE$2:$AE$8,1),MATCH(Y$17,'aux antiguo'!$AF$1:$AI$1,0))*(1-$J$6),"No asegurable"),"No asegurable")),""))</f>
        <v/>
      </c>
      <c r="Z23" s="229" t="str">
        <f t="array" ref="Z23">IF($F$15&gt;4,"No asegurable",IFERROR(IF($H10="","",IF($F$26&gt;=0,IFERROR(INDEX('aux antiguo'!$AL$2:$AO$8,MATCH($H10,'aux antiguo'!$AK$2:$AK$8,1),MATCH(Z$17,'aux antiguo'!$AL$1:$AO$1,0))*(1-$J$6),"No asegurable"),"No asegurable")),""))</f>
        <v/>
      </c>
      <c r="AA23" s="74" t="str">
        <f t="array" ref="AA23">IF(F10="","",IF($F$15&lt;5,"No asegurable",IFERROR(IF($H10="","",IF($F$26&gt;=0,IFERROR(INDEX('aux antiguo'!$AR$2:$AU$8,MATCH($H10,'aux antiguo'!$AQ$2:$AQ$8,1),MATCH(AA$17,'aux antiguo'!$AR$1:$AU$1,0))*(1-$J$6),"No asegurable"),"No asegurable")),"")))</f>
        <v/>
      </c>
      <c r="AB23" s="49" t="str">
        <f t="array" ref="AB23">IFERROR(IF(H10="","",IF($F$15&lt;5,"No asegurable",IFERROR(IF($H10="","",IF($F$26&gt;=0,IFERROR(INDEX('aux antiguo'!$AX$2:$BA$8,MATCH($H10,'aux antiguo'!$AW$2:$AW$8,1),MATCH(AB$17,'aux antiguo'!$AX$1:$BA$1,0))*(1-$J$6),"No asegurable"),"No asegurable")),""))),"")</f>
        <v/>
      </c>
      <c r="AI23" s="109"/>
      <c r="AJ23" s="10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</row>
    <row r="24" ht="32.25" customHeight="1">
      <c r="B24" s="234" t="s">
        <v>341</v>
      </c>
      <c r="C24" s="123"/>
      <c r="D24" s="123"/>
      <c r="E24" s="123"/>
      <c r="F24" s="123">
        <f>IF(COUNTIF($H$6:$H$13,"&gt;62")&gt;0,IF(COUNTIF($H$6:$H$13,"&lt;60")&lt;3*COUNTIF($H$6:$H$13,"&gt;62"),-1,1),1)</f>
        <v>1</v>
      </c>
      <c r="G24" s="123"/>
      <c r="H24" s="217">
        <f>IFERROR(VLOOKUP("No Asegurable",$R$19:$R$26,1,0),0)</f>
        <v>0</v>
      </c>
      <c r="J24" s="123">
        <f>IF(COUNTIF($H$6:$H$13,"&gt;62")&gt;0,IF(COUNTIF($H$6:$H$13,"&lt;60")&lt;3*COUNTIF($H$6:$H$13,"&gt;62"),-1,1),1)</f>
        <v>1</v>
      </c>
      <c r="K24" s="116">
        <v>6.0</v>
      </c>
      <c r="L24" s="48"/>
      <c r="M24" s="228" t="str">
        <f t="array" ref="M24">IFERROR(IF($H11="","",IF($F$16&gt;=0,IFERROR(INDEX('aux antiguo'!$B$2:$E$4,MATCH($H11,'aux antiguo'!$A$2:$A$4,1),MATCH(M$17,'aux antiguo'!$B$1:$E$1,0)),"No asegurable"),"No asegurable")),"")</f>
        <v/>
      </c>
      <c r="N24" s="228" t="str">
        <f t="array" ref="N24">IFERROR(IF($H11="","",IF($F$19&gt;=0,IFERROR(INDEX('aux antiguo'!$H$2:$K$8,MATCH($H11,'aux antiguo'!$G$2:$G$8,1),MATCH(N$17,'aux antiguo'!$H$1:$K$1,0))*(1-$J$6),"No asegurable"),"No asegurable")),"")</f>
        <v/>
      </c>
      <c r="O24" s="228" t="str">
        <f t="array" ref="O24">IFERROR(IF($H11="", "", 
    IF(AND($F$24&gt;=0, OR($J$6=0.01, $J$6=0.02, $J$6=0.03, $J$6=0.04, $J$6=0.05)),
        INDEX('aux antiguo'!$DA$2:$DD$7, 
               MATCH($H11, 'aux antiguo'!$CZ$2:$CZ$7, 1), 
               MATCH(O$17, 'aux antiguo'!$DA$1:$DD$1, 0)
        ) * (1 - ($J$6 * 2)),
        IF(AND($F$24&gt;=0, OR($J$6=0, $J$6&gt;=0.05)),
            INDEX('aux antiguo'!$DA$2:$DD$7, 
                   MATCH($H11, 'aux antiguo'!$CZ$2:$CZ$7, 1), 
                   MATCH(O$17, 'aux antiguo'!$DA$1:$DD$1, 0)
            ) * (1 - $J$6),
            "No asegurable"
        )
    )
),"")
</f>
        <v/>
      </c>
      <c r="P24" s="228" t="str">
        <f t="array" ref="P24">IFERROR(IF($H11="","",IF($F$20&gt;=0,IFERROR(INDEX('aux antiguo'!$N$2:$Q$8,MATCH($H11,'aux antiguo'!$M$2:$M$8,1),MATCH(P$17,'aux antiguo'!$N$1:$Q$1,0))*(1-$J$6),"No asegurable"),"No asegurable")),"")</f>
        <v/>
      </c>
      <c r="Q24" s="228" t="str">
        <f t="array" ref="Q24">IFERROR(IF($H11="","",IF($F$20&gt;=0,IFERROR(INDEX('aux antiguo'!$T$2:$W$8,MATCH($H11,'aux antiguo'!$S$2:$S$8,1),MATCH(Q$17,'aux antiguo'!$T$1:$W$1,0))*(1-$J$6),"No asegurable"),"No asegurable")),"")</f>
        <v/>
      </c>
      <c r="R24" s="228" t="str">
        <f t="array" ref="R24">IFERROR(IF($H11="", "", 
    IF(AND($F$24&gt;=0, OR($J$6=0.01, $J$6=0.02, $J$6=0.03, $J$6=0.04, $J$6=0.05)),
        INDEX('aux antiguo'!$Z$2:$AC$8, 
               MATCH($H11, 'aux antiguo'!$Y$2:$Y$8, 1), 
               MATCH(R$17, 'aux antiguo'!$Z$1:$AC$1, 0)
        ) * (1 - ($J$6 * 2)),
        IF(AND($F$24&gt;=0, OR($J$6=0, $J$6&gt;=0.05)),
            INDEX('aux antiguo'!$Z$2:$AC$8, 
                   MATCH($H11, 'aux antiguo'!$Y$2:$Y$8, 1), 
                   MATCH(R$17, 'aux antiguo'!$Z$1:$AC$1, 0)
            ) * (1 - $J$6),
            "No asegurable"
        )
    )
),"")
</f>
        <v/>
      </c>
      <c r="S24" s="228" t="str">
        <f t="array" ref="S24">IFERROR(IF($H11="","",IF($F$25&gt;=0,IFERROR(INDEX('aux antiguo'!$CU$2:$CX$8,MATCH($H11,'aux antiguo'!$CT$2:$CT$8,1),MATCH(S$17,'aux antiguo'!$CU$1:$CX$1,0))*(1-$J$6),"No asegurable"),"No asegurable")),"")</f>
        <v/>
      </c>
      <c r="T24" s="228" t="str">
        <f t="array" ref="T24">IFERROR(IF($H11="","",IF($F$17&gt;=0,IFERROR(INDEX('aux antiguo'!$BD$2:$BG$10,MATCH($H11,'aux antiguo'!$BC$2:$BC$10,1),MATCH(T$17,'aux antiguo'!$BD$1:$BG$1,0))*(1-$J$6),"No asegurable"),"No asegurable")),"")</f>
        <v/>
      </c>
      <c r="U24" s="228" t="str">
        <f t="array" ref="U24">IFERROR(IF($H11="", "", 
    IF(AND($F$23&gt;=0, OR($J$6=0.01, $J$6=0.02, $J$6=0.03, $J$6=0.04, $J$6=0.05)),
        INDEX('aux antiguo'!$BJ$2:$BM$8, 
               MATCH($H11, 'aux antiguo'!$BI$2:$BI$8, 1), 
               MATCH(U$17, 'aux antiguo'!$BJ$1:$BM$1, 0)
        ) * (1 - ($J$6 * 2)),
        IF(AND($F$23&gt;=0, OR($J$6=0, $J$6&gt;=0.05)),
            INDEX('aux antiguo'!$BJ$2:$BM$8, 
                   MATCH($H11, 'aux antiguo'!$BI$2:$BI$8, 1), 
                   MATCH(U$17, 'aux antiguo'!$BJ$1:$BM$1, 0)
            ) * (1 - $J$6),
            "No asegurable"
        )
    )
),"")
</f>
        <v/>
      </c>
      <c r="V24" s="228" t="str">
        <f t="array" ref="V24">IFERROR(IF($H11="","",IF($F$26&gt;=0,IFERROR(INDEX('aux antiguo'!$BZ$2:$CC$8,MATCH($H11,'aux antiguo'!$BY$2:$BY$8,1),MATCH(V$17,'aux antiguo'!$BZ$1:$CC$1,0))*(1-$J$6),"No asegurable"),"No asegurable")),"")</f>
        <v/>
      </c>
      <c r="W24" s="228" t="str">
        <f t="array" ref="W24">IFERROR(IF($H11="", "", 
    IF(AND($F$22&gt;=0, OR($J$6=0.01, $J$6=0.02, $J$6=0.03, $J$6=0.04, $J$6=0.05)),
        INDEX('aux antiguo'!$BT$11:$BW$15, 
               MATCH($H11, 'aux antiguo'!$BS$11:$BS$15, 1), 
               MATCH(W$17, 'aux antiguo'!$BT$10:$BW$10, 0)
        ) * (1 - ($J$6 * 2)),
        IF(AND($F$22&gt;=0, OR($J$6=0, $J$6&gt;=0.05)),
            INDEX('aux antiguo'!$BT$11:$BW$15, 
                   MATCH($H11, 'aux antiguo'!$BS$11:$BS$15, 1), 
                   MATCH(W$17, 'aux antiguo'!$BT$10:$BW$10, 0)
            ) * (1 - $J$6),
            "No asegurable"
        )
    )
),"")
</f>
        <v/>
      </c>
      <c r="X24" s="229" t="str">
        <f t="array" ref="X24">IFERROR(IF($H11="","",IF(OR($F$15=1,$F$15=2),IFERROR(IF($F$21&gt;=0,INDEX('aux antiguo'!$CF$2:$CI$8,MATCH($H11,'aux antiguo'!$CE$2:$CE$8,1),MATCH(X$17,'aux antiguo'!$CF$1:$CI$1,0))*(1-$J$6),"No asegurable"),""),IF($F$15&gt;=3,IFERROR(IF($F$21&gt;=0,INDEX('aux antiguo'!$CL$2:$CO$8, MATCH($H11, 'aux antiguo'!$CK$2:$CK$8, 1), MATCH(X$17, 'aux antiguo'!$CL$1:$CO$1, 0))*(1-$J$6),"No asegurable"),"")))),"")</f>
        <v/>
      </c>
      <c r="Y24" s="229" t="str">
        <f t="array" ref="Y24">IF($F$15&gt;4,"No asegurable",IFERROR(IF($H11="","",IF($F$26&gt;=0,IFERROR(INDEX('aux antiguo'!$AF$2:$AI$8,MATCH($H11,'aux antiguo'!$AE$2:$AE$8,1),MATCH(Y$17,'aux antiguo'!$AF$1:$AI$1,0))*(1-$J$6),"No asegurable"),"No asegurable")),""))</f>
        <v/>
      </c>
      <c r="Z24" s="229" t="str">
        <f t="array" ref="Z24">IF($F$15&gt;4,"No asegurable",IFERROR(IF($H11="","",IF($F$26&gt;=0,IFERROR(INDEX('aux antiguo'!$AL$2:$AO$8,MATCH($H11,'aux antiguo'!$AK$2:$AK$8,1),MATCH(Z$17,'aux antiguo'!$AL$1:$AO$1,0))*(1-$J$6),"No asegurable"),"No asegurable")),""))</f>
        <v/>
      </c>
      <c r="AA24" s="74" t="str">
        <f t="array" ref="AA24">IF(F11="","",IF($F$15&lt;5,"No asegurable",IFERROR(IF($H11="","",IF($F$26&gt;=0,IFERROR(INDEX('aux antiguo'!$AR$2:$AU$8,MATCH($H11,'aux antiguo'!$AQ$2:$AQ$8,1),MATCH(AA$17,'aux antiguo'!$AR$1:$AU$1,0))*(1-$J$6),"No asegurable"),"No asegurable")),"")))</f>
        <v/>
      </c>
      <c r="AB24" s="49" t="str">
        <f t="array" ref="AB24">IFERROR(IF(H11="","",IF($F$15&lt;5,"No asegurable",IFERROR(IF($H11="","",IF($F$26&gt;=0,IFERROR(INDEX('aux antiguo'!$AX$2:$BA$8,MATCH($H11,'aux antiguo'!$AW$2:$AW$8,1),MATCH(AB$17,'aux antiguo'!$AX$1:$BA$1,0))*(1-$J$6),"No asegurable"),"No asegurable")),""))),"")</f>
        <v/>
      </c>
      <c r="AI24" s="109"/>
      <c r="AJ24" s="10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</row>
    <row r="25" ht="32.25" customHeight="1">
      <c r="B25" s="234" t="s">
        <v>342</v>
      </c>
      <c r="C25" s="123"/>
      <c r="D25" s="123"/>
      <c r="E25" s="123"/>
      <c r="F25" s="123">
        <f>IF(COUNTIF($H$6:$H$13,"&gt;64")&gt;0,IF(COUNTIF($H$6:$H$13,"&lt;60")&lt;3*COUNTIF($H$6:$H$13,"&gt;64"),-1,1),1)</f>
        <v>1</v>
      </c>
      <c r="G25" s="123"/>
      <c r="H25" s="217">
        <f>IFERROR(VLOOKUP("No Asegurable",$S$19:$S$26,1,0),0)</f>
        <v>0</v>
      </c>
      <c r="J25" s="123"/>
      <c r="K25" s="116">
        <v>7.0</v>
      </c>
      <c r="L25" s="48"/>
      <c r="M25" s="228" t="str">
        <f t="array" ref="M25">IFERROR(IF($H12="","",IF($F$16&gt;=0,IFERROR(INDEX('aux antiguo'!$B$2:$E$4,MATCH($H12,'aux antiguo'!$A$2:$A$4,1),MATCH(M$17,'aux antiguo'!$B$1:$E$1,0)),"No asegurable"),"No asegurable")),"")</f>
        <v/>
      </c>
      <c r="N25" s="228" t="str">
        <f t="array" ref="N25">IFERROR(IF($H12="","",IF($F$19&gt;=0,IFERROR(INDEX('aux antiguo'!$H$2:$K$8,MATCH($H12,'aux antiguo'!$G$2:$G$8,1),MATCH(N$17,'aux antiguo'!$H$1:$K$1,0))*(1-$J$6),"No asegurable"),"No asegurable")),"")</f>
        <v/>
      </c>
      <c r="O25" s="228" t="str">
        <f t="array" ref="O25">IFERROR(IF($H12="", "", 
    IF(AND($F$24&gt;=0, OR($J$6=0.01, $J$6=0.02, $J$6=0.03, $J$6=0.04, $J$6=0.05)),
        INDEX('aux antiguo'!$DA$2:$DD$7, 
               MATCH($H12, 'aux antiguo'!$CZ$2:$CZ$7, 1), 
               MATCH(O$17, 'aux antiguo'!$DA$1:$DD$1, 0)
        ) * (1 - ($J$6 * 2)),
        IF(AND($F$24&gt;=0, OR($J$6=0, $J$6&gt;=0.05)),
            INDEX('aux antiguo'!$DA$2:$DD$7, 
                   MATCH($H12, 'aux antiguo'!$CZ$2:$CZ$7, 1), 
                   MATCH(O$17, 'aux antiguo'!$DA$1:$DD$1, 0)
            ) * (1 - $J$6),
            "No asegurable"
        )
    )
),"")
</f>
        <v/>
      </c>
      <c r="P25" s="228" t="str">
        <f t="array" ref="P25">IFERROR(IF($H12="","",IF($F$20&gt;=0,IFERROR(INDEX('aux antiguo'!$N$2:$Q$8,MATCH($H12,'aux antiguo'!$M$2:$M$8,1),MATCH(P$17,'aux antiguo'!$N$1:$Q$1,0))*(1-$J$6),"No asegurable"),"No asegurable")),"")</f>
        <v/>
      </c>
      <c r="Q25" s="228" t="str">
        <f t="array" ref="Q25">IFERROR(IF($H12="","",IF($F$20&gt;=0,IFERROR(INDEX('aux antiguo'!$T$2:$W$8,MATCH($H12,'aux antiguo'!$S$2:$S$8,1),MATCH(Q$17,'aux antiguo'!$T$1:$W$1,0))*(1-$J$6),"No asegurable"),"No asegurable")),"")</f>
        <v/>
      </c>
      <c r="R25" s="228" t="str">
        <f t="array" ref="R25">IFERROR(IF($H12="", "", 
    IF(AND($F$24&gt;=0, OR($J$6=0.01, $J$6=0.02, $J$6=0.03, $J$6=0.04, $J$6=0.05)),
        INDEX('aux antiguo'!$Z$2:$AC$8, 
               MATCH($H12, 'aux antiguo'!$Y$2:$Y$8, 1), 
               MATCH(R$17, 'aux antiguo'!$Z$1:$AC$1, 0)
        ) * (1 - ($J$6 * 2)),
        IF(AND($F$24&gt;=0, OR($J$6=0, $J$6&gt;=0.05)),
            INDEX('aux antiguo'!$Z$2:$AC$8, 
                   MATCH($H12, 'aux antiguo'!$Y$2:$Y$8, 1), 
                   MATCH(R$17, 'aux antiguo'!$Z$1:$AC$1, 0)
            ) * (1 - $J$6),
            "No asegurable"
        )
    )
),"")
</f>
        <v/>
      </c>
      <c r="S25" s="228" t="str">
        <f t="array" ref="S25">IFERROR(IF($H12="","",IF($F$25&gt;=0,IFERROR(INDEX('aux antiguo'!$CU$2:$CX$8,MATCH($H12,'aux antiguo'!$CT$2:$CT$8,1),MATCH(S$17,'aux antiguo'!$CU$1:$CX$1,0))*(1-$J$6),"No asegurable"),"No asegurable")),"")</f>
        <v/>
      </c>
      <c r="T25" s="228" t="str">
        <f t="array" ref="T25">IFERROR(IF($H12="","",IF($F$17&gt;=0,IFERROR(INDEX('aux antiguo'!$BD$2:$BG$10,MATCH($H12,'aux antiguo'!$BC$2:$BC$10,1),MATCH(T$17,'aux antiguo'!$BD$1:$BG$1,0))*(1-$J$6),"No asegurable"),"No asegurable")),"")</f>
        <v/>
      </c>
      <c r="U25" s="228" t="str">
        <f t="array" ref="U25">IFERROR(IF($H12="", "", 
    IF(AND($F$23&gt;=0, OR($J$6=0.01, $J$6=0.02, $J$6=0.03, $J$6=0.04, $J$6=0.05)),
        INDEX('aux antiguo'!$BJ$2:$BM$8, 
               MATCH($H12, 'aux antiguo'!$BI$2:$BI$8, 1), 
               MATCH(U$17, 'aux antiguo'!$BJ$1:$BM$1, 0)
        ) * (1 - ($J$6 * 2)),
        IF(AND($F$23&gt;=0, OR($J$6=0, $J$6&gt;=0.05)),
            INDEX('aux antiguo'!$BJ$2:$BM$8, 
                   MATCH($H12, 'aux antiguo'!$BI$2:$BI$8, 1), 
                   MATCH(U$17, 'aux antiguo'!$BJ$1:$BM$1, 0)
            ) * (1 - $J$6),
            "No asegurable"
        )
    )
),"")
</f>
        <v/>
      </c>
      <c r="V25" s="228" t="str">
        <f t="array" ref="V25">IFERROR(IF($H12="","",IF($F$26&gt;=0,IFERROR(INDEX('aux antiguo'!$BZ$2:$CC$8,MATCH($H12,'aux antiguo'!$BY$2:$BY$8,1),MATCH(V$17,'aux antiguo'!$BZ$1:$CC$1,0))*(1-$J$6),"No asegurable"),"No asegurable")),"")</f>
        <v/>
      </c>
      <c r="W25" s="228" t="str">
        <f t="array" ref="W25">IFERROR(IF($H12="", "", 
    IF(AND($F$22&gt;=0, OR($J$6=0.01, $J$6=0.02, $J$6=0.03, $J$6=0.04, $J$6=0.05)),
        INDEX('aux antiguo'!$BT$11:$BW$15, 
               MATCH($H12, 'aux antiguo'!$BS$11:$BS$15, 1), 
               MATCH(W$17, 'aux antiguo'!$BT$10:$BW$10, 0)
        ) * (1 - ($J$6 * 2)),
        IF(AND($F$22&gt;=0, OR($J$6=0, $J$6&gt;=0.05)),
            INDEX('aux antiguo'!$BT$11:$BW$15, 
                   MATCH($H12, 'aux antiguo'!$BS$11:$BS$15, 1), 
                   MATCH(W$17, 'aux antiguo'!$BT$10:$BW$10, 0)
            ) * (1 - $J$6),
            "No asegurable"
        )
    )
),"")
</f>
        <v/>
      </c>
      <c r="X25" s="229" t="str">
        <f t="array" ref="X25">IFERROR(IF($H12="","",IF(OR($F$15=1,$F$15=2),IFERROR(IF($F$21&gt;=0,INDEX('aux antiguo'!$CF$2:$CI$8,MATCH($H12,'aux antiguo'!$CE$2:$CE$8,1),MATCH(X$17,'aux antiguo'!$CF$1:$CI$1,0))*(1-$J$6),"No asegurable"),""),IF($F$15&gt;=3,IFERROR(IF($F$21&gt;=0,INDEX('aux antiguo'!$CL$2:$CO$8, MATCH($H12, 'aux antiguo'!$CK$2:$CK$8, 1), MATCH(X$17, 'aux antiguo'!$CL$1:$CO$1, 0))*(1-$J$6),"No asegurable"),"")))),"")</f>
        <v/>
      </c>
      <c r="Y25" s="229" t="str">
        <f t="array" ref="Y25">IF($F$15&gt;4,"No asegurable",IFERROR(IF($H12="","",IF($F$26&gt;=0,IFERROR(INDEX('aux antiguo'!$AF$2:$AI$8,MATCH($H12,'aux antiguo'!$AE$2:$AE$8,1),MATCH(Y$17,'aux antiguo'!$AF$1:$AI$1,0))*(1-$J$6),"No asegurable"),"No asegurable")),""))</f>
        <v/>
      </c>
      <c r="Z25" s="229" t="str">
        <f t="array" ref="Z25">IF($F$15&gt;4,"No asegurable",IFERROR(IF($H12="","",IF($F$26&gt;=0,IFERROR(INDEX('aux antiguo'!$AL$2:$AO$8,MATCH($H12,'aux antiguo'!$AK$2:$AK$8,1),MATCH(Z$17,'aux antiguo'!$AL$1:$AO$1,0))*(1-$J$6),"No asegurable"),"No asegurable")),""))</f>
        <v/>
      </c>
      <c r="AA25" s="74" t="str">
        <f t="array" ref="AA25">IF(F12="","",IF($F$15&lt;5,"No asegurable",IFERROR(IF($H12="","",IF($F$26&gt;=0,IFERROR(INDEX('aux antiguo'!$AR$2:$AU$8,MATCH($H12,'aux antiguo'!$AQ$2:$AQ$8,1),MATCH(AA$17,'aux antiguo'!$AR$1:$AU$1,0))*(1-$J$6),"No asegurable"),"No asegurable")),"")))</f>
        <v/>
      </c>
      <c r="AB25" s="49" t="str">
        <f t="array" ref="AB25">IFERROR(IF(H12="","",IF($F$15&lt;5,"No asegurable",IFERROR(IF($H12="","",IF($F$26&gt;=0,IFERROR(INDEX('aux antiguo'!$AX$2:$BA$8,MATCH($H12,'aux antiguo'!$AW$2:$AW$8,1),MATCH(AB$17,'aux antiguo'!$AX$1:$BA$1,0))*(1-$J$6),"No asegurable"),"No asegurable")),""))),"")</f>
        <v/>
      </c>
      <c r="AI25" s="109"/>
      <c r="AJ25" s="10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</row>
    <row r="26" ht="32.25" customHeight="1">
      <c r="B26" s="227" t="s">
        <v>338</v>
      </c>
      <c r="C26" s="123"/>
      <c r="D26" s="123"/>
      <c r="E26" s="123"/>
      <c r="F26" s="123">
        <f>IF(COUNTIF($H$6:$H$13,"&gt;69")&gt;0,IF(COUNTIF($H$6:$H$13,"&lt;60")&lt;3*COUNTIF($H$6:$H$13,"&gt;69"),-1,1),1)</f>
        <v>1</v>
      </c>
      <c r="G26" s="123"/>
      <c r="H26" s="217">
        <f>IFERROR(VLOOKUP("No Asegurable",$V$19:$V$26,1,0),0)</f>
        <v>0</v>
      </c>
      <c r="J26" s="123">
        <f t="shared" ref="J26:J27" si="14">IF(COUNTIF($H$6:$H$13,"&gt;67")&gt;0,IF(COUNTIF($H$6:$H$13,"&lt;60")&lt;3*COUNTIF($H$6:$H$13,"&gt;67"),-1,1),1)</f>
        <v>1</v>
      </c>
      <c r="K26" s="126">
        <v>8.0</v>
      </c>
      <c r="L26" s="128"/>
      <c r="M26" s="235" t="str">
        <f t="array" ref="M26">IFERROR(IF($H13="","",IF($F$16&gt;=0,IFERROR(INDEX('aux antiguo'!$B$2:$E$4,MATCH($H13,'aux antiguo'!$A$2:$A$4,1),MATCH(M$17,'aux antiguo'!$B$1:$E$1,0)),"No asegurable"),"No asegurable")),"")</f>
        <v/>
      </c>
      <c r="N26" s="235" t="str">
        <f t="array" ref="N26">IFERROR(IF($H13="","",IF($F$19&gt;=0,IFERROR(INDEX('aux antiguo'!$H$2:$K$8,MATCH($H13,'aux antiguo'!$G$2:$G$8,1),MATCH(N$17,'aux antiguo'!$H$1:$K$1,0))*(1-$J$6),"No asegurable"),"No asegurable")),"")</f>
        <v/>
      </c>
      <c r="O26" s="235" t="str">
        <f t="array" ref="O26">IFERROR(IF($H13="", "", 
    IF(AND($F$24&gt;=0, OR($J$6=0.01, $J$6=0.02, $J$6=0.03, $J$6=0.04, $J$6=0.05)),
        INDEX('aux antiguo'!$DA$2:$DD$7, 
               MATCH($H13, 'aux antiguo'!$CZ$2:$CZ$7, 1), 
               MATCH(O$17, 'aux antiguo'!$DA$1:$DD$1, 0)
        ) * (1 - ($J$6 * 2)),
        IF(AND($F$24&gt;=0, OR($J$6=0, $J$6&gt;=0.05)),
            INDEX('aux antiguo'!$DA$2:$DD$7, 
                   MATCH($H13, 'aux antiguo'!$CZ$2:$CZ$7, 1), 
                   MATCH(O$17, 'aux antiguo'!$DA$1:$DD$1, 0)
            ) * (1 - $J$6),
            "No asegurable"
        )
    )
),"")
</f>
        <v/>
      </c>
      <c r="P26" s="235" t="str">
        <f t="array" ref="P26">IFERROR(IF($H13="","",IF($F$20&gt;=0,IFERROR(INDEX('aux antiguo'!$N$2:$Q$8,MATCH($H13,'aux antiguo'!$M$2:$M$8,1),MATCH(P$17,'aux antiguo'!$N$1:$Q$1,0))*(1-$J$6),"No asegurable"),"No asegurable")),"")</f>
        <v/>
      </c>
      <c r="Q26" s="235" t="str">
        <f t="array" ref="Q26">IFERROR(IF($H13="","",IF($F$20&gt;=0,IFERROR(INDEX('aux antiguo'!$T$2:$W$8,MATCH($H13,'aux antiguo'!$S$2:$S$8,1),MATCH(Q$17,'aux antiguo'!$T$1:$W$1,0))*(1-$J$6),"No asegurable"),"No asegurable")),"")</f>
        <v/>
      </c>
      <c r="R26" s="235" t="str">
        <f t="array" ref="R26">IFERROR(IF($H13="", "", 
    IF(AND($F$24&gt;=0, OR($J$6=0.01, $J$6=0.02, $J$6=0.03, $J$6=0.04, $J$6=0.05)),
        INDEX('aux antiguo'!$Z$2:$AC$8, 
               MATCH($H13, 'aux antiguo'!$Y$2:$Y$8, 1), 
               MATCH(R$17, 'aux antiguo'!$Z$1:$AC$1, 0)
        ) * (1 - ($J$6 * 2)),
        IF(AND($F$24&gt;=0, OR($J$6=0, $J$6&gt;=0.05)),
            INDEX('aux antiguo'!$Z$2:$AC$8, 
                   MATCH($H13, 'aux antiguo'!$Y$2:$Y$8, 1), 
                   MATCH(R$17, 'aux antiguo'!$Z$1:$AC$1, 0)
            ) * (1 - $J$6),
            "No asegurable"
        )
    )
),"")
</f>
        <v/>
      </c>
      <c r="S26" s="235" t="str">
        <f t="array" ref="S26">IFERROR(IF($H13="","",IF($F$25&gt;=0,IFERROR(INDEX('aux antiguo'!$CU$2:$CX$8,MATCH($H13,'aux antiguo'!$CT$2:$CT$8,1),MATCH(S$17,'aux antiguo'!$CU$1:$CX$1,0))*(1-$J$6),"No asegurable"),"No asegurable")),"")</f>
        <v/>
      </c>
      <c r="T26" s="235" t="str">
        <f t="array" ref="T26">IFERROR(IF($H13="","",IF($F$17&gt;=0,IFERROR(INDEX('aux antiguo'!$BD$2:$BG$10,MATCH($H13,'aux antiguo'!$BC$2:$BC$10,1),MATCH(T$17,'aux antiguo'!$BD$1:$BG$1,0))*(1-$J$6),"No asegurable"),"No asegurable")),"")</f>
        <v/>
      </c>
      <c r="U26" s="235" t="str">
        <f t="array" ref="U26">IFERROR(IF($H13="", "", 
    IF(AND($F$23&gt;=0, OR($J$6=0.01, $J$6=0.02, $J$6=0.03, $J$6=0.04, $J$6=0.05)),
        INDEX('aux antiguo'!$BJ$2:$BM$8, 
               MATCH($H13, 'aux antiguo'!$BI$2:$BI$8, 1), 
               MATCH(U$17, 'aux antiguo'!$BJ$1:$BM$1, 0)
        ) * (1 - ($J$6 * 2)),
        IF(AND($F$23&gt;=0, OR($J$6=0, $J$6&gt;=0.05)),
            INDEX('aux antiguo'!$BJ$2:$BM$8, 
                   MATCH($H13, 'aux antiguo'!$BI$2:$BI$8, 1), 
                   MATCH(U$17, 'aux antiguo'!$BJ$1:$BM$1, 0)
            ) * (1 - $J$6),
            "No asegurable"
        )
    )
),"")
</f>
        <v/>
      </c>
      <c r="V26" s="235" t="str">
        <f t="array" ref="V26">IFERROR(IF($H13="","",IF($F$26&gt;=0,IFERROR(INDEX('aux antiguo'!$BZ$2:$CC$8,MATCH($H13,'aux antiguo'!$BY$2:$BY$8,1),MATCH(V$17,'aux antiguo'!$BZ$1:$CC$1,0))*(1-$J$6),"No asegurable"),"No asegurable")),"")</f>
        <v/>
      </c>
      <c r="W26" s="235" t="str">
        <f t="array" ref="W26">IFERROR(IF($H13="", "", 
    IF(AND($F$22&gt;=0, OR($J$6=0.01, $J$6=0.02, $J$6=0.03, $J$6=0.04, $J$6=0.05)),
        INDEX('aux antiguo'!$BT$11:$BW$15, 
               MATCH($H13, 'aux antiguo'!$BS$11:$BS$15, 1), 
               MATCH(W$17, 'aux antiguo'!$BT$10:$BW$10, 0)
        ) * (1 - ($J$6 * 2)),
        IF(AND($F$22&gt;=0, OR($J$6=0, $J$6&gt;=0.05)),
            INDEX('aux antiguo'!$BT$11:$BW$15, 
                   MATCH($H13, 'aux antiguo'!$BS$11:$BS$15, 1), 
                   MATCH(W$17, 'aux antiguo'!$BT$10:$BW$10, 0)
            ) * (1 - $J$6),
            "No asegurable"
        )
    )
),"")
</f>
        <v/>
      </c>
      <c r="X26" s="236" t="str">
        <f t="array" ref="X26">IFERROR(IF($H13="","",IF(OR($F$15=1,$F$15=2),IFERROR(IF($F$21&gt;=0,INDEX('aux antiguo'!$CF$2:$CI$8,MATCH($H13,'aux antiguo'!$CE$2:$CE$8,1),MATCH(X$17,'aux antiguo'!$CF$1:$CI$1,0))*(1-$J$6),"No asegurable"),""),IF($F$15&gt;=3,IFERROR(IF($F$21&gt;=0,INDEX('aux antiguo'!$CL$2:$CO$8, MATCH($H13, 'aux antiguo'!$CK$2:$CK$8, 1), MATCH(X$17, 'aux antiguo'!$CL$1:$CO$1, 0))*(1-$J$6),"No asegurable"),"")))),"")</f>
        <v/>
      </c>
      <c r="Y26" s="236" t="str">
        <f t="array" ref="Y26">IF($F$15&gt;4,"No asegurable",IFERROR(IF($H13="","",IF($F$26&gt;=0,IFERROR(INDEX('aux antiguo'!$AF$2:$AI$8,MATCH($H13,'aux antiguo'!$AE$2:$AE$8,1),MATCH(Y$17,'aux antiguo'!$AF$1:$AI$1,0))*(1-$J$6),"No asegurable"),"No asegurable")),""))</f>
        <v/>
      </c>
      <c r="Z26" s="236" t="str">
        <f t="array" ref="Z26">IF($F$15&gt;4,"No asegurable",IFERROR(IF($H13="","",IF($F$26&gt;=0,IFERROR(INDEX('aux antiguo'!$AL$2:$AO$8,MATCH($H13,'aux antiguo'!$AK$2:$AK$8,1),MATCH(Z$17,'aux antiguo'!$AL$1:$AO$1,0))*(1-$J$6),"No asegurable"),"No asegurable")),""))</f>
        <v/>
      </c>
      <c r="AA26" s="237" t="str">
        <f t="array" ref="AA26">IF(F13="","",IF($F$15&lt;5,"No asegurable",IFERROR(IF($H13="","",IF($F$26&gt;=0,IFERROR(INDEX('aux antiguo'!$AR$2:$AU$8,MATCH($H13,'aux antiguo'!$AQ$2:$AQ$8,1),MATCH(AA$17,'aux antiguo'!$AR$1:$AU$1,0))*(1-$J$6),"No asegurable"),"No asegurable")),"")))</f>
        <v/>
      </c>
      <c r="AB26" s="143" t="str">
        <f t="array" ref="AB26">IFERROR(IF(H13="","",IF($F$15&lt;5,"No asegurable",IFERROR(IF($H13="","",IF($F$26&gt;=0,IFERROR(INDEX('aux antiguo'!$AX$2:$BA$8,MATCH($H13,'aux antiguo'!$AW$2:$AW$8,1),MATCH(AB$17,'aux antiguo'!$AX$1:$BA$1,0))*(1-$J$6),"No asegurable"),"No asegurable")),""))),"")</f>
        <v/>
      </c>
      <c r="AI26" s="109"/>
      <c r="AJ26" s="10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</row>
    <row r="27" ht="32.25" customHeight="1">
      <c r="B27" s="227" t="s">
        <v>343</v>
      </c>
      <c r="C27" s="123"/>
      <c r="D27" s="123"/>
      <c r="E27" s="123"/>
      <c r="F27" s="123">
        <f t="shared" ref="F27:F28" si="15">IF(COUNTIF($H$6:$H$13,"&gt;67")&gt;0,IF(COUNTIF($H$6:$H$13,"&lt;60")&lt;3*COUNTIF($H$6:$H$13,"&gt;67"),-1,1),1)</f>
        <v>1</v>
      </c>
      <c r="G27" s="123"/>
      <c r="H27" s="217" t="str">
        <f>IFERROR(VLOOKUP("No Asegurable",$AA$19:$AA$26,1,0),0)</f>
        <v>No asegurable</v>
      </c>
      <c r="J27" s="123">
        <f t="shared" si="14"/>
        <v>1</v>
      </c>
      <c r="Z27" s="5"/>
      <c r="AA27" s="5"/>
      <c r="AB27" s="5"/>
      <c r="AI27" s="109"/>
      <c r="AJ27" s="10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</row>
    <row r="28" ht="32.25" customHeight="1">
      <c r="B28" s="227" t="s">
        <v>344</v>
      </c>
      <c r="C28" s="123"/>
      <c r="D28" s="123"/>
      <c r="E28" s="123"/>
      <c r="F28" s="123">
        <f t="shared" si="15"/>
        <v>1</v>
      </c>
      <c r="G28" s="123"/>
      <c r="H28" s="217">
        <f>IFERROR(VLOOKUP("No Asegurable",$Y$19:$Y$26,1,0),0)</f>
        <v>0</v>
      </c>
      <c r="J28" s="123"/>
      <c r="Z28" s="5"/>
      <c r="AA28" s="5"/>
      <c r="AB28" s="5"/>
      <c r="AI28" s="109"/>
      <c r="AJ28" s="10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</row>
    <row r="29" ht="34.5" customHeight="1">
      <c r="B29" s="227" t="s">
        <v>345</v>
      </c>
      <c r="C29" s="217"/>
      <c r="D29" s="123"/>
      <c r="E29" s="123"/>
      <c r="F29" s="123">
        <f>IF(COUNTIF($H$6:$H$13,"&gt;62")&gt;0,IF(COUNTIF($H$6:$H$13,"&lt;60")&lt;3*COUNTIF($H$6:$H$13,"&gt;62"),-1,1),1)</f>
        <v>1</v>
      </c>
      <c r="G29" s="123"/>
      <c r="H29" s="217">
        <f>IFERROR(VLOOKUP("No Asegurable",$O$19:$O$26,1,0),0)</f>
        <v>0</v>
      </c>
      <c r="J29" s="123">
        <f>IF(COUNTIF($H$6:$H$13,"&gt;62")&gt;0,IF(COUNTIF($H$6:$H$13,"&lt;60")&lt;3*COUNTIF($H$6:$H$13,"&gt;62"),-1,1),1)</f>
        <v>1</v>
      </c>
      <c r="T29" s="5"/>
      <c r="U29" s="5"/>
      <c r="W29" s="5"/>
      <c r="X29" s="5"/>
      <c r="Y29" s="5"/>
      <c r="Z29" s="5"/>
      <c r="AA29" s="5"/>
      <c r="AB29" s="5"/>
      <c r="AD29" s="5"/>
      <c r="AE29" s="5"/>
      <c r="AF29" s="5"/>
      <c r="AG29" s="125"/>
      <c r="AH29" s="125"/>
      <c r="AI29" s="5"/>
      <c r="AJ29" s="125"/>
      <c r="AK29" s="125"/>
    </row>
    <row r="30">
      <c r="B30" s="123"/>
      <c r="C30" s="123"/>
      <c r="D30" s="123"/>
      <c r="E30" s="123"/>
      <c r="F30" s="123"/>
      <c r="G30" s="123"/>
      <c r="H30" s="123"/>
      <c r="I30" s="123"/>
      <c r="J30" s="123"/>
      <c r="T30" s="5"/>
      <c r="U30" s="5"/>
      <c r="W30" s="5"/>
      <c r="X30" s="5"/>
      <c r="Y30" s="5"/>
      <c r="Z30" s="5"/>
      <c r="AA30" s="5"/>
      <c r="AB30" s="5"/>
      <c r="AD30" s="5"/>
      <c r="AE30" s="5"/>
      <c r="AF30" s="5"/>
      <c r="AG30" s="125"/>
      <c r="AH30" s="125"/>
      <c r="AI30" s="5"/>
      <c r="AJ30" s="125"/>
      <c r="AK30" s="125"/>
    </row>
    <row r="31">
      <c r="B31" s="123"/>
      <c r="C31" s="123"/>
      <c r="D31" s="123"/>
      <c r="E31" s="123"/>
      <c r="F31" s="123"/>
      <c r="G31" s="123"/>
      <c r="H31" s="123"/>
      <c r="I31" s="123"/>
      <c r="J31" s="123"/>
      <c r="T31" s="5"/>
      <c r="U31" s="5"/>
      <c r="W31" s="5"/>
      <c r="X31" s="5"/>
      <c r="Y31" s="5"/>
      <c r="Z31" s="5"/>
      <c r="AA31" s="5"/>
      <c r="AB31" s="5"/>
      <c r="AD31" s="5"/>
      <c r="AE31" s="5"/>
      <c r="AF31" s="5"/>
      <c r="AG31" s="125"/>
      <c r="AH31" s="125"/>
      <c r="AI31" s="5"/>
      <c r="AJ31" s="125"/>
      <c r="AK31" s="125"/>
    </row>
    <row r="32">
      <c r="B32" s="123"/>
      <c r="C32" s="123"/>
      <c r="D32" s="123"/>
      <c r="E32" s="123"/>
      <c r="F32" s="123"/>
      <c r="G32" s="123"/>
      <c r="H32" s="123"/>
      <c r="I32" s="123"/>
      <c r="J32" s="123"/>
      <c r="T32" s="5"/>
      <c r="U32" s="5"/>
      <c r="W32" s="5"/>
      <c r="X32" s="5"/>
      <c r="Y32" s="5"/>
      <c r="Z32" s="5"/>
      <c r="AA32" s="5"/>
      <c r="AB32" s="5"/>
      <c r="AD32" s="5"/>
      <c r="AE32" s="5"/>
      <c r="AF32" s="5"/>
      <c r="AG32" s="125"/>
      <c r="AH32" s="125"/>
      <c r="AI32" s="5"/>
      <c r="AJ32" s="125"/>
      <c r="AK32" s="125"/>
    </row>
    <row r="33">
      <c r="B33" s="123"/>
      <c r="C33" s="123"/>
      <c r="D33" s="123"/>
      <c r="E33" s="123"/>
      <c r="F33" s="123"/>
      <c r="G33" s="123"/>
      <c r="H33" s="123"/>
      <c r="I33" s="123"/>
      <c r="J33" s="123"/>
      <c r="T33" s="5"/>
      <c r="U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125"/>
      <c r="AH33" s="125"/>
      <c r="AI33" s="5"/>
      <c r="AJ33" s="125"/>
      <c r="AK33" s="125"/>
    </row>
    <row r="34">
      <c r="T34" s="5"/>
      <c r="U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125"/>
      <c r="AH34" s="125"/>
      <c r="AI34" s="5"/>
      <c r="AJ34" s="125"/>
      <c r="AK34" s="125"/>
    </row>
    <row r="35">
      <c r="T35" s="5"/>
      <c r="U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125"/>
      <c r="AH35" s="125"/>
      <c r="AI35" s="5"/>
      <c r="AJ35" s="125"/>
      <c r="AK35" s="125"/>
    </row>
    <row r="36">
      <c r="K36" s="5"/>
      <c r="L36" s="5"/>
      <c r="M36" s="5"/>
      <c r="N36" s="5"/>
      <c r="O36" s="5"/>
      <c r="P36" s="3"/>
      <c r="Q36" s="3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125"/>
      <c r="AH36" s="125"/>
      <c r="AI36" s="5"/>
      <c r="AJ36" s="125"/>
      <c r="AK36" s="125"/>
    </row>
    <row r="37"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125"/>
      <c r="AH37" s="125"/>
      <c r="AI37" s="5"/>
      <c r="AJ37" s="125"/>
      <c r="AK37" s="125"/>
    </row>
    <row r="38"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125"/>
      <c r="AH38" s="125"/>
      <c r="AI38" s="5"/>
      <c r="AJ38" s="125"/>
      <c r="AK38" s="125"/>
    </row>
    <row r="39"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125"/>
      <c r="AH39" s="125"/>
      <c r="AI39" s="5"/>
      <c r="AJ39" s="125"/>
      <c r="AK39" s="125"/>
    </row>
    <row r="40"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125"/>
      <c r="AH40" s="125"/>
      <c r="AI40" s="5"/>
      <c r="AJ40" s="125"/>
      <c r="AK40" s="125"/>
    </row>
    <row r="41"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125"/>
      <c r="AH41" s="125"/>
      <c r="AI41" s="5"/>
      <c r="AJ41" s="125"/>
      <c r="AK41" s="125"/>
    </row>
    <row r="42"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125"/>
      <c r="AH42" s="125"/>
      <c r="AI42" s="5"/>
      <c r="AJ42" s="125"/>
      <c r="AK42" s="125"/>
    </row>
    <row r="43"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125"/>
      <c r="AH43" s="125"/>
      <c r="AI43" s="5"/>
      <c r="AJ43" s="125"/>
      <c r="AK43" s="125"/>
    </row>
    <row r="44"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125"/>
      <c r="AH44" s="125"/>
      <c r="AI44" s="5"/>
      <c r="AJ44" s="125"/>
      <c r="AK44" s="125"/>
    </row>
    <row r="45"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125"/>
      <c r="AH45" s="125"/>
      <c r="AI45" s="5"/>
      <c r="AJ45" s="125"/>
      <c r="AK45" s="125"/>
    </row>
    <row r="46"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125"/>
      <c r="AH46" s="125"/>
      <c r="AI46" s="5"/>
      <c r="AJ46" s="125"/>
      <c r="AK46" s="125"/>
    </row>
    <row r="47"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125"/>
      <c r="AH47" s="125"/>
      <c r="AI47" s="5"/>
      <c r="AJ47" s="125"/>
      <c r="AK47" s="125"/>
    </row>
    <row r="48"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125"/>
      <c r="AH48" s="125"/>
      <c r="AI48" s="5"/>
      <c r="AJ48" s="125"/>
      <c r="AK48" s="125"/>
    </row>
    <row r="49"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125"/>
      <c r="AH49" s="125"/>
      <c r="AI49" s="5"/>
      <c r="AJ49" s="125"/>
      <c r="AK49" s="125"/>
    </row>
    <row r="50"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125"/>
      <c r="AH50" s="125"/>
      <c r="AI50" s="5"/>
      <c r="AJ50" s="125"/>
      <c r="AK50" s="125"/>
    </row>
    <row r="51"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125"/>
      <c r="AH51" s="125"/>
      <c r="AI51" s="5"/>
      <c r="AJ51" s="125"/>
      <c r="AK51" s="125"/>
    </row>
    <row r="52"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125"/>
      <c r="AH52" s="125"/>
      <c r="AI52" s="5"/>
      <c r="AJ52" s="125"/>
      <c r="AK52" s="125"/>
    </row>
    <row r="53"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125"/>
      <c r="AH53" s="125"/>
      <c r="AI53" s="5"/>
      <c r="AJ53" s="125"/>
      <c r="AK53" s="125"/>
    </row>
    <row r="54"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125"/>
      <c r="AH54" s="125"/>
      <c r="AI54" s="5"/>
      <c r="AJ54" s="125"/>
      <c r="AK54" s="125"/>
    </row>
    <row r="55"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125"/>
      <c r="AH55" s="125"/>
      <c r="AI55" s="5"/>
      <c r="AJ55" s="125"/>
      <c r="AK55" s="125"/>
    </row>
    <row r="56"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125"/>
      <c r="AH56" s="125"/>
      <c r="AI56" s="5"/>
      <c r="AJ56" s="125"/>
      <c r="AK56" s="125"/>
    </row>
    <row r="57"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125"/>
      <c r="AH57" s="125"/>
      <c r="AI57" s="5"/>
      <c r="AJ57" s="125"/>
      <c r="AK57" s="125"/>
    </row>
    <row r="58"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125"/>
      <c r="AH58" s="125"/>
      <c r="AI58" s="5"/>
      <c r="AJ58" s="125"/>
      <c r="AK58" s="125"/>
    </row>
    <row r="59"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125"/>
      <c r="AH59" s="125"/>
      <c r="AI59" s="5"/>
      <c r="AJ59" s="125"/>
      <c r="AK59" s="125"/>
    </row>
    <row r="60"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125"/>
      <c r="AH60" s="125"/>
      <c r="AI60" s="5"/>
      <c r="AJ60" s="125"/>
      <c r="AK60" s="125"/>
    </row>
    <row r="61"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125"/>
      <c r="AH61" s="125"/>
      <c r="AI61" s="5"/>
      <c r="AJ61" s="125"/>
      <c r="AK61" s="125"/>
    </row>
    <row r="62"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125"/>
      <c r="AH62" s="125"/>
      <c r="AI62" s="5"/>
      <c r="AJ62" s="125"/>
      <c r="AK62" s="125"/>
    </row>
    <row r="63"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125"/>
      <c r="AH63" s="125"/>
      <c r="AI63" s="5"/>
      <c r="AJ63" s="125"/>
      <c r="AK63" s="125"/>
    </row>
    <row r="64"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125"/>
      <c r="AH64" s="125"/>
      <c r="AI64" s="5"/>
      <c r="AJ64" s="125"/>
      <c r="AK64" s="125"/>
    </row>
    <row r="65"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125"/>
      <c r="AH65" s="125"/>
      <c r="AI65" s="5"/>
      <c r="AJ65" s="125"/>
      <c r="AK65" s="125"/>
    </row>
    <row r="66"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125"/>
      <c r="AH66" s="125"/>
      <c r="AI66" s="5"/>
      <c r="AJ66" s="125"/>
      <c r="AK66" s="125"/>
    </row>
    <row r="67"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125"/>
      <c r="AH67" s="125"/>
      <c r="AI67" s="5"/>
      <c r="AJ67" s="125"/>
      <c r="AK67" s="125"/>
    </row>
    <row r="68"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125"/>
      <c r="AH68" s="125"/>
      <c r="AI68" s="5"/>
      <c r="AJ68" s="125"/>
      <c r="AK68" s="125"/>
    </row>
    <row r="69"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125"/>
      <c r="AH69" s="125"/>
      <c r="AI69" s="5"/>
      <c r="AJ69" s="125"/>
      <c r="AK69" s="125"/>
    </row>
    <row r="70"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125"/>
      <c r="AH70" s="125"/>
      <c r="AI70" s="5"/>
      <c r="AJ70" s="125"/>
      <c r="AK70" s="125"/>
    </row>
    <row r="71"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125"/>
      <c r="AH71" s="125"/>
      <c r="AI71" s="5"/>
      <c r="AJ71" s="125"/>
      <c r="AK71" s="125"/>
    </row>
    <row r="72"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125"/>
      <c r="AH72" s="125"/>
      <c r="AI72" s="5"/>
      <c r="AJ72" s="125"/>
      <c r="AK72" s="125"/>
    </row>
    <row r="73"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125"/>
      <c r="AH73" s="125"/>
      <c r="AI73" s="5"/>
      <c r="AJ73" s="125"/>
      <c r="AK73" s="125"/>
    </row>
    <row r="74"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125"/>
      <c r="AH74" s="125"/>
      <c r="AI74" s="5"/>
      <c r="AJ74" s="125"/>
      <c r="AK74" s="125"/>
    </row>
    <row r="75"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125"/>
      <c r="AH75" s="125"/>
      <c r="AI75" s="5"/>
      <c r="AJ75" s="125"/>
      <c r="AK75" s="125"/>
    </row>
    <row r="76"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125"/>
      <c r="AH76" s="125"/>
      <c r="AI76" s="5"/>
      <c r="AJ76" s="125"/>
      <c r="AK76" s="125"/>
    </row>
    <row r="77"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125"/>
      <c r="AH77" s="125"/>
      <c r="AI77" s="5"/>
      <c r="AJ77" s="125"/>
      <c r="AK77" s="125"/>
    </row>
    <row r="78"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125"/>
      <c r="AH78" s="125"/>
      <c r="AI78" s="5"/>
      <c r="AJ78" s="125"/>
      <c r="AK78" s="125"/>
    </row>
    <row r="79"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125"/>
      <c r="AH79" s="125"/>
      <c r="AI79" s="5"/>
      <c r="AJ79" s="125"/>
      <c r="AK79" s="125"/>
    </row>
    <row r="80"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125"/>
      <c r="AH80" s="125"/>
      <c r="AI80" s="5"/>
      <c r="AJ80" s="125"/>
      <c r="AK80" s="125"/>
    </row>
    <row r="81"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125"/>
      <c r="AH81" s="125"/>
      <c r="AI81" s="5"/>
      <c r="AJ81" s="125"/>
      <c r="AK81" s="125"/>
    </row>
    <row r="82"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125"/>
      <c r="AH82" s="125"/>
      <c r="AI82" s="5"/>
      <c r="AJ82" s="125"/>
      <c r="AK82" s="125"/>
    </row>
    <row r="83"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125"/>
      <c r="AH83" s="125"/>
      <c r="AI83" s="5"/>
      <c r="AJ83" s="125"/>
      <c r="AK83" s="125"/>
    </row>
    <row r="84"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125"/>
      <c r="AH84" s="125"/>
      <c r="AI84" s="5"/>
      <c r="AJ84" s="125"/>
      <c r="AK84" s="125"/>
    </row>
    <row r="85"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125"/>
      <c r="AH85" s="125"/>
      <c r="AI85" s="5"/>
      <c r="AJ85" s="125"/>
      <c r="AK85" s="125"/>
    </row>
    <row r="86"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125"/>
      <c r="AH86" s="125"/>
      <c r="AI86" s="5"/>
      <c r="AJ86" s="125"/>
      <c r="AK86" s="125"/>
    </row>
    <row r="87"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125"/>
      <c r="AH87" s="125"/>
      <c r="AI87" s="5"/>
      <c r="AJ87" s="125"/>
      <c r="AK87" s="125"/>
    </row>
    <row r="88"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125"/>
      <c r="AH88" s="125"/>
      <c r="AI88" s="5"/>
      <c r="AJ88" s="125"/>
      <c r="AK88" s="125"/>
    </row>
    <row r="89"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125"/>
      <c r="AH89" s="125"/>
      <c r="AI89" s="5"/>
      <c r="AJ89" s="125"/>
      <c r="AK89" s="125"/>
    </row>
    <row r="90"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125"/>
      <c r="AH90" s="125"/>
      <c r="AI90" s="5"/>
      <c r="AJ90" s="125"/>
      <c r="AK90" s="125"/>
    </row>
    <row r="91"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125"/>
      <c r="AH91" s="125"/>
      <c r="AI91" s="5"/>
      <c r="AJ91" s="125"/>
      <c r="AK91" s="125"/>
    </row>
    <row r="92"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125"/>
      <c r="AH92" s="125"/>
      <c r="AI92" s="5"/>
      <c r="AJ92" s="125"/>
      <c r="AK92" s="125"/>
    </row>
    <row r="93"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125"/>
      <c r="AH93" s="125"/>
      <c r="AI93" s="5"/>
      <c r="AJ93" s="125"/>
      <c r="AK93" s="125"/>
    </row>
    <row r="94"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125"/>
      <c r="AH94" s="125"/>
      <c r="AI94" s="5"/>
      <c r="AJ94" s="125"/>
      <c r="AK94" s="125"/>
    </row>
    <row r="95"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125"/>
      <c r="AH95" s="125"/>
      <c r="AI95" s="5"/>
      <c r="AJ95" s="125"/>
      <c r="AK95" s="125"/>
    </row>
    <row r="96"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125"/>
      <c r="AH96" s="125"/>
      <c r="AI96" s="5"/>
      <c r="AJ96" s="125"/>
      <c r="AK96" s="125"/>
    </row>
    <row r="97"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125"/>
      <c r="AH97" s="125"/>
      <c r="AI97" s="5"/>
      <c r="AJ97" s="125"/>
      <c r="AK97" s="125"/>
    </row>
    <row r="98"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125"/>
      <c r="AH98" s="125"/>
      <c r="AI98" s="5"/>
      <c r="AJ98" s="125"/>
      <c r="AK98" s="125"/>
    </row>
    <row r="99"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125"/>
      <c r="AH99" s="125"/>
      <c r="AI99" s="5"/>
      <c r="AJ99" s="125"/>
      <c r="AK99" s="125"/>
    </row>
    <row r="100"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125"/>
      <c r="AH100" s="125"/>
      <c r="AI100" s="5"/>
      <c r="AJ100" s="125"/>
      <c r="AK100" s="125"/>
    </row>
    <row r="101"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125"/>
      <c r="AH101" s="125"/>
      <c r="AI101" s="5"/>
      <c r="AJ101" s="125"/>
      <c r="AK101" s="125"/>
    </row>
    <row r="102"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125"/>
      <c r="AH102" s="125"/>
      <c r="AI102" s="5"/>
      <c r="AJ102" s="125"/>
      <c r="AK102" s="125"/>
    </row>
    <row r="103"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125"/>
      <c r="AH103" s="125"/>
      <c r="AI103" s="5"/>
      <c r="AJ103" s="125"/>
      <c r="AK103" s="125"/>
    </row>
    <row r="104"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125"/>
      <c r="AH104" s="125"/>
      <c r="AI104" s="5"/>
      <c r="AJ104" s="125"/>
      <c r="AK104" s="125"/>
    </row>
    <row r="105"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125"/>
      <c r="AH105" s="125"/>
      <c r="AI105" s="5"/>
      <c r="AJ105" s="125"/>
      <c r="AK105" s="125"/>
    </row>
    <row r="106"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125"/>
      <c r="AH106" s="125"/>
      <c r="AI106" s="5"/>
      <c r="AJ106" s="125"/>
      <c r="AK106" s="125"/>
    </row>
    <row r="107"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125"/>
      <c r="AH107" s="125"/>
      <c r="AI107" s="5"/>
      <c r="AJ107" s="125"/>
      <c r="AK107" s="125"/>
    </row>
    <row r="108"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125"/>
      <c r="AH108" s="125"/>
      <c r="AI108" s="5"/>
      <c r="AJ108" s="125"/>
      <c r="AK108" s="125"/>
    </row>
    <row r="109"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125"/>
      <c r="AH109" s="125"/>
      <c r="AI109" s="5"/>
      <c r="AJ109" s="125"/>
      <c r="AK109" s="125"/>
    </row>
    <row r="110"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125"/>
      <c r="AH110" s="125"/>
      <c r="AI110" s="5"/>
      <c r="AJ110" s="125"/>
      <c r="AK110" s="125"/>
    </row>
    <row r="111"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125"/>
      <c r="AH111" s="125"/>
      <c r="AI111" s="5"/>
      <c r="AJ111" s="125"/>
      <c r="AK111" s="125"/>
    </row>
    <row r="112"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125"/>
      <c r="AH112" s="125"/>
      <c r="AI112" s="5"/>
      <c r="AJ112" s="125"/>
      <c r="AK112" s="125"/>
    </row>
    <row r="113"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125"/>
      <c r="AH113" s="125"/>
      <c r="AI113" s="5"/>
      <c r="AJ113" s="125"/>
      <c r="AK113" s="125"/>
    </row>
    <row r="114"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125"/>
      <c r="AH114" s="125"/>
      <c r="AI114" s="5"/>
      <c r="AJ114" s="125"/>
      <c r="AK114" s="125"/>
    </row>
    <row r="115"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125"/>
      <c r="AH115" s="125"/>
      <c r="AI115" s="5"/>
      <c r="AJ115" s="125"/>
      <c r="AK115" s="125"/>
    </row>
    <row r="116"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125"/>
      <c r="AH116" s="125"/>
      <c r="AI116" s="5"/>
      <c r="AJ116" s="125"/>
      <c r="AK116" s="125"/>
    </row>
    <row r="117"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125"/>
      <c r="AH117" s="125"/>
      <c r="AI117" s="5"/>
      <c r="AJ117" s="125"/>
      <c r="AK117" s="125"/>
    </row>
    <row r="118"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125"/>
      <c r="AH118" s="125"/>
      <c r="AI118" s="5"/>
      <c r="AJ118" s="125"/>
      <c r="AK118" s="125"/>
    </row>
    <row r="119"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125"/>
      <c r="AH119" s="125"/>
      <c r="AI119" s="5"/>
      <c r="AJ119" s="125"/>
      <c r="AK119" s="125"/>
    </row>
    <row r="120"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125"/>
      <c r="AH120" s="125"/>
      <c r="AI120" s="5"/>
      <c r="AJ120" s="125"/>
      <c r="AK120" s="125"/>
    </row>
    <row r="121"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125"/>
      <c r="AH121" s="125"/>
      <c r="AI121" s="5"/>
      <c r="AJ121" s="125"/>
      <c r="AK121" s="125"/>
    </row>
    <row r="122"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125"/>
      <c r="AH122" s="125"/>
      <c r="AI122" s="5"/>
      <c r="AJ122" s="125"/>
      <c r="AK122" s="125"/>
    </row>
    <row r="123"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125"/>
      <c r="AH123" s="125"/>
      <c r="AI123" s="5"/>
      <c r="AJ123" s="125"/>
      <c r="AK123" s="125"/>
    </row>
    <row r="124"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125"/>
      <c r="AH124" s="125"/>
      <c r="AI124" s="5"/>
      <c r="AJ124" s="125"/>
      <c r="AK124" s="125"/>
    </row>
    <row r="125"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125"/>
      <c r="AH125" s="125"/>
      <c r="AI125" s="5"/>
      <c r="AJ125" s="125"/>
      <c r="AK125" s="125"/>
    </row>
    <row r="126"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125"/>
      <c r="AH126" s="125"/>
      <c r="AI126" s="5"/>
      <c r="AJ126" s="125"/>
      <c r="AK126" s="125"/>
    </row>
    <row r="127"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125"/>
      <c r="AH127" s="125"/>
      <c r="AI127" s="5"/>
      <c r="AJ127" s="125"/>
      <c r="AK127" s="125"/>
    </row>
    <row r="128"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125"/>
      <c r="AH128" s="125"/>
      <c r="AI128" s="5"/>
      <c r="AJ128" s="125"/>
      <c r="AK128" s="125"/>
    </row>
    <row r="129"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125"/>
      <c r="AH129" s="125"/>
      <c r="AI129" s="5"/>
      <c r="AJ129" s="125"/>
      <c r="AK129" s="125"/>
    </row>
    <row r="130"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125"/>
      <c r="AH130" s="125"/>
      <c r="AI130" s="5"/>
      <c r="AJ130" s="125"/>
      <c r="AK130" s="125"/>
    </row>
    <row r="131"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125"/>
      <c r="AH131" s="125"/>
      <c r="AI131" s="5"/>
      <c r="AJ131" s="125"/>
      <c r="AK131" s="125"/>
    </row>
    <row r="132"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125"/>
      <c r="AH132" s="125"/>
      <c r="AI132" s="5"/>
      <c r="AJ132" s="125"/>
      <c r="AK132" s="125"/>
    </row>
    <row r="133"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125"/>
      <c r="AH133" s="125"/>
      <c r="AI133" s="5"/>
      <c r="AJ133" s="125"/>
      <c r="AK133" s="125"/>
    </row>
    <row r="134"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125"/>
      <c r="AH134" s="125"/>
      <c r="AI134" s="5"/>
      <c r="AJ134" s="125"/>
      <c r="AK134" s="125"/>
    </row>
    <row r="135"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125"/>
      <c r="AH135" s="125"/>
      <c r="AI135" s="5"/>
      <c r="AJ135" s="125"/>
      <c r="AK135" s="125"/>
    </row>
    <row r="136"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125"/>
      <c r="AH136" s="125"/>
      <c r="AI136" s="5"/>
      <c r="AJ136" s="125"/>
      <c r="AK136" s="125"/>
    </row>
    <row r="137"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125"/>
      <c r="AH137" s="125"/>
      <c r="AI137" s="5"/>
      <c r="AJ137" s="125"/>
      <c r="AK137" s="125"/>
    </row>
    <row r="138"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125"/>
      <c r="AH138" s="125"/>
      <c r="AI138" s="5"/>
      <c r="AJ138" s="125"/>
      <c r="AK138" s="125"/>
    </row>
    <row r="139"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125"/>
      <c r="AH139" s="125"/>
      <c r="AI139" s="5"/>
      <c r="AJ139" s="125"/>
      <c r="AK139" s="125"/>
    </row>
    <row r="140"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125"/>
      <c r="AH140" s="125"/>
      <c r="AI140" s="5"/>
      <c r="AJ140" s="125"/>
      <c r="AK140" s="125"/>
    </row>
    <row r="141"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125"/>
      <c r="AH141" s="125"/>
      <c r="AI141" s="5"/>
      <c r="AJ141" s="125"/>
      <c r="AK141" s="125"/>
    </row>
    <row r="142"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125"/>
      <c r="AH142" s="125"/>
      <c r="AI142" s="5"/>
      <c r="AJ142" s="125"/>
      <c r="AK142" s="125"/>
    </row>
    <row r="143"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125"/>
      <c r="AH143" s="125"/>
      <c r="AI143" s="5"/>
      <c r="AJ143" s="125"/>
      <c r="AK143" s="125"/>
    </row>
    <row r="144"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125"/>
      <c r="AH144" s="125"/>
      <c r="AI144" s="5"/>
      <c r="AJ144" s="125"/>
      <c r="AK144" s="125"/>
    </row>
    <row r="145"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125"/>
      <c r="AH145" s="125"/>
      <c r="AI145" s="5"/>
      <c r="AJ145" s="125"/>
      <c r="AK145" s="125"/>
    </row>
    <row r="146"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125"/>
      <c r="AH146" s="125"/>
      <c r="AI146" s="5"/>
      <c r="AJ146" s="125"/>
      <c r="AK146" s="125"/>
    </row>
    <row r="147"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125"/>
      <c r="AH147" s="125"/>
      <c r="AI147" s="5"/>
      <c r="AJ147" s="125"/>
      <c r="AK147" s="125"/>
    </row>
    <row r="148"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125"/>
      <c r="AH148" s="125"/>
      <c r="AI148" s="5"/>
      <c r="AJ148" s="125"/>
      <c r="AK148" s="125"/>
    </row>
    <row r="149"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125"/>
      <c r="AH149" s="125"/>
      <c r="AI149" s="5"/>
      <c r="AJ149" s="125"/>
      <c r="AK149" s="125"/>
    </row>
    <row r="150"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125"/>
      <c r="AH150" s="125"/>
      <c r="AI150" s="5"/>
      <c r="AJ150" s="125"/>
      <c r="AK150" s="125"/>
    </row>
    <row r="151"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125"/>
      <c r="AH151" s="125"/>
      <c r="AI151" s="5"/>
      <c r="AJ151" s="125"/>
      <c r="AK151" s="125"/>
    </row>
    <row r="152"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125"/>
      <c r="AH152" s="125"/>
      <c r="AI152" s="5"/>
      <c r="AJ152" s="125"/>
      <c r="AK152" s="125"/>
    </row>
    <row r="153"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125"/>
      <c r="AH153" s="125"/>
      <c r="AI153" s="5"/>
      <c r="AJ153" s="125"/>
      <c r="AK153" s="125"/>
    </row>
    <row r="154"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125"/>
      <c r="AH154" s="125"/>
      <c r="AI154" s="5"/>
      <c r="AJ154" s="125"/>
      <c r="AK154" s="125"/>
    </row>
    <row r="155"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125"/>
      <c r="AH155" s="125"/>
      <c r="AI155" s="5"/>
      <c r="AJ155" s="125"/>
      <c r="AK155" s="125"/>
    </row>
    <row r="156"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125"/>
      <c r="AH156" s="125"/>
      <c r="AI156" s="5"/>
      <c r="AJ156" s="125"/>
      <c r="AK156" s="125"/>
    </row>
    <row r="157"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125"/>
      <c r="AH157" s="125"/>
      <c r="AI157" s="5"/>
      <c r="AJ157" s="125"/>
      <c r="AK157" s="125"/>
    </row>
    <row r="158"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125"/>
      <c r="AH158" s="125"/>
      <c r="AI158" s="5"/>
      <c r="AJ158" s="125"/>
      <c r="AK158" s="125"/>
    </row>
    <row r="159"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125"/>
      <c r="AH159" s="125"/>
      <c r="AI159" s="5"/>
      <c r="AJ159" s="125"/>
      <c r="AK159" s="125"/>
    </row>
    <row r="160"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125"/>
      <c r="AH160" s="125"/>
      <c r="AI160" s="5"/>
      <c r="AJ160" s="125"/>
      <c r="AK160" s="125"/>
    </row>
    <row r="161"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125"/>
      <c r="AH161" s="125"/>
      <c r="AI161" s="5"/>
      <c r="AJ161" s="125"/>
      <c r="AK161" s="125"/>
    </row>
    <row r="162"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125"/>
      <c r="AH162" s="125"/>
      <c r="AI162" s="5"/>
      <c r="AJ162" s="125"/>
      <c r="AK162" s="125"/>
    </row>
    <row r="163"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125"/>
      <c r="AH163" s="125"/>
      <c r="AI163" s="5"/>
      <c r="AJ163" s="125"/>
      <c r="AK163" s="125"/>
    </row>
    <row r="164"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125"/>
      <c r="AH164" s="125"/>
      <c r="AI164" s="5"/>
      <c r="AJ164" s="125"/>
      <c r="AK164" s="125"/>
    </row>
    <row r="165"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125"/>
      <c r="AH165" s="125"/>
      <c r="AI165" s="5"/>
      <c r="AJ165" s="125"/>
      <c r="AK165" s="125"/>
    </row>
    <row r="166"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125"/>
      <c r="AH166" s="125"/>
      <c r="AI166" s="5"/>
      <c r="AJ166" s="125"/>
      <c r="AK166" s="125"/>
    </row>
    <row r="167"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125"/>
      <c r="AH167" s="125"/>
      <c r="AI167" s="5"/>
      <c r="AJ167" s="125"/>
      <c r="AK167" s="125"/>
    </row>
    <row r="168"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125"/>
      <c r="AH168" s="125"/>
      <c r="AI168" s="5"/>
      <c r="AJ168" s="125"/>
      <c r="AK168" s="125"/>
    </row>
    <row r="169"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125"/>
      <c r="AH169" s="125"/>
      <c r="AI169" s="5"/>
      <c r="AJ169" s="125"/>
      <c r="AK169" s="125"/>
    </row>
    <row r="170"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125"/>
      <c r="AH170" s="125"/>
      <c r="AI170" s="5"/>
      <c r="AJ170" s="125"/>
      <c r="AK170" s="125"/>
    </row>
    <row r="171"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125"/>
      <c r="AH171" s="125"/>
      <c r="AI171" s="5"/>
      <c r="AJ171" s="125"/>
      <c r="AK171" s="125"/>
    </row>
    <row r="172"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125"/>
      <c r="AH172" s="125"/>
      <c r="AI172" s="5"/>
      <c r="AJ172" s="125"/>
      <c r="AK172" s="125"/>
    </row>
    <row r="173"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125"/>
      <c r="AH173" s="125"/>
      <c r="AI173" s="5"/>
      <c r="AJ173" s="125"/>
      <c r="AK173" s="125"/>
    </row>
    <row r="174"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125"/>
      <c r="AH174" s="125"/>
      <c r="AI174" s="5"/>
      <c r="AJ174" s="125"/>
      <c r="AK174" s="125"/>
    </row>
    <row r="175"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125"/>
      <c r="AH175" s="125"/>
      <c r="AI175" s="5"/>
      <c r="AJ175" s="125"/>
      <c r="AK175" s="125"/>
    </row>
    <row r="176"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125"/>
      <c r="AH176" s="125"/>
      <c r="AI176" s="5"/>
      <c r="AJ176" s="125"/>
      <c r="AK176" s="125"/>
    </row>
    <row r="177"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125"/>
      <c r="AH177" s="125"/>
      <c r="AI177" s="5"/>
      <c r="AJ177" s="125"/>
      <c r="AK177" s="125"/>
    </row>
    <row r="178"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125"/>
      <c r="AH178" s="125"/>
      <c r="AI178" s="5"/>
      <c r="AJ178" s="125"/>
      <c r="AK178" s="125"/>
    </row>
    <row r="179"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125"/>
      <c r="AH179" s="125"/>
      <c r="AI179" s="5"/>
      <c r="AJ179" s="125"/>
      <c r="AK179" s="125"/>
    </row>
    <row r="180"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125"/>
      <c r="AH180" s="125"/>
      <c r="AI180" s="5"/>
      <c r="AJ180" s="125"/>
      <c r="AK180" s="125"/>
    </row>
    <row r="181"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125"/>
      <c r="AH181" s="125"/>
      <c r="AI181" s="5"/>
      <c r="AJ181" s="125"/>
      <c r="AK181" s="125"/>
    </row>
    <row r="182"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125"/>
      <c r="AH182" s="125"/>
      <c r="AI182" s="5"/>
      <c r="AJ182" s="125"/>
      <c r="AK182" s="125"/>
    </row>
    <row r="183"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125"/>
      <c r="AH183" s="125"/>
      <c r="AI183" s="5"/>
      <c r="AJ183" s="125"/>
      <c r="AK183" s="125"/>
    </row>
    <row r="184"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125"/>
      <c r="AH184" s="125"/>
      <c r="AI184" s="5"/>
      <c r="AJ184" s="125"/>
      <c r="AK184" s="125"/>
    </row>
    <row r="185"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125"/>
      <c r="AH185" s="125"/>
      <c r="AI185" s="5"/>
      <c r="AJ185" s="125"/>
      <c r="AK185" s="125"/>
    </row>
    <row r="186"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125"/>
      <c r="AH186" s="125"/>
      <c r="AI186" s="5"/>
      <c r="AJ186" s="125"/>
      <c r="AK186" s="125"/>
    </row>
    <row r="187"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125"/>
      <c r="AH187" s="125"/>
      <c r="AI187" s="5"/>
      <c r="AJ187" s="125"/>
      <c r="AK187" s="125"/>
    </row>
    <row r="188"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125"/>
      <c r="AH188" s="125"/>
      <c r="AI188" s="5"/>
      <c r="AJ188" s="125"/>
      <c r="AK188" s="125"/>
    </row>
    <row r="189"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125"/>
      <c r="AH189" s="125"/>
      <c r="AI189" s="5"/>
      <c r="AJ189" s="125"/>
      <c r="AK189" s="125"/>
    </row>
    <row r="190"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125"/>
      <c r="AH190" s="125"/>
      <c r="AI190" s="5"/>
      <c r="AJ190" s="125"/>
      <c r="AK190" s="125"/>
    </row>
    <row r="191"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125"/>
      <c r="AH191" s="125"/>
      <c r="AI191" s="5"/>
      <c r="AJ191" s="125"/>
      <c r="AK191" s="125"/>
    </row>
    <row r="192"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125"/>
      <c r="AH192" s="125"/>
      <c r="AI192" s="5"/>
      <c r="AJ192" s="125"/>
      <c r="AK192" s="125"/>
    </row>
    <row r="193"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125"/>
      <c r="AH193" s="125"/>
      <c r="AI193" s="5"/>
      <c r="AJ193" s="125"/>
      <c r="AK193" s="125"/>
    </row>
    <row r="194"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125"/>
      <c r="AH194" s="125"/>
      <c r="AI194" s="5"/>
      <c r="AJ194" s="125"/>
      <c r="AK194" s="125"/>
    </row>
    <row r="195"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125"/>
      <c r="AH195" s="125"/>
      <c r="AI195" s="5"/>
      <c r="AJ195" s="125"/>
      <c r="AK195" s="125"/>
    </row>
    <row r="196"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125"/>
      <c r="AH196" s="125"/>
      <c r="AI196" s="5"/>
      <c r="AJ196" s="125"/>
      <c r="AK196" s="125"/>
    </row>
    <row r="197"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125"/>
      <c r="AH197" s="125"/>
      <c r="AI197" s="5"/>
      <c r="AJ197" s="125"/>
      <c r="AK197" s="125"/>
    </row>
    <row r="198"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125"/>
      <c r="AH198" s="125"/>
      <c r="AI198" s="5"/>
      <c r="AJ198" s="125"/>
      <c r="AK198" s="125"/>
    </row>
    <row r="199"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125"/>
      <c r="AH199" s="125"/>
      <c r="AI199" s="5"/>
      <c r="AJ199" s="125"/>
      <c r="AK199" s="125"/>
    </row>
    <row r="200"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125"/>
      <c r="AH200" s="125"/>
      <c r="AI200" s="5"/>
      <c r="AJ200" s="125"/>
      <c r="AK200" s="125"/>
    </row>
    <row r="201"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125"/>
      <c r="AH201" s="125"/>
      <c r="AI201" s="5"/>
      <c r="AJ201" s="125"/>
      <c r="AK201" s="125"/>
    </row>
    <row r="202"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125"/>
      <c r="AH202" s="125"/>
      <c r="AI202" s="5"/>
      <c r="AJ202" s="125"/>
      <c r="AK202" s="125"/>
    </row>
    <row r="203"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125"/>
      <c r="AH203" s="125"/>
      <c r="AI203" s="5"/>
      <c r="AJ203" s="125"/>
      <c r="AK203" s="125"/>
    </row>
    <row r="204"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125"/>
      <c r="AH204" s="125"/>
      <c r="AI204" s="5"/>
      <c r="AJ204" s="125"/>
      <c r="AK204" s="125"/>
    </row>
    <row r="205"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125"/>
      <c r="AH205" s="125"/>
      <c r="AI205" s="5"/>
      <c r="AJ205" s="125"/>
      <c r="AK205" s="125"/>
    </row>
    <row r="206"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125"/>
      <c r="AH206" s="125"/>
      <c r="AI206" s="5"/>
      <c r="AJ206" s="125"/>
      <c r="AK206" s="125"/>
    </row>
    <row r="207"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125"/>
      <c r="AH207" s="125"/>
      <c r="AI207" s="5"/>
      <c r="AJ207" s="125"/>
      <c r="AK207" s="125"/>
    </row>
    <row r="208"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125"/>
      <c r="AH208" s="125"/>
      <c r="AI208" s="5"/>
      <c r="AJ208" s="125"/>
      <c r="AK208" s="125"/>
    </row>
    <row r="209"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125"/>
      <c r="AH209" s="125"/>
      <c r="AI209" s="5"/>
      <c r="AJ209" s="125"/>
      <c r="AK209" s="125"/>
    </row>
    <row r="210"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125"/>
      <c r="AH210" s="125"/>
      <c r="AI210" s="5"/>
      <c r="AJ210" s="125"/>
      <c r="AK210" s="125"/>
    </row>
    <row r="211"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125"/>
      <c r="AH211" s="125"/>
      <c r="AI211" s="5"/>
      <c r="AJ211" s="125"/>
      <c r="AK211" s="125"/>
    </row>
    <row r="212"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125"/>
      <c r="AH212" s="125"/>
      <c r="AI212" s="5"/>
      <c r="AJ212" s="125"/>
      <c r="AK212" s="125"/>
    </row>
    <row r="213"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125"/>
      <c r="AH213" s="125"/>
      <c r="AI213" s="5"/>
      <c r="AJ213" s="125"/>
      <c r="AK213" s="125"/>
    </row>
    <row r="214"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125"/>
      <c r="AH214" s="125"/>
      <c r="AI214" s="5"/>
      <c r="AJ214" s="125"/>
      <c r="AK214" s="125"/>
    </row>
    <row r="215"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125"/>
      <c r="AH215" s="125"/>
      <c r="AI215" s="5"/>
      <c r="AJ215" s="125"/>
      <c r="AK215" s="125"/>
    </row>
    <row r="216"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125"/>
      <c r="AH216" s="125"/>
      <c r="AI216" s="5"/>
      <c r="AJ216" s="125"/>
      <c r="AK216" s="125"/>
    </row>
    <row r="217"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125"/>
      <c r="AH217" s="125"/>
      <c r="AI217" s="5"/>
      <c r="AJ217" s="125"/>
      <c r="AK217" s="125"/>
    </row>
    <row r="218"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125"/>
      <c r="AH218" s="125"/>
      <c r="AI218" s="5"/>
      <c r="AJ218" s="125"/>
      <c r="AK218" s="125"/>
    </row>
    <row r="219"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125"/>
      <c r="AH219" s="125"/>
      <c r="AI219" s="5"/>
      <c r="AJ219" s="125"/>
      <c r="AK219" s="125"/>
    </row>
    <row r="220"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125"/>
      <c r="AH220" s="125"/>
      <c r="AI220" s="5"/>
      <c r="AJ220" s="125"/>
      <c r="AK220" s="125"/>
    </row>
    <row r="221"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125"/>
      <c r="AH221" s="125"/>
      <c r="AI221" s="5"/>
      <c r="AJ221" s="125"/>
      <c r="AK221" s="125"/>
    </row>
    <row r="222"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125"/>
      <c r="AH222" s="125"/>
      <c r="AI222" s="5"/>
      <c r="AJ222" s="125"/>
      <c r="AK222" s="125"/>
    </row>
    <row r="223"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125"/>
      <c r="AH223" s="125"/>
      <c r="AI223" s="5"/>
      <c r="AJ223" s="125"/>
      <c r="AK223" s="125"/>
    </row>
    <row r="224"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125"/>
      <c r="AH224" s="125"/>
      <c r="AI224" s="5"/>
      <c r="AJ224" s="125"/>
      <c r="AK224" s="125"/>
    </row>
    <row r="225"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125"/>
      <c r="AH225" s="125"/>
      <c r="AI225" s="5"/>
      <c r="AJ225" s="125"/>
      <c r="AK225" s="125"/>
    </row>
    <row r="226"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125"/>
      <c r="AH226" s="125"/>
      <c r="AI226" s="5"/>
      <c r="AJ226" s="125"/>
      <c r="AK226" s="125"/>
    </row>
    <row r="227"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125"/>
      <c r="AH227" s="125"/>
      <c r="AI227" s="5"/>
      <c r="AJ227" s="125"/>
      <c r="AK227" s="125"/>
    </row>
    <row r="228"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125"/>
      <c r="AH228" s="125"/>
      <c r="AI228" s="5"/>
      <c r="AJ228" s="125"/>
      <c r="AK228" s="125"/>
    </row>
    <row r="229"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125"/>
      <c r="AH229" s="125"/>
      <c r="AI229" s="5"/>
      <c r="AJ229" s="125"/>
      <c r="AK229" s="125"/>
    </row>
    <row r="230"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125"/>
      <c r="AH230" s="125"/>
      <c r="AI230" s="5"/>
      <c r="AJ230" s="125"/>
      <c r="AK230" s="125"/>
    </row>
    <row r="231"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125"/>
      <c r="AH231" s="125"/>
      <c r="AI231" s="5"/>
      <c r="AJ231" s="125"/>
      <c r="AK231" s="125"/>
    </row>
    <row r="232"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125"/>
      <c r="AH232" s="125"/>
      <c r="AI232" s="5"/>
      <c r="AJ232" s="125"/>
      <c r="AK232" s="125"/>
    </row>
    <row r="233"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125"/>
      <c r="AH233" s="125"/>
      <c r="AI233" s="5"/>
      <c r="AJ233" s="125"/>
      <c r="AK233" s="125"/>
    </row>
    <row r="234"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125"/>
      <c r="AH234" s="125"/>
      <c r="AI234" s="5"/>
      <c r="AJ234" s="125"/>
      <c r="AK234" s="125"/>
    </row>
    <row r="235"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125"/>
      <c r="AH235" s="125"/>
      <c r="AI235" s="5"/>
      <c r="AJ235" s="125"/>
      <c r="AK235" s="125"/>
    </row>
    <row r="236"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125"/>
      <c r="AH236" s="125"/>
      <c r="AI236" s="5"/>
      <c r="AJ236" s="125"/>
      <c r="AK236" s="125"/>
    </row>
    <row r="237"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125"/>
      <c r="AH237" s="125"/>
      <c r="AI237" s="5"/>
      <c r="AJ237" s="125"/>
      <c r="AK237" s="125"/>
    </row>
    <row r="238"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125"/>
      <c r="AH238" s="125"/>
      <c r="AI238" s="5"/>
      <c r="AJ238" s="125"/>
      <c r="AK238" s="125"/>
    </row>
    <row r="239"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125"/>
      <c r="AH239" s="125"/>
      <c r="AI239" s="5"/>
      <c r="AJ239" s="125"/>
      <c r="AK239" s="125"/>
    </row>
    <row r="240"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125"/>
      <c r="AH240" s="125"/>
      <c r="AI240" s="5"/>
      <c r="AJ240" s="125"/>
      <c r="AK240" s="125"/>
    </row>
    <row r="241"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125"/>
      <c r="AH241" s="125"/>
      <c r="AI241" s="5"/>
      <c r="AJ241" s="125"/>
      <c r="AK241" s="125"/>
    </row>
    <row r="242"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125"/>
      <c r="AH242" s="125"/>
      <c r="AI242" s="5"/>
      <c r="AJ242" s="125"/>
      <c r="AK242" s="125"/>
    </row>
    <row r="243"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125"/>
      <c r="AH243" s="125"/>
      <c r="AI243" s="5"/>
      <c r="AJ243" s="125"/>
      <c r="AK243" s="125"/>
    </row>
    <row r="244"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125"/>
      <c r="AH244" s="125"/>
      <c r="AI244" s="5"/>
      <c r="AJ244" s="125"/>
      <c r="AK244" s="125"/>
    </row>
    <row r="245"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125"/>
      <c r="AH245" s="125"/>
      <c r="AI245" s="5"/>
      <c r="AJ245" s="125"/>
      <c r="AK245" s="125"/>
    </row>
    <row r="246"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125"/>
      <c r="AH246" s="125"/>
      <c r="AI246" s="5"/>
      <c r="AJ246" s="125"/>
      <c r="AK246" s="125"/>
    </row>
    <row r="247"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125"/>
      <c r="AH247" s="125"/>
      <c r="AI247" s="5"/>
      <c r="AJ247" s="125"/>
      <c r="AK247" s="125"/>
    </row>
    <row r="248"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125"/>
      <c r="AH248" s="125"/>
      <c r="AI248" s="5"/>
      <c r="AJ248" s="125"/>
      <c r="AK248" s="125"/>
    </row>
    <row r="249"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125"/>
      <c r="AH249" s="125"/>
      <c r="AI249" s="5"/>
      <c r="AJ249" s="125"/>
      <c r="AK249" s="125"/>
    </row>
    <row r="250"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125"/>
      <c r="AH250" s="125"/>
      <c r="AI250" s="5"/>
      <c r="AJ250" s="125"/>
      <c r="AK250" s="125"/>
    </row>
    <row r="251"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125"/>
      <c r="AH251" s="125"/>
      <c r="AI251" s="5"/>
      <c r="AJ251" s="125"/>
      <c r="AK251" s="125"/>
    </row>
    <row r="252"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125"/>
      <c r="AH252" s="125"/>
      <c r="AI252" s="5"/>
      <c r="AJ252" s="125"/>
      <c r="AK252" s="125"/>
    </row>
    <row r="253"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125"/>
      <c r="AH253" s="125"/>
      <c r="AI253" s="5"/>
      <c r="AJ253" s="125"/>
      <c r="AK253" s="125"/>
    </row>
    <row r="254"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125"/>
      <c r="AH254" s="125"/>
      <c r="AI254" s="5"/>
      <c r="AJ254" s="125"/>
      <c r="AK254" s="125"/>
    </row>
    <row r="255"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125"/>
      <c r="AH255" s="125"/>
      <c r="AI255" s="5"/>
      <c r="AJ255" s="125"/>
      <c r="AK255" s="125"/>
    </row>
    <row r="256"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125"/>
      <c r="AH256" s="125"/>
      <c r="AI256" s="5"/>
      <c r="AJ256" s="125"/>
      <c r="AK256" s="125"/>
    </row>
    <row r="257"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125"/>
      <c r="AH257" s="125"/>
      <c r="AI257" s="5"/>
      <c r="AJ257" s="125"/>
      <c r="AK257" s="125"/>
    </row>
    <row r="258"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125"/>
      <c r="AH258" s="125"/>
      <c r="AI258" s="5"/>
      <c r="AJ258" s="125"/>
      <c r="AK258" s="125"/>
    </row>
    <row r="259"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125"/>
      <c r="AH259" s="125"/>
      <c r="AI259" s="5"/>
      <c r="AJ259" s="125"/>
      <c r="AK259" s="125"/>
    </row>
    <row r="260"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125"/>
      <c r="AH260" s="125"/>
      <c r="AI260" s="5"/>
      <c r="AJ260" s="125"/>
      <c r="AK260" s="125"/>
    </row>
    <row r="261"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125"/>
      <c r="AH261" s="125"/>
      <c r="AI261" s="5"/>
      <c r="AJ261" s="125"/>
      <c r="AK261" s="125"/>
    </row>
    <row r="262"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125"/>
      <c r="AH262" s="125"/>
      <c r="AI262" s="5"/>
      <c r="AJ262" s="125"/>
      <c r="AK262" s="125"/>
    </row>
    <row r="263"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125"/>
      <c r="AH263" s="125"/>
      <c r="AI263" s="5"/>
      <c r="AJ263" s="125"/>
      <c r="AK263" s="125"/>
    </row>
    <row r="264"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125"/>
      <c r="AH264" s="125"/>
      <c r="AI264" s="5"/>
      <c r="AJ264" s="125"/>
      <c r="AK264" s="125"/>
    </row>
    <row r="265"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125"/>
      <c r="AH265" s="125"/>
      <c r="AI265" s="5"/>
      <c r="AJ265" s="125"/>
      <c r="AK265" s="125"/>
    </row>
    <row r="266"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125"/>
      <c r="AH266" s="125"/>
      <c r="AI266" s="5"/>
      <c r="AJ266" s="125"/>
      <c r="AK266" s="125"/>
    </row>
    <row r="267"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125"/>
      <c r="AH267" s="125"/>
      <c r="AI267" s="5"/>
      <c r="AJ267" s="125"/>
      <c r="AK267" s="125"/>
    </row>
    <row r="268"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125"/>
      <c r="AH268" s="125"/>
      <c r="AI268" s="5"/>
      <c r="AJ268" s="125"/>
      <c r="AK268" s="125"/>
    </row>
    <row r="269"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125"/>
      <c r="AH269" s="125"/>
      <c r="AI269" s="5"/>
      <c r="AJ269" s="125"/>
      <c r="AK269" s="125"/>
    </row>
    <row r="270"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125"/>
      <c r="AH270" s="125"/>
      <c r="AI270" s="5"/>
      <c r="AJ270" s="125"/>
      <c r="AK270" s="125"/>
    </row>
    <row r="271"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125"/>
      <c r="AH271" s="125"/>
      <c r="AI271" s="5"/>
      <c r="AJ271" s="125"/>
      <c r="AK271" s="125"/>
    </row>
    <row r="272"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125"/>
      <c r="AH272" s="125"/>
      <c r="AI272" s="5"/>
      <c r="AJ272" s="125"/>
      <c r="AK272" s="125"/>
    </row>
    <row r="273"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125"/>
      <c r="AH273" s="125"/>
      <c r="AI273" s="5"/>
      <c r="AJ273" s="125"/>
      <c r="AK273" s="125"/>
    </row>
    <row r="274"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125"/>
      <c r="AH274" s="125"/>
      <c r="AI274" s="5"/>
      <c r="AJ274" s="125"/>
      <c r="AK274" s="125"/>
    </row>
    <row r="275"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125"/>
      <c r="AH275" s="125"/>
      <c r="AI275" s="5"/>
      <c r="AJ275" s="125"/>
      <c r="AK275" s="125"/>
    </row>
    <row r="276"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125"/>
      <c r="AH276" s="125"/>
      <c r="AI276" s="5"/>
      <c r="AJ276" s="125"/>
      <c r="AK276" s="125"/>
    </row>
    <row r="277"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125"/>
      <c r="AH277" s="125"/>
      <c r="AI277" s="5"/>
      <c r="AJ277" s="125"/>
      <c r="AK277" s="125"/>
    </row>
    <row r="278"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125"/>
      <c r="AH278" s="125"/>
      <c r="AI278" s="5"/>
      <c r="AJ278" s="125"/>
      <c r="AK278" s="125"/>
    </row>
    <row r="279"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125"/>
      <c r="AH279" s="125"/>
      <c r="AI279" s="5"/>
      <c r="AJ279" s="125"/>
      <c r="AK279" s="125"/>
    </row>
    <row r="280"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125"/>
      <c r="AH280" s="125"/>
      <c r="AI280" s="5"/>
      <c r="AJ280" s="125"/>
      <c r="AK280" s="125"/>
    </row>
    <row r="281"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125"/>
      <c r="AH281" s="125"/>
      <c r="AI281" s="5"/>
      <c r="AJ281" s="125"/>
      <c r="AK281" s="125"/>
    </row>
    <row r="282"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125"/>
      <c r="AH282" s="125"/>
      <c r="AI282" s="5"/>
      <c r="AJ282" s="125"/>
      <c r="AK282" s="125"/>
    </row>
    <row r="283"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125"/>
      <c r="AH283" s="125"/>
      <c r="AI283" s="5"/>
      <c r="AJ283" s="125"/>
      <c r="AK283" s="125"/>
    </row>
    <row r="284"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125"/>
      <c r="AH284" s="125"/>
      <c r="AI284" s="5"/>
      <c r="AJ284" s="125"/>
      <c r="AK284" s="125"/>
    </row>
    <row r="285"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125"/>
      <c r="AH285" s="125"/>
      <c r="AI285" s="5"/>
      <c r="AJ285" s="125"/>
      <c r="AK285" s="125"/>
    </row>
    <row r="286"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125"/>
      <c r="AH286" s="125"/>
      <c r="AI286" s="5"/>
      <c r="AJ286" s="125"/>
      <c r="AK286" s="125"/>
    </row>
    <row r="287"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125"/>
      <c r="AH287" s="125"/>
      <c r="AI287" s="5"/>
      <c r="AJ287" s="125"/>
      <c r="AK287" s="125"/>
    </row>
    <row r="288"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125"/>
      <c r="AH288" s="125"/>
      <c r="AI288" s="5"/>
      <c r="AJ288" s="125"/>
      <c r="AK288" s="125"/>
    </row>
    <row r="289"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125"/>
      <c r="AH289" s="125"/>
      <c r="AI289" s="5"/>
      <c r="AJ289" s="125"/>
      <c r="AK289" s="125"/>
    </row>
    <row r="290"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125"/>
      <c r="AH290" s="125"/>
      <c r="AI290" s="5"/>
      <c r="AJ290" s="125"/>
      <c r="AK290" s="125"/>
    </row>
    <row r="291"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125"/>
      <c r="AH291" s="125"/>
      <c r="AI291" s="5"/>
      <c r="AJ291" s="125"/>
      <c r="AK291" s="125"/>
    </row>
    <row r="292"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125"/>
      <c r="AH292" s="125"/>
      <c r="AI292" s="5"/>
      <c r="AJ292" s="125"/>
      <c r="AK292" s="125"/>
    </row>
    <row r="293"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125"/>
      <c r="AH293" s="125"/>
      <c r="AI293" s="5"/>
      <c r="AJ293" s="125"/>
      <c r="AK293" s="125"/>
    </row>
    <row r="294"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125"/>
      <c r="AH294" s="125"/>
      <c r="AI294" s="5"/>
      <c r="AJ294" s="125"/>
      <c r="AK294" s="125"/>
    </row>
    <row r="295"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125"/>
      <c r="AH295" s="125"/>
      <c r="AI295" s="5"/>
      <c r="AJ295" s="125"/>
      <c r="AK295" s="125"/>
    </row>
    <row r="296"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125"/>
      <c r="AH296" s="125"/>
      <c r="AI296" s="5"/>
      <c r="AJ296" s="125"/>
      <c r="AK296" s="125"/>
    </row>
    <row r="297"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125"/>
      <c r="AH297" s="125"/>
      <c r="AI297" s="5"/>
      <c r="AJ297" s="125"/>
      <c r="AK297" s="125"/>
    </row>
    <row r="298"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125"/>
      <c r="AH298" s="125"/>
      <c r="AI298" s="5"/>
      <c r="AJ298" s="125"/>
      <c r="AK298" s="125"/>
    </row>
    <row r="299"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125"/>
      <c r="AH299" s="125"/>
      <c r="AI299" s="5"/>
      <c r="AJ299" s="125"/>
      <c r="AK299" s="125"/>
    </row>
    <row r="300"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125"/>
      <c r="AH300" s="125"/>
      <c r="AI300" s="5"/>
      <c r="AJ300" s="125"/>
      <c r="AK300" s="125"/>
    </row>
    <row r="301"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125"/>
      <c r="AH301" s="125"/>
      <c r="AI301" s="5"/>
      <c r="AJ301" s="125"/>
      <c r="AK301" s="125"/>
    </row>
    <row r="302"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125"/>
      <c r="AH302" s="125"/>
      <c r="AI302" s="5"/>
      <c r="AJ302" s="125"/>
      <c r="AK302" s="125"/>
    </row>
    <row r="303"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125"/>
      <c r="AH303" s="125"/>
      <c r="AI303" s="5"/>
      <c r="AJ303" s="125"/>
      <c r="AK303" s="125"/>
    </row>
    <row r="304"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125"/>
      <c r="AH304" s="125"/>
      <c r="AI304" s="5"/>
      <c r="AJ304" s="125"/>
      <c r="AK304" s="125"/>
    </row>
    <row r="305"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125"/>
      <c r="AH305" s="125"/>
      <c r="AI305" s="5"/>
      <c r="AJ305" s="125"/>
      <c r="AK305" s="125"/>
    </row>
    <row r="306"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125"/>
      <c r="AH306" s="125"/>
      <c r="AI306" s="5"/>
      <c r="AJ306" s="125"/>
      <c r="AK306" s="125"/>
    </row>
    <row r="307"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125"/>
      <c r="AH307" s="125"/>
      <c r="AI307" s="5"/>
      <c r="AJ307" s="125"/>
      <c r="AK307" s="125"/>
    </row>
    <row r="308"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125"/>
      <c r="AH308" s="125"/>
      <c r="AI308" s="5"/>
      <c r="AJ308" s="125"/>
      <c r="AK308" s="125"/>
    </row>
    <row r="309"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125"/>
      <c r="AH309" s="125"/>
      <c r="AI309" s="5"/>
      <c r="AJ309" s="125"/>
      <c r="AK309" s="125"/>
    </row>
    <row r="310"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125"/>
      <c r="AH310" s="125"/>
      <c r="AI310" s="5"/>
      <c r="AJ310" s="125"/>
      <c r="AK310" s="125"/>
    </row>
    <row r="311"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125"/>
      <c r="AH311" s="125"/>
      <c r="AI311" s="5"/>
      <c r="AJ311" s="125"/>
      <c r="AK311" s="125"/>
    </row>
    <row r="312"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125"/>
      <c r="AH312" s="125"/>
      <c r="AI312" s="5"/>
      <c r="AJ312" s="125"/>
      <c r="AK312" s="125"/>
    </row>
    <row r="313"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125"/>
      <c r="AH313" s="125"/>
      <c r="AI313" s="5"/>
      <c r="AJ313" s="125"/>
      <c r="AK313" s="125"/>
    </row>
    <row r="314"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125"/>
      <c r="AH314" s="125"/>
      <c r="AI314" s="5"/>
      <c r="AJ314" s="125"/>
      <c r="AK314" s="125"/>
    </row>
    <row r="315"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125"/>
      <c r="AH315" s="125"/>
      <c r="AI315" s="5"/>
      <c r="AJ315" s="125"/>
      <c r="AK315" s="125"/>
    </row>
    <row r="316"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125"/>
      <c r="AH316" s="125"/>
      <c r="AI316" s="5"/>
      <c r="AJ316" s="125"/>
      <c r="AK316" s="125"/>
    </row>
    <row r="317"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125"/>
      <c r="AH317" s="125"/>
      <c r="AI317" s="5"/>
      <c r="AJ317" s="125"/>
      <c r="AK317" s="125"/>
    </row>
    <row r="318"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125"/>
      <c r="AH318" s="125"/>
      <c r="AI318" s="5"/>
      <c r="AJ318" s="125"/>
      <c r="AK318" s="125"/>
    </row>
    <row r="319"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125"/>
      <c r="AH319" s="125"/>
      <c r="AI319" s="5"/>
      <c r="AJ319" s="125"/>
      <c r="AK319" s="125"/>
    </row>
    <row r="320"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125"/>
      <c r="AH320" s="125"/>
      <c r="AI320" s="5"/>
      <c r="AJ320" s="125"/>
      <c r="AK320" s="125"/>
    </row>
    <row r="321"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125"/>
      <c r="AH321" s="125"/>
      <c r="AI321" s="5"/>
      <c r="AJ321" s="125"/>
      <c r="AK321" s="125"/>
    </row>
    <row r="322"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125"/>
      <c r="AH322" s="125"/>
      <c r="AI322" s="5"/>
      <c r="AJ322" s="125"/>
      <c r="AK322" s="125"/>
    </row>
    <row r="323"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125"/>
      <c r="AH323" s="125"/>
      <c r="AI323" s="5"/>
      <c r="AJ323" s="125"/>
      <c r="AK323" s="125"/>
    </row>
    <row r="324"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125"/>
      <c r="AH324" s="125"/>
      <c r="AI324" s="5"/>
      <c r="AJ324" s="125"/>
      <c r="AK324" s="125"/>
    </row>
    <row r="325"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125"/>
      <c r="AH325" s="125"/>
      <c r="AI325" s="5"/>
      <c r="AJ325" s="125"/>
      <c r="AK325" s="125"/>
    </row>
    <row r="326"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125"/>
      <c r="AH326" s="125"/>
      <c r="AI326" s="5"/>
      <c r="AJ326" s="125"/>
      <c r="AK326" s="125"/>
    </row>
    <row r="327"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125"/>
      <c r="AH327" s="125"/>
      <c r="AI327" s="5"/>
      <c r="AJ327" s="125"/>
      <c r="AK327" s="125"/>
    </row>
    <row r="328"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125"/>
      <c r="AH328" s="125"/>
      <c r="AI328" s="5"/>
      <c r="AJ328" s="125"/>
      <c r="AK328" s="125"/>
    </row>
    <row r="329"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125"/>
      <c r="AH329" s="125"/>
      <c r="AI329" s="5"/>
      <c r="AJ329" s="125"/>
      <c r="AK329" s="125"/>
    </row>
    <row r="330"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125"/>
      <c r="AH330" s="125"/>
      <c r="AI330" s="5"/>
      <c r="AJ330" s="125"/>
      <c r="AK330" s="125"/>
    </row>
    <row r="331"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125"/>
      <c r="AH331" s="125"/>
      <c r="AI331" s="5"/>
      <c r="AJ331" s="125"/>
      <c r="AK331" s="125"/>
    </row>
    <row r="332"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125"/>
      <c r="AH332" s="125"/>
      <c r="AI332" s="5"/>
      <c r="AJ332" s="125"/>
      <c r="AK332" s="125"/>
    </row>
    <row r="333"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125"/>
      <c r="AH333" s="125"/>
      <c r="AI333" s="5"/>
      <c r="AJ333" s="125"/>
      <c r="AK333" s="125"/>
    </row>
    <row r="334"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125"/>
      <c r="AH334" s="125"/>
      <c r="AI334" s="5"/>
      <c r="AJ334" s="125"/>
      <c r="AK334" s="125"/>
    </row>
    <row r="335"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125"/>
      <c r="AH335" s="125"/>
      <c r="AI335" s="5"/>
      <c r="AJ335" s="125"/>
      <c r="AK335" s="125"/>
    </row>
    <row r="336"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125"/>
      <c r="AH336" s="125"/>
      <c r="AI336" s="5"/>
      <c r="AJ336" s="125"/>
      <c r="AK336" s="125"/>
    </row>
    <row r="337"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125"/>
      <c r="AH337" s="125"/>
      <c r="AI337" s="5"/>
      <c r="AJ337" s="125"/>
      <c r="AK337" s="125"/>
    </row>
    <row r="338"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125"/>
      <c r="AH338" s="125"/>
      <c r="AI338" s="5"/>
      <c r="AJ338" s="125"/>
      <c r="AK338" s="125"/>
    </row>
    <row r="339"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125"/>
      <c r="AH339" s="125"/>
      <c r="AI339" s="5"/>
      <c r="AJ339" s="125"/>
      <c r="AK339" s="125"/>
    </row>
    <row r="340"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125"/>
      <c r="AH340" s="125"/>
      <c r="AI340" s="5"/>
      <c r="AJ340" s="125"/>
      <c r="AK340" s="125"/>
    </row>
    <row r="341"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125"/>
      <c r="AH341" s="125"/>
      <c r="AI341" s="5"/>
      <c r="AJ341" s="125"/>
      <c r="AK341" s="125"/>
    </row>
    <row r="342"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125"/>
      <c r="AH342" s="125"/>
      <c r="AI342" s="5"/>
      <c r="AJ342" s="125"/>
      <c r="AK342" s="125"/>
    </row>
    <row r="343"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125"/>
      <c r="AH343" s="125"/>
      <c r="AI343" s="5"/>
      <c r="AJ343" s="125"/>
      <c r="AK343" s="125"/>
    </row>
    <row r="344"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125"/>
      <c r="AH344" s="125"/>
      <c r="AI344" s="5"/>
      <c r="AJ344" s="125"/>
      <c r="AK344" s="125"/>
    </row>
    <row r="345"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125"/>
      <c r="AH345" s="125"/>
      <c r="AI345" s="5"/>
      <c r="AJ345" s="125"/>
      <c r="AK345" s="125"/>
    </row>
    <row r="346"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125"/>
      <c r="AH346" s="125"/>
      <c r="AI346" s="5"/>
      <c r="AJ346" s="125"/>
      <c r="AK346" s="125"/>
    </row>
    <row r="347"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125"/>
      <c r="AH347" s="125"/>
      <c r="AI347" s="5"/>
      <c r="AJ347" s="125"/>
      <c r="AK347" s="125"/>
    </row>
    <row r="348"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125"/>
      <c r="AH348" s="125"/>
      <c r="AI348" s="5"/>
      <c r="AJ348" s="125"/>
      <c r="AK348" s="125"/>
    </row>
    <row r="349"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125"/>
      <c r="AH349" s="125"/>
      <c r="AI349" s="5"/>
      <c r="AJ349" s="125"/>
      <c r="AK349" s="125"/>
    </row>
    <row r="350"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125"/>
      <c r="AH350" s="125"/>
      <c r="AI350" s="5"/>
      <c r="AJ350" s="125"/>
      <c r="AK350" s="125"/>
    </row>
    <row r="351"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125"/>
      <c r="AH351" s="125"/>
      <c r="AI351" s="5"/>
      <c r="AJ351" s="125"/>
      <c r="AK351" s="125"/>
    </row>
    <row r="352"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125"/>
      <c r="AH352" s="125"/>
      <c r="AI352" s="5"/>
      <c r="AJ352" s="125"/>
      <c r="AK352" s="125"/>
    </row>
    <row r="353"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125"/>
      <c r="AH353" s="125"/>
      <c r="AI353" s="5"/>
      <c r="AJ353" s="125"/>
      <c r="AK353" s="125"/>
    </row>
    <row r="354"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125"/>
      <c r="AH354" s="125"/>
      <c r="AI354" s="5"/>
      <c r="AJ354" s="125"/>
      <c r="AK354" s="125"/>
    </row>
    <row r="355"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125"/>
      <c r="AH355" s="125"/>
      <c r="AI355" s="5"/>
      <c r="AJ355" s="125"/>
      <c r="AK355" s="125"/>
    </row>
    <row r="356"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125"/>
      <c r="AH356" s="125"/>
      <c r="AI356" s="5"/>
      <c r="AJ356" s="125"/>
      <c r="AK356" s="125"/>
    </row>
    <row r="357"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125"/>
      <c r="AH357" s="125"/>
      <c r="AI357" s="5"/>
      <c r="AJ357" s="125"/>
      <c r="AK357" s="125"/>
    </row>
    <row r="358"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125"/>
      <c r="AH358" s="125"/>
      <c r="AI358" s="5"/>
      <c r="AJ358" s="125"/>
      <c r="AK358" s="125"/>
    </row>
    <row r="359"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125"/>
      <c r="AH359" s="125"/>
      <c r="AI359" s="5"/>
      <c r="AJ359" s="125"/>
      <c r="AK359" s="125"/>
    </row>
    <row r="360"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125"/>
      <c r="AH360" s="125"/>
      <c r="AI360" s="5"/>
      <c r="AJ360" s="125"/>
      <c r="AK360" s="125"/>
    </row>
    <row r="361"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125"/>
      <c r="AH361" s="125"/>
      <c r="AI361" s="5"/>
      <c r="AJ361" s="125"/>
      <c r="AK361" s="125"/>
    </row>
    <row r="362"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125"/>
      <c r="AH362" s="125"/>
      <c r="AI362" s="5"/>
      <c r="AJ362" s="125"/>
      <c r="AK362" s="125"/>
    </row>
    <row r="363"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125"/>
      <c r="AH363" s="125"/>
      <c r="AI363" s="5"/>
      <c r="AJ363" s="125"/>
      <c r="AK363" s="125"/>
    </row>
    <row r="364"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125"/>
      <c r="AH364" s="125"/>
      <c r="AI364" s="5"/>
      <c r="AJ364" s="125"/>
      <c r="AK364" s="125"/>
    </row>
    <row r="365"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125"/>
      <c r="AH365" s="125"/>
      <c r="AI365" s="5"/>
      <c r="AJ365" s="125"/>
      <c r="AK365" s="125"/>
    </row>
    <row r="366"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125"/>
      <c r="AH366" s="125"/>
      <c r="AI366" s="5"/>
      <c r="AJ366" s="125"/>
      <c r="AK366" s="125"/>
    </row>
    <row r="367"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125"/>
      <c r="AH367" s="125"/>
      <c r="AI367" s="5"/>
      <c r="AJ367" s="125"/>
      <c r="AK367" s="125"/>
    </row>
    <row r="368"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125"/>
      <c r="AH368" s="125"/>
      <c r="AI368" s="5"/>
      <c r="AJ368" s="125"/>
      <c r="AK368" s="125"/>
    </row>
    <row r="369"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125"/>
      <c r="AH369" s="125"/>
      <c r="AI369" s="5"/>
      <c r="AJ369" s="125"/>
      <c r="AK369" s="125"/>
    </row>
    <row r="370"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125"/>
      <c r="AH370" s="125"/>
      <c r="AI370" s="5"/>
      <c r="AJ370" s="125"/>
      <c r="AK370" s="125"/>
    </row>
    <row r="371"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125"/>
      <c r="AH371" s="125"/>
      <c r="AI371" s="5"/>
      <c r="AJ371" s="125"/>
      <c r="AK371" s="125"/>
    </row>
    <row r="372"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125"/>
      <c r="AH372" s="125"/>
      <c r="AI372" s="5"/>
      <c r="AJ372" s="125"/>
      <c r="AK372" s="125"/>
    </row>
    <row r="373"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125"/>
      <c r="AH373" s="125"/>
      <c r="AI373" s="5"/>
      <c r="AJ373" s="125"/>
      <c r="AK373" s="125"/>
    </row>
    <row r="374"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125"/>
      <c r="AH374" s="125"/>
      <c r="AI374" s="5"/>
      <c r="AJ374" s="125"/>
      <c r="AK374" s="125"/>
    </row>
    <row r="375"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125"/>
      <c r="AH375" s="125"/>
      <c r="AI375" s="5"/>
      <c r="AJ375" s="125"/>
      <c r="AK375" s="125"/>
    </row>
    <row r="376"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125"/>
      <c r="AH376" s="125"/>
      <c r="AI376" s="5"/>
      <c r="AJ376" s="125"/>
      <c r="AK376" s="125"/>
    </row>
    <row r="377"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125"/>
      <c r="AH377" s="125"/>
      <c r="AI377" s="5"/>
      <c r="AJ377" s="125"/>
      <c r="AK377" s="125"/>
    </row>
    <row r="378"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125"/>
      <c r="AH378" s="125"/>
      <c r="AI378" s="5"/>
      <c r="AJ378" s="125"/>
      <c r="AK378" s="125"/>
    </row>
    <row r="379"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125"/>
      <c r="AH379" s="125"/>
      <c r="AI379" s="5"/>
      <c r="AJ379" s="125"/>
      <c r="AK379" s="125"/>
    </row>
    <row r="380"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125"/>
      <c r="AH380" s="125"/>
      <c r="AI380" s="5"/>
      <c r="AJ380" s="125"/>
      <c r="AK380" s="125"/>
    </row>
    <row r="381"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125"/>
      <c r="AH381" s="125"/>
      <c r="AI381" s="5"/>
      <c r="AJ381" s="125"/>
      <c r="AK381" s="125"/>
    </row>
    <row r="382"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125"/>
      <c r="AH382" s="125"/>
      <c r="AI382" s="5"/>
      <c r="AJ382" s="125"/>
      <c r="AK382" s="125"/>
    </row>
    <row r="383"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125"/>
      <c r="AH383" s="125"/>
      <c r="AI383" s="5"/>
      <c r="AJ383" s="125"/>
      <c r="AK383" s="125"/>
    </row>
    <row r="384"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125"/>
      <c r="AH384" s="125"/>
      <c r="AI384" s="5"/>
      <c r="AJ384" s="125"/>
      <c r="AK384" s="125"/>
    </row>
    <row r="385"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125"/>
      <c r="AH385" s="125"/>
      <c r="AI385" s="5"/>
      <c r="AJ385" s="125"/>
      <c r="AK385" s="125"/>
    </row>
    <row r="386"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125"/>
      <c r="AH386" s="125"/>
      <c r="AI386" s="5"/>
      <c r="AJ386" s="125"/>
      <c r="AK386" s="125"/>
    </row>
    <row r="387"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125"/>
      <c r="AH387" s="125"/>
      <c r="AI387" s="5"/>
      <c r="AJ387" s="125"/>
      <c r="AK387" s="125"/>
    </row>
    <row r="388"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125"/>
      <c r="AH388" s="125"/>
      <c r="AI388" s="5"/>
      <c r="AJ388" s="125"/>
      <c r="AK388" s="125"/>
    </row>
    <row r="389"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125"/>
      <c r="AH389" s="125"/>
      <c r="AI389" s="5"/>
      <c r="AJ389" s="125"/>
      <c r="AK389" s="125"/>
    </row>
    <row r="390"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125"/>
      <c r="AH390" s="125"/>
      <c r="AI390" s="5"/>
      <c r="AJ390" s="125"/>
      <c r="AK390" s="125"/>
    </row>
    <row r="391"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125"/>
      <c r="AH391" s="125"/>
      <c r="AI391" s="5"/>
      <c r="AJ391" s="125"/>
      <c r="AK391" s="125"/>
    </row>
    <row r="392"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125"/>
      <c r="AH392" s="125"/>
      <c r="AI392" s="5"/>
      <c r="AJ392" s="125"/>
      <c r="AK392" s="125"/>
    </row>
    <row r="393"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125"/>
      <c r="AH393" s="125"/>
      <c r="AI393" s="5"/>
      <c r="AJ393" s="125"/>
      <c r="AK393" s="125"/>
    </row>
    <row r="394"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125"/>
      <c r="AH394" s="125"/>
      <c r="AI394" s="5"/>
      <c r="AJ394" s="125"/>
      <c r="AK394" s="125"/>
    </row>
    <row r="395"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125"/>
      <c r="AH395" s="125"/>
      <c r="AI395" s="5"/>
      <c r="AJ395" s="125"/>
      <c r="AK395" s="125"/>
    </row>
    <row r="396"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125"/>
      <c r="AH396" s="125"/>
      <c r="AI396" s="5"/>
      <c r="AJ396" s="125"/>
      <c r="AK396" s="125"/>
    </row>
    <row r="397"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125"/>
      <c r="AH397" s="125"/>
      <c r="AI397" s="5"/>
      <c r="AJ397" s="125"/>
      <c r="AK397" s="125"/>
    </row>
    <row r="398"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125"/>
      <c r="AH398" s="125"/>
      <c r="AI398" s="5"/>
      <c r="AJ398" s="125"/>
      <c r="AK398" s="125"/>
    </row>
    <row r="399"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125"/>
      <c r="AH399" s="125"/>
      <c r="AI399" s="5"/>
      <c r="AJ399" s="125"/>
      <c r="AK399" s="125"/>
    </row>
    <row r="400"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125"/>
      <c r="AH400" s="125"/>
      <c r="AI400" s="5"/>
      <c r="AJ400" s="125"/>
      <c r="AK400" s="125"/>
    </row>
    <row r="401"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125"/>
      <c r="AH401" s="125"/>
      <c r="AI401" s="5"/>
      <c r="AJ401" s="125"/>
      <c r="AK401" s="125"/>
    </row>
    <row r="402"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125"/>
      <c r="AH402" s="125"/>
      <c r="AI402" s="5"/>
      <c r="AJ402" s="125"/>
      <c r="AK402" s="125"/>
    </row>
    <row r="403"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125"/>
      <c r="AH403" s="125"/>
      <c r="AI403" s="5"/>
      <c r="AJ403" s="125"/>
      <c r="AK403" s="125"/>
    </row>
    <row r="404"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125"/>
      <c r="AH404" s="125"/>
      <c r="AI404" s="5"/>
      <c r="AJ404" s="125"/>
      <c r="AK404" s="125"/>
    </row>
    <row r="405"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125"/>
      <c r="AH405" s="125"/>
      <c r="AI405" s="5"/>
      <c r="AJ405" s="125"/>
      <c r="AK405" s="125"/>
    </row>
    <row r="406"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125"/>
      <c r="AH406" s="125"/>
      <c r="AI406" s="5"/>
      <c r="AJ406" s="125"/>
      <c r="AK406" s="125"/>
    </row>
    <row r="407"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125"/>
      <c r="AH407" s="125"/>
      <c r="AI407" s="5"/>
      <c r="AJ407" s="125"/>
      <c r="AK407" s="125"/>
    </row>
    <row r="408"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125"/>
      <c r="AH408" s="125"/>
      <c r="AI408" s="5"/>
      <c r="AJ408" s="125"/>
      <c r="AK408" s="125"/>
    </row>
    <row r="409"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125"/>
      <c r="AH409" s="125"/>
      <c r="AI409" s="5"/>
      <c r="AJ409" s="125"/>
      <c r="AK409" s="125"/>
    </row>
    <row r="410"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125"/>
      <c r="AH410" s="125"/>
      <c r="AI410" s="5"/>
      <c r="AJ410" s="125"/>
      <c r="AK410" s="125"/>
    </row>
    <row r="411"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125"/>
      <c r="AH411" s="125"/>
      <c r="AI411" s="5"/>
      <c r="AJ411" s="125"/>
      <c r="AK411" s="125"/>
    </row>
    <row r="412"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125"/>
      <c r="AH412" s="125"/>
      <c r="AI412" s="5"/>
      <c r="AJ412" s="125"/>
      <c r="AK412" s="125"/>
    </row>
    <row r="413"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125"/>
      <c r="AH413" s="125"/>
      <c r="AI413" s="5"/>
      <c r="AJ413" s="125"/>
      <c r="AK413" s="125"/>
    </row>
    <row r="414"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125"/>
      <c r="AH414" s="125"/>
      <c r="AI414" s="5"/>
      <c r="AJ414" s="125"/>
      <c r="AK414" s="125"/>
    </row>
    <row r="415"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125"/>
      <c r="AH415" s="125"/>
      <c r="AI415" s="5"/>
      <c r="AJ415" s="125"/>
      <c r="AK415" s="125"/>
    </row>
    <row r="416"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125"/>
      <c r="AH416" s="125"/>
      <c r="AI416" s="5"/>
      <c r="AJ416" s="125"/>
      <c r="AK416" s="125"/>
    </row>
    <row r="417"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125"/>
      <c r="AH417" s="125"/>
      <c r="AI417" s="5"/>
      <c r="AJ417" s="125"/>
      <c r="AK417" s="125"/>
    </row>
    <row r="418"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125"/>
      <c r="AH418" s="125"/>
      <c r="AI418" s="5"/>
      <c r="AJ418" s="125"/>
      <c r="AK418" s="125"/>
    </row>
    <row r="419"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125"/>
      <c r="AH419" s="125"/>
      <c r="AI419" s="5"/>
      <c r="AJ419" s="125"/>
      <c r="AK419" s="125"/>
    </row>
    <row r="420"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125"/>
      <c r="AH420" s="125"/>
      <c r="AI420" s="5"/>
      <c r="AJ420" s="125"/>
      <c r="AK420" s="125"/>
    </row>
    <row r="421"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125"/>
      <c r="AH421" s="125"/>
      <c r="AI421" s="5"/>
      <c r="AJ421" s="125"/>
      <c r="AK421" s="125"/>
    </row>
    <row r="422"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125"/>
      <c r="AH422" s="125"/>
      <c r="AI422" s="5"/>
      <c r="AJ422" s="125"/>
      <c r="AK422" s="125"/>
    </row>
    <row r="423"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125"/>
      <c r="AH423" s="125"/>
      <c r="AI423" s="5"/>
      <c r="AJ423" s="125"/>
      <c r="AK423" s="125"/>
    </row>
    <row r="424"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125"/>
      <c r="AH424" s="125"/>
      <c r="AI424" s="5"/>
      <c r="AJ424" s="125"/>
      <c r="AK424" s="125"/>
    </row>
    <row r="425"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125"/>
      <c r="AH425" s="125"/>
      <c r="AI425" s="5"/>
      <c r="AJ425" s="125"/>
      <c r="AK425" s="125"/>
    </row>
    <row r="426"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125"/>
      <c r="AH426" s="125"/>
      <c r="AI426" s="5"/>
      <c r="AJ426" s="125"/>
      <c r="AK426" s="125"/>
    </row>
    <row r="427"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125"/>
      <c r="AH427" s="125"/>
      <c r="AI427" s="5"/>
      <c r="AJ427" s="125"/>
      <c r="AK427" s="125"/>
    </row>
    <row r="428"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125"/>
      <c r="AH428" s="125"/>
      <c r="AI428" s="5"/>
      <c r="AJ428" s="125"/>
      <c r="AK428" s="125"/>
    </row>
    <row r="429"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125"/>
      <c r="AH429" s="125"/>
      <c r="AI429" s="5"/>
      <c r="AJ429" s="125"/>
      <c r="AK429" s="125"/>
    </row>
    <row r="430"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125"/>
      <c r="AH430" s="125"/>
      <c r="AI430" s="5"/>
      <c r="AJ430" s="125"/>
      <c r="AK430" s="125"/>
    </row>
    <row r="431"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125"/>
      <c r="AH431" s="125"/>
      <c r="AI431" s="5"/>
      <c r="AJ431" s="125"/>
      <c r="AK431" s="125"/>
    </row>
    <row r="432"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125"/>
      <c r="AH432" s="125"/>
      <c r="AI432" s="5"/>
      <c r="AJ432" s="125"/>
      <c r="AK432" s="125"/>
    </row>
    <row r="433"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125"/>
      <c r="AH433" s="125"/>
      <c r="AI433" s="5"/>
      <c r="AJ433" s="125"/>
      <c r="AK433" s="125"/>
    </row>
    <row r="434"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125"/>
      <c r="AH434" s="125"/>
      <c r="AI434" s="5"/>
      <c r="AJ434" s="125"/>
      <c r="AK434" s="125"/>
    </row>
    <row r="435"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125"/>
      <c r="AH435" s="125"/>
      <c r="AI435" s="5"/>
      <c r="AJ435" s="125"/>
      <c r="AK435" s="125"/>
    </row>
    <row r="436"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125"/>
      <c r="AH436" s="125"/>
      <c r="AI436" s="5"/>
      <c r="AJ436" s="125"/>
      <c r="AK436" s="125"/>
    </row>
    <row r="437"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125"/>
      <c r="AH437" s="125"/>
      <c r="AI437" s="5"/>
      <c r="AJ437" s="125"/>
      <c r="AK437" s="125"/>
    </row>
    <row r="438"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125"/>
      <c r="AH438" s="125"/>
      <c r="AI438" s="5"/>
      <c r="AJ438" s="125"/>
      <c r="AK438" s="125"/>
    </row>
    <row r="439"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125"/>
      <c r="AH439" s="125"/>
      <c r="AI439" s="5"/>
      <c r="AJ439" s="125"/>
      <c r="AK439" s="125"/>
    </row>
    <row r="440"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125"/>
      <c r="AH440" s="125"/>
      <c r="AI440" s="5"/>
      <c r="AJ440" s="125"/>
      <c r="AK440" s="125"/>
    </row>
    <row r="441"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125"/>
      <c r="AH441" s="125"/>
      <c r="AI441" s="5"/>
      <c r="AJ441" s="125"/>
      <c r="AK441" s="125"/>
    </row>
    <row r="442"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125"/>
      <c r="AH442" s="125"/>
      <c r="AI442" s="5"/>
      <c r="AJ442" s="125"/>
      <c r="AK442" s="125"/>
    </row>
    <row r="443"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125"/>
      <c r="AH443" s="125"/>
      <c r="AI443" s="5"/>
      <c r="AJ443" s="125"/>
      <c r="AK443" s="125"/>
    </row>
    <row r="444"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125"/>
      <c r="AH444" s="125"/>
      <c r="AI444" s="5"/>
      <c r="AJ444" s="125"/>
      <c r="AK444" s="125"/>
    </row>
    <row r="445"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125"/>
      <c r="AH445" s="125"/>
      <c r="AI445" s="5"/>
      <c r="AJ445" s="125"/>
      <c r="AK445" s="125"/>
    </row>
    <row r="446"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125"/>
      <c r="AH446" s="125"/>
      <c r="AI446" s="5"/>
      <c r="AJ446" s="125"/>
      <c r="AK446" s="125"/>
    </row>
    <row r="447"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125"/>
      <c r="AH447" s="125"/>
      <c r="AI447" s="5"/>
      <c r="AJ447" s="125"/>
      <c r="AK447" s="125"/>
    </row>
    <row r="448"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125"/>
      <c r="AH448" s="125"/>
      <c r="AI448" s="5"/>
      <c r="AJ448" s="125"/>
      <c r="AK448" s="125"/>
    </row>
    <row r="449"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125"/>
      <c r="AH449" s="125"/>
      <c r="AI449" s="5"/>
      <c r="AJ449" s="125"/>
      <c r="AK449" s="125"/>
    </row>
    <row r="450"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125"/>
      <c r="AH450" s="125"/>
      <c r="AI450" s="5"/>
      <c r="AJ450" s="125"/>
      <c r="AK450" s="125"/>
    </row>
    <row r="451"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125"/>
      <c r="AH451" s="125"/>
      <c r="AI451" s="5"/>
      <c r="AJ451" s="125"/>
      <c r="AK451" s="125"/>
    </row>
    <row r="452"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125"/>
      <c r="AH452" s="125"/>
      <c r="AI452" s="5"/>
      <c r="AJ452" s="125"/>
      <c r="AK452" s="125"/>
    </row>
    <row r="453"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125"/>
      <c r="AH453" s="125"/>
      <c r="AI453" s="5"/>
      <c r="AJ453" s="125"/>
      <c r="AK453" s="125"/>
    </row>
    <row r="454"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125"/>
      <c r="AH454" s="125"/>
      <c r="AI454" s="5"/>
      <c r="AJ454" s="125"/>
      <c r="AK454" s="125"/>
    </row>
    <row r="455"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125"/>
      <c r="AH455" s="125"/>
      <c r="AI455" s="5"/>
      <c r="AJ455" s="125"/>
      <c r="AK455" s="125"/>
    </row>
    <row r="456"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125"/>
      <c r="AH456" s="125"/>
      <c r="AI456" s="5"/>
      <c r="AJ456" s="125"/>
      <c r="AK456" s="125"/>
    </row>
    <row r="457"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125"/>
      <c r="AH457" s="125"/>
      <c r="AI457" s="5"/>
      <c r="AJ457" s="125"/>
      <c r="AK457" s="125"/>
    </row>
    <row r="458"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125"/>
      <c r="AH458" s="125"/>
      <c r="AI458" s="5"/>
      <c r="AJ458" s="125"/>
      <c r="AK458" s="125"/>
    </row>
    <row r="459"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125"/>
      <c r="AH459" s="125"/>
      <c r="AI459" s="5"/>
      <c r="AJ459" s="125"/>
      <c r="AK459" s="125"/>
    </row>
    <row r="460"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125"/>
      <c r="AH460" s="125"/>
      <c r="AI460" s="5"/>
      <c r="AJ460" s="125"/>
      <c r="AK460" s="125"/>
    </row>
    <row r="461"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125"/>
      <c r="AH461" s="125"/>
      <c r="AI461" s="5"/>
      <c r="AJ461" s="125"/>
      <c r="AK461" s="125"/>
    </row>
    <row r="462"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125"/>
      <c r="AH462" s="125"/>
      <c r="AI462" s="5"/>
      <c r="AJ462" s="125"/>
      <c r="AK462" s="125"/>
    </row>
    <row r="463"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125"/>
      <c r="AH463" s="125"/>
      <c r="AI463" s="5"/>
      <c r="AJ463" s="125"/>
      <c r="AK463" s="125"/>
    </row>
    <row r="464"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125"/>
      <c r="AH464" s="125"/>
      <c r="AI464" s="5"/>
      <c r="AJ464" s="125"/>
      <c r="AK464" s="125"/>
    </row>
    <row r="465"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125"/>
      <c r="AH465" s="125"/>
      <c r="AI465" s="5"/>
      <c r="AJ465" s="125"/>
      <c r="AK465" s="125"/>
    </row>
    <row r="466"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125"/>
      <c r="AH466" s="125"/>
      <c r="AI466" s="5"/>
      <c r="AJ466" s="125"/>
      <c r="AK466" s="125"/>
    </row>
    <row r="467"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125"/>
      <c r="AH467" s="125"/>
      <c r="AI467" s="5"/>
      <c r="AJ467" s="125"/>
      <c r="AK467" s="125"/>
    </row>
    <row r="468"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125"/>
      <c r="AH468" s="125"/>
      <c r="AI468" s="5"/>
      <c r="AJ468" s="125"/>
      <c r="AK468" s="125"/>
    </row>
    <row r="469"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125"/>
      <c r="AH469" s="125"/>
      <c r="AI469" s="5"/>
      <c r="AJ469" s="125"/>
      <c r="AK469" s="125"/>
    </row>
    <row r="470"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125"/>
      <c r="AH470" s="125"/>
      <c r="AI470" s="5"/>
      <c r="AJ470" s="125"/>
      <c r="AK470" s="125"/>
    </row>
    <row r="471"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125"/>
      <c r="AH471" s="125"/>
      <c r="AI471" s="5"/>
      <c r="AJ471" s="125"/>
      <c r="AK471" s="125"/>
    </row>
    <row r="472"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125"/>
      <c r="AH472" s="125"/>
      <c r="AI472" s="5"/>
      <c r="AJ472" s="125"/>
      <c r="AK472" s="125"/>
    </row>
    <row r="473"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125"/>
      <c r="AH473" s="125"/>
      <c r="AI473" s="5"/>
      <c r="AJ473" s="125"/>
      <c r="AK473" s="125"/>
    </row>
    <row r="474"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125"/>
      <c r="AH474" s="125"/>
      <c r="AI474" s="5"/>
      <c r="AJ474" s="125"/>
      <c r="AK474" s="125"/>
    </row>
    <row r="475"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125"/>
      <c r="AH475" s="125"/>
      <c r="AI475" s="5"/>
      <c r="AJ475" s="125"/>
      <c r="AK475" s="125"/>
    </row>
    <row r="476"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125"/>
      <c r="AH476" s="125"/>
      <c r="AI476" s="5"/>
      <c r="AJ476" s="125"/>
      <c r="AK476" s="125"/>
    </row>
    <row r="477"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125"/>
      <c r="AH477" s="125"/>
      <c r="AI477" s="5"/>
      <c r="AJ477" s="125"/>
      <c r="AK477" s="125"/>
    </row>
    <row r="478"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125"/>
      <c r="AH478" s="125"/>
      <c r="AI478" s="5"/>
      <c r="AJ478" s="125"/>
      <c r="AK478" s="125"/>
    </row>
    <row r="479"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125"/>
      <c r="AH479" s="125"/>
      <c r="AI479" s="5"/>
      <c r="AJ479" s="125"/>
      <c r="AK479" s="125"/>
    </row>
    <row r="480"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125"/>
      <c r="AH480" s="125"/>
      <c r="AI480" s="5"/>
      <c r="AJ480" s="125"/>
      <c r="AK480" s="125"/>
    </row>
    <row r="481"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125"/>
      <c r="AH481" s="125"/>
      <c r="AI481" s="5"/>
      <c r="AJ481" s="125"/>
      <c r="AK481" s="125"/>
    </row>
    <row r="482"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125"/>
      <c r="AH482" s="125"/>
      <c r="AI482" s="5"/>
      <c r="AJ482" s="125"/>
      <c r="AK482" s="125"/>
    </row>
    <row r="483"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125"/>
      <c r="AH483" s="125"/>
      <c r="AI483" s="5"/>
      <c r="AJ483" s="125"/>
      <c r="AK483" s="125"/>
    </row>
    <row r="484"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125"/>
      <c r="AH484" s="125"/>
      <c r="AI484" s="5"/>
      <c r="AJ484" s="125"/>
      <c r="AK484" s="125"/>
    </row>
    <row r="485"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125"/>
      <c r="AH485" s="125"/>
      <c r="AI485" s="5"/>
      <c r="AJ485" s="125"/>
      <c r="AK485" s="125"/>
    </row>
    <row r="486"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125"/>
      <c r="AH486" s="125"/>
      <c r="AI486" s="5"/>
      <c r="AJ486" s="125"/>
      <c r="AK486" s="125"/>
    </row>
    <row r="487"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125"/>
      <c r="AH487" s="125"/>
      <c r="AI487" s="5"/>
      <c r="AJ487" s="125"/>
      <c r="AK487" s="125"/>
    </row>
    <row r="488"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125"/>
      <c r="AH488" s="125"/>
      <c r="AI488" s="5"/>
      <c r="AJ488" s="125"/>
      <c r="AK488" s="125"/>
    </row>
    <row r="489"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125"/>
      <c r="AH489" s="125"/>
      <c r="AI489" s="5"/>
      <c r="AJ489" s="125"/>
      <c r="AK489" s="125"/>
    </row>
    <row r="490"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125"/>
      <c r="AH490" s="125"/>
      <c r="AI490" s="5"/>
      <c r="AJ490" s="125"/>
      <c r="AK490" s="125"/>
    </row>
    <row r="491"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125"/>
      <c r="AH491" s="125"/>
      <c r="AI491" s="5"/>
      <c r="AJ491" s="125"/>
      <c r="AK491" s="125"/>
    </row>
    <row r="492"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125"/>
      <c r="AH492" s="125"/>
      <c r="AI492" s="5"/>
      <c r="AJ492" s="125"/>
      <c r="AK492" s="125"/>
    </row>
    <row r="493"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125"/>
      <c r="AH493" s="125"/>
      <c r="AI493" s="5"/>
      <c r="AJ493" s="125"/>
      <c r="AK493" s="125"/>
    </row>
    <row r="494"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125"/>
      <c r="AH494" s="125"/>
      <c r="AI494" s="5"/>
      <c r="AJ494" s="125"/>
      <c r="AK494" s="125"/>
    </row>
    <row r="495"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125"/>
      <c r="AH495" s="125"/>
      <c r="AI495" s="5"/>
      <c r="AJ495" s="125"/>
      <c r="AK495" s="125"/>
    </row>
    <row r="496"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125"/>
      <c r="AH496" s="125"/>
      <c r="AI496" s="5"/>
      <c r="AJ496" s="125"/>
      <c r="AK496" s="125"/>
    </row>
    <row r="497"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125"/>
      <c r="AH497" s="125"/>
      <c r="AI497" s="5"/>
      <c r="AJ497" s="125"/>
      <c r="AK497" s="125"/>
    </row>
    <row r="498"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125"/>
      <c r="AH498" s="125"/>
      <c r="AI498" s="5"/>
      <c r="AJ498" s="125"/>
      <c r="AK498" s="125"/>
    </row>
    <row r="499"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125"/>
      <c r="AH499" s="125"/>
      <c r="AI499" s="5"/>
      <c r="AJ499" s="125"/>
      <c r="AK499" s="125"/>
    </row>
    <row r="500"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125"/>
      <c r="AH500" s="125"/>
      <c r="AI500" s="5"/>
      <c r="AJ500" s="125"/>
      <c r="AK500" s="125"/>
    </row>
    <row r="501"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125"/>
      <c r="AH501" s="125"/>
      <c r="AI501" s="5"/>
      <c r="AJ501" s="125"/>
      <c r="AK501" s="125"/>
    </row>
    <row r="502"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125"/>
      <c r="AH502" s="125"/>
      <c r="AI502" s="5"/>
      <c r="AJ502" s="125"/>
      <c r="AK502" s="125"/>
    </row>
    <row r="503"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125"/>
      <c r="AH503" s="125"/>
      <c r="AI503" s="5"/>
      <c r="AJ503" s="125"/>
      <c r="AK503" s="125"/>
    </row>
    <row r="504"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125"/>
      <c r="AH504" s="125"/>
      <c r="AI504" s="5"/>
      <c r="AJ504" s="125"/>
      <c r="AK504" s="125"/>
    </row>
    <row r="505"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125"/>
      <c r="AH505" s="125"/>
      <c r="AI505" s="5"/>
      <c r="AJ505" s="125"/>
      <c r="AK505" s="125"/>
    </row>
    <row r="506"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125"/>
      <c r="AH506" s="125"/>
      <c r="AI506" s="5"/>
      <c r="AJ506" s="125"/>
      <c r="AK506" s="125"/>
    </row>
    <row r="507"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125"/>
      <c r="AH507" s="125"/>
      <c r="AI507" s="5"/>
      <c r="AJ507" s="125"/>
      <c r="AK507" s="125"/>
    </row>
    <row r="508"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125"/>
      <c r="AH508" s="125"/>
      <c r="AI508" s="5"/>
      <c r="AJ508" s="125"/>
      <c r="AK508" s="125"/>
    </row>
    <row r="509"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125"/>
      <c r="AH509" s="125"/>
      <c r="AI509" s="5"/>
      <c r="AJ509" s="125"/>
      <c r="AK509" s="125"/>
    </row>
    <row r="510"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125"/>
      <c r="AH510" s="125"/>
      <c r="AI510" s="5"/>
      <c r="AJ510" s="125"/>
      <c r="AK510" s="125"/>
    </row>
    <row r="511"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125"/>
      <c r="AH511" s="125"/>
      <c r="AI511" s="5"/>
      <c r="AJ511" s="125"/>
      <c r="AK511" s="125"/>
    </row>
    <row r="512"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125"/>
      <c r="AH512" s="125"/>
      <c r="AI512" s="5"/>
      <c r="AJ512" s="125"/>
      <c r="AK512" s="125"/>
    </row>
    <row r="513"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125"/>
      <c r="AH513" s="125"/>
      <c r="AI513" s="5"/>
      <c r="AJ513" s="125"/>
      <c r="AK513" s="125"/>
    </row>
    <row r="514"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125"/>
      <c r="AH514" s="125"/>
      <c r="AI514" s="5"/>
      <c r="AJ514" s="125"/>
      <c r="AK514" s="125"/>
    </row>
    <row r="515"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125"/>
      <c r="AH515" s="125"/>
      <c r="AI515" s="5"/>
      <c r="AJ515" s="125"/>
      <c r="AK515" s="125"/>
    </row>
    <row r="516"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125"/>
      <c r="AH516" s="125"/>
      <c r="AI516" s="5"/>
      <c r="AJ516" s="125"/>
      <c r="AK516" s="125"/>
    </row>
    <row r="517"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125"/>
      <c r="AH517" s="125"/>
      <c r="AI517" s="5"/>
      <c r="AJ517" s="125"/>
      <c r="AK517" s="125"/>
    </row>
    <row r="518"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125"/>
      <c r="AH518" s="125"/>
      <c r="AI518" s="5"/>
      <c r="AJ518" s="125"/>
      <c r="AK518" s="125"/>
    </row>
    <row r="519"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125"/>
      <c r="AH519" s="125"/>
      <c r="AI519" s="5"/>
      <c r="AJ519" s="125"/>
      <c r="AK519" s="125"/>
    </row>
    <row r="520"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125"/>
      <c r="AH520" s="125"/>
      <c r="AI520" s="5"/>
      <c r="AJ520" s="125"/>
      <c r="AK520" s="125"/>
    </row>
    <row r="521"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125"/>
      <c r="AH521" s="125"/>
      <c r="AI521" s="5"/>
      <c r="AJ521" s="125"/>
      <c r="AK521" s="125"/>
    </row>
    <row r="522"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125"/>
      <c r="AH522" s="125"/>
      <c r="AI522" s="5"/>
      <c r="AJ522" s="125"/>
      <c r="AK522" s="125"/>
    </row>
    <row r="523"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125"/>
      <c r="AH523" s="125"/>
      <c r="AI523" s="5"/>
      <c r="AJ523" s="125"/>
      <c r="AK523" s="125"/>
    </row>
    <row r="524"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125"/>
      <c r="AH524" s="125"/>
      <c r="AI524" s="5"/>
      <c r="AJ524" s="125"/>
      <c r="AK524" s="125"/>
    </row>
    <row r="525"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125"/>
      <c r="AH525" s="125"/>
      <c r="AI525" s="5"/>
      <c r="AJ525" s="125"/>
      <c r="AK525" s="125"/>
    </row>
    <row r="526"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125"/>
      <c r="AH526" s="125"/>
      <c r="AI526" s="5"/>
      <c r="AJ526" s="125"/>
      <c r="AK526" s="125"/>
    </row>
    <row r="527"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125"/>
      <c r="AH527" s="125"/>
      <c r="AI527" s="5"/>
      <c r="AJ527" s="125"/>
      <c r="AK527" s="125"/>
    </row>
    <row r="528"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125"/>
      <c r="AH528" s="125"/>
      <c r="AI528" s="5"/>
      <c r="AJ528" s="125"/>
      <c r="AK528" s="125"/>
    </row>
    <row r="529"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125"/>
      <c r="AH529" s="125"/>
      <c r="AI529" s="5"/>
      <c r="AJ529" s="125"/>
      <c r="AK529" s="125"/>
    </row>
    <row r="530"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125"/>
      <c r="AH530" s="125"/>
      <c r="AI530" s="5"/>
      <c r="AJ530" s="125"/>
      <c r="AK530" s="125"/>
    </row>
    <row r="531"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125"/>
      <c r="AH531" s="125"/>
      <c r="AI531" s="5"/>
      <c r="AJ531" s="125"/>
      <c r="AK531" s="125"/>
    </row>
    <row r="532"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125"/>
      <c r="AH532" s="125"/>
      <c r="AI532" s="5"/>
      <c r="AJ532" s="125"/>
      <c r="AK532" s="125"/>
    </row>
    <row r="533"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125"/>
      <c r="AH533" s="125"/>
      <c r="AI533" s="5"/>
      <c r="AJ533" s="125"/>
      <c r="AK533" s="125"/>
    </row>
    <row r="534"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125"/>
      <c r="AH534" s="125"/>
      <c r="AI534" s="5"/>
      <c r="AJ534" s="125"/>
      <c r="AK534" s="125"/>
    </row>
    <row r="535"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125"/>
      <c r="AH535" s="125"/>
      <c r="AI535" s="5"/>
      <c r="AJ535" s="125"/>
      <c r="AK535" s="125"/>
    </row>
    <row r="536"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125"/>
      <c r="AH536" s="125"/>
      <c r="AI536" s="5"/>
      <c r="AJ536" s="125"/>
      <c r="AK536" s="125"/>
    </row>
    <row r="537"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125"/>
      <c r="AH537" s="125"/>
      <c r="AI537" s="5"/>
      <c r="AJ537" s="125"/>
      <c r="AK537" s="125"/>
    </row>
    <row r="538"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125"/>
      <c r="AH538" s="125"/>
      <c r="AI538" s="5"/>
      <c r="AJ538" s="125"/>
      <c r="AK538" s="125"/>
    </row>
    <row r="539"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125"/>
      <c r="AH539" s="125"/>
      <c r="AI539" s="5"/>
      <c r="AJ539" s="125"/>
      <c r="AK539" s="125"/>
    </row>
    <row r="540"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125"/>
      <c r="AH540" s="125"/>
      <c r="AI540" s="5"/>
      <c r="AJ540" s="125"/>
      <c r="AK540" s="125"/>
    </row>
    <row r="541"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125"/>
      <c r="AH541" s="125"/>
      <c r="AI541" s="5"/>
      <c r="AJ541" s="125"/>
      <c r="AK541" s="125"/>
    </row>
    <row r="542"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125"/>
      <c r="AH542" s="125"/>
      <c r="AI542" s="5"/>
      <c r="AJ542" s="125"/>
      <c r="AK542" s="125"/>
    </row>
    <row r="543"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125"/>
      <c r="AH543" s="125"/>
      <c r="AI543" s="5"/>
      <c r="AJ543" s="125"/>
      <c r="AK543" s="125"/>
    </row>
    <row r="544"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125"/>
      <c r="AH544" s="125"/>
      <c r="AI544" s="5"/>
      <c r="AJ544" s="125"/>
      <c r="AK544" s="125"/>
    </row>
    <row r="545"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125"/>
      <c r="AH545" s="125"/>
      <c r="AI545" s="5"/>
      <c r="AJ545" s="125"/>
      <c r="AK545" s="125"/>
    </row>
    <row r="546"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125"/>
      <c r="AH546" s="125"/>
      <c r="AI546" s="5"/>
      <c r="AJ546" s="125"/>
      <c r="AK546" s="125"/>
    </row>
    <row r="547"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125"/>
      <c r="AH547" s="125"/>
      <c r="AI547" s="5"/>
      <c r="AJ547" s="125"/>
      <c r="AK547" s="125"/>
    </row>
    <row r="548"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125"/>
      <c r="AH548" s="125"/>
      <c r="AI548" s="5"/>
      <c r="AJ548" s="125"/>
      <c r="AK548" s="125"/>
    </row>
    <row r="549"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125"/>
      <c r="AH549" s="125"/>
      <c r="AI549" s="5"/>
      <c r="AJ549" s="125"/>
      <c r="AK549" s="125"/>
    </row>
    <row r="550"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125"/>
      <c r="AH550" s="125"/>
      <c r="AI550" s="5"/>
      <c r="AJ550" s="125"/>
      <c r="AK550" s="125"/>
    </row>
    <row r="551"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125"/>
      <c r="AH551" s="125"/>
      <c r="AI551" s="5"/>
      <c r="AJ551" s="125"/>
      <c r="AK551" s="125"/>
    </row>
    <row r="552"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125"/>
      <c r="AH552" s="125"/>
      <c r="AI552" s="5"/>
      <c r="AJ552" s="125"/>
      <c r="AK552" s="125"/>
    </row>
    <row r="553"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125"/>
      <c r="AH553" s="125"/>
      <c r="AI553" s="5"/>
      <c r="AJ553" s="125"/>
      <c r="AK553" s="125"/>
    </row>
    <row r="554"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125"/>
      <c r="AH554" s="125"/>
      <c r="AI554" s="5"/>
      <c r="AJ554" s="125"/>
      <c r="AK554" s="125"/>
    </row>
    <row r="555"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125"/>
      <c r="AH555" s="125"/>
      <c r="AI555" s="5"/>
      <c r="AJ555" s="125"/>
      <c r="AK555" s="125"/>
    </row>
    <row r="556"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125"/>
      <c r="AH556" s="125"/>
      <c r="AI556" s="5"/>
      <c r="AJ556" s="125"/>
      <c r="AK556" s="125"/>
    </row>
    <row r="557"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125"/>
      <c r="AH557" s="125"/>
      <c r="AI557" s="5"/>
      <c r="AJ557" s="125"/>
      <c r="AK557" s="125"/>
    </row>
    <row r="558"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125"/>
      <c r="AH558" s="125"/>
      <c r="AI558" s="5"/>
      <c r="AJ558" s="125"/>
      <c r="AK558" s="125"/>
    </row>
    <row r="559"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125"/>
      <c r="AH559" s="125"/>
      <c r="AI559" s="5"/>
      <c r="AJ559" s="125"/>
      <c r="AK559" s="125"/>
    </row>
    <row r="560"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125"/>
      <c r="AH560" s="125"/>
      <c r="AI560" s="5"/>
      <c r="AJ560" s="125"/>
      <c r="AK560" s="125"/>
    </row>
    <row r="561"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125"/>
      <c r="AH561" s="125"/>
      <c r="AI561" s="5"/>
      <c r="AJ561" s="125"/>
      <c r="AK561" s="125"/>
    </row>
    <row r="562"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125"/>
      <c r="AH562" s="125"/>
      <c r="AI562" s="5"/>
      <c r="AJ562" s="125"/>
      <c r="AK562" s="125"/>
    </row>
    <row r="563"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125"/>
      <c r="AH563" s="125"/>
      <c r="AI563" s="5"/>
      <c r="AJ563" s="125"/>
      <c r="AK563" s="125"/>
    </row>
    <row r="564"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125"/>
      <c r="AH564" s="125"/>
      <c r="AI564" s="5"/>
      <c r="AJ564" s="125"/>
      <c r="AK564" s="125"/>
    </row>
    <row r="565"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125"/>
      <c r="AH565" s="125"/>
      <c r="AI565" s="5"/>
      <c r="AJ565" s="125"/>
      <c r="AK565" s="125"/>
    </row>
    <row r="566"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125"/>
      <c r="AH566" s="125"/>
      <c r="AI566" s="5"/>
      <c r="AJ566" s="125"/>
      <c r="AK566" s="125"/>
    </row>
    <row r="567"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125"/>
      <c r="AH567" s="125"/>
      <c r="AI567" s="5"/>
      <c r="AJ567" s="125"/>
      <c r="AK567" s="125"/>
    </row>
    <row r="568"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125"/>
      <c r="AH568" s="125"/>
      <c r="AI568" s="5"/>
      <c r="AJ568" s="125"/>
      <c r="AK568" s="125"/>
    </row>
    <row r="569"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125"/>
      <c r="AH569" s="125"/>
      <c r="AI569" s="5"/>
      <c r="AJ569" s="125"/>
      <c r="AK569" s="125"/>
    </row>
    <row r="570"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125"/>
      <c r="AH570" s="125"/>
      <c r="AI570" s="5"/>
      <c r="AJ570" s="125"/>
      <c r="AK570" s="125"/>
    </row>
    <row r="571"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125"/>
      <c r="AH571" s="125"/>
      <c r="AI571" s="5"/>
      <c r="AJ571" s="125"/>
      <c r="AK571" s="125"/>
    </row>
    <row r="572"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125"/>
      <c r="AH572" s="125"/>
      <c r="AI572" s="5"/>
      <c r="AJ572" s="125"/>
      <c r="AK572" s="125"/>
    </row>
    <row r="573"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125"/>
      <c r="AH573" s="125"/>
      <c r="AI573" s="5"/>
      <c r="AJ573" s="125"/>
      <c r="AK573" s="125"/>
    </row>
    <row r="574"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125"/>
      <c r="AH574" s="125"/>
      <c r="AI574" s="5"/>
      <c r="AJ574" s="125"/>
      <c r="AK574" s="125"/>
    </row>
    <row r="575"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125"/>
      <c r="AH575" s="125"/>
      <c r="AI575" s="5"/>
      <c r="AJ575" s="125"/>
      <c r="AK575" s="125"/>
    </row>
    <row r="576"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125"/>
      <c r="AH576" s="125"/>
      <c r="AI576" s="5"/>
      <c r="AJ576" s="125"/>
      <c r="AK576" s="125"/>
    </row>
    <row r="577"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125"/>
      <c r="AH577" s="125"/>
      <c r="AI577" s="5"/>
      <c r="AJ577" s="125"/>
      <c r="AK577" s="125"/>
    </row>
    <row r="578"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125"/>
      <c r="AH578" s="125"/>
      <c r="AI578" s="5"/>
      <c r="AJ578" s="125"/>
      <c r="AK578" s="125"/>
    </row>
    <row r="579"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125"/>
      <c r="AH579" s="125"/>
      <c r="AI579" s="5"/>
      <c r="AJ579" s="125"/>
      <c r="AK579" s="125"/>
    </row>
    <row r="580"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125"/>
      <c r="AH580" s="125"/>
      <c r="AI580" s="5"/>
      <c r="AJ580" s="125"/>
      <c r="AK580" s="125"/>
    </row>
    <row r="581"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125"/>
      <c r="AH581" s="125"/>
      <c r="AI581" s="5"/>
      <c r="AJ581" s="125"/>
      <c r="AK581" s="125"/>
    </row>
    <row r="582"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125"/>
      <c r="AH582" s="125"/>
      <c r="AI582" s="5"/>
      <c r="AJ582" s="125"/>
      <c r="AK582" s="125"/>
    </row>
    <row r="583"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125"/>
      <c r="AH583" s="125"/>
      <c r="AI583" s="5"/>
      <c r="AJ583" s="125"/>
      <c r="AK583" s="125"/>
    </row>
    <row r="584"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125"/>
      <c r="AH584" s="125"/>
      <c r="AI584" s="5"/>
      <c r="AJ584" s="125"/>
      <c r="AK584" s="125"/>
    </row>
    <row r="585"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125"/>
      <c r="AH585" s="125"/>
      <c r="AI585" s="5"/>
      <c r="AJ585" s="125"/>
      <c r="AK585" s="125"/>
    </row>
    <row r="586"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125"/>
      <c r="AH586" s="125"/>
      <c r="AI586" s="5"/>
      <c r="AJ586" s="125"/>
      <c r="AK586" s="125"/>
    </row>
    <row r="587"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125"/>
      <c r="AH587" s="125"/>
      <c r="AI587" s="5"/>
      <c r="AJ587" s="125"/>
      <c r="AK587" s="125"/>
    </row>
    <row r="588"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125"/>
      <c r="AH588" s="125"/>
      <c r="AI588" s="5"/>
      <c r="AJ588" s="125"/>
      <c r="AK588" s="125"/>
    </row>
    <row r="589"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125"/>
      <c r="AH589" s="125"/>
      <c r="AI589" s="5"/>
      <c r="AJ589" s="125"/>
      <c r="AK589" s="125"/>
    </row>
    <row r="590"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125"/>
      <c r="AH590" s="125"/>
      <c r="AI590" s="5"/>
      <c r="AJ590" s="125"/>
      <c r="AK590" s="125"/>
    </row>
    <row r="591"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125"/>
      <c r="AH591" s="125"/>
      <c r="AI591" s="5"/>
      <c r="AJ591" s="125"/>
      <c r="AK591" s="125"/>
    </row>
    <row r="592"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125"/>
      <c r="AH592" s="125"/>
      <c r="AI592" s="5"/>
      <c r="AJ592" s="125"/>
      <c r="AK592" s="125"/>
    </row>
    <row r="593"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125"/>
      <c r="AH593" s="125"/>
      <c r="AI593" s="5"/>
      <c r="AJ593" s="125"/>
      <c r="AK593" s="125"/>
    </row>
    <row r="594"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125"/>
      <c r="AH594" s="125"/>
      <c r="AI594" s="5"/>
      <c r="AJ594" s="125"/>
      <c r="AK594" s="125"/>
    </row>
    <row r="595"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125"/>
      <c r="AH595" s="125"/>
      <c r="AI595" s="5"/>
      <c r="AJ595" s="125"/>
      <c r="AK595" s="125"/>
    </row>
    <row r="596"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125"/>
      <c r="AH596" s="125"/>
      <c r="AI596" s="5"/>
      <c r="AJ596" s="125"/>
      <c r="AK596" s="125"/>
    </row>
    <row r="597"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125"/>
      <c r="AH597" s="125"/>
      <c r="AI597" s="5"/>
      <c r="AJ597" s="125"/>
      <c r="AK597" s="125"/>
    </row>
    <row r="598"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125"/>
      <c r="AH598" s="125"/>
      <c r="AI598" s="5"/>
      <c r="AJ598" s="125"/>
      <c r="AK598" s="125"/>
    </row>
    <row r="599"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125"/>
      <c r="AH599" s="125"/>
      <c r="AI599" s="5"/>
      <c r="AJ599" s="125"/>
      <c r="AK599" s="125"/>
    </row>
    <row r="600"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125"/>
      <c r="AH600" s="125"/>
      <c r="AI600" s="5"/>
      <c r="AJ600" s="125"/>
      <c r="AK600" s="125"/>
    </row>
    <row r="601"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125"/>
      <c r="AH601" s="125"/>
      <c r="AI601" s="5"/>
      <c r="AJ601" s="125"/>
      <c r="AK601" s="125"/>
    </row>
    <row r="602"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125"/>
      <c r="AH602" s="125"/>
      <c r="AI602" s="5"/>
      <c r="AJ602" s="125"/>
      <c r="AK602" s="125"/>
    </row>
    <row r="603"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125"/>
      <c r="AH603" s="125"/>
      <c r="AI603" s="5"/>
      <c r="AJ603" s="125"/>
      <c r="AK603" s="125"/>
    </row>
    <row r="604"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125"/>
      <c r="AH604" s="125"/>
      <c r="AI604" s="5"/>
      <c r="AJ604" s="125"/>
      <c r="AK604" s="125"/>
    </row>
    <row r="605"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125"/>
      <c r="AH605" s="125"/>
      <c r="AI605" s="5"/>
      <c r="AJ605" s="125"/>
      <c r="AK605" s="125"/>
    </row>
    <row r="606"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125"/>
      <c r="AH606" s="125"/>
      <c r="AI606" s="5"/>
      <c r="AJ606" s="125"/>
      <c r="AK606" s="125"/>
    </row>
    <row r="607"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125"/>
      <c r="AH607" s="125"/>
      <c r="AI607" s="5"/>
      <c r="AJ607" s="125"/>
      <c r="AK607" s="125"/>
    </row>
    <row r="608"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125"/>
      <c r="AH608" s="125"/>
      <c r="AI608" s="5"/>
      <c r="AJ608" s="125"/>
      <c r="AK608" s="125"/>
    </row>
    <row r="609"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125"/>
      <c r="AH609" s="125"/>
      <c r="AI609" s="5"/>
      <c r="AJ609" s="125"/>
      <c r="AK609" s="125"/>
    </row>
    <row r="610"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125"/>
      <c r="AH610" s="125"/>
      <c r="AI610" s="5"/>
      <c r="AJ610" s="125"/>
      <c r="AK610" s="125"/>
    </row>
    <row r="611"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125"/>
      <c r="AH611" s="125"/>
      <c r="AI611" s="5"/>
      <c r="AJ611" s="125"/>
      <c r="AK611" s="125"/>
    </row>
    <row r="612"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125"/>
      <c r="AH612" s="125"/>
      <c r="AI612" s="5"/>
      <c r="AJ612" s="125"/>
      <c r="AK612" s="125"/>
    </row>
    <row r="613"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125"/>
      <c r="AH613" s="125"/>
      <c r="AI613" s="5"/>
      <c r="AJ613" s="125"/>
      <c r="AK613" s="125"/>
    </row>
    <row r="614"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125"/>
      <c r="AH614" s="125"/>
      <c r="AI614" s="5"/>
      <c r="AJ614" s="125"/>
      <c r="AK614" s="125"/>
    </row>
    <row r="615"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125"/>
      <c r="AH615" s="125"/>
      <c r="AI615" s="5"/>
      <c r="AJ615" s="125"/>
      <c r="AK615" s="125"/>
    </row>
    <row r="616"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125"/>
      <c r="AH616" s="125"/>
      <c r="AI616" s="5"/>
      <c r="AJ616" s="125"/>
      <c r="AK616" s="125"/>
    </row>
    <row r="617"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125"/>
      <c r="AH617" s="125"/>
      <c r="AI617" s="5"/>
      <c r="AJ617" s="125"/>
      <c r="AK617" s="125"/>
    </row>
    <row r="618"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125"/>
      <c r="AH618" s="125"/>
      <c r="AI618" s="5"/>
      <c r="AJ618" s="125"/>
      <c r="AK618" s="125"/>
    </row>
    <row r="619"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125"/>
      <c r="AH619" s="125"/>
      <c r="AI619" s="5"/>
      <c r="AJ619" s="125"/>
      <c r="AK619" s="125"/>
    </row>
    <row r="620"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125"/>
      <c r="AH620" s="125"/>
      <c r="AI620" s="5"/>
      <c r="AJ620" s="125"/>
      <c r="AK620" s="125"/>
    </row>
    <row r="621"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125"/>
      <c r="AH621" s="125"/>
      <c r="AI621" s="5"/>
      <c r="AJ621" s="125"/>
      <c r="AK621" s="125"/>
    </row>
    <row r="622"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125"/>
      <c r="AH622" s="125"/>
      <c r="AI622" s="5"/>
      <c r="AJ622" s="125"/>
      <c r="AK622" s="125"/>
    </row>
    <row r="623"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125"/>
      <c r="AH623" s="125"/>
      <c r="AI623" s="5"/>
      <c r="AJ623" s="125"/>
      <c r="AK623" s="125"/>
    </row>
    <row r="624"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125"/>
      <c r="AH624" s="125"/>
      <c r="AI624" s="5"/>
      <c r="AJ624" s="125"/>
      <c r="AK624" s="125"/>
    </row>
    <row r="625"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125"/>
      <c r="AH625" s="125"/>
      <c r="AI625" s="5"/>
      <c r="AJ625" s="125"/>
      <c r="AK625" s="125"/>
    </row>
    <row r="626"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125"/>
      <c r="AH626" s="125"/>
      <c r="AI626" s="5"/>
      <c r="AJ626" s="125"/>
      <c r="AK626" s="125"/>
    </row>
    <row r="627"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125"/>
      <c r="AH627" s="125"/>
      <c r="AI627" s="5"/>
      <c r="AJ627" s="125"/>
      <c r="AK627" s="125"/>
    </row>
    <row r="628"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125"/>
      <c r="AH628" s="125"/>
      <c r="AI628" s="5"/>
      <c r="AJ628" s="125"/>
      <c r="AK628" s="125"/>
    </row>
    <row r="629"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125"/>
      <c r="AH629" s="125"/>
      <c r="AI629" s="5"/>
      <c r="AJ629" s="125"/>
      <c r="AK629" s="125"/>
    </row>
    <row r="630"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125"/>
      <c r="AH630" s="125"/>
      <c r="AI630" s="5"/>
      <c r="AJ630" s="125"/>
      <c r="AK630" s="125"/>
    </row>
    <row r="631"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125"/>
      <c r="AH631" s="125"/>
      <c r="AI631" s="5"/>
      <c r="AJ631" s="125"/>
      <c r="AK631" s="125"/>
    </row>
    <row r="632"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125"/>
      <c r="AH632" s="125"/>
      <c r="AI632" s="5"/>
      <c r="AJ632" s="125"/>
      <c r="AK632" s="125"/>
    </row>
    <row r="633"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125"/>
      <c r="AH633" s="125"/>
      <c r="AI633" s="5"/>
      <c r="AJ633" s="125"/>
      <c r="AK633" s="125"/>
    </row>
    <row r="634"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125"/>
      <c r="AH634" s="125"/>
      <c r="AI634" s="5"/>
      <c r="AJ634" s="125"/>
      <c r="AK634" s="125"/>
    </row>
    <row r="635"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125"/>
      <c r="AH635" s="125"/>
      <c r="AI635" s="5"/>
      <c r="AJ635" s="125"/>
      <c r="AK635" s="125"/>
    </row>
    <row r="636"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125"/>
      <c r="AH636" s="125"/>
      <c r="AI636" s="5"/>
      <c r="AJ636" s="125"/>
      <c r="AK636" s="125"/>
    </row>
    <row r="637"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125"/>
      <c r="AH637" s="125"/>
      <c r="AI637" s="5"/>
      <c r="AJ637" s="125"/>
      <c r="AK637" s="125"/>
    </row>
    <row r="638"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125"/>
      <c r="AH638" s="125"/>
      <c r="AI638" s="5"/>
      <c r="AJ638" s="125"/>
      <c r="AK638" s="125"/>
    </row>
    <row r="639"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125"/>
      <c r="AH639" s="125"/>
      <c r="AI639" s="5"/>
      <c r="AJ639" s="125"/>
      <c r="AK639" s="125"/>
    </row>
    <row r="640"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125"/>
      <c r="AH640" s="125"/>
      <c r="AI640" s="5"/>
      <c r="AJ640" s="125"/>
      <c r="AK640" s="125"/>
    </row>
    <row r="641"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125"/>
      <c r="AH641" s="125"/>
      <c r="AI641" s="5"/>
      <c r="AJ641" s="125"/>
      <c r="AK641" s="125"/>
    </row>
    <row r="642"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125"/>
      <c r="AH642" s="125"/>
      <c r="AI642" s="5"/>
      <c r="AJ642" s="125"/>
      <c r="AK642" s="125"/>
    </row>
    <row r="643"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125"/>
      <c r="AH643" s="125"/>
      <c r="AI643" s="5"/>
      <c r="AJ643" s="125"/>
      <c r="AK643" s="125"/>
    </row>
    <row r="644"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125"/>
      <c r="AH644" s="125"/>
      <c r="AI644" s="5"/>
      <c r="AJ644" s="125"/>
      <c r="AK644" s="125"/>
    </row>
    <row r="645"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125"/>
      <c r="AH645" s="125"/>
      <c r="AI645" s="5"/>
      <c r="AJ645" s="125"/>
      <c r="AK645" s="125"/>
    </row>
    <row r="646"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125"/>
      <c r="AH646" s="125"/>
      <c r="AI646" s="5"/>
      <c r="AJ646" s="125"/>
      <c r="AK646" s="125"/>
    </row>
    <row r="647"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125"/>
      <c r="AH647" s="125"/>
      <c r="AI647" s="5"/>
      <c r="AJ647" s="125"/>
      <c r="AK647" s="125"/>
    </row>
    <row r="648"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125"/>
      <c r="AH648" s="125"/>
      <c r="AI648" s="5"/>
      <c r="AJ648" s="125"/>
      <c r="AK648" s="125"/>
    </row>
    <row r="649"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125"/>
      <c r="AH649" s="125"/>
      <c r="AI649" s="5"/>
      <c r="AJ649" s="125"/>
      <c r="AK649" s="125"/>
    </row>
    <row r="650"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125"/>
      <c r="AH650" s="125"/>
      <c r="AI650" s="5"/>
      <c r="AJ650" s="125"/>
      <c r="AK650" s="125"/>
    </row>
    <row r="651"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125"/>
      <c r="AH651" s="125"/>
      <c r="AI651" s="5"/>
      <c r="AJ651" s="125"/>
      <c r="AK651" s="125"/>
    </row>
    <row r="652"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125"/>
      <c r="AH652" s="125"/>
      <c r="AI652" s="5"/>
      <c r="AJ652" s="125"/>
      <c r="AK652" s="125"/>
    </row>
    <row r="653"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125"/>
      <c r="AH653" s="125"/>
      <c r="AI653" s="5"/>
      <c r="AJ653" s="125"/>
      <c r="AK653" s="125"/>
    </row>
    <row r="654"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125"/>
      <c r="AH654" s="125"/>
      <c r="AI654" s="5"/>
      <c r="AJ654" s="125"/>
      <c r="AK654" s="125"/>
    </row>
    <row r="655"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125"/>
      <c r="AH655" s="125"/>
      <c r="AI655" s="5"/>
      <c r="AJ655" s="125"/>
      <c r="AK655" s="125"/>
    </row>
    <row r="656"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125"/>
      <c r="AH656" s="125"/>
      <c r="AI656" s="5"/>
      <c r="AJ656" s="125"/>
      <c r="AK656" s="125"/>
    </row>
    <row r="657"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125"/>
      <c r="AH657" s="125"/>
      <c r="AI657" s="5"/>
      <c r="AJ657" s="125"/>
      <c r="AK657" s="125"/>
    </row>
    <row r="658"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125"/>
      <c r="AH658" s="125"/>
      <c r="AI658" s="5"/>
      <c r="AJ658" s="125"/>
      <c r="AK658" s="125"/>
    </row>
    <row r="659"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125"/>
      <c r="AH659" s="125"/>
      <c r="AI659" s="5"/>
      <c r="AJ659" s="125"/>
      <c r="AK659" s="125"/>
    </row>
    <row r="660"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125"/>
      <c r="AH660" s="125"/>
      <c r="AI660" s="5"/>
      <c r="AJ660" s="125"/>
      <c r="AK660" s="125"/>
    </row>
    <row r="661"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125"/>
      <c r="AH661" s="125"/>
      <c r="AI661" s="5"/>
      <c r="AJ661" s="125"/>
      <c r="AK661" s="125"/>
    </row>
    <row r="662"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125"/>
      <c r="AH662" s="125"/>
      <c r="AI662" s="5"/>
      <c r="AJ662" s="125"/>
      <c r="AK662" s="125"/>
    </row>
    <row r="663"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125"/>
      <c r="AH663" s="125"/>
      <c r="AI663" s="5"/>
      <c r="AJ663" s="125"/>
      <c r="AK663" s="125"/>
    </row>
    <row r="664"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125"/>
      <c r="AH664" s="125"/>
      <c r="AI664" s="5"/>
      <c r="AJ664" s="125"/>
      <c r="AK664" s="125"/>
    </row>
    <row r="665"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125"/>
      <c r="AH665" s="125"/>
      <c r="AI665" s="5"/>
      <c r="AJ665" s="125"/>
      <c r="AK665" s="125"/>
    </row>
    <row r="666"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125"/>
      <c r="AH666" s="125"/>
      <c r="AI666" s="5"/>
      <c r="AJ666" s="125"/>
      <c r="AK666" s="125"/>
    </row>
    <row r="667"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125"/>
      <c r="AH667" s="125"/>
      <c r="AI667" s="5"/>
      <c r="AJ667" s="125"/>
      <c r="AK667" s="125"/>
    </row>
    <row r="668"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125"/>
      <c r="AH668" s="125"/>
      <c r="AI668" s="5"/>
      <c r="AJ668" s="125"/>
      <c r="AK668" s="125"/>
    </row>
    <row r="669"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125"/>
      <c r="AH669" s="125"/>
      <c r="AI669" s="5"/>
      <c r="AJ669" s="125"/>
      <c r="AK669" s="125"/>
    </row>
    <row r="670"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125"/>
      <c r="AH670" s="125"/>
      <c r="AI670" s="5"/>
      <c r="AJ670" s="125"/>
      <c r="AK670" s="125"/>
    </row>
    <row r="671"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125"/>
      <c r="AH671" s="125"/>
      <c r="AI671" s="5"/>
      <c r="AJ671" s="125"/>
      <c r="AK671" s="125"/>
    </row>
    <row r="672"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125"/>
      <c r="AH672" s="125"/>
      <c r="AI672" s="5"/>
      <c r="AJ672" s="125"/>
      <c r="AK672" s="125"/>
    </row>
    <row r="673"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125"/>
      <c r="AH673" s="125"/>
      <c r="AI673" s="5"/>
      <c r="AJ673" s="125"/>
      <c r="AK673" s="125"/>
    </row>
    <row r="674"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125"/>
      <c r="AH674" s="125"/>
      <c r="AI674" s="5"/>
      <c r="AJ674" s="125"/>
      <c r="AK674" s="125"/>
    </row>
    <row r="675"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125"/>
      <c r="AH675" s="125"/>
      <c r="AI675" s="5"/>
      <c r="AJ675" s="125"/>
      <c r="AK675" s="125"/>
    </row>
    <row r="676"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125"/>
      <c r="AH676" s="125"/>
      <c r="AI676" s="5"/>
      <c r="AJ676" s="125"/>
      <c r="AK676" s="125"/>
    </row>
    <row r="677"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125"/>
      <c r="AH677" s="125"/>
      <c r="AI677" s="5"/>
      <c r="AJ677" s="125"/>
      <c r="AK677" s="125"/>
    </row>
    <row r="678"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125"/>
      <c r="AH678" s="125"/>
      <c r="AI678" s="5"/>
      <c r="AJ678" s="125"/>
      <c r="AK678" s="125"/>
    </row>
    <row r="679"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125"/>
      <c r="AH679" s="125"/>
      <c r="AI679" s="5"/>
      <c r="AJ679" s="125"/>
      <c r="AK679" s="125"/>
    </row>
    <row r="680"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125"/>
      <c r="AH680" s="125"/>
      <c r="AI680" s="5"/>
      <c r="AJ680" s="125"/>
      <c r="AK680" s="125"/>
    </row>
    <row r="681"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125"/>
      <c r="AH681" s="125"/>
      <c r="AI681" s="5"/>
      <c r="AJ681" s="125"/>
      <c r="AK681" s="125"/>
    </row>
    <row r="682"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125"/>
      <c r="AH682" s="125"/>
      <c r="AI682" s="5"/>
      <c r="AJ682" s="125"/>
      <c r="AK682" s="125"/>
    </row>
    <row r="683"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125"/>
      <c r="AH683" s="125"/>
      <c r="AI683" s="5"/>
      <c r="AJ683" s="125"/>
      <c r="AK683" s="125"/>
    </row>
    <row r="684"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125"/>
      <c r="AH684" s="125"/>
      <c r="AI684" s="5"/>
      <c r="AJ684" s="125"/>
      <c r="AK684" s="125"/>
    </row>
    <row r="685"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125"/>
      <c r="AH685" s="125"/>
      <c r="AI685" s="5"/>
      <c r="AJ685" s="125"/>
      <c r="AK685" s="125"/>
    </row>
    <row r="686"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125"/>
      <c r="AH686" s="125"/>
      <c r="AI686" s="5"/>
      <c r="AJ686" s="125"/>
      <c r="AK686" s="125"/>
    </row>
    <row r="687"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125"/>
      <c r="AH687" s="125"/>
      <c r="AI687" s="5"/>
      <c r="AJ687" s="125"/>
      <c r="AK687" s="125"/>
    </row>
    <row r="688"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125"/>
      <c r="AH688" s="125"/>
      <c r="AI688" s="5"/>
      <c r="AJ688" s="125"/>
      <c r="AK688" s="125"/>
    </row>
    <row r="689"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125"/>
      <c r="AH689" s="125"/>
      <c r="AI689" s="5"/>
      <c r="AJ689" s="125"/>
      <c r="AK689" s="125"/>
    </row>
    <row r="690"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125"/>
      <c r="AH690" s="125"/>
      <c r="AI690" s="5"/>
      <c r="AJ690" s="125"/>
      <c r="AK690" s="125"/>
    </row>
    <row r="691"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125"/>
      <c r="AH691" s="125"/>
      <c r="AI691" s="5"/>
      <c r="AJ691" s="125"/>
      <c r="AK691" s="125"/>
    </row>
    <row r="692"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125"/>
      <c r="AH692" s="125"/>
      <c r="AI692" s="5"/>
      <c r="AJ692" s="125"/>
      <c r="AK692" s="125"/>
    </row>
    <row r="693"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125"/>
      <c r="AH693" s="125"/>
      <c r="AI693" s="5"/>
      <c r="AJ693" s="125"/>
      <c r="AK693" s="125"/>
    </row>
    <row r="694"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125"/>
      <c r="AH694" s="125"/>
      <c r="AI694" s="5"/>
      <c r="AJ694" s="125"/>
      <c r="AK694" s="125"/>
    </row>
    <row r="695"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125"/>
      <c r="AH695" s="125"/>
      <c r="AI695" s="5"/>
      <c r="AJ695" s="125"/>
      <c r="AK695" s="125"/>
    </row>
    <row r="696"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125"/>
      <c r="AH696" s="125"/>
      <c r="AI696" s="5"/>
      <c r="AJ696" s="125"/>
      <c r="AK696" s="125"/>
    </row>
    <row r="697"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125"/>
      <c r="AH697" s="125"/>
      <c r="AI697" s="5"/>
      <c r="AJ697" s="125"/>
      <c r="AK697" s="125"/>
    </row>
    <row r="698"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125"/>
      <c r="AH698" s="125"/>
      <c r="AI698" s="5"/>
      <c r="AJ698" s="125"/>
      <c r="AK698" s="125"/>
    </row>
    <row r="699"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125"/>
      <c r="AH699" s="125"/>
      <c r="AI699" s="5"/>
      <c r="AJ699" s="125"/>
      <c r="AK699" s="125"/>
    </row>
    <row r="700"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125"/>
      <c r="AH700" s="125"/>
      <c r="AI700" s="5"/>
      <c r="AJ700" s="125"/>
      <c r="AK700" s="125"/>
    </row>
    <row r="701"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125"/>
      <c r="AH701" s="125"/>
      <c r="AI701" s="5"/>
      <c r="AJ701" s="125"/>
      <c r="AK701" s="125"/>
    </row>
    <row r="702"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125"/>
      <c r="AH702" s="125"/>
      <c r="AI702" s="5"/>
      <c r="AJ702" s="125"/>
      <c r="AK702" s="125"/>
    </row>
    <row r="703"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125"/>
      <c r="AH703" s="125"/>
      <c r="AI703" s="5"/>
      <c r="AJ703" s="125"/>
      <c r="AK703" s="125"/>
    </row>
    <row r="704"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125"/>
      <c r="AH704" s="125"/>
      <c r="AI704" s="5"/>
      <c r="AJ704" s="125"/>
      <c r="AK704" s="125"/>
    </row>
    <row r="705"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125"/>
      <c r="AH705" s="125"/>
      <c r="AI705" s="5"/>
      <c r="AJ705" s="125"/>
      <c r="AK705" s="125"/>
    </row>
    <row r="706"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125"/>
      <c r="AH706" s="125"/>
      <c r="AI706" s="5"/>
      <c r="AJ706" s="125"/>
      <c r="AK706" s="125"/>
    </row>
    <row r="707"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125"/>
      <c r="AH707" s="125"/>
      <c r="AI707" s="5"/>
      <c r="AJ707" s="125"/>
      <c r="AK707" s="125"/>
    </row>
    <row r="708"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125"/>
      <c r="AH708" s="125"/>
      <c r="AI708" s="5"/>
      <c r="AJ708" s="125"/>
      <c r="AK708" s="125"/>
    </row>
    <row r="709"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125"/>
      <c r="AH709" s="125"/>
      <c r="AI709" s="5"/>
      <c r="AJ709" s="125"/>
      <c r="AK709" s="125"/>
    </row>
    <row r="710"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125"/>
      <c r="AH710" s="125"/>
      <c r="AI710" s="5"/>
      <c r="AJ710" s="125"/>
      <c r="AK710" s="125"/>
    </row>
    <row r="711"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125"/>
      <c r="AH711" s="125"/>
      <c r="AI711" s="5"/>
      <c r="AJ711" s="125"/>
      <c r="AK711" s="125"/>
    </row>
    <row r="712"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125"/>
      <c r="AH712" s="125"/>
      <c r="AI712" s="5"/>
      <c r="AJ712" s="125"/>
      <c r="AK712" s="125"/>
    </row>
    <row r="713"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125"/>
      <c r="AH713" s="125"/>
      <c r="AI713" s="5"/>
      <c r="AJ713" s="125"/>
      <c r="AK713" s="125"/>
    </row>
    <row r="714"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125"/>
      <c r="AH714" s="125"/>
      <c r="AI714" s="5"/>
      <c r="AJ714" s="125"/>
      <c r="AK714" s="125"/>
    </row>
    <row r="715"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125"/>
      <c r="AH715" s="125"/>
      <c r="AI715" s="5"/>
      <c r="AJ715" s="125"/>
      <c r="AK715" s="125"/>
    </row>
    <row r="716"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125"/>
      <c r="AH716" s="125"/>
      <c r="AI716" s="5"/>
      <c r="AJ716" s="125"/>
      <c r="AK716" s="125"/>
    </row>
    <row r="717"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125"/>
      <c r="AH717" s="125"/>
      <c r="AI717" s="5"/>
      <c r="AJ717" s="125"/>
      <c r="AK717" s="125"/>
    </row>
    <row r="718"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125"/>
      <c r="AH718" s="125"/>
      <c r="AI718" s="5"/>
      <c r="AJ718" s="125"/>
      <c r="AK718" s="125"/>
    </row>
    <row r="719"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125"/>
      <c r="AH719" s="125"/>
      <c r="AI719" s="5"/>
      <c r="AJ719" s="125"/>
      <c r="AK719" s="125"/>
    </row>
    <row r="720"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125"/>
      <c r="AH720" s="125"/>
      <c r="AI720" s="5"/>
      <c r="AJ720" s="125"/>
      <c r="AK720" s="125"/>
    </row>
    <row r="721"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125"/>
      <c r="AH721" s="125"/>
      <c r="AI721" s="5"/>
      <c r="AJ721" s="125"/>
      <c r="AK721" s="125"/>
    </row>
    <row r="722"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125"/>
      <c r="AH722" s="125"/>
      <c r="AI722" s="5"/>
      <c r="AJ722" s="125"/>
      <c r="AK722" s="125"/>
    </row>
    <row r="723"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125"/>
      <c r="AH723" s="125"/>
      <c r="AI723" s="5"/>
      <c r="AJ723" s="125"/>
      <c r="AK723" s="125"/>
    </row>
    <row r="724"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125"/>
      <c r="AH724" s="125"/>
      <c r="AI724" s="5"/>
      <c r="AJ724" s="125"/>
      <c r="AK724" s="125"/>
    </row>
    <row r="725"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125"/>
      <c r="AH725" s="125"/>
      <c r="AI725" s="5"/>
      <c r="AJ725" s="125"/>
      <c r="AK725" s="125"/>
    </row>
    <row r="726"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125"/>
      <c r="AH726" s="125"/>
      <c r="AI726" s="5"/>
      <c r="AJ726" s="125"/>
      <c r="AK726" s="125"/>
    </row>
    <row r="727"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125"/>
      <c r="AH727" s="125"/>
      <c r="AI727" s="5"/>
      <c r="AJ727" s="125"/>
      <c r="AK727" s="125"/>
    </row>
    <row r="728"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125"/>
      <c r="AH728" s="125"/>
      <c r="AI728" s="5"/>
      <c r="AJ728" s="125"/>
      <c r="AK728" s="125"/>
    </row>
    <row r="729"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125"/>
      <c r="AH729" s="125"/>
      <c r="AI729" s="5"/>
      <c r="AJ729" s="125"/>
      <c r="AK729" s="125"/>
    </row>
    <row r="730"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125"/>
      <c r="AH730" s="125"/>
      <c r="AI730" s="5"/>
      <c r="AJ730" s="125"/>
      <c r="AK730" s="125"/>
    </row>
    <row r="731"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125"/>
      <c r="AH731" s="125"/>
      <c r="AI731" s="5"/>
      <c r="AJ731" s="125"/>
      <c r="AK731" s="125"/>
    </row>
    <row r="732"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125"/>
      <c r="AH732" s="125"/>
      <c r="AI732" s="5"/>
      <c r="AJ732" s="125"/>
      <c r="AK732" s="125"/>
    </row>
    <row r="733"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125"/>
      <c r="AH733" s="125"/>
      <c r="AI733" s="5"/>
      <c r="AJ733" s="125"/>
      <c r="AK733" s="125"/>
    </row>
    <row r="734"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125"/>
      <c r="AH734" s="125"/>
      <c r="AI734" s="5"/>
      <c r="AJ734" s="125"/>
      <c r="AK734" s="125"/>
    </row>
    <row r="735"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125"/>
      <c r="AH735" s="125"/>
      <c r="AI735" s="5"/>
      <c r="AJ735" s="125"/>
      <c r="AK735" s="125"/>
    </row>
    <row r="736"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125"/>
      <c r="AH736" s="125"/>
      <c r="AI736" s="5"/>
      <c r="AJ736" s="125"/>
      <c r="AK736" s="125"/>
    </row>
    <row r="737"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125"/>
      <c r="AH737" s="125"/>
      <c r="AI737" s="5"/>
      <c r="AJ737" s="125"/>
      <c r="AK737" s="125"/>
    </row>
    <row r="738"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125"/>
      <c r="AH738" s="125"/>
      <c r="AI738" s="5"/>
      <c r="AJ738" s="125"/>
      <c r="AK738" s="125"/>
    </row>
    <row r="739"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125"/>
      <c r="AH739" s="125"/>
      <c r="AI739" s="5"/>
      <c r="AJ739" s="125"/>
      <c r="AK739" s="125"/>
    </row>
    <row r="740"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125"/>
      <c r="AH740" s="125"/>
      <c r="AI740" s="5"/>
      <c r="AJ740" s="125"/>
      <c r="AK740" s="125"/>
    </row>
    <row r="741"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125"/>
      <c r="AH741" s="125"/>
      <c r="AI741" s="5"/>
      <c r="AJ741" s="125"/>
      <c r="AK741" s="125"/>
    </row>
    <row r="742"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125"/>
      <c r="AH742" s="125"/>
      <c r="AI742" s="5"/>
      <c r="AJ742" s="125"/>
      <c r="AK742" s="125"/>
    </row>
    <row r="743"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125"/>
      <c r="AH743" s="125"/>
      <c r="AI743" s="5"/>
      <c r="AJ743" s="125"/>
      <c r="AK743" s="125"/>
    </row>
    <row r="744"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125"/>
      <c r="AH744" s="125"/>
      <c r="AI744" s="5"/>
      <c r="AJ744" s="125"/>
      <c r="AK744" s="125"/>
    </row>
    <row r="745"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125"/>
      <c r="AH745" s="125"/>
      <c r="AI745" s="5"/>
      <c r="AJ745" s="125"/>
      <c r="AK745" s="125"/>
    </row>
    <row r="746"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125"/>
      <c r="AH746" s="125"/>
      <c r="AI746" s="5"/>
      <c r="AJ746" s="125"/>
      <c r="AK746" s="125"/>
    </row>
    <row r="747"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125"/>
      <c r="AH747" s="125"/>
      <c r="AI747" s="5"/>
      <c r="AJ747" s="125"/>
      <c r="AK747" s="125"/>
    </row>
    <row r="748"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125"/>
      <c r="AH748" s="125"/>
      <c r="AI748" s="5"/>
      <c r="AJ748" s="125"/>
      <c r="AK748" s="125"/>
    </row>
    <row r="749"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125"/>
      <c r="AH749" s="125"/>
      <c r="AI749" s="5"/>
      <c r="AJ749" s="125"/>
      <c r="AK749" s="125"/>
    </row>
    <row r="750"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125"/>
      <c r="AH750" s="125"/>
      <c r="AI750" s="5"/>
      <c r="AJ750" s="125"/>
      <c r="AK750" s="125"/>
    </row>
    <row r="751"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125"/>
      <c r="AH751" s="125"/>
      <c r="AI751" s="5"/>
      <c r="AJ751" s="125"/>
      <c r="AK751" s="125"/>
    </row>
    <row r="752"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125"/>
      <c r="AH752" s="125"/>
      <c r="AI752" s="5"/>
      <c r="AJ752" s="125"/>
      <c r="AK752" s="125"/>
    </row>
    <row r="753"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125"/>
      <c r="AH753" s="125"/>
      <c r="AI753" s="5"/>
      <c r="AJ753" s="125"/>
      <c r="AK753" s="125"/>
    </row>
    <row r="754"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125"/>
      <c r="AH754" s="125"/>
      <c r="AI754" s="5"/>
      <c r="AJ754" s="125"/>
      <c r="AK754" s="125"/>
    </row>
    <row r="755"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125"/>
      <c r="AH755" s="125"/>
      <c r="AI755" s="5"/>
      <c r="AJ755" s="125"/>
      <c r="AK755" s="125"/>
    </row>
    <row r="756"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125"/>
      <c r="AH756" s="125"/>
      <c r="AI756" s="5"/>
      <c r="AJ756" s="125"/>
      <c r="AK756" s="125"/>
    </row>
    <row r="757"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125"/>
      <c r="AH757" s="125"/>
      <c r="AI757" s="5"/>
      <c r="AJ757" s="125"/>
      <c r="AK757" s="125"/>
    </row>
    <row r="758"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125"/>
      <c r="AH758" s="125"/>
      <c r="AI758" s="5"/>
      <c r="AJ758" s="125"/>
      <c r="AK758" s="125"/>
    </row>
    <row r="759"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125"/>
      <c r="AH759" s="125"/>
      <c r="AI759" s="5"/>
      <c r="AJ759" s="125"/>
      <c r="AK759" s="125"/>
    </row>
    <row r="760"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125"/>
      <c r="AH760" s="125"/>
      <c r="AI760" s="5"/>
      <c r="AJ760" s="125"/>
      <c r="AK760" s="125"/>
    </row>
    <row r="761"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125"/>
      <c r="AH761" s="125"/>
      <c r="AI761" s="5"/>
      <c r="AJ761" s="125"/>
      <c r="AK761" s="125"/>
    </row>
    <row r="762"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125"/>
      <c r="AH762" s="125"/>
      <c r="AI762" s="5"/>
      <c r="AJ762" s="125"/>
      <c r="AK762" s="125"/>
    </row>
    <row r="763"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125"/>
      <c r="AH763" s="125"/>
      <c r="AI763" s="5"/>
      <c r="AJ763" s="125"/>
      <c r="AK763" s="125"/>
    </row>
    <row r="764"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125"/>
      <c r="AH764" s="125"/>
      <c r="AI764" s="5"/>
      <c r="AJ764" s="125"/>
      <c r="AK764" s="125"/>
    </row>
    <row r="765"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125"/>
      <c r="AH765" s="125"/>
      <c r="AI765" s="5"/>
      <c r="AJ765" s="125"/>
      <c r="AK765" s="125"/>
    </row>
    <row r="766"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125"/>
      <c r="AH766" s="125"/>
      <c r="AI766" s="5"/>
      <c r="AJ766" s="125"/>
      <c r="AK766" s="125"/>
    </row>
    <row r="767"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125"/>
      <c r="AH767" s="125"/>
      <c r="AI767" s="5"/>
      <c r="AJ767" s="125"/>
      <c r="AK767" s="125"/>
    </row>
    <row r="768"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125"/>
      <c r="AH768" s="125"/>
      <c r="AI768" s="5"/>
      <c r="AJ768" s="125"/>
      <c r="AK768" s="125"/>
    </row>
    <row r="769"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125"/>
      <c r="AH769" s="125"/>
      <c r="AI769" s="5"/>
      <c r="AJ769" s="125"/>
      <c r="AK769" s="125"/>
    </row>
    <row r="770"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125"/>
      <c r="AH770" s="125"/>
      <c r="AI770" s="5"/>
      <c r="AJ770" s="125"/>
      <c r="AK770" s="125"/>
    </row>
    <row r="771"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125"/>
      <c r="AH771" s="125"/>
      <c r="AI771" s="5"/>
      <c r="AJ771" s="125"/>
      <c r="AK771" s="125"/>
    </row>
    <row r="772"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125"/>
      <c r="AH772" s="125"/>
      <c r="AI772" s="5"/>
      <c r="AJ772" s="125"/>
      <c r="AK772" s="125"/>
    </row>
    <row r="773"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125"/>
      <c r="AH773" s="125"/>
      <c r="AI773" s="5"/>
      <c r="AJ773" s="125"/>
      <c r="AK773" s="125"/>
    </row>
    <row r="774"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125"/>
      <c r="AH774" s="125"/>
      <c r="AI774" s="5"/>
      <c r="AJ774" s="125"/>
      <c r="AK774" s="125"/>
    </row>
    <row r="775"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125"/>
      <c r="AH775" s="125"/>
      <c r="AI775" s="5"/>
      <c r="AJ775" s="125"/>
      <c r="AK775" s="125"/>
    </row>
    <row r="776"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125"/>
      <c r="AH776" s="125"/>
      <c r="AI776" s="5"/>
      <c r="AJ776" s="125"/>
      <c r="AK776" s="125"/>
    </row>
    <row r="777"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125"/>
      <c r="AH777" s="125"/>
      <c r="AI777" s="5"/>
      <c r="AJ777" s="125"/>
      <c r="AK777" s="125"/>
    </row>
    <row r="778"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125"/>
      <c r="AH778" s="125"/>
      <c r="AI778" s="5"/>
      <c r="AJ778" s="125"/>
      <c r="AK778" s="125"/>
    </row>
    <row r="779"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125"/>
      <c r="AH779" s="125"/>
      <c r="AI779" s="5"/>
      <c r="AJ779" s="125"/>
      <c r="AK779" s="125"/>
    </row>
    <row r="780"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125"/>
      <c r="AH780" s="125"/>
      <c r="AI780" s="5"/>
      <c r="AJ780" s="125"/>
      <c r="AK780" s="125"/>
    </row>
    <row r="781"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125"/>
      <c r="AH781" s="125"/>
      <c r="AI781" s="5"/>
      <c r="AJ781" s="125"/>
      <c r="AK781" s="125"/>
    </row>
    <row r="782"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125"/>
      <c r="AH782" s="125"/>
      <c r="AI782" s="5"/>
      <c r="AJ782" s="125"/>
      <c r="AK782" s="125"/>
    </row>
    <row r="783"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125"/>
      <c r="AH783" s="125"/>
      <c r="AI783" s="5"/>
      <c r="AJ783" s="125"/>
      <c r="AK783" s="125"/>
    </row>
    <row r="784"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125"/>
      <c r="AH784" s="125"/>
      <c r="AI784" s="5"/>
      <c r="AJ784" s="125"/>
      <c r="AK784" s="125"/>
    </row>
    <row r="785"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125"/>
      <c r="AH785" s="125"/>
      <c r="AI785" s="5"/>
      <c r="AJ785" s="125"/>
      <c r="AK785" s="125"/>
    </row>
    <row r="786"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125"/>
      <c r="AH786" s="125"/>
      <c r="AI786" s="5"/>
      <c r="AJ786" s="125"/>
      <c r="AK786" s="125"/>
    </row>
    <row r="787"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125"/>
      <c r="AH787" s="125"/>
      <c r="AI787" s="5"/>
      <c r="AJ787" s="125"/>
      <c r="AK787" s="125"/>
    </row>
    <row r="788"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125"/>
      <c r="AH788" s="125"/>
      <c r="AI788" s="5"/>
      <c r="AJ788" s="125"/>
      <c r="AK788" s="125"/>
    </row>
    <row r="789"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125"/>
      <c r="AH789" s="125"/>
      <c r="AI789" s="5"/>
      <c r="AJ789" s="125"/>
      <c r="AK789" s="125"/>
    </row>
    <row r="790"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125"/>
      <c r="AH790" s="125"/>
      <c r="AI790" s="5"/>
      <c r="AJ790" s="125"/>
      <c r="AK790" s="125"/>
    </row>
    <row r="791"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125"/>
      <c r="AH791" s="125"/>
      <c r="AI791" s="5"/>
      <c r="AJ791" s="125"/>
      <c r="AK791" s="125"/>
    </row>
    <row r="792"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125"/>
      <c r="AH792" s="125"/>
      <c r="AI792" s="5"/>
      <c r="AJ792" s="125"/>
      <c r="AK792" s="125"/>
    </row>
    <row r="793"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125"/>
      <c r="AH793" s="125"/>
      <c r="AI793" s="5"/>
      <c r="AJ793" s="125"/>
      <c r="AK793" s="125"/>
    </row>
    <row r="794"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125"/>
      <c r="AH794" s="125"/>
      <c r="AI794" s="5"/>
      <c r="AJ794" s="125"/>
      <c r="AK794" s="125"/>
    </row>
    <row r="795"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125"/>
      <c r="AH795" s="125"/>
      <c r="AI795" s="5"/>
      <c r="AJ795" s="125"/>
      <c r="AK795" s="125"/>
    </row>
    <row r="796"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125"/>
      <c r="AH796" s="125"/>
      <c r="AI796" s="5"/>
      <c r="AJ796" s="125"/>
      <c r="AK796" s="125"/>
    </row>
    <row r="797"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125"/>
      <c r="AH797" s="125"/>
      <c r="AI797" s="5"/>
      <c r="AJ797" s="125"/>
      <c r="AK797" s="125"/>
    </row>
    <row r="798"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125"/>
      <c r="AH798" s="125"/>
      <c r="AI798" s="5"/>
      <c r="AJ798" s="125"/>
      <c r="AK798" s="125"/>
    </row>
    <row r="799"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125"/>
      <c r="AH799" s="125"/>
      <c r="AI799" s="5"/>
      <c r="AJ799" s="125"/>
      <c r="AK799" s="125"/>
    </row>
    <row r="800"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125"/>
      <c r="AH800" s="125"/>
      <c r="AI800" s="5"/>
      <c r="AJ800" s="125"/>
      <c r="AK800" s="125"/>
    </row>
    <row r="801"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125"/>
      <c r="AH801" s="125"/>
      <c r="AI801" s="5"/>
      <c r="AJ801" s="125"/>
      <c r="AK801" s="125"/>
    </row>
    <row r="802"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125"/>
      <c r="AH802" s="125"/>
      <c r="AI802" s="5"/>
      <c r="AJ802" s="125"/>
      <c r="AK802" s="125"/>
    </row>
    <row r="803"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125"/>
      <c r="AH803" s="125"/>
      <c r="AI803" s="5"/>
      <c r="AJ803" s="125"/>
      <c r="AK803" s="125"/>
    </row>
    <row r="804"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125"/>
      <c r="AH804" s="125"/>
      <c r="AI804" s="5"/>
      <c r="AJ804" s="125"/>
      <c r="AK804" s="125"/>
    </row>
    <row r="805"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125"/>
      <c r="AH805" s="125"/>
      <c r="AI805" s="5"/>
      <c r="AJ805" s="125"/>
      <c r="AK805" s="125"/>
    </row>
    <row r="806"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125"/>
      <c r="AH806" s="125"/>
      <c r="AI806" s="5"/>
      <c r="AJ806" s="125"/>
      <c r="AK806" s="125"/>
    </row>
    <row r="807"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125"/>
      <c r="AH807" s="125"/>
      <c r="AI807" s="5"/>
      <c r="AJ807" s="125"/>
      <c r="AK807" s="125"/>
    </row>
    <row r="808"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125"/>
      <c r="AH808" s="125"/>
      <c r="AI808" s="5"/>
      <c r="AJ808" s="125"/>
      <c r="AK808" s="125"/>
    </row>
    <row r="809"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125"/>
      <c r="AH809" s="125"/>
      <c r="AI809" s="5"/>
      <c r="AJ809" s="125"/>
      <c r="AK809" s="125"/>
    </row>
    <row r="810"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125"/>
      <c r="AH810" s="125"/>
      <c r="AI810" s="5"/>
      <c r="AJ810" s="125"/>
      <c r="AK810" s="125"/>
    </row>
    <row r="811"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125"/>
      <c r="AH811" s="125"/>
      <c r="AI811" s="5"/>
      <c r="AJ811" s="125"/>
      <c r="AK811" s="125"/>
    </row>
    <row r="812"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125"/>
      <c r="AH812" s="125"/>
      <c r="AI812" s="5"/>
      <c r="AJ812" s="125"/>
      <c r="AK812" s="125"/>
    </row>
    <row r="813"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125"/>
      <c r="AH813" s="125"/>
      <c r="AI813" s="5"/>
      <c r="AJ813" s="125"/>
      <c r="AK813" s="125"/>
    </row>
    <row r="814"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125"/>
      <c r="AH814" s="125"/>
      <c r="AI814" s="5"/>
      <c r="AJ814" s="125"/>
      <c r="AK814" s="125"/>
    </row>
    <row r="815"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125"/>
      <c r="AH815" s="125"/>
      <c r="AI815" s="5"/>
      <c r="AJ815" s="125"/>
      <c r="AK815" s="125"/>
    </row>
    <row r="816"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125"/>
      <c r="AH816" s="125"/>
      <c r="AI816" s="5"/>
      <c r="AJ816" s="125"/>
      <c r="AK816" s="125"/>
    </row>
    <row r="817"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125"/>
      <c r="AH817" s="125"/>
      <c r="AI817" s="5"/>
      <c r="AJ817" s="125"/>
      <c r="AK817" s="125"/>
    </row>
    <row r="818"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125"/>
      <c r="AH818" s="125"/>
      <c r="AI818" s="5"/>
      <c r="AJ818" s="125"/>
      <c r="AK818" s="125"/>
    </row>
    <row r="819"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125"/>
      <c r="AH819" s="125"/>
      <c r="AI819" s="5"/>
      <c r="AJ819" s="125"/>
      <c r="AK819" s="125"/>
    </row>
    <row r="820"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125"/>
      <c r="AH820" s="125"/>
      <c r="AI820" s="5"/>
      <c r="AJ820" s="125"/>
      <c r="AK820" s="125"/>
    </row>
    <row r="821"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125"/>
      <c r="AH821" s="125"/>
      <c r="AI821" s="5"/>
      <c r="AJ821" s="125"/>
      <c r="AK821" s="125"/>
    </row>
    <row r="822"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125"/>
      <c r="AH822" s="125"/>
      <c r="AI822" s="5"/>
      <c r="AJ822" s="125"/>
      <c r="AK822" s="125"/>
    </row>
    <row r="823"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125"/>
      <c r="AH823" s="125"/>
      <c r="AI823" s="5"/>
      <c r="AJ823" s="125"/>
      <c r="AK823" s="125"/>
    </row>
    <row r="824"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125"/>
      <c r="AH824" s="125"/>
      <c r="AI824" s="5"/>
      <c r="AJ824" s="125"/>
      <c r="AK824" s="125"/>
    </row>
    <row r="825"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125"/>
      <c r="AH825" s="125"/>
      <c r="AI825" s="5"/>
      <c r="AJ825" s="125"/>
      <c r="AK825" s="125"/>
    </row>
    <row r="826"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125"/>
      <c r="AH826" s="125"/>
      <c r="AI826" s="5"/>
      <c r="AJ826" s="125"/>
      <c r="AK826" s="125"/>
    </row>
    <row r="827"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125"/>
      <c r="AH827" s="125"/>
      <c r="AI827" s="5"/>
      <c r="AJ827" s="125"/>
      <c r="AK827" s="125"/>
    </row>
    <row r="828"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125"/>
      <c r="AH828" s="125"/>
      <c r="AI828" s="5"/>
      <c r="AJ828" s="125"/>
      <c r="AK828" s="125"/>
    </row>
    <row r="829"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125"/>
      <c r="AH829" s="125"/>
      <c r="AI829" s="5"/>
      <c r="AJ829" s="125"/>
      <c r="AK829" s="125"/>
    </row>
    <row r="830"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125"/>
      <c r="AH830" s="125"/>
      <c r="AI830" s="5"/>
      <c r="AJ830" s="125"/>
      <c r="AK830" s="125"/>
    </row>
    <row r="831"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125"/>
      <c r="AH831" s="125"/>
      <c r="AI831" s="5"/>
      <c r="AJ831" s="125"/>
      <c r="AK831" s="125"/>
    </row>
    <row r="832"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125"/>
      <c r="AH832" s="125"/>
      <c r="AI832" s="5"/>
      <c r="AJ832" s="125"/>
      <c r="AK832" s="125"/>
    </row>
    <row r="833"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125"/>
      <c r="AH833" s="125"/>
      <c r="AI833" s="5"/>
      <c r="AJ833" s="125"/>
      <c r="AK833" s="125"/>
    </row>
    <row r="834"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125"/>
      <c r="AH834" s="125"/>
      <c r="AI834" s="5"/>
      <c r="AJ834" s="125"/>
      <c r="AK834" s="125"/>
    </row>
    <row r="835"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125"/>
      <c r="AH835" s="125"/>
      <c r="AI835" s="5"/>
      <c r="AJ835" s="125"/>
      <c r="AK835" s="125"/>
    </row>
    <row r="836"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125"/>
      <c r="AH836" s="125"/>
      <c r="AI836" s="5"/>
      <c r="AJ836" s="125"/>
      <c r="AK836" s="125"/>
    </row>
    <row r="837"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125"/>
      <c r="AH837" s="125"/>
      <c r="AI837" s="5"/>
      <c r="AJ837" s="125"/>
      <c r="AK837" s="125"/>
    </row>
    <row r="838"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125"/>
      <c r="AH838" s="125"/>
      <c r="AI838" s="5"/>
      <c r="AJ838" s="125"/>
      <c r="AK838" s="125"/>
    </row>
    <row r="839"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125"/>
      <c r="AH839" s="125"/>
      <c r="AI839" s="5"/>
      <c r="AJ839" s="125"/>
      <c r="AK839" s="125"/>
    </row>
    <row r="840"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125"/>
      <c r="AH840" s="125"/>
      <c r="AI840" s="5"/>
      <c r="AJ840" s="125"/>
      <c r="AK840" s="125"/>
    </row>
    <row r="841"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125"/>
      <c r="AH841" s="125"/>
      <c r="AI841" s="5"/>
      <c r="AJ841" s="125"/>
      <c r="AK841" s="125"/>
    </row>
    <row r="842"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125"/>
      <c r="AH842" s="125"/>
      <c r="AI842" s="5"/>
      <c r="AJ842" s="125"/>
      <c r="AK842" s="125"/>
    </row>
    <row r="843"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125"/>
      <c r="AH843" s="125"/>
      <c r="AI843" s="5"/>
      <c r="AJ843" s="125"/>
      <c r="AK843" s="125"/>
    </row>
    <row r="844"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125"/>
      <c r="AH844" s="125"/>
      <c r="AI844" s="5"/>
      <c r="AJ844" s="125"/>
      <c r="AK844" s="125"/>
    </row>
    <row r="845"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125"/>
      <c r="AH845" s="125"/>
      <c r="AI845" s="5"/>
      <c r="AJ845" s="125"/>
      <c r="AK845" s="125"/>
    </row>
    <row r="846"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125"/>
      <c r="AH846" s="125"/>
      <c r="AI846" s="5"/>
      <c r="AJ846" s="125"/>
      <c r="AK846" s="125"/>
    </row>
    <row r="847"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125"/>
      <c r="AH847" s="125"/>
      <c r="AI847" s="5"/>
      <c r="AJ847" s="125"/>
      <c r="AK847" s="125"/>
    </row>
    <row r="848"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125"/>
      <c r="AH848" s="125"/>
      <c r="AI848" s="5"/>
      <c r="AJ848" s="125"/>
      <c r="AK848" s="125"/>
    </row>
    <row r="849"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125"/>
      <c r="AH849" s="125"/>
      <c r="AI849" s="5"/>
      <c r="AJ849" s="125"/>
      <c r="AK849" s="125"/>
    </row>
    <row r="850"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125"/>
      <c r="AH850" s="125"/>
      <c r="AI850" s="5"/>
      <c r="AJ850" s="125"/>
      <c r="AK850" s="125"/>
    </row>
    <row r="851"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125"/>
      <c r="AH851" s="125"/>
      <c r="AI851" s="5"/>
      <c r="AJ851" s="125"/>
      <c r="AK851" s="125"/>
    </row>
    <row r="852"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125"/>
      <c r="AH852" s="125"/>
      <c r="AI852" s="5"/>
      <c r="AJ852" s="125"/>
      <c r="AK852" s="125"/>
    </row>
    <row r="853"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125"/>
      <c r="AH853" s="125"/>
      <c r="AI853" s="5"/>
      <c r="AJ853" s="125"/>
      <c r="AK853" s="125"/>
    </row>
    <row r="854"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125"/>
      <c r="AH854" s="125"/>
      <c r="AI854" s="5"/>
      <c r="AJ854" s="125"/>
      <c r="AK854" s="125"/>
    </row>
    <row r="855"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125"/>
      <c r="AH855" s="125"/>
      <c r="AI855" s="5"/>
      <c r="AJ855" s="125"/>
      <c r="AK855" s="125"/>
    </row>
    <row r="856"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125"/>
      <c r="AH856" s="125"/>
      <c r="AI856" s="5"/>
      <c r="AJ856" s="125"/>
      <c r="AK856" s="125"/>
    </row>
    <row r="857"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125"/>
      <c r="AH857" s="125"/>
      <c r="AI857" s="5"/>
      <c r="AJ857" s="125"/>
      <c r="AK857" s="125"/>
    </row>
    <row r="858"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125"/>
      <c r="AH858" s="125"/>
      <c r="AI858" s="5"/>
      <c r="AJ858" s="125"/>
      <c r="AK858" s="125"/>
    </row>
    <row r="859"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125"/>
      <c r="AH859" s="125"/>
      <c r="AI859" s="5"/>
      <c r="AJ859" s="125"/>
      <c r="AK859" s="125"/>
    </row>
    <row r="860"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125"/>
      <c r="AH860" s="125"/>
      <c r="AI860" s="5"/>
      <c r="AJ860" s="125"/>
      <c r="AK860" s="125"/>
    </row>
    <row r="861"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125"/>
      <c r="AH861" s="125"/>
      <c r="AI861" s="5"/>
      <c r="AJ861" s="125"/>
      <c r="AK861" s="125"/>
    </row>
    <row r="862"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125"/>
      <c r="AH862" s="125"/>
      <c r="AI862" s="5"/>
      <c r="AJ862" s="125"/>
      <c r="AK862" s="125"/>
    </row>
    <row r="863"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125"/>
      <c r="AH863" s="125"/>
      <c r="AI863" s="5"/>
      <c r="AJ863" s="125"/>
      <c r="AK863" s="125"/>
    </row>
    <row r="864"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125"/>
      <c r="AH864" s="125"/>
      <c r="AI864" s="5"/>
      <c r="AJ864" s="125"/>
      <c r="AK864" s="125"/>
    </row>
    <row r="865"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125"/>
      <c r="AH865" s="125"/>
      <c r="AI865" s="5"/>
      <c r="AJ865" s="125"/>
      <c r="AK865" s="125"/>
    </row>
    <row r="866"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125"/>
      <c r="AH866" s="125"/>
      <c r="AI866" s="5"/>
      <c r="AJ866" s="125"/>
      <c r="AK866" s="125"/>
    </row>
    <row r="867"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125"/>
      <c r="AH867" s="125"/>
      <c r="AI867" s="5"/>
      <c r="AJ867" s="125"/>
      <c r="AK867" s="125"/>
    </row>
    <row r="868"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125"/>
      <c r="AH868" s="125"/>
      <c r="AI868" s="5"/>
      <c r="AJ868" s="125"/>
      <c r="AK868" s="125"/>
    </row>
    <row r="869"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125"/>
      <c r="AH869" s="125"/>
      <c r="AI869" s="5"/>
      <c r="AJ869" s="125"/>
      <c r="AK869" s="125"/>
    </row>
    <row r="870"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125"/>
      <c r="AH870" s="125"/>
      <c r="AI870" s="5"/>
      <c r="AJ870" s="125"/>
      <c r="AK870" s="125"/>
    </row>
    <row r="871"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125"/>
      <c r="AH871" s="125"/>
      <c r="AI871" s="5"/>
      <c r="AJ871" s="125"/>
      <c r="AK871" s="125"/>
    </row>
    <row r="872"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125"/>
      <c r="AH872" s="125"/>
      <c r="AI872" s="5"/>
      <c r="AJ872" s="125"/>
      <c r="AK872" s="125"/>
    </row>
    <row r="873"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125"/>
      <c r="AH873" s="125"/>
      <c r="AI873" s="5"/>
      <c r="AJ873" s="125"/>
      <c r="AK873" s="125"/>
    </row>
    <row r="874"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125"/>
      <c r="AH874" s="125"/>
      <c r="AI874" s="5"/>
      <c r="AJ874" s="125"/>
      <c r="AK874" s="125"/>
    </row>
    <row r="875"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125"/>
      <c r="AH875" s="125"/>
      <c r="AI875" s="5"/>
      <c r="AJ875" s="125"/>
      <c r="AK875" s="125"/>
    </row>
    <row r="876"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125"/>
      <c r="AH876" s="125"/>
      <c r="AI876" s="5"/>
      <c r="AJ876" s="125"/>
      <c r="AK876" s="125"/>
    </row>
    <row r="877"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125"/>
      <c r="AH877" s="125"/>
      <c r="AI877" s="5"/>
      <c r="AJ877" s="125"/>
      <c r="AK877" s="125"/>
    </row>
    <row r="878"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125"/>
      <c r="AH878" s="125"/>
      <c r="AI878" s="5"/>
      <c r="AJ878" s="125"/>
      <c r="AK878" s="125"/>
    </row>
    <row r="879"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125"/>
      <c r="AH879" s="125"/>
      <c r="AI879" s="5"/>
      <c r="AJ879" s="125"/>
      <c r="AK879" s="125"/>
    </row>
    <row r="880"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125"/>
      <c r="AH880" s="125"/>
      <c r="AI880" s="5"/>
      <c r="AJ880" s="125"/>
      <c r="AK880" s="125"/>
    </row>
    <row r="881"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125"/>
      <c r="AH881" s="125"/>
      <c r="AI881" s="5"/>
      <c r="AJ881" s="125"/>
      <c r="AK881" s="125"/>
    </row>
    <row r="882"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125"/>
      <c r="AH882" s="125"/>
      <c r="AI882" s="5"/>
      <c r="AJ882" s="125"/>
      <c r="AK882" s="125"/>
    </row>
    <row r="883"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125"/>
      <c r="AH883" s="125"/>
      <c r="AI883" s="5"/>
      <c r="AJ883" s="125"/>
      <c r="AK883" s="125"/>
    </row>
    <row r="884"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125"/>
      <c r="AH884" s="125"/>
      <c r="AI884" s="5"/>
      <c r="AJ884" s="125"/>
      <c r="AK884" s="125"/>
    </row>
    <row r="885"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125"/>
      <c r="AH885" s="125"/>
      <c r="AI885" s="5"/>
      <c r="AJ885" s="125"/>
      <c r="AK885" s="125"/>
    </row>
    <row r="886"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125"/>
      <c r="AH886" s="125"/>
      <c r="AI886" s="5"/>
      <c r="AJ886" s="125"/>
      <c r="AK886" s="125"/>
    </row>
    <row r="887"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125"/>
      <c r="AH887" s="125"/>
      <c r="AI887" s="5"/>
      <c r="AJ887" s="125"/>
      <c r="AK887" s="125"/>
    </row>
    <row r="888"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125"/>
      <c r="AH888" s="125"/>
      <c r="AI888" s="5"/>
      <c r="AJ888" s="125"/>
      <c r="AK888" s="125"/>
    </row>
    <row r="889"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125"/>
      <c r="AH889" s="125"/>
      <c r="AI889" s="5"/>
      <c r="AJ889" s="125"/>
      <c r="AK889" s="125"/>
    </row>
    <row r="890"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125"/>
      <c r="AH890" s="125"/>
      <c r="AI890" s="5"/>
      <c r="AJ890" s="125"/>
      <c r="AK890" s="125"/>
    </row>
    <row r="891"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125"/>
      <c r="AH891" s="125"/>
      <c r="AI891" s="5"/>
      <c r="AJ891" s="125"/>
      <c r="AK891" s="125"/>
    </row>
    <row r="892"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125"/>
      <c r="AH892" s="125"/>
      <c r="AI892" s="5"/>
      <c r="AJ892" s="125"/>
      <c r="AK892" s="125"/>
    </row>
    <row r="893"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125"/>
      <c r="AH893" s="125"/>
      <c r="AI893" s="5"/>
      <c r="AJ893" s="125"/>
      <c r="AK893" s="125"/>
    </row>
    <row r="894"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125"/>
      <c r="AH894" s="125"/>
      <c r="AI894" s="5"/>
      <c r="AJ894" s="125"/>
      <c r="AK894" s="125"/>
    </row>
    <row r="895"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125"/>
      <c r="AH895" s="125"/>
      <c r="AI895" s="5"/>
      <c r="AJ895" s="125"/>
      <c r="AK895" s="125"/>
    </row>
    <row r="896"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125"/>
      <c r="AH896" s="125"/>
      <c r="AI896" s="5"/>
      <c r="AJ896" s="125"/>
      <c r="AK896" s="125"/>
    </row>
    <row r="897"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125"/>
      <c r="AH897" s="125"/>
      <c r="AI897" s="5"/>
      <c r="AJ897" s="125"/>
      <c r="AK897" s="125"/>
    </row>
    <row r="898"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125"/>
      <c r="AH898" s="125"/>
      <c r="AI898" s="5"/>
      <c r="AJ898" s="125"/>
      <c r="AK898" s="125"/>
    </row>
    <row r="899"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125"/>
      <c r="AH899" s="125"/>
      <c r="AI899" s="5"/>
      <c r="AJ899" s="125"/>
      <c r="AK899" s="125"/>
    </row>
    <row r="900"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125"/>
      <c r="AH900" s="125"/>
      <c r="AI900" s="5"/>
      <c r="AJ900" s="125"/>
      <c r="AK900" s="125"/>
    </row>
    <row r="901"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125"/>
      <c r="AH901" s="125"/>
      <c r="AI901" s="5"/>
      <c r="AJ901" s="125"/>
      <c r="AK901" s="125"/>
    </row>
    <row r="902"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125"/>
      <c r="AH902" s="125"/>
      <c r="AI902" s="5"/>
      <c r="AJ902" s="125"/>
      <c r="AK902" s="125"/>
    </row>
    <row r="903"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125"/>
      <c r="AH903" s="125"/>
      <c r="AI903" s="5"/>
      <c r="AJ903" s="125"/>
      <c r="AK903" s="125"/>
    </row>
    <row r="904"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125"/>
      <c r="AH904" s="125"/>
      <c r="AI904" s="5"/>
      <c r="AJ904" s="125"/>
      <c r="AK904" s="125"/>
    </row>
    <row r="905"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125"/>
      <c r="AH905" s="125"/>
      <c r="AI905" s="5"/>
      <c r="AJ905" s="125"/>
      <c r="AK905" s="125"/>
    </row>
    <row r="906"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125"/>
      <c r="AH906" s="125"/>
      <c r="AI906" s="5"/>
      <c r="AJ906" s="125"/>
      <c r="AK906" s="125"/>
    </row>
    <row r="907"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125"/>
      <c r="AH907" s="125"/>
      <c r="AI907" s="5"/>
      <c r="AJ907" s="125"/>
      <c r="AK907" s="125"/>
    </row>
    <row r="908"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125"/>
      <c r="AH908" s="125"/>
      <c r="AI908" s="5"/>
      <c r="AJ908" s="125"/>
      <c r="AK908" s="125"/>
    </row>
    <row r="909"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125"/>
      <c r="AH909" s="125"/>
      <c r="AI909" s="5"/>
      <c r="AJ909" s="125"/>
      <c r="AK909" s="125"/>
    </row>
    <row r="910"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125"/>
      <c r="AH910" s="125"/>
      <c r="AI910" s="5"/>
      <c r="AJ910" s="125"/>
      <c r="AK910" s="125"/>
    </row>
    <row r="911"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125"/>
      <c r="AH911" s="125"/>
      <c r="AI911" s="5"/>
      <c r="AJ911" s="125"/>
      <c r="AK911" s="125"/>
    </row>
    <row r="912"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125"/>
      <c r="AH912" s="125"/>
      <c r="AI912" s="5"/>
      <c r="AJ912" s="125"/>
      <c r="AK912" s="125"/>
    </row>
    <row r="913"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125"/>
      <c r="AH913" s="125"/>
      <c r="AI913" s="5"/>
      <c r="AJ913" s="125"/>
      <c r="AK913" s="125"/>
    </row>
    <row r="914"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125"/>
      <c r="AH914" s="125"/>
      <c r="AI914" s="5"/>
      <c r="AJ914" s="125"/>
      <c r="AK914" s="125"/>
    </row>
    <row r="915"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125"/>
      <c r="AH915" s="125"/>
      <c r="AI915" s="5"/>
      <c r="AJ915" s="125"/>
      <c r="AK915" s="125"/>
    </row>
    <row r="916"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125"/>
      <c r="AH916" s="125"/>
      <c r="AI916" s="5"/>
      <c r="AJ916" s="125"/>
      <c r="AK916" s="125"/>
    </row>
    <row r="917"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125"/>
      <c r="AH917" s="125"/>
      <c r="AI917" s="5"/>
      <c r="AJ917" s="125"/>
      <c r="AK917" s="125"/>
    </row>
    <row r="918"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125"/>
      <c r="AH918" s="125"/>
      <c r="AI918" s="5"/>
      <c r="AJ918" s="125"/>
      <c r="AK918" s="125"/>
    </row>
    <row r="919"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125"/>
      <c r="AH919" s="125"/>
      <c r="AI919" s="5"/>
      <c r="AJ919" s="125"/>
      <c r="AK919" s="125"/>
    </row>
    <row r="920"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125"/>
      <c r="AH920" s="125"/>
      <c r="AI920" s="5"/>
      <c r="AJ920" s="125"/>
      <c r="AK920" s="125"/>
    </row>
    <row r="921"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125"/>
      <c r="AH921" s="125"/>
      <c r="AI921" s="5"/>
      <c r="AJ921" s="125"/>
      <c r="AK921" s="125"/>
    </row>
    <row r="922"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125"/>
      <c r="AH922" s="125"/>
      <c r="AI922" s="5"/>
      <c r="AJ922" s="125"/>
      <c r="AK922" s="125"/>
    </row>
    <row r="923"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125"/>
      <c r="AH923" s="125"/>
      <c r="AI923" s="5"/>
      <c r="AJ923" s="125"/>
      <c r="AK923" s="125"/>
    </row>
    <row r="924"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125"/>
      <c r="AH924" s="125"/>
      <c r="AI924" s="5"/>
      <c r="AJ924" s="125"/>
      <c r="AK924" s="125"/>
    </row>
    <row r="925"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125"/>
      <c r="AH925" s="125"/>
      <c r="AI925" s="5"/>
      <c r="AJ925" s="125"/>
      <c r="AK925" s="125"/>
    </row>
    <row r="926"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125"/>
      <c r="AH926" s="125"/>
      <c r="AI926" s="5"/>
      <c r="AJ926" s="125"/>
      <c r="AK926" s="125"/>
    </row>
    <row r="927"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125"/>
      <c r="AH927" s="125"/>
      <c r="AI927" s="5"/>
      <c r="AJ927" s="125"/>
      <c r="AK927" s="125"/>
    </row>
    <row r="928"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125"/>
      <c r="AH928" s="125"/>
      <c r="AI928" s="5"/>
      <c r="AJ928" s="125"/>
      <c r="AK928" s="125"/>
    </row>
    <row r="929"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125"/>
      <c r="AH929" s="125"/>
      <c r="AI929" s="5"/>
      <c r="AJ929" s="125"/>
      <c r="AK929" s="125"/>
    </row>
    <row r="930"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125"/>
      <c r="AH930" s="125"/>
      <c r="AI930" s="5"/>
      <c r="AJ930" s="125"/>
      <c r="AK930" s="125"/>
    </row>
    <row r="931"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125"/>
      <c r="AH931" s="125"/>
      <c r="AI931" s="5"/>
      <c r="AJ931" s="125"/>
      <c r="AK931" s="125"/>
    </row>
    <row r="932"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125"/>
      <c r="AH932" s="125"/>
      <c r="AI932" s="5"/>
      <c r="AJ932" s="125"/>
      <c r="AK932" s="125"/>
    </row>
    <row r="933"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125"/>
      <c r="AH933" s="125"/>
      <c r="AI933" s="5"/>
      <c r="AJ933" s="125"/>
      <c r="AK933" s="125"/>
    </row>
    <row r="934"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125"/>
      <c r="AH934" s="125"/>
      <c r="AI934" s="5"/>
      <c r="AJ934" s="125"/>
      <c r="AK934" s="125"/>
    </row>
    <row r="935"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125"/>
      <c r="AH935" s="125"/>
      <c r="AI935" s="5"/>
      <c r="AJ935" s="125"/>
      <c r="AK935" s="125"/>
    </row>
    <row r="936"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125"/>
      <c r="AH936" s="125"/>
      <c r="AI936" s="5"/>
      <c r="AJ936" s="125"/>
      <c r="AK936" s="125"/>
    </row>
    <row r="937"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125"/>
      <c r="AH937" s="125"/>
      <c r="AI937" s="5"/>
      <c r="AJ937" s="125"/>
      <c r="AK937" s="125"/>
    </row>
    <row r="938"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125"/>
      <c r="AH938" s="125"/>
      <c r="AI938" s="5"/>
      <c r="AJ938" s="125"/>
      <c r="AK938" s="125"/>
    </row>
    <row r="939"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125"/>
      <c r="AH939" s="125"/>
      <c r="AI939" s="5"/>
      <c r="AJ939" s="125"/>
      <c r="AK939" s="125"/>
    </row>
    <row r="940"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125"/>
      <c r="AH940" s="125"/>
      <c r="AI940" s="5"/>
      <c r="AJ940" s="125"/>
      <c r="AK940" s="125"/>
    </row>
    <row r="941"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125"/>
      <c r="AH941" s="125"/>
      <c r="AI941" s="5"/>
      <c r="AJ941" s="125"/>
      <c r="AK941" s="125"/>
    </row>
    <row r="942"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125"/>
      <c r="AH942" s="125"/>
      <c r="AI942" s="5"/>
      <c r="AJ942" s="125"/>
      <c r="AK942" s="125"/>
    </row>
    <row r="943"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125"/>
      <c r="AH943" s="125"/>
      <c r="AI943" s="5"/>
      <c r="AJ943" s="125"/>
      <c r="AK943" s="125"/>
    </row>
    <row r="944"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125"/>
      <c r="AH944" s="125"/>
      <c r="AI944" s="5"/>
      <c r="AJ944" s="125"/>
      <c r="AK944" s="125"/>
    </row>
    <row r="945"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125"/>
      <c r="AH945" s="125"/>
      <c r="AI945" s="5"/>
      <c r="AJ945" s="125"/>
      <c r="AK945" s="125"/>
    </row>
    <row r="946"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125"/>
      <c r="AH946" s="125"/>
      <c r="AI946" s="5"/>
      <c r="AJ946" s="125"/>
      <c r="AK946" s="125"/>
    </row>
    <row r="947"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125"/>
      <c r="AH947" s="125"/>
      <c r="AI947" s="5"/>
      <c r="AJ947" s="125"/>
      <c r="AK947" s="125"/>
    </row>
    <row r="948"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125"/>
      <c r="AH948" s="125"/>
      <c r="AI948" s="5"/>
      <c r="AJ948" s="125"/>
      <c r="AK948" s="125"/>
    </row>
    <row r="949"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125"/>
      <c r="AH949" s="125"/>
      <c r="AI949" s="5"/>
      <c r="AJ949" s="125"/>
      <c r="AK949" s="125"/>
    </row>
    <row r="950"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125"/>
      <c r="AH950" s="125"/>
      <c r="AI950" s="5"/>
      <c r="AJ950" s="125"/>
      <c r="AK950" s="125"/>
    </row>
    <row r="951"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125"/>
      <c r="AH951" s="125"/>
      <c r="AI951" s="5"/>
      <c r="AJ951" s="125"/>
      <c r="AK951" s="125"/>
    </row>
    <row r="952"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125"/>
      <c r="AH952" s="125"/>
      <c r="AI952" s="5"/>
      <c r="AJ952" s="125"/>
      <c r="AK952" s="125"/>
    </row>
    <row r="953"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125"/>
      <c r="AH953" s="125"/>
      <c r="AI953" s="5"/>
      <c r="AJ953" s="125"/>
      <c r="AK953" s="125"/>
    </row>
    <row r="954"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125"/>
      <c r="AH954" s="125"/>
      <c r="AI954" s="5"/>
      <c r="AJ954" s="125"/>
      <c r="AK954" s="125"/>
    </row>
    <row r="955"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125"/>
      <c r="AH955" s="125"/>
      <c r="AI955" s="5"/>
      <c r="AJ955" s="125"/>
      <c r="AK955" s="125"/>
    </row>
    <row r="956"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125"/>
      <c r="AH956" s="125"/>
      <c r="AI956" s="5"/>
      <c r="AJ956" s="125"/>
      <c r="AK956" s="125"/>
    </row>
    <row r="957"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125"/>
      <c r="AH957" s="125"/>
      <c r="AI957" s="5"/>
      <c r="AJ957" s="125"/>
      <c r="AK957" s="125"/>
    </row>
    <row r="958"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125"/>
      <c r="AH958" s="125"/>
      <c r="AI958" s="5"/>
      <c r="AJ958" s="125"/>
      <c r="AK958" s="125"/>
    </row>
    <row r="959"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125"/>
      <c r="AH959" s="125"/>
      <c r="AI959" s="5"/>
      <c r="AJ959" s="125"/>
      <c r="AK959" s="125"/>
    </row>
    <row r="960"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125"/>
      <c r="AH960" s="125"/>
      <c r="AI960" s="5"/>
      <c r="AJ960" s="125"/>
      <c r="AK960" s="125"/>
    </row>
    <row r="961"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125"/>
      <c r="AH961" s="125"/>
      <c r="AI961" s="5"/>
      <c r="AJ961" s="125"/>
      <c r="AK961" s="125"/>
    </row>
    <row r="962"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125"/>
      <c r="AH962" s="125"/>
      <c r="AI962" s="5"/>
      <c r="AJ962" s="125"/>
      <c r="AK962" s="125"/>
    </row>
    <row r="963"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125"/>
      <c r="AH963" s="125"/>
      <c r="AI963" s="5"/>
      <c r="AJ963" s="125"/>
      <c r="AK963" s="125"/>
    </row>
    <row r="964"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125"/>
      <c r="AH964" s="125"/>
      <c r="AI964" s="5"/>
      <c r="AJ964" s="125"/>
      <c r="AK964" s="125"/>
    </row>
    <row r="965"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125"/>
      <c r="AH965" s="125"/>
      <c r="AI965" s="5"/>
      <c r="AJ965" s="125"/>
      <c r="AK965" s="125"/>
    </row>
    <row r="966"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125"/>
      <c r="AH966" s="125"/>
      <c r="AI966" s="5"/>
      <c r="AJ966" s="125"/>
      <c r="AK966" s="125"/>
    </row>
    <row r="967"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125"/>
      <c r="AH967" s="125"/>
      <c r="AI967" s="5"/>
      <c r="AJ967" s="125"/>
      <c r="AK967" s="125"/>
    </row>
    <row r="968"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125"/>
      <c r="AH968" s="125"/>
      <c r="AI968" s="5"/>
      <c r="AJ968" s="125"/>
      <c r="AK968" s="125"/>
    </row>
    <row r="969"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125"/>
      <c r="AH969" s="125"/>
      <c r="AI969" s="5"/>
      <c r="AJ969" s="125"/>
      <c r="AK969" s="125"/>
    </row>
    <row r="970"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125"/>
      <c r="AH970" s="125"/>
      <c r="AI970" s="5"/>
      <c r="AJ970" s="125"/>
      <c r="AK970" s="125"/>
    </row>
    <row r="971"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125"/>
      <c r="AH971" s="125"/>
      <c r="AI971" s="5"/>
      <c r="AJ971" s="125"/>
      <c r="AK971" s="125"/>
    </row>
    <row r="972"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125"/>
      <c r="AH972" s="125"/>
      <c r="AI972" s="5"/>
      <c r="AJ972" s="125"/>
      <c r="AK972" s="125"/>
    </row>
    <row r="973"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125"/>
      <c r="AH973" s="125"/>
      <c r="AI973" s="5"/>
      <c r="AJ973" s="125"/>
      <c r="AK973" s="125"/>
    </row>
    <row r="974"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125"/>
      <c r="AH974" s="125"/>
      <c r="AI974" s="5"/>
      <c r="AJ974" s="125"/>
      <c r="AK974" s="125"/>
    </row>
    <row r="975"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125"/>
      <c r="AH975" s="125"/>
      <c r="AI975" s="5"/>
      <c r="AJ975" s="125"/>
      <c r="AK975" s="125"/>
    </row>
    <row r="976"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125"/>
      <c r="AH976" s="125"/>
      <c r="AI976" s="5"/>
      <c r="AJ976" s="125"/>
      <c r="AK976" s="125"/>
    </row>
    <row r="977"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125"/>
      <c r="AH977" s="125"/>
      <c r="AI977" s="5"/>
      <c r="AJ977" s="125"/>
      <c r="AK977" s="125"/>
    </row>
    <row r="978"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125"/>
      <c r="AH978" s="125"/>
      <c r="AI978" s="5"/>
      <c r="AJ978" s="125"/>
      <c r="AK978" s="125"/>
    </row>
    <row r="979"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125"/>
      <c r="AH979" s="125"/>
      <c r="AI979" s="5"/>
      <c r="AJ979" s="125"/>
      <c r="AK979" s="125"/>
    </row>
    <row r="980"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125"/>
      <c r="AH980" s="125"/>
      <c r="AI980" s="5"/>
      <c r="AJ980" s="125"/>
      <c r="AK980" s="125"/>
    </row>
    <row r="981"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125"/>
      <c r="AH981" s="125"/>
      <c r="AI981" s="5"/>
      <c r="AJ981" s="125"/>
      <c r="AK981" s="125"/>
    </row>
    <row r="982"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125"/>
      <c r="AH982" s="125"/>
      <c r="AI982" s="5"/>
      <c r="AJ982" s="125"/>
      <c r="AK982" s="125"/>
    </row>
    <row r="983"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125"/>
      <c r="AH983" s="125"/>
      <c r="AI983" s="5"/>
      <c r="AJ983" s="125"/>
      <c r="AK983" s="125"/>
    </row>
    <row r="984"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125"/>
      <c r="AH984" s="125"/>
      <c r="AI984" s="5"/>
      <c r="AJ984" s="125"/>
      <c r="AK984" s="125"/>
    </row>
    <row r="985"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125"/>
      <c r="AH985" s="125"/>
      <c r="AI985" s="5"/>
      <c r="AJ985" s="125"/>
      <c r="AK985" s="125"/>
    </row>
    <row r="986"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125"/>
      <c r="AH986" s="125"/>
      <c r="AI986" s="5"/>
      <c r="AJ986" s="125"/>
      <c r="AK986" s="125"/>
    </row>
    <row r="987"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125"/>
      <c r="AH987" s="125"/>
      <c r="AI987" s="5"/>
      <c r="AJ987" s="125"/>
      <c r="AK987" s="125"/>
    </row>
    <row r="988"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125"/>
      <c r="AH988" s="125"/>
      <c r="AI988" s="5"/>
      <c r="AJ988" s="125"/>
      <c r="AK988" s="125"/>
    </row>
    <row r="989"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125"/>
      <c r="AH989" s="125"/>
      <c r="AI989" s="5"/>
      <c r="AJ989" s="125"/>
      <c r="AK989" s="125"/>
    </row>
    <row r="990"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125"/>
      <c r="AH990" s="125"/>
      <c r="AI990" s="5"/>
      <c r="AJ990" s="125"/>
      <c r="AK990" s="125"/>
    </row>
    <row r="991"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125"/>
      <c r="AH991" s="125"/>
      <c r="AI991" s="5"/>
      <c r="AJ991" s="125"/>
      <c r="AK991" s="125"/>
    </row>
    <row r="992"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125"/>
      <c r="AH992" s="125"/>
      <c r="AI992" s="5"/>
      <c r="AJ992" s="125"/>
      <c r="AK992" s="125"/>
    </row>
    <row r="993"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125"/>
      <c r="AH993" s="125"/>
      <c r="AI993" s="5"/>
      <c r="AJ993" s="125"/>
      <c r="AK993" s="125"/>
    </row>
    <row r="994"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125"/>
      <c r="AH994" s="125"/>
      <c r="AI994" s="5"/>
      <c r="AJ994" s="125"/>
      <c r="AK994" s="125"/>
    </row>
    <row r="995"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125"/>
      <c r="AH995" s="125"/>
      <c r="AI995" s="5"/>
      <c r="AJ995" s="125"/>
      <c r="AK995" s="125"/>
    </row>
    <row r="996"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125"/>
      <c r="AH996" s="125"/>
      <c r="AI996" s="5"/>
      <c r="AJ996" s="125"/>
      <c r="AK996" s="125"/>
    </row>
    <row r="997"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125"/>
      <c r="AH997" s="125"/>
      <c r="AI997" s="5"/>
      <c r="AJ997" s="125"/>
      <c r="AK997" s="125"/>
    </row>
    <row r="998"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125"/>
      <c r="AH998" s="125"/>
      <c r="AI998" s="5"/>
      <c r="AJ998" s="125"/>
      <c r="AK998" s="125"/>
    </row>
    <row r="999"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125"/>
      <c r="AH999" s="125"/>
      <c r="AI999" s="5"/>
      <c r="AJ999" s="125"/>
      <c r="AK999" s="125"/>
    </row>
    <row r="1000"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125"/>
      <c r="AH1000" s="125"/>
      <c r="AI1000" s="5"/>
      <c r="AJ1000" s="125"/>
      <c r="AK1000" s="125"/>
    </row>
    <row r="1001"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125"/>
      <c r="AH1001" s="125"/>
      <c r="AI1001" s="5"/>
      <c r="AJ1001" s="125"/>
      <c r="AK1001" s="125"/>
    </row>
    <row r="1002"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125"/>
      <c r="AH1002" s="125"/>
      <c r="AI1002" s="5"/>
      <c r="AJ1002" s="125"/>
      <c r="AK1002" s="125"/>
    </row>
    <row r="1003"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125"/>
      <c r="AH1003" s="125"/>
      <c r="AI1003" s="5"/>
      <c r="AJ1003" s="125"/>
      <c r="AK1003" s="125"/>
    </row>
    <row r="1004"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125"/>
      <c r="AH1004" s="125"/>
      <c r="AI1004" s="5"/>
      <c r="AJ1004" s="125"/>
      <c r="AK1004" s="125"/>
    </row>
    <row r="1005"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125"/>
      <c r="AH1005" s="125"/>
      <c r="AI1005" s="5"/>
      <c r="AJ1005" s="125"/>
      <c r="AK1005" s="125"/>
    </row>
    <row r="1006"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125"/>
      <c r="AH1006" s="125"/>
      <c r="AI1006" s="5"/>
      <c r="AJ1006" s="125"/>
      <c r="AK1006" s="125"/>
    </row>
    <row r="1007"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125"/>
      <c r="AH1007" s="125"/>
      <c r="AI1007" s="5"/>
      <c r="AJ1007" s="125"/>
      <c r="AK1007" s="125"/>
    </row>
    <row r="1008"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125"/>
      <c r="AH1008" s="125"/>
      <c r="AI1008" s="5"/>
      <c r="AJ1008" s="125"/>
      <c r="AK1008" s="125"/>
    </row>
    <row r="1009"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125"/>
      <c r="AH1009" s="125"/>
      <c r="AI1009" s="5"/>
      <c r="AJ1009" s="125"/>
      <c r="AK1009" s="125"/>
    </row>
    <row r="1010"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125"/>
      <c r="AH1010" s="125"/>
      <c r="AI1010" s="5"/>
      <c r="AJ1010" s="125"/>
      <c r="AK1010" s="125"/>
    </row>
    <row r="1011"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125"/>
      <c r="AH1011" s="125"/>
      <c r="AI1011" s="5"/>
      <c r="AJ1011" s="125"/>
      <c r="AK1011" s="125"/>
    </row>
    <row r="1012"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125"/>
      <c r="AH1012" s="125"/>
      <c r="AI1012" s="5"/>
      <c r="AJ1012" s="125"/>
      <c r="AK1012" s="125"/>
    </row>
  </sheetData>
  <mergeCells count="54">
    <mergeCell ref="Z17:Z18"/>
    <mergeCell ref="AA17:AA18"/>
    <mergeCell ref="AB17:AB18"/>
    <mergeCell ref="S17:S18"/>
    <mergeCell ref="T17:T18"/>
    <mergeCell ref="U17:U18"/>
    <mergeCell ref="V17:V18"/>
    <mergeCell ref="W17:W18"/>
    <mergeCell ref="X17:X18"/>
    <mergeCell ref="Y17:Y18"/>
    <mergeCell ref="H17:I17"/>
    <mergeCell ref="M17:M18"/>
    <mergeCell ref="N17:N18"/>
    <mergeCell ref="O17:O18"/>
    <mergeCell ref="P17:P18"/>
    <mergeCell ref="Q17:Q18"/>
    <mergeCell ref="R17:R18"/>
    <mergeCell ref="H25:I25"/>
    <mergeCell ref="H26:I26"/>
    <mergeCell ref="H27:I27"/>
    <mergeCell ref="H28:I28"/>
    <mergeCell ref="H29:I29"/>
    <mergeCell ref="H18:I18"/>
    <mergeCell ref="H19:I19"/>
    <mergeCell ref="H20:I20"/>
    <mergeCell ref="H21:I21"/>
    <mergeCell ref="H22:I22"/>
    <mergeCell ref="H23:I23"/>
    <mergeCell ref="H24:I24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B2:C2"/>
    <mergeCell ref="L3:AB3"/>
    <mergeCell ref="B4:D4"/>
    <mergeCell ref="J4:J5"/>
    <mergeCell ref="M4:M5"/>
    <mergeCell ref="N4:N5"/>
    <mergeCell ref="O4:O5"/>
    <mergeCell ref="AB4:AB5"/>
    <mergeCell ref="Z4:Z5"/>
    <mergeCell ref="AA4:AA5"/>
    <mergeCell ref="L9:AB9"/>
    <mergeCell ref="L13:AB13"/>
    <mergeCell ref="B15:D15"/>
    <mergeCell ref="B16:C16"/>
    <mergeCell ref="H16:I16"/>
  </mergeCells>
  <conditionalFormatting sqref="AC1:AC2 AF3:AF11 AC12:AC20 AC29:AC1012">
    <cfRule type="notContainsBlanks" dxfId="4" priority="1">
      <formula>LEN(TRIM(AC1))&gt;0</formula>
    </cfRule>
  </conditionalFormatting>
  <conditionalFormatting sqref="Z8:AE8">
    <cfRule type="cellIs" dxfId="0" priority="2" operator="equal">
      <formula>0</formula>
    </cfRule>
  </conditionalFormatting>
  <conditionalFormatting sqref="M6:AB6 M10 N10:AA11 AB10 M14 N14:AA15 AB14">
    <cfRule type="cellIs" dxfId="0" priority="3" operator="equal">
      <formula>0</formula>
    </cfRule>
  </conditionalFormatting>
  <conditionalFormatting sqref="M7:AB7 T10:T11 M11:S11 U11:AB11 T14:T15 M15:S15 U15:AB15">
    <cfRule type="cellIs" dxfId="5" priority="4" operator="equal">
      <formula>0</formula>
    </cfRule>
  </conditionalFormatting>
  <conditionalFormatting sqref="H6:H13">
    <cfRule type="cellIs" dxfId="1" priority="5" operator="greaterThan">
      <formula>0</formula>
    </cfRule>
  </conditionalFormatting>
  <conditionalFormatting sqref="V4:V8 V10:V12 V14:V15">
    <cfRule type="expression" dxfId="2" priority="6">
      <formula>$F$15&gt;=3</formula>
    </cfRule>
  </conditionalFormatting>
  <dataValidations>
    <dataValidation type="list" allowBlank="1" showErrorMessage="1" sqref="J10">
      <formula1>"Sí,No"</formula1>
    </dataValidation>
    <dataValidation type="list" allowBlank="1" showErrorMessage="1" sqref="J8">
      <formula1>"1%,2%,3%,4%,5%,0%"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12.0"/>
    <col customWidth="1" min="3" max="5" width="11.0"/>
    <col customWidth="1" min="6" max="6" width="2.88"/>
    <col customWidth="1" min="7" max="11" width="17.13"/>
    <col customWidth="1" min="12" max="12" width="2.88"/>
    <col customWidth="1" min="13" max="13" width="12.13"/>
    <col customWidth="1" min="14" max="17" width="13.88"/>
    <col customWidth="1" min="18" max="18" width="2.88"/>
    <col customWidth="1" min="19" max="19" width="12.13"/>
    <col customWidth="1" min="20" max="23" width="15.38"/>
    <col customWidth="1" min="24" max="24" width="2.88"/>
    <col customWidth="1" min="25" max="25" width="12.13"/>
    <col customWidth="1" min="26" max="29" width="15.63"/>
    <col customWidth="1" min="30" max="30" width="2.38"/>
    <col customWidth="1" min="31" max="31" width="18.88"/>
    <col customWidth="1" min="32" max="35" width="19.0"/>
    <col customWidth="1" min="36" max="36" width="3.88"/>
    <col customWidth="1" min="38" max="38" width="16.88"/>
    <col customWidth="1" min="56" max="59" width="15.75"/>
    <col customWidth="1" min="60" max="60" width="3.88"/>
    <col customWidth="1" min="61" max="65" width="17.13"/>
    <col customWidth="1" min="66" max="66" width="5.63"/>
    <col customWidth="1" min="67" max="67" width="17.13"/>
    <col customWidth="1" min="68" max="68" width="13.63"/>
    <col customWidth="1" min="70" max="70" width="4.25"/>
    <col customWidth="1" min="71" max="71" width="18.88"/>
    <col customWidth="1" min="72" max="75" width="19.0"/>
    <col customWidth="1" min="76" max="76" width="3.75"/>
    <col customWidth="1" min="83" max="83" width="19.25"/>
    <col customWidth="1" min="89" max="89" width="19.38"/>
    <col customWidth="1" min="96" max="96" width="24.5"/>
    <col customWidth="1" min="97" max="97" width="3.38"/>
    <col customWidth="1" min="99" max="102" width="24.5"/>
    <col customWidth="1" min="103" max="103" width="3.75"/>
    <col customWidth="1" min="105" max="108" width="24.5"/>
  </cols>
  <sheetData>
    <row r="1">
      <c r="A1" s="148" t="s">
        <v>72</v>
      </c>
      <c r="B1" s="148" t="s">
        <v>73</v>
      </c>
      <c r="C1" s="148" t="s">
        <v>74</v>
      </c>
      <c r="D1" s="148" t="s">
        <v>75</v>
      </c>
      <c r="E1" s="148" t="s">
        <v>76</v>
      </c>
      <c r="F1" s="3"/>
      <c r="G1" s="147" t="s">
        <v>72</v>
      </c>
      <c r="H1" s="147" t="s">
        <v>77</v>
      </c>
      <c r="I1" s="147" t="s">
        <v>78</v>
      </c>
      <c r="J1" s="147" t="s">
        <v>79</v>
      </c>
      <c r="K1" s="147" t="s">
        <v>80</v>
      </c>
      <c r="L1" s="3"/>
      <c r="M1" s="147" t="s">
        <v>72</v>
      </c>
      <c r="N1" s="147" t="s">
        <v>81</v>
      </c>
      <c r="O1" s="147" t="s">
        <v>82</v>
      </c>
      <c r="P1" s="147" t="s">
        <v>83</v>
      </c>
      <c r="Q1" s="147" t="s">
        <v>84</v>
      </c>
      <c r="R1" s="3"/>
      <c r="S1" s="147" t="s">
        <v>72</v>
      </c>
      <c r="T1" s="147" t="s">
        <v>85</v>
      </c>
      <c r="U1" s="147" t="s">
        <v>86</v>
      </c>
      <c r="V1" s="147" t="s">
        <v>87</v>
      </c>
      <c r="W1" s="147" t="s">
        <v>88</v>
      </c>
      <c r="X1" s="3"/>
      <c r="Y1" s="147" t="s">
        <v>72</v>
      </c>
      <c r="Z1" s="147" t="s">
        <v>89</v>
      </c>
      <c r="AA1" s="147" t="s">
        <v>90</v>
      </c>
      <c r="AB1" s="147" t="s">
        <v>91</v>
      </c>
      <c r="AC1" s="147" t="s">
        <v>92</v>
      </c>
      <c r="AD1" s="3"/>
      <c r="AE1" s="147" t="s">
        <v>93</v>
      </c>
      <c r="AF1" s="147" t="s">
        <v>94</v>
      </c>
      <c r="AG1" s="147" t="s">
        <v>95</v>
      </c>
      <c r="AH1" s="147" t="s">
        <v>96</v>
      </c>
      <c r="AI1" s="147" t="s">
        <v>97</v>
      </c>
      <c r="AJ1" s="3"/>
      <c r="AK1" s="147" t="s">
        <v>93</v>
      </c>
      <c r="AL1" s="147" t="s">
        <v>98</v>
      </c>
      <c r="AM1" s="147" t="s">
        <v>99</v>
      </c>
      <c r="AN1" s="147" t="s">
        <v>100</v>
      </c>
      <c r="AO1" s="147" t="s">
        <v>101</v>
      </c>
      <c r="AP1" s="148"/>
      <c r="AQ1" s="147" t="s">
        <v>102</v>
      </c>
      <c r="AR1" s="147" t="s">
        <v>103</v>
      </c>
      <c r="AS1" s="147" t="s">
        <v>104</v>
      </c>
      <c r="AT1" s="147" t="s">
        <v>105</v>
      </c>
      <c r="AU1" s="147" t="s">
        <v>106</v>
      </c>
      <c r="AV1" s="148"/>
      <c r="AW1" s="147" t="s">
        <v>102</v>
      </c>
      <c r="AX1" s="147" t="s">
        <v>107</v>
      </c>
      <c r="AY1" s="147" t="s">
        <v>108</v>
      </c>
      <c r="AZ1" s="147" t="s">
        <v>109</v>
      </c>
      <c r="BA1" s="147" t="s">
        <v>110</v>
      </c>
      <c r="BB1" s="148"/>
      <c r="BC1" s="147" t="s">
        <v>72</v>
      </c>
      <c r="BD1" s="147" t="s">
        <v>111</v>
      </c>
      <c r="BE1" s="147" t="s">
        <v>112</v>
      </c>
      <c r="BF1" s="147" t="s">
        <v>113</v>
      </c>
      <c r="BG1" s="147" t="s">
        <v>114</v>
      </c>
      <c r="BH1" s="3"/>
      <c r="BI1" s="147" t="s">
        <v>72</v>
      </c>
      <c r="BJ1" s="147" t="s">
        <v>115</v>
      </c>
      <c r="BK1" s="147" t="s">
        <v>116</v>
      </c>
      <c r="BL1" s="147" t="s">
        <v>117</v>
      </c>
      <c r="BM1" s="147" t="s">
        <v>118</v>
      </c>
      <c r="BN1" s="3"/>
      <c r="BO1" s="147" t="s">
        <v>69</v>
      </c>
      <c r="BP1" s="147" t="s">
        <v>70</v>
      </c>
      <c r="BQ1" s="147" t="s">
        <v>71</v>
      </c>
      <c r="BR1" s="3"/>
      <c r="BS1" s="147" t="s">
        <v>72</v>
      </c>
      <c r="BT1" s="147" t="s">
        <v>119</v>
      </c>
      <c r="BU1" s="147" t="s">
        <v>120</v>
      </c>
      <c r="BV1" s="147" t="s">
        <v>121</v>
      </c>
      <c r="BW1" s="147" t="s">
        <v>122</v>
      </c>
      <c r="BY1" s="147" t="s">
        <v>72</v>
      </c>
      <c r="BZ1" s="147" t="s">
        <v>123</v>
      </c>
      <c r="CA1" s="147" t="s">
        <v>124</v>
      </c>
      <c r="CB1" s="147" t="s">
        <v>125</v>
      </c>
      <c r="CC1" s="147" t="s">
        <v>126</v>
      </c>
      <c r="CD1" s="148"/>
      <c r="CE1" s="147" t="s">
        <v>127</v>
      </c>
      <c r="CF1" s="147" t="s">
        <v>128</v>
      </c>
      <c r="CG1" s="147" t="s">
        <v>129</v>
      </c>
      <c r="CH1" s="147" t="s">
        <v>130</v>
      </c>
      <c r="CI1" s="147" t="s">
        <v>131</v>
      </c>
      <c r="CJ1" s="148"/>
      <c r="CK1" s="147" t="s">
        <v>132</v>
      </c>
      <c r="CL1" s="147" t="s">
        <v>128</v>
      </c>
      <c r="CM1" s="147" t="s">
        <v>129</v>
      </c>
      <c r="CN1" s="147" t="s">
        <v>130</v>
      </c>
      <c r="CO1" s="147" t="s">
        <v>131</v>
      </c>
      <c r="CP1" s="148"/>
      <c r="CQ1" s="149"/>
      <c r="CR1" s="149"/>
      <c r="CT1" s="147" t="s">
        <v>72</v>
      </c>
      <c r="CU1" s="147" t="s">
        <v>133</v>
      </c>
      <c r="CV1" s="147" t="s">
        <v>134</v>
      </c>
      <c r="CW1" s="147" t="s">
        <v>135</v>
      </c>
      <c r="CX1" s="147" t="s">
        <v>136</v>
      </c>
      <c r="CZ1" s="147" t="s">
        <v>72</v>
      </c>
      <c r="DA1" s="147" t="s">
        <v>137</v>
      </c>
      <c r="DB1" s="147" t="s">
        <v>138</v>
      </c>
      <c r="DC1" s="147" t="s">
        <v>139</v>
      </c>
      <c r="DD1" s="147" t="s">
        <v>140</v>
      </c>
    </row>
    <row r="2">
      <c r="A2" s="151">
        <v>0.0</v>
      </c>
      <c r="B2" s="152">
        <v>20.0</v>
      </c>
      <c r="C2" s="152">
        <v>21.0</v>
      </c>
      <c r="D2" s="152">
        <v>21.0</v>
      </c>
      <c r="E2" s="152">
        <v>22.0</v>
      </c>
      <c r="F2" s="3"/>
      <c r="G2" s="153">
        <v>0.0</v>
      </c>
      <c r="H2" s="152">
        <v>37.0</v>
      </c>
      <c r="I2" s="152">
        <v>38.0</v>
      </c>
      <c r="J2" s="152">
        <v>39.0</v>
      </c>
      <c r="K2" s="152">
        <v>40.0</v>
      </c>
      <c r="L2" s="3"/>
      <c r="M2" s="153">
        <v>0.0</v>
      </c>
      <c r="N2" s="152">
        <v>49.0</v>
      </c>
      <c r="O2" s="152">
        <v>50.0</v>
      </c>
      <c r="P2" s="152">
        <v>51.0</v>
      </c>
      <c r="Q2" s="152">
        <v>52.0</v>
      </c>
      <c r="R2" s="3"/>
      <c r="S2" s="153">
        <v>0.0</v>
      </c>
      <c r="T2" s="152">
        <v>59.0</v>
      </c>
      <c r="U2" s="152">
        <v>61.0</v>
      </c>
      <c r="V2" s="152">
        <v>63.0</v>
      </c>
      <c r="W2" s="152">
        <v>64.0</v>
      </c>
      <c r="X2" s="3"/>
      <c r="Y2" s="153">
        <v>0.0</v>
      </c>
      <c r="Z2" s="152">
        <v>80.0</v>
      </c>
      <c r="AA2" s="152">
        <v>81.0</v>
      </c>
      <c r="AB2" s="152">
        <v>83.0</v>
      </c>
      <c r="AC2" s="152">
        <v>84.0</v>
      </c>
      <c r="AD2" s="3"/>
      <c r="AE2" s="153">
        <v>0.0</v>
      </c>
      <c r="AF2" s="154">
        <v>49.0</v>
      </c>
      <c r="AG2" s="154">
        <v>50.0</v>
      </c>
      <c r="AH2" s="154">
        <v>52.0</v>
      </c>
      <c r="AI2" s="154">
        <v>53.0</v>
      </c>
      <c r="AJ2" s="3"/>
      <c r="AK2" s="153">
        <v>0.0</v>
      </c>
      <c r="AL2" s="154">
        <v>72.0</v>
      </c>
      <c r="AM2" s="154">
        <v>73.0</v>
      </c>
      <c r="AN2" s="154">
        <v>76.0</v>
      </c>
      <c r="AO2" s="154">
        <v>77.0</v>
      </c>
      <c r="AP2" s="3"/>
      <c r="AQ2" s="153">
        <v>0.0</v>
      </c>
      <c r="AR2" s="154">
        <v>53.5</v>
      </c>
      <c r="AS2" s="154">
        <v>55.5</v>
      </c>
      <c r="AT2" s="154">
        <v>57.0</v>
      </c>
      <c r="AU2" s="154">
        <v>58.0</v>
      </c>
      <c r="AV2" s="3"/>
      <c r="AW2" s="153">
        <v>0.0</v>
      </c>
      <c r="AX2" s="154">
        <v>75.5</v>
      </c>
      <c r="AY2" s="154">
        <v>77.5</v>
      </c>
      <c r="AZ2" s="154">
        <v>80.5</v>
      </c>
      <c r="BA2" s="154">
        <v>82.0</v>
      </c>
      <c r="BB2" s="3"/>
      <c r="BC2" s="155">
        <v>0.0</v>
      </c>
      <c r="BD2" s="156" t="s">
        <v>142</v>
      </c>
      <c r="BE2" s="156" t="s">
        <v>142</v>
      </c>
      <c r="BF2" s="156" t="s">
        <v>142</v>
      </c>
      <c r="BG2" s="156" t="s">
        <v>142</v>
      </c>
      <c r="BH2" s="3"/>
      <c r="BI2" s="155">
        <v>0.0</v>
      </c>
      <c r="BJ2" s="152" t="s">
        <v>142</v>
      </c>
      <c r="BK2" s="152" t="s">
        <v>142</v>
      </c>
      <c r="BL2" s="152" t="s">
        <v>142</v>
      </c>
      <c r="BM2" s="152" t="s">
        <v>142</v>
      </c>
      <c r="BN2" s="3"/>
      <c r="BO2" s="155">
        <v>1.0</v>
      </c>
      <c r="BP2" s="157">
        <v>8.93</v>
      </c>
      <c r="BQ2" s="157">
        <f t="shared" ref="BQ2:BQ9" si="1">BP2*BO2</f>
        <v>8.93</v>
      </c>
      <c r="BR2" s="3"/>
      <c r="BS2" s="153">
        <v>0.0</v>
      </c>
      <c r="BT2" s="152">
        <v>58.0</v>
      </c>
      <c r="BU2" s="152">
        <v>60.0</v>
      </c>
      <c r="BV2" s="152">
        <v>62.0</v>
      </c>
      <c r="BW2" s="152">
        <v>63.0</v>
      </c>
      <c r="BY2" s="153">
        <v>0.0</v>
      </c>
      <c r="BZ2" s="154">
        <v>53.5</v>
      </c>
      <c r="CA2" s="154">
        <v>54.5</v>
      </c>
      <c r="CB2" s="154">
        <v>56.5</v>
      </c>
      <c r="CC2" s="154">
        <v>58.0</v>
      </c>
      <c r="CD2" s="158"/>
      <c r="CE2" s="153">
        <v>0.0</v>
      </c>
      <c r="CF2" s="152">
        <v>87.0</v>
      </c>
      <c r="CG2" s="152">
        <v>90.0</v>
      </c>
      <c r="CH2" s="152">
        <v>98.0</v>
      </c>
      <c r="CI2" s="152">
        <v>98.0</v>
      </c>
      <c r="CJ2" s="158"/>
      <c r="CK2" s="153">
        <v>0.0</v>
      </c>
      <c r="CL2" s="154">
        <v>78.3</v>
      </c>
      <c r="CM2" s="154">
        <v>81.0</v>
      </c>
      <c r="CN2" s="154">
        <v>88.2</v>
      </c>
      <c r="CO2" s="154">
        <v>88.2</v>
      </c>
      <c r="CP2" s="158"/>
      <c r="CQ2" s="159"/>
      <c r="CR2" s="160"/>
      <c r="CT2" s="153">
        <v>0.0</v>
      </c>
      <c r="CU2" s="152">
        <v>87.0</v>
      </c>
      <c r="CV2" s="152">
        <v>90.0</v>
      </c>
      <c r="CW2" s="152">
        <v>98.0</v>
      </c>
      <c r="CX2" s="152">
        <v>98.0</v>
      </c>
      <c r="CZ2" s="153">
        <v>0.0</v>
      </c>
      <c r="DA2" s="152">
        <v>47.0</v>
      </c>
      <c r="DB2" s="152">
        <v>48.0</v>
      </c>
      <c r="DC2" s="152">
        <v>49.0</v>
      </c>
      <c r="DD2" s="152">
        <v>50.0</v>
      </c>
    </row>
    <row r="3">
      <c r="A3" s="153">
        <v>55.0</v>
      </c>
      <c r="B3" s="152">
        <v>37.0</v>
      </c>
      <c r="C3" s="152">
        <v>37.0</v>
      </c>
      <c r="D3" s="152">
        <v>38.0</v>
      </c>
      <c r="E3" s="152">
        <v>38.0</v>
      </c>
      <c r="F3" s="3"/>
      <c r="G3" s="153">
        <v>25.0</v>
      </c>
      <c r="H3" s="152">
        <v>48.0</v>
      </c>
      <c r="I3" s="152">
        <v>49.0</v>
      </c>
      <c r="J3" s="152">
        <v>50.0</v>
      </c>
      <c r="K3" s="152">
        <v>51.0</v>
      </c>
      <c r="L3" s="3"/>
      <c r="M3" s="153">
        <v>25.0</v>
      </c>
      <c r="N3" s="152">
        <v>58.0</v>
      </c>
      <c r="O3" s="152">
        <v>59.0</v>
      </c>
      <c r="P3" s="152">
        <v>61.0</v>
      </c>
      <c r="Q3" s="152">
        <v>62.0</v>
      </c>
      <c r="R3" s="3"/>
      <c r="S3" s="153">
        <v>25.0</v>
      </c>
      <c r="T3" s="152">
        <v>69.0</v>
      </c>
      <c r="U3" s="152">
        <v>71.0</v>
      </c>
      <c r="V3" s="152">
        <v>73.0</v>
      </c>
      <c r="W3" s="152">
        <v>75.0</v>
      </c>
      <c r="X3" s="3"/>
      <c r="Y3" s="153">
        <v>25.0</v>
      </c>
      <c r="Z3" s="152">
        <v>95.0</v>
      </c>
      <c r="AA3" s="152">
        <v>98.0</v>
      </c>
      <c r="AB3" s="152">
        <v>100.0</v>
      </c>
      <c r="AC3" s="152">
        <v>103.0</v>
      </c>
      <c r="AD3" s="3"/>
      <c r="AE3" s="153">
        <v>45.0</v>
      </c>
      <c r="AF3" s="154">
        <v>56.5</v>
      </c>
      <c r="AG3" s="154">
        <v>58.5</v>
      </c>
      <c r="AH3" s="154">
        <v>60.5</v>
      </c>
      <c r="AI3" s="154">
        <v>61.5</v>
      </c>
      <c r="AJ3" s="3"/>
      <c r="AK3" s="153">
        <v>45.0</v>
      </c>
      <c r="AL3" s="154">
        <v>73.5</v>
      </c>
      <c r="AM3" s="154">
        <v>75.5</v>
      </c>
      <c r="AN3" s="154">
        <v>78.5</v>
      </c>
      <c r="AO3" s="154">
        <v>79.5</v>
      </c>
      <c r="AP3" s="3"/>
      <c r="AQ3" s="153">
        <v>66.0</v>
      </c>
      <c r="AR3" s="154">
        <v>82.0</v>
      </c>
      <c r="AS3" s="154">
        <v>84.0</v>
      </c>
      <c r="AT3" s="154">
        <v>87.0</v>
      </c>
      <c r="AU3" s="154">
        <v>89.0</v>
      </c>
      <c r="AV3" s="3"/>
      <c r="AW3" s="153">
        <v>66.0</v>
      </c>
      <c r="AX3" s="154">
        <v>97.0</v>
      </c>
      <c r="AY3" s="154">
        <v>100.0</v>
      </c>
      <c r="AZ3" s="154">
        <v>103.0</v>
      </c>
      <c r="BA3" s="154">
        <v>105.0</v>
      </c>
      <c r="BB3" s="3"/>
      <c r="BC3" s="155">
        <v>50.0</v>
      </c>
      <c r="BD3" s="152">
        <v>65.0</v>
      </c>
      <c r="BE3" s="152">
        <v>67.0</v>
      </c>
      <c r="BF3" s="152">
        <v>69.0</v>
      </c>
      <c r="BG3" s="152">
        <v>70.0</v>
      </c>
      <c r="BH3" s="3"/>
      <c r="BI3" s="155">
        <v>60.0</v>
      </c>
      <c r="BJ3" s="152">
        <v>99.0</v>
      </c>
      <c r="BK3" s="152">
        <v>100.0</v>
      </c>
      <c r="BL3" s="152">
        <v>107.0</v>
      </c>
      <c r="BM3" s="152">
        <v>109.0</v>
      </c>
      <c r="BN3" s="3"/>
      <c r="BO3" s="155">
        <v>2.0</v>
      </c>
      <c r="BP3" s="157">
        <v>6.37</v>
      </c>
      <c r="BQ3" s="157">
        <f t="shared" si="1"/>
        <v>12.74</v>
      </c>
      <c r="BR3" s="3"/>
      <c r="BS3" s="153">
        <v>45.0</v>
      </c>
      <c r="BT3" s="152">
        <v>69.0</v>
      </c>
      <c r="BU3" s="152">
        <v>71.0</v>
      </c>
      <c r="BV3" s="152">
        <v>74.0</v>
      </c>
      <c r="BW3" s="152">
        <v>75.0</v>
      </c>
      <c r="BY3" s="153">
        <v>25.0</v>
      </c>
      <c r="BZ3" s="154">
        <v>58.5</v>
      </c>
      <c r="CA3" s="154">
        <v>60.5</v>
      </c>
      <c r="CB3" s="154">
        <v>62.5</v>
      </c>
      <c r="CC3" s="154">
        <v>63.5</v>
      </c>
      <c r="CD3" s="158"/>
      <c r="CE3" s="153">
        <v>25.0</v>
      </c>
      <c r="CF3" s="152">
        <v>103.0</v>
      </c>
      <c r="CG3" s="152">
        <v>105.0</v>
      </c>
      <c r="CH3" s="152">
        <v>115.0</v>
      </c>
      <c r="CI3" s="152">
        <v>115.0</v>
      </c>
      <c r="CJ3" s="158"/>
      <c r="CK3" s="153">
        <v>25.0</v>
      </c>
      <c r="CL3" s="154">
        <v>92.7</v>
      </c>
      <c r="CM3" s="154">
        <v>94.5</v>
      </c>
      <c r="CN3" s="154">
        <v>103.5</v>
      </c>
      <c r="CO3" s="154">
        <v>103.5</v>
      </c>
      <c r="CP3" s="158"/>
      <c r="CQ3" s="159"/>
      <c r="CR3" s="160"/>
      <c r="CT3" s="153">
        <v>25.0</v>
      </c>
      <c r="CU3" s="152">
        <v>103.0</v>
      </c>
      <c r="CV3" s="152">
        <v>105.0</v>
      </c>
      <c r="CW3" s="152">
        <v>115.0</v>
      </c>
      <c r="CX3" s="152">
        <v>115.0</v>
      </c>
      <c r="CZ3" s="153">
        <v>25.0</v>
      </c>
      <c r="DA3" s="152">
        <v>58.0</v>
      </c>
      <c r="DB3" s="152">
        <v>59.0</v>
      </c>
      <c r="DC3" s="152">
        <v>60.0</v>
      </c>
      <c r="DD3" s="152">
        <v>61.0</v>
      </c>
    </row>
    <row r="4">
      <c r="A4" s="153">
        <v>70.0</v>
      </c>
      <c r="B4" s="152">
        <v>45.0</v>
      </c>
      <c r="C4" s="152">
        <v>45.0</v>
      </c>
      <c r="D4" s="152">
        <v>45.0</v>
      </c>
      <c r="E4" s="152">
        <v>45.0</v>
      </c>
      <c r="F4" s="3"/>
      <c r="G4" s="153">
        <v>45.0</v>
      </c>
      <c r="H4" s="152">
        <v>59.0</v>
      </c>
      <c r="I4" s="152">
        <v>60.0</v>
      </c>
      <c r="J4" s="152">
        <v>61.0</v>
      </c>
      <c r="K4" s="152">
        <v>62.0</v>
      </c>
      <c r="L4" s="3"/>
      <c r="M4" s="153">
        <v>45.0</v>
      </c>
      <c r="N4" s="152">
        <v>69.0</v>
      </c>
      <c r="O4" s="152">
        <v>70.0</v>
      </c>
      <c r="P4" s="152">
        <v>72.0</v>
      </c>
      <c r="Q4" s="152">
        <v>74.0</v>
      </c>
      <c r="R4" s="3"/>
      <c r="S4" s="153">
        <v>45.0</v>
      </c>
      <c r="T4" s="152">
        <v>88.0</v>
      </c>
      <c r="U4" s="152">
        <v>89.0</v>
      </c>
      <c r="V4" s="152">
        <v>93.0</v>
      </c>
      <c r="W4" s="152">
        <v>94.0</v>
      </c>
      <c r="X4" s="3"/>
      <c r="Y4" s="153">
        <v>45.0</v>
      </c>
      <c r="Z4" s="152">
        <v>114.0</v>
      </c>
      <c r="AA4" s="152">
        <v>117.0</v>
      </c>
      <c r="AB4" s="152">
        <v>122.0</v>
      </c>
      <c r="AC4" s="152">
        <v>125.0</v>
      </c>
      <c r="AD4" s="3"/>
      <c r="AE4" s="153">
        <v>55.0</v>
      </c>
      <c r="AF4" s="154">
        <v>71.5</v>
      </c>
      <c r="AG4" s="154">
        <v>74.5</v>
      </c>
      <c r="AH4" s="154">
        <v>76.5</v>
      </c>
      <c r="AI4" s="154">
        <v>79.5</v>
      </c>
      <c r="AJ4" s="3"/>
      <c r="AK4" s="153">
        <v>55.0</v>
      </c>
      <c r="AL4" s="154">
        <v>102.0</v>
      </c>
      <c r="AM4" s="154">
        <v>106.0</v>
      </c>
      <c r="AN4" s="154">
        <v>109.0</v>
      </c>
      <c r="AO4" s="154">
        <v>111.0</v>
      </c>
      <c r="AP4" s="3"/>
      <c r="AQ4" s="153">
        <v>68.0</v>
      </c>
      <c r="AR4" s="154">
        <v>153.0</v>
      </c>
      <c r="AS4" s="154">
        <v>159.0</v>
      </c>
      <c r="AT4" s="154">
        <v>166.0</v>
      </c>
      <c r="AU4" s="154">
        <v>170.0</v>
      </c>
      <c r="AV4" s="3"/>
      <c r="AW4" s="153">
        <v>68.0</v>
      </c>
      <c r="AX4" s="154">
        <v>182.0</v>
      </c>
      <c r="AY4" s="154">
        <v>190.0</v>
      </c>
      <c r="AZ4" s="154">
        <v>197.0</v>
      </c>
      <c r="BA4" s="154">
        <v>200.0</v>
      </c>
      <c r="BB4" s="3"/>
      <c r="BC4" s="155">
        <v>55.0</v>
      </c>
      <c r="BD4" s="152">
        <v>65.0</v>
      </c>
      <c r="BE4" s="152">
        <v>67.0</v>
      </c>
      <c r="BF4" s="152">
        <v>69.0</v>
      </c>
      <c r="BG4" s="152">
        <v>70.0</v>
      </c>
      <c r="BH4" s="3"/>
      <c r="BI4" s="155">
        <v>63.0</v>
      </c>
      <c r="BJ4" s="152">
        <v>99.0</v>
      </c>
      <c r="BK4" s="152">
        <v>100.0</v>
      </c>
      <c r="BL4" s="152">
        <v>107.0</v>
      </c>
      <c r="BM4" s="152">
        <v>109.0</v>
      </c>
      <c r="BN4" s="3"/>
      <c r="BO4" s="155">
        <v>3.0</v>
      </c>
      <c r="BP4" s="157">
        <f>17.85/3</f>
        <v>5.95</v>
      </c>
      <c r="BQ4" s="157">
        <f t="shared" si="1"/>
        <v>17.85</v>
      </c>
      <c r="BR4" s="3"/>
      <c r="BS4" s="153">
        <v>55.0</v>
      </c>
      <c r="BT4" s="152">
        <v>88.0</v>
      </c>
      <c r="BU4" s="152">
        <v>89.0</v>
      </c>
      <c r="BV4" s="152">
        <v>94.0</v>
      </c>
      <c r="BW4" s="152">
        <v>96.0</v>
      </c>
      <c r="BY4" s="153">
        <v>45.0</v>
      </c>
      <c r="BZ4" s="152">
        <v>75.0</v>
      </c>
      <c r="CA4" s="152">
        <v>77.0</v>
      </c>
      <c r="CB4" s="152">
        <v>80.0</v>
      </c>
      <c r="CC4" s="152">
        <v>81.0</v>
      </c>
      <c r="CD4" s="158"/>
      <c r="CE4" s="153">
        <v>45.0</v>
      </c>
      <c r="CF4" s="152">
        <v>108.0</v>
      </c>
      <c r="CG4" s="152">
        <v>112.0</v>
      </c>
      <c r="CH4" s="152">
        <v>122.0</v>
      </c>
      <c r="CI4" s="152">
        <v>122.0</v>
      </c>
      <c r="CJ4" s="158"/>
      <c r="CK4" s="153">
        <v>45.0</v>
      </c>
      <c r="CL4" s="154">
        <v>97.2</v>
      </c>
      <c r="CM4" s="154">
        <v>100.8</v>
      </c>
      <c r="CN4" s="154">
        <v>109.8</v>
      </c>
      <c r="CO4" s="154">
        <v>109.8</v>
      </c>
      <c r="CP4" s="158"/>
      <c r="CQ4" s="159"/>
      <c r="CR4" s="160"/>
      <c r="CT4" s="153">
        <v>45.0</v>
      </c>
      <c r="CU4" s="152">
        <v>108.0</v>
      </c>
      <c r="CV4" s="152">
        <v>112.0</v>
      </c>
      <c r="CW4" s="152">
        <v>122.0</v>
      </c>
      <c r="CX4" s="152">
        <v>122.0</v>
      </c>
      <c r="CZ4" s="153">
        <v>45.0</v>
      </c>
      <c r="DA4" s="152">
        <v>69.0</v>
      </c>
      <c r="DB4" s="152">
        <v>70.0</v>
      </c>
      <c r="DC4" s="152">
        <v>71.0</v>
      </c>
      <c r="DD4" s="152">
        <v>72.0</v>
      </c>
    </row>
    <row r="5">
      <c r="A5" s="3"/>
      <c r="B5" s="3"/>
      <c r="C5" s="3"/>
      <c r="D5" s="3"/>
      <c r="E5" s="3"/>
      <c r="F5" s="3"/>
      <c r="G5" s="153">
        <v>55.0</v>
      </c>
      <c r="H5" s="152">
        <v>90.0</v>
      </c>
      <c r="I5" s="152">
        <v>91.0</v>
      </c>
      <c r="J5" s="152">
        <v>93.0</v>
      </c>
      <c r="K5" s="152">
        <v>94.0</v>
      </c>
      <c r="L5" s="3"/>
      <c r="M5" s="153">
        <v>55.0</v>
      </c>
      <c r="N5" s="152">
        <v>100.0</v>
      </c>
      <c r="O5" s="152">
        <v>102.0</v>
      </c>
      <c r="P5" s="152">
        <v>103.0</v>
      </c>
      <c r="Q5" s="152">
        <v>105.0</v>
      </c>
      <c r="R5" s="3"/>
      <c r="S5" s="153">
        <v>55.0</v>
      </c>
      <c r="T5" s="152">
        <v>141.0</v>
      </c>
      <c r="U5" s="152">
        <v>145.0</v>
      </c>
      <c r="V5" s="152">
        <v>150.0</v>
      </c>
      <c r="W5" s="152">
        <v>151.0</v>
      </c>
      <c r="X5" s="3"/>
      <c r="Y5" s="153">
        <v>55.0</v>
      </c>
      <c r="Z5" s="152">
        <v>155.0</v>
      </c>
      <c r="AA5" s="152">
        <v>160.0</v>
      </c>
      <c r="AB5" s="152">
        <v>165.0</v>
      </c>
      <c r="AC5" s="152">
        <v>170.0</v>
      </c>
      <c r="AD5" s="3"/>
      <c r="AE5" s="153">
        <v>60.0</v>
      </c>
      <c r="AF5" s="154">
        <v>90.5</v>
      </c>
      <c r="AG5" s="154">
        <v>94.5</v>
      </c>
      <c r="AH5" s="154">
        <v>97.5</v>
      </c>
      <c r="AI5" s="154">
        <v>99.5</v>
      </c>
      <c r="AJ5" s="3"/>
      <c r="AK5" s="153">
        <v>60.0</v>
      </c>
      <c r="AL5" s="154">
        <v>122.0</v>
      </c>
      <c r="AM5" s="154">
        <v>127.0</v>
      </c>
      <c r="AN5" s="154">
        <v>131.0</v>
      </c>
      <c r="AO5" s="154">
        <v>133.0</v>
      </c>
      <c r="AP5" s="3"/>
      <c r="AQ5" s="161"/>
      <c r="AR5" s="162"/>
      <c r="AS5" s="162"/>
      <c r="AT5" s="162"/>
      <c r="AU5" s="162"/>
      <c r="AV5" s="3"/>
      <c r="AW5" s="3"/>
      <c r="AX5" s="3"/>
      <c r="AY5" s="3"/>
      <c r="AZ5" s="3"/>
      <c r="BA5" s="3"/>
      <c r="BB5" s="3"/>
      <c r="BC5" s="155">
        <v>60.0</v>
      </c>
      <c r="BD5" s="152">
        <v>82.0</v>
      </c>
      <c r="BE5" s="152">
        <v>85.0</v>
      </c>
      <c r="BF5" s="152">
        <v>88.0</v>
      </c>
      <c r="BG5" s="152">
        <v>89.0</v>
      </c>
      <c r="BH5" s="3"/>
      <c r="BI5" s="155">
        <v>65.0</v>
      </c>
      <c r="BJ5" s="152">
        <v>134.0</v>
      </c>
      <c r="BK5" s="152">
        <v>137.0</v>
      </c>
      <c r="BL5" s="152">
        <v>139.0</v>
      </c>
      <c r="BM5" s="152">
        <v>146.0</v>
      </c>
      <c r="BN5" s="3"/>
      <c r="BO5" s="155">
        <v>4.0</v>
      </c>
      <c r="BP5" s="157">
        <f>17.85/4</f>
        <v>4.4625</v>
      </c>
      <c r="BQ5" s="157">
        <f t="shared" si="1"/>
        <v>17.85</v>
      </c>
      <c r="BR5" s="3"/>
      <c r="BS5" s="153">
        <v>60.0</v>
      </c>
      <c r="BT5" s="152">
        <v>112.0</v>
      </c>
      <c r="BU5" s="152">
        <v>116.0</v>
      </c>
      <c r="BV5" s="152">
        <v>121.0</v>
      </c>
      <c r="BW5" s="152">
        <v>125.0</v>
      </c>
      <c r="BY5" s="153">
        <v>55.0</v>
      </c>
      <c r="BZ5" s="152">
        <v>115.0</v>
      </c>
      <c r="CA5" s="152">
        <v>118.0</v>
      </c>
      <c r="CB5" s="152">
        <v>123.0</v>
      </c>
      <c r="CC5" s="152">
        <v>126.0</v>
      </c>
      <c r="CD5" s="158"/>
      <c r="CE5" s="153">
        <v>55.0</v>
      </c>
      <c r="CF5" s="152">
        <v>159.0</v>
      </c>
      <c r="CG5" s="152">
        <v>164.0</v>
      </c>
      <c r="CH5" s="152">
        <v>179.0</v>
      </c>
      <c r="CI5" s="152">
        <v>179.0</v>
      </c>
      <c r="CJ5" s="158"/>
      <c r="CK5" s="153">
        <v>55.0</v>
      </c>
      <c r="CL5" s="154">
        <v>143.1</v>
      </c>
      <c r="CM5" s="154">
        <v>147.6</v>
      </c>
      <c r="CN5" s="154">
        <v>161.1</v>
      </c>
      <c r="CO5" s="154">
        <v>161.1</v>
      </c>
      <c r="CP5" s="158"/>
      <c r="CQ5" s="159"/>
      <c r="CR5" s="160"/>
      <c r="CT5" s="153">
        <v>55.0</v>
      </c>
      <c r="CU5" s="152">
        <v>159.0</v>
      </c>
      <c r="CV5" s="152">
        <v>164.0</v>
      </c>
      <c r="CW5" s="152">
        <v>179.0</v>
      </c>
      <c r="CX5" s="152">
        <v>179.0</v>
      </c>
      <c r="CZ5" s="153">
        <v>55.0</v>
      </c>
      <c r="DA5" s="152">
        <v>100.0</v>
      </c>
      <c r="DB5" s="152">
        <v>101.0</v>
      </c>
      <c r="DC5" s="152">
        <v>103.0</v>
      </c>
      <c r="DD5" s="152">
        <v>104.0</v>
      </c>
    </row>
    <row r="6">
      <c r="A6" s="3"/>
      <c r="B6" s="3"/>
      <c r="C6" s="3"/>
      <c r="D6" s="3"/>
      <c r="E6" s="3"/>
      <c r="F6" s="3"/>
      <c r="G6" s="153">
        <v>60.0</v>
      </c>
      <c r="H6" s="152">
        <v>110.0</v>
      </c>
      <c r="I6" s="152">
        <v>111.0</v>
      </c>
      <c r="J6" s="152">
        <v>113.0</v>
      </c>
      <c r="K6" s="152">
        <v>114.0</v>
      </c>
      <c r="L6" s="3"/>
      <c r="M6" s="153">
        <v>60.0</v>
      </c>
      <c r="N6" s="152">
        <v>120.0</v>
      </c>
      <c r="O6" s="152">
        <v>122.0</v>
      </c>
      <c r="P6" s="152">
        <v>124.0</v>
      </c>
      <c r="Q6" s="152">
        <v>126.0</v>
      </c>
      <c r="R6" s="3"/>
      <c r="S6" s="153">
        <v>60.0</v>
      </c>
      <c r="T6" s="152">
        <v>163.0</v>
      </c>
      <c r="U6" s="152">
        <v>167.0</v>
      </c>
      <c r="V6" s="152">
        <v>179.0</v>
      </c>
      <c r="W6" s="152">
        <v>181.0</v>
      </c>
      <c r="X6" s="3"/>
      <c r="Y6" s="153">
        <v>60.0</v>
      </c>
      <c r="Z6" s="152">
        <v>190.0</v>
      </c>
      <c r="AA6" s="152">
        <v>200.0</v>
      </c>
      <c r="AB6" s="152">
        <v>210.0</v>
      </c>
      <c r="AC6" s="152">
        <v>220.0</v>
      </c>
      <c r="AD6" s="3"/>
      <c r="AE6" s="153">
        <v>68.0</v>
      </c>
      <c r="AF6" s="154">
        <v>147.0</v>
      </c>
      <c r="AG6" s="154">
        <v>154.0</v>
      </c>
      <c r="AH6" s="154">
        <v>160.0</v>
      </c>
      <c r="AI6" s="154">
        <v>166.0</v>
      </c>
      <c r="AJ6" s="3"/>
      <c r="AK6" s="153">
        <v>68.0</v>
      </c>
      <c r="AL6" s="154">
        <v>187.0</v>
      </c>
      <c r="AM6" s="154">
        <v>196.0</v>
      </c>
      <c r="AN6" s="154">
        <v>203.0</v>
      </c>
      <c r="AO6" s="154">
        <v>207.0</v>
      </c>
      <c r="AP6" s="3"/>
      <c r="AQ6" s="161"/>
      <c r="AR6" s="162"/>
      <c r="AS6" s="162"/>
      <c r="AT6" s="162"/>
      <c r="AU6" s="162"/>
      <c r="AV6" s="3"/>
      <c r="AW6" s="3"/>
      <c r="AX6" s="3"/>
      <c r="AY6" s="3"/>
      <c r="AZ6" s="3"/>
      <c r="BA6" s="3"/>
      <c r="BB6" s="3"/>
      <c r="BC6" s="155">
        <v>65.0</v>
      </c>
      <c r="BD6" s="152">
        <v>98.0</v>
      </c>
      <c r="BE6" s="152">
        <v>101.0</v>
      </c>
      <c r="BF6" s="152">
        <v>105.0</v>
      </c>
      <c r="BG6" s="152">
        <v>107.0</v>
      </c>
      <c r="BH6" s="3"/>
      <c r="BI6" s="155">
        <v>70.0</v>
      </c>
      <c r="BJ6" s="152">
        <v>164.0</v>
      </c>
      <c r="BK6" s="152">
        <v>169.0</v>
      </c>
      <c r="BL6" s="152">
        <v>177.0</v>
      </c>
      <c r="BM6" s="152">
        <v>179.0</v>
      </c>
      <c r="BN6" s="3"/>
      <c r="BO6" s="155">
        <v>5.0</v>
      </c>
      <c r="BP6" s="157">
        <f>21.25/5</f>
        <v>4.25</v>
      </c>
      <c r="BQ6" s="157">
        <f t="shared" si="1"/>
        <v>21.25</v>
      </c>
      <c r="BR6" s="3"/>
      <c r="BS6" s="153">
        <v>68.0</v>
      </c>
      <c r="BT6" s="152">
        <v>167.0</v>
      </c>
      <c r="BU6" s="152">
        <v>175.0</v>
      </c>
      <c r="BV6" s="152">
        <v>185.0</v>
      </c>
      <c r="BW6" s="152">
        <v>187.0</v>
      </c>
      <c r="BY6" s="153">
        <v>60.0</v>
      </c>
      <c r="BZ6" s="152">
        <v>140.0</v>
      </c>
      <c r="CA6" s="152">
        <v>147.0</v>
      </c>
      <c r="CB6" s="152">
        <v>159.0</v>
      </c>
      <c r="CC6" s="152">
        <v>159.0</v>
      </c>
      <c r="CD6" s="158"/>
      <c r="CE6" s="153">
        <v>60.0</v>
      </c>
      <c r="CF6" s="152">
        <v>185.0</v>
      </c>
      <c r="CG6" s="152">
        <v>190.0</v>
      </c>
      <c r="CH6" s="152">
        <v>205.0</v>
      </c>
      <c r="CI6" s="152">
        <v>205.0</v>
      </c>
      <c r="CJ6" s="158"/>
      <c r="CK6" s="153">
        <v>60.0</v>
      </c>
      <c r="CL6" s="154">
        <v>166.5</v>
      </c>
      <c r="CM6" s="154">
        <v>171.0</v>
      </c>
      <c r="CN6" s="154">
        <v>184.5</v>
      </c>
      <c r="CO6" s="154">
        <v>184.5</v>
      </c>
      <c r="CP6" s="158"/>
      <c r="CQ6" s="159"/>
      <c r="CR6" s="160"/>
      <c r="CT6" s="153">
        <v>60.0</v>
      </c>
      <c r="CU6" s="152">
        <v>185.0</v>
      </c>
      <c r="CV6" s="152">
        <v>190.0</v>
      </c>
      <c r="CW6" s="152">
        <v>205.0</v>
      </c>
      <c r="CX6" s="152">
        <v>205.0</v>
      </c>
      <c r="CZ6" s="153">
        <v>60.0</v>
      </c>
      <c r="DA6" s="152">
        <v>120.0</v>
      </c>
      <c r="DB6" s="152">
        <v>121.0</v>
      </c>
      <c r="DC6" s="152">
        <v>123.0</v>
      </c>
      <c r="DD6" s="152">
        <v>124.0</v>
      </c>
    </row>
    <row r="7">
      <c r="A7" s="3"/>
      <c r="B7" s="3"/>
      <c r="C7" s="3"/>
      <c r="D7" s="3"/>
      <c r="E7" s="3"/>
      <c r="F7" s="3"/>
      <c r="G7" s="153">
        <v>65.0</v>
      </c>
      <c r="H7" s="152">
        <v>146.0</v>
      </c>
      <c r="I7" s="152">
        <v>148.0</v>
      </c>
      <c r="J7" s="152">
        <v>149.0</v>
      </c>
      <c r="K7" s="152">
        <v>150.0</v>
      </c>
      <c r="L7" s="3"/>
      <c r="M7" s="153">
        <v>65.0</v>
      </c>
      <c r="N7" s="152">
        <v>156.0</v>
      </c>
      <c r="O7" s="152">
        <v>158.0</v>
      </c>
      <c r="P7" s="152">
        <v>160.0</v>
      </c>
      <c r="Q7" s="152">
        <v>162.0</v>
      </c>
      <c r="R7" s="3"/>
      <c r="S7" s="153">
        <v>65.0</v>
      </c>
      <c r="T7" s="152">
        <v>224.0</v>
      </c>
      <c r="U7" s="152">
        <v>236.0</v>
      </c>
      <c r="V7" s="152">
        <v>253.0</v>
      </c>
      <c r="W7" s="152">
        <v>255.0</v>
      </c>
      <c r="X7" s="3"/>
      <c r="Y7" s="153">
        <v>63.0</v>
      </c>
      <c r="Z7" s="152">
        <v>250.0</v>
      </c>
      <c r="AA7" s="152">
        <v>260.0</v>
      </c>
      <c r="AB7" s="152">
        <v>270.0</v>
      </c>
      <c r="AC7" s="152">
        <v>285.0</v>
      </c>
      <c r="AD7" s="3"/>
      <c r="AE7" s="161"/>
      <c r="AF7" s="163"/>
      <c r="AG7" s="163"/>
      <c r="AH7" s="163"/>
      <c r="AI7" s="16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155">
        <v>70.0</v>
      </c>
      <c r="BD7" s="152">
        <v>129.0</v>
      </c>
      <c r="BE7" s="152">
        <v>132.0</v>
      </c>
      <c r="BF7" s="152">
        <v>137.0</v>
      </c>
      <c r="BG7" s="152">
        <v>140.0</v>
      </c>
      <c r="BH7" s="3"/>
      <c r="BI7" s="155">
        <v>75.0</v>
      </c>
      <c r="BJ7" s="152">
        <v>220.0</v>
      </c>
      <c r="BK7" s="152">
        <v>229.0</v>
      </c>
      <c r="BL7" s="152">
        <v>237.0</v>
      </c>
      <c r="BM7" s="152">
        <v>239.0</v>
      </c>
      <c r="BN7" s="3"/>
      <c r="BO7" s="155">
        <v>6.0</v>
      </c>
      <c r="BP7" s="157">
        <f t="shared" ref="BP7:BP9" si="2">21.25/6</f>
        <v>3.541666667</v>
      </c>
      <c r="BQ7" s="157">
        <f t="shared" si="1"/>
        <v>21.25</v>
      </c>
      <c r="BR7" s="3"/>
      <c r="BS7" s="161"/>
      <c r="BT7" s="162"/>
      <c r="BU7" s="162"/>
      <c r="BV7" s="162"/>
      <c r="BW7" s="162"/>
      <c r="BY7" s="164">
        <v>65.0</v>
      </c>
      <c r="BZ7" s="152">
        <v>215.0</v>
      </c>
      <c r="CA7" s="152">
        <v>221.0</v>
      </c>
      <c r="CB7" s="152">
        <v>234.0</v>
      </c>
      <c r="CC7" s="152">
        <v>234.0</v>
      </c>
      <c r="CD7" s="158"/>
      <c r="CE7" s="164">
        <v>65.0</v>
      </c>
      <c r="CF7" s="152">
        <v>265.0</v>
      </c>
      <c r="CG7" s="152">
        <v>272.0</v>
      </c>
      <c r="CH7" s="152">
        <v>289.0</v>
      </c>
      <c r="CI7" s="152">
        <v>289.0</v>
      </c>
      <c r="CJ7" s="158"/>
      <c r="CK7" s="164">
        <v>65.0</v>
      </c>
      <c r="CL7" s="154">
        <v>238.5</v>
      </c>
      <c r="CM7" s="154">
        <v>244.8</v>
      </c>
      <c r="CN7" s="154">
        <v>260.1</v>
      </c>
      <c r="CO7" s="154">
        <v>260.1</v>
      </c>
      <c r="CP7" s="158"/>
      <c r="CQ7" s="159"/>
      <c r="CR7" s="160"/>
      <c r="CT7" s="153">
        <v>65.0</v>
      </c>
      <c r="CU7" s="152">
        <v>265.0</v>
      </c>
      <c r="CV7" s="152">
        <v>272.0</v>
      </c>
      <c r="CW7" s="152">
        <v>289.0</v>
      </c>
      <c r="CX7" s="152">
        <v>289.0</v>
      </c>
      <c r="CZ7" s="153">
        <v>63.0</v>
      </c>
      <c r="DA7" s="152">
        <v>180.0</v>
      </c>
      <c r="DB7" s="152">
        <v>185.0</v>
      </c>
      <c r="DC7" s="152">
        <v>190.0</v>
      </c>
      <c r="DD7" s="152">
        <v>200.0</v>
      </c>
    </row>
    <row r="8">
      <c r="A8" s="3"/>
      <c r="B8" s="3"/>
      <c r="C8" s="3"/>
      <c r="D8" s="3"/>
      <c r="E8" s="3"/>
      <c r="F8" s="3"/>
      <c r="G8" s="153">
        <v>70.0</v>
      </c>
      <c r="H8" s="152">
        <v>156.0</v>
      </c>
      <c r="I8" s="152">
        <v>158.0</v>
      </c>
      <c r="J8" s="152">
        <v>159.0</v>
      </c>
      <c r="K8" s="152">
        <v>161.0</v>
      </c>
      <c r="L8" s="3"/>
      <c r="M8" s="153">
        <v>70.0</v>
      </c>
      <c r="N8" s="152">
        <v>211.0</v>
      </c>
      <c r="O8" s="152">
        <v>213.0</v>
      </c>
      <c r="P8" s="152">
        <v>215.0</v>
      </c>
      <c r="Q8" s="152">
        <v>217.0</v>
      </c>
      <c r="R8" s="3"/>
      <c r="S8" s="153">
        <v>70.0</v>
      </c>
      <c r="T8" s="152">
        <v>235.0</v>
      </c>
      <c r="U8" s="152">
        <v>245.0</v>
      </c>
      <c r="V8" s="152">
        <v>259.0</v>
      </c>
      <c r="W8" s="152">
        <v>260.0</v>
      </c>
      <c r="X8" s="3"/>
      <c r="Y8" s="3"/>
      <c r="Z8" s="3"/>
      <c r="AA8" s="3"/>
      <c r="AB8" s="3"/>
      <c r="AC8" s="3"/>
      <c r="AD8" s="3"/>
      <c r="AE8" s="161"/>
      <c r="AF8" s="163"/>
      <c r="AG8" s="163"/>
      <c r="AH8" s="163"/>
      <c r="AI8" s="16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155">
        <v>75.0</v>
      </c>
      <c r="BD8" s="152">
        <v>155.0</v>
      </c>
      <c r="BE8" s="152">
        <v>159.0</v>
      </c>
      <c r="BF8" s="152">
        <v>165.0</v>
      </c>
      <c r="BG8" s="152">
        <v>168.0</v>
      </c>
      <c r="BH8" s="3"/>
      <c r="BI8" s="155">
        <v>85.0</v>
      </c>
      <c r="BJ8" s="152" t="s">
        <v>142</v>
      </c>
      <c r="BK8" s="152" t="s">
        <v>142</v>
      </c>
      <c r="BL8" s="152" t="s">
        <v>142</v>
      </c>
      <c r="BM8" s="152" t="s">
        <v>142</v>
      </c>
      <c r="BN8" s="3"/>
      <c r="BO8" s="155">
        <v>7.0</v>
      </c>
      <c r="BP8" s="157">
        <f t="shared" si="2"/>
        <v>3.541666667</v>
      </c>
      <c r="BQ8" s="157">
        <f t="shared" si="1"/>
        <v>24.79166667</v>
      </c>
      <c r="BR8" s="3"/>
      <c r="BS8" s="161"/>
      <c r="BT8" s="162"/>
      <c r="BU8" s="162"/>
      <c r="BV8" s="162"/>
      <c r="BW8" s="162"/>
      <c r="BY8" s="164">
        <v>70.0</v>
      </c>
      <c r="BZ8" s="152">
        <v>220.0</v>
      </c>
      <c r="CA8" s="152">
        <v>229.0</v>
      </c>
      <c r="CB8" s="152">
        <v>241.0</v>
      </c>
      <c r="CC8" s="152">
        <v>242.0</v>
      </c>
      <c r="CE8" s="164">
        <v>70.0</v>
      </c>
      <c r="CF8" s="152">
        <v>275.0</v>
      </c>
      <c r="CG8" s="152">
        <v>282.0</v>
      </c>
      <c r="CH8" s="152">
        <v>299.0</v>
      </c>
      <c r="CI8" s="152">
        <v>299.0</v>
      </c>
      <c r="CK8" s="164">
        <v>70.0</v>
      </c>
      <c r="CL8" s="154">
        <v>247.5</v>
      </c>
      <c r="CM8" s="154">
        <v>253.8</v>
      </c>
      <c r="CN8" s="154">
        <v>269.1</v>
      </c>
      <c r="CO8" s="154">
        <v>269.1</v>
      </c>
      <c r="CT8" s="153">
        <v>70.0</v>
      </c>
      <c r="CU8" s="152">
        <v>275.0</v>
      </c>
      <c r="CV8" s="152">
        <v>282.0</v>
      </c>
      <c r="CW8" s="152">
        <v>299.0</v>
      </c>
      <c r="CX8" s="152">
        <v>299.0</v>
      </c>
      <c r="CZ8" s="153"/>
      <c r="DA8" s="152"/>
      <c r="DB8" s="152"/>
      <c r="DC8" s="152"/>
      <c r="DD8" s="152"/>
    </row>
    <row r="9">
      <c r="A9" s="3"/>
      <c r="B9" s="3"/>
      <c r="C9" s="3"/>
      <c r="D9" s="3"/>
      <c r="E9" s="3"/>
      <c r="F9" s="3"/>
      <c r="G9" s="3"/>
      <c r="L9" s="3"/>
      <c r="M9" s="3"/>
      <c r="R9" s="3"/>
      <c r="S9" s="3"/>
      <c r="X9" s="3"/>
      <c r="Y9" s="3"/>
      <c r="Z9" s="3"/>
      <c r="AA9" s="3"/>
      <c r="AB9" s="3"/>
      <c r="AC9" s="3"/>
      <c r="AD9" s="3"/>
      <c r="AE9" s="3"/>
      <c r="AF9" s="163"/>
      <c r="AG9" s="163"/>
      <c r="AH9" s="163"/>
      <c r="AI9" s="16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155">
        <v>80.0</v>
      </c>
      <c r="BD9" s="152">
        <v>160.0</v>
      </c>
      <c r="BE9" s="152">
        <v>165.0</v>
      </c>
      <c r="BF9" s="152">
        <v>171.0</v>
      </c>
      <c r="BG9" s="152">
        <v>174.0</v>
      </c>
      <c r="BH9" s="3"/>
      <c r="BI9" s="3"/>
      <c r="BJ9" s="3"/>
      <c r="BK9" s="3"/>
      <c r="BL9" s="3"/>
      <c r="BM9" s="3"/>
      <c r="BN9" s="3"/>
      <c r="BO9" s="155">
        <v>8.0</v>
      </c>
      <c r="BP9" s="157">
        <f t="shared" si="2"/>
        <v>3.541666667</v>
      </c>
      <c r="BQ9" s="157">
        <f t="shared" si="1"/>
        <v>28.33333333</v>
      </c>
      <c r="BR9" s="3"/>
      <c r="BS9" s="3" t="s">
        <v>346</v>
      </c>
      <c r="BU9" s="163"/>
      <c r="BV9" s="163"/>
      <c r="BW9" s="163"/>
    </row>
    <row r="10" ht="18.0" customHeight="1">
      <c r="A10" s="3"/>
      <c r="B10" s="3"/>
      <c r="C10" s="3"/>
      <c r="D10" s="3"/>
      <c r="E10" s="3"/>
      <c r="F10" s="3"/>
      <c r="G10" s="3"/>
      <c r="H10" s="3"/>
      <c r="I10" s="5"/>
      <c r="J10" s="5"/>
      <c r="K10" s="5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147" t="s">
        <v>93</v>
      </c>
      <c r="AF10" s="147" t="s">
        <v>146</v>
      </c>
      <c r="AG10" s="147" t="s">
        <v>147</v>
      </c>
      <c r="AH10" s="147" t="s">
        <v>148</v>
      </c>
      <c r="AI10" s="147" t="s">
        <v>149</v>
      </c>
      <c r="AJ10" s="3"/>
      <c r="AK10" s="147" t="s">
        <v>93</v>
      </c>
      <c r="AL10" s="147" t="s">
        <v>150</v>
      </c>
      <c r="AM10" s="147" t="s">
        <v>151</v>
      </c>
      <c r="AN10" s="147" t="s">
        <v>152</v>
      </c>
      <c r="AO10" s="147" t="s">
        <v>153</v>
      </c>
      <c r="AP10" s="3"/>
      <c r="AQ10" s="147" t="s">
        <v>102</v>
      </c>
      <c r="AR10" s="147" t="s">
        <v>154</v>
      </c>
      <c r="AS10" s="147" t="s">
        <v>155</v>
      </c>
      <c r="AT10" s="147" t="s">
        <v>156</v>
      </c>
      <c r="AU10" s="147" t="s">
        <v>157</v>
      </c>
      <c r="AV10" s="3"/>
      <c r="AW10" s="147" t="s">
        <v>102</v>
      </c>
      <c r="AX10" s="147" t="s">
        <v>158</v>
      </c>
      <c r="AY10" s="147" t="s">
        <v>159</v>
      </c>
      <c r="AZ10" s="147" t="s">
        <v>160</v>
      </c>
      <c r="BA10" s="147" t="s">
        <v>161</v>
      </c>
      <c r="BB10" s="3"/>
      <c r="BC10" s="155">
        <v>85.0</v>
      </c>
      <c r="BD10" s="156" t="s">
        <v>142</v>
      </c>
      <c r="BE10" s="156" t="s">
        <v>142</v>
      </c>
      <c r="BF10" s="156" t="s">
        <v>142</v>
      </c>
      <c r="BG10" s="156" t="s">
        <v>142</v>
      </c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 t="s">
        <v>72</v>
      </c>
      <c r="BT10" s="165" t="s">
        <v>119</v>
      </c>
      <c r="BU10" s="165" t="s">
        <v>120</v>
      </c>
      <c r="BV10" s="165" t="s">
        <v>121</v>
      </c>
      <c r="BW10" s="165" t="s">
        <v>122</v>
      </c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149"/>
      <c r="CR10" s="149"/>
    </row>
    <row r="11">
      <c r="A11" s="3"/>
      <c r="B11" s="3"/>
      <c r="C11" s="3"/>
      <c r="D11" s="3"/>
      <c r="E11" s="3"/>
      <c r="F11" s="3"/>
      <c r="H11" s="3"/>
      <c r="I11" s="5"/>
      <c r="J11" s="5"/>
      <c r="K11" s="5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153">
        <v>0.0</v>
      </c>
      <c r="AF11" s="154">
        <v>53.5</v>
      </c>
      <c r="AG11" s="154">
        <v>54.5</v>
      </c>
      <c r="AH11" s="154">
        <v>56.5</v>
      </c>
      <c r="AI11" s="154">
        <v>57.5</v>
      </c>
      <c r="AJ11" s="3"/>
      <c r="AK11" s="153">
        <v>0.0</v>
      </c>
      <c r="AL11" s="154">
        <v>76.5</v>
      </c>
      <c r="AM11" s="154">
        <v>77.5</v>
      </c>
      <c r="AN11" s="154">
        <v>80.5</v>
      </c>
      <c r="AO11" s="154">
        <v>81.5</v>
      </c>
      <c r="AP11" s="3"/>
      <c r="AQ11" s="153">
        <v>0.0</v>
      </c>
      <c r="AR11" s="154">
        <v>58.0</v>
      </c>
      <c r="AS11" s="154">
        <v>60.0</v>
      </c>
      <c r="AT11" s="154">
        <v>61.5</v>
      </c>
      <c r="AU11" s="154">
        <v>62.5</v>
      </c>
      <c r="AV11" s="3"/>
      <c r="AW11" s="153">
        <v>0.0</v>
      </c>
      <c r="AX11" s="154">
        <v>80.0</v>
      </c>
      <c r="AY11" s="154">
        <v>82.0</v>
      </c>
      <c r="AZ11" s="154">
        <v>85.0</v>
      </c>
      <c r="BA11" s="154">
        <v>86.5</v>
      </c>
      <c r="BB11" s="3"/>
      <c r="BC11" s="3"/>
      <c r="BD11" s="163"/>
      <c r="BE11" s="163"/>
      <c r="BF11" s="163"/>
      <c r="BG11" s="16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>
        <v>0.0</v>
      </c>
      <c r="BT11" s="162">
        <v>53.95</v>
      </c>
      <c r="BU11" s="162">
        <v>55.8</v>
      </c>
      <c r="BV11" s="162">
        <v>57.6476</v>
      </c>
      <c r="BW11" s="162">
        <v>58.6</v>
      </c>
      <c r="BY11" s="158"/>
      <c r="BZ11" s="158"/>
      <c r="CA11" s="158"/>
      <c r="CB11" s="158"/>
      <c r="CC11" s="158"/>
      <c r="CD11" s="158"/>
      <c r="CE11" s="158"/>
      <c r="CF11" s="158"/>
      <c r="CG11" s="158"/>
      <c r="CH11" s="158"/>
      <c r="CI11" s="158"/>
      <c r="CJ11" s="158"/>
      <c r="CK11" s="158"/>
      <c r="CL11" s="158"/>
      <c r="CM11" s="158"/>
      <c r="CN11" s="158"/>
      <c r="CO11" s="158"/>
      <c r="CP11" s="158"/>
      <c r="CQ11" s="159"/>
      <c r="CR11" s="167"/>
    </row>
    <row r="12" ht="20.25" customHeight="1">
      <c r="A12" s="3"/>
      <c r="B12" s="3"/>
      <c r="C12" s="3"/>
      <c r="D12" s="3"/>
      <c r="E12" s="3"/>
      <c r="F12" s="3"/>
      <c r="G12" s="3"/>
      <c r="H12" s="3"/>
      <c r="I12" s="5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238" t="s">
        <v>69</v>
      </c>
      <c r="Z12" s="238"/>
      <c r="AA12" s="238"/>
      <c r="AB12" s="238"/>
      <c r="AC12" s="238" t="s">
        <v>347</v>
      </c>
      <c r="AD12" s="3"/>
      <c r="AE12" s="153">
        <v>45.0</v>
      </c>
      <c r="AF12" s="154">
        <v>61.0</v>
      </c>
      <c r="AG12" s="154">
        <v>63.0</v>
      </c>
      <c r="AH12" s="154">
        <v>65.0</v>
      </c>
      <c r="AI12" s="154">
        <v>66.0</v>
      </c>
      <c r="AJ12" s="3"/>
      <c r="AK12" s="153">
        <v>45.0</v>
      </c>
      <c r="AL12" s="154">
        <v>78.0</v>
      </c>
      <c r="AM12" s="154">
        <v>80.0</v>
      </c>
      <c r="AN12" s="154">
        <v>83.0</v>
      </c>
      <c r="AO12" s="154">
        <v>84.0</v>
      </c>
      <c r="AP12" s="3"/>
      <c r="AQ12" s="153">
        <v>66.0</v>
      </c>
      <c r="AR12" s="154">
        <v>86.5</v>
      </c>
      <c r="AS12" s="154">
        <v>88.5</v>
      </c>
      <c r="AT12" s="154">
        <v>92.5</v>
      </c>
      <c r="AU12" s="154">
        <v>93.5</v>
      </c>
      <c r="AV12" s="3"/>
      <c r="AW12" s="153">
        <v>66.0</v>
      </c>
      <c r="AX12" s="154">
        <v>101.5</v>
      </c>
      <c r="AY12" s="154">
        <v>104.5</v>
      </c>
      <c r="AZ12" s="154">
        <v>107.5</v>
      </c>
      <c r="BA12" s="154">
        <v>109.5</v>
      </c>
      <c r="BB12" s="3"/>
      <c r="BC12" s="3"/>
      <c r="BD12" s="163"/>
      <c r="BE12" s="163"/>
      <c r="BF12" s="163"/>
      <c r="BG12" s="16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>
        <v>45.0</v>
      </c>
      <c r="BT12" s="162">
        <v>64.2</v>
      </c>
      <c r="BU12" s="162">
        <v>66.0</v>
      </c>
      <c r="BV12" s="162">
        <v>68.85</v>
      </c>
      <c r="BW12" s="162">
        <v>69.75</v>
      </c>
      <c r="BY12" s="158"/>
      <c r="BZ12" s="158"/>
      <c r="CA12" s="158"/>
      <c r="CB12" s="158"/>
      <c r="CC12" s="158"/>
      <c r="CD12" s="158"/>
      <c r="CE12" s="158"/>
      <c r="CF12" s="158"/>
      <c r="CG12" s="158"/>
      <c r="CH12" s="158"/>
      <c r="CI12" s="158"/>
      <c r="CJ12" s="158"/>
      <c r="CK12" s="158"/>
      <c r="CL12" s="158"/>
      <c r="CM12" s="158"/>
      <c r="CN12" s="158"/>
      <c r="CO12" s="158"/>
      <c r="CP12" s="158"/>
      <c r="CQ12" s="159"/>
      <c r="CR12" s="167"/>
    </row>
    <row r="13">
      <c r="A13" s="5"/>
      <c r="B13" s="5"/>
      <c r="C13" s="5"/>
      <c r="D13" s="5"/>
      <c r="E13" s="5"/>
      <c r="F13" s="5"/>
      <c r="G13" s="3"/>
      <c r="H13" s="3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239">
        <v>1.0</v>
      </c>
      <c r="Z13" s="239"/>
      <c r="AA13" s="239"/>
      <c r="AB13" s="239"/>
      <c r="AC13" s="239">
        <v>0.0</v>
      </c>
      <c r="AD13" s="3"/>
      <c r="AE13" s="153">
        <v>55.0</v>
      </c>
      <c r="AF13" s="154">
        <v>76.0</v>
      </c>
      <c r="AG13" s="154">
        <v>79.0</v>
      </c>
      <c r="AH13" s="154">
        <v>81.0</v>
      </c>
      <c r="AI13" s="154">
        <v>84.0</v>
      </c>
      <c r="AJ13" s="3"/>
      <c r="AK13" s="153">
        <v>55.0</v>
      </c>
      <c r="AL13" s="154">
        <v>106.5</v>
      </c>
      <c r="AM13" s="154">
        <v>110.5</v>
      </c>
      <c r="AN13" s="154">
        <v>113.5</v>
      </c>
      <c r="AO13" s="154">
        <v>115.5</v>
      </c>
      <c r="AP13" s="3"/>
      <c r="AQ13" s="153">
        <v>68.0</v>
      </c>
      <c r="AR13" s="154">
        <v>157.5</v>
      </c>
      <c r="AS13" s="154">
        <v>163.5</v>
      </c>
      <c r="AT13" s="154">
        <v>170.5</v>
      </c>
      <c r="AU13" s="154">
        <v>174.5</v>
      </c>
      <c r="AV13" s="3"/>
      <c r="AW13" s="153">
        <v>68.0</v>
      </c>
      <c r="AX13" s="154">
        <v>186.5</v>
      </c>
      <c r="AY13" s="154">
        <v>194.5</v>
      </c>
      <c r="AZ13" s="154">
        <v>201.5</v>
      </c>
      <c r="BA13" s="154">
        <v>204.5</v>
      </c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>
        <v>55.0</v>
      </c>
      <c r="BT13" s="162">
        <v>81.85</v>
      </c>
      <c r="BU13" s="162">
        <v>82.7522</v>
      </c>
      <c r="BV13" s="162">
        <v>87.4012</v>
      </c>
      <c r="BW13" s="162">
        <v>89.3</v>
      </c>
      <c r="BY13" s="158"/>
      <c r="BZ13" s="158"/>
      <c r="CA13" s="158"/>
      <c r="CB13" s="158"/>
      <c r="CC13" s="158"/>
      <c r="CD13" s="158"/>
      <c r="CE13" s="158"/>
      <c r="CF13" s="158"/>
      <c r="CG13" s="158"/>
      <c r="CH13" s="158"/>
      <c r="CI13" s="158"/>
      <c r="CJ13" s="158"/>
      <c r="CK13" s="158"/>
      <c r="CL13" s="158"/>
      <c r="CM13" s="158"/>
      <c r="CN13" s="158"/>
      <c r="CO13" s="158"/>
      <c r="CP13" s="158"/>
      <c r="CQ13" s="159"/>
      <c r="CR13" s="167"/>
    </row>
    <row r="14">
      <c r="A14" s="5"/>
      <c r="B14" s="5"/>
      <c r="C14" s="5"/>
      <c r="D14" s="5"/>
      <c r="E14" s="5"/>
      <c r="F14" s="5"/>
      <c r="G14" s="3"/>
      <c r="H14" s="3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239">
        <v>2.0</v>
      </c>
      <c r="Z14" s="239"/>
      <c r="AA14" s="239"/>
      <c r="AB14" s="239"/>
      <c r="AC14" s="239">
        <v>0.0</v>
      </c>
      <c r="AD14" s="3"/>
      <c r="AE14" s="153">
        <v>60.0</v>
      </c>
      <c r="AF14" s="154">
        <v>95.0</v>
      </c>
      <c r="AG14" s="154">
        <v>99.0</v>
      </c>
      <c r="AH14" s="154">
        <v>102.0</v>
      </c>
      <c r="AI14" s="154">
        <v>104.0</v>
      </c>
      <c r="AJ14" s="3"/>
      <c r="AK14" s="153">
        <v>60.0</v>
      </c>
      <c r="AL14" s="154">
        <v>126.5</v>
      </c>
      <c r="AM14" s="154">
        <v>131.5</v>
      </c>
      <c r="AN14" s="154">
        <v>135.5</v>
      </c>
      <c r="AO14" s="154">
        <v>137.5</v>
      </c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>
        <v>60.0</v>
      </c>
      <c r="BT14" s="162">
        <v>104.15</v>
      </c>
      <c r="BU14" s="162">
        <v>107.9</v>
      </c>
      <c r="BV14" s="162">
        <v>112.5</v>
      </c>
      <c r="BW14" s="162">
        <v>116.25</v>
      </c>
      <c r="BY14" s="158"/>
      <c r="BZ14" s="158"/>
      <c r="CA14" s="158"/>
      <c r="CB14" s="158"/>
      <c r="CC14" s="158"/>
      <c r="CD14" s="158"/>
      <c r="CE14" s="158"/>
      <c r="CF14" s="158"/>
      <c r="CG14" s="158"/>
      <c r="CH14" s="158"/>
      <c r="CI14" s="158"/>
      <c r="CJ14" s="158"/>
      <c r="CK14" s="158"/>
      <c r="CL14" s="158"/>
      <c r="CM14" s="158"/>
      <c r="CN14" s="158"/>
      <c r="CO14" s="158"/>
      <c r="CP14" s="158"/>
      <c r="CQ14" s="159"/>
      <c r="CR14" s="167"/>
    </row>
    <row r="15">
      <c r="A15" s="5"/>
      <c r="B15" s="5"/>
      <c r="C15" s="5"/>
      <c r="D15" s="5"/>
      <c r="E15" s="5"/>
      <c r="F15" s="5"/>
      <c r="G15" s="3"/>
      <c r="H15" s="3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239">
        <v>3.0</v>
      </c>
      <c r="Z15" s="239"/>
      <c r="AA15" s="239"/>
      <c r="AB15" s="239"/>
      <c r="AC15" s="239">
        <v>0.0</v>
      </c>
      <c r="AD15" s="3"/>
      <c r="AE15" s="153">
        <v>68.0</v>
      </c>
      <c r="AF15" s="154">
        <v>151.5</v>
      </c>
      <c r="AG15" s="154">
        <v>158.5</v>
      </c>
      <c r="AH15" s="154">
        <v>164.5</v>
      </c>
      <c r="AI15" s="154">
        <v>170.5</v>
      </c>
      <c r="AJ15" s="3"/>
      <c r="AK15" s="153">
        <v>68.0</v>
      </c>
      <c r="AL15" s="154">
        <v>191.5</v>
      </c>
      <c r="AM15" s="154">
        <v>200.5</v>
      </c>
      <c r="AN15" s="154">
        <v>207.5</v>
      </c>
      <c r="AO15" s="154">
        <v>211.5</v>
      </c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>
        <v>68.0</v>
      </c>
      <c r="BT15" s="162">
        <v>155.3</v>
      </c>
      <c r="BU15" s="162">
        <v>162.75</v>
      </c>
      <c r="BV15" s="162">
        <v>172.0</v>
      </c>
      <c r="BW15" s="162">
        <v>173.9</v>
      </c>
      <c r="BY15" s="158"/>
      <c r="BZ15" s="158"/>
      <c r="CA15" s="158"/>
      <c r="CB15" s="158"/>
      <c r="CC15" s="158"/>
      <c r="CD15" s="158"/>
      <c r="CE15" s="158"/>
      <c r="CF15" s="158"/>
      <c r="CG15" s="158"/>
      <c r="CH15" s="158"/>
      <c r="CI15" s="158"/>
      <c r="CJ15" s="158"/>
      <c r="CK15" s="158"/>
      <c r="CL15" s="158"/>
      <c r="CM15" s="158"/>
      <c r="CN15" s="158"/>
      <c r="CO15" s="158"/>
      <c r="CP15" s="158"/>
      <c r="CQ15" s="159"/>
      <c r="CR15" s="167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239">
        <v>4.0</v>
      </c>
      <c r="Z16" s="240"/>
      <c r="AA16" s="240"/>
      <c r="AB16" s="240"/>
      <c r="AC16" s="240">
        <v>0.1</v>
      </c>
      <c r="AD16" s="3"/>
      <c r="AE16" s="161"/>
      <c r="AF16" s="162"/>
      <c r="AG16" s="162"/>
      <c r="AH16" s="162"/>
      <c r="AI16" s="162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Y16" s="158"/>
      <c r="BZ16" s="158"/>
      <c r="CA16" s="158"/>
      <c r="CB16" s="158"/>
      <c r="CC16" s="158"/>
      <c r="CD16" s="158"/>
      <c r="CE16" s="158"/>
      <c r="CF16" s="158"/>
      <c r="CG16" s="158"/>
      <c r="CH16" s="158"/>
      <c r="CI16" s="158"/>
      <c r="CJ16" s="158"/>
      <c r="CK16" s="158"/>
      <c r="CL16" s="158"/>
      <c r="CM16" s="158"/>
      <c r="CN16" s="158"/>
      <c r="CO16" s="158"/>
      <c r="CP16" s="158"/>
      <c r="CQ16" s="159"/>
      <c r="CR16" s="167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239">
        <v>5.0</v>
      </c>
      <c r="Z17" s="240"/>
      <c r="AA17" s="240"/>
      <c r="AB17" s="240"/>
      <c r="AC17" s="240">
        <v>0.1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239">
        <v>6.0</v>
      </c>
      <c r="Z18" s="240"/>
      <c r="AA18" s="240"/>
      <c r="AB18" s="240"/>
      <c r="AC18" s="240">
        <v>0.1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239">
        <v>7.0</v>
      </c>
      <c r="Z19" s="240"/>
      <c r="AA19" s="240"/>
      <c r="AB19" s="240"/>
      <c r="AC19" s="240">
        <v>0.1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239">
        <v>8.0</v>
      </c>
      <c r="Z20" s="240"/>
      <c r="AA20" s="240"/>
      <c r="AB20" s="240"/>
      <c r="AC20" s="240">
        <v>0.1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U21" s="3"/>
      <c r="BV21" s="3"/>
      <c r="BW21" s="3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168"/>
      <c r="BU22" s="168"/>
      <c r="BV22" s="168"/>
      <c r="BW22" s="168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168"/>
      <c r="BU23" s="168"/>
      <c r="BV23" s="168"/>
      <c r="BW23" s="168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168"/>
      <c r="BU24" s="168"/>
      <c r="BV24" s="168"/>
      <c r="BW24" s="168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168"/>
      <c r="BU25" s="168"/>
      <c r="BV25" s="168"/>
      <c r="BW25" s="168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168"/>
      <c r="BU26" s="168"/>
      <c r="BV26" s="168"/>
      <c r="BW26" s="168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</row>
  </sheetData>
  <mergeCells count="1">
    <mergeCell ref="BS9:BT9"/>
  </mergeCells>
  <drawing r:id="rId1"/>
</worksheet>
</file>