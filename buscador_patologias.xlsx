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LARACIONES SALUD" sheetId="1" r:id="rId5"/>
    <sheet state="visible" name="Buscador Patologías" sheetId="2" r:id="rId6"/>
    <sheet state="visible" name="Datos1" sheetId="3" r:id="rId7"/>
    <sheet state="visible" name="DS ADESLAS 2013" sheetId="4" r:id="rId8"/>
  </sheets>
  <definedNames/>
  <calcPr/>
  <pivotCaches>
    <pivotCache cacheId="0" r:id="rId9"/>
  </pivotCaches>
</workbook>
</file>

<file path=xl/sharedStrings.xml><?xml version="1.0" encoding="utf-8"?>
<sst xmlns="http://schemas.openxmlformats.org/spreadsheetml/2006/main" count="1563" uniqueCount="806">
  <si>
    <t>Fecha</t>
  </si>
  <si>
    <t>Agente</t>
  </si>
  <si>
    <t>Patología</t>
  </si>
  <si>
    <t>Tipo</t>
  </si>
  <si>
    <t>Resultado</t>
  </si>
  <si>
    <t>Comentario / Acción</t>
  </si>
  <si>
    <t>Buscador</t>
  </si>
  <si>
    <t>Bianca</t>
  </si>
  <si>
    <t>Glomerulo esclerosis renal con HTA y proteinuria Hace 1 año</t>
  </si>
  <si>
    <t>Autoinmunes, reumatológicas, de la sangre, infecciosas o dermatológicas</t>
  </si>
  <si>
    <t>No asegurable</t>
  </si>
  <si>
    <t>Sertralina antidepresivo + secuelas de hernia discal</t>
  </si>
  <si>
    <t>Traumatología</t>
  </si>
  <si>
    <t>Lorena</t>
  </si>
  <si>
    <t>Autismo, Síndrome de Asperger</t>
  </si>
  <si>
    <t>Psiquiátrica</t>
  </si>
  <si>
    <t>Exclusión</t>
  </si>
  <si>
    <t>Necesario informe médico para valorar.</t>
  </si>
  <si>
    <t>Belén</t>
  </si>
  <si>
    <t>Artritis Reumatoide</t>
  </si>
  <si>
    <t>90% de casos son Rechazo directo. Necesario informe médico para valorar.</t>
  </si>
  <si>
    <t xml:space="preserve">Stent. Endoprótesis vasculares (endoprotesis, stem, sten, marcapasos, stent, estent, esten, wallstent) </t>
  </si>
  <si>
    <t>Cardíaca</t>
  </si>
  <si>
    <t>Rechazo directo.</t>
  </si>
  <si>
    <t>Pilar</t>
  </si>
  <si>
    <t>Altura 170 cm, Peso 93 Kg, Resultado Índice de masa corporal (IMC) = 32,2</t>
  </si>
  <si>
    <t>Obesidad</t>
  </si>
  <si>
    <t>Excluidos los ingresos, y procedimientos para el estudio diagnóstico y/o tratamiento médico, endoscópicoo quirúrgico de la obesidad. Si en el futuro baja peso se puede solicitar una nueva selección de riesgo aportando nuevo cuestionario e informes sobre la exclusión.
No hay un tiempo específico, lo puede solicitar incluso el año que viene. Dicho esto, no significa que una vez que lo aporte se le quite la exclusión dependerá de la valoración del departamento médico.</t>
  </si>
  <si>
    <t>Diabetes tipo 1 (se pincha insulina, diabético, diabética, diabete)</t>
  </si>
  <si>
    <t>Héctor</t>
  </si>
  <si>
    <t>SENIORS. Diabetes Tipo 1 (se pincha insulina, diabético, diabética, diabete)</t>
  </si>
  <si>
    <t>Parkinson</t>
  </si>
  <si>
    <t>Neurología</t>
  </si>
  <si>
    <t>Enfermedad degenerativa. Rechazo directo.</t>
  </si>
  <si>
    <t>SENIORS. Diabetes Tipo 2 (tratamiento con pastillas)</t>
  </si>
  <si>
    <t>Aceptado</t>
  </si>
  <si>
    <t>No es necesario aportar informe, pasa limpia.</t>
  </si>
  <si>
    <t>Hiperuricemia (gota), anemia ferropénica. deficit B12, diabetes,...</t>
  </si>
  <si>
    <t>Necesario informe médico para valorar. Rechazada.</t>
  </si>
  <si>
    <t>Hígado grasiento diagnosticado hace más de 20 años (higado, hígado graso)</t>
  </si>
  <si>
    <t>Digestiva, hernias, hepatitis y páncreas</t>
  </si>
  <si>
    <t>Yésica</t>
  </si>
  <si>
    <t>Operación de femur hace más de 40 años (fémur) (pierna, rodilla, cadera).</t>
  </si>
  <si>
    <t>2-EXCLUSIÓN RETIRADA, SUSTITUCIÓN Y/O RECAMBIO DEL MATERIAL DE OSTEOSÍNTESIS FEMUR INTERVENIDO (MEDIOS DE DIAGNÓSTICO, TRATAMIENTOS E INGRESOS), ASÍ COMO POR SUS COMPLICACIONES, CONSECUENCIAS Y/O SECUELAS. Necesario firmar la exclusión para poder asegurar. Tardarán varios días en enviarte la carta de exclusión, paciencia.</t>
  </si>
  <si>
    <t>Desprendimiento de retina.</t>
  </si>
  <si>
    <t>Oftalmología</t>
  </si>
  <si>
    <t>EXCLUSION DE LOS MEDIOS DE DIAGNOSTICO , TRATAMIENTOS E INGRESOS
RELACIONADOS CON LAS COMPLICACIONES , CONSECUENCIAS Y/O SECUELAS DE
DESPRENDIMIENTO DE RETINA</t>
  </si>
  <si>
    <t>Altura 165 cm, Peso 100 Kg. Resultado Índice de masa corporal (IMC) = 36,7</t>
  </si>
  <si>
    <t>No asegurable por peso</t>
  </si>
  <si>
    <t>3 hernias discales 2017 sin operar. No aporta informe actualizado.</t>
  </si>
  <si>
    <t>Necesario informe médico para valorar. Si no aporta informe será necesario una carta jurada. En este caso queda excluída de todo lo relacionado con las hernias. Si no aporta informe se le aplica la máxima exclusión.</t>
  </si>
  <si>
    <t>Migrañas, tratamiento con bótox (botox, dolor de cabeza)</t>
  </si>
  <si>
    <t>EXCLUSIÓN DE CEFALEA/MIGRAÑA: MEDIOS DIAGNÓSTICOS, TRATAMIENTO E INGRESOS ASÍ COMO POR SUS COMPLICACIONES, CONSECUENCIAS Y/O SECUELAS</t>
  </si>
  <si>
    <t>Hernia de hiato intervenida.</t>
  </si>
  <si>
    <t>EXCLUSION DE LOS MEDIOS DE DIAGNOSTICO , TRATAMIENTOS E INGRESOS
RELACIONADOS CON LAS COMPLICACIONES , CONSECUENCIAS Y/O SECUELAS DE
HERNIA DE HIATO INTERVENIDA</t>
  </si>
  <si>
    <t>SENIORS Próstata operada hace 15 años (no es tumor, no cáncer). Cataratas operadas hace 2 años. (prostata)</t>
  </si>
  <si>
    <t>Renal, Urológia o Ginecológica</t>
  </si>
  <si>
    <t>EXCLUSION (1) AFECCIONES DE PRÓSTATA Y (2) CATARATAS  (MEDIOS DE DIAGNÓSTICO, TRATAMIENTOS E INGRESOS), ASÍ COMO POR SUS COMPLICACIONES, CONSECUENCIAS Y/O SECUELAS</t>
  </si>
  <si>
    <t>Hipotiroidismo, tiroides, hipertiroidismo, hipotiroides, hipertiroides, sin operar toma pastillas Eutirox</t>
  </si>
  <si>
    <t>Sistema Endocrino y Metabólico</t>
  </si>
  <si>
    <t>EXCLUSION AFECCIONES DE TIROIDES: MEDIOS DE DIAGNOSTICO , TRATAMIENTOS E INGRESOS , ASI COMO POR SUS COMPLICACIONES , CONSECUENCIAS Y/O SECUELAS</t>
  </si>
  <si>
    <t>Le han quitado miomas, (mioma)</t>
  </si>
  <si>
    <t>EXCLUSION DE LOS MEDIOS DE DIAGNOSTICO , TRATAMIENTOS E INGRESOS
RELACIONADOS CON LAS RECIDIVAS , COMPLICACIONES , CONSECUENCIAS Y/O
SECUELAS DE TUMORES BENIGNOS DE UTERO (1) , METRORRAGIAS (2)</t>
  </si>
  <si>
    <t>Hace 10 años corte de ligamentos y menisco de la rodilla izquierda, ingresada y operada, sin secuelas en la actualidad, lleva una grapa.</t>
  </si>
  <si>
    <t>EXCLUSIÓN DE MEDIOS DIAGNÓSTICOS, TRATAMIENTO E INGRESOS RELACIONADOS CON LAS RECIDIVAS, COMPLICACIONES, CONSECUENCIAS Y/O SECUELAS DE RODILLA IZQUIERDA INTERVENIDA.</t>
  </si>
  <si>
    <t>Prótesis en las dos rodillas hace 12 años</t>
  </si>
  <si>
    <t>HISTORIAL MÉDICO COMPLETO Y ACTUALIZADO QUE INCLUYA DIAGNÓSTICOS EN VIGOR,ANTECEDENTES MÉDICO.QUIRÚRGICOS, TRATAMIENTOS, SITUACIÓN ACTUAL</t>
  </si>
  <si>
    <t>La causa de rechazo es IMC de la asegurada Rocío Hidalgo. Edad 13 años, estatura 159,5 y peso 86,5. Obesidad. IMC = 34</t>
  </si>
  <si>
    <t>SENIOR operada en los dos ojos de miopia</t>
  </si>
  <si>
    <t>Aceptado sin carencias y sin exclusiones, PASA LIMPIA.</t>
  </si>
  <si>
    <t xml:space="preserve">SENIOR diabético tipo 2, toma 2 pastillas distintas por la diabetes, </t>
  </si>
  <si>
    <t>SENIOR hipertensión</t>
  </si>
  <si>
    <t xml:space="preserve">Operada de tiroides, toma Eutirox. Debe aportar informe médico, si no puede conseguirlo hay que hacerle una carta jurada para que declare la enfermedad que tiene y que confirme que acepta la máxima exclusíon posible. Si en un futuro aporta informe se puede mandar a Adeslas para valorarlo nuevamente. </t>
  </si>
  <si>
    <t>SE PRECISA INFORMACIÓN MÉDICA ACTUALIZADA SOBRE TIROIDECTOMÍA: DIAGNÓSTICO/CAUSA/MOTIVO, LOCALIZACIÓN, FECHAS, TRATAMIENTO, PRONÓSTICO Y SITUACIÓN ACTUAL</t>
  </si>
  <si>
    <t xml:space="preserve">SENIORS 80 años de edad que hace 12 años le pusieron un STENT. Pesa 68kg y mide 167cm. No tiene ningún tipo de recaída y secuela durante todos estos años.
</t>
  </si>
  <si>
    <t>SENIORS diabetes tipo 2 + hipertensión + operación de cadera menos de 1 año</t>
  </si>
  <si>
    <t>Extirpación de vesícula, le quitaron la vesícula</t>
  </si>
  <si>
    <t>Tea leve, sin mediación, autismo, recién diagnosticado, sin tratamiento.</t>
  </si>
  <si>
    <t>EXCLUSIÓN DE LOS MEDIOS DE DIAGNÓSTICO, TRATAMIENTOS E INGRESOS RELACIONADOS CON  LAS COMPLICACIONES, CONSECUENCIAS Y/O SECUELAS DE TRASTORNO DEL ESPECTRO AUTISTA (TEA)</t>
  </si>
  <si>
    <t>Lleva una placa con tornillos en el radio hace 25 años</t>
  </si>
  <si>
    <t>EXCLUSION RETIRADA , SUSTITUCION Y/O RECAMBIO DEL MATERIAL DE
OSTEOSINTESIS (MEDIOS DE DIAGNOSTICO , TRATAMIENTOS E INGRESOS) , ASI
COMO POR SUS COMPLICACIONES , CONSECUENCIAS Y/O SECUELAS</t>
  </si>
  <si>
    <t>Meningioma pequeño</t>
  </si>
  <si>
    <t>Reducción de estómago en el 2018, hace 6 años.</t>
  </si>
  <si>
    <t>RECHAZO DIRECTO</t>
  </si>
  <si>
    <t>Tiene un lado de cadera operada y el otro sin operar</t>
  </si>
  <si>
    <t>NECESARIO INFORME MÉDICO DE LAS DOS CADERAS PARA CONTINUAR CON LA VALORACIÓN</t>
  </si>
  <si>
    <t>Operación de cataratas en los dos ojos</t>
  </si>
  <si>
    <t>EXCLUSIÓN DE CATARATAS</t>
  </si>
  <si>
    <t>Operación apendicitis de niño</t>
  </si>
  <si>
    <t>PASA LIMPIA</t>
  </si>
  <si>
    <t>Vasectomia para operar en seguridad social</t>
  </si>
  <si>
    <t>Asma y Fuma medio paquete al día</t>
  </si>
  <si>
    <t>Respiratoria</t>
  </si>
  <si>
    <t>ASMA Y FUMA RECHAZO DIRECTO</t>
  </si>
  <si>
    <t>SENIORS tensión alta, azúcar y una hernia inguinal que se la han quitado hace años</t>
  </si>
  <si>
    <t>Hiperuricemia</t>
  </si>
  <si>
    <t>SENIORS Cirugía mayor reciente sea cual sea la edad y el estado del paciente</t>
  </si>
  <si>
    <t>Cirugía mayor reciente sea cual sea la edad y el estado del paciente</t>
  </si>
  <si>
    <t>Artrosis</t>
  </si>
  <si>
    <t>NECESARIO INFORME MÉDICO PARA VALORAR, COMO MÍNIMO EXCLUSIÓN DE ARTROSIS. Y ES POSIBLE QUE NO SEA ASEGURABLE.</t>
  </si>
  <si>
    <t>SENIORS Operación de uretra</t>
  </si>
  <si>
    <t>EXCLUSION DE LOS MEDIOS DE DIAGNOSTICO , TRATAMIENTOS E INGRESOS
RELACIONADOS CON LAS RECIDIVAS , COMPLICACIONES , CONSECUENCIAS Y/O
SECUELAS DE TTO DE PROSTATA DECLARADO Y SUS CAUSAS</t>
  </si>
  <si>
    <t>SENIORS Prostatitis en tratamiento.</t>
  </si>
  <si>
    <t>SENIORS Próstata operada no indica fecha de la operación</t>
  </si>
  <si>
    <t>LO IDEAL ES INDICAR LA FECHA DE LA OPERACIÓN Y EL ALTA</t>
  </si>
  <si>
    <t xml:space="preserve">Diabetes tipo 2 (no insulinodependiente), EPOC, Hipertensión (HTA) e Obesidad (IMC ≥ 16,5 y ≤ 40). </t>
  </si>
  <si>
    <t>DEPENDIENDO DEL INFORME Y DE LA SITUACIÓN DEL CLIENTE PUEDE SER ASEGURABLE AUNQUE HAY MUCHA PROBABILIDAD DE QUE SEA RECHAZO DIRECTO POR PLURIPATOLOGÍA.</t>
  </si>
  <si>
    <t>SENIORS EPOC LEVE, estadio 1, GRADO 1 (enfermedad pulmonar obstructiva crónica)</t>
  </si>
  <si>
    <t>PASAN LIMPIAS, EXCEPTO AQUELLAS QUE PRESENTANDO INFORME NO SEA FAVORABLE, POR LO GENERAL, PASAN CASI TODAS.</t>
  </si>
  <si>
    <t>SENIORS Hipertensión (HTA)</t>
  </si>
  <si>
    <t>SENIORS Obesidad (IMC ≥ 16,5 y ≤ 40).</t>
  </si>
  <si>
    <t>Enfermedades graves en tratamiento</t>
  </si>
  <si>
    <t>Enfermedades del riñón, como insuficiencia renal...</t>
  </si>
  <si>
    <t>Enfermedades cardiovasculares, como por ejemplo, infarto, angina de pecho...</t>
  </si>
  <si>
    <t>Enfermedades psiquiátricas, como depresión, trastornos bipolares, esquizofrenia, trastornos alimentarios...</t>
  </si>
  <si>
    <t>Enfermedades del sistema nervioso, como esclerosis múltiple, ictus, párkinson...</t>
  </si>
  <si>
    <t>Enfermedades reumatológicas, como artritis, lupus, fibromialgia...</t>
  </si>
  <si>
    <t>Enfermedades del aparato digestivo, como cirrosis, colitis ulcerosa, Crohn...</t>
  </si>
  <si>
    <t>Trasplantes</t>
  </si>
  <si>
    <t>Oncológica y transplantes</t>
  </si>
  <si>
    <t>Enfermedades del sistema respiratorio, como apneas del sueño...</t>
  </si>
  <si>
    <t>Diabetes tipo 1 / insulinodependiente</t>
  </si>
  <si>
    <t>Cáncer hace menos de 5 años del tratamiento y sin recaída posterior (valoración conforme a la Ley del Olvido Oncológico)</t>
  </si>
  <si>
    <t>SENIORS Hace 3 años le quitaron la próstata por error médico y tiene Flebitis que es inflamación de las venas sobre todo la orta que pasa por la ingle</t>
  </si>
  <si>
    <t>FRACTURA HUMERO IZDO INTERVENIDA</t>
  </si>
  <si>
    <t>EXCLUSION DE LOS MEDIOS DE DIAGNOSTICO , TRATAMIENTOS E INGRESOS RELACIONADOS CON LAS RECIDIVAS , COMPLICACIONES , CONSECUENCIAS Y/O SECUELAS DE FRACTURA HUMERO IZDO INTERVENIDA</t>
  </si>
  <si>
    <t>Toma medicación para la tensión</t>
  </si>
  <si>
    <t>Toma antidepresivo, para ansiedad, estés, medicación: Escitalopram.</t>
  </si>
  <si>
    <t>RECHAZO DIRECTO, HABLA CON EL CLIENTE SOBRE ESTO Y HAZ TODO LO POSIBLE PARA QUE NO LO DECLARE O SE VA LA PÓLIZA A LA MIERDA.</t>
  </si>
  <si>
    <t>37% INVALIDEZ POR TRASPLANTE HÍGADO AÑO 2015, ADJUNTO INFORME ALTA MÉDICA AÑO 2015. TOMA CERCET ADVAGRAF INMUNOSUPRESORES TRAS LA OPERACIÓN.</t>
  </si>
  <si>
    <t>MJ</t>
  </si>
  <si>
    <t>Operado de las lumbares para quitar una hernia de lumbar hace 7 años</t>
  </si>
  <si>
    <t>INFORME MÉDICO ACTUAL  HERNIAS INTERVENIDAS : DIAGNÓSTICO, ANATOMIA PATOLÓGICA, LOCALIZACIÓN,  FECHAS, TRATAMIENTO, SITUACIÓN ACTUAL, PRONÓSTICO</t>
  </si>
  <si>
    <t>Alberto</t>
  </si>
  <si>
    <t>Operación hernia discal hace 30 años sin secuelas ni tratamiento ni mediación, tiene 33% de invalidez.</t>
  </si>
  <si>
    <t>TE PIDEN INFORME, Y EN SU DEFECTO TENDRÁS QUE HACER CARTA JURADA ACEPTANDO EXCLUSIÓN.</t>
  </si>
  <si>
    <t>SENIORS Altura 182 cm Peso 129 kg, IMC 39. Fuma medio paquete al día.</t>
  </si>
  <si>
    <t>PASA LIMPIA SIN EXCLUSIÓN</t>
  </si>
  <si>
    <t>30 años. Hernia Lumbar L4 y L5 va a ser operado en breve por la seguridad social</t>
  </si>
  <si>
    <t>25 años. hace 3 años se rompió el cubito del brazo izquierdo y lleva una placa con tornillos y se la van a retirar en breve por la seguridad social.</t>
  </si>
  <si>
    <t>Operación hace 1 año le sacaraon líquido del ojo y además tenía tiroides y tratamiento para la tensión.</t>
  </si>
  <si>
    <t>RECHAZO DIRECTO POR PLURIPATOLOGÍA</t>
  </si>
  <si>
    <t>70 año le extirparon hace 40 años la tiroides</t>
  </si>
  <si>
    <t>PASA LIMPIA, PERO OTROS CLIENTES IGUAL SI QUE HAN PUESTO EXCLUSIÓN</t>
  </si>
  <si>
    <t>La próstata se le ha hecho muy grande, toma medicación</t>
  </si>
  <si>
    <t>EXCLUSION AFECCIONES DE PROSTATA (MEDIOS DE DIAGNOSTICO , TRATAMIENTOS
E INGRESOS) , ASI COMO POR SUS COMPLICACIONES , CONSECUENCIAS Y/O
SECUELAS</t>
  </si>
  <si>
    <t>Accidente de moto hace 20 años, fractura vertebras y lleva placas.</t>
  </si>
  <si>
    <t>EXCLUSION DE LOS MEDIOS DE DIAGNOSTICO , TRATAMIENTOS E INGRESOS
RELACIONADOS CON LAS RECIDIVAS , COMPLICACIONES , CONSECUENCIAS Y/O
SECUELAS DE FRACTURAS VERTEBRALES</t>
  </si>
  <si>
    <t>Desde el COVID lleva audífonos Sorda, sordera, audífono.</t>
  </si>
  <si>
    <t>Patología de oído, nariz, laringe y gargante</t>
  </si>
  <si>
    <t>EXCLUSION SORDERA/HIPOACUSIA Y SUS CAUSAS (MEDIOS DE DIAGNOSTICO ,
TRATAMIENTOS E INGRESOS) , ASI COMO POR SUS COMPLICACIONES ,
CONSECUENCIAS Y/O SECUELAS</t>
  </si>
  <si>
    <t>Hernia inguinal hace 12 años</t>
  </si>
  <si>
    <t>VIH. Tiene el sida desde los 18 tiene 52. Únicamente toma medicación (retrovirales).</t>
  </si>
  <si>
    <t>SE PRECISA INFORMACIÓN MÉDICA ACTUALIZADA SOBRE HISTORIAL MÉDICO COMPLETO Y ACTUALIZADO QUE INCLUYA DIAGNÓSTICOS EN VIGOR,ANTECEDENTES MÉDICO-QUIRÚRGICOS, TRATAMIENTOS, SITUACIÓN ACTUAL</t>
  </si>
  <si>
    <t>SENIORS póliza 3.000€ los dos tenían colesterol y tensión. Operación en ambas manos por tendinitis 36% discapacidad.</t>
  </si>
  <si>
    <t>PASA LIMPIA, SIN EXCLUSIÓN.</t>
  </si>
  <si>
    <t>Jenifer</t>
  </si>
  <si>
    <t>SENIORS Artrosis en las dos rodillas, aporta informe.</t>
  </si>
  <si>
    <t>SE PRECISA INFORME PARA PODER VALORAR.</t>
  </si>
  <si>
    <t>Operación menisco hace 5 años y el otro hace 2 años.</t>
  </si>
  <si>
    <t>En Valoración Médica</t>
  </si>
  <si>
    <t>Antidepresivos.</t>
  </si>
  <si>
    <t>RECHAZO DIRECTO.</t>
  </si>
  <si>
    <t xml:space="preserve">Cirrosis Biliar </t>
  </si>
  <si>
    <t>Adiro, medicamento antiagregante, acido acetilsalicilico, adiro</t>
  </si>
  <si>
    <t>SI TOMA UNA MEDICACIÓN ANTIAGREGANTE NO ES ASEGURABLE, GO.</t>
  </si>
  <si>
    <t>Tornillo en la rodilla derecha para centrar el desvió de la rotula, hace 45 años.</t>
  </si>
  <si>
    <t>PASA LIMPIA.</t>
  </si>
  <si>
    <t>Osteoporosis, osteporosis.</t>
  </si>
  <si>
    <t>PIDEN INFORME. DEPENDIENDO DEL GRADO ES POSIBLE ASEGURAR, PERO EN LA MAYORÍA DE CASOS ES RECHAZO.</t>
  </si>
  <si>
    <t>Operación suelo pélvico hace menos de 1 año.</t>
  </si>
  <si>
    <t>CUALQUIER OPERACIÓN DE MENOS DE 1 AÑO ADESLAS NO LO VALORA SEA LO QUE SEA</t>
  </si>
  <si>
    <t>Uveitis anteior recidivante HLA-B51+ desde enero 2015, tratamiento con metotraxate retirado en 2020. Además intervención de cataratas y sinequiolisis, tratamiento con adalimumab en julio 2024.</t>
  </si>
  <si>
    <t xml:space="preserve">TRATAMIENTO E INTEVENCIÓN MUY RECIENTE. </t>
  </si>
  <si>
    <t>SENIORS Extirpación de vesícula y apéndice</t>
  </si>
  <si>
    <t>SENIORS Hipertensión alta, medicación Atenolol 50mg</t>
  </si>
  <si>
    <t>SENIORS operación de cataratas hace 1 año.</t>
  </si>
  <si>
    <t>EXCLUSIÓN CATARATAS</t>
  </si>
  <si>
    <t>SENIORS OPERADO DE CATARATAS HACE 7 Y 10 AÑOS SIN SECUELAS EN PERFECTO ESTADO</t>
  </si>
  <si>
    <t>De baja desde hace 1 mes por una queratitis que le impide realizar su trabajo correctamente, se echa unas gotitas en el ojo, le darán el alta en los próximos días, perfecto estado de salud.</t>
  </si>
  <si>
    <t>UNA BAJA EN CURSO SIN ALTA, ES RECHAZO DIRECTO. CUIDADO.</t>
  </si>
  <si>
    <t>Niña celiaca de 10 años de edad (con altura y peso normal).</t>
  </si>
  <si>
    <t>EXCLUSIÓN enfermedad celiaca: medios de diagnóstico, tratamientos e ingresos, así como por sus complicaciones, consecuencias y/o secuelas.</t>
  </si>
  <si>
    <t>SENIORS. Esguince de tercer grado, el ligamento roto por todas partes. Persona de 55 años altura 160 cm peso 54kg.</t>
  </si>
  <si>
    <t>NO ENTENDEMOS POR QUÉ HA PASADO LIMPIA. OTROS CASOS IGUALES NO NOS LO HAN ACEPTADO NI DE BROMA.</t>
  </si>
  <si>
    <t>SENIORS. Operación de cervicales con placa de titanio hace más de xx años.</t>
  </si>
  <si>
    <t>EXCLUSION DE MEDIOS DIAGNOSTICOS , TRATAMIENTO E INGRESOS RELACIONADOS CON LAS COMPLICACIONES , CONSECUENCIAS Y/O SECUELAS DE AFECCION COLUMNA CERVICAL Y SU CIRUGIA</t>
  </si>
  <si>
    <t>SENIORS. Asmatica que le inyectan una vez al mes Nucala y ventolín.</t>
  </si>
  <si>
    <t>Apnea del sueño, CPAP (Presión Positiva Continua en la Vía Aérea)</t>
  </si>
  <si>
    <t>SENIORS Pastillas para el colesterol y vitamina d por prevención para los huesos. Toma Simvastatina 10 mg para el colesterol.</t>
  </si>
  <si>
    <t>Celiaco. Para valorar la enfermedad celíaca, CONFIRMANDO que el resto de respuestas son negativas, y que los parámetros de peso y talla están dentro de la normalidad, se aceptaría con EXCLUSIÓN.</t>
  </si>
  <si>
    <t>Síndrome de Down, NECESARIO INFORME PARA VALORAR.</t>
  </si>
  <si>
    <t>Solicitan informe médico actual sobre: cardiopatía, patología ocular, apnea del sueño o malformaciones intestinales conocidas (diagnóstico/causa/motivo, localización, fechas, tratamiento, pronóstico y situación actual).</t>
  </si>
  <si>
    <t>Rubén</t>
  </si>
  <si>
    <t>SENIORS. ARTRODESIS TOBILLO CURADA Y SIN NINGUN TIPO DE SECUELA NI TRATAMIENTO. ¡¡NECESARIO INFORME PARA PODER VALORAR!!</t>
  </si>
  <si>
    <t>INFORME MÉDICO ACTUAL   CIRUGÍA DE TOBILLO DECLARADA: DIAGNÓSTICO/MOTIVO/CAUSA, LOCALIZACIÓN,  FECHAS, TRATAMIENTO, SITUACIÓN ACTUAL, PRONÓSTICO</t>
  </si>
  <si>
    <t>Prótesis en las dos caderas año 2011. Cadera intervenida.</t>
  </si>
  <si>
    <t xml:space="preserve"> - 1.-EXCLUSIÓN DE LOS MEDIOS DE DIAGNÓSTICO, TRATAMIENTOS E INGRESOS RELACIONADOS CON LAS RECIDIVAS, COMPLICACIONES, CONSECUENCIAS Y/O SECUELAS DE PATOLOGIA DE LAS CADERAS INTERVENIDAS</t>
  </si>
  <si>
    <t>Úlcera corneal, queratitis, herida abierta en la córnea.</t>
  </si>
  <si>
    <t>AMEOTROPIA: MEDIOS DE DIAGNOSTICO , TRATAMIENTOS E INGRESOS , ASI COMO POR SUS COMPLICACIONES , CONSECUENCIAS Y/O SECUELAS</t>
  </si>
  <si>
    <t>SENIORS Operado de menisco hace 5 años sin secuelas, sin tratamiento, sin recaída</t>
  </si>
  <si>
    <t>SORPRENDENTEMENTE PASA LIMPIA.</t>
  </si>
  <si>
    <t>SENIORS. 1 pastilla por la mañana enalapril y otra por la noche de atenolol. Operación hace más de 15 años de un quiste en la nuez y una fistula hace 20 años. Operacion de cataratas hace más de 4 años en sanitas.</t>
  </si>
  <si>
    <t>SOLO HAN APLICADO EXCLUSIÓN DE CATARATAS, EL RESTO PASA LIMPIO.</t>
  </si>
  <si>
    <t>SENIORS con reducción de estómago y con altura de 167 y 105 kilos (IMC 37.6)</t>
  </si>
  <si>
    <t>RECHAZAR por riesgo no asegurable (Cirugía Bariátrica, IMC&gt;34)</t>
  </si>
  <si>
    <t>Pastillas para el colesterol y tensión por prevención. 69 años viene de otra compañía.</t>
  </si>
  <si>
    <t>ACEPTAR (si resto de respuestas son negativas y peso y talla están dentro de parámetros)</t>
  </si>
  <si>
    <t>SENIORS TOTAL, firma digital, el cielnte puso en la declaración textualmente "traumatología codo derecho hace 5 años sin secuelas"</t>
  </si>
  <si>
    <t>le falta hierro, principio de osteopenia</t>
  </si>
  <si>
    <t>LLEVARÁ SEGURAMENTE EXCLUSIÓN, Y PUEDE QUE PIDAN INFORME.</t>
  </si>
  <si>
    <t xml:space="preserve">Tenosinovitis de De Quervain, tendinitis de quervain, </t>
  </si>
  <si>
    <t>PIDEN INFORME</t>
  </si>
  <si>
    <t>Leucemia desde 2021</t>
  </si>
  <si>
    <t>TENSION Y DIABETES TIPO 2 Y 2022 OPERADO VESICULA BILIAR</t>
  </si>
  <si>
    <t>RECHAZO DIRECTO POR PLURIPATOLOGÍA, PRINCIPALMENTE POR LA VESICULA BILIAR</t>
  </si>
  <si>
    <t>HEPATITIS C</t>
  </si>
  <si>
    <t>hiperplasia benigna de próstata</t>
  </si>
  <si>
    <t>Estenosis de la válvula aórtica. Paciente 78 años que tiene un estrechamiento de la vena aortica y le tienen que intervenir.</t>
  </si>
  <si>
    <t>Un quiste, o masa, renal es una bolsa de líquido que se forma sobre o dentro del riñón</t>
  </si>
  <si>
    <t>RECHAZO DIRECTO PATOLOGÍA NO ASEGURABLE</t>
  </si>
  <si>
    <t>operación de próstata con LASER DE HOLEP</t>
  </si>
  <si>
    <t>PIDEN INFORME Y ES RECHAZO</t>
  </si>
  <si>
    <t>Una colecistectomía es una cirugía que se utiliza para extirpar la vesícula.</t>
  </si>
  <si>
    <t>Poliquistosis renal.</t>
  </si>
  <si>
    <t>Se precisaría información médica actualizada de poliquistosis renal (1), funcionalismo renal (2): Diagnóstico/Motivo/Causa, localización, fechas, tratamiento, situación actual y pronóstico.</t>
  </si>
  <si>
    <t>Operado de HOMBRO MANGUITO ROTADOR HACE 4 AÑOS intervenido CON ADESLAS</t>
  </si>
  <si>
    <t>ES RARO PERO HA PASADO LIMPIA</t>
  </si>
  <si>
    <t xml:space="preserve">ENERO 2023 OPERACIÓN DE PRÓSTATA, LE QUITARON PARTE DE LA PRÓSTATA, DESDE ENTONCES SIN MEDICACIÓN, SIN TRATAMIENTO Y SIN RECAÍDA. </t>
  </si>
  <si>
    <t>PIDEN INFORME PARA PODER VALORAR.</t>
  </si>
  <si>
    <t>Se le reconoció un 35% de discapacidad por la operación de la rodilla hace 19 años.</t>
  </si>
  <si>
    <t>PIDEN HISTORIAL MÉDICO</t>
  </si>
  <si>
    <t>Extracción de una piedra en la vesícula (cálculos biliares) de manera no intrusiva mediante colonoscopia, hace 2 años. Sin complicaciones, tratamientos posteriores  ni secuelas.</t>
  </si>
  <si>
    <t>Operación de la rodilla derecha hace 19 años debido a una caída para la introducción de una prótesis, dicha operación no ha generado complicaciones, tratamientos posteriores y actualmente no tiene secuelas, debido a esta operación se me reconoció un 35% de discapacidad</t>
  </si>
  <si>
    <t>Pastillas para la tension alta indapamida, amblodipino
operada vesicula biliar en el año 2000</t>
  </si>
  <si>
    <t>SENIORS Extracción de una piedra en la vesícula (cálculos biliares) de manera no intrusiva mediante colonoscopia, hace 2 años. MUY GORDA IMC 36.</t>
  </si>
  <si>
    <t>EXCLUSIÓN DE LA VESÍCULA Y LA OBESIDAD.</t>
  </si>
  <si>
    <t>SENIORS. OPERACION DE VESÍCULA EN SEPTIEMBRE DEL 2023, SIN SECUELAS, SIN RECAÍDA Y SIN TRATAMIENTO POSTERIOR.</t>
  </si>
  <si>
    <t>ARTROSIS HACE 17 AÑOS INFORME EXCLUSIÓN.
INVALIDEZ DE 33% TOTAL PERMANENTE CONTRIBUTIVA</t>
  </si>
  <si>
    <t>PIDEN INFORME Y LLEVARÁ EXCLUSIÓN</t>
  </si>
  <si>
    <t>Prótesis de cadera izquierda en el año 2022. Aporta informe.</t>
  </si>
  <si>
    <t>NOS PIDEN INFORME DE LA CADERA DERECHA O DE LO CONTRARIO NO SE PUEDE HACER LA PÓLIZA. NO VALE CON CARTA JURADA.</t>
  </si>
  <si>
    <t>síndrome de Sjögren</t>
  </si>
  <si>
    <t>La valoración del caso  con los datos proporcionados es DENEGAR por riesgo no asegurable (Sd Sjögren)</t>
  </si>
  <si>
    <t>apendicitis año 1977. 2023 extirpar ovarios y trompas por un quiste y por prevencion</t>
  </si>
  <si>
    <t>Analía</t>
  </si>
  <si>
    <t>SENIORS, un oído perfecto, el otro con el 65% de périda de audición, operado a los 4 años y desde entonces le pusieron un audífono. Desde entonces realiza controles con otorrino.</t>
  </si>
  <si>
    <t>EXCLUSION HIPOACUSIA/SORDERA : MEDIOS DE DIAGNÓSTICO, TRATAMIENTOS E INGRESOS, ASÍ COMO POR SUS COMPLICACIONES, CONSECUENCIAS Y/O SECUELAS</t>
  </si>
  <si>
    <t>Fibrosis retroperitoneal, diagnosticado hace 15 AÑOS, sin consecuencias, tratamiento: toma corticoides de 2,5 y anticoagulante savelto</t>
  </si>
  <si>
    <t>EPOC leve 80% y diabetes tipo 2. Para poder valorar es necesario que aporte informe del EPOC.</t>
  </si>
  <si>
    <t>PIDEN INFORME MÉDICO ACTUAL   EPOC: DIAGNÓSTICO, CLASIFICACIÓN GOLD, FECHAS, TRATAMIENTO, SITUACIÓN ACTUAL, PRONÓSTICO</t>
  </si>
  <si>
    <t>160, 85 KG, IMC 32,2 OBESIDAD.</t>
  </si>
  <si>
    <t>EXCLUIDOS LOS INGRESOS Y PROCEDIMIENTOS PARA ESTUDIO DIAGNOSTICO Y/O TRATAMIENTO MEDICO , ENDOSCOPICO O QUIRURGICO DE LA OBESIDAD</t>
  </si>
  <si>
    <t xml:space="preserve">OPERADA DE LA ESPALDA EN 2023. APORTA INFORME DE LA OPERACIÓN. </t>
  </si>
  <si>
    <t>EXCLUSION DE LOS MEDIOS DE DIAGNOSTICO , TRATAMIENTOS E INGRESOS RELACIONADOS CON LAS RECIDIVAS , COMPLICACIONES , CONSECUENCIAS Y/O SECUELAS DE CIRUGIA DE COLUMNA LUMBO-SACRA Y SUS CAUSAS</t>
  </si>
  <si>
    <t>Tiene artrosis leve, toma una pastilla al día de Condrosan de 400mg. Y se hace infiltraciones 1 vez al año en la rodilla y cadera.</t>
  </si>
  <si>
    <t>HISTORIAL MÉDICO ACTUALIZADO COMPLETO CON ANTECEDENTES PERSONALES</t>
  </si>
  <si>
    <t xml:space="preserve">Apnea del sueño. Lleva mascarilla por las noches porque ronca, únicamente para respirar mejor, no tiene nada más, lo hizo principalmente por que su mujer no podía dormir, pero no tiene patologías añadidas ni nada más-
</t>
  </si>
  <si>
    <t xml:space="preserve">La valoración del caso  con los datos proporcionados es DENEGAR por riesgo no asegurable. (SAOS con CPAP)
</t>
  </si>
  <si>
    <t xml:space="preserve">operación vesícula biliar en póliza plena
</t>
  </si>
  <si>
    <t>Discapacidad reconocida del 81% por miopía hace 15 años. Sin embargo el paciente indica que puede ver con casi total normalidad y que puede tener una vida autónoma sin problema. APORTA INFORME</t>
  </si>
  <si>
    <t>EXCLUSIÓN DE CIN/SIL-VHP</t>
  </si>
  <si>
    <t>operacion cuello de utero en 2020</t>
  </si>
  <si>
    <t>OPERADA DE LAS DOS PIERNAS EN NOVIEMBRE 2024. (menos de 1 año) LIPEDEMA</t>
  </si>
  <si>
    <t>ENDOMETRIOSIS</t>
  </si>
  <si>
    <t>EXCLUSIÓN : ENDOMETRIOSIS  medios de diagnóstico, tratamientos e ingresos, así como por sus complicaciones, consecuencias y/o secuelas.</t>
  </si>
  <si>
    <t>La trombocitemia esencial</t>
  </si>
  <si>
    <t>DENEGAR por riesgo no asegurable</t>
  </si>
  <si>
    <t>Arritmia, arritmias</t>
  </si>
  <si>
    <t>Operación de la rodilla derecha para una prótesis hace 3 años aproximadamente por artrosis, no tiene secuelas, ni tratamientos posteriores a la operación.</t>
  </si>
  <si>
    <t>EXCLUSION ARTROSIS (1), RODILLA DERECHA (2): MEDIOS DE DIAGNÓSTICO, TRATAMIENTOS E INGRESOS, ASÍ COMO POR SUS COMPLICACIONES, CONSECUENCIAS Y/O SECUELAS</t>
  </si>
  <si>
    <t>Con 14 años se le diagnostico con un lipoma en la médula anclada, tiene una falta de control de micción como secuela.</t>
  </si>
  <si>
    <t>Lipoma en la médula anclada causante de una falta de control de micción como secuela. - DENEGAR por riesgo no asegurable</t>
  </si>
  <si>
    <t>Insuficiencia Venosa Crónica diagnoticada hace 10 años, sin tratamiento en curos o secuelas - ACEPTAR con la siguiente EXCLUSIÓN.</t>
  </si>
  <si>
    <t>EXCLUSIÓN Insuficiencia Venosa de Extremidades Inferiores: medios de diagnóstico, tratamientos e ingresos, así como por sus complicaciones, consecuencias y/o secuelas.</t>
  </si>
  <si>
    <t>Dani</t>
  </si>
  <si>
    <t>Lumbalgia en tratamiento</t>
  </si>
  <si>
    <t>Rechazo por tratamiento en curso.</t>
  </si>
  <si>
    <t>Se drogó cuando era joven.</t>
  </si>
  <si>
    <t>Van a pedir historial médico para poder valorar.</t>
  </si>
  <si>
    <t>OPERACIÓN DE L4 L5</t>
  </si>
  <si>
    <t>SIN INFORME NO SE PUEDE HACER NADA.</t>
  </si>
  <si>
    <t>Demencia leve diagnosticada hace 1 año, sin tratamiento en curso, Diabetes tipo 2 e hipertensión.</t>
  </si>
  <si>
    <t>Ácido úrico toma una pastilla desde hace 10 años</t>
  </si>
  <si>
    <t xml:space="preserve">NECESARIO INFORME MÉDICO PARA PODER VALORAR. NO VALE CON UNA ANALÍTICA, SI NO ENTREGA INFORME NO SE PUEDE CONTINUAR. </t>
  </si>
  <si>
    <t>DIU</t>
  </si>
  <si>
    <t>1.INFORME MÉDICO ACTUALIZADO GINECOLOGÍA : DIAGNOSTICO/CAUSA/MOTIVO, LOCALIZACIÓN, FECHAS, TRATAMIENTO, PRONOSTICO Y SITUACIÓN ACTUAL. RECOMENDARLE QUE NO LO DECLARE.</t>
  </si>
  <si>
    <t>PRÓTESIS EN RODILLA DERECHA INTERVENIDA HACE 10 MESES.</t>
  </si>
  <si>
    <t>Prótesis en las dos rodillas</t>
  </si>
  <si>
    <t>EXCLUSION (1) AFEFECCIONES RODILLA IZD (2) RETIRADA /RECAMBIO PROTESIS RODILLA DCHA (2) AFECCIONES RODILLA DCHA (MEDIOS DIAGNOSTICO , TRATAMIENTOS E INGRESOS) ASI COMO POR SUS COMPLICACIONES , CONSECUENCIAS Y/O SECUELAS</t>
  </si>
  <si>
    <t>Colon irritable. Síndrome del intestino irritable. El síndrome del intestino irritable (SII) es un trastorno que lleva a dolor en el abdomen y cambios en los movimientos intestinales. Este síndrome no es lo mismo que enfermedad intestinal inflamatoria (EII).</t>
  </si>
  <si>
    <t>Hernia discal intervenida hace 18 años. Artrosis en la rodilla.</t>
  </si>
  <si>
    <t>NO ES NECESARIO INFORME.</t>
  </si>
  <si>
    <t>69 años Hepatitis autoinmune sin tratamiento en la actualidad y Diabetes tipo 2 pastillas.</t>
  </si>
  <si>
    <t>Esclerodermia</t>
  </si>
  <si>
    <t>Operada de una cadera. Aporta informe año 2022 (hace 4 años).</t>
  </si>
  <si>
    <t>SIN INFORME ACTUALIZADO NO SE PUEDE CONTINUAR.</t>
  </si>
  <si>
    <t>Operada de una cadera. Aporta informe año 2024 de la cadera intervenida. (hace 1 año)</t>
  </si>
  <si>
    <t xml:space="preserve">ES NECESARIO EL INFORME DE LAS DOS CADERAS, LA OPERADA Y LA QUE NO ESTÁ OPERADA, DE LO CONTRARIO NO SE PUEDE CONTINUAR CON LA VALORACIÓN MÉDICA. </t>
  </si>
  <si>
    <t>Fibrilación auricular, toma xarelto 20 miligramos, es como las arritmias</t>
  </si>
  <si>
    <t>El señor se toma unas pastillas para prevenir la horgura de la próstata desde hace 3 años.</t>
  </si>
  <si>
    <t>NO HA SIDO NECESARIO INFORME.</t>
  </si>
  <si>
    <t>Polineuritis</t>
  </si>
  <si>
    <t>Operada de cadera hace menos de 1 año. Aporta informe donde pone que se recomienda fisioterapia para patología muscular y lumbar. Y donde se recomienda visita a cirugía vascular si perssiste edema en ambos tobillos. No está recuperada al 100%.</t>
  </si>
  <si>
    <t>TRAS VER EL INFORME PROCEDEN AL RECHAZO.</t>
  </si>
  <si>
    <t>Operación de rodilla para una prótesis hace más de 4 años.</t>
  </si>
  <si>
    <t>ACEPTAN SI EL INFORME ES FAVORABLE.</t>
  </si>
  <si>
    <t>Epilepsia, epiléptica</t>
  </si>
  <si>
    <t xml:space="preserve">Se precisaría información médica actualizada de la patología declarada EPILEPSIA: Diagnóstico/Motivo/Causa, localización, fechas, tratamiento, situación actual y pronóstico.
</t>
  </si>
  <si>
    <t>El síndrome de Asperger, ​ también llamado simplemente aspérger o ásperger, ​dificultad para afrontar situaciones sociales.</t>
  </si>
  <si>
    <t>2.⁠ ⁠EXCLUSIÓN DE LOS MEDIOS DE DIAGNÓSTICO, TRATAMIENTOS E INGRESOS RELACIONADOS CON  LAS COMPLICACIONES, CONSECUENCIAS Y/O SECUELAS DE TRASTORNO DEL ESPECTRO AUTISTA (TEA)</t>
  </si>
  <si>
    <t>Granuloma eosinófilo: 13 de Marzo del 2009, fue operado con éxito y le dieron el alta en los días siguientes. Las revisiones posteriores mostraron que NO QUEDÓ SECUELA alguna hasta el punto de que no se ve siguiera la cicatriz en el hueso.</t>
  </si>
  <si>
    <t xml:space="preserve">Absceso: No lo recuerdo pero pudiera ser en Noviembre del 2007 a consecuencia de la varicela o en mayo del 2020 cuando tenía acné. En todo caso está totalmente curado y NO HAY SECUELAS
</t>
  </si>
  <si>
    <t>A los 10 años ( Noviembre 2013) Por MIOPÍA y ESTIGMATISMO. EN LA ACTUALIDAD SIGUE LLEVANDO GAFAS</t>
  </si>
  <si>
    <t>UVEITIS OJO IZQUIERDO</t>
  </si>
  <si>
    <t xml:space="preserve">Mujer de 70 años con ácido úrico causado por la menopausa desde los 50 años. Toma mediación Alopurinol de 300 mg. </t>
  </si>
  <si>
    <t>Aceptado sin exclusión. Aunque otros ácidos úricos si ha habido exclusión.</t>
  </si>
  <si>
    <t>ICTUS hace 5 años.</t>
  </si>
  <si>
    <t>Colesterol: Simvastatina 10mg, 1 al día. Controlado por debajo de 220 mg/dL.
Acido úrico: Alopurinol 100mg, 1 al día. Diagnosticado a raíz de la menopausia.
Hipotiroidismo, Eutirox 100mg, 1 al día.
Hipertensión: Telmisartan 80mg, 1 al día. 13/7 y 13/8</t>
  </si>
  <si>
    <t>EXCLUSION AFECCIONES BENIGNAS DE TIROIDES y EXCLUSION HIPERURICEMIA- GOTA.</t>
  </si>
  <si>
    <t>Operación de rodilla de hace 3 meses aporta informe de alta.</t>
  </si>
  <si>
    <t>Rechazo directo por operación muy reciente.</t>
  </si>
  <si>
    <t>Yaiza</t>
  </si>
  <si>
    <t>VPH. Virus del papiloma humano.</t>
  </si>
  <si>
    <t>RECHZADO DIRECTO</t>
  </si>
  <si>
    <t>Escoliosis leve, desviación de la columna.</t>
  </si>
  <si>
    <t>EXCLUSION</t>
  </si>
  <si>
    <t>Gonalgia (dolor en la rodilla)</t>
  </si>
  <si>
    <t>INFORME MÉDICO ACTUAL   GONALGIA: DIAGNÓSTICO/MOTIVO/CAUSA, LOCALIZACIÓN,  FECHAS, TRATAMIENTO, SITUACIÓN ACTUAL, PRONÓSTICO</t>
  </si>
  <si>
    <t xml:space="preserve">SENIORS TOTAL. Osteoporosis, no tiene ningún tratamiento, solo toma calcio y sale a caminar. </t>
  </si>
  <si>
    <t>EXCLUSION OSTEOPENIA (1) , OSTEOPOROSIS (2): MEDIOS DE DIAGNOSTICO ,
TRATAMIENTOS E INGRESOS , ASI COMO POR SUS COMPLICACIONES ,
CONSECUENCIAS Y/O SECUELAS</t>
  </si>
  <si>
    <t>REUMATITIS</t>
  </si>
  <si>
    <t>Cornetas nasales, dificultad para respirar por la nariz</t>
  </si>
  <si>
    <t>Epilepsia toma DEPAKINE</t>
  </si>
  <si>
    <t>INFORME MÉDICO ACTUAL   TTO.DEPAKINE: DIAGNÓSTICO/MOTIVO/CAUSA,  FECHA ÚLTIMA CRISIS, TRATAMIENTO, SITUACIÓN ACTUAL, PRONÓSTICO</t>
  </si>
  <si>
    <t>Operada Vegetaciones y amígdalas</t>
  </si>
  <si>
    <t>Operada de cervicales en 2022</t>
  </si>
  <si>
    <t xml:space="preserve">Estenosis Uretral </t>
  </si>
  <si>
    <t>SENIORS. Mujer de 68 años con Amilodiosis desde hace 8 años.</t>
  </si>
  <si>
    <t>Un paciente de 68 con una operación para solucionar el síndrome de Wolff Parkinson White hace 22 años, quemando la parte sobrante que provoca este síndrome, sin complicaciones ni tratamiento desde entonces.</t>
  </si>
  <si>
    <t>MASTOCITOSIS SISTÉMICA toma CLOMOGLICATO 200 MG 4 VECES AL DIA</t>
  </si>
  <si>
    <t>trastorno obsesivo-compulsivo (TOC)</t>
  </si>
  <si>
    <t>Prediabético, prediabetes</t>
  </si>
  <si>
    <t>HISTORIAL MÉDICO</t>
  </si>
  <si>
    <t>Prótesis de 1 cadera.</t>
  </si>
  <si>
    <t>PIDEN INFORME DE LAS 2 CADERAS, LA BUENA Y LA MALA.
EXCLUSION (1) AFECCIONES CADERA DCHA (2) RETIRADA/RECAMBIO PROTESIS
CADERA DCHA (MEDIOS DIAGNOSTICO , TRATAMIENTOS E INGRESOS) ASI COMO
POR SUS COMPLICACIONES , CONSECUENCIAS Y/O SECUELAS</t>
  </si>
  <si>
    <t>hesterosis de ureter</t>
  </si>
  <si>
    <t>PIDEN INFORME.</t>
  </si>
  <si>
    <t>Sandra</t>
  </si>
  <si>
    <t>Operación de tobillo hace 2 años</t>
  </si>
  <si>
    <t>PIDEN INFORME. PUEDEN APLICAR EXCLUSIÓN O RECHAZO SEGÚN ESTÉ.</t>
  </si>
  <si>
    <t>ARTROSCOPIA RODILLA IZDA. Y SUS CAUSAS (MENISCOPATIA)</t>
  </si>
  <si>
    <t xml:space="preserve">NECESARIO INFORME Y APLICAN EXCLUSION DE LOS MEDIOS DE DIAGNOSTICO , TRATAMIENTOS E INGRESOS RELACIONADOS CON LAS RECIDIVAS , COMPLICACIONES , CONSECUENCIAS Y/O SECUELAS </t>
  </si>
  <si>
    <t>Litotricia</t>
  </si>
  <si>
    <t>INFORME MÉDICO LITOTRICIA : DIAGNOSTICO/CAUSA/MOTIVO, LOCALIZACIÓN, FECHAS, TRATAMIENTO, PRONOSTICO Y SITUACIÓN ACTUAL. TRAS VER INFORME ADESLAS LO RECHAZA.</t>
  </si>
  <si>
    <t>SIDA, VIH, cero positivo, sida desde 2011 aporta informe</t>
  </si>
  <si>
    <t>TRAS VER INFORME LO ACEPTAN SIN EXCLUSIÓN</t>
  </si>
  <si>
    <t>Operación para la extracción de la vesícula hace 2 años. Sin tratamientos ni complicaciones desde entonces.</t>
  </si>
  <si>
    <t>Carlos</t>
  </si>
  <si>
    <t>ANEURISMA</t>
  </si>
  <si>
    <t>Intervenida de cadera derecha, nos piden informe de la izquierda, aportamos carta jurada.</t>
  </si>
  <si>
    <t>Sergio</t>
  </si>
  <si>
    <t>TUMOR OVARIO, quiste ovario.</t>
  </si>
  <si>
    <t>EXCLUSION DE LOS MEDIOS DE DIAGNOSTICO , TRATAMIENTOS E INGRESOS
RELACIONADOS CON LAS RECIDIVAS , COMPLICACIONES , CONSECUENCIAS Y/O
SECUELAS DE TUMORES BENIGNOS DE OVARIO Y SU CIRUGIA</t>
  </si>
  <si>
    <t xml:space="preserve">21/09/2023 CIRUGÍA AMBULATORIA PARA HACERLE UNA ECOGRAFÍA Y POSTERIORMENTE DIAGNOSTICARLE OBSTRUCCIÓN INTESTINAL. SIN TRATAMIENTO, SIN SECUELAS.
</t>
  </si>
  <si>
    <t>Vanesa</t>
  </si>
  <si>
    <t>Reducción de estómago</t>
  </si>
  <si>
    <t>RECHAZO DIRECTO, NO PERDER TIEMPO Y HACER UN GO!</t>
  </si>
  <si>
    <t>SENIORS. OSTEOPOROSIS.</t>
  </si>
  <si>
    <t>PIDEN INFORME, DE LO CONTRARIO NO SE PUEDE CONTINUAR. SI EL INFORME ES FAVORABLE SE PUEDE ASEGURAR CON EXCLUSIÓN. EN ESTE CASO TRAS VALORAR INFORME FUE RECHAZO.</t>
  </si>
  <si>
    <t>DIABETES TIPO 2, RYBELSUS 5MG Y Xigduo, HTA y OBESIDAD. TODO JUNTO.</t>
  </si>
  <si>
    <t>PIDEN INFORME Y TRAS VERLO LO RECHAZAN.</t>
  </si>
  <si>
    <t>BIOPSIA MAMA IZQUIERDA</t>
  </si>
  <si>
    <t>PIDEN INFORME, LA CLIENTA LO ADJUNTA Y PASA LIMPIA.</t>
  </si>
  <si>
    <t>Vejiga hiperactiva</t>
  </si>
  <si>
    <t>RECHAZO POR CUESTIONARIO SALUD</t>
  </si>
  <si>
    <t>María</t>
  </si>
  <si>
    <t>a los 51 años sufrí un accidente con un producto químico desatascador que al explotar en el fregadero me realizó quemaduras en el nervio óptico del ojo de ambos ojos</t>
  </si>
  <si>
    <t>1.-EXCLUSIÓN DE LOS MEDIOS DE DIAGNÓSTICO, TRATAMIENTOS E INGRESOS RELACIONADOS CON LAS RECIDIVAS, COMPLICACIONES, CONSECUENCIAS Y/O SECUELAS DE QUEMADURAS TÓXICAS EN AMBOS N.OPTICOS</t>
  </si>
  <si>
    <t xml:space="preserve">
Siringomielia desde hace 7 años, sin tratamiento, ni operaciones.</t>
  </si>
  <si>
    <t>La valoración del caso  con los datos proporcionados es DENEGAR por riesgo no asegurable. (Siringomielia)</t>
  </si>
  <si>
    <t>túnel carpiano mano derecha operado hace 10 años ha pasado limpio sin exclusion.</t>
  </si>
  <si>
    <t>Lucía</t>
  </si>
  <si>
    <t>82 años operado hace 42 años del estomago y quedo genial solo va una vez al año a revision, tambien fue operado hace 25 años de hernia y le dieron el alta no va ni a revision, operado de la prostata en el año 2008 y solo va a revision una vez al año y operado en 2017 de diverticulis tambien revision una vez al año</t>
  </si>
  <si>
    <t>CONDROMALACIA ROTULIANA</t>
  </si>
  <si>
    <t>Paciente de 59 años con Hipoplasia medular diagnosticada 7 años atrás sin tratamientos en curso ni en historial médico, ni complicaciones ni secuelas adversas. Sin otras patologias e IMC de 24</t>
  </si>
  <si>
    <t>RECHAZO DIRECTO POR MedExpert</t>
  </si>
  <si>
    <t>espondilitis anquilosante. Sin tratamientos en ningún momento referentes a esta operación, complicaciones o secuelas adversas.</t>
  </si>
  <si>
    <t>MedExpert: con los datos proporcionados es DENEGAR por ESPONDILITIS ANQUILOSANTE</t>
  </si>
  <si>
    <t>Extracción de vesícula en el 17/02/2021</t>
  </si>
  <si>
    <t>Ana</t>
  </si>
  <si>
    <t>1. ESÓFAGO BARRET. PROCESO EN CURSO PENDIENTE DE RESOLUCIÓN</t>
  </si>
  <si>
    <t>Rechazo</t>
  </si>
  <si>
    <t>POLIOMIELITIS</t>
  </si>
  <si>
    <t>EXCLUSION DE LOS MEDIOS DE DIAGNOSTICO , TRATAMIENTOS E INGRESOS RELACIONADOS CON LAS COMPLICACIONES , CONSECUENCIAS Y/O SECUELAS DE POLIOMIELITIS</t>
  </si>
  <si>
    <t>*PONER LA PRIMERA LETRA EN MAYÚSCULAS
**Cada caso es diferente, Adeslas valora según edad, peso, altura, etc.
***La valoración también puede variar dependiendo del médico del Departamento de Selección de Riesgo.</t>
  </si>
  <si>
    <t>Esclerosis</t>
  </si>
  <si>
    <t xml:space="preserve">Fecha última actualización </t>
  </si>
  <si>
    <t>APARATO RESPIRATORIO</t>
  </si>
  <si>
    <t>Aceptación  directa</t>
  </si>
  <si>
    <t>Exclusión directa</t>
  </si>
  <si>
    <t>Denegación directa</t>
  </si>
  <si>
    <t xml:space="preserve">Petición  de informe </t>
  </si>
  <si>
    <t xml:space="preserve">Características de þ </t>
  </si>
  <si>
    <t>Afonia</t>
  </si>
  <si>
    <r>
      <rPr>
        <rFont val="Noto Sans Symbols"/>
        <b/>
        <color rgb="FF333399"/>
        <sz val="10.0"/>
      </rPr>
      <t>þ</t>
    </r>
    <r>
      <rPr>
        <rFont val="Arial"/>
        <b/>
        <color rgb="FF333399"/>
        <sz val="10.0"/>
      </rPr>
      <t xml:space="preserve"> </t>
    </r>
  </si>
  <si>
    <r>
      <rPr>
        <rFont val="Verdana"/>
        <b/>
        <color rgb="FF1F497D"/>
        <sz val="10.0"/>
      </rPr>
      <t>Apneas del sueño</t>
    </r>
    <r>
      <rPr>
        <rFont val="Arial"/>
        <b/>
        <color rgb="FF003366"/>
        <sz val="10.0"/>
      </rPr>
      <t xml:space="preserve"> </t>
    </r>
  </si>
  <si>
    <r>
      <rPr>
        <rFont val="Noto Sans Symbols"/>
        <b/>
        <color rgb="FF1F497D"/>
        <sz val="10.0"/>
      </rPr>
      <t>þ</t>
    </r>
    <r>
      <rPr>
        <rFont val="Arial"/>
        <b/>
        <color rgb="FF003366"/>
        <sz val="10.0"/>
      </rPr>
      <t xml:space="preserve"> </t>
    </r>
  </si>
  <si>
    <r>
      <rPr>
        <rFont val="Verdana"/>
        <b/>
        <color rgb="FF1F497D"/>
        <sz val="10.0"/>
      </rPr>
      <t>Asma</t>
    </r>
    <r>
      <rPr>
        <rFont val="Arial"/>
        <b/>
        <color rgb="FF003366"/>
        <sz val="10.0"/>
      </rPr>
      <t xml:space="preserve"> </t>
    </r>
  </si>
  <si>
    <r>
      <rPr>
        <rFont val="Noto Sans Symbols"/>
        <b/>
        <color rgb="FF1F497D"/>
        <sz val="10.0"/>
      </rPr>
      <t>þ</t>
    </r>
    <r>
      <rPr>
        <rFont val="Arial"/>
        <b/>
        <color rgb="FF003366"/>
        <sz val="10.0"/>
      </rPr>
      <t xml:space="preserve"> </t>
    </r>
  </si>
  <si>
    <t>Únicamente a ingresos</t>
  </si>
  <si>
    <r>
      <rPr>
        <rFont val="Verdana"/>
        <b/>
        <color rgb="FF1F497D"/>
        <sz val="10.0"/>
      </rPr>
      <t>Bronquitis crónica</t>
    </r>
    <r>
      <rPr>
        <rFont val="Arial"/>
        <b/>
        <color rgb="FF003366"/>
        <sz val="10.0"/>
      </rPr>
      <t xml:space="preserve"> </t>
    </r>
  </si>
  <si>
    <r>
      <rPr>
        <rFont val="Noto Sans Symbols"/>
        <b/>
        <color rgb="FF1F497D"/>
        <sz val="10.0"/>
      </rPr>
      <t>þ</t>
    </r>
    <r>
      <rPr>
        <rFont val="Arial"/>
        <b/>
        <color rgb="FF003366"/>
        <sz val="10.0"/>
      </rPr>
      <t xml:space="preserve"> </t>
    </r>
  </si>
  <si>
    <r>
      <rPr>
        <rFont val="Noto Sans Symbols"/>
        <b/>
        <color rgb="FF1F497D"/>
        <sz val="10.0"/>
      </rPr>
      <t>þ</t>
    </r>
    <r>
      <rPr>
        <rFont val="Arial"/>
        <b/>
        <color rgb="FF003366"/>
        <sz val="10.0"/>
      </rPr>
      <t xml:space="preserve"> </t>
    </r>
  </si>
  <si>
    <r>
      <rPr>
        <rFont val="Noto Sans Symbols"/>
        <b/>
        <color rgb="FF1F497D"/>
        <sz val="10.0"/>
      </rPr>
      <t>þ</t>
    </r>
    <r>
      <rPr>
        <rFont val="Arial"/>
        <b/>
        <color rgb="FF003366"/>
        <sz val="10.0"/>
      </rPr>
      <t xml:space="preserve"> </t>
    </r>
  </si>
  <si>
    <t>Bronquiectasias</t>
  </si>
  <si>
    <r>
      <rPr>
        <rFont val="Noto Sans Symbols"/>
        <b/>
        <color rgb="FF1F497D"/>
        <sz val="10.0"/>
      </rPr>
      <t>þ</t>
    </r>
    <r>
      <rPr>
        <rFont val="Arial"/>
        <b/>
        <color rgb="FF003366"/>
        <sz val="10.0"/>
      </rPr>
      <t xml:space="preserve"> </t>
    </r>
  </si>
  <si>
    <t>Enfisema</t>
  </si>
  <si>
    <r>
      <rPr>
        <rFont val="Noto Sans Symbols"/>
        <b/>
        <color rgb="FF1F497D"/>
        <sz val="10.0"/>
      </rPr>
      <t>þ</t>
    </r>
    <r>
      <rPr>
        <rFont val="Arial"/>
        <b/>
        <color rgb="FF003366"/>
        <sz val="10.0"/>
      </rPr>
      <t xml:space="preserve"> </t>
    </r>
  </si>
  <si>
    <t>Neumonía</t>
  </si>
  <si>
    <r>
      <rPr>
        <rFont val="Noto Sans Symbols"/>
        <b/>
        <color rgb="FF333399"/>
        <sz val="10.0"/>
      </rPr>
      <t>þ</t>
    </r>
    <r>
      <rPr>
        <rFont val="Arial"/>
        <b/>
        <color rgb="FF333399"/>
        <sz val="10.0"/>
      </rPr>
      <t xml:space="preserve"> </t>
    </r>
  </si>
  <si>
    <r>
      <rPr>
        <rFont val="Verdana"/>
        <b/>
        <color rgb="FF333399"/>
        <sz val="10.0"/>
      </rPr>
      <t>Tuberculosis pulmonar</t>
    </r>
    <r>
      <rPr>
        <rFont val="Arial"/>
        <b/>
        <color rgb="FF333399"/>
        <sz val="10.0"/>
      </rPr>
      <t xml:space="preserve"> </t>
    </r>
  </si>
  <si>
    <r>
      <rPr>
        <rFont val="Noto Sans Symbols"/>
        <b/>
        <color rgb="FF333399"/>
        <sz val="10.0"/>
      </rPr>
      <t>þ</t>
    </r>
    <r>
      <rPr>
        <rFont val="Arial"/>
        <b/>
        <color rgb="FF333399"/>
        <sz val="10.0"/>
      </rPr>
      <t xml:space="preserve"> </t>
    </r>
  </si>
  <si>
    <t xml:space="preserve">Solicitar si afecta a otros órganos o sistemas </t>
  </si>
  <si>
    <t xml:space="preserve"> CARDIO-CIRCULATORIO</t>
  </si>
  <si>
    <t>Petición  de informe</t>
  </si>
  <si>
    <r>
      <rPr>
        <rFont val="Arial"/>
        <b/>
        <color rgb="FF333399"/>
        <sz val="10.0"/>
      </rPr>
      <t xml:space="preserve">Características de </t>
    </r>
    <r>
      <rPr>
        <rFont val="Wingdings"/>
        <b/>
        <color rgb="FF333399"/>
        <sz val="10.0"/>
      </rPr>
      <t>þ</t>
    </r>
    <r>
      <rPr>
        <rFont val="Arial"/>
        <b/>
        <color rgb="FF333399"/>
        <sz val="10.0"/>
      </rPr>
      <t xml:space="preserve"> </t>
    </r>
  </si>
  <si>
    <t xml:space="preserve">Angina de Pecho </t>
  </si>
  <si>
    <r>
      <rPr>
        <rFont val="Noto Sans Symbols"/>
        <b/>
        <color rgb="FF1F497D"/>
        <sz val="10.0"/>
      </rPr>
      <t>þ</t>
    </r>
    <r>
      <rPr>
        <rFont val="Arial"/>
        <b/>
        <color rgb="FF003366"/>
        <sz val="10.0"/>
      </rPr>
      <t xml:space="preserve"> </t>
    </r>
  </si>
  <si>
    <t xml:space="preserve">Arterioesclerosis </t>
  </si>
  <si>
    <r>
      <rPr>
        <rFont val="Noto Sans Symbols"/>
        <b/>
        <color rgb="FF333399"/>
        <sz val="10.0"/>
      </rPr>
      <t>þ</t>
    </r>
    <r>
      <rPr>
        <rFont val="Arial"/>
        <b/>
        <color rgb="FF333399"/>
        <sz val="10.0"/>
      </rPr>
      <t xml:space="preserve"> </t>
    </r>
  </si>
  <si>
    <t xml:space="preserve">Defecto cardíaco congénito </t>
  </si>
  <si>
    <r>
      <rPr>
        <rFont val="Noto Sans Symbols"/>
        <b/>
        <color rgb="FF333399"/>
        <sz val="10.0"/>
      </rPr>
      <t>þ</t>
    </r>
    <r>
      <rPr>
        <rFont val="Arial"/>
        <b/>
        <color rgb="FF333399"/>
        <sz val="10.0"/>
      </rPr>
      <t xml:space="preserve"> </t>
    </r>
  </si>
  <si>
    <t xml:space="preserve">Embolias </t>
  </si>
  <si>
    <r>
      <rPr>
        <rFont val="Noto Sans Symbols"/>
        <b/>
        <color rgb="FF1F497D"/>
        <sz val="10.0"/>
      </rPr>
      <t>þ</t>
    </r>
    <r>
      <rPr>
        <rFont val="Arial"/>
        <b/>
        <color rgb="FF003366"/>
        <sz val="10.0"/>
      </rPr>
      <t xml:space="preserve"> </t>
    </r>
  </si>
  <si>
    <t xml:space="preserve">Flebitis  </t>
  </si>
  <si>
    <r>
      <rPr>
        <rFont val="Noto Sans Symbols"/>
        <b/>
        <color rgb="FF333399"/>
        <sz val="10.0"/>
      </rPr>
      <t>þ</t>
    </r>
    <r>
      <rPr>
        <rFont val="Arial"/>
        <b/>
        <color rgb="FF333399"/>
        <sz val="10.0"/>
      </rPr>
      <t xml:space="preserve"> </t>
    </r>
  </si>
  <si>
    <t>Infarto</t>
  </si>
  <si>
    <r>
      <rPr>
        <rFont val="Noto Sans Symbols"/>
        <b/>
        <color rgb="FF1F497D"/>
        <sz val="10.0"/>
      </rPr>
      <t>þ</t>
    </r>
    <r>
      <rPr>
        <rFont val="Arial"/>
        <b/>
        <color rgb="FF003366"/>
        <sz val="10.0"/>
      </rPr>
      <t xml:space="preserve"> </t>
    </r>
  </si>
  <si>
    <t>Palpitaciones</t>
  </si>
  <si>
    <r>
      <rPr>
        <rFont val="Noto Sans Symbols"/>
        <b/>
        <color rgb="FF333399"/>
        <sz val="10.0"/>
      </rPr>
      <t>þ</t>
    </r>
    <r>
      <rPr>
        <rFont val="Arial"/>
        <b/>
        <color rgb="FF333399"/>
        <sz val="10.0"/>
      </rPr>
      <t xml:space="preserve"> </t>
    </r>
  </si>
  <si>
    <t xml:space="preserve">Tensión arterial elevada  </t>
  </si>
  <si>
    <r>
      <rPr>
        <rFont val="Noto Sans Symbols"/>
        <b/>
        <color rgb="FF333399"/>
        <sz val="10.0"/>
      </rPr>
      <t>þ</t>
    </r>
    <r>
      <rPr>
        <rFont val="Arial"/>
        <b/>
        <color rgb="FF333399"/>
        <sz val="10.0"/>
      </rPr>
      <t xml:space="preserve"> </t>
    </r>
  </si>
  <si>
    <t xml:space="preserve">Trombosis </t>
  </si>
  <si>
    <r>
      <rPr>
        <rFont val="Noto Sans Symbols"/>
        <b/>
        <color rgb="FF1F497D"/>
        <sz val="10.0"/>
      </rPr>
      <t>þ</t>
    </r>
    <r>
      <rPr>
        <rFont val="Arial"/>
        <b/>
        <color rgb="FF003366"/>
        <sz val="10.0"/>
      </rPr>
      <t xml:space="preserve"> </t>
    </r>
  </si>
  <si>
    <t>Valvulopatías</t>
  </si>
  <si>
    <r>
      <rPr>
        <rFont val="Noto Sans Symbols"/>
        <b/>
        <color rgb="FF333399"/>
        <sz val="10.0"/>
      </rPr>
      <t>þ</t>
    </r>
    <r>
      <rPr>
        <rFont val="Arial"/>
        <b/>
        <color rgb="FF333399"/>
        <sz val="10.0"/>
      </rPr>
      <t xml:space="preserve"> </t>
    </r>
  </si>
  <si>
    <r>
      <rPr>
        <rFont val="Verdana"/>
        <b/>
        <color rgb="FF333399"/>
        <sz val="10.0"/>
      </rPr>
      <t>Varices</t>
    </r>
    <r>
      <rPr>
        <rFont val="Verdana"/>
        <b/>
        <color rgb="FF333399"/>
        <sz val="8.0"/>
      </rPr>
      <t xml:space="preserve"> (ext.inf.)</t>
    </r>
  </si>
  <si>
    <r>
      <rPr>
        <rFont val="Noto Sans Symbols"/>
        <b/>
        <color rgb="FF333399"/>
        <sz val="10.0"/>
      </rPr>
      <t>þ</t>
    </r>
    <r>
      <rPr>
        <rFont val="Arial"/>
        <b/>
        <color rgb="FF333399"/>
        <sz val="10.0"/>
      </rPr>
      <t xml:space="preserve"> </t>
    </r>
  </si>
  <si>
    <t>Bilateral</t>
  </si>
  <si>
    <t>SISTEMA NERVIOSO</t>
  </si>
  <si>
    <r>
      <rPr>
        <rFont val="Arial"/>
        <b/>
        <color rgb="FF333399"/>
        <sz val="10.0"/>
      </rPr>
      <t xml:space="preserve">Características de </t>
    </r>
    <r>
      <rPr>
        <rFont val="Wingdings"/>
        <b/>
        <color rgb="FF333399"/>
        <sz val="10.0"/>
      </rPr>
      <t>þ</t>
    </r>
    <r>
      <rPr>
        <rFont val="Arial"/>
        <b/>
        <color rgb="FF333399"/>
        <sz val="10.0"/>
      </rPr>
      <t xml:space="preserve"> </t>
    </r>
  </si>
  <si>
    <t>Accidente Cerebro Vascular</t>
  </si>
  <si>
    <r>
      <rPr>
        <rFont val="Noto Sans Symbols"/>
        <b/>
        <color rgb="FF1F497D"/>
        <sz val="10.0"/>
      </rPr>
      <t>þ</t>
    </r>
    <r>
      <rPr>
        <rFont val="Arial"/>
        <b/>
        <color rgb="FF003366"/>
        <sz val="10.0"/>
      </rPr>
      <t xml:space="preserve"> </t>
    </r>
  </si>
  <si>
    <t>Anorexia/Bulimia</t>
  </si>
  <si>
    <r>
      <rPr>
        <rFont val="Noto Sans Symbols"/>
        <b/>
        <color rgb="FF1F497D"/>
        <sz val="10.0"/>
      </rPr>
      <t>þ</t>
    </r>
    <r>
      <rPr>
        <rFont val="Arial"/>
        <b/>
        <color rgb="FF003366"/>
        <sz val="10.0"/>
      </rPr>
      <t xml:space="preserve"> </t>
    </r>
  </si>
  <si>
    <t xml:space="preserve">Ansiedad </t>
  </si>
  <si>
    <r>
      <rPr>
        <rFont val="Noto Sans Symbols"/>
        <b/>
        <color rgb="FF333399"/>
        <sz val="10.0"/>
      </rPr>
      <t>þ</t>
    </r>
    <r>
      <rPr>
        <rFont val="Arial"/>
        <b/>
        <color rgb="FF333399"/>
        <sz val="10.0"/>
      </rPr>
      <t xml:space="preserve"> </t>
    </r>
  </si>
  <si>
    <t xml:space="preserve">Apoplejía </t>
  </si>
  <si>
    <r>
      <rPr>
        <rFont val="Noto Sans Symbols"/>
        <b/>
        <color rgb="FF1F497D"/>
        <sz val="10.0"/>
      </rPr>
      <t>þ</t>
    </r>
    <r>
      <rPr>
        <rFont val="Arial"/>
        <b/>
        <color rgb="FF003366"/>
        <sz val="10.0"/>
      </rPr>
      <t xml:space="preserve"> </t>
    </r>
  </si>
  <si>
    <t>Demencia</t>
  </si>
  <si>
    <r>
      <rPr>
        <rFont val="Noto Sans Symbols"/>
        <b/>
        <color rgb="FF1F497D"/>
        <sz val="10.0"/>
      </rPr>
      <t>þ</t>
    </r>
    <r>
      <rPr>
        <rFont val="Arial"/>
        <b/>
        <color rgb="FF003366"/>
        <sz val="10.0"/>
      </rPr>
      <t xml:space="preserve"> </t>
    </r>
  </si>
  <si>
    <t>Depresiones</t>
  </si>
  <si>
    <r>
      <rPr>
        <rFont val="Noto Sans Symbols"/>
        <b/>
        <color rgb="FF1F497D"/>
        <sz val="10.0"/>
      </rPr>
      <t>þ</t>
    </r>
    <r>
      <rPr>
        <rFont val="Arial"/>
        <b/>
        <color rgb="FF003366"/>
        <sz val="10.0"/>
      </rPr>
      <t xml:space="preserve"> </t>
    </r>
  </si>
  <si>
    <t xml:space="preserve">Desmayos </t>
  </si>
  <si>
    <r>
      <rPr>
        <rFont val="Noto Sans Symbols"/>
        <b/>
        <color rgb="FF333399"/>
        <sz val="10.0"/>
      </rPr>
      <t>þ</t>
    </r>
    <r>
      <rPr>
        <rFont val="Arial"/>
        <b/>
        <color rgb="FF333399"/>
        <sz val="10.0"/>
      </rPr>
      <t xml:space="preserve"> </t>
    </r>
  </si>
  <si>
    <t xml:space="preserve">Epilepsia Gran Mal </t>
  </si>
  <si>
    <r>
      <rPr>
        <rFont val="Noto Sans Symbols"/>
        <b/>
        <color rgb="FF1F497D"/>
        <sz val="10.0"/>
      </rPr>
      <t>þ</t>
    </r>
    <r>
      <rPr>
        <rFont val="Arial"/>
        <b/>
        <color rgb="FF003366"/>
        <sz val="10.0"/>
      </rPr>
      <t xml:space="preserve"> </t>
    </r>
  </si>
  <si>
    <t>Epilepsia Petit Mal</t>
  </si>
  <si>
    <r>
      <rPr>
        <rFont val="Noto Sans Symbols"/>
        <b/>
        <color rgb="FF1F497D"/>
        <sz val="10.0"/>
      </rPr>
      <t>þ</t>
    </r>
    <r>
      <rPr>
        <rFont val="Arial"/>
        <b/>
        <color rgb="FF003366"/>
        <sz val="10.0"/>
      </rPr>
      <t xml:space="preserve"> </t>
    </r>
  </si>
  <si>
    <t xml:space="preserve">Insomnio </t>
  </si>
  <si>
    <r>
      <rPr>
        <rFont val="Noto Sans Symbols"/>
        <b/>
        <color rgb="FF333399"/>
        <sz val="10.0"/>
      </rPr>
      <t>þ</t>
    </r>
    <r>
      <rPr>
        <rFont val="Arial"/>
        <b/>
        <color rgb="FF333399"/>
        <sz val="10.0"/>
      </rPr>
      <t xml:space="preserve"> </t>
    </r>
  </si>
  <si>
    <t>Lesión nervios</t>
  </si>
  <si>
    <r>
      <rPr>
        <rFont val="Noto Sans Symbols"/>
        <b/>
        <color rgb="FF333399"/>
        <sz val="10.0"/>
      </rPr>
      <t>þ</t>
    </r>
    <r>
      <rPr>
        <rFont val="Arial"/>
        <b/>
        <color rgb="FF333399"/>
        <sz val="10.0"/>
      </rPr>
      <t xml:space="preserve"> </t>
    </r>
  </si>
  <si>
    <t xml:space="preserve">Migrañas </t>
  </si>
  <si>
    <r>
      <rPr>
        <rFont val="Noto Sans Symbols"/>
        <b/>
        <color rgb="FF1F497D"/>
        <sz val="10.0"/>
      </rPr>
      <t>þ</t>
    </r>
    <r>
      <rPr>
        <rFont val="Arial"/>
        <b/>
        <color rgb="FF003366"/>
        <sz val="10.0"/>
      </rPr>
      <t xml:space="preserve"> </t>
    </r>
  </si>
  <si>
    <t>Neurosis</t>
  </si>
  <si>
    <r>
      <rPr>
        <rFont val="Noto Sans Symbols"/>
        <b/>
        <color rgb="FF1F497D"/>
        <sz val="10.0"/>
      </rPr>
      <t>þ</t>
    </r>
    <r>
      <rPr>
        <rFont val="Arial"/>
        <b/>
        <color rgb="FF003366"/>
        <sz val="10.0"/>
      </rPr>
      <t xml:space="preserve"> </t>
    </r>
  </si>
  <si>
    <t xml:space="preserve">Parálisis </t>
  </si>
  <si>
    <r>
      <rPr>
        <rFont val="Noto Sans Symbols"/>
        <b/>
        <color rgb="FF333399"/>
        <sz val="10.0"/>
      </rPr>
      <t>þ</t>
    </r>
    <r>
      <rPr>
        <rFont val="Arial"/>
        <b/>
        <color rgb="FF333399"/>
        <sz val="10.0"/>
      </rPr>
      <t xml:space="preserve"> </t>
    </r>
  </si>
  <si>
    <t>Psicosis</t>
  </si>
  <si>
    <r>
      <rPr>
        <rFont val="Noto Sans Symbols"/>
        <b/>
        <color rgb="FF1F497D"/>
        <sz val="10.0"/>
      </rPr>
      <t>þ</t>
    </r>
    <r>
      <rPr>
        <rFont val="Arial"/>
        <b/>
        <color rgb="FF003366"/>
        <sz val="10.0"/>
      </rPr>
      <t xml:space="preserve"> </t>
    </r>
  </si>
  <si>
    <t>Síndrome de fatiga crónica</t>
  </si>
  <si>
    <r>
      <rPr>
        <rFont val="Noto Sans Symbols"/>
        <b/>
        <color rgb="FF1F497D"/>
        <sz val="10.0"/>
      </rPr>
      <t>þ</t>
    </r>
    <r>
      <rPr>
        <rFont val="Arial"/>
        <b/>
        <color rgb="FF003366"/>
        <sz val="10.0"/>
      </rPr>
      <t xml:space="preserve"> </t>
    </r>
  </si>
  <si>
    <t>Temblores</t>
  </si>
  <si>
    <r>
      <rPr>
        <rFont val="Noto Sans Symbols"/>
        <b/>
        <color rgb="FF333399"/>
        <sz val="10.0"/>
      </rPr>
      <t>þ</t>
    </r>
    <r>
      <rPr>
        <rFont val="Arial"/>
        <b/>
        <color rgb="FF333399"/>
        <sz val="10.0"/>
      </rPr>
      <t xml:space="preserve"> </t>
    </r>
  </si>
  <si>
    <t>Síndrome canal carpiano</t>
  </si>
  <si>
    <r>
      <rPr>
        <rFont val="Noto Sans Symbols"/>
        <b/>
        <color rgb="FF1F497D"/>
        <sz val="10.0"/>
      </rPr>
      <t>þ</t>
    </r>
    <r>
      <rPr>
        <rFont val="Arial"/>
        <b/>
        <color rgb="FF003366"/>
        <sz val="10.0"/>
      </rPr>
      <t xml:space="preserve"> </t>
    </r>
  </si>
  <si>
    <t>Trastornos psíquicos ó psiquiátricos</t>
  </si>
  <si>
    <r>
      <rPr>
        <rFont val="Noto Sans Symbols"/>
        <b/>
        <color rgb="FF333399"/>
        <sz val="10.0"/>
      </rPr>
      <t>þ</t>
    </r>
    <r>
      <rPr>
        <rFont val="Arial"/>
        <b/>
        <color rgb="FF333399"/>
        <sz val="10.0"/>
      </rPr>
      <t xml:space="preserve"> </t>
    </r>
  </si>
  <si>
    <t>Vértigos</t>
  </si>
  <si>
    <r>
      <rPr>
        <rFont val="Noto Sans Symbols"/>
        <b/>
        <color rgb="FF333399"/>
        <sz val="10.0"/>
      </rPr>
      <t>þ</t>
    </r>
    <r>
      <rPr>
        <rFont val="Arial"/>
        <b/>
        <color rgb="FF333399"/>
        <sz val="10.0"/>
      </rPr>
      <t xml:space="preserve"> </t>
    </r>
  </si>
  <si>
    <t>APARATO DIGESTIVO</t>
  </si>
  <si>
    <r>
      <rPr>
        <rFont val="Arial"/>
        <b/>
        <color rgb="FF333399"/>
        <sz val="10.0"/>
      </rPr>
      <t xml:space="preserve">Características de </t>
    </r>
    <r>
      <rPr>
        <rFont val="Wingdings"/>
        <b/>
        <color rgb="FF333399"/>
        <sz val="10.0"/>
      </rPr>
      <t>þ</t>
    </r>
    <r>
      <rPr>
        <rFont val="Arial"/>
        <b/>
        <color rgb="FF333399"/>
        <sz val="10.0"/>
      </rPr>
      <t xml:space="preserve"> </t>
    </r>
  </si>
  <si>
    <t>Trastornos de estómago</t>
  </si>
  <si>
    <r>
      <rPr>
        <rFont val="Noto Sans Symbols"/>
        <b/>
        <color rgb="FF333399"/>
        <sz val="10.0"/>
      </rPr>
      <t>þ</t>
    </r>
    <r>
      <rPr>
        <rFont val="Arial"/>
        <b/>
        <color rgb="FF333399"/>
        <sz val="10.0"/>
      </rPr>
      <t xml:space="preserve"> </t>
    </r>
  </si>
  <si>
    <t xml:space="preserve">Trastornos de intestinos </t>
  </si>
  <si>
    <r>
      <rPr>
        <rFont val="Noto Sans Symbols"/>
        <b/>
        <color rgb="FF333399"/>
        <sz val="10.0"/>
      </rPr>
      <t>þ</t>
    </r>
    <r>
      <rPr>
        <rFont val="Arial"/>
        <b/>
        <color rgb="FF333399"/>
        <sz val="10.0"/>
      </rPr>
      <t xml:space="preserve"> </t>
    </r>
  </si>
  <si>
    <t>Trastornos de  esófago</t>
  </si>
  <si>
    <r>
      <rPr>
        <rFont val="Noto Sans Symbols"/>
        <b/>
        <color rgb="FF333399"/>
        <sz val="10.0"/>
      </rPr>
      <t>þ</t>
    </r>
    <r>
      <rPr>
        <rFont val="Arial"/>
        <b/>
        <color rgb="FF333399"/>
        <sz val="10.0"/>
      </rPr>
      <t xml:space="preserve"> </t>
    </r>
  </si>
  <si>
    <t>Trastornos de páncreas</t>
  </si>
  <si>
    <r>
      <rPr>
        <rFont val="Noto Sans Symbols"/>
        <b/>
        <color rgb="FF333399"/>
        <sz val="10.0"/>
      </rPr>
      <t>þ</t>
    </r>
    <r>
      <rPr>
        <rFont val="Arial"/>
        <b/>
        <color rgb="FF333399"/>
        <sz val="10.0"/>
      </rPr>
      <t xml:space="preserve"> </t>
    </r>
  </si>
  <si>
    <t xml:space="preserve">Divertículos </t>
  </si>
  <si>
    <r>
      <rPr>
        <rFont val="Noto Sans Symbols"/>
        <b/>
        <color rgb="FF333399"/>
        <sz val="10.0"/>
      </rPr>
      <t>þ</t>
    </r>
    <r>
      <rPr>
        <rFont val="Arial"/>
        <b/>
        <color rgb="FF333399"/>
        <sz val="10.0"/>
      </rPr>
      <t xml:space="preserve"> </t>
    </r>
  </si>
  <si>
    <r>
      <rPr>
        <rFont val="Verdana"/>
        <b/>
        <color rgb="FF333399"/>
        <sz val="10.0"/>
      </rPr>
      <t>Úlceras</t>
    </r>
    <r>
      <rPr>
        <rFont val="Verdana"/>
        <b/>
        <color rgb="FF333399"/>
        <sz val="8.0"/>
      </rPr>
      <t>(estómago, duodeno)</t>
    </r>
  </si>
  <si>
    <r>
      <rPr>
        <rFont val="Noto Sans Symbols"/>
        <b/>
        <color rgb="FF333399"/>
        <sz val="10.0"/>
      </rPr>
      <t>þ</t>
    </r>
    <r>
      <rPr>
        <rFont val="Arial"/>
        <b/>
        <color rgb="FF333399"/>
        <sz val="10.0"/>
      </rPr>
      <t xml:space="preserve"> </t>
    </r>
  </si>
  <si>
    <t xml:space="preserve">Hernia de Hiato </t>
  </si>
  <si>
    <r>
      <rPr>
        <rFont val="Noto Sans Symbols"/>
        <b/>
        <color rgb="FF333399"/>
        <sz val="10.0"/>
      </rPr>
      <t>þ</t>
    </r>
    <r>
      <rPr>
        <rFont val="Arial"/>
        <b/>
        <color rgb="FF333399"/>
        <sz val="10.0"/>
      </rPr>
      <t xml:space="preserve"> </t>
    </r>
  </si>
  <si>
    <r>
      <rPr>
        <rFont val="Verdana"/>
        <b/>
        <color rgb="FF333399"/>
        <sz val="10.0"/>
      </rPr>
      <t xml:space="preserve">Enfermedades Hígado </t>
    </r>
    <r>
      <rPr>
        <rFont val="Verdana"/>
        <b/>
        <color rgb="FF333399"/>
        <sz val="8.0"/>
      </rPr>
      <t>(no hepatitis)</t>
    </r>
  </si>
  <si>
    <r>
      <rPr>
        <rFont val="Noto Sans Symbols"/>
        <b/>
        <color rgb="FF333399"/>
        <sz val="10.0"/>
      </rPr>
      <t>þ</t>
    </r>
    <r>
      <rPr>
        <rFont val="Arial"/>
        <b/>
        <color rgb="FF333399"/>
        <sz val="10.0"/>
      </rPr>
      <t xml:space="preserve"> </t>
    </r>
  </si>
  <si>
    <t>Ictericia</t>
  </si>
  <si>
    <r>
      <rPr>
        <rFont val="Noto Sans Symbols"/>
        <b/>
        <color rgb="FF333399"/>
        <sz val="10.0"/>
      </rPr>
      <t>þ</t>
    </r>
    <r>
      <rPr>
        <rFont val="Arial"/>
        <b/>
        <color rgb="FF333399"/>
        <sz val="10.0"/>
      </rPr>
      <t xml:space="preserve"> </t>
    </r>
  </si>
  <si>
    <t>Colecistitis/Colangitis</t>
  </si>
  <si>
    <r>
      <rPr>
        <rFont val="Noto Sans Symbols"/>
        <b/>
        <color rgb="FF1F497D"/>
        <sz val="10.0"/>
      </rPr>
      <t>þ</t>
    </r>
    <r>
      <rPr>
        <rFont val="Arial"/>
        <b/>
        <color rgb="FF003366"/>
        <sz val="10.0"/>
      </rPr>
      <t xml:space="preserve"> </t>
    </r>
  </si>
  <si>
    <t>Tratamiento de cualquier patología de la vesícula biliar y conductos biliares</t>
  </si>
  <si>
    <t>Coleliatiasis/Coledocolitiasis</t>
  </si>
  <si>
    <r>
      <rPr>
        <rFont val="Noto Sans Symbols"/>
        <b/>
        <color rgb="FF1F497D"/>
        <sz val="10.0"/>
      </rPr>
      <t>þ</t>
    </r>
    <r>
      <rPr>
        <rFont val="Arial"/>
        <b/>
        <color rgb="FF003366"/>
        <sz val="10.0"/>
      </rPr>
      <t xml:space="preserve"> </t>
    </r>
  </si>
  <si>
    <t>No intervenida</t>
  </si>
  <si>
    <r>
      <rPr>
        <rFont val="Noto Sans Symbols"/>
        <b/>
        <color rgb="FF1F497D"/>
        <sz val="10.0"/>
      </rPr>
      <t>þ</t>
    </r>
    <r>
      <rPr>
        <rFont val="Arial"/>
        <b/>
        <color rgb="FF003366"/>
        <sz val="10.0"/>
      </rPr>
      <t xml:space="preserve"> </t>
    </r>
  </si>
  <si>
    <t>Intervenida&lt; 1año</t>
  </si>
  <si>
    <r>
      <rPr>
        <rFont val="Noto Sans Symbols"/>
        <b/>
        <color rgb="FF1F497D"/>
        <sz val="10.0"/>
      </rPr>
      <t>þ</t>
    </r>
    <r>
      <rPr>
        <rFont val="Arial"/>
        <b/>
        <color rgb="FF003366"/>
        <sz val="10.0"/>
      </rPr>
      <t xml:space="preserve"> </t>
    </r>
  </si>
  <si>
    <t>Intervenida&gt; 1 año</t>
  </si>
  <si>
    <r>
      <rPr>
        <rFont val="Noto Sans Symbols"/>
        <b/>
        <color rgb="FF1F497D"/>
        <sz val="10.0"/>
      </rPr>
      <t>þ</t>
    </r>
    <r>
      <rPr>
        <rFont val="Arial"/>
        <b/>
        <color rgb="FF003366"/>
        <sz val="10.0"/>
      </rPr>
      <t xml:space="preserve"> </t>
    </r>
  </si>
  <si>
    <t xml:space="preserve">Hemorroides </t>
  </si>
  <si>
    <r>
      <rPr>
        <rFont val="Noto Sans Symbols"/>
        <b/>
        <color rgb="FF1F497D"/>
        <sz val="10.0"/>
      </rPr>
      <t>þ</t>
    </r>
    <r>
      <rPr>
        <rFont val="Arial"/>
        <b/>
        <color rgb="FF003366"/>
        <sz val="10.0"/>
      </rPr>
      <t xml:space="preserve"> </t>
    </r>
  </si>
  <si>
    <t xml:space="preserve">Proctitis </t>
  </si>
  <si>
    <r>
      <rPr>
        <rFont val="Noto Sans Symbols"/>
        <b/>
        <color rgb="FF1F497D"/>
        <sz val="10.0"/>
      </rPr>
      <t>þ</t>
    </r>
    <r>
      <rPr>
        <rFont val="Arial"/>
        <b/>
        <color rgb="FF003366"/>
        <sz val="10.0"/>
      </rPr>
      <t xml:space="preserve"> </t>
    </r>
  </si>
  <si>
    <t>Fístulas</t>
  </si>
  <si>
    <r>
      <rPr>
        <rFont val="Noto Sans Symbols"/>
        <b/>
        <color rgb="FF1F497D"/>
        <sz val="10.0"/>
      </rPr>
      <t>þ</t>
    </r>
    <r>
      <rPr>
        <rFont val="Arial"/>
        <b/>
        <color rgb="FF003366"/>
        <sz val="10.0"/>
      </rPr>
      <t xml:space="preserve"> </t>
    </r>
  </si>
  <si>
    <t>Fisura anal</t>
  </si>
  <si>
    <t>&gt; 1 años</t>
  </si>
  <si>
    <r>
      <rPr>
        <rFont val="Noto Sans Symbols"/>
        <b/>
        <color rgb="FF1F497D"/>
        <sz val="10.0"/>
      </rPr>
      <t>þ</t>
    </r>
    <r>
      <rPr>
        <rFont val="Arial"/>
        <b/>
        <color rgb="FF003366"/>
        <sz val="10.0"/>
      </rPr>
      <t xml:space="preserve"> </t>
    </r>
  </si>
  <si>
    <t>&lt; 1 años</t>
  </si>
  <si>
    <r>
      <rPr>
        <rFont val="Noto Sans Symbols"/>
        <b/>
        <color rgb="FF333399"/>
        <sz val="10.0"/>
      </rPr>
      <t>þ</t>
    </r>
    <r>
      <rPr>
        <rFont val="Arial"/>
        <b/>
        <color rgb="FF333399"/>
        <sz val="10.0"/>
      </rPr>
      <t xml:space="preserve"> </t>
    </r>
  </si>
  <si>
    <t>Diarrea</t>
  </si>
  <si>
    <r>
      <rPr>
        <rFont val="Noto Sans Symbols"/>
        <b/>
        <color rgb="FF333399"/>
        <sz val="10.0"/>
      </rPr>
      <t>þ</t>
    </r>
    <r>
      <rPr>
        <rFont val="Arial"/>
        <b/>
        <color rgb="FF333399"/>
        <sz val="10.0"/>
      </rPr>
      <t xml:space="preserve"> </t>
    </r>
  </si>
  <si>
    <r>
      <rPr>
        <rFont val="Verdana"/>
        <b/>
        <color rgb="FF333399"/>
        <sz val="10.0"/>
      </rPr>
      <t xml:space="preserve">Enf. Inflamatoria intestinal               </t>
    </r>
    <r>
      <rPr>
        <rFont val="Verdana"/>
        <b/>
        <color rgb="FF333399"/>
        <sz val="8.0"/>
      </rPr>
      <t>(colitis ulcerosa, Enfermedad de Crohn)</t>
    </r>
  </si>
  <si>
    <r>
      <rPr>
        <rFont val="Noto Sans Symbols"/>
        <b/>
        <color rgb="FF1F497D"/>
        <sz val="10.0"/>
      </rPr>
      <t>þ</t>
    </r>
    <r>
      <rPr>
        <rFont val="Arial"/>
        <b/>
        <color rgb="FF003366"/>
        <sz val="10.0"/>
      </rPr>
      <t xml:space="preserve"> </t>
    </r>
  </si>
  <si>
    <t>OIDOS</t>
  </si>
  <si>
    <r>
      <rPr>
        <rFont val="Arial"/>
        <b/>
        <color rgb="FF333399"/>
        <sz val="10.0"/>
      </rPr>
      <t xml:space="preserve">Características de </t>
    </r>
    <r>
      <rPr>
        <rFont val="Wingdings"/>
        <b/>
        <color rgb="FF333399"/>
        <sz val="10.0"/>
      </rPr>
      <t>þ</t>
    </r>
    <r>
      <rPr>
        <rFont val="Arial"/>
        <b/>
        <color rgb="FF333399"/>
        <sz val="10.0"/>
      </rPr>
      <t xml:space="preserve"> </t>
    </r>
  </si>
  <si>
    <t>Colesteatoma</t>
  </si>
  <si>
    <r>
      <rPr>
        <rFont val="Noto Sans Symbols"/>
        <b/>
        <color rgb="FF1F497D"/>
        <sz val="10.0"/>
      </rPr>
      <t>þ</t>
    </r>
    <r>
      <rPr>
        <rFont val="Arial"/>
        <b/>
        <color rgb="FF003366"/>
        <sz val="10.0"/>
      </rPr>
      <t xml:space="preserve"> </t>
    </r>
  </si>
  <si>
    <t>Otoesclerosis</t>
  </si>
  <si>
    <r>
      <rPr>
        <rFont val="Noto Sans Symbols"/>
        <b/>
        <color rgb="FF1F497D"/>
        <sz val="10.0"/>
      </rPr>
      <t>þ</t>
    </r>
    <r>
      <rPr>
        <rFont val="Arial"/>
        <b/>
        <color rgb="FF003366"/>
        <sz val="10.0"/>
      </rPr>
      <t xml:space="preserve"> </t>
    </r>
  </si>
  <si>
    <t>Síndrome de Menière</t>
  </si>
  <si>
    <r>
      <rPr>
        <rFont val="Noto Sans Symbols"/>
        <b/>
        <color rgb="FF1F497D"/>
        <sz val="10.0"/>
      </rPr>
      <t>þ</t>
    </r>
    <r>
      <rPr>
        <rFont val="Arial"/>
        <b/>
        <color rgb="FF003366"/>
        <sz val="10.0"/>
      </rPr>
      <t xml:space="preserve"> </t>
    </r>
  </si>
  <si>
    <t>Sordera</t>
  </si>
  <si>
    <r>
      <rPr>
        <rFont val="Noto Sans Symbols"/>
        <b/>
        <color rgb="FF333399"/>
        <sz val="10.0"/>
      </rPr>
      <t>þ</t>
    </r>
    <r>
      <rPr>
        <rFont val="Arial"/>
        <b/>
        <color rgb="FF333399"/>
        <sz val="10.0"/>
      </rPr>
      <t xml:space="preserve"> </t>
    </r>
  </si>
  <si>
    <t>Vértigo</t>
  </si>
  <si>
    <r>
      <rPr>
        <rFont val="Noto Sans Symbols"/>
        <b/>
        <color rgb="FF333399"/>
        <sz val="10.0"/>
      </rPr>
      <t>þ</t>
    </r>
    <r>
      <rPr>
        <rFont val="Arial"/>
        <b/>
        <color rgb="FF333399"/>
        <sz val="10.0"/>
      </rPr>
      <t xml:space="preserve"> </t>
    </r>
  </si>
  <si>
    <t>OJOS</t>
  </si>
  <si>
    <r>
      <rPr>
        <rFont val="Arial"/>
        <b/>
        <color rgb="FF333399"/>
        <sz val="10.0"/>
      </rPr>
      <t xml:space="preserve">Características de </t>
    </r>
    <r>
      <rPr>
        <rFont val="Wingdings"/>
        <b/>
        <color rgb="FF333399"/>
        <sz val="10.0"/>
      </rPr>
      <t>þ</t>
    </r>
    <r>
      <rPr>
        <rFont val="Arial"/>
        <b/>
        <color rgb="FF333399"/>
        <sz val="10.0"/>
      </rPr>
      <t xml:space="preserve"> </t>
    </r>
  </si>
  <si>
    <t>Astigmatismo</t>
  </si>
  <si>
    <r>
      <rPr>
        <rFont val="Noto Sans Symbols"/>
        <b/>
        <color rgb="FF333399"/>
        <sz val="10.0"/>
      </rPr>
      <t>þ</t>
    </r>
    <r>
      <rPr>
        <rFont val="Arial"/>
        <b/>
        <color rgb="FF333399"/>
        <sz val="10.0"/>
      </rPr>
      <t xml:space="preserve"> </t>
    </r>
  </si>
  <si>
    <t>Según dioptrias por producto</t>
  </si>
  <si>
    <t>Hipermetropía</t>
  </si>
  <si>
    <r>
      <rPr>
        <rFont val="Noto Sans Symbols"/>
        <b/>
        <color rgb="FF333399"/>
        <sz val="10.0"/>
      </rPr>
      <t>þ</t>
    </r>
    <r>
      <rPr>
        <rFont val="Arial"/>
        <b/>
        <color rgb="FF333399"/>
        <sz val="10.0"/>
      </rPr>
      <t xml:space="preserve"> </t>
    </r>
  </si>
  <si>
    <t>Miopía</t>
  </si>
  <si>
    <r>
      <rPr>
        <rFont val="Noto Sans Symbols"/>
        <b/>
        <color rgb="FF333399"/>
        <sz val="10.0"/>
      </rPr>
      <t>þ</t>
    </r>
    <r>
      <rPr>
        <rFont val="Arial"/>
        <b/>
        <color rgb="FF333399"/>
        <sz val="10.0"/>
      </rPr>
      <t xml:space="preserve"> </t>
    </r>
  </si>
  <si>
    <t>DMAE (Degeneración macular asociada a la edad)</t>
  </si>
  <si>
    <r>
      <rPr>
        <rFont val="Noto Sans Symbols"/>
        <b/>
        <color rgb="FF1F497D"/>
        <sz val="10.0"/>
      </rPr>
      <t>þ</t>
    </r>
    <r>
      <rPr>
        <rFont val="Arial"/>
        <b/>
        <color rgb="FF003366"/>
        <sz val="10.0"/>
      </rPr>
      <t xml:space="preserve"> </t>
    </r>
  </si>
  <si>
    <t>Desprendimiento de retina</t>
  </si>
  <si>
    <r>
      <rPr>
        <rFont val="Noto Sans Symbols"/>
        <b/>
        <color rgb="FF1F497D"/>
        <sz val="10.0"/>
      </rPr>
      <t>þ</t>
    </r>
    <r>
      <rPr>
        <rFont val="Arial"/>
        <b/>
        <color rgb="FF003366"/>
        <sz val="10.0"/>
      </rPr>
      <t xml:space="preserve"> </t>
    </r>
  </si>
  <si>
    <t>Cataratas</t>
  </si>
  <si>
    <r>
      <rPr>
        <rFont val="Noto Sans Symbols"/>
        <b/>
        <color rgb="FF1F497D"/>
        <sz val="10.0"/>
      </rPr>
      <t>þ</t>
    </r>
    <r>
      <rPr>
        <rFont val="Arial"/>
        <b/>
        <color rgb="FF003366"/>
        <sz val="10.0"/>
      </rPr>
      <t xml:space="preserve"> </t>
    </r>
  </si>
  <si>
    <t>Alteraciones de la mácula</t>
  </si>
  <si>
    <r>
      <rPr>
        <rFont val="Noto Sans Symbols"/>
        <b/>
        <color rgb="FF1F497D"/>
        <sz val="10.0"/>
      </rPr>
      <t>þ</t>
    </r>
    <r>
      <rPr>
        <rFont val="Arial"/>
        <b/>
        <color rgb="FF003366"/>
        <sz val="10.0"/>
      </rPr>
      <t xml:space="preserve"> </t>
    </r>
  </si>
  <si>
    <t>Glaucoma</t>
  </si>
  <si>
    <r>
      <rPr>
        <rFont val="Noto Sans Symbols"/>
        <b/>
        <color rgb="FF1F497D"/>
        <sz val="10.0"/>
      </rPr>
      <t>þ</t>
    </r>
    <r>
      <rPr>
        <rFont val="Arial"/>
        <b/>
        <color rgb="FF003366"/>
        <sz val="10.0"/>
      </rPr>
      <t xml:space="preserve"> </t>
    </r>
  </si>
  <si>
    <t>Estrabismo</t>
  </si>
  <si>
    <r>
      <rPr>
        <rFont val="Noto Sans Symbols"/>
        <b/>
        <color rgb="FF1F497D"/>
        <sz val="10.0"/>
      </rPr>
      <t>þ</t>
    </r>
    <r>
      <rPr>
        <rFont val="Arial"/>
        <b/>
        <color rgb="FF003366"/>
        <sz val="10.0"/>
      </rPr>
      <t xml:space="preserve"> </t>
    </r>
  </si>
  <si>
    <t>Queratocono</t>
  </si>
  <si>
    <r>
      <rPr>
        <rFont val="Noto Sans Symbols"/>
        <b/>
        <color rgb="FF1F497D"/>
        <sz val="10.0"/>
      </rPr>
      <t>þ</t>
    </r>
    <r>
      <rPr>
        <rFont val="Arial"/>
        <b/>
        <color rgb="FF003366"/>
        <sz val="10.0"/>
      </rPr>
      <t xml:space="preserve"> </t>
    </r>
  </si>
  <si>
    <t>Retinopatias</t>
  </si>
  <si>
    <r>
      <rPr>
        <rFont val="Noto Sans Symbols"/>
        <b/>
        <color rgb="FF1F497D"/>
        <sz val="10.0"/>
      </rPr>
      <t>þ</t>
    </r>
    <r>
      <rPr>
        <rFont val="Arial"/>
        <b/>
        <color rgb="FF003366"/>
        <sz val="10.0"/>
      </rPr>
      <t xml:space="preserve"> </t>
    </r>
  </si>
  <si>
    <t>Trasplante de córnea</t>
  </si>
  <si>
    <r>
      <rPr>
        <rFont val="Noto Sans Symbols"/>
        <b/>
        <color rgb="FF1F497D"/>
        <sz val="10.0"/>
      </rPr>
      <t>þ</t>
    </r>
    <r>
      <rPr>
        <rFont val="Arial"/>
        <b/>
        <color rgb="FF003366"/>
        <sz val="10.0"/>
      </rPr>
      <t xml:space="preserve"> </t>
    </r>
  </si>
  <si>
    <t>APARATO LOCOMOTOR</t>
  </si>
  <si>
    <r>
      <rPr>
        <rFont val="Arial"/>
        <b/>
        <color rgb="FF333399"/>
        <sz val="10.0"/>
      </rPr>
      <t xml:space="preserve">Características de </t>
    </r>
    <r>
      <rPr>
        <rFont val="Wingdings"/>
        <b/>
        <color rgb="FF333399"/>
        <sz val="10.0"/>
      </rPr>
      <t>þ</t>
    </r>
    <r>
      <rPr>
        <rFont val="Arial"/>
        <b/>
        <color rgb="FF333399"/>
        <sz val="10.0"/>
      </rPr>
      <t xml:space="preserve"> </t>
    </r>
  </si>
  <si>
    <t>Reumatismo</t>
  </si>
  <si>
    <r>
      <rPr>
        <rFont val="Noto Sans Symbols"/>
        <b/>
        <color rgb="FF333399"/>
        <sz val="10.0"/>
      </rPr>
      <t>þ</t>
    </r>
    <r>
      <rPr>
        <rFont val="Arial"/>
        <b/>
        <color rgb="FF333399"/>
        <sz val="10.0"/>
      </rPr>
      <t xml:space="preserve"> </t>
    </r>
  </si>
  <si>
    <t xml:space="preserve">Artrosis </t>
  </si>
  <si>
    <r>
      <rPr>
        <rFont val="Noto Sans Symbols"/>
        <b/>
        <color rgb="FF333399"/>
        <sz val="10.0"/>
      </rPr>
      <t>þ</t>
    </r>
    <r>
      <rPr>
        <rFont val="Arial"/>
        <b/>
        <color rgb="FF333399"/>
        <sz val="10.0"/>
      </rPr>
      <t xml:space="preserve"> </t>
    </r>
  </si>
  <si>
    <t>Hernia Discal</t>
  </si>
  <si>
    <r>
      <rPr>
        <rFont val="Noto Sans Symbols"/>
        <b/>
        <color rgb="FF333399"/>
        <sz val="10.0"/>
      </rPr>
      <t>þ</t>
    </r>
    <r>
      <rPr>
        <rFont val="Arial"/>
        <b/>
        <color rgb="FF333399"/>
        <sz val="10.0"/>
      </rPr>
      <t xml:space="preserve"> </t>
    </r>
  </si>
  <si>
    <r>
      <rPr>
        <rFont val="Verdana"/>
        <b/>
        <color rgb="FF333399"/>
        <sz val="10.0"/>
      </rPr>
      <t xml:space="preserve">Desviación de columna </t>
    </r>
    <r>
      <rPr>
        <rFont val="Verdana"/>
        <b/>
        <color rgb="FF333399"/>
        <sz val="8.0"/>
      </rPr>
      <t>(escoliosis, cifosis..)</t>
    </r>
  </si>
  <si>
    <r>
      <rPr>
        <rFont val="Noto Sans Symbols"/>
        <b/>
        <color rgb="FF333399"/>
        <sz val="10.0"/>
      </rPr>
      <t>þ</t>
    </r>
    <r>
      <rPr>
        <rFont val="Arial"/>
        <b/>
        <color rgb="FF333399"/>
        <sz val="10.0"/>
      </rPr>
      <t xml:space="preserve"> </t>
    </r>
  </si>
  <si>
    <t>Pinzamiento vertebral</t>
  </si>
  <si>
    <r>
      <rPr>
        <rFont val="Noto Sans Symbols"/>
        <b/>
        <color rgb="FF333399"/>
        <sz val="10.0"/>
      </rPr>
      <t>þ</t>
    </r>
    <r>
      <rPr>
        <rFont val="Arial"/>
        <b/>
        <color rgb="FF333399"/>
        <sz val="10.0"/>
      </rPr>
      <t xml:space="preserve"> </t>
    </r>
  </si>
  <si>
    <t>Lumbago</t>
  </si>
  <si>
    <r>
      <rPr>
        <rFont val="Noto Sans Symbols"/>
        <b/>
        <color rgb="FF333399"/>
        <sz val="10.0"/>
      </rPr>
      <t>þ</t>
    </r>
    <r>
      <rPr>
        <rFont val="Arial"/>
        <b/>
        <color rgb="FF333399"/>
        <sz val="10.0"/>
      </rPr>
      <t xml:space="preserve"> </t>
    </r>
  </si>
  <si>
    <t>Ciática</t>
  </si>
  <si>
    <r>
      <rPr>
        <rFont val="Noto Sans Symbols"/>
        <b/>
        <color rgb="FF333399"/>
        <sz val="10.0"/>
      </rPr>
      <t>þ</t>
    </r>
    <r>
      <rPr>
        <rFont val="Arial"/>
        <b/>
        <color rgb="FF333399"/>
        <sz val="10.0"/>
      </rPr>
      <t xml:space="preserve"> </t>
    </r>
  </si>
  <si>
    <t>Fibromialgia</t>
  </si>
  <si>
    <r>
      <rPr>
        <rFont val="Noto Sans Symbols"/>
        <b/>
        <color rgb="FF1F497D"/>
        <sz val="10.0"/>
      </rPr>
      <t>þ</t>
    </r>
    <r>
      <rPr>
        <rFont val="Arial"/>
        <b/>
        <color rgb="FF003366"/>
        <sz val="10.0"/>
      </rPr>
      <t xml:space="preserve"> </t>
    </r>
  </si>
  <si>
    <r>
      <rPr>
        <rFont val="Verdana"/>
        <b/>
        <color rgb="FF1F497D"/>
        <sz val="10.0"/>
      </rPr>
      <t xml:space="preserve">Fracturas </t>
    </r>
    <r>
      <rPr>
        <rFont val="Verdana"/>
        <b/>
        <color rgb="FF003366"/>
        <sz val="8.0"/>
      </rPr>
      <t>(sin secuelas)</t>
    </r>
  </si>
  <si>
    <r>
      <rPr>
        <rFont val="Noto Sans Symbols"/>
        <b/>
        <color rgb="FF1F497D"/>
        <sz val="10.0"/>
      </rPr>
      <t>þ</t>
    </r>
    <r>
      <rPr>
        <rFont val="Arial"/>
        <b/>
        <color rgb="FF003366"/>
        <sz val="10.0"/>
      </rPr>
      <t xml:space="preserve"> </t>
    </r>
  </si>
  <si>
    <r>
      <rPr>
        <rFont val="Verdana"/>
        <b/>
        <color rgb="FF1F497D"/>
        <sz val="10.0"/>
      </rPr>
      <t>Fracturas</t>
    </r>
    <r>
      <rPr>
        <rFont val="Verdana"/>
        <b/>
        <color rgb="FF003366"/>
        <sz val="8.0"/>
      </rPr>
      <t xml:space="preserve"> (otros casos)</t>
    </r>
  </si>
  <si>
    <r>
      <rPr>
        <rFont val="Noto Sans Symbols"/>
        <b/>
        <color rgb="FF1F497D"/>
        <sz val="10.0"/>
      </rPr>
      <t>þ</t>
    </r>
    <r>
      <rPr>
        <rFont val="Arial"/>
        <b/>
        <color rgb="FF003366"/>
        <sz val="10.0"/>
      </rPr>
      <t xml:space="preserve"> </t>
    </r>
  </si>
  <si>
    <r>
      <rPr>
        <rFont val="Verdana"/>
        <b/>
        <color rgb="FF1F497D"/>
        <sz val="10.0"/>
      </rPr>
      <t xml:space="preserve">Juanetes </t>
    </r>
    <r>
      <rPr>
        <rFont val="Verdana"/>
        <b/>
        <color rgb="FF003366"/>
        <sz val="8.0"/>
      </rPr>
      <t>(Hallux Valgus)</t>
    </r>
  </si>
  <si>
    <r>
      <rPr>
        <rFont val="Noto Sans Symbols"/>
        <b/>
        <color rgb="FF1F497D"/>
        <sz val="10.0"/>
      </rPr>
      <t>þ</t>
    </r>
    <r>
      <rPr>
        <rFont val="Arial"/>
        <b/>
        <color rgb="FF003366"/>
        <sz val="10.0"/>
      </rPr>
      <t xml:space="preserve"> </t>
    </r>
  </si>
  <si>
    <t>Lesiones de ligamentos sin secuelas</t>
  </si>
  <si>
    <r>
      <rPr>
        <rFont val="Noto Sans Symbols"/>
        <b/>
        <color rgb="FF333399"/>
        <sz val="10.0"/>
      </rPr>
      <t>þ</t>
    </r>
    <r>
      <rPr>
        <rFont val="Arial"/>
        <b/>
        <color rgb="FF333399"/>
        <sz val="10.0"/>
      </rPr>
      <t xml:space="preserve"> </t>
    </r>
  </si>
  <si>
    <r>
      <rPr>
        <rFont val="Noto Sans Symbols"/>
        <b/>
        <color rgb="FF333399"/>
        <sz val="10.0"/>
      </rPr>
      <t>þ</t>
    </r>
    <r>
      <rPr>
        <rFont val="Arial"/>
        <b/>
        <color rgb="FF333399"/>
        <sz val="10.0"/>
      </rPr>
      <t xml:space="preserve"> </t>
    </r>
  </si>
  <si>
    <t>Lesiones de ligamentos (otros casos)</t>
  </si>
  <si>
    <r>
      <rPr>
        <rFont val="Noto Sans Symbols"/>
        <b/>
        <color rgb="FF333399"/>
        <sz val="10.0"/>
      </rPr>
      <t>þ</t>
    </r>
    <r>
      <rPr>
        <rFont val="Arial"/>
        <b/>
        <color rgb="FF333399"/>
        <sz val="10.0"/>
      </rPr>
      <t xml:space="preserve"> </t>
    </r>
  </si>
  <si>
    <t>Material de osteosíntesis o prótesis</t>
  </si>
  <si>
    <t>AFECCIONES DE LA PIEL</t>
  </si>
  <si>
    <r>
      <rPr>
        <rFont val="Arial"/>
        <b/>
        <color rgb="FF333399"/>
        <sz val="10.0"/>
      </rPr>
      <t xml:space="preserve">Características de </t>
    </r>
    <r>
      <rPr>
        <rFont val="Wingdings"/>
        <b/>
        <color rgb="FF333399"/>
        <sz val="10.0"/>
      </rPr>
      <t>þ</t>
    </r>
    <r>
      <rPr>
        <rFont val="Arial"/>
        <b/>
        <color rgb="FF333399"/>
        <sz val="10.0"/>
      </rPr>
      <t xml:space="preserve"> </t>
    </r>
  </si>
  <si>
    <t xml:space="preserve">Psoriasis </t>
  </si>
  <si>
    <r>
      <rPr>
        <rFont val="Noto Sans Symbols"/>
        <b/>
        <color rgb="FF333399"/>
        <sz val="10.0"/>
      </rPr>
      <t>þ</t>
    </r>
    <r>
      <rPr>
        <rFont val="Arial"/>
        <b/>
        <color rgb="FF333399"/>
        <sz val="10.0"/>
      </rPr>
      <t xml:space="preserve"> </t>
    </r>
  </si>
  <si>
    <t>Independiente-  mente de forma y lugar de presentación</t>
  </si>
  <si>
    <t>Eczemas</t>
  </si>
  <si>
    <r>
      <rPr>
        <rFont val="Noto Sans Symbols"/>
        <b/>
        <color rgb="FF333399"/>
        <sz val="10.0"/>
      </rPr>
      <t>þ</t>
    </r>
    <r>
      <rPr>
        <rFont val="Arial"/>
        <b/>
        <color rgb="FF333399"/>
        <sz val="10.0"/>
      </rPr>
      <t xml:space="preserve"> </t>
    </r>
  </si>
  <si>
    <r>
      <rPr>
        <rFont val="Verdana"/>
        <b/>
        <color rgb="FF333399"/>
        <sz val="10.0"/>
      </rPr>
      <t xml:space="preserve">Herpes </t>
    </r>
    <r>
      <rPr>
        <rFont val="Verdana"/>
        <b/>
        <color rgb="FF333399"/>
        <sz val="8.0"/>
      </rPr>
      <t>(antiguo y sin secuelas)</t>
    </r>
  </si>
  <si>
    <r>
      <rPr>
        <rFont val="Noto Sans Symbols"/>
        <b/>
        <color rgb="FF333399"/>
        <sz val="10.0"/>
      </rPr>
      <t>þ</t>
    </r>
    <r>
      <rPr>
        <rFont val="Arial"/>
        <b/>
        <color rgb="FF333399"/>
        <sz val="10.0"/>
      </rPr>
      <t xml:space="preserve"> </t>
    </r>
  </si>
  <si>
    <r>
      <rPr>
        <rFont val="Verdana"/>
        <b/>
        <color rgb="FF333399"/>
        <sz val="10.0"/>
      </rPr>
      <t xml:space="preserve">Herpes </t>
    </r>
    <r>
      <rPr>
        <rFont val="Verdana"/>
        <b/>
        <color rgb="FF333399"/>
        <sz val="8.0"/>
      </rPr>
      <t>(reciente o con secuelas)</t>
    </r>
  </si>
  <si>
    <r>
      <rPr>
        <rFont val="Noto Sans Symbols"/>
        <b/>
        <color rgb="FF333399"/>
        <sz val="10.0"/>
      </rPr>
      <t>þ</t>
    </r>
    <r>
      <rPr>
        <rFont val="Arial"/>
        <b/>
        <color rgb="FF333399"/>
        <sz val="10.0"/>
      </rPr>
      <t xml:space="preserve"> </t>
    </r>
  </si>
  <si>
    <t>Alergias</t>
  </si>
  <si>
    <r>
      <rPr>
        <rFont val="Noto Sans Symbols"/>
        <b/>
        <color rgb="FF333399"/>
        <sz val="10.0"/>
      </rPr>
      <t>þ</t>
    </r>
    <r>
      <rPr>
        <rFont val="Arial"/>
        <b/>
        <color rgb="FF333399"/>
        <sz val="10.0"/>
      </rPr>
      <t xml:space="preserve"> </t>
    </r>
  </si>
  <si>
    <t>Vitíligo</t>
  </si>
  <si>
    <r>
      <rPr>
        <rFont val="Noto Sans Symbols"/>
        <b/>
        <color rgb="FF333399"/>
        <sz val="10.0"/>
      </rPr>
      <t>þ</t>
    </r>
    <r>
      <rPr>
        <rFont val="Arial"/>
        <b/>
        <color rgb="FF333399"/>
        <sz val="10.0"/>
      </rPr>
      <t xml:space="preserve"> </t>
    </r>
  </si>
  <si>
    <t>APARATO UROGENITAL</t>
  </si>
  <si>
    <r>
      <rPr>
        <rFont val="Arial"/>
        <b/>
        <color rgb="FF333399"/>
        <sz val="10.0"/>
      </rPr>
      <t xml:space="preserve">Características de </t>
    </r>
    <r>
      <rPr>
        <rFont val="Wingdings"/>
        <b/>
        <color rgb="FF333399"/>
        <sz val="10.0"/>
      </rPr>
      <t>þ</t>
    </r>
    <r>
      <rPr>
        <rFont val="Arial"/>
        <b/>
        <color rgb="FF333399"/>
        <sz val="10.0"/>
      </rPr>
      <t xml:space="preserve"> </t>
    </r>
  </si>
  <si>
    <t>Cólicos nefríticos sin litotricia</t>
  </si>
  <si>
    <t>&gt; 2 años</t>
  </si>
  <si>
    <r>
      <rPr>
        <rFont val="Noto Sans Symbols"/>
        <b/>
        <color rgb="FF333399"/>
        <sz val="10.0"/>
      </rPr>
      <t>þ</t>
    </r>
    <r>
      <rPr>
        <rFont val="Arial"/>
        <b/>
        <color rgb="FF333399"/>
        <sz val="10.0"/>
      </rPr>
      <t xml:space="preserve"> </t>
    </r>
  </si>
  <si>
    <t>&lt; 2 años</t>
  </si>
  <si>
    <r>
      <rPr>
        <rFont val="Noto Sans Symbols"/>
        <b/>
        <color rgb="FF333399"/>
        <sz val="10.0"/>
      </rPr>
      <t>þ</t>
    </r>
    <r>
      <rPr>
        <rFont val="Arial"/>
        <b/>
        <color rgb="FF333399"/>
        <sz val="10.0"/>
      </rPr>
      <t xml:space="preserve"> </t>
    </r>
  </si>
  <si>
    <t>Cólicos nefríticos con litotricia</t>
  </si>
  <si>
    <r>
      <rPr>
        <rFont val="Noto Sans Symbols"/>
        <b/>
        <color rgb="FF333399"/>
        <sz val="10.0"/>
      </rPr>
      <t>þ</t>
    </r>
    <r>
      <rPr>
        <rFont val="Arial"/>
        <b/>
        <color rgb="FF333399"/>
        <sz val="10.0"/>
      </rPr>
      <t xml:space="preserve"> </t>
    </r>
  </si>
  <si>
    <t>Infecciones de orina</t>
  </si>
  <si>
    <r>
      <rPr>
        <rFont val="Noto Sans Symbols"/>
        <b/>
        <color rgb="FF333399"/>
        <sz val="10.0"/>
      </rPr>
      <t>þ</t>
    </r>
    <r>
      <rPr>
        <rFont val="Arial"/>
        <b/>
        <color rgb="FF333399"/>
        <sz val="10.0"/>
      </rPr>
      <t xml:space="preserve"> </t>
    </r>
  </si>
  <si>
    <t>Enfermedades de los riñones</t>
  </si>
  <si>
    <r>
      <rPr>
        <rFont val="Noto Sans Symbols"/>
        <b/>
        <color rgb="FF333399"/>
        <sz val="10.0"/>
      </rPr>
      <t>þ</t>
    </r>
    <r>
      <rPr>
        <rFont val="Arial"/>
        <b/>
        <color rgb="FF333399"/>
        <sz val="10.0"/>
      </rPr>
      <t xml:space="preserve"> </t>
    </r>
  </si>
  <si>
    <t>Enfermedades de la vejiga</t>
  </si>
  <si>
    <r>
      <rPr>
        <rFont val="Noto Sans Symbols"/>
        <b/>
        <color rgb="FF333399"/>
        <sz val="10.0"/>
      </rPr>
      <t>þ</t>
    </r>
    <r>
      <rPr>
        <rFont val="Arial"/>
        <b/>
        <color rgb="FF333399"/>
        <sz val="10.0"/>
      </rPr>
      <t xml:space="preserve"> </t>
    </r>
  </si>
  <si>
    <t>Incontinencia urinaria</t>
  </si>
  <si>
    <r>
      <rPr>
        <rFont val="Noto Sans Symbols"/>
        <b/>
        <color rgb="FF333399"/>
        <sz val="10.0"/>
      </rPr>
      <t>þ</t>
    </r>
    <r>
      <rPr>
        <rFont val="Arial"/>
        <b/>
        <color rgb="FF333399"/>
        <sz val="10.0"/>
      </rPr>
      <t xml:space="preserve"> </t>
    </r>
  </si>
  <si>
    <t>Enfermedades de la próstata</t>
  </si>
  <si>
    <r>
      <rPr>
        <rFont val="Noto Sans Symbols"/>
        <b/>
        <color rgb="FF333399"/>
        <sz val="10.0"/>
      </rPr>
      <t>þ</t>
    </r>
    <r>
      <rPr>
        <rFont val="Arial"/>
        <b/>
        <color rgb="FF333399"/>
        <sz val="10.0"/>
      </rPr>
      <t xml:space="preserve"> </t>
    </r>
  </si>
  <si>
    <t>Enfermedades del aparato genital masculino</t>
  </si>
  <si>
    <r>
      <rPr>
        <rFont val="Noto Sans Symbols"/>
        <b/>
        <color rgb="FF333399"/>
        <sz val="10.0"/>
      </rPr>
      <t>þ</t>
    </r>
    <r>
      <rPr>
        <rFont val="Arial"/>
        <b/>
        <color rgb="FF333399"/>
        <sz val="10.0"/>
      </rPr>
      <t xml:space="preserve"> </t>
    </r>
  </si>
  <si>
    <t>Varicocele</t>
  </si>
  <si>
    <r>
      <rPr>
        <rFont val="Noto Sans Symbols"/>
        <b/>
        <color rgb="FF333399"/>
        <sz val="10.0"/>
      </rPr>
      <t>þ</t>
    </r>
    <r>
      <rPr>
        <rFont val="Arial"/>
        <b/>
        <color rgb="FF333399"/>
        <sz val="10.0"/>
      </rPr>
      <t xml:space="preserve"> </t>
    </r>
  </si>
  <si>
    <t>Si en infancia o hace &gt; 5 años = aceptación directa</t>
  </si>
  <si>
    <t>Hidrocele</t>
  </si>
  <si>
    <r>
      <rPr>
        <rFont val="Noto Sans Symbols"/>
        <b/>
        <color rgb="FF333399"/>
        <sz val="10.0"/>
      </rPr>
      <t>þ</t>
    </r>
    <r>
      <rPr>
        <rFont val="Arial"/>
        <b/>
        <color rgb="FF333399"/>
        <sz val="10.0"/>
      </rPr>
      <t xml:space="preserve"> </t>
    </r>
  </si>
  <si>
    <t>Criptoquidia</t>
  </si>
  <si>
    <r>
      <rPr>
        <rFont val="Noto Sans Symbols"/>
        <b/>
        <color rgb="FF333399"/>
        <sz val="10.0"/>
      </rPr>
      <t>þ</t>
    </r>
    <r>
      <rPr>
        <rFont val="Arial"/>
        <b/>
        <color rgb="FF333399"/>
        <sz val="10.0"/>
      </rPr>
      <t xml:space="preserve"> </t>
    </r>
  </si>
  <si>
    <t>Fimosis</t>
  </si>
  <si>
    <r>
      <rPr>
        <rFont val="Noto Sans Symbols"/>
        <b/>
        <color rgb="FF333399"/>
        <sz val="10.0"/>
      </rPr>
      <t>þ</t>
    </r>
    <r>
      <rPr>
        <rFont val="Arial"/>
        <b/>
        <color rgb="FF333399"/>
        <sz val="10.0"/>
      </rPr>
      <t xml:space="preserve"> </t>
    </r>
  </si>
  <si>
    <t>Enfermedades de los ovarios</t>
  </si>
  <si>
    <r>
      <rPr>
        <rFont val="Noto Sans Symbols"/>
        <b/>
        <color rgb="FF333399"/>
        <sz val="10.0"/>
      </rPr>
      <t>þ</t>
    </r>
    <r>
      <rPr>
        <rFont val="Arial"/>
        <b/>
        <color rgb="FF333399"/>
        <sz val="10.0"/>
      </rPr>
      <t xml:space="preserve"> </t>
    </r>
  </si>
  <si>
    <t>Quiste ovárico</t>
  </si>
  <si>
    <r>
      <rPr>
        <rFont val="Noto Sans Symbols"/>
        <b/>
        <color rgb="FF333399"/>
        <sz val="10.0"/>
      </rPr>
      <t>þ</t>
    </r>
    <r>
      <rPr>
        <rFont val="Arial"/>
        <b/>
        <color rgb="FF333399"/>
        <sz val="10.0"/>
      </rPr>
      <t xml:space="preserve"> </t>
    </r>
  </si>
  <si>
    <r>
      <rPr>
        <rFont val="Noto Sans Symbols"/>
        <b/>
        <color rgb="FF333399"/>
        <sz val="10.0"/>
      </rPr>
      <t>þ</t>
    </r>
    <r>
      <rPr>
        <rFont val="Arial"/>
        <b/>
        <color rgb="FF333399"/>
        <sz val="10.0"/>
      </rPr>
      <t xml:space="preserve"> </t>
    </r>
  </si>
  <si>
    <t>Enfermedades de la matriz</t>
  </si>
  <si>
    <r>
      <rPr>
        <rFont val="Noto Sans Symbols"/>
        <b/>
        <color rgb="FF333399"/>
        <sz val="10.0"/>
      </rPr>
      <t>þ</t>
    </r>
    <r>
      <rPr>
        <rFont val="Arial"/>
        <b/>
        <color rgb="FF333399"/>
        <sz val="10.0"/>
      </rPr>
      <t xml:space="preserve"> </t>
    </r>
  </si>
  <si>
    <t>Endometriosis</t>
  </si>
  <si>
    <r>
      <rPr>
        <rFont val="Noto Sans Symbols"/>
        <b/>
        <color rgb="FF333399"/>
        <sz val="10.0"/>
      </rPr>
      <t>þ</t>
    </r>
    <r>
      <rPr>
        <rFont val="Arial"/>
        <b/>
        <color rgb="FF333399"/>
        <sz val="10.0"/>
      </rPr>
      <t xml:space="preserve"> </t>
    </r>
  </si>
  <si>
    <t>Legrado uterino</t>
  </si>
  <si>
    <r>
      <rPr>
        <rFont val="Noto Sans Symbols"/>
        <b/>
        <color rgb="FF333399"/>
        <sz val="10.0"/>
      </rPr>
      <t>þ</t>
    </r>
    <r>
      <rPr>
        <rFont val="Arial"/>
        <b/>
        <color rgb="FF333399"/>
        <sz val="10.0"/>
      </rPr>
      <t xml:space="preserve"> </t>
    </r>
  </si>
  <si>
    <t>Embarazo ectópico</t>
  </si>
  <si>
    <r>
      <rPr>
        <rFont val="Noto Sans Symbols"/>
        <b/>
        <color rgb="FF333399"/>
        <sz val="10.0"/>
      </rPr>
      <t>þ</t>
    </r>
    <r>
      <rPr>
        <rFont val="Arial"/>
        <b/>
        <color rgb="FF333399"/>
        <sz val="10.0"/>
      </rPr>
      <t xml:space="preserve"> </t>
    </r>
  </si>
  <si>
    <t>Histerectomía total o parcial</t>
  </si>
  <si>
    <r>
      <rPr>
        <rFont val="Noto Sans Symbols"/>
        <b/>
        <color rgb="FF333399"/>
        <sz val="10.0"/>
      </rPr>
      <t>þ</t>
    </r>
    <r>
      <rPr>
        <rFont val="Arial"/>
        <b/>
        <color rgb="FF333399"/>
        <sz val="10.0"/>
      </rPr>
      <t xml:space="preserve"> </t>
    </r>
  </si>
  <si>
    <t>Enfermedades de las trompas</t>
  </si>
  <si>
    <r>
      <rPr>
        <rFont val="Noto Sans Symbols"/>
        <b/>
        <color rgb="FF333399"/>
        <sz val="10.0"/>
      </rPr>
      <t>þ</t>
    </r>
    <r>
      <rPr>
        <rFont val="Arial"/>
        <b/>
        <color rgb="FF333399"/>
        <sz val="10.0"/>
      </rPr>
      <t xml:space="preserve"> </t>
    </r>
  </si>
  <si>
    <t>Enfermedades de la vagina</t>
  </si>
  <si>
    <r>
      <rPr>
        <rFont val="Noto Sans Symbols"/>
        <b/>
        <color rgb="FF333399"/>
        <sz val="10.0"/>
      </rPr>
      <t>þ</t>
    </r>
    <r>
      <rPr>
        <rFont val="Arial"/>
        <b/>
        <color rgb="FF333399"/>
        <sz val="10.0"/>
      </rPr>
      <t xml:space="preserve"> </t>
    </r>
  </si>
  <si>
    <t>OTRAS AFECCIONES O TRASTORNOS</t>
  </si>
  <si>
    <r>
      <rPr>
        <rFont val="Arial"/>
        <b/>
        <color rgb="FF333399"/>
        <sz val="10.0"/>
      </rPr>
      <t xml:space="preserve">Características de </t>
    </r>
    <r>
      <rPr>
        <rFont val="Wingdings"/>
        <b/>
        <color rgb="FF333399"/>
        <sz val="10.0"/>
      </rPr>
      <t>þ</t>
    </r>
    <r>
      <rPr>
        <rFont val="Arial"/>
        <b/>
        <color rgb="FF333399"/>
        <sz val="10.0"/>
      </rPr>
      <t xml:space="preserve"> </t>
    </r>
  </si>
  <si>
    <r>
      <rPr>
        <rFont val="Verdana"/>
        <b/>
        <color rgb="FF333399"/>
        <sz val="10.0"/>
      </rPr>
      <t xml:space="preserve">Enfermedades de la sangre </t>
    </r>
    <r>
      <rPr>
        <rFont val="Verdana"/>
        <b/>
        <color rgb="FF333399"/>
        <sz val="8.0"/>
      </rPr>
      <t>(anemia, talasemia,…)</t>
    </r>
  </si>
  <si>
    <r>
      <rPr>
        <rFont val="Noto Sans Symbols"/>
        <b/>
        <color rgb="FF333399"/>
        <sz val="10.0"/>
      </rPr>
      <t>þ</t>
    </r>
    <r>
      <rPr>
        <rFont val="Arial"/>
        <b/>
        <color rgb="FF333399"/>
        <sz val="10.0"/>
      </rPr>
      <t xml:space="preserve"> </t>
    </r>
  </si>
  <si>
    <t>Diabetes</t>
  </si>
  <si>
    <t>Con Insulina</t>
  </si>
  <si>
    <r>
      <rPr>
        <rFont val="Noto Sans Symbols"/>
        <b/>
        <color rgb="FF333399"/>
        <sz val="10.0"/>
      </rPr>
      <t>þ</t>
    </r>
    <r>
      <rPr>
        <rFont val="Arial"/>
        <b/>
        <color rgb="FF333399"/>
        <sz val="10.0"/>
      </rPr>
      <t xml:space="preserve"> </t>
    </r>
  </si>
  <si>
    <t>Sin Insulina</t>
  </si>
  <si>
    <r>
      <rPr>
        <rFont val="Noto Sans Symbols"/>
        <b/>
        <color rgb="FF1F497D"/>
        <sz val="10.0"/>
      </rPr>
      <t>þ</t>
    </r>
    <r>
      <rPr>
        <rFont val="Arial"/>
        <b/>
        <color rgb="FF003366"/>
        <sz val="10.0"/>
      </rPr>
      <t xml:space="preserve"> </t>
    </r>
  </si>
  <si>
    <r>
      <rPr>
        <rFont val="Verdana"/>
        <b/>
        <color rgb="FF1F497D"/>
        <sz val="10.0"/>
      </rPr>
      <t xml:space="preserve">Colesterol </t>
    </r>
    <r>
      <rPr>
        <rFont val="Verdana"/>
        <b/>
        <color rgb="FF003366"/>
        <sz val="8.0"/>
      </rPr>
      <t>(HDL, VDL, Trigliceridos,…)</t>
    </r>
    <r>
      <rPr>
        <rFont val="Verdana"/>
        <b/>
        <color rgb="FF003366"/>
        <sz val="10.0"/>
      </rPr>
      <t xml:space="preserve"> </t>
    </r>
  </si>
  <si>
    <r>
      <rPr>
        <rFont val="Noto Sans Symbols"/>
        <b/>
        <color rgb="FF333399"/>
        <sz val="10.0"/>
      </rPr>
      <t>þ</t>
    </r>
    <r>
      <rPr>
        <rFont val="Arial"/>
        <b/>
        <color rgb="FF333399"/>
        <sz val="10.0"/>
      </rPr>
      <t xml:space="preserve"> </t>
    </r>
  </si>
  <si>
    <r>
      <rPr>
        <rFont val="Verdana"/>
        <b/>
        <color rgb="FF1F497D"/>
        <sz val="10.0"/>
      </rPr>
      <t xml:space="preserve">Gota </t>
    </r>
    <r>
      <rPr>
        <rFont val="Verdana"/>
        <b/>
        <color rgb="FF003366"/>
        <sz val="8.0"/>
      </rPr>
      <t>(hiperuricemia)</t>
    </r>
  </si>
  <si>
    <r>
      <rPr>
        <rFont val="Noto Sans Symbols"/>
        <b/>
        <color rgb="FF1F497D"/>
        <sz val="10.0"/>
      </rPr>
      <t>þ</t>
    </r>
    <r>
      <rPr>
        <rFont val="Arial"/>
        <b/>
        <color rgb="FF003366"/>
        <sz val="10.0"/>
      </rPr>
      <t xml:space="preserve"> </t>
    </r>
  </si>
  <si>
    <r>
      <rPr>
        <rFont val="Verdana"/>
        <b/>
        <color rgb="FF1F497D"/>
        <sz val="10.0"/>
      </rPr>
      <t xml:space="preserve">Hernia </t>
    </r>
    <r>
      <rPr>
        <rFont val="Verdana"/>
        <b/>
        <color rgb="FF003366"/>
        <sz val="8.0"/>
      </rPr>
      <t>(inguinal, epigástrica, umbilical,…)</t>
    </r>
  </si>
  <si>
    <r>
      <rPr>
        <rFont val="Noto Sans Symbols"/>
        <b/>
        <color rgb="FF1F497D"/>
        <sz val="10.0"/>
      </rPr>
      <t>þ</t>
    </r>
    <r>
      <rPr>
        <rFont val="Arial"/>
        <b/>
        <color rgb="FF003366"/>
        <sz val="10.0"/>
      </rPr>
      <t xml:space="preserve"> </t>
    </r>
  </si>
  <si>
    <t>Hiper/ Hipotiroidismo</t>
  </si>
  <si>
    <r>
      <rPr>
        <rFont val="Noto Sans Symbols"/>
        <b/>
        <color rgb="FF1F497D"/>
        <sz val="10.0"/>
      </rPr>
      <t>þ</t>
    </r>
    <r>
      <rPr>
        <rFont val="Arial"/>
        <b/>
        <color rgb="FF003366"/>
        <sz val="10.0"/>
      </rPr>
      <t xml:space="preserve"> </t>
    </r>
  </si>
  <si>
    <t>Atrofias musculares</t>
  </si>
  <si>
    <r>
      <rPr>
        <rFont val="Noto Sans Symbols"/>
        <b/>
        <color rgb="FF333399"/>
        <sz val="10.0"/>
      </rPr>
      <t>þ</t>
    </r>
    <r>
      <rPr>
        <rFont val="Arial"/>
        <b/>
        <color rgb="FF333399"/>
        <sz val="10.0"/>
      </rPr>
      <t xml:space="preserve"> </t>
    </r>
  </si>
  <si>
    <t>Nódulos/Pólipos cuerdas vocales</t>
  </si>
  <si>
    <r>
      <rPr>
        <rFont val="Noto Sans Symbols"/>
        <b/>
        <color rgb="FF333399"/>
        <sz val="10.0"/>
      </rPr>
      <t>þ</t>
    </r>
    <r>
      <rPr>
        <rFont val="Arial"/>
        <b/>
        <color rgb="FF333399"/>
        <sz val="10.0"/>
      </rPr>
      <t xml:space="preserve"> </t>
    </r>
  </si>
  <si>
    <t>Quiste sacro/pilonidal</t>
  </si>
  <si>
    <r>
      <rPr>
        <rFont val="Noto Sans Symbols"/>
        <b/>
        <color rgb="FF1F497D"/>
        <sz val="10.0"/>
      </rPr>
      <t>þ</t>
    </r>
    <r>
      <rPr>
        <rFont val="Arial"/>
        <b/>
        <color rgb="FF003366"/>
        <sz val="10.0"/>
      </rPr>
      <t xml:space="preserve"> </t>
    </r>
  </si>
  <si>
    <r>
      <rPr>
        <rFont val="Noto Sans Symbols"/>
        <b/>
        <color rgb="FF1F497D"/>
        <sz val="10.0"/>
      </rPr>
      <t>þ</t>
    </r>
    <r>
      <rPr>
        <rFont val="Arial"/>
        <b/>
        <color rgb="FF003366"/>
        <sz val="10.0"/>
      </rPr>
      <t xml:space="preserve"> </t>
    </r>
  </si>
  <si>
    <r>
      <rPr>
        <rFont val="Verdana"/>
        <b/>
        <color rgb="FF333399"/>
        <sz val="10.0"/>
      </rPr>
      <t>Amigdalectom</t>
    </r>
    <r>
      <rPr>
        <rFont val="Arial"/>
        <b/>
        <color rgb="FF333399"/>
        <sz val="10.0"/>
      </rPr>
      <t>í</t>
    </r>
    <r>
      <rPr>
        <rFont val="Verdana"/>
        <b/>
        <color rgb="FF333399"/>
        <sz val="10.0"/>
      </rPr>
      <t xml:space="preserve">a </t>
    </r>
  </si>
  <si>
    <r>
      <rPr>
        <rFont val="Noto Sans Symbols"/>
        <b/>
        <color rgb="FF333399"/>
        <sz val="10.0"/>
      </rPr>
      <t>þ</t>
    </r>
    <r>
      <rPr>
        <rFont val="Arial"/>
        <b/>
        <color rgb="FF333399"/>
        <sz val="10.0"/>
      </rPr>
      <t xml:space="preserve"> </t>
    </r>
  </si>
  <si>
    <r>
      <rPr>
        <rFont val="Verdana"/>
        <b/>
        <color rgb="FF333399"/>
        <sz val="10.0"/>
      </rPr>
      <t>Adenoidectom</t>
    </r>
    <r>
      <rPr>
        <rFont val="Arial"/>
        <b/>
        <color rgb="FF333399"/>
        <sz val="10.0"/>
      </rPr>
      <t>í</t>
    </r>
    <r>
      <rPr>
        <rFont val="Verdana"/>
        <b/>
        <color rgb="FF333399"/>
        <sz val="10.0"/>
      </rPr>
      <t xml:space="preserve">a </t>
    </r>
  </si>
  <si>
    <r>
      <rPr>
        <rFont val="Noto Sans Symbols"/>
        <b/>
        <color rgb="FF333399"/>
        <sz val="10.0"/>
      </rPr>
      <t>þ</t>
    </r>
    <r>
      <rPr>
        <rFont val="Arial"/>
        <b/>
        <color rgb="FF333399"/>
        <sz val="10.0"/>
      </rPr>
      <t xml:space="preserve"> </t>
    </r>
  </si>
  <si>
    <r>
      <rPr>
        <rFont val="Verdana"/>
        <b/>
        <color rgb="FF333399"/>
        <sz val="10.0"/>
      </rPr>
      <t>Apendicectom</t>
    </r>
    <r>
      <rPr>
        <rFont val="Arial"/>
        <b/>
        <color rgb="FF333399"/>
        <sz val="10.0"/>
      </rPr>
      <t>í</t>
    </r>
    <r>
      <rPr>
        <rFont val="Verdana"/>
        <b/>
        <color rgb="FF333399"/>
        <sz val="10.0"/>
      </rPr>
      <t xml:space="preserve">a </t>
    </r>
  </si>
  <si>
    <r>
      <rPr>
        <rFont val="Noto Sans Symbols"/>
        <b/>
        <color rgb="FF333399"/>
        <sz val="10.0"/>
      </rPr>
      <t>þ</t>
    </r>
    <r>
      <rPr>
        <rFont val="Arial"/>
        <b/>
        <color rgb="FF333399"/>
        <sz val="10.0"/>
      </rPr>
      <t xml:space="preserve"> </t>
    </r>
  </si>
  <si>
    <t>By-pass gástrico</t>
  </si>
  <si>
    <r>
      <rPr>
        <rFont val="Noto Sans Symbols"/>
        <b/>
        <color rgb="FF333399"/>
        <sz val="10.0"/>
      </rPr>
      <t>þ</t>
    </r>
    <r>
      <rPr>
        <rFont val="Arial"/>
        <b/>
        <color rgb="FF333399"/>
        <sz val="10.0"/>
      </rPr>
      <t xml:space="preserve"> </t>
    </r>
  </si>
  <si>
    <t>Debe ser hospitalizado próximamente</t>
  </si>
  <si>
    <t>Neoplasia &lt;5 a</t>
  </si>
  <si>
    <r>
      <rPr>
        <rFont val="Noto Sans Symbols"/>
        <b/>
        <color rgb="FF333399"/>
        <sz val="10.0"/>
      </rPr>
      <t>þ</t>
    </r>
    <r>
      <rPr>
        <rFont val="Arial"/>
        <b/>
        <color rgb="FF333399"/>
        <sz val="10.0"/>
      </rPr>
      <t xml:space="preserve"> </t>
    </r>
  </si>
  <si>
    <r>
      <rPr>
        <rFont val="Verdana"/>
        <b/>
        <color rgb="FF333399"/>
        <sz val="10.0"/>
      </rPr>
      <t xml:space="preserve">Cáncer </t>
    </r>
    <r>
      <rPr>
        <rFont val="Verdana"/>
        <b/>
        <color rgb="FF333399"/>
        <sz val="8.0"/>
      </rPr>
      <t>(Tumores malignos, procesos malignos,….)</t>
    </r>
  </si>
  <si>
    <r>
      <rPr>
        <rFont val="Noto Sans Symbols"/>
        <b/>
        <color rgb="FF333399"/>
        <sz val="10.0"/>
      </rPr>
      <t>þ</t>
    </r>
    <r>
      <rPr>
        <rFont val="Arial"/>
        <b/>
        <color rgb="FF333399"/>
        <sz val="10.0"/>
      </rPr>
      <t xml:space="preserve"> </t>
    </r>
  </si>
  <si>
    <t xml:space="preserve">Valoración &gt; 5 años de curación y siempre llevará exclusión </t>
  </si>
  <si>
    <t>Trasplante de órganos (excepto córnea)</t>
  </si>
  <si>
    <r>
      <rPr>
        <rFont val="Noto Sans Symbols"/>
        <b/>
        <color rgb="FF1F497D"/>
        <sz val="10.0"/>
      </rPr>
      <t>þ</t>
    </r>
    <r>
      <rPr>
        <rFont val="Arial"/>
        <b/>
        <color rgb="FF003366"/>
        <sz val="10.0"/>
      </rPr>
      <t xml:space="preserve"> </t>
    </r>
  </si>
  <si>
    <t xml:space="preserve">Tumores, quistes nódulos, …. </t>
  </si>
  <si>
    <t>Benignos</t>
  </si>
  <si>
    <r>
      <rPr>
        <rFont val="Noto Sans Symbols"/>
        <b/>
        <color rgb="FF333399"/>
        <sz val="10.0"/>
      </rPr>
      <t>þ</t>
    </r>
    <r>
      <rPr>
        <rFont val="Arial"/>
        <b/>
        <color rgb="FF333399"/>
        <sz val="10.0"/>
      </rPr>
      <t xml:space="preserve"> </t>
    </r>
  </si>
  <si>
    <t>Malignos</t>
  </si>
  <si>
    <r>
      <rPr>
        <rFont val="Noto Sans Symbols"/>
        <b/>
        <color rgb="FF333399"/>
        <sz val="10.0"/>
      </rPr>
      <t>þ</t>
    </r>
    <r>
      <rPr>
        <rFont val="Arial"/>
        <b/>
        <color rgb="FF333399"/>
        <sz val="10.0"/>
      </rPr>
      <t xml:space="preserve"> </t>
    </r>
  </si>
  <si>
    <t>Otras enfermedades</t>
  </si>
  <si>
    <r>
      <rPr>
        <rFont val="Noto Sans Symbols"/>
        <b/>
        <color rgb="FF333399"/>
        <sz val="10.0"/>
      </rPr>
      <t>þ</t>
    </r>
    <r>
      <rPr>
        <rFont val="Arial"/>
        <b/>
        <color rgb="FF333399"/>
        <sz val="10.0"/>
      </rPr>
      <t xml:space="preserve"> </t>
    </r>
  </si>
  <si>
    <t>ENF.  INFECCIOSAS</t>
  </si>
  <si>
    <r>
      <rPr>
        <rFont val="Arial"/>
        <b/>
        <color rgb="FF333399"/>
        <sz val="10.0"/>
      </rPr>
      <t xml:space="preserve">Características de </t>
    </r>
    <r>
      <rPr>
        <rFont val="Wingdings"/>
        <b/>
        <color rgb="FF333399"/>
        <sz val="10.0"/>
      </rPr>
      <t>þ</t>
    </r>
    <r>
      <rPr>
        <rFont val="Arial"/>
        <b/>
        <color rgb="FF333399"/>
        <sz val="10.0"/>
      </rPr>
      <t xml:space="preserve"> </t>
    </r>
  </si>
  <si>
    <t>Enfermedades Tropicales</t>
  </si>
  <si>
    <r>
      <rPr>
        <rFont val="Noto Sans Symbols"/>
        <b/>
        <color rgb="FF333399"/>
        <sz val="10.0"/>
      </rPr>
      <t>þ</t>
    </r>
    <r>
      <rPr>
        <rFont val="Arial"/>
        <b/>
        <color rgb="FF333399"/>
        <sz val="10.0"/>
      </rPr>
      <t xml:space="preserve"> </t>
    </r>
  </si>
  <si>
    <t>Fiebre reumática</t>
  </si>
  <si>
    <r>
      <rPr>
        <rFont val="Noto Sans Symbols"/>
        <b/>
        <color rgb="FF333399"/>
        <sz val="10.0"/>
      </rPr>
      <t>þ</t>
    </r>
    <r>
      <rPr>
        <rFont val="Arial"/>
        <b/>
        <color rgb="FF333399"/>
        <sz val="10.0"/>
      </rPr>
      <t xml:space="preserve"> </t>
    </r>
  </si>
  <si>
    <t>Hepatitis</t>
  </si>
  <si>
    <t>Tipo A</t>
  </si>
  <si>
    <r>
      <rPr>
        <rFont val="Noto Sans Symbols"/>
        <b/>
        <color rgb="FF333399"/>
        <sz val="10.0"/>
      </rPr>
      <t>þ</t>
    </r>
    <r>
      <rPr>
        <rFont val="Arial"/>
        <b/>
        <color rgb="FF333399"/>
        <sz val="10.0"/>
      </rPr>
      <t xml:space="preserve"> </t>
    </r>
  </si>
  <si>
    <t>Tipo B</t>
  </si>
  <si>
    <r>
      <rPr>
        <rFont val="Noto Sans Symbols"/>
        <b/>
        <color rgb="FF1F497D"/>
        <sz val="10.0"/>
      </rPr>
      <t>þ</t>
    </r>
    <r>
      <rPr>
        <rFont val="Arial"/>
        <b/>
        <color rgb="FF003366"/>
        <sz val="10.0"/>
      </rPr>
      <t xml:space="preserve"> </t>
    </r>
  </si>
  <si>
    <t>Tipo C</t>
  </si>
  <si>
    <r>
      <rPr>
        <rFont val="Noto Sans Symbols"/>
        <b/>
        <color rgb="FF1F497D"/>
        <sz val="10.0"/>
      </rPr>
      <t>þ</t>
    </r>
    <r>
      <rPr>
        <rFont val="Arial"/>
        <b/>
        <color rgb="FF003366"/>
        <sz val="10.0"/>
      </rPr>
      <t xml:space="preserve"> </t>
    </r>
  </si>
  <si>
    <t>Resto de tipos</t>
  </si>
  <si>
    <r>
      <rPr>
        <rFont val="Noto Sans Symbols"/>
        <b/>
        <color rgb="FF333399"/>
        <sz val="10.0"/>
      </rPr>
      <t>þ</t>
    </r>
    <r>
      <rPr>
        <rFont val="Arial"/>
        <b/>
        <color rgb="FF333399"/>
        <sz val="10.0"/>
      </rPr>
      <t xml:space="preserve"> </t>
    </r>
  </si>
  <si>
    <r>
      <rPr>
        <rFont val="Verdana"/>
        <b/>
        <color rgb="FF333399"/>
        <sz val="10.0"/>
      </rPr>
      <t xml:space="preserve">Infección HIV </t>
    </r>
    <r>
      <rPr>
        <rFont val="Verdana"/>
        <b/>
        <color rgb="FF333399"/>
        <sz val="8.0"/>
      </rPr>
      <t>(SIDA, enf. asociadas)</t>
    </r>
  </si>
  <si>
    <r>
      <rPr>
        <rFont val="Noto Sans Symbols"/>
        <b/>
        <color rgb="FF333399"/>
        <sz val="10.0"/>
      </rPr>
      <t>þ</t>
    </r>
    <r>
      <rPr>
        <rFont val="Arial"/>
        <b/>
        <color rgb="FF333399"/>
        <sz val="10.0"/>
      </rPr>
      <t xml:space="preserve"> </t>
    </r>
  </si>
  <si>
    <t>Meningitis</t>
  </si>
  <si>
    <r>
      <rPr>
        <rFont val="Noto Sans Symbols"/>
        <b/>
        <color rgb="FF333399"/>
        <sz val="10.0"/>
      </rPr>
      <t>þ</t>
    </r>
    <r>
      <rPr>
        <rFont val="Arial"/>
        <b/>
        <color rgb="FF333399"/>
        <sz val="10.0"/>
      </rPr>
      <t xml:space="preserve"> </t>
    </r>
  </si>
  <si>
    <t>Septicemia</t>
  </si>
  <si>
    <r>
      <rPr>
        <rFont val="Noto Sans Symbols"/>
        <b/>
        <color rgb="FF333399"/>
        <sz val="10.0"/>
      </rPr>
      <t>þ</t>
    </r>
    <r>
      <rPr>
        <rFont val="Arial"/>
        <b/>
        <color rgb="FF333399"/>
        <sz val="10.0"/>
      </rPr>
      <t xml:space="preserve"> </t>
    </r>
  </si>
  <si>
    <t>Venéreas</t>
  </si>
  <si>
    <r>
      <rPr>
        <rFont val="Noto Sans Symbols"/>
        <b/>
        <color rgb="FF333399"/>
        <sz val="10.0"/>
      </rPr>
      <t>þ</t>
    </r>
    <r>
      <rPr>
        <rFont val="Arial"/>
        <b/>
        <color rgb="FF333399"/>
        <sz val="10.0"/>
      </rPr>
      <t xml:space="preserve"> </t>
    </r>
  </si>
  <si>
    <t>VARIAS</t>
  </si>
  <si>
    <t>Observaciones</t>
  </si>
  <si>
    <t>Amiloidosis</t>
  </si>
  <si>
    <r>
      <rPr>
        <rFont val="Noto Sans Symbols"/>
        <b/>
        <color rgb="FF1F497D"/>
        <sz val="10.0"/>
      </rPr>
      <t>þ</t>
    </r>
    <r>
      <rPr>
        <rFont val="Arial"/>
        <b/>
        <color rgb="FF003366"/>
        <sz val="10.0"/>
      </rPr>
      <t xml:space="preserve"> </t>
    </r>
  </si>
  <si>
    <t>Enfermedad celiaca, Celiaquia, intolerancia gluten</t>
  </si>
  <si>
    <r>
      <rPr>
        <rFont val="Noto Sans Symbols"/>
        <b/>
        <color rgb="FF333399"/>
        <sz val="10.0"/>
      </rPr>
      <t>þ</t>
    </r>
    <r>
      <rPr>
        <rFont val="Arial"/>
        <b/>
        <color rgb="FF333399"/>
        <sz val="10.0"/>
      </rPr>
      <t xml:space="preserve"> </t>
    </r>
  </si>
  <si>
    <t>Cesarea</t>
  </si>
  <si>
    <r>
      <rPr>
        <rFont val="Noto Sans Symbols"/>
        <b/>
        <color rgb="FF333399"/>
        <sz val="10.0"/>
      </rPr>
      <t>þ</t>
    </r>
    <r>
      <rPr>
        <rFont val="Arial"/>
        <b/>
        <color rgb="FF333399"/>
        <sz val="10.0"/>
      </rPr>
      <t xml:space="preserve"> </t>
    </r>
  </si>
  <si>
    <t>Ligadura de trompas</t>
  </si>
  <si>
    <r>
      <rPr>
        <rFont val="Noto Sans Symbols"/>
        <b/>
        <color rgb="FF333399"/>
        <sz val="10.0"/>
      </rPr>
      <t>þ</t>
    </r>
    <r>
      <rPr>
        <rFont val="Arial"/>
        <b/>
        <color rgb="FF333399"/>
        <sz val="10.0"/>
      </rPr>
      <t xml:space="preserve"> </t>
    </r>
  </si>
  <si>
    <t>Adenoiditis, Adenoides, carnots, vegetaciones</t>
  </si>
  <si>
    <r>
      <rPr>
        <rFont val="Noto Sans Symbols"/>
        <b/>
        <color rgb="FF333399"/>
        <sz val="10.0"/>
      </rPr>
      <t>þ</t>
    </r>
    <r>
      <rPr>
        <rFont val="Arial"/>
        <b/>
        <color rgb="FF333399"/>
        <sz val="10.0"/>
      </rPr>
      <t xml:space="preserve"> </t>
    </r>
  </si>
  <si>
    <t>Cambiar la terminología.</t>
  </si>
  <si>
    <t>Apendicitis, apendicectomía</t>
  </si>
  <si>
    <r>
      <rPr>
        <rFont val="Noto Sans Symbols"/>
        <b/>
        <color rgb="FF333399"/>
        <sz val="10.0"/>
      </rPr>
      <t>þ</t>
    </r>
    <r>
      <rPr>
        <rFont val="Arial"/>
        <b/>
        <color rgb="FF333399"/>
        <sz val="10.0"/>
      </rPr>
      <t xml:space="preserve"> </t>
    </r>
  </si>
  <si>
    <t>Amigdalitis, Amígdalas, amigdalectomia</t>
  </si>
  <si>
    <r>
      <rPr>
        <rFont val="Noto Sans Symbols"/>
        <b/>
        <color rgb="FF333399"/>
        <sz val="10.0"/>
      </rPr>
      <t>þ</t>
    </r>
    <r>
      <rPr>
        <rFont val="Arial"/>
        <b/>
        <color rgb="FF333399"/>
        <sz val="10.0"/>
      </rPr>
      <t xml:space="preserve"> </t>
    </r>
  </si>
  <si>
    <t>Acné</t>
  </si>
  <si>
    <r>
      <rPr>
        <rFont val="Noto Sans Symbols"/>
        <b/>
        <color rgb="FF333399"/>
        <sz val="10.0"/>
      </rPr>
      <t>þ</t>
    </r>
    <r>
      <rPr>
        <rFont val="Arial"/>
        <b/>
        <color rgb="FF333399"/>
        <sz val="10.0"/>
      </rPr>
      <t xml:space="preserve"> </t>
    </r>
  </si>
  <si>
    <t>Aborto</t>
  </si>
  <si>
    <r>
      <rPr>
        <rFont val="Noto Sans Symbols"/>
        <b/>
        <color rgb="FF333399"/>
        <sz val="10.0"/>
      </rPr>
      <t>þ</t>
    </r>
    <r>
      <rPr>
        <rFont val="Arial"/>
        <b/>
        <color rgb="FF333399"/>
        <sz val="10.0"/>
      </rPr>
      <t xml:space="preserve"> </t>
    </r>
  </si>
  <si>
    <t>Bruxismo(rechinar noturno de dientes)</t>
  </si>
  <si>
    <r>
      <rPr>
        <rFont val="Noto Sans Symbols"/>
        <b/>
        <color rgb="FF333399"/>
        <sz val="10.0"/>
      </rPr>
      <t>þ</t>
    </r>
    <r>
      <rPr>
        <rFont val="Arial"/>
        <b/>
        <color rgb="FF333399"/>
        <sz val="10.0"/>
      </rPr>
      <t xml:space="preserve"> </t>
    </r>
  </si>
  <si>
    <t>Cefalea</t>
  </si>
  <si>
    <r>
      <rPr>
        <rFont val="Noto Sans Symbols"/>
        <b/>
        <color rgb="FF333399"/>
        <sz val="10.0"/>
      </rPr>
      <t>þ</t>
    </r>
    <r>
      <rPr>
        <rFont val="Arial"/>
        <b/>
        <color rgb="FF333399"/>
        <sz val="10.0"/>
      </rPr>
      <t xml:space="preserve"> </t>
    </r>
  </si>
  <si>
    <t>Conjuntivitis</t>
  </si>
  <si>
    <r>
      <rPr>
        <rFont val="Noto Sans Symbols"/>
        <b/>
        <color rgb="FF333399"/>
        <sz val="10.0"/>
      </rPr>
      <t>þ</t>
    </r>
    <r>
      <rPr>
        <rFont val="Arial"/>
        <b/>
        <color rgb="FF333399"/>
        <sz val="10.0"/>
      </rPr>
      <t xml:space="preserve"> </t>
    </r>
  </si>
  <si>
    <t>Drenajes oidos</t>
  </si>
  <si>
    <r>
      <rPr>
        <rFont val="Noto Sans Symbols"/>
        <b/>
        <color rgb="FF333399"/>
        <sz val="10.0"/>
      </rPr>
      <t>þ</t>
    </r>
    <r>
      <rPr>
        <rFont val="Arial"/>
        <b/>
        <color rgb="FF333399"/>
        <sz val="10.0"/>
      </rPr>
      <t xml:space="preserve"> </t>
    </r>
  </si>
  <si>
    <t>Drogodependencia</t>
  </si>
  <si>
    <r>
      <rPr>
        <rFont val="Noto Sans Symbols"/>
        <b/>
        <color rgb="FF1F497D"/>
        <sz val="10.0"/>
      </rPr>
      <t>þ</t>
    </r>
    <r>
      <rPr>
        <rFont val="Arial"/>
        <b/>
        <color rgb="FF003366"/>
        <sz val="10.0"/>
      </rPr>
      <t xml:space="preserve"> </t>
    </r>
  </si>
  <si>
    <t>Faringitis</t>
  </si>
  <si>
    <r>
      <rPr>
        <rFont val="Noto Sans Symbols"/>
        <b/>
        <color rgb="FF1F497D"/>
        <sz val="10.0"/>
      </rPr>
      <t>þ</t>
    </r>
    <r>
      <rPr>
        <rFont val="Arial"/>
        <b/>
        <color rgb="FF003366"/>
        <sz val="10.0"/>
      </rPr>
      <t xml:space="preserve"> </t>
    </r>
  </si>
  <si>
    <t>Gastroenteritis aguda</t>
  </si>
  <si>
    <r>
      <rPr>
        <rFont val="Noto Sans Symbols"/>
        <b/>
        <color rgb="FF1F497D"/>
        <sz val="10.0"/>
      </rPr>
      <t>þ</t>
    </r>
    <r>
      <rPr>
        <rFont val="Arial"/>
        <b/>
        <color rgb="FF003366"/>
        <sz val="10.0"/>
      </rPr>
      <t xml:space="preserve"> </t>
    </r>
  </si>
  <si>
    <t>Gingivitis</t>
  </si>
  <si>
    <r>
      <rPr>
        <rFont val="Noto Sans Symbols"/>
        <b/>
        <color rgb="FF1F497D"/>
        <sz val="10.0"/>
      </rPr>
      <t>þ</t>
    </r>
    <r>
      <rPr>
        <rFont val="Arial"/>
        <b/>
        <color rgb="FF003366"/>
        <sz val="10.0"/>
      </rPr>
      <t xml:space="preserve"> </t>
    </r>
  </si>
  <si>
    <t>Gripe</t>
  </si>
  <si>
    <r>
      <rPr>
        <rFont val="Noto Sans Symbols"/>
        <b/>
        <color rgb="FF1F497D"/>
        <sz val="10.0"/>
      </rPr>
      <t>þ</t>
    </r>
    <r>
      <rPr>
        <rFont val="Arial"/>
        <b/>
        <color rgb="FF003366"/>
        <sz val="10.0"/>
      </rPr>
      <t xml:space="preserve"> </t>
    </r>
  </si>
  <si>
    <t>Laringitis</t>
  </si>
  <si>
    <r>
      <rPr>
        <rFont val="Noto Sans Symbols"/>
        <b/>
        <color rgb="FF1F497D"/>
        <sz val="10.0"/>
      </rPr>
      <t>þ</t>
    </r>
    <r>
      <rPr>
        <rFont val="Arial"/>
        <b/>
        <color rgb="FF003366"/>
        <sz val="10.0"/>
      </rPr>
      <t xml:space="preserve"> </t>
    </r>
  </si>
  <si>
    <t>Otitis</t>
  </si>
  <si>
    <r>
      <rPr>
        <rFont val="Noto Sans Symbols"/>
        <b/>
        <color rgb="FF1F497D"/>
        <sz val="10.0"/>
      </rPr>
      <t>þ</t>
    </r>
    <r>
      <rPr>
        <rFont val="Arial"/>
        <b/>
        <color rgb="FF003366"/>
        <sz val="10.0"/>
      </rPr>
      <t xml:space="preserve"> </t>
    </r>
  </si>
  <si>
    <t>Parto</t>
  </si>
  <si>
    <r>
      <rPr>
        <rFont val="Noto Sans Symbols"/>
        <b/>
        <color rgb="FF1F497D"/>
        <sz val="10.0"/>
      </rPr>
      <t>þ</t>
    </r>
    <r>
      <rPr>
        <rFont val="Arial"/>
        <b/>
        <color rgb="FF003366"/>
        <sz val="10.0"/>
      </rPr>
      <t xml:space="preserve"> </t>
    </r>
  </si>
  <si>
    <t xml:space="preserve">Rubeola </t>
  </si>
  <si>
    <r>
      <rPr>
        <rFont val="Noto Sans Symbols"/>
        <b/>
        <color rgb="FF1F497D"/>
        <sz val="10.0"/>
      </rPr>
      <t>þ</t>
    </r>
    <r>
      <rPr>
        <rFont val="Arial"/>
        <b/>
        <color rgb="FF003366"/>
        <sz val="10.0"/>
      </rPr>
      <t xml:space="preserve"> </t>
    </r>
  </si>
  <si>
    <t>Sarampión</t>
  </si>
  <si>
    <r>
      <rPr>
        <rFont val="Noto Sans Symbols"/>
        <b/>
        <color rgb="FF1F497D"/>
        <sz val="10.0"/>
      </rPr>
      <t>þ</t>
    </r>
    <r>
      <rPr>
        <rFont val="Arial"/>
        <b/>
        <color rgb="FF003366"/>
        <sz val="10.0"/>
      </rPr>
      <t xml:space="preserve"> </t>
    </r>
  </si>
  <si>
    <t>Sinusitis</t>
  </si>
  <si>
    <r>
      <rPr>
        <rFont val="Noto Sans Symbols"/>
        <b/>
        <color rgb="FF1F497D"/>
        <sz val="10.0"/>
      </rPr>
      <t>þ</t>
    </r>
    <r>
      <rPr>
        <rFont val="Arial"/>
        <b/>
        <color rgb="FF003366"/>
        <sz val="10.0"/>
      </rPr>
      <t xml:space="preserve"> </t>
    </r>
  </si>
  <si>
    <t>Obesidad con IMC &gt;35</t>
  </si>
  <si>
    <r>
      <rPr>
        <rFont val="Noto Sans Symbols"/>
        <b/>
        <color rgb="FF1F497D"/>
        <sz val="10.0"/>
      </rPr>
      <t>þ</t>
    </r>
    <r>
      <rPr>
        <rFont val="Arial"/>
        <b/>
        <color rgb="FF003366"/>
        <sz val="10.0"/>
      </rPr>
      <t xml:space="preserve"> </t>
    </r>
  </si>
  <si>
    <t>Tabique nasal desviado</t>
  </si>
  <si>
    <r>
      <rPr>
        <rFont val="Noto Sans Symbols"/>
        <b/>
        <color rgb="FF333399"/>
        <sz val="10.0"/>
      </rPr>
      <t>þ</t>
    </r>
    <r>
      <rPr>
        <rFont val="Arial"/>
        <b/>
        <color rgb="FF333399"/>
        <sz val="10.0"/>
      </rPr>
      <t xml:space="preserve"> </t>
    </r>
  </si>
  <si>
    <t>Traqueitis</t>
  </si>
  <si>
    <r>
      <rPr>
        <rFont val="Noto Sans Symbols"/>
        <b/>
        <color rgb="FF333399"/>
        <sz val="10.0"/>
      </rPr>
      <t>þ</t>
    </r>
    <r>
      <rPr>
        <rFont val="Arial"/>
        <b/>
        <color rgb="FF333399"/>
        <sz val="10.0"/>
      </rPr>
      <t xml:space="preserve"> </t>
    </r>
  </si>
  <si>
    <t>Varicela</t>
  </si>
  <si>
    <r>
      <rPr>
        <rFont val="Noto Sans Symbols"/>
        <b/>
        <color rgb="FF333399"/>
        <sz val="10.0"/>
      </rPr>
      <t>þ</t>
    </r>
    <r>
      <rPr>
        <rFont val="Arial"/>
        <b/>
        <color rgb="FF333399"/>
        <sz val="10.0"/>
      </rPr>
      <t xml:space="preserve"> </t>
    </r>
  </si>
  <si>
    <t>Catarro</t>
  </si>
  <si>
    <r>
      <rPr>
        <rFont val="Noto Sans Symbols"/>
        <b/>
        <color rgb="FF333399"/>
        <sz val="10.0"/>
      </rPr>
      <t>þ</t>
    </r>
    <r>
      <rPr>
        <rFont val="Arial"/>
        <b/>
        <color rgb="FF333399"/>
        <sz val="10.0"/>
      </rPr>
      <t xml:space="preserve"> </t>
    </r>
  </si>
  <si>
    <t>Escarlatina</t>
  </si>
  <si>
    <r>
      <rPr>
        <rFont val="Noto Sans Symbols"/>
        <b/>
        <color rgb="FF333399"/>
        <sz val="10.0"/>
      </rPr>
      <t>þ</t>
    </r>
    <r>
      <rPr>
        <rFont val="Arial"/>
        <b/>
        <color rgb="FF333399"/>
        <sz val="10.0"/>
      </rPr>
      <t xml:space="preserve"> </t>
    </r>
  </si>
  <si>
    <t>Verruga</t>
  </si>
  <si>
    <r>
      <rPr>
        <rFont val="Noto Sans Symbols"/>
        <b/>
        <color rgb="FF333399"/>
        <sz val="10.0"/>
      </rPr>
      <t>þ</t>
    </r>
    <r>
      <rPr>
        <rFont val="Arial"/>
        <b/>
        <color rgb="FF333399"/>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</si>
</sst>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yyyy"/>
    <numFmt numFmtId="165" formatCode="mmmm&quot; &quot;yyyy"/>
    <numFmt numFmtId="166" formatCode="mmmm yyyy"/>
    <numFmt numFmtId="167" formatCode="D/M/YYYY"/>
  </numFmts>
  <fonts count="28">
    <font>
      <sz val="10.0"/>
      <color rgb="FF000000"/>
      <name val="Verdana"/>
      <scheme val="minor"/>
    </font>
    <font>
      <color theme="1"/>
      <name val="Verdana"/>
      <scheme val="minor"/>
    </font>
    <font>
      <color rgb="FF1A1A1A"/>
      <name val="Verdana"/>
    </font>
    <font>
      <color theme="1"/>
      <name val="Verdana"/>
    </font>
    <font>
      <b/>
      <i/>
      <sz val="15.0"/>
      <color rgb="FFFFFFFF"/>
      <name val="Verdana"/>
      <scheme val="minor"/>
    </font>
    <font>
      <b/>
      <sz val="20.0"/>
      <color theme="1"/>
      <name val="Verdana"/>
      <scheme val="minor"/>
    </font>
    <font/>
    <font>
      <color rgb="FFFFFFFF"/>
      <name val="Verdana"/>
      <scheme val="minor"/>
    </font>
    <font>
      <b/>
      <color rgb="FFFFFFFF"/>
      <name val="Verdana"/>
      <scheme val="minor"/>
    </font>
    <font>
      <sz val="8.0"/>
      <color rgb="FFFF0000"/>
      <name val="Calibri"/>
    </font>
    <font>
      <sz val="11.0"/>
      <color rgb="FFFF0000"/>
      <name val="Calibri"/>
    </font>
    <font>
      <b/>
      <sz val="12.0"/>
      <color rgb="FF333399"/>
      <name val="Arial"/>
    </font>
    <font>
      <b/>
      <sz val="10.0"/>
      <color rgb="FF333399"/>
      <name val="Arial"/>
    </font>
    <font>
      <b/>
      <sz val="10.0"/>
      <color rgb="FFFF0000"/>
      <name val="Arial"/>
    </font>
    <font>
      <b/>
      <sz val="10.0"/>
      <color rgb="FF333399"/>
      <name val="Verdana"/>
    </font>
    <font>
      <b/>
      <sz val="10.0"/>
      <color rgb="FF333399"/>
      <name val="Noto Sans Symbols"/>
    </font>
    <font>
      <b/>
      <sz val="10.0"/>
      <color rgb="FF339966"/>
      <name val="Arial"/>
    </font>
    <font>
      <b/>
      <sz val="10.0"/>
      <color rgb="FF1F497D"/>
      <name val="Verdana"/>
    </font>
    <font>
      <b/>
      <sz val="10.0"/>
      <color rgb="FF1F497D"/>
      <name val="Arial"/>
    </font>
    <font>
      <b/>
      <sz val="10.0"/>
      <color rgb="FF1F497D"/>
      <name val="Noto Sans Symbols"/>
    </font>
    <font>
      <b/>
      <sz val="8.0"/>
      <color rgb="FF1F497D"/>
      <name val="Arial"/>
    </font>
    <font>
      <sz val="11.0"/>
      <color rgb="FF1F497D"/>
      <name val="Calibri"/>
    </font>
    <font>
      <sz val="10.0"/>
      <color rgb="FF1F497D"/>
      <name val="Noto Sans Symbols"/>
    </font>
    <font>
      <b/>
      <sz val="8.0"/>
      <color rgb="FF333399"/>
      <name val="Arial"/>
    </font>
    <font>
      <sz val="11.0"/>
      <color theme="1"/>
      <name val="Calibri"/>
    </font>
    <font>
      <b/>
      <sz val="10.0"/>
      <color rgb="FF008000"/>
      <name val="Arial"/>
    </font>
    <font>
      <b/>
      <sz val="8.0"/>
      <color rgb="FF333399"/>
      <name val="Verdana"/>
    </font>
    <font>
      <b/>
      <sz val="8.0"/>
      <color rgb="FF1F497D"/>
      <name val="Verdana"/>
    </font>
  </fonts>
  <fills count="8">
    <fill>
      <patternFill patternType="none"/>
    </fill>
    <fill>
      <patternFill patternType="lightGray"/>
    </fill>
    <fill>
      <patternFill patternType="solid">
        <fgColor rgb="FFFFFF00"/>
        <bgColor rgb="FFFFFF00"/>
      </patternFill>
    </fill>
    <fill>
      <patternFill patternType="solid">
        <fgColor rgb="FF999999"/>
        <bgColor rgb="FF999999"/>
      </patternFill>
    </fill>
    <fill>
      <patternFill patternType="solid">
        <fgColor rgb="FFFFFFFF"/>
        <bgColor rgb="FFFFFFFF"/>
      </patternFill>
    </fill>
    <fill>
      <patternFill patternType="solid">
        <fgColor rgb="FFB6D7A8"/>
        <bgColor rgb="FFB6D7A8"/>
      </patternFill>
    </fill>
    <fill>
      <patternFill patternType="solid">
        <fgColor rgb="FFCCCCFF"/>
        <bgColor rgb="FFCCCCFF"/>
      </patternFill>
    </fill>
    <fill>
      <patternFill patternType="solid">
        <fgColor rgb="FFD8D8D8"/>
        <bgColor rgb="FFD8D8D8"/>
      </patternFill>
    </fill>
  </fills>
  <borders count="27">
    <border/>
    <border>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medium">
        <color rgb="FF333399"/>
      </left>
      <right style="medium">
        <color rgb="FF333399"/>
      </right>
      <top style="medium">
        <color rgb="FF333399"/>
      </top>
      <bottom/>
    </border>
    <border>
      <left style="medium">
        <color rgb="FF333399"/>
      </left>
      <right/>
      <top style="medium">
        <color rgb="FF333399"/>
      </top>
      <bottom/>
    </border>
    <border>
      <left style="medium">
        <color rgb="FF333399"/>
      </left>
      <right style="medium">
        <color rgb="FF333399"/>
      </right>
      <top style="medium">
        <color rgb="FF333399"/>
      </top>
      <bottom style="medium">
        <color rgb="FF333399"/>
      </bottom>
    </border>
    <border>
      <left style="medium">
        <color rgb="FF333399"/>
      </left>
      <top style="medium">
        <color rgb="FF333399"/>
      </top>
      <bottom style="medium">
        <color rgb="FF333399"/>
      </bottom>
    </border>
    <border>
      <left style="medium">
        <color rgb="FF333399"/>
      </left>
      <right style="medium">
        <color rgb="FF333399"/>
      </right>
      <top style="medium">
        <color rgb="FF333399"/>
      </top>
    </border>
    <border>
      <left style="medium">
        <color rgb="FF333399"/>
      </left>
      <top style="medium">
        <color rgb="FF333399"/>
      </top>
    </border>
    <border>
      <left style="medium">
        <color rgb="FF333399"/>
      </left>
      <right style="medium">
        <color rgb="FF333399"/>
      </right>
    </border>
    <border>
      <left style="medium">
        <color rgb="FF333399"/>
      </left>
    </border>
    <border>
      <left style="medium">
        <color rgb="FF333399"/>
      </left>
      <right style="medium">
        <color rgb="FF333399"/>
      </right>
      <bottom style="medium">
        <color rgb="FF333399"/>
      </bottom>
    </border>
    <border>
      <left style="medium">
        <color rgb="FF333399"/>
      </left>
      <bottom style="medium">
        <color rgb="FF333399"/>
      </bottom>
    </border>
    <border>
      <left style="thin">
        <color rgb="FF000000"/>
      </left>
      <right style="thin">
        <color rgb="FF000000"/>
      </right>
      <top style="thin">
        <color rgb="FF000000"/>
      </top>
      <bottom style="thin">
        <color rgb="FF000000"/>
      </bottom>
    </border>
    <border>
      <right style="medium">
        <color rgb="FF333399"/>
      </right>
      <top style="medium">
        <color rgb="FF333399"/>
      </top>
      <bottom style="medium">
        <color rgb="FF333399"/>
      </bottom>
    </border>
    <border>
      <left style="thin">
        <color rgb="FF000000"/>
      </left>
      <right style="thin">
        <color rgb="FF000000"/>
      </right>
      <top style="thin">
        <color rgb="FF000000"/>
      </top>
      <bottom style="medium">
        <color rgb="FF000000"/>
      </bottom>
    </border>
    <border>
      <left style="medium">
        <color rgb="FF003366"/>
      </left>
      <right style="medium">
        <color rgb="FF333399"/>
      </right>
      <top style="medium">
        <color rgb="FF003366"/>
      </top>
      <bottom style="medium">
        <color rgb="FF003366"/>
      </bottom>
    </border>
    <border>
      <left style="medium">
        <color rgb="FF333399"/>
      </left>
      <right style="medium">
        <color rgb="FF333399"/>
      </right>
      <top style="medium">
        <color rgb="FF003366"/>
      </top>
      <bottom style="medium">
        <color rgb="FF003366"/>
      </bottom>
    </border>
    <border>
      <left style="medium">
        <color rgb="FF333399"/>
      </left>
      <right style="medium">
        <color rgb="FF003366"/>
      </right>
      <top style="medium">
        <color rgb="FF003366"/>
      </top>
      <bottom style="medium">
        <color rgb="FF003366"/>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164" xfId="0" applyAlignment="1" applyFill="1" applyFont="1" applyNumberFormat="1">
      <alignment readingOrder="0"/>
    </xf>
    <xf borderId="1" fillId="2" fontId="1" numFmtId="0" xfId="0" applyAlignment="1" applyBorder="1" applyFont="1">
      <alignment readingOrder="0"/>
    </xf>
    <xf borderId="1" fillId="2" fontId="1" numFmtId="0" xfId="0" applyAlignment="1" applyBorder="1" applyFont="1">
      <alignment readingOrder="0" shrinkToFit="0" wrapText="1"/>
    </xf>
    <xf borderId="0" fillId="3" fontId="1" numFmtId="0" xfId="0" applyAlignment="1" applyFill="1" applyFont="1">
      <alignment readingOrder="0"/>
    </xf>
    <xf borderId="0" fillId="0" fontId="1" numFmtId="165"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1"/>
    </xf>
    <xf borderId="0" fillId="3" fontId="1" numFmtId="0" xfId="0" applyFont="1"/>
    <xf borderId="0" fillId="0" fontId="1" numFmtId="0" xfId="0" applyFont="1"/>
    <xf borderId="0" fillId="4" fontId="1" numFmtId="165" xfId="0" applyAlignment="1" applyFill="1" applyFont="1" applyNumberFormat="1">
      <alignment readingOrder="0"/>
    </xf>
    <xf borderId="0" fillId="4" fontId="1" numFmtId="0" xfId="0" applyAlignment="1" applyFont="1">
      <alignment readingOrder="0"/>
    </xf>
    <xf borderId="0" fillId="4" fontId="1" numFmtId="0" xfId="0" applyAlignment="1" applyFont="1">
      <alignment readingOrder="0" shrinkToFit="0" wrapText="1"/>
    </xf>
    <xf borderId="0" fillId="4" fontId="1" numFmtId="0" xfId="0" applyFont="1"/>
    <xf borderId="0" fillId="0" fontId="1" numFmtId="166"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left" readingOrder="0"/>
    </xf>
    <xf borderId="0" fillId="4" fontId="2" numFmtId="0" xfId="0" applyAlignment="1" applyFont="1">
      <alignment horizontal="left" readingOrder="0"/>
    </xf>
    <xf borderId="0" fillId="0" fontId="3" numFmtId="165" xfId="0" applyAlignment="1" applyFont="1" applyNumberFormat="1">
      <alignment horizontal="right" vertical="bottom"/>
    </xf>
    <xf borderId="0" fillId="0" fontId="3" numFmtId="0" xfId="0" applyAlignment="1" applyFont="1">
      <alignment readingOrder="0" vertical="bottom"/>
    </xf>
    <xf borderId="0" fillId="0" fontId="1" numFmtId="165" xfId="0" applyFont="1" applyNumberFormat="1"/>
    <xf borderId="0" fillId="5" fontId="1" numFmtId="0" xfId="0" applyFill="1" applyFont="1"/>
    <xf borderId="0" fillId="5" fontId="4" numFmtId="0" xfId="0" applyAlignment="1" applyFont="1">
      <alignment readingOrder="0"/>
    </xf>
    <xf borderId="2" fillId="4" fontId="5" numFmtId="0" xfId="0" applyAlignment="1" applyBorder="1" applyFont="1">
      <alignment horizontal="center" readingOrder="0" vertical="center"/>
    </xf>
    <xf borderId="3" fillId="0" fontId="6" numFmtId="0" xfId="0" applyBorder="1" applyFont="1"/>
    <xf borderId="4" fillId="0" fontId="6" numFmtId="0" xfId="0" applyBorder="1" applyFont="1"/>
    <xf borderId="0" fillId="5" fontId="7" numFmtId="0" xfId="0" applyFont="1"/>
    <xf borderId="5" fillId="0" fontId="8" numFmtId="164" xfId="0" applyAlignment="1" applyBorder="1" applyFont="1" applyNumberFormat="1">
      <alignment horizontal="center" readingOrder="0"/>
    </xf>
    <xf borderId="6" fillId="0" fontId="8" numFmtId="0" xfId="0" applyAlignment="1" applyBorder="1" applyFont="1">
      <alignment horizontal="center" readingOrder="0"/>
    </xf>
    <xf borderId="7" fillId="0" fontId="8" numFmtId="0" xfId="0" applyAlignment="1" applyBorder="1" applyFont="1">
      <alignment horizontal="center" readingOrder="0"/>
    </xf>
    <xf borderId="8" fillId="0" fontId="1" numFmtId="166" xfId="0" applyAlignment="1" applyBorder="1" applyFont="1" applyNumberFormat="1">
      <alignment readingOrder="0"/>
    </xf>
    <xf borderId="9" fillId="0" fontId="1" numFmtId="0" xfId="0" applyAlignment="1" applyBorder="1" applyFont="1">
      <alignment readingOrder="0"/>
    </xf>
    <xf borderId="10" fillId="0" fontId="1" numFmtId="0" xfId="0" applyAlignment="1" applyBorder="1" applyFont="1">
      <alignment readingOrder="0"/>
    </xf>
    <xf borderId="0" fillId="0" fontId="9" numFmtId="0" xfId="0" applyAlignment="1" applyFont="1">
      <alignment shrinkToFit="0" vertical="bottom" wrapText="0"/>
    </xf>
    <xf borderId="0" fillId="0" fontId="9" numFmtId="167" xfId="0" applyAlignment="1" applyFont="1" applyNumberFormat="1">
      <alignment shrinkToFit="0" vertical="bottom" wrapText="0"/>
    </xf>
    <xf borderId="0" fillId="0" fontId="10" numFmtId="0" xfId="0" applyAlignment="1" applyFont="1">
      <alignment horizontal="center" shrinkToFit="0" vertical="bottom" wrapText="0"/>
    </xf>
    <xf borderId="11" fillId="6" fontId="11" numFmtId="0" xfId="0" applyAlignment="1" applyBorder="1" applyFill="1" applyFont="1">
      <alignment shrinkToFit="0" vertical="center" wrapText="1"/>
    </xf>
    <xf borderId="11" fillId="6" fontId="12" numFmtId="0" xfId="0" applyAlignment="1" applyBorder="1" applyFont="1">
      <alignment horizontal="center" readingOrder="1" shrinkToFit="0" vertical="bottom" wrapText="1"/>
    </xf>
    <xf borderId="12" fillId="6" fontId="12" numFmtId="0" xfId="0" applyAlignment="1" applyBorder="1" applyFont="1">
      <alignment horizontal="center" readingOrder="1" shrinkToFit="0" vertical="bottom" wrapText="1"/>
    </xf>
    <xf borderId="13" fillId="6" fontId="12" numFmtId="0" xfId="0" applyAlignment="1" applyBorder="1" applyFont="1">
      <alignment horizontal="center" readingOrder="0" shrinkToFit="0" vertical="bottom" wrapText="1"/>
    </xf>
    <xf borderId="0" fillId="0" fontId="10" numFmtId="0" xfId="0" applyAlignment="1" applyFont="1">
      <alignment horizontal="center" shrinkToFit="0" vertical="bottom" wrapText="1"/>
    </xf>
    <xf borderId="13" fillId="6" fontId="13" numFmtId="0" xfId="0" applyAlignment="1" applyBorder="1" applyFont="1">
      <alignment horizontal="center" shrinkToFit="0" vertical="bottom" wrapText="1"/>
    </xf>
    <xf borderId="13" fillId="0" fontId="14" numFmtId="0" xfId="0" applyAlignment="1" applyBorder="1" applyFont="1">
      <alignment horizontal="left" readingOrder="1" shrinkToFit="0" vertical="center" wrapText="1"/>
    </xf>
    <xf borderId="13" fillId="0" fontId="12" numFmtId="0" xfId="0" applyAlignment="1" applyBorder="1" applyFont="1">
      <alignment horizontal="center" shrinkToFit="0" vertical="center" wrapText="1"/>
    </xf>
    <xf borderId="14" fillId="0" fontId="15" numFmtId="0" xfId="0" applyAlignment="1" applyBorder="1" applyFont="1">
      <alignment horizontal="center" readingOrder="1" shrinkToFit="0" vertical="center" wrapText="1"/>
    </xf>
    <xf borderId="13" fillId="0" fontId="16" numFmtId="0" xfId="0" applyAlignment="1" applyBorder="1" applyFont="1">
      <alignment horizontal="center" shrinkToFit="0" vertical="center" wrapText="1"/>
    </xf>
    <xf borderId="13" fillId="0" fontId="17" numFmtId="0" xfId="0" applyAlignment="1" applyBorder="1" applyFont="1">
      <alignment horizontal="left" readingOrder="1" shrinkToFit="0" vertical="center" wrapText="1"/>
    </xf>
    <xf borderId="13" fillId="0" fontId="18" numFmtId="0" xfId="0" applyAlignment="1" applyBorder="1" applyFont="1">
      <alignment horizontal="center" shrinkToFit="0" vertical="center" wrapText="1"/>
    </xf>
    <xf borderId="13" fillId="0" fontId="19" numFmtId="0" xfId="0" applyAlignment="1" applyBorder="1" applyFont="1">
      <alignment horizontal="center" readingOrder="1" shrinkToFit="0" vertical="center" wrapText="1"/>
    </xf>
    <xf borderId="13" fillId="0" fontId="20" numFmtId="0" xfId="0" applyAlignment="1" applyBorder="1" applyFont="1">
      <alignment horizontal="center" shrinkToFit="0" vertical="center" wrapText="1"/>
    </xf>
    <xf borderId="14" fillId="0" fontId="19" numFmtId="0" xfId="0" applyAlignment="1" applyBorder="1" applyFont="1">
      <alignment horizontal="center" readingOrder="1" shrinkToFit="0" vertical="center" wrapText="1"/>
    </xf>
    <xf borderId="0" fillId="0" fontId="21" numFmtId="0" xfId="0" applyAlignment="1" applyFont="1">
      <alignment horizontal="center" shrinkToFit="0" vertical="center" wrapText="0"/>
    </xf>
    <xf borderId="15" fillId="0" fontId="17" numFmtId="0" xfId="0" applyAlignment="1" applyBorder="1" applyFont="1">
      <alignment horizontal="left" readingOrder="1" shrinkToFit="0" vertical="center" wrapText="1"/>
    </xf>
    <xf borderId="15" fillId="0" fontId="19" numFmtId="0" xfId="0" applyAlignment="1" applyBorder="1" applyFont="1">
      <alignment horizontal="center" readingOrder="1" shrinkToFit="0" vertical="center" wrapText="1"/>
    </xf>
    <xf borderId="15" fillId="0" fontId="18" numFmtId="0" xfId="0" applyAlignment="1" applyBorder="1" applyFont="1">
      <alignment horizontal="center" shrinkToFit="0" vertical="center" wrapText="1"/>
    </xf>
    <xf borderId="16" fillId="0" fontId="19" numFmtId="0" xfId="0" applyAlignment="1" applyBorder="1" applyFont="1">
      <alignment horizontal="center" readingOrder="1" shrinkToFit="0" vertical="center" wrapText="1"/>
    </xf>
    <xf borderId="17" fillId="0" fontId="22" numFmtId="0" xfId="0" applyAlignment="1" applyBorder="1" applyFont="1">
      <alignment horizontal="left" readingOrder="1" shrinkToFit="0" vertical="center" wrapText="1"/>
    </xf>
    <xf borderId="17" fillId="0" fontId="6" numFmtId="0" xfId="0" applyBorder="1" applyFont="1"/>
    <xf borderId="18" fillId="0" fontId="6" numFmtId="0" xfId="0" applyBorder="1" applyFont="1"/>
    <xf borderId="19" fillId="0" fontId="22" numFmtId="0" xfId="0" applyAlignment="1" applyBorder="1" applyFont="1">
      <alignment horizontal="left" readingOrder="1" shrinkToFit="0" vertical="center" wrapText="1"/>
    </xf>
    <xf borderId="19" fillId="0" fontId="6" numFmtId="0" xfId="0" applyBorder="1" applyFont="1"/>
    <xf borderId="20" fillId="0" fontId="6" numFmtId="0" xfId="0" applyBorder="1" applyFont="1"/>
    <xf borderId="13" fillId="2" fontId="16" numFmtId="0" xfId="0" applyAlignment="1" applyBorder="1" applyFont="1">
      <alignment horizontal="center" shrinkToFit="0" vertical="center" wrapText="1"/>
    </xf>
    <xf borderId="13" fillId="0" fontId="23" numFmtId="0" xfId="0" applyAlignment="1" applyBorder="1" applyFont="1">
      <alignment horizontal="center" shrinkToFit="0" vertical="center" wrapText="1"/>
    </xf>
    <xf borderId="13" fillId="0" fontId="12" numFmtId="0" xfId="0" applyAlignment="1" applyBorder="1" applyFont="1">
      <alignment horizontal="center" shrinkToFit="0" vertical="bottom" wrapText="1"/>
    </xf>
    <xf borderId="13" fillId="6" fontId="12" numFmtId="0" xfId="0" applyAlignment="1" applyBorder="1" applyFont="1">
      <alignment horizontal="center" shrinkToFit="0" vertical="bottom" wrapText="1"/>
    </xf>
    <xf borderId="13" fillId="0" fontId="13" numFmtId="0" xfId="0" applyAlignment="1" applyBorder="1" applyFont="1">
      <alignment horizontal="center" shrinkToFit="0" vertical="center" wrapText="1"/>
    </xf>
    <xf borderId="13" fillId="0" fontId="15" numFmtId="0" xfId="0" applyAlignment="1" applyBorder="1" applyFont="1">
      <alignment horizontal="center" readingOrder="1" shrinkToFit="0" vertical="center" wrapText="1"/>
    </xf>
    <xf borderId="0" fillId="0" fontId="21" numFmtId="0" xfId="0" applyAlignment="1" applyFont="1">
      <alignment shrinkToFit="0" vertical="bottom" wrapText="0"/>
    </xf>
    <xf borderId="0" fillId="0" fontId="24" numFmtId="0" xfId="0" applyAlignment="1" applyFont="1">
      <alignment horizontal="center" shrinkToFit="0" vertical="center" wrapText="0"/>
    </xf>
    <xf borderId="11" fillId="6" fontId="11" numFmtId="0" xfId="0" applyAlignment="1" applyBorder="1" applyFont="1">
      <alignment horizontal="left" shrinkToFit="0" vertical="center" wrapText="1"/>
    </xf>
    <xf borderId="13" fillId="0" fontId="25" numFmtId="0" xfId="0" applyAlignment="1" applyBorder="1" applyFont="1">
      <alignment horizontal="center" shrinkToFit="0" vertical="center" wrapText="1"/>
    </xf>
    <xf borderId="15" fillId="0" fontId="12" numFmtId="0" xfId="0" applyAlignment="1" applyBorder="1" applyFont="1">
      <alignment horizontal="center" readingOrder="1" shrinkToFit="0" vertical="center" wrapText="1"/>
    </xf>
    <xf borderId="13" fillId="0" fontId="12" numFmtId="0" xfId="0" applyAlignment="1" applyBorder="1" applyFont="1">
      <alignment horizontal="center" readingOrder="1" shrinkToFit="0" vertical="center" wrapText="1"/>
    </xf>
    <xf borderId="13" fillId="0" fontId="17" numFmtId="0" xfId="0" applyAlignment="1" applyBorder="1" applyFont="1">
      <alignment horizontal="left" readingOrder="1" shrinkToFit="0" vertical="bottom" wrapText="1"/>
    </xf>
    <xf borderId="13" fillId="0" fontId="14" numFmtId="0" xfId="0" applyAlignment="1" applyBorder="1" applyFont="1">
      <alignment horizontal="left" readingOrder="1" shrinkToFit="0" vertical="bottom" wrapText="1"/>
    </xf>
    <xf borderId="15" fillId="0" fontId="17" numFmtId="0" xfId="0" applyAlignment="1" applyBorder="1" applyFont="1">
      <alignment horizontal="left" readingOrder="1" shrinkToFit="0" vertical="bottom" wrapText="1"/>
    </xf>
    <xf borderId="15" fillId="0" fontId="17" numFmtId="0" xfId="0" applyAlignment="1" applyBorder="1" applyFont="1">
      <alignment horizontal="right" readingOrder="1" shrinkToFit="0" vertical="bottom" wrapText="1"/>
    </xf>
    <xf borderId="15" fillId="0" fontId="17" numFmtId="0" xfId="0" applyAlignment="1" applyBorder="1" applyFont="1">
      <alignment horizontal="center" readingOrder="1" shrinkToFit="0" vertical="center" wrapText="1"/>
    </xf>
    <xf borderId="15" fillId="0" fontId="14" numFmtId="0" xfId="0" applyAlignment="1" applyBorder="1" applyFont="1">
      <alignment horizontal="right" readingOrder="1" shrinkToFit="0" vertical="bottom" wrapText="1"/>
    </xf>
    <xf borderId="15" fillId="0" fontId="14" numFmtId="0" xfId="0" applyAlignment="1" applyBorder="1" applyFont="1">
      <alignment horizontal="center" readingOrder="1" shrinkToFit="0" vertical="center" wrapText="1"/>
    </xf>
    <xf borderId="0" fillId="0" fontId="14" numFmtId="0" xfId="0" applyAlignment="1" applyFont="1">
      <alignment horizontal="left" readingOrder="1" shrinkToFit="0" vertical="bottom" wrapText="1"/>
    </xf>
    <xf borderId="0" fillId="0" fontId="12" numFmtId="0" xfId="0" applyAlignment="1" applyFont="1">
      <alignment horizontal="center" shrinkToFit="0" vertical="bottom" wrapText="1"/>
    </xf>
    <xf borderId="0" fillId="0" fontId="15" numFmtId="0" xfId="0" applyAlignment="1" applyFont="1">
      <alignment horizontal="center" readingOrder="1" shrinkToFit="0" vertical="bottom" wrapText="1"/>
    </xf>
    <xf borderId="15" fillId="0" fontId="14" numFmtId="0" xfId="0" applyAlignment="1" applyBorder="1" applyFont="1">
      <alignment horizontal="left" readingOrder="1" shrinkToFit="0" vertical="center" wrapText="1"/>
    </xf>
    <xf borderId="15" fillId="0" fontId="15" numFmtId="0" xfId="0" applyAlignment="1" applyBorder="1" applyFont="1">
      <alignment horizontal="center" readingOrder="1" shrinkToFit="0" vertical="center" wrapText="1"/>
    </xf>
    <xf borderId="15" fillId="0" fontId="12" numFmtId="0" xfId="0" applyAlignment="1" applyBorder="1" applyFont="1">
      <alignment horizontal="center" shrinkToFit="0" vertical="center" wrapText="1"/>
    </xf>
    <xf borderId="19" fillId="0" fontId="14" numFmtId="0" xfId="0" applyAlignment="1" applyBorder="1" applyFont="1">
      <alignment horizontal="left" readingOrder="1" shrinkToFit="0" vertical="center" wrapText="1"/>
    </xf>
    <xf borderId="13" fillId="0" fontId="17" numFmtId="0" xfId="0" applyAlignment="1" applyBorder="1" applyFont="1">
      <alignment horizontal="left" readingOrder="1" shrinkToFit="0" vertical="center" wrapText="1"/>
    </xf>
    <xf borderId="15" fillId="0" fontId="14" numFmtId="0" xfId="0" applyAlignment="1" applyBorder="1" applyFont="1">
      <alignment horizontal="left" readingOrder="1" shrinkToFit="0" vertical="bottom" wrapText="1"/>
    </xf>
    <xf borderId="0" fillId="0" fontId="24" numFmtId="0" xfId="0" applyAlignment="1" applyFont="1">
      <alignment shrinkToFit="0" vertical="bottom" wrapText="0"/>
    </xf>
    <xf borderId="13" fillId="2" fontId="25" numFmtId="0" xfId="0" applyAlignment="1" applyBorder="1" applyFont="1">
      <alignment horizontal="center" shrinkToFit="0" vertical="center" wrapText="1"/>
    </xf>
    <xf borderId="15" fillId="0" fontId="15" numFmtId="0" xfId="0" applyAlignment="1" applyBorder="1" applyFont="1">
      <alignment horizontal="center" readingOrder="1" shrinkToFit="0" vertical="bottom" wrapText="1"/>
    </xf>
    <xf borderId="13" fillId="0" fontId="14" numFmtId="0" xfId="0" applyAlignment="1" applyBorder="1" applyFont="1">
      <alignment horizontal="left" readingOrder="1" shrinkToFit="0" vertical="center" wrapText="1"/>
    </xf>
    <xf borderId="15" fillId="0" fontId="14" numFmtId="0" xfId="0" applyAlignment="1" applyBorder="1" applyFont="1">
      <alignment horizontal="left" readingOrder="1" shrinkToFit="0" vertical="center" wrapText="1"/>
    </xf>
    <xf borderId="15" fillId="0" fontId="15" numFmtId="0" xfId="0" applyAlignment="1" applyBorder="1" applyFont="1">
      <alignment horizontal="center" readingOrder="1" shrinkToFit="0" vertical="center" wrapText="0"/>
    </xf>
    <xf borderId="19" fillId="0" fontId="15" numFmtId="0" xfId="0" applyAlignment="1" applyBorder="1" applyFont="1">
      <alignment horizontal="center" readingOrder="1" shrinkToFit="0" vertical="center" wrapText="1"/>
    </xf>
    <xf borderId="16" fillId="0" fontId="14" numFmtId="0" xfId="0" applyAlignment="1" applyBorder="1" applyFont="1">
      <alignment horizontal="right" readingOrder="1" shrinkToFit="0" vertical="center" wrapText="1"/>
    </xf>
    <xf borderId="21" fillId="0" fontId="24" numFmtId="0" xfId="0" applyAlignment="1" applyBorder="1" applyFont="1">
      <alignment shrinkToFit="0" vertical="bottom" wrapText="0"/>
    </xf>
    <xf borderId="22" fillId="0" fontId="15" numFmtId="0" xfId="0" applyAlignment="1" applyBorder="1" applyFont="1">
      <alignment horizontal="center" readingOrder="1" shrinkToFit="0" vertical="center" wrapText="1"/>
    </xf>
    <xf borderId="15" fillId="0" fontId="14" numFmtId="0" xfId="0" applyAlignment="1" applyBorder="1" applyFont="1">
      <alignment horizontal="right" readingOrder="1" shrinkToFit="0" vertical="center" wrapText="1"/>
    </xf>
    <xf borderId="19" fillId="0" fontId="15" numFmtId="0" xfId="0" applyAlignment="1" applyBorder="1" applyFont="1">
      <alignment horizontal="center" readingOrder="1" shrinkToFit="0" vertical="center" wrapText="0"/>
    </xf>
    <xf borderId="13" fillId="0" fontId="14" numFmtId="0" xfId="0" applyAlignment="1" applyBorder="1" applyFont="1">
      <alignment horizontal="right" readingOrder="1" shrinkToFit="0" vertical="center" wrapText="1"/>
    </xf>
    <xf borderId="13" fillId="0" fontId="26" numFmtId="0" xfId="0" applyAlignment="1" applyBorder="1" applyFont="1">
      <alignment horizontal="right" readingOrder="1" shrinkToFit="0" vertical="center" wrapText="1"/>
    </xf>
    <xf borderId="13" fillId="0" fontId="27" numFmtId="0" xfId="0" applyAlignment="1" applyBorder="1" applyFont="1">
      <alignment horizontal="right" readingOrder="1" shrinkToFit="0" vertical="center" wrapText="1"/>
    </xf>
    <xf borderId="19" fillId="0" fontId="17" numFmtId="0" xfId="0" applyAlignment="1" applyBorder="1" applyFont="1">
      <alignment horizontal="center" readingOrder="1" shrinkToFit="0" vertical="center" wrapText="1"/>
    </xf>
    <xf borderId="13" fillId="0" fontId="17" numFmtId="0" xfId="0" applyAlignment="1" applyBorder="1" applyFont="1">
      <alignment horizontal="right" shrinkToFit="0" vertical="center" wrapText="1"/>
    </xf>
    <xf borderId="19" fillId="0" fontId="14" numFmtId="0" xfId="0" applyAlignment="1" applyBorder="1" applyFont="1">
      <alignment horizontal="center" readingOrder="1" shrinkToFit="0" vertical="center" wrapText="1"/>
    </xf>
    <xf borderId="23" fillId="0" fontId="24" numFmtId="0" xfId="0" applyAlignment="1" applyBorder="1" applyFont="1">
      <alignment shrinkToFit="0" vertical="bottom" wrapText="0"/>
    </xf>
    <xf borderId="22" fillId="0" fontId="23" numFmtId="0" xfId="0" applyAlignment="1" applyBorder="1" applyFont="1">
      <alignment horizontal="center" shrinkToFit="0" vertical="center" wrapText="1"/>
    </xf>
    <xf borderId="19" fillId="0" fontId="14" numFmtId="0" xfId="0" applyAlignment="1" applyBorder="1" applyFont="1">
      <alignment horizontal="left" readingOrder="1" shrinkToFit="0" vertical="center" wrapText="1"/>
    </xf>
    <xf borderId="19" fillId="0" fontId="12" numFmtId="0" xfId="0" applyAlignment="1" applyBorder="1" applyFont="1">
      <alignment horizontal="center" shrinkToFit="0" vertical="center" wrapText="1"/>
    </xf>
    <xf borderId="13" fillId="7" fontId="15" numFmtId="0" xfId="0" applyAlignment="1" applyBorder="1" applyFill="1" applyFont="1">
      <alignment horizontal="center" readingOrder="1" shrinkToFit="0" vertical="center" wrapText="1"/>
    </xf>
    <xf borderId="19" fillId="0" fontId="23" numFmtId="0" xfId="0" applyAlignment="1" applyBorder="1" applyFont="1">
      <alignment horizontal="center" readingOrder="1" shrinkToFit="0" vertical="center" wrapText="1"/>
    </xf>
    <xf borderId="19" fillId="0" fontId="17" numFmtId="0" xfId="0" applyAlignment="1" applyBorder="1" applyFont="1">
      <alignment horizontal="left" readingOrder="1" shrinkToFit="0" vertical="center" wrapText="1"/>
    </xf>
    <xf borderId="19" fillId="0" fontId="18" numFmtId="0" xfId="0" applyAlignment="1" applyBorder="1" applyFont="1">
      <alignment horizontal="center" shrinkToFit="0" vertical="center" wrapText="1"/>
    </xf>
    <xf borderId="19" fillId="0" fontId="14" numFmtId="0" xfId="0" applyAlignment="1" applyBorder="1" applyFont="1">
      <alignment horizontal="right" readingOrder="1" shrinkToFit="0" vertical="center" wrapText="1"/>
    </xf>
    <xf borderId="0" fillId="0" fontId="14" numFmtId="0" xfId="0" applyAlignment="1" applyFont="1">
      <alignment horizontal="left" readingOrder="1" shrinkToFit="0" vertical="center" wrapText="1"/>
    </xf>
    <xf borderId="0" fillId="0" fontId="14" numFmtId="0" xfId="0" applyAlignment="1" applyFont="1">
      <alignment horizontal="center" readingOrder="1" shrinkToFit="0" vertical="bottom" wrapText="1"/>
    </xf>
    <xf borderId="24" fillId="6" fontId="11" numFmtId="0" xfId="0" applyAlignment="1" applyBorder="1" applyFont="1">
      <alignment shrinkToFit="0" vertical="center" wrapText="1"/>
    </xf>
    <xf borderId="25" fillId="6" fontId="12" numFmtId="0" xfId="0" applyAlignment="1" applyBorder="1" applyFont="1">
      <alignment horizontal="center" readingOrder="1" shrinkToFit="0" vertical="bottom" wrapText="1"/>
    </xf>
    <xf borderId="26" fillId="6" fontId="12" numFmtId="0" xfId="0" applyAlignment="1" applyBorder="1" applyFont="1">
      <alignment horizontal="center" readingOrder="1" shrinkToFit="0" vertical="bottom" wrapText="1"/>
    </xf>
    <xf borderId="19" fillId="0" fontId="17" numFmtId="0" xfId="0" applyAlignment="1" applyBorder="1" applyFont="1">
      <alignment horizontal="right" readingOrder="1" shrinkToFit="0" vertical="center" wrapText="1"/>
    </xf>
    <xf borderId="0" fillId="0" fontId="12" numFmtId="0" xfId="0" applyAlignment="1" applyFont="1">
      <alignment horizontal="center" shrinkToFit="0" vertical="center" wrapText="1"/>
    </xf>
    <xf borderId="0" fillId="0" fontId="15" numFmtId="0" xfId="0" applyAlignment="1" applyFont="1">
      <alignment horizontal="center" readingOrder="1" shrinkToFit="0" vertical="center" wrapText="1"/>
    </xf>
    <xf borderId="15" fillId="0" fontId="17" numFmtId="0" xfId="0" applyAlignment="1" applyBorder="1" applyFont="1">
      <alignment horizontal="left" readingOrder="1" shrinkToFit="0" vertical="center" wrapText="1"/>
    </xf>
    <xf borderId="13" fillId="0" fontId="24" numFmtId="0" xfId="0" applyAlignment="1" applyBorder="1" applyFont="1">
      <alignment shrinkToFit="0" vertical="bottom" wrapText="0"/>
    </xf>
    <xf borderId="13" fillId="0" fontId="21"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atos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994" sheet="DECLARACIONES SALUD"/>
  </cacheSource>
  <cacheFields>
    <cacheField name="Fecha" numFmtId="165">
      <sharedItems containsDate="1" containsString="0" containsBlank="1">
        <d v="2024-02-01T00:00:00Z"/>
        <d v="2024-02-03T00:00:00Z"/>
        <d v="2024-02-02T00:00:00Z"/>
        <d v="2024-03-01T00:00:00Z"/>
        <d v="2024-04-01T00:00:00Z"/>
        <d v="2024-04-02T00:00:00Z"/>
        <d v="2024-04-03T00:00:00Z"/>
        <d v="2024-04-04T00:00:00Z"/>
        <d v="2024-05-01T00:00:00Z"/>
        <d v="2024-06-01T00:00:00Z"/>
        <d v="2024-07-01T00:00:00Z"/>
        <d v="2024-09-01T00:00:00Z"/>
        <d v="2024-10-01T00:00:00Z"/>
        <d v="2024-11-01T00:00:00Z"/>
        <d v="2024-12-01T00:00:00Z"/>
        <d v="2025-01-01T00:00:00Z"/>
        <d v="2025-02-01T00:00:00Z"/>
        <d v="2025-03-01T00:00:00Z"/>
        <d v="2025-04-01T00:00:00Z"/>
        <d v="2025-05-01T00:00:00Z"/>
        <d v="2025-06-01T00:00:00Z"/>
        <d v="2025-06-02T00:00:00Z"/>
        <d v="2025-06-03T00:00:00Z"/>
        <d v="2025-07-01T00:00:00Z"/>
        <d v="2025-08-01T00:00:00Z"/>
        <d v="2025-09-01T00:00:00Z"/>
        <d v="2025-10-01T00:00:00Z"/>
        <d v="2025-11-01T00:00:00Z"/>
        <d v="2025-12-01T00:00:00Z"/>
        <d v="2026-01-01T00:00:00Z"/>
        <m/>
      </sharedItems>
    </cacheField>
    <cacheField name="Agente" numFmtId="0">
      <sharedItems containsBlank="1">
        <s v="Bianca"/>
        <s v="Lorena"/>
        <s v="Belén"/>
        <s v="Pilar"/>
        <s v="Héctor"/>
        <s v="Yésica"/>
        <s v="MJ"/>
        <s v="Alberto"/>
        <s v="Jenifer"/>
        <s v="Rubén"/>
        <s v="Analía"/>
        <s v="Dani"/>
        <s v="Yaiza"/>
        <s v="Sandra"/>
        <s v="Carlos"/>
        <s v="Sergio"/>
        <s v="Vanesa"/>
        <s v="María"/>
        <s v="Lucía"/>
        <s v="Ana"/>
        <m/>
      </sharedItems>
    </cacheField>
    <cacheField name="Patología" numFmtId="0">
      <sharedItems containsBlank="1">
        <s v="Glomerulo esclerosis renal con HTA y proteinuria Hace 1 año"/>
        <s v="Sertralina antidepresivo + secuelas de hernia discal"/>
        <s v="Autismo, Síndrome de Asperger"/>
        <s v="Artritis Reumatoide"/>
        <s v="Stent. Endoprótesis vasculares (endoprotesis, stem, sten, marcapasos, stent, estent, esten, wallstent) "/>
        <s v="Altura 170 cm, Peso 93 Kg, Resultado Índice de masa corporal (IMC) = 32,2"/>
        <s v="Diabetes tipo 1 (se pincha insulina, diabético, diabética, diabete)"/>
        <s v="SENIORS. Diabetes Tipo 1 (se pincha insulina, diabético, diabética, diabete)"/>
        <s v="Parkinson"/>
        <s v="SENIORS. Diabetes Tipo 2 (tratamiento con pastillas)"/>
        <s v="Hiperuricemia (gota), anemia ferropénica. deficit B12, diabetes,..."/>
        <s v="Hígado grasiento diagnosticado hace más de 20 años (higado, hígado graso)"/>
        <s v="Operación de femur hace más de 40 años (fémur) (pierna, rodilla, cadera)."/>
        <s v="Desprendimiento de retina."/>
        <s v="Altura 165 cm, Peso 100 Kg. Resultado Índice de masa corporal (IMC) = 36,7"/>
        <s v="3 hernias discales 2017 sin operar. No aporta informe actualizado."/>
        <s v="Migrañas, tratamiento con bótox (botox, dolor de cabeza)"/>
        <s v="Hernia de hiato intervenida."/>
        <s v="SENIORS Próstata operada hace 15 años (no es tumor, no cáncer). Cataratas operadas hace 2 años. (prostata)"/>
        <s v="Hipotiroidismo, tiroides, hipertiroidismo, hipotiroides, hipertiroides, sin operar toma pastillas Eutirox"/>
        <s v="Le han quitado miomas, (mioma)"/>
        <s v="Hace 10 años corte de ligamentos y menisco de la rodilla izquierda, ingresada y operada, sin secuelas en la actualidad, lleva una grapa."/>
        <s v="Prótesis en las dos rodillas hace 12 años"/>
        <s v="La causa de rechazo es IMC de la asegurada Rocío Hidalgo. Edad 13 años, estatura 159,5 y peso 86,5. Obesidad. IMC = 34"/>
        <s v="SENIOR operada en los dos ojos de miopia"/>
        <s v="SENIOR diabético tipo 2, toma 2 pastillas distintas por la diabetes, "/>
        <s v="SENIOR hipertensión"/>
        <s v="Operada de tiroides, toma Eutirox. Debe aportar informe médico, si no puede conseguirlo hay que hacerle una carta jurada para que declare la enfermedad que tiene y que confirme que acepta la máxima exclusíon posible. Si en un futuro aporta informe se pued"/>
        <s v="SENIORS 80 años de edad que hace 12 años le pusieron un STENT. Pesa 68kg y mide 167cm. No tiene ningún tipo de recaída y secuela durante todos estos años.&#10;"/>
        <s v="SENIORS diabetes tipo 2 + hipertensión + operación de cadera menos de 1 año"/>
        <s v="Extirpación de vesícula, le quitaron la vesícula"/>
        <s v="Tea leve, sin mediación, autismo, recién diagnosticado, sin tratamiento."/>
        <s v="Lleva una placa con tornillos en el radio hace 25 años"/>
        <s v="Meningioma pequeño"/>
        <s v="Reducción de estómago en el 2018, hace 6 años."/>
        <s v="Tiene un lado de cadera operada y el otro sin operar"/>
        <s v="Operación de cataratas en los dos ojos"/>
        <s v="Operación apendicitis de niño"/>
        <s v="Vasectomia para operar en seguridad social"/>
        <s v="Asma y Fuma medio paquete al día"/>
        <s v="SENIORS tensión alta, azúcar y una hernia inguinal que se la han quitado hace años"/>
        <s v="Hiperuricemia"/>
        <s v="SENIORS Cirugía mayor reciente sea cual sea la edad y el estado del paciente"/>
        <s v="Cirugía mayor reciente sea cual sea la edad y el estado del paciente"/>
        <s v="Artrosis"/>
        <s v="SENIORS Operación de uretra"/>
        <s v="SENIORS Prostatitis en tratamiento."/>
        <s v="SENIORS Próstata operada no indica fecha de la operación"/>
        <s v="Diabetes tipo 2 (no insulinodependiente), EPOC, Hipertensión (HTA) e Obesidad (IMC ≥ 16,5 y ≤ 40). "/>
        <s v="SENIORS EPOC LEVE, estadio 1, GRADO 1 (enfermedad pulmonar obstructiva crónica)"/>
        <s v="SENIORS Hipertensión (HTA)"/>
        <s v="SENIORS Obesidad (IMC ≥ 16,5 y ≤ 40)."/>
        <s v="Enfermedades graves en tratamiento"/>
        <s v="Enfermedades del riñón, como insuficiencia renal..."/>
        <s v="Enfermedades cardiovasculares, como por ejemplo, infarto, angina de pecho..."/>
        <s v="Enfermedades psiquiátricas, como depresión, trastornos bipolares, esquizofrenia, trastornos alimentarios..."/>
        <s v="Enfermedades del sistema nervioso, como esclerosis múltiple, ictus, párkinson..."/>
        <s v="Enfermedades reumatológicas, como artritis, lupus, fibromialgia..."/>
        <s v="Enfermedades del aparato digestivo, como cirrosis, colitis ulcerosa, Crohn..."/>
        <s v="Trasplantes"/>
        <s v="Enfermedades del sistema respiratorio, como apneas del sueño..."/>
        <s v="Diabetes tipo 1 / insulinodependiente"/>
        <s v="Cáncer hace menos de 5 años del tratamiento y sin recaída posterior (valoración conforme a la Ley del Olvido Oncológico)"/>
        <s v="SENIORS Hace 3 años le quitaron la próstata por error médico y tiene Flebitis que es inflamación de las venas sobre todo la orta que pasa por la ingle"/>
        <s v="FRACTURA HUMERO IZDO INTERVENIDA"/>
        <s v="Toma medicación para la tensión"/>
        <s v="Toma antidepresivo, para ansiedad, estés, medicación: Escitalopram."/>
        <s v="37% INVALIDEZ POR TRASPLANTE HÍGADO AÑO 2015, ADJUNTO INFORME ALTA MÉDICA AÑO 2015. TOMA CERCET ADVAGRAF INMUNOSUPRESORES TRAS LA OPERACIÓN."/>
        <s v="Operado de las lumbares para quitar una hernia de lumbar hace 7 años"/>
        <s v="Operación hernia discal hace 30 años sin secuelas ni tratamiento ni mediación, tiene 33% de invalidez."/>
        <s v="SENIORS Altura 182 cm Peso 129 kg, IMC 39. Fuma medio paquete al día."/>
        <s v="30 años. Hernia Lumbar L4 y L5 va a ser operado en breve por la seguridad social"/>
        <s v="25 años. hace 3 años se rompió el cubito del brazo izquierdo y lleva una placa con tornillos y se la van a retirar en breve por la seguridad social."/>
        <s v="Operación hace 1 año le sacaraon líquido del ojo y además tenía tiroides y tratamiento para la tensión."/>
        <s v="70 año le extirparon hace 40 años la tiroides"/>
        <s v="La próstata se le ha hecho muy grande, toma medicación"/>
        <s v="Accidente de moto hace 20 años, fractura vertebras y lleva placas."/>
        <s v="Desde el COVID lleva audífonos Sorda, sordera, audífono."/>
        <s v="Hernia inguinal hace 12 años"/>
        <s v="VIH. Tiene el sida desde los 18 tiene 52. Únicamente toma medicación (retrovirales)."/>
        <s v="SENIORS póliza 3.000€ los dos tenían colesterol y tensión. Operación en ambas manos por tendinitis 36% discapacidad."/>
        <s v="SENIORS Artrosis en las dos rodillas, aporta informe."/>
        <s v="Operación menisco hace 5 años y el otro hace 2 años."/>
        <s v="Antidepresivos."/>
        <s v="Cirrosis Biliar "/>
        <s v="Adiro, medicamento antiagregante, acido acetilsalicilico, adiro"/>
        <s v="Tornillo en la rodilla derecha para centrar el desvió de la rotula, hace 45 años."/>
        <s v="Osteoporosis, osteporosis."/>
        <s v="Operación suelo pélvico hace menos de 1 año."/>
        <s v="Uveitis anteior recidivante HLA-B51+ desde enero 2015, tratamiento con metotraxate retirado en 2020. Además intervención de cataratas y sinequiolisis, tratamiento con adalimumab en julio 2024."/>
        <s v="SENIORS Extirpación de vesícula y apéndice"/>
        <s v="SENIORS Hipertensión alta, medicación Atenolol 50mg"/>
        <s v="SENIORS operación de cataratas hace 1 año."/>
        <s v="SENIORS OPERADO DE CATARATAS HACE 7 Y 10 AÑOS SIN SECUELAS EN PERFECTO ESTADO"/>
        <s v="De baja desde hace 1 mes por una queratitis que le impide realizar su trabajo correctamente, se echa unas gotitas en el ojo, le darán el alta en los próximos días, perfecto estado de salud."/>
        <s v="Niña celiaca de 10 años de edad (con altura y peso normal)."/>
        <s v="SENIORS. Esguince de tercer grado, el ligamento roto por todas partes. Persona de 55 años altura 160 cm peso 54kg."/>
        <s v="SENIORS. Operación de cervicales con placa de titanio hace más de xx años."/>
        <s v="SENIORS. Asmatica que le inyectan una vez al mes Nucala y ventolín."/>
        <s v="Apnea del sueño, CPAP (Presión Positiva Continua en la Vía Aérea)"/>
        <s v="SENIORS Pastillas para el colesterol y vitamina d por prevención para los huesos. Toma Simvastatina 10 mg para el colesterol."/>
        <s v="Celiaco. Para valorar la enfermedad celíaca, CONFIRMANDO que el resto de respuestas son negativas, y que los parámetros de peso y talla están dentro de la normalidad, se aceptaría con EXCLUSIÓN."/>
        <s v="Síndrome de Down, NECESARIO INFORME PARA VALORAR."/>
        <s v="SENIORS. ARTRODESIS TOBILLO CURADA Y SIN NINGUN TIPO DE SECUELA NI TRATAMIENTO. ¡¡NECESARIO INFORME PARA PODER VALORAR!!"/>
        <s v="Prótesis en las dos caderas año 2011. Cadera intervenida."/>
        <s v="Úlcera corneal, queratitis, herida abierta en la córnea."/>
        <s v="SENIORS Operado de menisco hace 5 años sin secuelas, sin tratamiento, sin recaída"/>
        <s v="SENIORS. 1 pastilla por la mañana enalapril y otra por la noche de atenolol. Operación hace más de 15 años de un quiste en la nuez y una fistula hace 20 años. Operacion de cataratas hace más de 4 años en sanitas."/>
        <s v="SENIORS con reducción de estómago y con altura de 167 y 105 kilos (IMC 37.6)"/>
        <s v="Pastillas para el colesterol y tensión por prevención. 69 años viene de otra compañía."/>
        <s v="SENIORS TOTAL, firma digital, el cielnte puso en la declaración textualmente &quot;traumatología codo derecho hace 5 años sin secuelas&quot;"/>
        <s v="le falta hierro, principio de osteopenia"/>
        <s v="Tenosinovitis de De Quervain, tendinitis de quervain, "/>
        <s v="Leucemia desde 2021"/>
        <s v="TENSION Y DIABETES TIPO 2 Y 2022 OPERADO VESICULA BILIAR"/>
        <s v="HEPATITIS C"/>
        <s v="hiperplasia benigna de próstata"/>
        <s v="Estenosis de la válvula aórtica. Paciente 78 años que tiene un estrechamiento de la vena aortica y le tienen que intervenir."/>
        <s v="Un quiste, o masa, renal es una bolsa de líquido que se forma sobre o dentro del riñón"/>
        <s v="operación de próstata con LASER DE HOLEP"/>
        <s v="Una colecistectomía es una cirugía que se utiliza para extirpar la vesícula."/>
        <s v="Poliquistosis renal."/>
        <s v="Operado de HOMBRO MANGUITO ROTADOR HACE 4 AÑOS intervenido CON ADESLAS"/>
        <s v="ENERO 2023 OPERACIÓN DE PRÓSTATA, LE QUITARON PARTE DE LA PRÓSTATA, DESDE ENTONCES SIN MEDICACIÓN, SIN TRATAMIENTO Y SIN RECAÍDA. "/>
        <s v="Se le reconoció un 35% de discapacidad por la operación de la rodilla hace 19 años."/>
        <s v="Extracción de una piedra en la vesícula (cálculos biliares) de manera no intrusiva mediante colonoscopia, hace 2 años. Sin complicaciones, tratamientos posteriores  ni secuelas."/>
        <s v="Operación de la rodilla derecha hace 19 años debido a una caída para la introducción de una prótesis, dicha operación no ha generado complicaciones, tratamientos posteriores y actualmente no tiene secuelas, debido a esta operación se me reconoció un 35% d"/>
        <s v="Pastillas para la tension alta indapamida, amblodipino&#10;operada vesicula biliar en el año 2000"/>
        <s v="SENIORS Extracción de una piedra en la vesícula (cálculos biliares) de manera no intrusiva mediante colonoscopia, hace 2 años. MUY GORDA IMC 36."/>
        <s v="SENIORS. OPERACION DE VESÍCULA EN SEPTIEMBRE DEL 2023, SIN SECUELAS, SIN RECAÍDA Y SIN TRATAMIENTO POSTERIOR."/>
        <s v="ARTROSIS HACE 17 AÑOS INFORME EXCLUSIÓN.&#10;INVALIDEZ DE 33% TOTAL PERMANENTE CONTRIBUTIVA"/>
        <s v="Prótesis de cadera izquierda en el año 2022. Aporta informe."/>
        <s v="síndrome de Sjögren"/>
        <s v="apendicitis año 1977. 2023 extirpar ovarios y trompas por un quiste y por prevencion"/>
        <s v="SENIORS, un oído perfecto, el otro con el 65% de périda de audición, operado a los 4 años y desde entonces le pusieron un audífono. Desde entonces realiza controles con otorrino."/>
        <s v="Fibrosis retroperitoneal, diagnosticado hace 15 AÑOS, sin consecuencias, tratamiento: toma corticoides de 2,5 y anticoagulante savelto"/>
        <s v="EPOC leve 80% y diabetes tipo 2. Para poder valorar es necesario que aporte informe del EPOC."/>
        <s v="160, 85 KG, IMC 32,2 OBESIDAD."/>
        <s v="OPERADA DE LA ESPALDA EN 2023. APORTA INFORME DE LA OPERACIÓN. "/>
        <s v="Tiene artrosis leve, toma una pastilla al día de Condrosan de 400mg. Y se hace infiltraciones 1 vez al año en la rodilla y cadera."/>
        <s v="Apnea del sueño. Lleva mascarilla por las noches porque ronca, únicamente para respirar mejor, no tiene nada más, lo hizo principalmente por que su mujer no podía dormir, pero no tiene patologías añadidas ni nada más-&#10;"/>
        <s v="operación vesícula biliar en póliza plena&#10;"/>
        <s v="Discapacidad reconocida del 81% por miopía hace 15 años. Sin embargo el paciente indica que puede ver con casi total normalidad y que puede tener una vida autónoma sin problema. APORTA INFORME"/>
        <s v="operacion cuello de utero en 2020"/>
        <s v="OPERADA DE LAS DOS PIERNAS EN NOVIEMBRE 2024. (menos de 1 año) LIPEDEMA"/>
        <s v="ENDOMETRIOSIS"/>
        <s v="La trombocitemia esencial"/>
        <s v="Arritmia, arritmias"/>
        <s v="Operación de la rodilla derecha para una prótesis hace 3 años aproximadamente por artrosis, no tiene secuelas, ni tratamientos posteriores a la operación."/>
        <s v="Con 14 años se le diagnostico con un lipoma en la médula anclada, tiene una falta de control de micción como secuela."/>
        <s v="Insuficiencia Venosa Crónica diagnoticada hace 10 años, sin tratamiento en curos o secuelas - ACEPTAR con la siguiente EXCLUSIÓN."/>
        <s v="Lumbalgia en tratamiento"/>
        <s v="Se drogó cuando era joven."/>
        <s v="OPERACIÓN DE L4 L5"/>
        <s v="Demencia leve diagnosticada hace 1 año, sin tratamiento en curso, Diabetes tipo 2 e hipertensión."/>
        <s v="Ácido úrico toma una pastilla desde hace 10 años"/>
        <s v="DIU"/>
        <s v="PRÓTESIS EN RODILLA DERECHA INTERVENIDA HACE 10 MESES."/>
        <s v="Prótesis en las dos rodillas"/>
        <s v="Colon irritable. Síndrome del intestino irritable. El síndrome del intestino irritable (SII) es un trastorno que lleva a dolor en el abdomen y cambios en los movimientos intestinales. Este síndrome no es lo mismo que enfermedad intestinal inflamatoria (EI"/>
        <s v="Hernia discal intervenida hace 18 años. Artrosis en la rodilla."/>
        <s v="69 años Hepatitis autoinmune sin tratamiento en la actualidad y Diabetes tipo 2 pastillas."/>
        <s v="Esclerodermia"/>
        <s v="Operada de una cadera. Aporta informe año 2022 (hace 4 años)."/>
        <s v="Operada de una cadera. Aporta informe año 2024 de la cadera intervenida. (hace 1 año)"/>
        <s v="Fibrilación auricular, toma xarelto 20 miligramos, es como las arritmias"/>
        <s v="El señor se toma unas pastillas para prevenir la horgura de la próstata desde hace 3 años."/>
        <s v="Polineuritis"/>
        <s v="Operada de cadera hace menos de 1 año. Aporta informe donde pone que se recomienda fisioterapia para patología muscular y lumbar. Y donde se recomienda visita a cirugía vascular si perssiste edema en ambos tobillos. No está recuperada al 100%."/>
        <s v="Operación de rodilla para una prótesis hace más de 4 años."/>
        <s v="Epilepsia, epiléptica"/>
        <s v="El síndrome de Asperger, ​ también llamado simplemente aspérger o ásperger, ​dificultad para afrontar situaciones sociales."/>
        <s v="Granuloma eosinófilo: 13 de Marzo del 2009, fue operado con éxito y le dieron el alta en los días siguientes. Las revisiones posteriores mostraron que NO QUEDÓ SECUELA alguna hasta el punto de que no se ve siguiera la cicatriz en el hueso."/>
        <s v="Absceso: No lo recuerdo pero pudiera ser en Noviembre del 2007 a consecuencia de la varicela o en mayo del 2020 cuando tenía acné. En todo caso está totalmente curado y NO HAY SECUELAS&#10;"/>
        <s v="A los 10 años ( Noviembre 2013) Por MIOPÍA y ESTIGMATISMO. EN LA ACTUALIDAD SIGUE LLEVANDO GAFAS"/>
        <s v="UVEITIS OJO IZQUIERDO"/>
        <s v="Mujer de 70 años con ácido úrico causado por la menopausa desde los 50 años. Toma mediación Alopurinol de 300 mg. "/>
        <s v="ICTUS hace 5 años."/>
        <s v="Colesterol: Simvastatina 10mg, 1 al día. Controlado por debajo de 220 mg/dL.&#10;Acido úrico: Alopurinol 100mg, 1 al día. Diagnosticado a raíz de la menopausia.&#10;Hipotiroidismo, Eutirox 100mg, 1 al día.&#10;Hipertensión: Telmisartan 80mg, 1 al día. 13/7 y 13/8"/>
        <s v="Operación de rodilla de hace 3 meses aporta informe de alta."/>
        <s v="VPH. Virus del papiloma humano."/>
        <s v="Escoliosis leve, desviación de la columna."/>
        <s v="Gonalgia (dolor en la rodilla)"/>
        <s v="SENIORS TOTAL. Osteoporosis, no tiene ningún tratamiento, solo toma calcio y sale a caminar. "/>
        <s v="REUMATITIS"/>
        <s v="Cornetas nasales, dificultad para respirar por la nariz"/>
        <s v="Epilepsia toma DEPAKINE"/>
        <s v="Operada Vegetaciones y amígdalas"/>
        <s v="Operada de cervicales en 2022"/>
        <s v="Estenosis Uretral "/>
        <s v="SENIORS. Mujer de 68 años con Amilodiosis desde hace 8 años."/>
        <s v="Un paciente de 68 con una operación para solucionar el síndrome de Wolff Parkinson White hace 22 años, quemando la parte sobrante que provoca este síndrome, sin complicaciones ni tratamiento desde entonces."/>
        <s v="MASTOCITOSIS SISTÉMICA toma CLOMOGLICATO 200 MG 4 VECES AL DIA"/>
        <s v="trastorno obsesivo-compulsivo (TOC)"/>
        <s v="Prediabético, prediabetes"/>
        <s v="Prótesis de 1 cadera."/>
        <s v="hesterosis de ureter"/>
        <s v="Operación de tobillo hace 2 años"/>
        <s v="ARTROSCOPIA RODILLA IZDA. Y SUS CAUSAS (MENISCOPATIA)"/>
        <s v="Litotricia"/>
        <s v="SIDA, VIH, cero positivo, sida desde 2011 aporta informe"/>
        <s v="Operación para la extracción de la vesícula hace 2 años. Sin tratamientos ni complicaciones desde entonces."/>
        <s v="ANEURISMA"/>
        <s v="Intervenida de cadera derecha, nos piden informe de la izquierda, aportamos carta jurada."/>
        <s v="TUMOR OVARIO, quiste ovario."/>
        <s v="21/09/2023 CIRUGÍA AMBULATORIA PARA HACERLE UNA ECOGRAFÍA Y POSTERIORMENTE DIAGNOSTICARLE OBSTRUCCIÓN INTESTINAL. SIN TRATAMIENTO, SIN SECUELAS. "/>
        <s v="Reducción de estómago"/>
        <s v="SENIORS. OSTEOPOROSIS."/>
        <s v="DIABETES TIPO 2, RYBELSUS 5MG Y Xigduo, HTA y OBESIDAD. TODO JUNTO."/>
        <s v="BIOPSIA MAMA IZQUIERDA"/>
        <s v="Vejiga hiperactiva"/>
        <s v="a los 51 años sufrí un accidente con un producto químico desatascador que al explotar en el fregadero me realizó quemaduras en el nervio óptico del ojo de ambos ojos"/>
        <s v="&#10;Siringomielia desde hace 7 años, sin tratamiento, ni operaciones."/>
        <s v="túnel carpiano mano derecha operado hace 10 años ha pasado limpio sin exclusion."/>
        <s v="82 años operado hace 42 años del estomago y quedo genial solo va una vez al año a revision, tambien fue operado hace 25 años de hernia y le dieron el alta no va ni a revision, operado de la prostata en el año 2008 y solo va a revision una vez al año y ope"/>
        <s v="CONDROMALACIA ROTULIANA"/>
        <s v="Paciente de 59 años con Hipoplasia medular diagnosticada 7 años atrás sin tratamientos en curso ni en historial médico, ni complicaciones ni secuelas adversas. Sin otras patologias e IMC de 24"/>
        <s v="espondilitis anquilosante. Sin tratamientos en ningún momento referentes a esta operación, complicaciones o secuelas adversas."/>
        <s v="Extracción de vesícula en el 17/02/2021"/>
        <s v="1. ESÓFAGO BARRET. PROCESO EN CURSO PENDIENTE DE RESOLUCIÓN"/>
        <s v="POLIOMIELITIS"/>
        <m/>
      </sharedItems>
    </cacheField>
    <cacheField name="Tipo" numFmtId="0">
      <sharedItems containsBlank="1">
        <s v="Autoinmunes, reumatológicas, de la sangre, infecciosas o dermatológicas"/>
        <s v="Traumatología"/>
        <s v="Psiquiátrica"/>
        <s v="Cardíaca"/>
        <s v="Obesidad"/>
        <s v="Neurología"/>
        <s v="Digestiva, hernias, hepatitis y páncreas"/>
        <s v="Oftalmología"/>
        <s v="Renal, Urológia o Ginecológica"/>
        <s v="Sistema Endocrino y Metabólico"/>
        <m/>
        <s v="Respiratoria"/>
        <s v="Oncológica y transplantes"/>
        <s v="Patología de oído, nariz, laringe y gargante"/>
      </sharedItems>
    </cacheField>
    <cacheField name="Resultado" numFmtId="0">
      <sharedItems containsBlank="1">
        <s v="No asegurable"/>
        <s v="Exclusión"/>
        <s v="Aceptado"/>
        <s v="En Valoración Médica"/>
        <m/>
      </sharedItems>
    </cacheField>
    <cacheField name="Comentario / Acción" numFmtId="0">
      <sharedItems containsBlank="1">
        <m/>
        <s v="Necesario informe médico para valorar."/>
        <s v="90% de casos son Rechazo directo. Necesario informe médico para valorar."/>
        <s v="Rechazo directo."/>
        <s v="Excluidos los ingresos, y procedimientos para el estudio diagnóstico y/o tratamiento médico, endoscópicoo quirúrgico de la obesidad. Si en el futuro baja peso se puede solicitar una nueva selección de riesgo aportando nuevo cuestionario e informes sobre l"/>
        <s v="Enfermedad degenerativa. Rechazo directo."/>
        <s v="No es necesario aportar informe, pasa limpia."/>
        <s v="Necesario informe médico para valorar. Rechazada."/>
        <s v="2-EXCLUSIÓN RETIRADA, SUSTITUCIÓN Y/O RECAMBIO DEL MATERIAL DE OSTEOSÍNTESIS FEMUR INTERVENIDO (MEDIOS DE DIAGNÓSTICO, TRATAMIENTOS E INGRESOS), ASÍ COMO POR SUS COMPLICACIONES, CONSECUENCIAS Y/O SECUELAS. Necesario firmar la exclusión para poder asegurar"/>
        <s v="EXCLUSION DE LOS MEDIOS DE DIAGNOSTICO , TRATAMIENTOS E INGRESOS&#10;RELACIONADOS CON LAS COMPLICACIONES , CONSECUENCIAS Y/O SECUELAS DE&#10;DESPRENDIMIENTO DE RETINA"/>
        <s v="No asegurable por peso"/>
        <s v="Necesario informe médico para valorar. Si no aporta informe será necesario una carta jurada. En este caso queda excluída de todo lo relacionado con las hernias. Si no aporta informe se le aplica la máxima exclusión."/>
        <s v="EXCLUSIÓN DE CEFALEA/MIGRAÑA: MEDIOS DIAGNÓSTICOS, TRATAMIENTO E INGRESOS ASÍ COMO POR SUS COMPLICACIONES, CONSECUENCIAS Y/O SECUELAS"/>
        <s v="EXCLUSION DE LOS MEDIOS DE DIAGNOSTICO , TRATAMIENTOS E INGRESOS&#10;RELACIONADOS CON LAS COMPLICACIONES , CONSECUENCIAS Y/O SECUELAS DE&#10;HERNIA DE HIATO INTERVENIDA"/>
        <s v="EXCLUSION (1) AFECCIONES DE PRÓSTATA Y (2) CATARATAS  (MEDIOS DE DIAGNÓSTICO, TRATAMIENTOS E INGRESOS), ASÍ COMO POR SUS COMPLICACIONES, CONSECUENCIAS Y/O SECUELAS"/>
        <s v="EXCLUSION AFECCIONES DE TIROIDES: MEDIOS DE DIAGNOSTICO , TRATAMIENTOS E INGRESOS , ASI COMO POR SUS COMPLICACIONES , CONSECUENCIAS Y/O SECUELAS"/>
        <s v="EXCLUSION DE LOS MEDIOS DE DIAGNOSTICO , TRATAMIENTOS E INGRESOS&#10;RELACIONADOS CON LAS RECIDIVAS , COMPLICACIONES , CONSECUENCIAS Y/O&#10;SECUELAS DE TUMORES BENIGNOS DE UTERO (1) , METRORRAGIAS (2)"/>
        <s v="EXCLUSIÓN DE MEDIOS DIAGNÓSTICOS, TRATAMIENTO E INGRESOS RELACIONADOS CON LAS RECIDIVAS, COMPLICACIONES, CONSECUENCIAS Y/O SECUELAS DE RODILLA IZQUIERDA INTERVENIDA."/>
        <s v="HISTORIAL MÉDICO COMPLETO Y ACTUALIZADO QUE INCLUYA DIAGNÓSTICOS EN VIGOR,ANTECEDENTES MÉDICO.QUIRÚRGICOS, TRATAMIENTOS, SITUACIÓN ACTUAL"/>
        <s v="Aceptado sin carencias y sin exclusiones, PASA LIMPIA."/>
        <s v="SE PRECISA INFORMACIÓN MÉDICA ACTUALIZADA SOBRE TIROIDECTOMÍA: DIAGNÓSTICO/CAUSA/MOTIVO, LOCALIZACIÓN, FECHAS, TRATAMIENTO, PRONÓSTICO Y SITUACIÓN ACTUAL"/>
        <s v="EXCLUSIÓN DE LOS MEDIOS DE DIAGNÓSTICO, TRATAMIENTOS E INGRESOS RELACIONADOS CON  LAS COMPLICACIONES, CONSECUENCIAS Y/O SECUELAS DE TRASTORNO DEL ESPECTRO AUTISTA (TEA)"/>
        <s v="EXCLUSION RETIRADA , SUSTITUCION Y/O RECAMBIO DEL MATERIAL DE&#10;OSTEOSINTESIS (MEDIOS DE DIAGNOSTICO , TRATAMIENTOS E INGRESOS) , ASI&#10;COMO POR SUS COMPLICACIONES , CONSECUENCIAS Y/O SECUELAS"/>
        <s v="RECHAZO DIRECTO"/>
        <s v="NECESARIO INFORME MÉDICO DE LAS DOS CADERAS PARA CONTINUAR CON LA VALORACIÓN"/>
        <s v="EXCLUSIÓN DE CATARATAS"/>
        <s v="PASA LIMPIA"/>
        <s v="ASMA Y FUMA RECHAZO DIRECTO"/>
        <s v="NECESARIO INFORME MÉDICO PARA VALORAR, COMO MÍNIMO EXCLUSIÓN DE ARTROSIS. Y ES POSIBLE QUE NO SEA ASEGURABLE."/>
        <s v="EXCLUSION DE LOS MEDIOS DE DIAGNOSTICO , TRATAMIENTOS E INGRESOS&#10;RELACIONADOS CON LAS RECIDIVAS , COMPLICACIONES , CONSECUENCIAS Y/O&#10;SECUELAS DE TTO DE PROSTATA DECLARADO Y SUS CAUSAS"/>
        <s v="LO IDEAL ES INDICAR LA FECHA DE LA OPERACIÓN Y EL ALTA"/>
        <s v="DEPENDIENDO DEL INFORME Y DE LA SITUACIÓN DEL CLIENTE PUEDE SER ASEGURABLE AUNQUE HAY MUCHA PROBABILIDAD DE QUE SEA RECHAZO DIRECTO POR PLURIPATOLOGÍA."/>
        <s v="PASAN LIMPIAS, EXCEPTO AQUELLAS QUE PRESENTANDO INFORME NO SEA FAVORABLE, POR LO GENERAL, PASAN CASI TODAS."/>
        <s v="EXCLUSION DE LOS MEDIOS DE DIAGNOSTICO , TRATAMIENTOS E INGRESOS RELACIONADOS CON LAS RECIDIVAS , COMPLICACIONES , CONSECUENCIAS Y/O SECUELAS DE FRACTURA HUMERO IZDO INTERVENIDA"/>
        <s v="RECHAZO DIRECTO, HABLA CON EL CLIENTE SOBRE ESTO Y HAZ TODO LO POSIBLE PARA QUE NO LO DECLARE O SE VA LA PÓLIZA A LA MIERDA."/>
        <s v="INFORME MÉDICO ACTUAL  HERNIAS INTERVENIDAS : DIAGNÓSTICO, ANATOMIA PATOLÓGICA, LOCALIZACIÓN,  FECHAS, TRATAMIENTO, SITUACIÓN ACTUAL, PRONÓSTICO"/>
        <s v="TE PIDEN INFORME, Y EN SU DEFECTO TENDRÁS QUE HACER CARTA JURADA ACEPTANDO EXCLUSIÓN."/>
        <s v="PASA LIMPIA SIN EXCLUSIÓN"/>
        <s v="RECHAZO DIRECTO POR PLURIPATOLOGÍA"/>
        <s v="PASA LIMPIA, PERO OTROS CLIENTES IGUAL SI QUE HAN PUESTO EXCLUSIÓN"/>
        <s v="EXCLUSION AFECCIONES DE PROSTATA (MEDIOS DE DIAGNOSTICO , TRATAMIENTOS&#10;E INGRESOS) , ASI COMO POR SUS COMPLICACIONES , CONSECUENCIAS Y/O&#10;SECUELAS"/>
        <s v="EXCLUSION DE LOS MEDIOS DE DIAGNOSTICO , TRATAMIENTOS E INGRESOS&#10;RELACIONADOS CON LAS RECIDIVAS , COMPLICACIONES , CONSECUENCIAS Y/O&#10;SECUELAS DE FRACTURAS VERTEBRALES"/>
        <s v="EXCLUSION SORDERA/HIPOACUSIA Y SUS CAUSAS (MEDIOS DE DIAGNOSTICO ,&#10;TRATAMIENTOS E INGRESOS) , ASI COMO POR SUS COMPLICACIONES ,&#10;CONSECUENCIAS Y/O SECUELAS"/>
        <s v="SE PRECISA INFORMACIÓN MÉDICA ACTUALIZADA SOBRE HISTORIAL MÉDICO COMPLETO Y ACTUALIZADO QUE INCLUYA DIAGNÓSTICOS EN VIGOR,ANTECEDENTES MÉDICO-QUIRÚRGICOS, TRATAMIENTOS, SITUACIÓN ACTUAL"/>
        <s v="PASA LIMPIA, SIN EXCLUSIÓN."/>
        <s v="SE PRECISA INFORME PARA PODER VALORAR."/>
        <s v="SI TOMA UNA MEDICACIÓN ANTIAGREGANTE NO ES ASEGURABLE, GO."/>
        <s v="PASA LIMPIA."/>
        <s v="PIDEN INFORME. DEPENDIENDO DEL GRADO ES POSIBLE ASEGURAR, PERO EN LA MAYORÍA DE CASOS ES RECHAZO."/>
        <s v="CUALQUIER OPERACIÓN DE MENOS DE 1 AÑO ADESLAS NO LO VALORA SEA LO QUE SEA"/>
        <s v="TRATAMIENTO E INTEVENCIÓN MUY RECIENTE. "/>
        <s v="EXCLUSIÓN CATARATAS"/>
        <s v="UNA BAJA EN CURSO SIN ALTA, ES RECHAZO DIRECTO. CUIDADO."/>
        <s v="EXCLUSIÓN enfermedad celiaca: medios de diagnóstico, tratamientos e ingresos, así como por sus complicaciones, consecuencias y/o secuelas."/>
        <s v="NO ENTENDEMOS POR QUÉ HA PASADO LIMPIA. OTROS CASOS IGUALES NO NOS LO HAN ACEPTADO NI DE BROMA."/>
        <s v="EXCLUSION DE MEDIOS DIAGNOSTICOS , TRATAMIENTO E INGRESOS RELACIONADOS CON LAS COMPLICACIONES , CONSECUENCIAS Y/O SECUELAS DE AFECCION COLUMNA CERVICAL Y SU CIRUGIA"/>
        <s v="Solicitan informe médico actual sobre: cardiopatía, patología ocular, apnea del sueño o malformaciones intestinales conocidas (diagnóstico/causa/motivo, localización, fechas, tratamiento, pronóstico y situación actual)."/>
        <s v="INFORME MÉDICO ACTUAL   CIRUGÍA DE TOBILLO DECLARADA: DIAGNÓSTICO/MOTIVO/CAUSA, LOCALIZACIÓN,  FECHAS, TRATAMIENTO, SITUACIÓN ACTUAL, PRONÓSTICO"/>
        <s v=" - 1.-EXCLUSIÓN DE LOS MEDIOS DE DIAGNÓSTICO, TRATAMIENTOS E INGRESOS RELACIONADOS CON LAS RECIDIVAS, COMPLICACIONES, CONSECUENCIAS Y/O SECUELAS DE PATOLOGIA DE LAS CADERAS INTERVENIDAS"/>
        <s v="AMEOTROPIA: MEDIOS DE DIAGNOSTICO , TRATAMIENTOS E INGRESOS , ASI COMO POR SUS COMPLICACIONES , CONSECUENCIAS Y/O SECUELAS"/>
        <s v="SORPRENDENTEMENTE PASA LIMPIA."/>
        <s v="SOLO HAN APLICADO EXCLUSIÓN DE CATARATAS, EL RESTO PASA LIMPIO."/>
        <s v="RECHAZAR por riesgo no asegurable (Cirugía Bariátrica, IMC&gt;34)"/>
        <s v="ACEPTAR (si resto de respuestas son negativas y peso y talla están dentro de parámetros)"/>
        <s v="LLEVARÁ SEGURAMENTE EXCLUSIÓN, Y PUEDE QUE PIDAN INFORME."/>
        <s v="PIDEN INFORME"/>
        <s v="RECHAZO DIRECTO POR PLURIPATOLOGÍA, PRINCIPALMENTE POR LA VESICULA BILIAR"/>
        <s v="RECHAZO DIRECTO PATOLOGÍA NO ASEGURABLE"/>
        <s v="PIDEN INFORME Y ES RECHAZO"/>
        <s v="Se precisaría información médica actualizada de poliquistosis renal (1), funcionalismo renal (2): Diagnóstico/Motivo/Causa, localización, fechas, tratamiento, situación actual y pronóstico."/>
        <s v="ES RARO PERO HA PASADO LIMPIA"/>
        <s v="PIDEN INFORME PARA PODER VALORAR."/>
        <s v="PIDEN HISTORIAL MÉDICO"/>
        <s v="EXCLUSIÓN DE LA VESÍCULA Y LA OBESIDAD."/>
        <s v="PIDEN INFORME Y LLEVARÁ EXCLUSIÓN"/>
        <s v="NOS PIDEN INFORME DE LA CADERA DERECHA O DE LO CONTRARIO NO SE PUEDE HACER LA PÓLIZA. NO VALE CON CARTA JURADA."/>
        <s v="La valoración del caso  con los datos proporcionados es DENEGAR por riesgo no asegurable (Sd Sjögren)"/>
        <s v="EXCLUSION HIPOACUSIA/SORDERA : MEDIOS DE DIAGNÓSTICO, TRATAMIENTOS E INGRESOS, ASÍ COMO POR SUS COMPLICACIONES, CONSECUENCIAS Y/O SECUELAS"/>
        <s v="PIDEN INFORME MÉDICO ACTUAL   EPOC: DIAGNÓSTICO, CLASIFICACIÓN GOLD, FECHAS, TRATAMIENTO, SITUACIÓN ACTUAL, PRONÓSTICO"/>
        <s v="EXCLUIDOS LOS INGRESOS Y PROCEDIMIENTOS PARA ESTUDIO DIAGNOSTICO Y/O TRATAMIENTO MEDICO , ENDOSCOPICO O QUIRURGICO DE LA OBESIDAD"/>
        <s v="EXCLUSION DE LOS MEDIOS DE DIAGNOSTICO , TRATAMIENTOS E INGRESOS RELACIONADOS CON LAS RECIDIVAS , COMPLICACIONES , CONSECUENCIAS Y/O SECUELAS DE CIRUGIA DE COLUMNA LUMBO-SACRA Y SUS CAUSAS"/>
        <s v="HISTORIAL MÉDICO ACTUALIZADO COMPLETO CON ANTECEDENTES PERSONALES"/>
        <s v="La valoración del caso  con los datos proporcionados es DENEGAR por riesgo no asegurable. (SAOS con CPAP)&#10;"/>
        <s v="EXCLUSIÓN DE CIN/SIL-VHP"/>
        <s v="EXCLUSIÓN : ENDOMETRIOSIS  medios de diagnóstico, tratamientos e ingresos, así como por sus complicaciones, consecuencias y/o secuelas."/>
        <s v="DENEGAR por riesgo no asegurable"/>
        <s v="EXCLUSION ARTROSIS (1), RODILLA DERECHA (2): MEDIOS DE DIAGNÓSTICO, TRATAMIENTOS E INGRESOS, ASÍ COMO POR SUS COMPLICACIONES, CONSECUENCIAS Y/O SECUELAS"/>
        <s v="Lipoma en la médula anclada causante de una falta de control de micción como secuela. - DENEGAR por riesgo no asegurable"/>
        <s v="EXCLUSIÓN Insuficiencia Venosa de Extremidades Inferiores: medios de diagnóstico, tratamientos e ingresos, así como por sus complicaciones, consecuencias y/o secuelas."/>
        <s v="Rechazo por tratamiento en curso."/>
        <s v="Van a pedir historial médico para poder valorar."/>
        <s v="SIN INFORME NO SE PUEDE HACER NADA."/>
        <s v="NECESARIO INFORME MÉDICO PARA PODER VALORAR. NO VALE CON UNA ANALÍTICA, SI NO ENTREGA INFORME NO SE PUEDE CONTINUAR. "/>
        <s v="1.INFORME MÉDICO ACTUALIZADO GINECOLOGÍA : DIAGNOSTICO/CAUSA/MOTIVO, LOCALIZACIÓN, FECHAS, TRATAMIENTO, PRONOSTICO Y SITUACIÓN ACTUAL. RECOMENDARLE QUE NO LO DECLARE."/>
        <s v="EXCLUSION (1) AFEFECCIONES RODILLA IZD (2) RETIRADA /RECAMBIO PROTESIS RODILLA DCHA (2) AFECCIONES RODILLA DCHA (MEDIOS DIAGNOSTICO , TRATAMIENTOS E INGRESOS) ASI COMO POR SUS COMPLICACIONES , CONSECUENCIAS Y/O SECUELAS"/>
        <s v="NO ES NECESARIO INFORME."/>
        <s v="SIN INFORME ACTUALIZADO NO SE PUEDE CONTINUAR."/>
        <s v="ES NECESARIO EL INFORME DE LAS DOS CADERAS, LA OPERADA Y LA QUE NO ESTÁ OPERADA, DE LO CONTRARIO NO SE PUEDE CONTINUAR CON LA VALORACIÓN MÉDICA. "/>
        <s v="NO HA SIDO NECESARIO INFORME."/>
        <s v="TRAS VER EL INFORME PROCEDEN AL RECHAZO."/>
        <s v="ACEPTAN SI EL INFORME ES FAVORABLE."/>
        <s v="Se precisaría información médica actualizada de la patología declarada EPILEPSIA: Diagnóstico/Motivo/Causa, localización, fechas, tratamiento, situación actual y pronóstico.&#10;"/>
        <s v="2.⁠ ⁠EXCLUSIÓN DE LOS MEDIOS DE DIAGNÓSTICO, TRATAMIENTOS E INGRESOS RELACIONADOS CON  LAS COMPLICACIONES, CONSECUENCIAS Y/O SECUELAS DE TRASTORNO DEL ESPECTRO AUTISTA (TEA)"/>
        <s v="Aceptado sin exclusión. Aunque otros ácidos úricos si ha habido exclusión."/>
        <s v="EXCLUSION AFECCIONES BENIGNAS DE TIROIDES y EXCLUSION HIPERURICEMIA- GOTA."/>
        <s v="Rechazo directo por operación muy reciente."/>
        <s v="RECHZADO DIRECTO"/>
        <s v="EXCLUSION"/>
        <s v="INFORME MÉDICO ACTUAL   GONALGIA: DIAGNÓSTICO/MOTIVO/CAUSA, LOCALIZACIÓN,  FECHAS, TRATAMIENTO, SITUACIÓN ACTUAL, PRONÓSTICO"/>
        <s v="EXCLUSION OSTEOPENIA (1) , OSTEOPOROSIS (2): MEDIOS DE DIAGNOSTICO ,&#10;TRATAMIENTOS E INGRESOS , ASI COMO POR SUS COMPLICACIONES ,&#10;CONSECUENCIAS Y/O SECUELAS"/>
        <s v="INFORME MÉDICO ACTUAL   TTO.DEPAKINE: DIAGNÓSTICO/MOTIVO/CAUSA,  FECHA ÚLTIMA CRISIS, TRATAMIENTO, SITUACIÓN ACTUAL, PRONÓSTICO"/>
        <s v="HISTORIAL MÉDICO"/>
        <s v="PIDEN INFORME DE LAS 2 CADERAS, LA BUENA Y LA MALA.&#10;EXCLUSION (1) AFECCIONES CADERA DCHA (2) RETIRADA/RECAMBIO PROTESIS&#10;CADERA DCHA (MEDIOS DIAGNOSTICO , TRATAMIENTOS E INGRESOS) ASI COMO&#10;POR SUS COMPLICACIONES , CONSECUENCIAS Y/O SECUELAS"/>
        <s v="PIDEN INFORME."/>
        <s v="PIDEN INFORME. PUEDEN APLICAR EXCLUSIÓN O RECHAZO SEGÚN ESTÉ."/>
        <s v="NECESARIO INFORME Y APLICAN EXCLUSION DE LOS MEDIOS DE DIAGNOSTICO , TRATAMIENTOS E INGRESOS RELACIONADOS CON LAS RECIDIVAS , COMPLICACIONES , CONSECUENCIAS Y/O SECUELAS "/>
        <s v="INFORME MÉDICO LITOTRICIA : DIAGNOSTICO/CAUSA/MOTIVO, LOCALIZACIÓN, FECHAS, TRATAMIENTO, PRONOSTICO Y SITUACIÓN ACTUAL. TRAS VER INFORME ADESLAS LO RECHAZA."/>
        <s v="TRAS VER INFORME LO ACEPTAN SIN EXCLUSIÓN"/>
        <s v="EXCLUSION DE LOS MEDIOS DE DIAGNOSTICO , TRATAMIENTOS E INGRESOS&#10;RELACIONADOS CON LAS RECIDIVAS , COMPLICACIONES , CONSECUENCIAS Y/O&#10;SECUELAS DE TUMORES BENIGNOS DE OVARIO Y SU CIRUGIA"/>
        <s v="RECHAZO DIRECTO, NO PERDER TIEMPO Y HACER UN GO!"/>
        <s v="PIDEN INFORME, DE LO CONTRARIO NO SE PUEDE CONTINUAR. SI EL INFORME ES FAVORABLE SE PUEDE ASEGURAR CON EXCLUSIÓN. EN ESTE CASO TRAS VALORAR INFORME FUE RECHAZO."/>
        <s v="PIDEN INFORME Y TRAS VERLO LO RECHAZAN."/>
        <s v="PIDEN INFORME, LA CLIENTA LO ADJUNTA Y PASA LIMPIA."/>
        <s v="RECHAZO POR CUESTIONARIO SALUD"/>
        <s v="1.-EXCLUSIÓN DE LOS MEDIOS DE DIAGNÓSTICO, TRATAMIENTOS E INGRESOS RELACIONADOS CON LAS RECIDIVAS, COMPLICACIONES, CONSECUENCIAS Y/O SECUELAS DE QUEMADURAS TÓXICAS EN AMBOS N.OPTICOS"/>
        <s v="La valoración del caso  con los datos proporcionados es DENEGAR por riesgo no asegurable. (Siringomielia)"/>
        <s v="RECHAZO DIRECTO POR MedExpert"/>
        <s v="MedExpert: con los datos proporcionados es DENEGAR por ESPONDILITIS ANQUILOSANTE"/>
        <s v="Rechazo"/>
        <s v="EXCLUSION DE LOS MEDIOS DE DIAGNOSTICO , TRATAMIENTOS E INGRESOS RELACIONADOS CON LAS COMPLICACIONES , CONSECUENCIAS Y/O SECUELAS DE POLIOMIELITIS"/>
      </sharedItems>
    </cacheField>
    <cacheField name="Buscador" numFmtId="0">
      <sharedItems containsString="0" containsBlank="1" containsNumber="1" containsInteger="1">
        <n v="1.0"/>
        <n v="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uscador Patologías" cacheId="0" dataCaption="" rowGrandTotals="0" compact="0" compactData="0">
  <location ref="B7:F10" firstHeaderRow="0" firstDataRow="4" firstDataCol="0" rowPageCount="1" colPageCount="1"/>
  <pivotFields>
    <pivotField name="Fech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gen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tología" axis="axisRow" compact="0" outline="0" multipleItemSelectionAllowed="1" showAll="0" sortType="ascending" defaultSubtotal="0">
      <items>
        <item x="221"/>
        <item x="212"/>
        <item x="219"/>
        <item x="137"/>
        <item x="205"/>
        <item x="72"/>
        <item x="15"/>
        <item x="71"/>
        <item x="67"/>
        <item x="161"/>
        <item x="74"/>
        <item x="214"/>
        <item x="174"/>
        <item x="211"/>
        <item x="173"/>
        <item x="76"/>
        <item x="155"/>
        <item x="85"/>
        <item x="14"/>
        <item x="5"/>
        <item x="202"/>
        <item x="83"/>
        <item x="133"/>
        <item x="99"/>
        <item x="140"/>
        <item x="147"/>
        <item x="3"/>
        <item x="198"/>
        <item x="44"/>
        <item x="130"/>
        <item x="39"/>
        <item x="2"/>
        <item x="209"/>
        <item x="62"/>
        <item x="101"/>
        <item x="84"/>
        <item x="43"/>
        <item x="178"/>
        <item x="159"/>
        <item x="149"/>
        <item x="215"/>
        <item x="185"/>
        <item x="94"/>
        <item x="154"/>
        <item x="77"/>
        <item x="13"/>
        <item x="6"/>
        <item x="61"/>
        <item x="48"/>
        <item x="208"/>
        <item x="142"/>
        <item x="156"/>
        <item x="166"/>
        <item x="171"/>
        <item x="145"/>
        <item x="123"/>
        <item x="54"/>
        <item x="58"/>
        <item x="53"/>
        <item x="56"/>
        <item x="60"/>
        <item x="52"/>
        <item x="55"/>
        <item x="57"/>
        <item x="186"/>
        <item x="170"/>
        <item x="136"/>
        <item x="162"/>
        <item x="181"/>
        <item x="217"/>
        <item x="117"/>
        <item x="189"/>
        <item x="30"/>
        <item x="125"/>
        <item x="218"/>
        <item x="165"/>
        <item x="135"/>
        <item x="64"/>
        <item x="0"/>
        <item x="182"/>
        <item x="172"/>
        <item x="21"/>
        <item x="115"/>
        <item x="17"/>
        <item x="160"/>
        <item x="78"/>
        <item x="196"/>
        <item x="11"/>
        <item x="116"/>
        <item x="41"/>
        <item x="10"/>
        <item x="19"/>
        <item x="177"/>
        <item x="150"/>
        <item x="203"/>
        <item x="23"/>
        <item x="75"/>
        <item x="146"/>
        <item x="111"/>
        <item x="20"/>
        <item x="113"/>
        <item x="199"/>
        <item x="32"/>
        <item x="151"/>
        <item x="192"/>
        <item x="33"/>
        <item x="16"/>
        <item x="176"/>
        <item x="95"/>
        <item x="37"/>
        <item x="143"/>
        <item x="36"/>
        <item x="12"/>
        <item x="153"/>
        <item x="126"/>
        <item x="148"/>
        <item x="119"/>
        <item x="179"/>
        <item x="169"/>
        <item x="197"/>
        <item x="73"/>
        <item x="69"/>
        <item x="82"/>
        <item x="201"/>
        <item x="88"/>
        <item x="141"/>
        <item x="168"/>
        <item x="188"/>
        <item x="138"/>
        <item x="144"/>
        <item x="27"/>
        <item x="163"/>
        <item x="164"/>
        <item x="187"/>
        <item x="122"/>
        <item x="68"/>
        <item x="87"/>
        <item x="216"/>
        <item x="8"/>
        <item x="109"/>
        <item x="127"/>
        <item x="167"/>
        <item x="220"/>
        <item x="121"/>
        <item x="194"/>
        <item x="195"/>
        <item x="131"/>
        <item x="104"/>
        <item x="158"/>
        <item x="22"/>
        <item x="157"/>
        <item x="206"/>
        <item x="34"/>
        <item x="184"/>
        <item x="152"/>
        <item x="124"/>
        <item x="25"/>
        <item x="26"/>
        <item x="24"/>
        <item x="28"/>
        <item x="70"/>
        <item x="81"/>
        <item x="42"/>
        <item x="108"/>
        <item x="29"/>
        <item x="49"/>
        <item x="90"/>
        <item x="128"/>
        <item x="63"/>
        <item x="50"/>
        <item x="91"/>
        <item x="51"/>
        <item x="92"/>
        <item x="45"/>
        <item x="93"/>
        <item x="106"/>
        <item x="100"/>
        <item x="80"/>
        <item x="18"/>
        <item x="47"/>
        <item x="46"/>
        <item x="40"/>
        <item x="110"/>
        <item x="183"/>
        <item x="134"/>
        <item x="107"/>
        <item x="103"/>
        <item x="98"/>
        <item x="7"/>
        <item x="9"/>
        <item x="96"/>
        <item x="190"/>
        <item x="97"/>
        <item x="129"/>
        <item x="207"/>
        <item x="1"/>
        <item x="200"/>
        <item x="102"/>
        <item x="132"/>
        <item x="4"/>
        <item x="31"/>
        <item x="112"/>
        <item x="114"/>
        <item x="139"/>
        <item x="35"/>
        <item x="66"/>
        <item x="65"/>
        <item x="86"/>
        <item x="59"/>
        <item x="193"/>
        <item x="204"/>
        <item x="213"/>
        <item x="105"/>
        <item x="191"/>
        <item x="118"/>
        <item x="120"/>
        <item x="89"/>
        <item x="175"/>
        <item x="38"/>
        <item x="210"/>
        <item x="79"/>
        <item x="180"/>
      </items>
    </pivotField>
    <pivotField name="Tipo" axis="axisRow" compact="0" outline="0" multipleItemSelectionAllowed="1" showAll="0" sortType="ascending" defaultSubtotal="0">
      <items>
        <item x="10"/>
        <item x="0"/>
        <item x="3"/>
        <item x="6"/>
        <item x="5"/>
        <item x="4"/>
        <item x="7"/>
        <item x="12"/>
        <item x="13"/>
        <item x="2"/>
        <item x="8"/>
        <item x="11"/>
        <item x="9"/>
        <item x="1"/>
      </items>
    </pivotField>
    <pivotField name="Resultado" axis="axisRow" compact="0" outline="0" multipleItemSelectionAllowed="1" showAll="0" sortType="ascending" defaultSubtotal="0">
      <items>
        <item x="4"/>
        <item x="2"/>
        <item x="3"/>
        <item x="1"/>
        <item x="0"/>
      </items>
    </pivotField>
    <pivotField name="Comentario / Acción" axis="axisRow" compact="0" outline="0" multipleItemSelectionAllowed="1" showAll="0" sortType="ascending">
      <items>
        <item x="0"/>
        <item x="58"/>
        <item x="124"/>
        <item x="93"/>
        <item x="8"/>
        <item x="102"/>
        <item x="2"/>
        <item x="19"/>
        <item x="103"/>
        <item x="100"/>
        <item x="63"/>
        <item x="59"/>
        <item x="27"/>
        <item x="49"/>
        <item x="85"/>
        <item x="31"/>
        <item x="5"/>
        <item x="97"/>
        <item x="70"/>
        <item x="79"/>
        <item x="4"/>
        <item x="107"/>
        <item x="84"/>
        <item x="14"/>
        <item x="94"/>
        <item x="104"/>
        <item x="40"/>
        <item x="15"/>
        <item x="86"/>
        <item x="51"/>
        <item x="25"/>
        <item x="12"/>
        <item x="83"/>
        <item x="73"/>
        <item x="9"/>
        <item x="13"/>
        <item x="41"/>
        <item x="29"/>
        <item x="118"/>
        <item x="16"/>
        <item x="129"/>
        <item x="80"/>
        <item x="33"/>
        <item x="21"/>
        <item x="55"/>
        <item x="17"/>
        <item x="53"/>
        <item x="77"/>
        <item x="88"/>
        <item x="109"/>
        <item x="22"/>
        <item x="42"/>
        <item x="111"/>
        <item x="81"/>
        <item x="18"/>
        <item x="57"/>
        <item x="108"/>
        <item x="110"/>
        <item x="35"/>
        <item x="116"/>
        <item x="76"/>
        <item x="82"/>
        <item x="125"/>
        <item x="87"/>
        <item x="64"/>
        <item x="30"/>
        <item x="127"/>
        <item x="24"/>
        <item x="92"/>
        <item x="28"/>
        <item x="1"/>
        <item x="7"/>
        <item x="11"/>
        <item x="115"/>
        <item x="10"/>
        <item x="54"/>
        <item x="6"/>
        <item x="95"/>
        <item x="98"/>
        <item x="75"/>
        <item x="26"/>
        <item x="37"/>
        <item x="39"/>
        <item x="44"/>
        <item x="47"/>
        <item x="32"/>
        <item x="72"/>
        <item x="65"/>
        <item x="112"/>
        <item x="78"/>
        <item x="71"/>
        <item x="68"/>
        <item x="74"/>
        <item x="121"/>
        <item x="120"/>
        <item x="122"/>
        <item x="113"/>
        <item x="48"/>
        <item x="114"/>
        <item x="62"/>
        <item x="128"/>
        <item x="23"/>
        <item x="67"/>
        <item x="126"/>
        <item x="105"/>
        <item x="38"/>
        <item x="66"/>
        <item x="34"/>
        <item x="119"/>
        <item x="3"/>
        <item x="123"/>
        <item x="89"/>
        <item x="106"/>
        <item x="43"/>
        <item x="20"/>
        <item x="45"/>
        <item x="101"/>
        <item x="69"/>
        <item x="46"/>
        <item x="96"/>
        <item x="91"/>
        <item x="56"/>
        <item x="61"/>
        <item x="60"/>
        <item x="36"/>
        <item x="99"/>
        <item x="117"/>
        <item x="50"/>
        <item x="52"/>
        <item x="90"/>
        <item t="default"/>
      </items>
    </pivotField>
    <pivotField name="Buscador" axis="axisPage" compact="0" outline="0" multipleItemSelectionAllowed="1" showAll="0">
      <items>
        <item x="0"/>
        <item h="1" x="1"/>
        <item x="2"/>
        <item t="default"/>
      </items>
    </pivotField>
  </pivotFields>
  <rowFields>
    <field x="2"/>
    <field x="3"/>
    <field x="4"/>
    <field x="5"/>
  </rowFields>
  <pageFields>
    <pageField fld="6"/>
  </pageFields>
</pivotTableDefinition>
</file>

<file path=xl/tables/table1.xml><?xml version="1.0" encoding="utf-8"?>
<table xmlns="http://schemas.openxmlformats.org/spreadsheetml/2006/main" ref="A1:G2" displayName="Table_1" name="Table_1" id="1">
  <tableColumns count="7">
    <tableColumn name="Fecha" id="1"/>
    <tableColumn name="Agente" id="2"/>
    <tableColumn name="Patología" id="3"/>
    <tableColumn name="Tipo" id="4"/>
    <tableColumn name="Resultado" id="5"/>
    <tableColumn name="Comentario / Acción" id="6"/>
    <tableColumn name="Buscador" id="7"/>
  </tableColumns>
  <tableStyleInfo name="Datos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3.56"/>
    <col customWidth="1" min="2" max="2" width="10.11"/>
    <col customWidth="1" min="3" max="3" width="63.44"/>
    <col customWidth="1" min="4" max="4" width="30.44"/>
    <col customWidth="1" min="5" max="5" width="17.33"/>
    <col customWidth="1" min="6" max="6" width="64.33"/>
    <col customWidth="1" min="7" max="9" width="17.11"/>
    <col customWidth="1" min="10" max="10" width="24.56"/>
  </cols>
  <sheetData>
    <row r="1">
      <c r="A1" s="1" t="s">
        <v>0</v>
      </c>
      <c r="B1" s="2" t="s">
        <v>1</v>
      </c>
      <c r="C1" s="3" t="s">
        <v>2</v>
      </c>
      <c r="D1" s="2" t="s">
        <v>3</v>
      </c>
      <c r="E1" s="2" t="s">
        <v>4</v>
      </c>
      <c r="F1" s="3" t="s">
        <v>5</v>
      </c>
      <c r="G1" s="4" t="s">
        <v>6</v>
      </c>
    </row>
    <row r="2">
      <c r="A2" s="5">
        <v>45323.0</v>
      </c>
      <c r="B2" s="6" t="s">
        <v>7</v>
      </c>
      <c r="C2" s="7" t="s">
        <v>8</v>
      </c>
      <c r="D2" s="6" t="s">
        <v>9</v>
      </c>
      <c r="E2" s="6" t="s">
        <v>10</v>
      </c>
      <c r="F2" s="7"/>
      <c r="G2" s="8">
        <f>IF(IFERROR(FIND(LOWER('Buscador Patologías'!$P$3),C2,1),0)&lt;&gt;0,1,IF(IFERROR(FIND('Buscador Patologías'!$B$3,C2,1),0)=0,0,1))</f>
        <v>1</v>
      </c>
    </row>
    <row r="3">
      <c r="A3" s="5">
        <v>45323.0</v>
      </c>
      <c r="B3" s="6" t="s">
        <v>7</v>
      </c>
      <c r="C3" s="7" t="s">
        <v>11</v>
      </c>
      <c r="D3" s="6" t="s">
        <v>12</v>
      </c>
      <c r="E3" s="6" t="s">
        <v>10</v>
      </c>
      <c r="F3" s="7"/>
      <c r="G3" s="8">
        <f>IF(IFERROR(FIND(LOWER('Buscador Patologías'!$P$3),C3,1),0)&lt;&gt;0,1,IF(IFERROR(FIND('Buscador Patologías'!$B$3,C3,1),0)=0,0,1))</f>
        <v>0</v>
      </c>
      <c r="H3" s="9"/>
      <c r="I3" s="9"/>
    </row>
    <row r="4">
      <c r="A4" s="10">
        <v>45323.0</v>
      </c>
      <c r="B4" s="11" t="s">
        <v>13</v>
      </c>
      <c r="C4" s="12" t="s">
        <v>14</v>
      </c>
      <c r="D4" s="11" t="s">
        <v>15</v>
      </c>
      <c r="E4" s="11" t="s">
        <v>16</v>
      </c>
      <c r="F4" s="12" t="s">
        <v>17</v>
      </c>
      <c r="G4" s="8">
        <f>IF(IFERROR(FIND(LOWER('Buscador Patologías'!$P$3),C4,1),0)&lt;&gt;0,1,IF(IFERROR(FIND('Buscador Patologías'!$B$3,C4,1),0)=0,0,1))</f>
        <v>0</v>
      </c>
      <c r="H4" s="13"/>
      <c r="I4" s="13"/>
      <c r="J4" s="13"/>
      <c r="K4" s="13"/>
      <c r="L4" s="13"/>
      <c r="M4" s="13"/>
      <c r="N4" s="13"/>
      <c r="O4" s="13"/>
      <c r="P4" s="13"/>
      <c r="Q4" s="13"/>
      <c r="R4" s="13"/>
      <c r="S4" s="13"/>
      <c r="T4" s="13"/>
      <c r="U4" s="13"/>
      <c r="V4" s="13"/>
      <c r="W4" s="13"/>
      <c r="X4" s="13"/>
      <c r="Y4" s="13"/>
      <c r="Z4" s="13"/>
      <c r="AA4" s="13"/>
      <c r="AB4" s="13"/>
      <c r="AC4" s="13"/>
    </row>
    <row r="5">
      <c r="A5" s="5">
        <v>45323.0</v>
      </c>
      <c r="B5" s="6" t="s">
        <v>18</v>
      </c>
      <c r="C5" s="7" t="s">
        <v>19</v>
      </c>
      <c r="D5" s="6" t="s">
        <v>9</v>
      </c>
      <c r="E5" s="6" t="s">
        <v>16</v>
      </c>
      <c r="F5" s="7" t="s">
        <v>20</v>
      </c>
      <c r="G5" s="8">
        <f>IF(IFERROR(FIND(LOWER('Buscador Patologías'!$P$3),C5,1),0)&lt;&gt;0,1,IF(IFERROR(FIND('Buscador Patologías'!$B$3,C5,1),0)=0,0,1))</f>
        <v>0</v>
      </c>
      <c r="H5" s="9"/>
      <c r="I5" s="9"/>
    </row>
    <row r="6">
      <c r="A6" s="5">
        <v>45323.0</v>
      </c>
      <c r="B6" s="6" t="s">
        <v>18</v>
      </c>
      <c r="C6" s="7" t="s">
        <v>21</v>
      </c>
      <c r="D6" s="6" t="s">
        <v>22</v>
      </c>
      <c r="E6" s="6" t="s">
        <v>10</v>
      </c>
      <c r="F6" s="7" t="s">
        <v>23</v>
      </c>
      <c r="G6" s="8">
        <f>IF(IFERROR(FIND(LOWER('Buscador Patologías'!$P$3),C6,1),0)&lt;&gt;0,1,IF(IFERROR(FIND('Buscador Patologías'!$B$3,C6,1),0)=0,0,1))</f>
        <v>0</v>
      </c>
      <c r="H6" s="9"/>
      <c r="I6" s="9"/>
    </row>
    <row r="7">
      <c r="A7" s="5">
        <v>45323.0</v>
      </c>
      <c r="B7" s="6" t="s">
        <v>24</v>
      </c>
      <c r="C7" s="7" t="s">
        <v>25</v>
      </c>
      <c r="D7" s="6" t="s">
        <v>26</v>
      </c>
      <c r="E7" s="6" t="s">
        <v>16</v>
      </c>
      <c r="F7" s="7" t="s">
        <v>27</v>
      </c>
      <c r="G7" s="8">
        <f>IF(IFERROR(FIND(LOWER('Buscador Patologías'!$P$3),C7,1),0)&lt;&gt;0,1,IF(IFERROR(FIND('Buscador Patologías'!$B$3,C7,1),0)=0,0,1))</f>
        <v>0</v>
      </c>
      <c r="H7" s="9"/>
      <c r="I7" s="9"/>
    </row>
    <row r="8">
      <c r="A8" s="5">
        <v>45325.0</v>
      </c>
      <c r="B8" s="6" t="s">
        <v>24</v>
      </c>
      <c r="C8" s="7" t="s">
        <v>28</v>
      </c>
      <c r="D8" s="6" t="s">
        <v>9</v>
      </c>
      <c r="E8" s="6" t="s">
        <v>10</v>
      </c>
      <c r="F8" s="7" t="s">
        <v>23</v>
      </c>
      <c r="G8" s="8">
        <f>IF(IFERROR(FIND(LOWER('Buscador Patologías'!$P$3),C8,1),0)&lt;&gt;0,1,IF(IFERROR(FIND('Buscador Patologías'!$B$3,C8,1),0)=0,0,1))</f>
        <v>0</v>
      </c>
      <c r="H8" s="9"/>
      <c r="I8" s="9"/>
    </row>
    <row r="9">
      <c r="A9" s="5">
        <v>45323.0</v>
      </c>
      <c r="B9" s="6" t="s">
        <v>29</v>
      </c>
      <c r="C9" s="7" t="s">
        <v>30</v>
      </c>
      <c r="D9" s="6" t="s">
        <v>9</v>
      </c>
      <c r="E9" s="6" t="s">
        <v>10</v>
      </c>
      <c r="F9" s="12" t="s">
        <v>17</v>
      </c>
      <c r="G9" s="8">
        <f>IF(IFERROR(FIND(LOWER('Buscador Patologías'!$P$3),C9,1),0)&lt;&gt;0,1,IF(IFERROR(FIND('Buscador Patologías'!$B$3,C9,1),0)=0,0,1))</f>
        <v>0</v>
      </c>
      <c r="H9" s="9"/>
      <c r="I9" s="9"/>
    </row>
    <row r="10">
      <c r="A10" s="5">
        <v>45323.0</v>
      </c>
      <c r="B10" s="6" t="s">
        <v>29</v>
      </c>
      <c r="C10" s="7" t="s">
        <v>31</v>
      </c>
      <c r="D10" s="6" t="s">
        <v>32</v>
      </c>
      <c r="E10" s="6" t="s">
        <v>10</v>
      </c>
      <c r="F10" s="7" t="s">
        <v>33</v>
      </c>
      <c r="G10" s="8">
        <f>IF(IFERROR(FIND(LOWER('Buscador Patologías'!$P$3),C10,1),0)&lt;&gt;0,1,IF(IFERROR(FIND('Buscador Patologías'!$B$3,C10,1),0)=0,0,1))</f>
        <v>0</v>
      </c>
      <c r="H10" s="9"/>
      <c r="I10" s="9"/>
    </row>
    <row r="11">
      <c r="A11" s="10">
        <v>45323.0</v>
      </c>
      <c r="B11" s="11" t="s">
        <v>13</v>
      </c>
      <c r="C11" s="12" t="s">
        <v>34</v>
      </c>
      <c r="D11" s="11" t="s">
        <v>9</v>
      </c>
      <c r="E11" s="11" t="s">
        <v>35</v>
      </c>
      <c r="F11" s="12" t="s">
        <v>36</v>
      </c>
      <c r="G11" s="8">
        <f>IF(IFERROR(FIND(LOWER('Buscador Patologías'!$P$3),C11,1),0)&lt;&gt;0,1,IF(IFERROR(FIND('Buscador Patologías'!$B$3,C11,1),0)=0,0,1))</f>
        <v>0</v>
      </c>
      <c r="H11" s="13"/>
      <c r="I11" s="13"/>
      <c r="J11" s="13"/>
      <c r="K11" s="13"/>
      <c r="L11" s="13"/>
      <c r="M11" s="13"/>
      <c r="N11" s="13"/>
      <c r="O11" s="13"/>
      <c r="P11" s="13"/>
      <c r="Q11" s="13"/>
      <c r="R11" s="13"/>
      <c r="S11" s="13"/>
      <c r="T11" s="13"/>
      <c r="U11" s="13"/>
      <c r="V11" s="13"/>
      <c r="W11" s="13"/>
      <c r="X11" s="13"/>
      <c r="Y11" s="13"/>
      <c r="Z11" s="13"/>
      <c r="AA11" s="13"/>
      <c r="AB11" s="13"/>
      <c r="AC11" s="13"/>
    </row>
    <row r="12">
      <c r="A12" s="10">
        <v>45324.0</v>
      </c>
      <c r="B12" s="11" t="s">
        <v>24</v>
      </c>
      <c r="C12" s="12" t="s">
        <v>37</v>
      </c>
      <c r="D12" s="11" t="s">
        <v>9</v>
      </c>
      <c r="E12" s="11" t="s">
        <v>10</v>
      </c>
      <c r="F12" s="12" t="s">
        <v>38</v>
      </c>
      <c r="G12" s="8">
        <f>IF(IFERROR(FIND(LOWER('Buscador Patologías'!$P$3),C12,1),0)&lt;&gt;0,1,IF(IFERROR(FIND('Buscador Patologías'!$B$3,C12,1),0)=0,0,1))</f>
        <v>0</v>
      </c>
      <c r="H12" s="13"/>
      <c r="I12" s="13"/>
      <c r="J12" s="13"/>
      <c r="K12" s="13"/>
      <c r="L12" s="13"/>
      <c r="M12" s="13"/>
      <c r="N12" s="13"/>
      <c r="O12" s="13"/>
      <c r="P12" s="13"/>
      <c r="Q12" s="13"/>
      <c r="R12" s="13"/>
      <c r="S12" s="13"/>
      <c r="T12" s="13"/>
      <c r="U12" s="13"/>
      <c r="V12" s="13"/>
      <c r="W12" s="13"/>
      <c r="X12" s="13"/>
      <c r="Y12" s="13"/>
      <c r="Z12" s="13"/>
      <c r="AA12" s="13"/>
      <c r="AB12" s="13"/>
      <c r="AC12" s="13"/>
    </row>
    <row r="13">
      <c r="A13" s="10">
        <v>45325.0</v>
      </c>
      <c r="B13" s="11" t="s">
        <v>29</v>
      </c>
      <c r="C13" s="12" t="s">
        <v>39</v>
      </c>
      <c r="D13" s="11" t="s">
        <v>40</v>
      </c>
      <c r="E13" s="11" t="s">
        <v>10</v>
      </c>
      <c r="F13" s="12" t="s">
        <v>23</v>
      </c>
      <c r="G13" s="8">
        <f>IF(IFERROR(FIND(LOWER('Buscador Patologías'!$P$3),C13,1),0)&lt;&gt;0,1,IF(IFERROR(FIND('Buscador Patologías'!$B$3,C13,1),0)=0,0,1))</f>
        <v>0</v>
      </c>
      <c r="H13" s="13"/>
      <c r="I13" s="13"/>
      <c r="J13" s="13"/>
      <c r="K13" s="13"/>
      <c r="L13" s="13"/>
      <c r="M13" s="13"/>
      <c r="N13" s="13"/>
      <c r="O13" s="13"/>
      <c r="P13" s="13"/>
      <c r="Q13" s="13"/>
      <c r="R13" s="13"/>
      <c r="S13" s="13"/>
      <c r="T13" s="13"/>
      <c r="U13" s="13"/>
      <c r="V13" s="13"/>
      <c r="W13" s="13"/>
      <c r="X13" s="13"/>
      <c r="Y13" s="13"/>
      <c r="Z13" s="13"/>
      <c r="AA13" s="13"/>
      <c r="AB13" s="13"/>
      <c r="AC13" s="13"/>
    </row>
    <row r="14">
      <c r="A14" s="5">
        <v>45323.0</v>
      </c>
      <c r="B14" s="6" t="s">
        <v>41</v>
      </c>
      <c r="C14" s="7" t="s">
        <v>42</v>
      </c>
      <c r="D14" s="6" t="s">
        <v>12</v>
      </c>
      <c r="E14" s="6" t="s">
        <v>16</v>
      </c>
      <c r="F14" s="7" t="s">
        <v>43</v>
      </c>
      <c r="G14" s="8">
        <f>IF(IFERROR(FIND(LOWER('Buscador Patologías'!$P$3),C14,1),0)&lt;&gt;0,1,IF(IFERROR(FIND('Buscador Patologías'!$B$3,C14,1),0)=0,0,1))</f>
        <v>0</v>
      </c>
      <c r="H14" s="9"/>
      <c r="I14" s="9"/>
    </row>
    <row r="15">
      <c r="A15" s="5">
        <v>45323.0</v>
      </c>
      <c r="B15" s="6" t="s">
        <v>24</v>
      </c>
      <c r="C15" s="7" t="s">
        <v>44</v>
      </c>
      <c r="D15" s="6" t="s">
        <v>45</v>
      </c>
      <c r="E15" s="6" t="s">
        <v>16</v>
      </c>
      <c r="F15" s="7" t="s">
        <v>46</v>
      </c>
      <c r="G15" s="8">
        <f>IF(IFERROR(FIND(LOWER('Buscador Patologías'!$P$3),C15,1),0)&lt;&gt;0,1,IF(IFERROR(FIND('Buscador Patologías'!$B$3,C15,1),0)=0,0,1))</f>
        <v>0</v>
      </c>
      <c r="H15" s="9"/>
      <c r="I15" s="9"/>
    </row>
    <row r="16">
      <c r="A16" s="5">
        <v>45323.0</v>
      </c>
      <c r="B16" s="6" t="s">
        <v>24</v>
      </c>
      <c r="C16" s="7" t="s">
        <v>47</v>
      </c>
      <c r="D16" s="6" t="s">
        <v>26</v>
      </c>
      <c r="E16" s="6" t="s">
        <v>10</v>
      </c>
      <c r="F16" s="7" t="s">
        <v>48</v>
      </c>
      <c r="G16" s="8">
        <f>IF(IFERROR(FIND(LOWER('Buscador Patologías'!$P$3),C16,1),0)&lt;&gt;0,1,IF(IFERROR(FIND('Buscador Patologías'!$B$3,C16,1),0)=0,0,1))</f>
        <v>0</v>
      </c>
      <c r="H16" s="9"/>
      <c r="I16" s="9"/>
    </row>
    <row r="17">
      <c r="A17" s="10">
        <v>45323.0</v>
      </c>
      <c r="B17" s="11" t="s">
        <v>29</v>
      </c>
      <c r="C17" s="12" t="s">
        <v>49</v>
      </c>
      <c r="D17" s="11" t="s">
        <v>12</v>
      </c>
      <c r="E17" s="11" t="s">
        <v>16</v>
      </c>
      <c r="F17" s="12" t="s">
        <v>50</v>
      </c>
      <c r="G17" s="8">
        <f>IF(IFERROR(FIND(LOWER('Buscador Patologías'!$P$3),C17,1),0)&lt;&gt;0,1,IF(IFERROR(FIND('Buscador Patologías'!$B$3,C17,1),0)=0,0,1))</f>
        <v>0</v>
      </c>
      <c r="H17" s="13"/>
      <c r="I17" s="13"/>
      <c r="J17" s="13"/>
      <c r="K17" s="13"/>
      <c r="L17" s="13"/>
      <c r="M17" s="13"/>
      <c r="N17" s="13"/>
      <c r="O17" s="13"/>
      <c r="P17" s="13"/>
      <c r="Q17" s="13"/>
      <c r="R17" s="13"/>
      <c r="S17" s="13"/>
      <c r="T17" s="13"/>
      <c r="U17" s="13"/>
      <c r="V17" s="13"/>
      <c r="W17" s="13"/>
      <c r="X17" s="13"/>
      <c r="Y17" s="13"/>
      <c r="Z17" s="13"/>
      <c r="AA17" s="13"/>
      <c r="AB17" s="13"/>
      <c r="AC17" s="13"/>
    </row>
    <row r="18">
      <c r="A18" s="5">
        <v>45323.0</v>
      </c>
      <c r="B18" s="6" t="s">
        <v>41</v>
      </c>
      <c r="C18" s="7" t="s">
        <v>51</v>
      </c>
      <c r="D18" s="6" t="s">
        <v>32</v>
      </c>
      <c r="E18" s="6" t="s">
        <v>16</v>
      </c>
      <c r="F18" s="7" t="s">
        <v>52</v>
      </c>
      <c r="G18" s="8">
        <f>IF(IFERROR(FIND(LOWER('Buscador Patologías'!$P$3),C18,1),0)&lt;&gt;0,1,IF(IFERROR(FIND('Buscador Patologías'!$B$3,C18,1),0)=0,0,1))</f>
        <v>0</v>
      </c>
      <c r="H18" s="9"/>
      <c r="I18" s="9"/>
    </row>
    <row r="19">
      <c r="A19" s="5">
        <v>45352.0</v>
      </c>
      <c r="B19" s="6" t="s">
        <v>41</v>
      </c>
      <c r="C19" s="7" t="s">
        <v>53</v>
      </c>
      <c r="D19" s="6" t="s">
        <v>12</v>
      </c>
      <c r="E19" s="6" t="s">
        <v>16</v>
      </c>
      <c r="F19" s="7" t="s">
        <v>54</v>
      </c>
      <c r="G19" s="8">
        <f>IF(IFERROR(FIND(LOWER('Buscador Patologías'!$P$3),C19,1),0)&lt;&gt;0,1,IF(IFERROR(FIND('Buscador Patologías'!$B$3,C19,1),0)=0,0,1))</f>
        <v>0</v>
      </c>
      <c r="H19" s="9"/>
      <c r="I19" s="9"/>
    </row>
    <row r="20">
      <c r="A20" s="14">
        <v>45352.0</v>
      </c>
      <c r="B20" s="6" t="s">
        <v>41</v>
      </c>
      <c r="C20" s="7" t="s">
        <v>55</v>
      </c>
      <c r="D20" s="6" t="s">
        <v>56</v>
      </c>
      <c r="E20" s="6" t="s">
        <v>16</v>
      </c>
      <c r="F20" s="7" t="s">
        <v>57</v>
      </c>
      <c r="G20" s="8">
        <f>IF(IFERROR(FIND(LOWER('Buscador Patologías'!$P$3),C20,1),0)&lt;&gt;0,1,IF(IFERROR(FIND('Buscador Patologías'!$B$3,C20,1),0)=0,0,1))</f>
        <v>0</v>
      </c>
      <c r="H20" s="9"/>
      <c r="I20" s="9"/>
    </row>
    <row r="21">
      <c r="A21" s="5">
        <v>45352.0</v>
      </c>
      <c r="B21" s="6" t="s">
        <v>13</v>
      </c>
      <c r="C21" s="7" t="s">
        <v>58</v>
      </c>
      <c r="D21" s="6" t="s">
        <v>59</v>
      </c>
      <c r="E21" s="6" t="s">
        <v>16</v>
      </c>
      <c r="F21" s="7" t="s">
        <v>60</v>
      </c>
      <c r="G21" s="8">
        <f>IF(IFERROR(FIND(LOWER('Buscador Patologías'!$P$3),C21,1),0)&lt;&gt;0,1,IF(IFERROR(FIND('Buscador Patologías'!$B$3,C21,1),0)=0,0,1))</f>
        <v>0</v>
      </c>
      <c r="H21" s="9"/>
      <c r="I21" s="9"/>
    </row>
    <row r="22">
      <c r="A22" s="5">
        <v>45352.0</v>
      </c>
      <c r="B22" s="6" t="s">
        <v>24</v>
      </c>
      <c r="C22" s="7" t="s">
        <v>61</v>
      </c>
      <c r="D22" s="9"/>
      <c r="E22" s="6" t="s">
        <v>16</v>
      </c>
      <c r="F22" s="7" t="s">
        <v>62</v>
      </c>
      <c r="G22" s="8">
        <f>IF(IFERROR(FIND(LOWER('Buscador Patologías'!$P$3),C22,1),0)&lt;&gt;0,1,IF(IFERROR(FIND('Buscador Patologías'!$B$3,C22,1),0)=0,0,1))</f>
        <v>0</v>
      </c>
      <c r="H22" s="9"/>
      <c r="I22" s="9"/>
    </row>
    <row r="23">
      <c r="A23" s="5">
        <v>45352.0</v>
      </c>
      <c r="B23" s="6" t="s">
        <v>41</v>
      </c>
      <c r="C23" s="7" t="s">
        <v>63</v>
      </c>
      <c r="D23" s="6" t="s">
        <v>12</v>
      </c>
      <c r="E23" s="6" t="s">
        <v>16</v>
      </c>
      <c r="F23" s="7" t="s">
        <v>64</v>
      </c>
      <c r="G23" s="8">
        <f>IF(IFERROR(FIND(LOWER('Buscador Patologías'!$P$3),C23,1),0)&lt;&gt;0,1,IF(IFERROR(FIND('Buscador Patologías'!$B$3,C23,1),0)=0,0,1))</f>
        <v>0</v>
      </c>
      <c r="H23" s="9"/>
      <c r="I23" s="9"/>
    </row>
    <row r="24">
      <c r="A24" s="5">
        <v>45352.0</v>
      </c>
      <c r="B24" s="6" t="s">
        <v>41</v>
      </c>
      <c r="C24" s="7" t="s">
        <v>65</v>
      </c>
      <c r="D24" s="6" t="s">
        <v>12</v>
      </c>
      <c r="E24" s="6" t="s">
        <v>16</v>
      </c>
      <c r="F24" s="7" t="s">
        <v>66</v>
      </c>
      <c r="G24" s="8">
        <f>IF(IFERROR(FIND(LOWER('Buscador Patologías'!$P$3),C24,1),0)&lt;&gt;0,1,IF(IFERROR(FIND('Buscador Patologías'!$B$3,C24,1),0)=0,0,1))</f>
        <v>0</v>
      </c>
      <c r="H24" s="9"/>
      <c r="I24" s="9"/>
    </row>
    <row r="25">
      <c r="A25" s="5">
        <v>45352.0</v>
      </c>
      <c r="B25" s="6" t="s">
        <v>29</v>
      </c>
      <c r="C25" s="7" t="s">
        <v>67</v>
      </c>
      <c r="D25" s="6" t="s">
        <v>26</v>
      </c>
      <c r="E25" s="6" t="s">
        <v>10</v>
      </c>
      <c r="F25" s="7"/>
      <c r="G25" s="8">
        <f>IF(IFERROR(FIND(LOWER('Buscador Patologías'!$P$3),C25,1),0)&lt;&gt;0,1,IF(IFERROR(FIND('Buscador Patologías'!$B$3,C25,1),0)=0,0,1))</f>
        <v>0</v>
      </c>
      <c r="H25" s="9"/>
      <c r="I25" s="9"/>
    </row>
    <row r="26">
      <c r="A26" s="5">
        <v>45383.0</v>
      </c>
      <c r="B26" s="6" t="s">
        <v>41</v>
      </c>
      <c r="C26" s="7" t="s">
        <v>68</v>
      </c>
      <c r="D26" s="6" t="s">
        <v>45</v>
      </c>
      <c r="E26" s="6" t="s">
        <v>35</v>
      </c>
      <c r="F26" s="6" t="s">
        <v>69</v>
      </c>
      <c r="G26" s="8">
        <f>IF(IFERROR(FIND(LOWER('Buscador Patologías'!$P$3),C26,1),0)&lt;&gt;0,1,IF(IFERROR(FIND('Buscador Patologías'!$B$3,C26,1),0)=0,0,1))</f>
        <v>0</v>
      </c>
      <c r="H26" s="9"/>
      <c r="I26" s="9"/>
    </row>
    <row r="27">
      <c r="A27" s="5">
        <v>45384.0</v>
      </c>
      <c r="B27" s="6" t="s">
        <v>41</v>
      </c>
      <c r="C27" s="7" t="s">
        <v>70</v>
      </c>
      <c r="D27" s="6" t="s">
        <v>9</v>
      </c>
      <c r="E27" s="6" t="s">
        <v>35</v>
      </c>
      <c r="F27" s="6" t="s">
        <v>69</v>
      </c>
      <c r="G27" s="8">
        <f>IF(IFERROR(FIND(LOWER('Buscador Patologías'!$P$3),C27,1),0)&lt;&gt;0,1,IF(IFERROR(FIND('Buscador Patologías'!$B$3,C27,1),0)=0,0,1))</f>
        <v>0</v>
      </c>
      <c r="H27" s="9"/>
      <c r="I27" s="9"/>
    </row>
    <row r="28" ht="16.5" customHeight="1">
      <c r="A28" s="5">
        <v>45385.0</v>
      </c>
      <c r="B28" s="6" t="s">
        <v>41</v>
      </c>
      <c r="C28" s="7" t="s">
        <v>71</v>
      </c>
      <c r="D28" s="6" t="s">
        <v>22</v>
      </c>
      <c r="E28" s="6" t="s">
        <v>35</v>
      </c>
      <c r="F28" s="6" t="s">
        <v>69</v>
      </c>
      <c r="G28" s="8">
        <f>IF(IFERROR(FIND(LOWER('Buscador Patologías'!$P$3),C28,1),0)&lt;&gt;0,1,IF(IFERROR(FIND('Buscador Patologías'!$B$3,C28,1),0)=0,0,1))</f>
        <v>0</v>
      </c>
      <c r="H28" s="9"/>
      <c r="I28" s="9"/>
    </row>
    <row r="29">
      <c r="A29" s="5">
        <v>45386.0</v>
      </c>
      <c r="B29" s="6" t="s">
        <v>13</v>
      </c>
      <c r="C29" s="7" t="s">
        <v>72</v>
      </c>
      <c r="D29" s="6" t="s">
        <v>59</v>
      </c>
      <c r="E29" s="6" t="s">
        <v>16</v>
      </c>
      <c r="F29" s="7" t="s">
        <v>73</v>
      </c>
      <c r="G29" s="8">
        <f>IF(IFERROR(FIND(LOWER('Buscador Patologías'!$P$3),C29,1),0)&lt;&gt;0,1,IF(IFERROR(FIND('Buscador Patologías'!$B$3,C29,1),0)=0,0,1))</f>
        <v>0</v>
      </c>
      <c r="H29" s="9"/>
      <c r="I29" s="9"/>
    </row>
    <row r="30">
      <c r="A30" s="5">
        <v>45385.0</v>
      </c>
      <c r="B30" s="6" t="s">
        <v>41</v>
      </c>
      <c r="C30" s="7" t="s">
        <v>74</v>
      </c>
      <c r="D30" s="6" t="s">
        <v>22</v>
      </c>
      <c r="E30" s="6" t="s">
        <v>10</v>
      </c>
      <c r="F30" s="7"/>
      <c r="G30" s="8">
        <f>IF(IFERROR(FIND(LOWER('Buscador Patologías'!$P$3),C30,1),0)&lt;&gt;0,1,IF(IFERROR(FIND('Buscador Patologías'!$B$3,C30,1),0)=0,0,1))</f>
        <v>0</v>
      </c>
      <c r="H30" s="9"/>
      <c r="I30" s="9"/>
    </row>
    <row r="31">
      <c r="A31" s="5">
        <v>45386.0</v>
      </c>
      <c r="B31" s="6" t="s">
        <v>13</v>
      </c>
      <c r="C31" s="15" t="s">
        <v>75</v>
      </c>
      <c r="D31" s="6" t="s">
        <v>12</v>
      </c>
      <c r="E31" s="6" t="s">
        <v>10</v>
      </c>
      <c r="F31" s="7"/>
      <c r="G31" s="8">
        <f>IF(IFERROR(FIND(LOWER('Buscador Patologías'!$P$3),C31,1),0)&lt;&gt;0,1,IF(IFERROR(FIND('Buscador Patologías'!$B$3,C31,1),0)=0,0,1))</f>
        <v>0</v>
      </c>
      <c r="H31" s="9"/>
      <c r="I31" s="9"/>
    </row>
    <row r="32">
      <c r="A32" s="5">
        <v>45413.0</v>
      </c>
      <c r="B32" s="6" t="s">
        <v>13</v>
      </c>
      <c r="C32" s="7" t="s">
        <v>76</v>
      </c>
      <c r="D32" s="9"/>
      <c r="E32" s="6" t="s">
        <v>16</v>
      </c>
      <c r="F32" s="7"/>
      <c r="G32" s="8">
        <f>IF(IFERROR(FIND(LOWER('Buscador Patologías'!$P$3),C32,1),0)&lt;&gt;0,1,IF(IFERROR(FIND('Buscador Patologías'!$B$3,C32,1),0)=0,0,1))</f>
        <v>0</v>
      </c>
      <c r="H32" s="9"/>
      <c r="I32" s="9"/>
    </row>
    <row r="33">
      <c r="A33" s="5">
        <v>45413.0</v>
      </c>
      <c r="B33" s="6" t="s">
        <v>41</v>
      </c>
      <c r="C33" s="7" t="s">
        <v>77</v>
      </c>
      <c r="D33" s="6" t="s">
        <v>15</v>
      </c>
      <c r="E33" s="6" t="s">
        <v>16</v>
      </c>
      <c r="F33" s="7" t="s">
        <v>78</v>
      </c>
      <c r="G33" s="8">
        <f>IF(IFERROR(FIND(LOWER('Buscador Patologías'!$P$3),C33,1),0)&lt;&gt;0,1,IF(IFERROR(FIND('Buscador Patologías'!$B$3,C33,1),0)=0,0,1))</f>
        <v>0</v>
      </c>
      <c r="H33" s="9"/>
      <c r="I33" s="9"/>
    </row>
    <row r="34">
      <c r="A34" s="5">
        <v>45413.0</v>
      </c>
      <c r="B34" s="6" t="s">
        <v>41</v>
      </c>
      <c r="C34" s="7" t="s">
        <v>79</v>
      </c>
      <c r="D34" s="6" t="s">
        <v>12</v>
      </c>
      <c r="E34" s="6" t="s">
        <v>16</v>
      </c>
      <c r="F34" s="7" t="s">
        <v>80</v>
      </c>
      <c r="G34" s="8">
        <f>IF(IFERROR(FIND(LOWER('Buscador Patologías'!$P$3),C34,1),0)&lt;&gt;0,1,IF(IFERROR(FIND('Buscador Patologías'!$B$3,C34,1),0)=0,0,1))</f>
        <v>0</v>
      </c>
      <c r="H34" s="9"/>
      <c r="I34" s="9"/>
    </row>
    <row r="35">
      <c r="A35" s="5">
        <v>45413.0</v>
      </c>
      <c r="B35" s="6" t="s">
        <v>13</v>
      </c>
      <c r="C35" s="7" t="s">
        <v>81</v>
      </c>
      <c r="D35" s="6" t="s">
        <v>9</v>
      </c>
      <c r="E35" s="6" t="s">
        <v>10</v>
      </c>
      <c r="F35" s="7"/>
      <c r="G35" s="8">
        <f>IF(IFERROR(FIND(LOWER('Buscador Patologías'!$P$3),C35,1),0)&lt;&gt;0,1,IF(IFERROR(FIND('Buscador Patologías'!$B$3,C35,1),0)=0,0,1))</f>
        <v>0</v>
      </c>
      <c r="H35" s="9"/>
      <c r="I35" s="9"/>
    </row>
    <row r="36">
      <c r="A36" s="5">
        <v>45413.0</v>
      </c>
      <c r="B36" s="6" t="s">
        <v>41</v>
      </c>
      <c r="C36" s="7" t="s">
        <v>82</v>
      </c>
      <c r="D36" s="6" t="s">
        <v>26</v>
      </c>
      <c r="E36" s="6" t="s">
        <v>10</v>
      </c>
      <c r="F36" s="7" t="s">
        <v>83</v>
      </c>
      <c r="G36" s="8">
        <f>IF(IFERROR(FIND(LOWER('Buscador Patologías'!$P$3),C36,1),0)&lt;&gt;0,1,IF(IFERROR(FIND('Buscador Patologías'!$B$3,C36,1),0)=0,0,1))</f>
        <v>0</v>
      </c>
      <c r="H36" s="9"/>
      <c r="I36" s="9"/>
    </row>
    <row r="37">
      <c r="A37" s="5">
        <v>45413.0</v>
      </c>
      <c r="B37" s="6" t="s">
        <v>41</v>
      </c>
      <c r="C37" s="7" t="s">
        <v>84</v>
      </c>
      <c r="D37" s="6" t="s">
        <v>12</v>
      </c>
      <c r="E37" s="6" t="s">
        <v>16</v>
      </c>
      <c r="F37" s="7" t="s">
        <v>85</v>
      </c>
      <c r="G37" s="8">
        <f>IF(IFERROR(FIND(LOWER('Buscador Patologías'!$P$3),C37,1),0)&lt;&gt;0,1,IF(IFERROR(FIND('Buscador Patologías'!$B$3,C37,1),0)=0,0,1))</f>
        <v>0</v>
      </c>
      <c r="H37" s="9"/>
      <c r="I37" s="9"/>
    </row>
    <row r="38">
      <c r="A38" s="5">
        <v>45413.0</v>
      </c>
      <c r="B38" s="6" t="s">
        <v>29</v>
      </c>
      <c r="C38" s="7" t="s">
        <v>86</v>
      </c>
      <c r="D38" s="6" t="s">
        <v>45</v>
      </c>
      <c r="E38" s="6" t="s">
        <v>16</v>
      </c>
      <c r="F38" s="7" t="s">
        <v>87</v>
      </c>
      <c r="G38" s="8">
        <f>IF(IFERROR(FIND(LOWER('Buscador Patologías'!$P$3),C38,1),0)&lt;&gt;0,1,IF(IFERROR(FIND('Buscador Patologías'!$B$3,C38,1),0)=0,0,1))</f>
        <v>0</v>
      </c>
      <c r="H38" s="9"/>
      <c r="I38" s="9"/>
    </row>
    <row r="39">
      <c r="A39" s="5">
        <v>45413.0</v>
      </c>
      <c r="B39" s="6" t="s">
        <v>29</v>
      </c>
      <c r="C39" s="7" t="s">
        <v>88</v>
      </c>
      <c r="D39" s="6" t="s">
        <v>12</v>
      </c>
      <c r="E39" s="6" t="s">
        <v>35</v>
      </c>
      <c r="F39" s="7" t="s">
        <v>89</v>
      </c>
      <c r="G39" s="8">
        <f>IF(IFERROR(FIND(LOWER('Buscador Patologías'!$P$3),C39,1),0)&lt;&gt;0,1,IF(IFERROR(FIND('Buscador Patologías'!$B$3,C39,1),0)=0,0,1))</f>
        <v>0</v>
      </c>
      <c r="H39" s="9"/>
      <c r="I39" s="9"/>
    </row>
    <row r="40">
      <c r="A40" s="5">
        <v>45413.0</v>
      </c>
      <c r="B40" s="6" t="s">
        <v>29</v>
      </c>
      <c r="C40" s="7" t="s">
        <v>90</v>
      </c>
      <c r="D40" s="6" t="s">
        <v>56</v>
      </c>
      <c r="E40" s="6" t="s">
        <v>35</v>
      </c>
      <c r="F40" s="7"/>
      <c r="G40" s="8">
        <f>IF(IFERROR(FIND(LOWER('Buscador Patologías'!$P$3),C40,1),0)&lt;&gt;0,1,IF(IFERROR(FIND('Buscador Patologías'!$B$3,C40,1),0)=0,0,1))</f>
        <v>0</v>
      </c>
      <c r="H40" s="9"/>
      <c r="I40" s="9"/>
    </row>
    <row r="41">
      <c r="A41" s="5">
        <v>45444.0</v>
      </c>
      <c r="B41" s="6" t="s">
        <v>41</v>
      </c>
      <c r="C41" s="7" t="s">
        <v>91</v>
      </c>
      <c r="D41" s="6" t="s">
        <v>92</v>
      </c>
      <c r="E41" s="6" t="s">
        <v>10</v>
      </c>
      <c r="F41" s="7" t="s">
        <v>93</v>
      </c>
      <c r="G41" s="8">
        <f>IF(IFERROR(FIND(LOWER('Buscador Patologías'!$P$3),C41,1),0)&lt;&gt;0,1,IF(IFERROR(FIND('Buscador Patologías'!$B$3,C41,1),0)=0,0,1))</f>
        <v>0</v>
      </c>
      <c r="H41" s="9"/>
      <c r="I41" s="9"/>
    </row>
    <row r="42">
      <c r="A42" s="5">
        <v>45444.0</v>
      </c>
      <c r="B42" s="6" t="s">
        <v>41</v>
      </c>
      <c r="C42" s="7" t="s">
        <v>94</v>
      </c>
      <c r="D42" s="6" t="s">
        <v>12</v>
      </c>
      <c r="E42" s="6" t="s">
        <v>35</v>
      </c>
      <c r="F42" s="7" t="s">
        <v>89</v>
      </c>
      <c r="G42" s="8">
        <f>IF(IFERROR(FIND(LOWER('Buscador Patologías'!$P$3),C42,1),0)&lt;&gt;0,1,IF(IFERROR(FIND('Buscador Patologías'!$B$3,C42,1),0)=0,0,1))</f>
        <v>0</v>
      </c>
      <c r="H42" s="9"/>
      <c r="I42" s="9"/>
    </row>
    <row r="43">
      <c r="A43" s="5">
        <v>45444.0</v>
      </c>
      <c r="B43" s="6" t="s">
        <v>29</v>
      </c>
      <c r="C43" s="7" t="s">
        <v>95</v>
      </c>
      <c r="D43" s="6" t="s">
        <v>9</v>
      </c>
      <c r="E43" s="6" t="s">
        <v>10</v>
      </c>
      <c r="F43" s="7" t="s">
        <v>83</v>
      </c>
      <c r="G43" s="8">
        <f>IF(IFERROR(FIND(LOWER('Buscador Patologías'!$P$3),C43,1),0)&lt;&gt;0,1,IF(IFERROR(FIND('Buscador Patologías'!$B$3,C43,1),0)=0,0,1))</f>
        <v>0</v>
      </c>
      <c r="H43" s="9"/>
      <c r="I43" s="9"/>
    </row>
    <row r="44">
      <c r="A44" s="5">
        <v>45444.0</v>
      </c>
      <c r="B44" s="6" t="s">
        <v>29</v>
      </c>
      <c r="C44" s="7" t="s">
        <v>96</v>
      </c>
      <c r="D44" s="6" t="s">
        <v>12</v>
      </c>
      <c r="E44" s="6" t="s">
        <v>10</v>
      </c>
      <c r="F44" s="7" t="s">
        <v>83</v>
      </c>
      <c r="G44" s="8">
        <f>IF(IFERROR(FIND(LOWER('Buscador Patologías'!$P$3),C44,1),0)&lt;&gt;0,1,IF(IFERROR(FIND('Buscador Patologías'!$B$3,C44,1),0)=0,0,1))</f>
        <v>0</v>
      </c>
      <c r="H44" s="9"/>
      <c r="I44" s="9"/>
    </row>
    <row r="45">
      <c r="A45" s="5">
        <v>45444.0</v>
      </c>
      <c r="B45" s="6" t="s">
        <v>29</v>
      </c>
      <c r="C45" s="7" t="s">
        <v>97</v>
      </c>
      <c r="D45" s="6" t="s">
        <v>12</v>
      </c>
      <c r="E45" s="6" t="s">
        <v>10</v>
      </c>
      <c r="F45" s="7" t="s">
        <v>83</v>
      </c>
      <c r="G45" s="8">
        <f>IF(IFERROR(FIND(LOWER('Buscador Patologías'!$P$3),C45,1),0)&lt;&gt;0,1,IF(IFERROR(FIND('Buscador Patologías'!$B$3,C45,1),0)=0,0,1))</f>
        <v>0</v>
      </c>
      <c r="H45" s="9"/>
      <c r="I45" s="9"/>
    </row>
    <row r="46">
      <c r="A46" s="5">
        <v>45444.0</v>
      </c>
      <c r="B46" s="6" t="s">
        <v>29</v>
      </c>
      <c r="C46" s="7" t="s">
        <v>98</v>
      </c>
      <c r="D46" s="6" t="s">
        <v>9</v>
      </c>
      <c r="E46" s="6" t="s">
        <v>16</v>
      </c>
      <c r="F46" s="7" t="s">
        <v>99</v>
      </c>
      <c r="G46" s="8">
        <f>IF(IFERROR(FIND(LOWER('Buscador Patologías'!$P$3),C46,1),0)&lt;&gt;0,1,IF(IFERROR(FIND('Buscador Patologías'!$B$3,C46,1),0)=0,0,1))</f>
        <v>0</v>
      </c>
      <c r="H46" s="9"/>
      <c r="I46" s="9"/>
    </row>
    <row r="47">
      <c r="A47" s="5">
        <v>45444.0</v>
      </c>
      <c r="B47" s="6" t="s">
        <v>29</v>
      </c>
      <c r="C47" s="7" t="s">
        <v>100</v>
      </c>
      <c r="D47" s="9"/>
      <c r="E47" s="6" t="s">
        <v>16</v>
      </c>
      <c r="F47" s="7" t="s">
        <v>101</v>
      </c>
      <c r="G47" s="8">
        <f>IF(IFERROR(FIND(LOWER('Buscador Patologías'!$P$3),C47,1),0)&lt;&gt;0,1,IF(IFERROR(FIND('Buscador Patologías'!$B$3,C47,1),0)=0,0,1))</f>
        <v>0</v>
      </c>
      <c r="H47" s="9"/>
      <c r="I47" s="9"/>
    </row>
    <row r="48">
      <c r="A48" s="5">
        <v>45444.0</v>
      </c>
      <c r="B48" s="6" t="s">
        <v>29</v>
      </c>
      <c r="C48" s="7" t="s">
        <v>102</v>
      </c>
      <c r="D48" s="6" t="s">
        <v>56</v>
      </c>
      <c r="E48" s="6" t="s">
        <v>10</v>
      </c>
      <c r="F48" s="7" t="s">
        <v>83</v>
      </c>
      <c r="G48" s="8">
        <f>IF(IFERROR(FIND(LOWER('Buscador Patologías'!$P$3),C48,1),0)&lt;&gt;0,1,IF(IFERROR(FIND('Buscador Patologías'!$B$3,C48,1),0)=0,0,1))</f>
        <v>0</v>
      </c>
      <c r="H48" s="9"/>
      <c r="I48" s="9"/>
    </row>
    <row r="49">
      <c r="A49" s="5">
        <v>45444.0</v>
      </c>
      <c r="B49" s="6" t="s">
        <v>29</v>
      </c>
      <c r="C49" s="7" t="s">
        <v>103</v>
      </c>
      <c r="D49" s="6" t="s">
        <v>56</v>
      </c>
      <c r="E49" s="6" t="s">
        <v>16</v>
      </c>
      <c r="F49" s="7" t="s">
        <v>104</v>
      </c>
      <c r="G49" s="8">
        <f>IF(IFERROR(FIND(LOWER('Buscador Patologías'!$P$3),C49,1),0)&lt;&gt;0,1,IF(IFERROR(FIND('Buscador Patologías'!$B$3,C49,1),0)=0,0,1))</f>
        <v>0</v>
      </c>
      <c r="H49" s="9"/>
      <c r="I49" s="9"/>
    </row>
    <row r="50">
      <c r="A50" s="5">
        <v>45474.0</v>
      </c>
      <c r="B50" s="6" t="s">
        <v>29</v>
      </c>
      <c r="C50" s="7" t="s">
        <v>105</v>
      </c>
      <c r="D50" s="6" t="s">
        <v>9</v>
      </c>
      <c r="E50" s="6" t="s">
        <v>16</v>
      </c>
      <c r="F50" s="7" t="s">
        <v>106</v>
      </c>
      <c r="G50" s="8">
        <f>IF(IFERROR(FIND(LOWER('Buscador Patologías'!$P$3),C50,1),0)&lt;&gt;0,1,IF(IFERROR(FIND('Buscador Patologías'!$B$3,C50,1),0)=0,0,1))</f>
        <v>0</v>
      </c>
      <c r="H50" s="9"/>
      <c r="I50" s="9"/>
    </row>
    <row r="51">
      <c r="A51" s="5">
        <v>45474.0</v>
      </c>
      <c r="B51" s="6" t="s">
        <v>29</v>
      </c>
      <c r="C51" s="7" t="s">
        <v>107</v>
      </c>
      <c r="D51" s="6" t="s">
        <v>92</v>
      </c>
      <c r="E51" s="6" t="s">
        <v>35</v>
      </c>
      <c r="F51" s="7" t="s">
        <v>108</v>
      </c>
      <c r="G51" s="8">
        <f>IF(IFERROR(FIND(LOWER('Buscador Patologías'!$P$3),C51,1),0)&lt;&gt;0,1,IF(IFERROR(FIND('Buscador Patologías'!$B$3,C51,1),0)=0,0,1))</f>
        <v>0</v>
      </c>
      <c r="H51" s="9"/>
      <c r="I51" s="9"/>
    </row>
    <row r="52">
      <c r="A52" s="5">
        <v>45474.0</v>
      </c>
      <c r="B52" s="6" t="s">
        <v>29</v>
      </c>
      <c r="C52" s="7" t="s">
        <v>109</v>
      </c>
      <c r="D52" s="6" t="s">
        <v>22</v>
      </c>
      <c r="E52" s="6" t="s">
        <v>35</v>
      </c>
      <c r="F52" s="7"/>
      <c r="G52" s="8">
        <f>IF(IFERROR(FIND(LOWER('Buscador Patologías'!$P$3),C52,1),0)&lt;&gt;0,1,IF(IFERROR(FIND('Buscador Patologías'!$B$3,C52,1),0)=0,0,1))</f>
        <v>0</v>
      </c>
    </row>
    <row r="53">
      <c r="A53" s="5">
        <v>45474.0</v>
      </c>
      <c r="B53" s="6" t="s">
        <v>29</v>
      </c>
      <c r="C53" s="7" t="s">
        <v>110</v>
      </c>
      <c r="D53" s="6" t="s">
        <v>26</v>
      </c>
      <c r="E53" s="6" t="s">
        <v>35</v>
      </c>
      <c r="F53" s="7"/>
      <c r="G53" s="8">
        <f>IF(IFERROR(FIND(LOWER('Buscador Patologías'!$P$3),C53,1),0)&lt;&gt;0,1,IF(IFERROR(FIND('Buscador Patologías'!$B$3,C53,1),0)=0,0,1))</f>
        <v>0</v>
      </c>
    </row>
    <row r="54">
      <c r="A54" s="5">
        <v>45474.0</v>
      </c>
      <c r="B54" s="6" t="s">
        <v>29</v>
      </c>
      <c r="C54" s="7" t="s">
        <v>111</v>
      </c>
      <c r="D54" s="9"/>
      <c r="E54" s="6" t="s">
        <v>10</v>
      </c>
      <c r="F54" s="7"/>
      <c r="G54" s="8">
        <f>IF(IFERROR(FIND(LOWER('Buscador Patologías'!$P$3),C54,1),0)&lt;&gt;0,1,IF(IFERROR(FIND('Buscador Patologías'!$B$3,C54,1),0)=0,0,1))</f>
        <v>0</v>
      </c>
      <c r="H54" s="9"/>
      <c r="I54" s="9"/>
    </row>
    <row r="55">
      <c r="A55" s="5">
        <v>45474.0</v>
      </c>
      <c r="B55" s="6" t="s">
        <v>29</v>
      </c>
      <c r="C55" s="7" t="s">
        <v>112</v>
      </c>
      <c r="D55" s="6" t="s">
        <v>9</v>
      </c>
      <c r="E55" s="6" t="s">
        <v>10</v>
      </c>
      <c r="F55" s="16"/>
      <c r="G55" s="8">
        <f>IF(IFERROR(FIND(LOWER('Buscador Patologías'!$P$3),C55,1),0)&lt;&gt;0,1,IF(IFERROR(FIND('Buscador Patologías'!$B$3,C55,1),0)=0,0,1))</f>
        <v>0</v>
      </c>
      <c r="H55" s="9"/>
      <c r="I55" s="9"/>
    </row>
    <row r="56">
      <c r="A56" s="5">
        <v>45474.0</v>
      </c>
      <c r="B56" s="6" t="s">
        <v>29</v>
      </c>
      <c r="C56" s="7" t="s">
        <v>113</v>
      </c>
      <c r="D56" s="6" t="s">
        <v>22</v>
      </c>
      <c r="E56" s="6" t="s">
        <v>10</v>
      </c>
      <c r="F56" s="7"/>
      <c r="G56" s="8">
        <f>IF(IFERROR(FIND(LOWER('Buscador Patologías'!$P$3),C56,1),0)&lt;&gt;0,1,IF(IFERROR(FIND('Buscador Patologías'!$B$3,C56,1),0)=0,0,1))</f>
        <v>0</v>
      </c>
      <c r="H56" s="9"/>
      <c r="I56" s="9"/>
    </row>
    <row r="57">
      <c r="A57" s="5">
        <v>45474.0</v>
      </c>
      <c r="B57" s="6" t="s">
        <v>29</v>
      </c>
      <c r="C57" s="7" t="s">
        <v>114</v>
      </c>
      <c r="D57" s="6" t="s">
        <v>15</v>
      </c>
      <c r="E57" s="6" t="s">
        <v>10</v>
      </c>
      <c r="F57" s="16"/>
      <c r="G57" s="8">
        <f>IF(IFERROR(FIND(LOWER('Buscador Patologías'!$P$3),C57,1),0)&lt;&gt;0,1,IF(IFERROR(FIND('Buscador Patologías'!$B$3,C57,1),0)=0,0,1))</f>
        <v>0</v>
      </c>
      <c r="H57" s="9"/>
      <c r="I57" s="9"/>
    </row>
    <row r="58">
      <c r="A58" s="5">
        <v>45474.0</v>
      </c>
      <c r="B58" s="6" t="s">
        <v>29</v>
      </c>
      <c r="C58" s="7" t="s">
        <v>115</v>
      </c>
      <c r="D58" s="6" t="s">
        <v>32</v>
      </c>
      <c r="E58" s="6" t="s">
        <v>10</v>
      </c>
      <c r="F58" s="7"/>
      <c r="G58" s="8">
        <f>IF(IFERROR(FIND(LOWER('Buscador Patologías'!$P$3),C58,1),0)&lt;&gt;0,1,IF(IFERROR(FIND('Buscador Patologías'!$B$3,C58,1),0)=0,0,1))</f>
        <v>1</v>
      </c>
      <c r="H58" s="9"/>
      <c r="I58" s="9"/>
    </row>
    <row r="59">
      <c r="A59" s="5">
        <v>45474.0</v>
      </c>
      <c r="B59" s="6" t="s">
        <v>29</v>
      </c>
      <c r="C59" s="7" t="s">
        <v>116</v>
      </c>
      <c r="D59" s="6" t="s">
        <v>9</v>
      </c>
      <c r="E59" s="6" t="s">
        <v>10</v>
      </c>
      <c r="F59" s="7"/>
      <c r="G59" s="8">
        <f>IF(IFERROR(FIND(LOWER('Buscador Patologías'!$P$3),C59,1),0)&lt;&gt;0,1,IF(IFERROR(FIND('Buscador Patologías'!$B$3,C59,1),0)=0,0,1))</f>
        <v>0</v>
      </c>
      <c r="H59" s="9"/>
      <c r="I59" s="9"/>
    </row>
    <row r="60">
      <c r="A60" s="5">
        <v>45474.0</v>
      </c>
      <c r="B60" s="6" t="s">
        <v>29</v>
      </c>
      <c r="C60" s="7" t="s">
        <v>117</v>
      </c>
      <c r="D60" s="6" t="s">
        <v>40</v>
      </c>
      <c r="E60" s="6" t="s">
        <v>10</v>
      </c>
      <c r="F60" s="7"/>
      <c r="G60" s="8">
        <f>IF(IFERROR(FIND(LOWER('Buscador Patologías'!$P$3),C60,1),0)&lt;&gt;0,1,IF(IFERROR(FIND('Buscador Patologías'!$B$3,C60,1),0)=0,0,1))</f>
        <v>0</v>
      </c>
      <c r="H60" s="9"/>
      <c r="I60" s="9"/>
    </row>
    <row r="61">
      <c r="A61" s="5">
        <v>45474.0</v>
      </c>
      <c r="B61" s="6" t="s">
        <v>29</v>
      </c>
      <c r="C61" s="7" t="s">
        <v>118</v>
      </c>
      <c r="D61" s="6" t="s">
        <v>119</v>
      </c>
      <c r="E61" s="6" t="s">
        <v>10</v>
      </c>
      <c r="F61" s="16"/>
      <c r="G61" s="8">
        <f>IF(IFERROR(FIND(LOWER('Buscador Patologías'!$P$3),C61,1),0)&lt;&gt;0,1,IF(IFERROR(FIND('Buscador Patologías'!$B$3,C61,1),0)=0,0,1))</f>
        <v>0</v>
      </c>
      <c r="H61" s="9"/>
      <c r="I61" s="9"/>
    </row>
    <row r="62">
      <c r="A62" s="5">
        <v>45474.0</v>
      </c>
      <c r="B62" s="6" t="s">
        <v>29</v>
      </c>
      <c r="C62" s="7" t="s">
        <v>120</v>
      </c>
      <c r="D62" s="6" t="s">
        <v>92</v>
      </c>
      <c r="E62" s="6" t="s">
        <v>10</v>
      </c>
      <c r="F62" s="7"/>
      <c r="G62" s="8">
        <f>IF(IFERROR(FIND(LOWER('Buscador Patologías'!$P$3),C62,1),0)&lt;&gt;0,1,IF(IFERROR(FIND('Buscador Patologías'!$B$3,C62,1),0)=0,0,1))</f>
        <v>0</v>
      </c>
    </row>
    <row r="63">
      <c r="A63" s="5">
        <v>45474.0</v>
      </c>
      <c r="B63" s="6" t="s">
        <v>29</v>
      </c>
      <c r="C63" s="7" t="s">
        <v>121</v>
      </c>
      <c r="D63" s="6" t="s">
        <v>9</v>
      </c>
      <c r="E63" s="6" t="s">
        <v>10</v>
      </c>
      <c r="F63" s="16"/>
      <c r="G63" s="8">
        <f>IF(IFERROR(FIND(LOWER('Buscador Patologías'!$P$3),C63,1),0)&lt;&gt;0,1,IF(IFERROR(FIND('Buscador Patologías'!$B$3,C63,1),0)=0,0,1))</f>
        <v>0</v>
      </c>
      <c r="H63" s="9"/>
      <c r="I63" s="9"/>
    </row>
    <row r="64">
      <c r="A64" s="5">
        <v>45474.0</v>
      </c>
      <c r="B64" s="6" t="s">
        <v>29</v>
      </c>
      <c r="C64" s="7" t="s">
        <v>122</v>
      </c>
      <c r="D64" s="6" t="s">
        <v>119</v>
      </c>
      <c r="E64" s="6" t="s">
        <v>10</v>
      </c>
      <c r="F64" s="16"/>
      <c r="G64" s="8">
        <f>IF(IFERROR(FIND(LOWER('Buscador Patologías'!$P$3),C64,1),0)&lt;&gt;0,1,IF(IFERROR(FIND('Buscador Patologías'!$B$3,C64,1),0)=0,0,1))</f>
        <v>0</v>
      </c>
      <c r="H64" s="9"/>
      <c r="I64" s="9"/>
    </row>
    <row r="65">
      <c r="A65" s="5">
        <v>45474.0</v>
      </c>
      <c r="B65" s="6" t="s">
        <v>41</v>
      </c>
      <c r="C65" s="7" t="s">
        <v>123</v>
      </c>
      <c r="D65" s="6" t="s">
        <v>9</v>
      </c>
      <c r="E65" s="6" t="s">
        <v>10</v>
      </c>
      <c r="F65" s="16"/>
      <c r="G65" s="8">
        <f>IF(IFERROR(FIND(LOWER('Buscador Patologías'!$P$3),C65,1),0)&lt;&gt;0,1,IF(IFERROR(FIND('Buscador Patologías'!$B$3,C65,1),0)=0,0,1))</f>
        <v>0</v>
      </c>
      <c r="H65" s="9"/>
      <c r="I65" s="9"/>
    </row>
    <row r="66">
      <c r="A66" s="5">
        <v>45474.0</v>
      </c>
      <c r="B66" s="6" t="s">
        <v>29</v>
      </c>
      <c r="C66" s="7" t="s">
        <v>124</v>
      </c>
      <c r="D66" s="6" t="s">
        <v>12</v>
      </c>
      <c r="E66" s="6" t="s">
        <v>16</v>
      </c>
      <c r="F66" s="7" t="s">
        <v>125</v>
      </c>
      <c r="G66" s="8">
        <f>IF(IFERROR(FIND(LOWER('Buscador Patologías'!$P$3),C66,1),0)&lt;&gt;0,1,IF(IFERROR(FIND('Buscador Patologías'!$B$3,C66,1),0)=0,0,1))</f>
        <v>0</v>
      </c>
      <c r="H66" s="9"/>
      <c r="I66" s="9"/>
    </row>
    <row r="67">
      <c r="A67" s="5">
        <v>45474.0</v>
      </c>
      <c r="B67" s="6" t="s">
        <v>29</v>
      </c>
      <c r="C67" s="7" t="s">
        <v>126</v>
      </c>
      <c r="D67" s="6" t="s">
        <v>22</v>
      </c>
      <c r="E67" s="6" t="s">
        <v>35</v>
      </c>
      <c r="F67" s="7" t="s">
        <v>89</v>
      </c>
      <c r="G67" s="8">
        <f>IF(IFERROR(FIND(LOWER('Buscador Patologías'!$P$3),C67,1),0)&lt;&gt;0,1,IF(IFERROR(FIND('Buscador Patologías'!$B$3,C67,1),0)=0,0,1))</f>
        <v>0</v>
      </c>
      <c r="H67" s="9"/>
      <c r="I67" s="9"/>
    </row>
    <row r="68">
      <c r="A68" s="5">
        <v>45474.0</v>
      </c>
      <c r="B68" s="6" t="s">
        <v>29</v>
      </c>
      <c r="C68" s="7" t="s">
        <v>127</v>
      </c>
      <c r="D68" s="6" t="s">
        <v>15</v>
      </c>
      <c r="E68" s="6" t="s">
        <v>10</v>
      </c>
      <c r="F68" s="7" t="s">
        <v>128</v>
      </c>
      <c r="G68" s="8">
        <f>IF(IFERROR(FIND(LOWER('Buscador Patologías'!$P$3),C68,1),0)&lt;&gt;0,1,IF(IFERROR(FIND('Buscador Patologías'!$B$3,C68,1),0)=0,0,1))</f>
        <v>0</v>
      </c>
      <c r="H68" s="9"/>
      <c r="I68" s="9"/>
    </row>
    <row r="69">
      <c r="A69" s="5">
        <v>45474.0</v>
      </c>
      <c r="B69" s="6" t="s">
        <v>29</v>
      </c>
      <c r="C69" s="7" t="s">
        <v>129</v>
      </c>
      <c r="D69" s="6" t="s">
        <v>119</v>
      </c>
      <c r="E69" s="6" t="s">
        <v>10</v>
      </c>
      <c r="G69" s="8">
        <f>IF(IFERROR(FIND(LOWER('Buscador Patologías'!$P$3),C69,1),0)&lt;&gt;0,1,IF(IFERROR(FIND('Buscador Patologías'!$B$3,C69,1),0)=0,0,1))</f>
        <v>0</v>
      </c>
      <c r="H69" s="9"/>
      <c r="I69" s="9"/>
    </row>
    <row r="70">
      <c r="A70" s="5">
        <v>45474.0</v>
      </c>
      <c r="B70" s="6" t="s">
        <v>130</v>
      </c>
      <c r="C70" s="7" t="s">
        <v>131</v>
      </c>
      <c r="D70" s="6" t="s">
        <v>12</v>
      </c>
      <c r="E70" s="6" t="s">
        <v>16</v>
      </c>
      <c r="F70" s="7" t="s">
        <v>132</v>
      </c>
      <c r="G70" s="8">
        <f>IF(IFERROR(FIND(LOWER('Buscador Patologías'!$P$3),C70,1),0)&lt;&gt;0,1,IF(IFERROR(FIND('Buscador Patologías'!$B$3,C70,1),0)=0,0,1))</f>
        <v>0</v>
      </c>
      <c r="H70" s="9"/>
      <c r="I70" s="9"/>
    </row>
    <row r="71">
      <c r="A71" s="5">
        <v>45474.0</v>
      </c>
      <c r="B71" s="6" t="s">
        <v>133</v>
      </c>
      <c r="C71" s="7" t="s">
        <v>134</v>
      </c>
      <c r="D71" s="6" t="s">
        <v>12</v>
      </c>
      <c r="E71" s="6" t="s">
        <v>16</v>
      </c>
      <c r="F71" s="7" t="s">
        <v>135</v>
      </c>
      <c r="G71" s="8">
        <f>IF(IFERROR(FIND(LOWER('Buscador Patologías'!$P$3),C71,1),0)&lt;&gt;0,1,IF(IFERROR(FIND('Buscador Patologías'!$B$3,C71,1),0)=0,0,1))</f>
        <v>0</v>
      </c>
      <c r="H71" s="9"/>
      <c r="I71" s="9"/>
    </row>
    <row r="72">
      <c r="A72" s="5">
        <v>45474.0</v>
      </c>
      <c r="B72" s="6" t="s">
        <v>133</v>
      </c>
      <c r="C72" s="7" t="s">
        <v>136</v>
      </c>
      <c r="D72" s="6" t="s">
        <v>26</v>
      </c>
      <c r="E72" s="6" t="s">
        <v>35</v>
      </c>
      <c r="F72" s="7" t="s">
        <v>137</v>
      </c>
      <c r="G72" s="8">
        <f>IF(IFERROR(FIND(LOWER('Buscador Patologías'!$P$3),C72,1),0)&lt;&gt;0,1,IF(IFERROR(FIND('Buscador Patologías'!$B$3,C72,1),0)=0,0,1))</f>
        <v>0</v>
      </c>
      <c r="H72" s="9"/>
      <c r="I72" s="9"/>
    </row>
    <row r="73">
      <c r="A73" s="5">
        <v>45536.0</v>
      </c>
      <c r="B73" s="6" t="s">
        <v>41</v>
      </c>
      <c r="C73" s="7" t="s">
        <v>138</v>
      </c>
      <c r="D73" s="6" t="s">
        <v>12</v>
      </c>
      <c r="E73" s="6" t="s">
        <v>35</v>
      </c>
      <c r="F73" s="7" t="s">
        <v>137</v>
      </c>
      <c r="G73" s="8">
        <f>IF(IFERROR(FIND(LOWER('Buscador Patologías'!$P$3),C73,1),0)&lt;&gt;0,1,IF(IFERROR(FIND('Buscador Patologías'!$B$3,C73,1),0)=0,0,1))</f>
        <v>0</v>
      </c>
      <c r="H73" s="9"/>
      <c r="I73" s="9"/>
    </row>
    <row r="74">
      <c r="A74" s="5">
        <v>45536.0</v>
      </c>
      <c r="B74" s="6" t="s">
        <v>41</v>
      </c>
      <c r="C74" s="7" t="s">
        <v>139</v>
      </c>
      <c r="D74" s="6" t="s">
        <v>12</v>
      </c>
      <c r="E74" s="6" t="s">
        <v>35</v>
      </c>
      <c r="F74" s="7"/>
      <c r="G74" s="8">
        <f>IF(IFERROR(FIND(LOWER('Buscador Patologías'!$P$3),C74,1),0)&lt;&gt;0,1,IF(IFERROR(FIND('Buscador Patologías'!$B$3,C74,1),0)=0,0,1))</f>
        <v>0</v>
      </c>
      <c r="H74" s="9"/>
      <c r="I74" s="9"/>
    </row>
    <row r="75">
      <c r="A75" s="5">
        <v>45536.0</v>
      </c>
      <c r="B75" s="6" t="s">
        <v>41</v>
      </c>
      <c r="C75" s="7" t="s">
        <v>140</v>
      </c>
      <c r="D75" s="6" t="s">
        <v>45</v>
      </c>
      <c r="E75" s="6" t="s">
        <v>10</v>
      </c>
      <c r="F75" s="7" t="s">
        <v>141</v>
      </c>
      <c r="G75" s="8">
        <f>IF(IFERROR(FIND(LOWER('Buscador Patologías'!$P$3),C75,1),0)&lt;&gt;0,1,IF(IFERROR(FIND('Buscador Patologías'!$B$3,C75,1),0)=0,0,1))</f>
        <v>0</v>
      </c>
      <c r="H75" s="9"/>
      <c r="I75" s="9"/>
    </row>
    <row r="76">
      <c r="A76" s="5">
        <v>45536.0</v>
      </c>
      <c r="B76" s="6" t="s">
        <v>130</v>
      </c>
      <c r="C76" s="7" t="s">
        <v>142</v>
      </c>
      <c r="D76" s="6" t="s">
        <v>59</v>
      </c>
      <c r="E76" s="6" t="s">
        <v>35</v>
      </c>
      <c r="F76" s="7" t="s">
        <v>143</v>
      </c>
      <c r="G76" s="8">
        <f>IF(IFERROR(FIND(LOWER('Buscador Patologías'!$P$3),C76,1),0)&lt;&gt;0,1,IF(IFERROR(FIND('Buscador Patologías'!$B$3,C76,1),0)=0,0,1))</f>
        <v>0</v>
      </c>
      <c r="H76" s="9"/>
      <c r="I76" s="9"/>
    </row>
    <row r="77">
      <c r="A77" s="5">
        <v>45536.0</v>
      </c>
      <c r="B77" s="6" t="s">
        <v>41</v>
      </c>
      <c r="C77" s="7" t="s">
        <v>144</v>
      </c>
      <c r="D77" s="6" t="s">
        <v>56</v>
      </c>
      <c r="E77" s="6" t="s">
        <v>16</v>
      </c>
      <c r="F77" s="7" t="s">
        <v>145</v>
      </c>
      <c r="G77" s="8">
        <f>IF(IFERROR(FIND(LOWER('Buscador Patologías'!$P$3),C77,1),0)&lt;&gt;0,1,IF(IFERROR(FIND('Buscador Patologías'!$B$3,C77,1),0)=0,0,1))</f>
        <v>0</v>
      </c>
      <c r="H77" s="9"/>
      <c r="I77" s="9"/>
    </row>
    <row r="78">
      <c r="A78" s="5">
        <v>45536.0</v>
      </c>
      <c r="B78" s="6" t="s">
        <v>130</v>
      </c>
      <c r="C78" s="7" t="s">
        <v>146</v>
      </c>
      <c r="D78" s="6" t="s">
        <v>12</v>
      </c>
      <c r="E78" s="6" t="s">
        <v>16</v>
      </c>
      <c r="F78" s="7" t="s">
        <v>147</v>
      </c>
      <c r="G78" s="8">
        <f>IF(IFERROR(FIND(LOWER('Buscador Patologías'!$P$3),C78,1),0)&lt;&gt;0,1,IF(IFERROR(FIND('Buscador Patologías'!$B$3,C78,1),0)=0,0,1))</f>
        <v>0</v>
      </c>
      <c r="H78" s="9"/>
      <c r="I78" s="9"/>
    </row>
    <row r="79">
      <c r="A79" s="5">
        <v>45536.0</v>
      </c>
      <c r="B79" s="6" t="s">
        <v>130</v>
      </c>
      <c r="C79" s="7" t="s">
        <v>148</v>
      </c>
      <c r="D79" s="6" t="s">
        <v>149</v>
      </c>
      <c r="E79" s="6" t="s">
        <v>16</v>
      </c>
      <c r="F79" s="7" t="s">
        <v>150</v>
      </c>
      <c r="G79" s="8">
        <f>IF(IFERROR(FIND(LOWER('Buscador Patologías'!$P$3),C79,1),0)&lt;&gt;0,1,IF(IFERROR(FIND('Buscador Patologías'!$B$3,C79,1),0)=0,0,1))</f>
        <v>0</v>
      </c>
      <c r="H79" s="9"/>
      <c r="I79" s="9"/>
    </row>
    <row r="80">
      <c r="A80" s="5">
        <v>45536.0</v>
      </c>
      <c r="B80" s="6" t="s">
        <v>133</v>
      </c>
      <c r="C80" s="7" t="s">
        <v>151</v>
      </c>
      <c r="D80" s="6" t="s">
        <v>12</v>
      </c>
      <c r="E80" s="6" t="s">
        <v>35</v>
      </c>
      <c r="F80" s="7" t="s">
        <v>89</v>
      </c>
      <c r="G80" s="8">
        <f>IF(IFERROR(FIND(LOWER('Buscador Patologías'!$P$3),C80,1),0)&lt;&gt;0,1,IF(IFERROR(FIND('Buscador Patologías'!$B$3,C80,1),0)=0,0,1))</f>
        <v>0</v>
      </c>
      <c r="H80" s="9"/>
      <c r="I80" s="9"/>
    </row>
    <row r="81">
      <c r="A81" s="5">
        <v>45536.0</v>
      </c>
      <c r="B81" s="6" t="s">
        <v>133</v>
      </c>
      <c r="C81" s="7" t="s">
        <v>152</v>
      </c>
      <c r="D81" s="6" t="s">
        <v>9</v>
      </c>
      <c r="E81" s="6" t="s">
        <v>16</v>
      </c>
      <c r="F81" s="7" t="s">
        <v>153</v>
      </c>
      <c r="G81" s="8">
        <f>IF(IFERROR(FIND(LOWER('Buscador Patologías'!$P$3),C81,1),0)&lt;&gt;0,1,IF(IFERROR(FIND('Buscador Patologías'!$B$3,C81,1),0)=0,0,1))</f>
        <v>0</v>
      </c>
      <c r="H81" s="9"/>
      <c r="I81" s="9"/>
    </row>
    <row r="82">
      <c r="A82" s="5">
        <v>45536.0</v>
      </c>
      <c r="B82" s="6" t="s">
        <v>133</v>
      </c>
      <c r="C82" s="7" t="s">
        <v>154</v>
      </c>
      <c r="D82" s="6" t="s">
        <v>12</v>
      </c>
      <c r="E82" s="6" t="s">
        <v>35</v>
      </c>
      <c r="F82" s="7" t="s">
        <v>155</v>
      </c>
      <c r="G82" s="8">
        <f>IF(IFERROR(FIND(LOWER('Buscador Patologías'!$P$3),C82,1),0)&lt;&gt;0,1,IF(IFERROR(FIND('Buscador Patologías'!$B$3,C82,1),0)=0,0,1))</f>
        <v>0</v>
      </c>
      <c r="H82" s="9"/>
      <c r="I82" s="9"/>
    </row>
    <row r="83">
      <c r="A83" s="5">
        <v>45536.0</v>
      </c>
      <c r="B83" s="6" t="s">
        <v>156</v>
      </c>
      <c r="C83" s="7" t="s">
        <v>157</v>
      </c>
      <c r="D83" s="6" t="s">
        <v>12</v>
      </c>
      <c r="E83" s="6" t="s">
        <v>16</v>
      </c>
      <c r="F83" s="7" t="s">
        <v>158</v>
      </c>
      <c r="G83" s="8">
        <f>IF(IFERROR(FIND(LOWER('Buscador Patologías'!$P$3),C83,1),0)&lt;&gt;0,1,IF(IFERROR(FIND('Buscador Patologías'!$B$3,C83,1),0)=0,0,1))</f>
        <v>0</v>
      </c>
      <c r="H83" s="9"/>
      <c r="I83" s="9"/>
    </row>
    <row r="84">
      <c r="A84" s="5">
        <v>45536.0</v>
      </c>
      <c r="B84" s="6" t="s">
        <v>133</v>
      </c>
      <c r="C84" s="7" t="s">
        <v>159</v>
      </c>
      <c r="D84" s="6" t="s">
        <v>12</v>
      </c>
      <c r="E84" s="6" t="s">
        <v>160</v>
      </c>
      <c r="F84" s="17" t="s">
        <v>158</v>
      </c>
      <c r="G84" s="8">
        <f>IF(IFERROR(FIND(LOWER('Buscador Patologías'!$P$3),C84,1),0)&lt;&gt;0,1,IF(IFERROR(FIND('Buscador Patologías'!$B$3,C84,1),0)=0,0,1))</f>
        <v>0</v>
      </c>
      <c r="H84" s="9"/>
      <c r="I84" s="9"/>
    </row>
    <row r="85">
      <c r="A85" s="5">
        <v>45536.0</v>
      </c>
      <c r="B85" s="6" t="s">
        <v>156</v>
      </c>
      <c r="C85" s="7" t="s">
        <v>161</v>
      </c>
      <c r="D85" s="6" t="s">
        <v>15</v>
      </c>
      <c r="E85" s="6" t="s">
        <v>10</v>
      </c>
      <c r="F85" s="7" t="s">
        <v>162</v>
      </c>
      <c r="G85" s="8">
        <f>IF(IFERROR(FIND(LOWER('Buscador Patologías'!$P$3),C85,1),0)&lt;&gt;0,1,IF(IFERROR(FIND('Buscador Patologías'!$B$3,C85,1),0)=0,0,1))</f>
        <v>0</v>
      </c>
      <c r="H85" s="9"/>
      <c r="I85" s="9"/>
    </row>
    <row r="86">
      <c r="A86" s="5">
        <v>45536.0</v>
      </c>
      <c r="B86" s="6" t="s">
        <v>41</v>
      </c>
      <c r="C86" s="7" t="s">
        <v>163</v>
      </c>
      <c r="D86" s="6" t="s">
        <v>9</v>
      </c>
      <c r="E86" s="6" t="s">
        <v>10</v>
      </c>
      <c r="F86" s="7" t="s">
        <v>162</v>
      </c>
      <c r="G86" s="8">
        <f>IF(IFERROR(FIND(LOWER('Buscador Patologías'!$P$3),C86,1),0)&lt;&gt;0,1,IF(IFERROR(FIND('Buscador Patologías'!$B$3,C86,1),0)=0,0,1))</f>
        <v>0</v>
      </c>
      <c r="H86" s="9"/>
      <c r="I86" s="9"/>
    </row>
    <row r="87">
      <c r="A87" s="5">
        <v>45536.0</v>
      </c>
      <c r="B87" s="6" t="s">
        <v>41</v>
      </c>
      <c r="C87" s="7" t="s">
        <v>164</v>
      </c>
      <c r="D87" s="6" t="s">
        <v>9</v>
      </c>
      <c r="E87" s="6" t="s">
        <v>10</v>
      </c>
      <c r="F87" s="7" t="s">
        <v>165</v>
      </c>
      <c r="G87" s="8">
        <f>IF(IFERROR(FIND(LOWER('Buscador Patologías'!$P$3),C87,1),0)&lt;&gt;0,1,IF(IFERROR(FIND('Buscador Patologías'!$B$3,C87,1),0)=0,0,1))</f>
        <v>0</v>
      </c>
      <c r="H87" s="9"/>
      <c r="I87" s="9"/>
    </row>
    <row r="88">
      <c r="A88" s="5">
        <v>45536.0</v>
      </c>
      <c r="B88" s="6" t="s">
        <v>41</v>
      </c>
      <c r="C88" s="7" t="s">
        <v>166</v>
      </c>
      <c r="D88" s="6" t="s">
        <v>12</v>
      </c>
      <c r="E88" s="6" t="s">
        <v>35</v>
      </c>
      <c r="F88" s="7" t="s">
        <v>167</v>
      </c>
      <c r="G88" s="8">
        <f>IF(IFERROR(FIND(LOWER('Buscador Patologías'!$P$3),C88,1),0)&lt;&gt;0,1,IF(IFERROR(FIND('Buscador Patologías'!$B$3,C88,1),0)=0,0,1))</f>
        <v>0</v>
      </c>
      <c r="H88" s="9"/>
      <c r="I88" s="9"/>
    </row>
    <row r="89">
      <c r="A89" s="5">
        <v>45566.0</v>
      </c>
      <c r="B89" s="6" t="s">
        <v>133</v>
      </c>
      <c r="C89" s="7" t="s">
        <v>168</v>
      </c>
      <c r="D89" s="6" t="s">
        <v>12</v>
      </c>
      <c r="E89" s="6" t="s">
        <v>10</v>
      </c>
      <c r="F89" s="7" t="s">
        <v>169</v>
      </c>
      <c r="G89" s="8">
        <f>IF(IFERROR(FIND(LOWER('Buscador Patologías'!$P$3),C89,1),0)&lt;&gt;0,1,IF(IFERROR(FIND('Buscador Patologías'!$B$3,C89,1),0)=0,0,1))</f>
        <v>0</v>
      </c>
      <c r="H89" s="9"/>
      <c r="I89" s="9"/>
    </row>
    <row r="90">
      <c r="A90" s="5">
        <v>45566.0</v>
      </c>
      <c r="B90" s="6" t="s">
        <v>41</v>
      </c>
      <c r="C90" s="7" t="s">
        <v>170</v>
      </c>
      <c r="D90" s="6" t="s">
        <v>56</v>
      </c>
      <c r="E90" s="6" t="s">
        <v>10</v>
      </c>
      <c r="F90" s="7" t="s">
        <v>171</v>
      </c>
      <c r="G90" s="8">
        <f>IF(IFERROR(FIND(LOWER('Buscador Patologías'!$P$3),C90,1),0)&lt;&gt;0,1,IF(IFERROR(FIND('Buscador Patologías'!$B$3,C90,1),0)=0,0,1))</f>
        <v>0</v>
      </c>
      <c r="H90" s="9"/>
      <c r="I90" s="9"/>
    </row>
    <row r="91">
      <c r="A91" s="5">
        <v>45566.0</v>
      </c>
      <c r="B91" s="6" t="s">
        <v>156</v>
      </c>
      <c r="C91" s="7" t="s">
        <v>172</v>
      </c>
      <c r="D91" s="6" t="s">
        <v>45</v>
      </c>
      <c r="E91" s="6" t="s">
        <v>10</v>
      </c>
      <c r="F91" s="7" t="s">
        <v>173</v>
      </c>
      <c r="G91" s="8">
        <f>IF(IFERROR(FIND(LOWER('Buscador Patologías'!$P$3),C91,1),0)&lt;&gt;0,1,IF(IFERROR(FIND('Buscador Patologías'!$B$3,C91,1),0)=0,0,1))</f>
        <v>0</v>
      </c>
      <c r="H91" s="9"/>
      <c r="I91" s="9"/>
    </row>
    <row r="92">
      <c r="A92" s="5">
        <v>45566.0</v>
      </c>
      <c r="B92" s="6" t="s">
        <v>41</v>
      </c>
      <c r="C92" s="7" t="s">
        <v>174</v>
      </c>
      <c r="D92" s="6" t="s">
        <v>40</v>
      </c>
      <c r="E92" s="6" t="s">
        <v>35</v>
      </c>
      <c r="F92" s="18" t="s">
        <v>167</v>
      </c>
      <c r="G92" s="8">
        <f>IF(IFERROR(FIND(LOWER('Buscador Patologías'!$P$3),C92,1),0)&lt;&gt;0,1,IF(IFERROR(FIND('Buscador Patologías'!$B$3,C92,1),0)=0,0,1))</f>
        <v>0</v>
      </c>
      <c r="H92" s="9"/>
      <c r="I92" s="9"/>
    </row>
    <row r="93">
      <c r="A93" s="5">
        <v>45566.0</v>
      </c>
      <c r="B93" s="6" t="s">
        <v>41</v>
      </c>
      <c r="C93" s="7" t="s">
        <v>175</v>
      </c>
      <c r="D93" s="6" t="s">
        <v>22</v>
      </c>
      <c r="E93" s="6" t="s">
        <v>35</v>
      </c>
      <c r="F93" s="18" t="s">
        <v>167</v>
      </c>
      <c r="G93" s="8">
        <f>IF(IFERROR(FIND(LOWER('Buscador Patologías'!$P$3),C93,1),0)&lt;&gt;0,1,IF(IFERROR(FIND('Buscador Patologías'!$B$3,C93,1),0)=0,0,1))</f>
        <v>0</v>
      </c>
    </row>
    <row r="94">
      <c r="A94" s="5">
        <v>45566.0</v>
      </c>
      <c r="B94" s="6" t="s">
        <v>41</v>
      </c>
      <c r="C94" s="7" t="s">
        <v>176</v>
      </c>
      <c r="D94" s="6" t="s">
        <v>45</v>
      </c>
      <c r="E94" s="6" t="s">
        <v>16</v>
      </c>
      <c r="F94" s="7" t="s">
        <v>177</v>
      </c>
      <c r="G94" s="8">
        <f>IF(IFERROR(FIND(LOWER('Buscador Patologías'!$P$3),C94,1),0)&lt;&gt;0,1,IF(IFERROR(FIND('Buscador Patologías'!$B$3,C94,1),0)=0,0,1))</f>
        <v>0</v>
      </c>
    </row>
    <row r="95">
      <c r="A95" s="5">
        <v>45566.0</v>
      </c>
      <c r="B95" s="6" t="s">
        <v>133</v>
      </c>
      <c r="C95" s="7" t="s">
        <v>178</v>
      </c>
      <c r="D95" s="6" t="s">
        <v>45</v>
      </c>
      <c r="E95" s="6" t="s">
        <v>16</v>
      </c>
      <c r="F95" s="7"/>
      <c r="G95" s="8">
        <f>IF(IFERROR(FIND(LOWER('Buscador Patologías'!$P$3),C95,1),0)&lt;&gt;0,1,IF(IFERROR(FIND('Buscador Patologías'!$B$3,C95,1),0)=0,0,1))</f>
        <v>0</v>
      </c>
    </row>
    <row r="96">
      <c r="A96" s="5">
        <v>45566.0</v>
      </c>
      <c r="B96" s="6" t="s">
        <v>156</v>
      </c>
      <c r="C96" s="7" t="s">
        <v>179</v>
      </c>
      <c r="D96" s="6" t="s">
        <v>45</v>
      </c>
      <c r="E96" s="6" t="s">
        <v>10</v>
      </c>
      <c r="F96" s="7" t="s">
        <v>180</v>
      </c>
      <c r="G96" s="8">
        <f>IF(IFERROR(FIND(LOWER('Buscador Patologías'!$P$3),C96,1),0)&lt;&gt;0,1,IF(IFERROR(FIND('Buscador Patologías'!$B$3,C96,1),0)=0,0,1))</f>
        <v>0</v>
      </c>
      <c r="H96" s="9"/>
      <c r="I96" s="9"/>
    </row>
    <row r="97">
      <c r="A97" s="5">
        <v>45566.0</v>
      </c>
      <c r="B97" s="6" t="s">
        <v>156</v>
      </c>
      <c r="C97" s="7" t="s">
        <v>181</v>
      </c>
      <c r="D97" s="6" t="s">
        <v>40</v>
      </c>
      <c r="E97" s="6" t="s">
        <v>16</v>
      </c>
      <c r="F97" s="7" t="s">
        <v>182</v>
      </c>
      <c r="G97" s="8">
        <f>IF(IFERROR(FIND(LOWER('Buscador Patologías'!$P$3),C97,1),0)&lt;&gt;0,1,IF(IFERROR(FIND('Buscador Patologías'!$B$3,C97,1),0)=0,0,1))</f>
        <v>0</v>
      </c>
      <c r="H97" s="9"/>
      <c r="I97" s="9"/>
    </row>
    <row r="98">
      <c r="A98" s="5">
        <v>45566.0</v>
      </c>
      <c r="B98" s="6" t="s">
        <v>133</v>
      </c>
      <c r="C98" s="7" t="s">
        <v>183</v>
      </c>
      <c r="D98" s="6" t="s">
        <v>12</v>
      </c>
      <c r="E98" s="6" t="s">
        <v>35</v>
      </c>
      <c r="F98" s="7" t="s">
        <v>184</v>
      </c>
      <c r="G98" s="8">
        <f>IF(IFERROR(FIND(LOWER('Buscador Patologías'!$P$3),C98,1),0)&lt;&gt;0,1,IF(IFERROR(FIND('Buscador Patologías'!$B$3,C98,1),0)=0,0,1))</f>
        <v>0</v>
      </c>
      <c r="H98" s="9"/>
      <c r="I98" s="9"/>
    </row>
    <row r="99">
      <c r="A99" s="5">
        <v>45566.0</v>
      </c>
      <c r="B99" s="6" t="s">
        <v>133</v>
      </c>
      <c r="C99" s="7" t="s">
        <v>185</v>
      </c>
      <c r="D99" s="6" t="s">
        <v>12</v>
      </c>
      <c r="E99" s="6" t="s">
        <v>16</v>
      </c>
      <c r="F99" s="7" t="s">
        <v>186</v>
      </c>
      <c r="G99" s="8">
        <f>IF(IFERROR(FIND(LOWER('Buscador Patologías'!$P$3),C99,1),0)&lt;&gt;0,1,IF(IFERROR(FIND('Buscador Patologías'!$B$3,C99,1),0)=0,0,1))</f>
        <v>0</v>
      </c>
      <c r="H99" s="9"/>
      <c r="I99" s="9"/>
    </row>
    <row r="100">
      <c r="A100" s="5">
        <v>45566.0</v>
      </c>
      <c r="B100" s="6" t="s">
        <v>41</v>
      </c>
      <c r="C100" s="7" t="s">
        <v>187</v>
      </c>
      <c r="D100" s="6" t="s">
        <v>92</v>
      </c>
      <c r="E100" s="6" t="s">
        <v>16</v>
      </c>
      <c r="F100" s="7"/>
      <c r="G100" s="8">
        <f>IF(IFERROR(FIND(LOWER('Buscador Patologías'!$P$3),C100,1),0)&lt;&gt;0,1,IF(IFERROR(FIND('Buscador Patologías'!$B$3,C100,1),0)=0,0,1))</f>
        <v>0</v>
      </c>
      <c r="H100" s="9"/>
      <c r="I100" s="9"/>
    </row>
    <row r="101">
      <c r="A101" s="5">
        <v>45566.0</v>
      </c>
      <c r="B101" s="6" t="s">
        <v>133</v>
      </c>
      <c r="C101" s="7" t="s">
        <v>188</v>
      </c>
      <c r="D101" s="6" t="s">
        <v>92</v>
      </c>
      <c r="E101" s="6" t="s">
        <v>10</v>
      </c>
      <c r="F101" s="7"/>
      <c r="G101" s="8">
        <f>IF(IFERROR(FIND(LOWER('Buscador Patologías'!$P$3),C101,1),0)&lt;&gt;0,1,IF(IFERROR(FIND('Buscador Patologías'!$B$3,C101,1),0)=0,0,1))</f>
        <v>0</v>
      </c>
      <c r="H101" s="9"/>
      <c r="I101" s="9"/>
    </row>
    <row r="102">
      <c r="A102" s="5">
        <v>45566.0</v>
      </c>
      <c r="B102" s="6" t="s">
        <v>41</v>
      </c>
      <c r="C102" s="7" t="s">
        <v>189</v>
      </c>
      <c r="D102" s="6" t="s">
        <v>40</v>
      </c>
      <c r="E102" s="6" t="s">
        <v>35</v>
      </c>
      <c r="F102" s="7" t="s">
        <v>167</v>
      </c>
      <c r="G102" s="8">
        <f>IF(IFERROR(FIND(LOWER('Buscador Patologías'!$P$3),C102,1),0)&lt;&gt;0,1,IF(IFERROR(FIND('Buscador Patologías'!$B$3,C102,1),0)=0,0,1))</f>
        <v>0</v>
      </c>
      <c r="H102" s="9"/>
      <c r="I102" s="9"/>
    </row>
    <row r="103">
      <c r="A103" s="5">
        <v>45566.0</v>
      </c>
      <c r="B103" s="6" t="s">
        <v>156</v>
      </c>
      <c r="C103" s="7" t="s">
        <v>190</v>
      </c>
      <c r="D103" s="6" t="s">
        <v>40</v>
      </c>
      <c r="E103" s="6" t="s">
        <v>16</v>
      </c>
      <c r="F103" s="7" t="s">
        <v>182</v>
      </c>
      <c r="G103" s="8">
        <f>IF(IFERROR(FIND(LOWER('Buscador Patologías'!$P$3),C103,1),0)&lt;&gt;0,1,IF(IFERROR(FIND('Buscador Patologías'!$B$3,C103,1),0)=0,0,1))</f>
        <v>0</v>
      </c>
      <c r="H103" s="9"/>
      <c r="I103" s="9"/>
    </row>
    <row r="104">
      <c r="A104" s="5">
        <v>45566.0</v>
      </c>
      <c r="B104" s="6" t="s">
        <v>133</v>
      </c>
      <c r="C104" s="7" t="s">
        <v>191</v>
      </c>
      <c r="D104" s="6" t="s">
        <v>15</v>
      </c>
      <c r="E104" s="6" t="s">
        <v>16</v>
      </c>
      <c r="F104" s="7" t="s">
        <v>192</v>
      </c>
      <c r="G104" s="8">
        <f>IF(IFERROR(FIND(LOWER('Buscador Patologías'!$P$3),C104,1),0)&lt;&gt;0,1,IF(IFERROR(FIND('Buscador Patologías'!$B$3,C104,1),0)=0,0,1))</f>
        <v>0</v>
      </c>
      <c r="H104" s="9"/>
      <c r="I104" s="9"/>
    </row>
    <row r="105">
      <c r="A105" s="5">
        <v>45566.0</v>
      </c>
      <c r="B105" s="6" t="s">
        <v>193</v>
      </c>
      <c r="C105" s="7" t="s">
        <v>194</v>
      </c>
      <c r="D105" s="6" t="s">
        <v>12</v>
      </c>
      <c r="E105" s="6" t="s">
        <v>16</v>
      </c>
      <c r="F105" s="7" t="s">
        <v>195</v>
      </c>
      <c r="G105" s="8">
        <f>IF(IFERROR(FIND(LOWER('Buscador Patologías'!$P$3),C105,1),0)&lt;&gt;0,1,IF(IFERROR(FIND('Buscador Patologías'!$B$3,C105,1),0)=0,0,1))</f>
        <v>0</v>
      </c>
      <c r="H105" s="9"/>
      <c r="I105" s="9"/>
    </row>
    <row r="106">
      <c r="A106" s="5">
        <v>45566.0</v>
      </c>
      <c r="B106" s="6" t="s">
        <v>193</v>
      </c>
      <c r="C106" s="7" t="s">
        <v>196</v>
      </c>
      <c r="D106" s="6" t="s">
        <v>12</v>
      </c>
      <c r="E106" s="6" t="s">
        <v>16</v>
      </c>
      <c r="F106" s="7" t="s">
        <v>197</v>
      </c>
      <c r="G106" s="8">
        <f>IF(IFERROR(FIND(LOWER('Buscador Patologías'!$P$3),C106,1),0)&lt;&gt;0,1,IF(IFERROR(FIND('Buscador Patologías'!$B$3,C106,1),0)=0,0,1))</f>
        <v>0</v>
      </c>
      <c r="H106" s="9"/>
      <c r="I106" s="9"/>
    </row>
    <row r="107">
      <c r="A107" s="5">
        <v>45566.0</v>
      </c>
      <c r="B107" s="6" t="s">
        <v>156</v>
      </c>
      <c r="C107" s="7" t="s">
        <v>198</v>
      </c>
      <c r="D107" s="6" t="s">
        <v>45</v>
      </c>
      <c r="E107" s="6" t="s">
        <v>16</v>
      </c>
      <c r="F107" s="7" t="s">
        <v>199</v>
      </c>
      <c r="G107" s="8">
        <f>IF(IFERROR(FIND(LOWER('Buscador Patologías'!$P$3),C107,1),0)&lt;&gt;0,1,IF(IFERROR(FIND('Buscador Patologías'!$B$3,C107,1),0)=0,0,1))</f>
        <v>0</v>
      </c>
      <c r="H107" s="9"/>
      <c r="I107" s="9"/>
    </row>
    <row r="108">
      <c r="A108" s="5">
        <v>45597.0</v>
      </c>
      <c r="B108" s="6" t="s">
        <v>133</v>
      </c>
      <c r="C108" s="7" t="s">
        <v>200</v>
      </c>
      <c r="D108" s="6" t="s">
        <v>12</v>
      </c>
      <c r="E108" s="6" t="s">
        <v>35</v>
      </c>
      <c r="F108" s="7" t="s">
        <v>201</v>
      </c>
      <c r="G108" s="8">
        <f>IF(IFERROR(FIND(LOWER('Buscador Patologías'!$P$3),C108,1),0)&lt;&gt;0,1,IF(IFERROR(FIND('Buscador Patologías'!$B$3,C108,1),0)=0,0,1))</f>
        <v>0</v>
      </c>
      <c r="H108" s="9"/>
      <c r="I108" s="9"/>
    </row>
    <row r="109">
      <c r="A109" s="5">
        <v>45597.0</v>
      </c>
      <c r="B109" s="6" t="s">
        <v>133</v>
      </c>
      <c r="C109" s="7" t="s">
        <v>202</v>
      </c>
      <c r="D109" s="6" t="s">
        <v>45</v>
      </c>
      <c r="E109" s="6" t="s">
        <v>16</v>
      </c>
      <c r="F109" s="7" t="s">
        <v>203</v>
      </c>
      <c r="G109" s="8">
        <f>IF(IFERROR(FIND(LOWER('Buscador Patologías'!$P$3),C109,1),0)&lt;&gt;0,1,IF(IFERROR(FIND('Buscador Patologías'!$B$3,C109,1),0)=0,0,1))</f>
        <v>0</v>
      </c>
      <c r="H109" s="9"/>
      <c r="I109" s="9"/>
    </row>
    <row r="110">
      <c r="A110" s="5">
        <v>45597.0</v>
      </c>
      <c r="B110" s="6" t="s">
        <v>133</v>
      </c>
      <c r="C110" s="7" t="s">
        <v>204</v>
      </c>
      <c r="D110" s="6" t="s">
        <v>26</v>
      </c>
      <c r="E110" s="6" t="s">
        <v>10</v>
      </c>
      <c r="F110" s="7" t="s">
        <v>205</v>
      </c>
      <c r="G110" s="8">
        <f>IF(IFERROR(FIND(LOWER('Buscador Patologías'!$P$3),C110,1),0)&lt;&gt;0,1,IF(IFERROR(FIND('Buscador Patologías'!$B$3,C110,1),0)=0,0,1))</f>
        <v>0</v>
      </c>
      <c r="H110" s="9"/>
      <c r="I110" s="9"/>
    </row>
    <row r="111">
      <c r="A111" s="5">
        <v>45597.0</v>
      </c>
      <c r="B111" s="6" t="s">
        <v>133</v>
      </c>
      <c r="C111" s="7" t="s">
        <v>206</v>
      </c>
      <c r="D111" s="6" t="s">
        <v>22</v>
      </c>
      <c r="E111" s="6" t="s">
        <v>35</v>
      </c>
      <c r="F111" s="7" t="s">
        <v>207</v>
      </c>
      <c r="G111" s="8">
        <f>IF(IFERROR(FIND(LOWER('Buscador Patologías'!$P$3),C111,1),0)&lt;&gt;0,1,IF(IFERROR(FIND('Buscador Patologías'!$B$3,C111,1),0)=0,0,1))</f>
        <v>0</v>
      </c>
      <c r="H111" s="9"/>
      <c r="I111" s="9"/>
    </row>
    <row r="112">
      <c r="A112" s="5">
        <v>45597.0</v>
      </c>
      <c r="B112" s="6" t="s">
        <v>133</v>
      </c>
      <c r="C112" s="7" t="s">
        <v>208</v>
      </c>
      <c r="D112" s="6" t="s">
        <v>12</v>
      </c>
      <c r="E112" s="6" t="s">
        <v>35</v>
      </c>
      <c r="F112" s="7" t="s">
        <v>167</v>
      </c>
      <c r="G112" s="8">
        <f>IF(IFERROR(FIND(LOWER('Buscador Patologías'!$P$3),C112,1),0)&lt;&gt;0,1,IF(IFERROR(FIND('Buscador Patologías'!$B$3,C112,1),0)=0,0,1))</f>
        <v>0</v>
      </c>
      <c r="H112" s="9"/>
      <c r="I112" s="9"/>
    </row>
    <row r="113">
      <c r="A113" s="5">
        <v>45597.0</v>
      </c>
      <c r="B113" s="6" t="s">
        <v>133</v>
      </c>
      <c r="C113" s="7" t="s">
        <v>209</v>
      </c>
      <c r="D113" s="6" t="s">
        <v>9</v>
      </c>
      <c r="E113" s="6" t="s">
        <v>16</v>
      </c>
      <c r="F113" s="7" t="s">
        <v>210</v>
      </c>
      <c r="G113" s="8">
        <f>IF(IFERROR(FIND(LOWER('Buscador Patologías'!$P$3),C113,1),0)&lt;&gt;0,1,IF(IFERROR(FIND('Buscador Patologías'!$B$3,C113,1),0)=0,0,1))</f>
        <v>0</v>
      </c>
      <c r="H113" s="9"/>
      <c r="I113" s="9"/>
    </row>
    <row r="114">
      <c r="A114" s="5">
        <v>45597.0</v>
      </c>
      <c r="B114" s="6" t="s">
        <v>133</v>
      </c>
      <c r="C114" s="7" t="s">
        <v>211</v>
      </c>
      <c r="D114" s="6" t="s">
        <v>12</v>
      </c>
      <c r="E114" s="6" t="s">
        <v>160</v>
      </c>
      <c r="F114" s="7" t="s">
        <v>212</v>
      </c>
      <c r="G114" s="8">
        <f>IF(IFERROR(FIND(LOWER('Buscador Patologías'!$P$3),C114,1),0)&lt;&gt;0,1,IF(IFERROR(FIND('Buscador Patologías'!$B$3,C114,1),0)=0,0,1))</f>
        <v>0</v>
      </c>
      <c r="H114" s="9"/>
      <c r="I114" s="9"/>
    </row>
    <row r="115">
      <c r="A115" s="5">
        <v>45597.0</v>
      </c>
      <c r="B115" s="6" t="s">
        <v>193</v>
      </c>
      <c r="C115" s="7" t="s">
        <v>213</v>
      </c>
      <c r="D115" s="6" t="s">
        <v>119</v>
      </c>
      <c r="E115" s="6" t="s">
        <v>10</v>
      </c>
      <c r="F115" s="16"/>
      <c r="G115" s="8">
        <f>IF(IFERROR(FIND(LOWER('Buscador Patologías'!$P$3),C115,1),0)&lt;&gt;0,1,IF(IFERROR(FIND('Buscador Patologías'!$B$3,C115,1),0)=0,0,1))</f>
        <v>0</v>
      </c>
      <c r="H115" s="9"/>
      <c r="I115" s="9"/>
    </row>
    <row r="116">
      <c r="A116" s="5">
        <v>45597.0</v>
      </c>
      <c r="B116" s="6" t="s">
        <v>133</v>
      </c>
      <c r="C116" s="7" t="s">
        <v>214</v>
      </c>
      <c r="D116" s="6" t="s">
        <v>12</v>
      </c>
      <c r="E116" s="6" t="s">
        <v>10</v>
      </c>
      <c r="F116" s="7" t="s">
        <v>215</v>
      </c>
      <c r="G116" s="8">
        <f>IF(IFERROR(FIND(LOWER('Buscador Patologías'!$P$3),C116,1),0)&lt;&gt;0,1,IF(IFERROR(FIND('Buscador Patologías'!$B$3,C116,1),0)=0,0,1))</f>
        <v>0</v>
      </c>
      <c r="H116" s="9"/>
      <c r="I116" s="9"/>
    </row>
    <row r="117">
      <c r="A117" s="5">
        <v>45597.0</v>
      </c>
      <c r="B117" s="6" t="s">
        <v>133</v>
      </c>
      <c r="C117" s="7" t="s">
        <v>216</v>
      </c>
      <c r="D117" s="6" t="s">
        <v>9</v>
      </c>
      <c r="E117" s="6" t="s">
        <v>16</v>
      </c>
      <c r="F117" s="7" t="s">
        <v>212</v>
      </c>
      <c r="G117" s="8">
        <f>IF(IFERROR(FIND(LOWER('Buscador Patologías'!$P$3),C117,1),0)&lt;&gt;0,1,IF(IFERROR(FIND('Buscador Patologías'!$B$3,C117,1),0)=0,0,1))</f>
        <v>0</v>
      </c>
      <c r="H117" s="9"/>
      <c r="I117" s="9"/>
    </row>
    <row r="118">
      <c r="A118" s="5">
        <v>45597.0</v>
      </c>
      <c r="B118" s="6" t="s">
        <v>133</v>
      </c>
      <c r="C118" s="7" t="s">
        <v>217</v>
      </c>
      <c r="D118" s="6" t="s">
        <v>56</v>
      </c>
      <c r="E118" s="6" t="s">
        <v>16</v>
      </c>
      <c r="F118" s="7" t="s">
        <v>212</v>
      </c>
      <c r="G118" s="8">
        <f>IF(IFERROR(FIND(LOWER('Buscador Patologías'!$P$3),C118,1),0)&lt;&gt;0,1,IF(IFERROR(FIND('Buscador Patologías'!$B$3,C118,1),0)=0,0,1))</f>
        <v>0</v>
      </c>
      <c r="H118" s="9"/>
      <c r="I118" s="9"/>
    </row>
    <row r="119">
      <c r="A119" s="5">
        <v>45597.0</v>
      </c>
      <c r="B119" s="6" t="s">
        <v>29</v>
      </c>
      <c r="C119" s="7" t="s">
        <v>218</v>
      </c>
      <c r="D119" s="6" t="s">
        <v>9</v>
      </c>
      <c r="E119" s="6" t="s">
        <v>10</v>
      </c>
      <c r="F119" s="7" t="s">
        <v>83</v>
      </c>
      <c r="G119" s="8">
        <f>IF(IFERROR(FIND(LOWER('Buscador Patologías'!$P$3),C119,1),0)&lt;&gt;0,1,IF(IFERROR(FIND('Buscador Patologías'!$B$3,C119,1),0)=0,0,1))</f>
        <v>0</v>
      </c>
      <c r="H119" s="9"/>
      <c r="I119" s="9"/>
    </row>
    <row r="120">
      <c r="A120" s="5">
        <v>45597.0</v>
      </c>
      <c r="B120" s="6" t="s">
        <v>156</v>
      </c>
      <c r="C120" s="7" t="s">
        <v>219</v>
      </c>
      <c r="D120" s="6" t="s">
        <v>9</v>
      </c>
      <c r="E120" s="6" t="s">
        <v>10</v>
      </c>
      <c r="F120" s="7" t="s">
        <v>220</v>
      </c>
      <c r="G120" s="8">
        <f>IF(IFERROR(FIND(LOWER('Buscador Patologías'!$P$3),C120,1),0)&lt;&gt;0,1,IF(IFERROR(FIND('Buscador Patologías'!$B$3,C120,1),0)=0,0,1))</f>
        <v>0</v>
      </c>
      <c r="H120" s="9"/>
      <c r="I120" s="9"/>
    </row>
    <row r="121">
      <c r="A121" s="5">
        <v>45597.0</v>
      </c>
      <c r="B121" s="6" t="s">
        <v>133</v>
      </c>
      <c r="C121" s="7" t="s">
        <v>221</v>
      </c>
      <c r="D121" s="6" t="s">
        <v>56</v>
      </c>
      <c r="E121" s="6" t="s">
        <v>160</v>
      </c>
      <c r="F121" s="7" t="s">
        <v>222</v>
      </c>
      <c r="G121" s="8">
        <f>IF(IFERROR(FIND(LOWER('Buscador Patologías'!$P$3),C121,1),0)&lt;&gt;0,1,IF(IFERROR(FIND('Buscador Patologías'!$B$3,C121,1),0)=0,0,1))</f>
        <v>0</v>
      </c>
      <c r="H121" s="9"/>
      <c r="I121" s="9"/>
    </row>
    <row r="122">
      <c r="A122" s="5">
        <v>45627.0</v>
      </c>
      <c r="B122" s="6" t="s">
        <v>29</v>
      </c>
      <c r="C122" s="7" t="s">
        <v>223</v>
      </c>
      <c r="D122" s="6" t="s">
        <v>9</v>
      </c>
      <c r="E122" s="6" t="s">
        <v>16</v>
      </c>
      <c r="F122" s="16"/>
      <c r="G122" s="8">
        <f>IF(IFERROR(FIND(LOWER('Buscador Patologías'!$P$3),C122,1),0)&lt;&gt;0,1,IF(IFERROR(FIND('Buscador Patologías'!$B$3,C122,1),0)=0,0,1))</f>
        <v>0</v>
      </c>
      <c r="H122" s="9"/>
      <c r="I122" s="9"/>
    </row>
    <row r="123">
      <c r="A123" s="5">
        <v>45627.0</v>
      </c>
      <c r="B123" s="6" t="s">
        <v>193</v>
      </c>
      <c r="C123" s="7" t="s">
        <v>224</v>
      </c>
      <c r="D123" s="6" t="s">
        <v>56</v>
      </c>
      <c r="E123" s="6" t="s">
        <v>160</v>
      </c>
      <c r="F123" s="7" t="s">
        <v>225</v>
      </c>
      <c r="G123" s="8">
        <f>IF(IFERROR(FIND(LOWER('Buscador Patologías'!$P$3),C123,1),0)&lt;&gt;0,1,IF(IFERROR(FIND('Buscador Patologías'!$B$3,C123,1),0)=0,0,1))</f>
        <v>0</v>
      </c>
      <c r="H123" s="9"/>
      <c r="I123" s="9"/>
    </row>
    <row r="124">
      <c r="A124" s="5">
        <v>45627.0</v>
      </c>
      <c r="B124" s="6" t="s">
        <v>133</v>
      </c>
      <c r="C124" s="7" t="s">
        <v>226</v>
      </c>
      <c r="D124" s="6" t="s">
        <v>12</v>
      </c>
      <c r="E124" s="6" t="s">
        <v>35</v>
      </c>
      <c r="F124" s="7" t="s">
        <v>227</v>
      </c>
      <c r="G124" s="8">
        <f>IF(IFERROR(FIND(LOWER('Buscador Patologías'!$P$3),C124,1),0)&lt;&gt;0,1,IF(IFERROR(FIND('Buscador Patologías'!$B$3,C124,1),0)=0,0,1))</f>
        <v>0</v>
      </c>
      <c r="H124" s="9"/>
      <c r="I124" s="9"/>
    </row>
    <row r="125">
      <c r="A125" s="5">
        <v>45658.0</v>
      </c>
      <c r="B125" s="6" t="s">
        <v>29</v>
      </c>
      <c r="C125" s="7" t="s">
        <v>228</v>
      </c>
      <c r="D125" s="6" t="s">
        <v>56</v>
      </c>
      <c r="E125" s="6" t="s">
        <v>160</v>
      </c>
      <c r="F125" s="7" t="s">
        <v>229</v>
      </c>
      <c r="G125" s="8">
        <f>IF(IFERROR(FIND(LOWER('Buscador Patologías'!$P$3),C125,1),0)&lt;&gt;0,1,IF(IFERROR(FIND('Buscador Patologías'!$B$3,C125,1),0)=0,0,1))</f>
        <v>0</v>
      </c>
      <c r="H125" s="9"/>
      <c r="I125" s="9"/>
    </row>
    <row r="126">
      <c r="A126" s="5">
        <v>45658.0</v>
      </c>
      <c r="B126" s="6" t="s">
        <v>29</v>
      </c>
      <c r="C126" s="7" t="s">
        <v>230</v>
      </c>
      <c r="D126" s="6" t="s">
        <v>12</v>
      </c>
      <c r="E126" s="6" t="s">
        <v>160</v>
      </c>
      <c r="F126" s="7" t="s">
        <v>231</v>
      </c>
      <c r="G126" s="8">
        <f>IF(IFERROR(FIND(LOWER('Buscador Patologías'!$P$3),C126,1),0)&lt;&gt;0,1,IF(IFERROR(FIND('Buscador Patologías'!$B$3,C126,1),0)=0,0,1))</f>
        <v>0</v>
      </c>
      <c r="H126" s="9"/>
      <c r="I126" s="9"/>
    </row>
    <row r="127">
      <c r="A127" s="5">
        <v>45658.0</v>
      </c>
      <c r="B127" s="6" t="s">
        <v>29</v>
      </c>
      <c r="C127" s="7" t="s">
        <v>232</v>
      </c>
      <c r="D127" s="6" t="s">
        <v>9</v>
      </c>
      <c r="E127" s="6" t="s">
        <v>160</v>
      </c>
      <c r="F127" s="7" t="s">
        <v>231</v>
      </c>
      <c r="G127" s="8">
        <f>IF(IFERROR(FIND(LOWER('Buscador Patologías'!$P$3),C127,1),0)&lt;&gt;0,1,IF(IFERROR(FIND('Buscador Patologías'!$B$3,C127,1),0)=0,0,1))</f>
        <v>0</v>
      </c>
      <c r="H127" s="9"/>
      <c r="I127" s="9"/>
    </row>
    <row r="128">
      <c r="A128" s="5">
        <v>45658.0</v>
      </c>
      <c r="B128" s="6" t="s">
        <v>193</v>
      </c>
      <c r="C128" s="7" t="s">
        <v>233</v>
      </c>
      <c r="D128" s="6" t="s">
        <v>12</v>
      </c>
      <c r="E128" s="6" t="s">
        <v>160</v>
      </c>
      <c r="F128" s="7" t="s">
        <v>231</v>
      </c>
      <c r="G128" s="8">
        <f>IF(IFERROR(FIND(LOWER('Buscador Patologías'!$P$3),C128,1),0)&lt;&gt;0,1,IF(IFERROR(FIND('Buscador Patologías'!$B$3,C128,1),0)=0,0,1))</f>
        <v>0</v>
      </c>
      <c r="H128" s="9"/>
      <c r="I128" s="9"/>
    </row>
    <row r="129">
      <c r="A129" s="19">
        <v>45658.0</v>
      </c>
      <c r="B129" s="20" t="s">
        <v>133</v>
      </c>
      <c r="C129" s="7" t="s">
        <v>234</v>
      </c>
      <c r="D129" s="6" t="s">
        <v>56</v>
      </c>
      <c r="E129" s="6" t="s">
        <v>160</v>
      </c>
      <c r="F129" s="7" t="s">
        <v>231</v>
      </c>
      <c r="G129" s="4">
        <v>0.0</v>
      </c>
      <c r="H129" s="9"/>
      <c r="I129" s="9"/>
    </row>
    <row r="130">
      <c r="A130" s="19">
        <v>45658.0</v>
      </c>
      <c r="B130" s="20" t="s">
        <v>133</v>
      </c>
      <c r="C130" s="7" t="s">
        <v>235</v>
      </c>
      <c r="D130" s="6" t="s">
        <v>56</v>
      </c>
      <c r="E130" s="6" t="s">
        <v>16</v>
      </c>
      <c r="F130" s="7" t="s">
        <v>236</v>
      </c>
      <c r="G130" s="8">
        <f>IF(IFERROR(FIND(LOWER('Buscador Patologías'!$P$3),C130,1),0)&lt;&gt;0,1,IF(IFERROR(FIND('Buscador Patologías'!$B$3,C130,1),0)=0,0,1))</f>
        <v>0</v>
      </c>
      <c r="H130" s="9"/>
      <c r="I130" s="9"/>
    </row>
    <row r="131">
      <c r="A131" s="5">
        <v>45658.0</v>
      </c>
      <c r="B131" s="6" t="s">
        <v>29</v>
      </c>
      <c r="C131" s="7" t="s">
        <v>237</v>
      </c>
      <c r="D131" s="6" t="s">
        <v>40</v>
      </c>
      <c r="E131" s="6" t="s">
        <v>35</v>
      </c>
      <c r="F131" s="16"/>
      <c r="G131" s="8">
        <f>IF(IFERROR(FIND(LOWER('Buscador Patologías'!$P$3),C131,1),0)&lt;&gt;0,1,IF(IFERROR(FIND('Buscador Patologías'!$B$3,C131,1),0)=0,0,1))</f>
        <v>0</v>
      </c>
      <c r="H131" s="9"/>
      <c r="I131" s="9"/>
    </row>
    <row r="132">
      <c r="A132" s="5">
        <v>45658.0</v>
      </c>
      <c r="B132" s="6" t="s">
        <v>156</v>
      </c>
      <c r="C132" s="7" t="s">
        <v>238</v>
      </c>
      <c r="D132" s="6" t="s">
        <v>12</v>
      </c>
      <c r="E132" s="6" t="s">
        <v>16</v>
      </c>
      <c r="F132" s="7" t="s">
        <v>239</v>
      </c>
      <c r="G132" s="8">
        <f>IF(IFERROR(FIND(LOWER('Buscador Patologías'!$P$3),C132,1),0)&lt;&gt;0,1,IF(IFERROR(FIND('Buscador Patologías'!$B$3,C132,1),0)=0,0,1))</f>
        <v>0</v>
      </c>
      <c r="H132" s="9"/>
      <c r="I132" s="9"/>
    </row>
    <row r="133">
      <c r="A133" s="5">
        <v>45658.0</v>
      </c>
      <c r="B133" s="6" t="s">
        <v>156</v>
      </c>
      <c r="C133" s="7" t="s">
        <v>240</v>
      </c>
      <c r="D133" s="6" t="s">
        <v>12</v>
      </c>
      <c r="E133" s="6" t="s">
        <v>16</v>
      </c>
      <c r="F133" s="7" t="s">
        <v>241</v>
      </c>
      <c r="G133" s="8">
        <f>IF(IFERROR(FIND(LOWER('Buscador Patologías'!$P$3),C133,1),0)&lt;&gt;0,1,IF(IFERROR(FIND('Buscador Patologías'!$B$3,C133,1),0)=0,0,1))</f>
        <v>0</v>
      </c>
      <c r="H133" s="9"/>
      <c r="I133" s="9"/>
    </row>
    <row r="134">
      <c r="A134" s="5">
        <v>45658.0</v>
      </c>
      <c r="B134" s="6" t="s">
        <v>193</v>
      </c>
      <c r="C134" s="7" t="s">
        <v>242</v>
      </c>
      <c r="D134" s="6" t="s">
        <v>9</v>
      </c>
      <c r="E134" s="6" t="s">
        <v>10</v>
      </c>
      <c r="F134" s="7" t="s">
        <v>243</v>
      </c>
      <c r="G134" s="8">
        <f>IF(IFERROR(FIND(LOWER('Buscador Patologías'!$P$3),C134,1),0)&lt;&gt;0,1,IF(IFERROR(FIND('Buscador Patologías'!$B$3,C134,1),0)=0,0,1))</f>
        <v>0</v>
      </c>
      <c r="H134" s="9"/>
      <c r="I134" s="9"/>
    </row>
    <row r="135">
      <c r="A135" s="19">
        <v>45658.0</v>
      </c>
      <c r="B135" s="20" t="s">
        <v>133</v>
      </c>
      <c r="C135" s="7" t="s">
        <v>244</v>
      </c>
      <c r="D135" s="6" t="s">
        <v>56</v>
      </c>
      <c r="E135" s="6" t="s">
        <v>35</v>
      </c>
      <c r="F135" s="7" t="s">
        <v>167</v>
      </c>
      <c r="G135" s="8">
        <f>IF(IFERROR(FIND(LOWER('Buscador Patologías'!$P$3),C135,1),0)&lt;&gt;0,1,IF(IFERROR(FIND('Buscador Patologías'!$B$3,C135,1),0)=0,0,1))</f>
        <v>0</v>
      </c>
      <c r="H135" s="9"/>
      <c r="I135" s="9"/>
    </row>
    <row r="136">
      <c r="A136" s="5">
        <v>45689.0</v>
      </c>
      <c r="B136" s="6" t="s">
        <v>245</v>
      </c>
      <c r="C136" s="7" t="s">
        <v>246</v>
      </c>
      <c r="D136" s="6" t="s">
        <v>149</v>
      </c>
      <c r="E136" s="6" t="s">
        <v>16</v>
      </c>
      <c r="F136" s="7" t="s">
        <v>247</v>
      </c>
      <c r="G136" s="8">
        <f>IF(IFERROR(FIND(LOWER('Buscador Patologías'!$P$3),C136,1),0)&lt;&gt;0,1,IF(IFERROR(FIND('Buscador Patologías'!$B$3,C136,1),0)=0,0,1))</f>
        <v>0</v>
      </c>
      <c r="H136" s="9"/>
      <c r="I136" s="9"/>
    </row>
    <row r="137">
      <c r="A137" s="5">
        <v>45689.0</v>
      </c>
      <c r="B137" s="6" t="s">
        <v>193</v>
      </c>
      <c r="C137" s="7" t="s">
        <v>248</v>
      </c>
      <c r="D137" s="6" t="s">
        <v>56</v>
      </c>
      <c r="E137" s="6" t="s">
        <v>10</v>
      </c>
      <c r="F137" s="7" t="s">
        <v>162</v>
      </c>
      <c r="G137" s="8">
        <f>IF(IFERROR(FIND(LOWER('Buscador Patologías'!$P$3),C137,1),0)&lt;&gt;0,1,IF(IFERROR(FIND('Buscador Patologías'!$B$3,C137,1),0)=0,0,1))</f>
        <v>0</v>
      </c>
      <c r="H137" s="9"/>
      <c r="I137" s="9"/>
    </row>
    <row r="138">
      <c r="A138" s="5">
        <v>45689.0</v>
      </c>
      <c r="B138" s="6" t="s">
        <v>193</v>
      </c>
      <c r="C138" s="7" t="s">
        <v>249</v>
      </c>
      <c r="D138" s="6" t="s">
        <v>92</v>
      </c>
      <c r="E138" s="6" t="s">
        <v>160</v>
      </c>
      <c r="F138" s="7" t="s">
        <v>250</v>
      </c>
      <c r="G138" s="8">
        <f>IF(IFERROR(FIND(LOWER('Buscador Patologías'!$P$3),C138,1),0)&lt;&gt;0,1,IF(IFERROR(FIND('Buscador Patologías'!$B$3,C138,1),0)=0,0,1))</f>
        <v>0</v>
      </c>
      <c r="H138" s="9"/>
      <c r="I138" s="9"/>
    </row>
    <row r="139">
      <c r="A139" s="5">
        <v>45689.0</v>
      </c>
      <c r="B139" s="6" t="s">
        <v>193</v>
      </c>
      <c r="C139" s="7" t="s">
        <v>251</v>
      </c>
      <c r="D139" s="6" t="s">
        <v>26</v>
      </c>
      <c r="E139" s="6" t="s">
        <v>16</v>
      </c>
      <c r="F139" s="7" t="s">
        <v>252</v>
      </c>
      <c r="G139" s="8">
        <f>IF(IFERROR(FIND(LOWER('Buscador Patologías'!$P$3),C139,1),0)&lt;&gt;0,1,IF(IFERROR(FIND('Buscador Patologías'!$B$3,C139,1),0)=0,0,1))</f>
        <v>0</v>
      </c>
      <c r="H139" s="9"/>
      <c r="I139" s="9"/>
    </row>
    <row r="140">
      <c r="A140" s="5">
        <v>45689.0</v>
      </c>
      <c r="B140" s="6" t="s">
        <v>29</v>
      </c>
      <c r="C140" s="7" t="s">
        <v>253</v>
      </c>
      <c r="D140" s="6" t="s">
        <v>12</v>
      </c>
      <c r="E140" s="6" t="s">
        <v>16</v>
      </c>
      <c r="F140" s="7" t="s">
        <v>254</v>
      </c>
      <c r="G140" s="8">
        <f>IF(IFERROR(FIND(LOWER('Buscador Patologías'!$P$3),C140,1),0)&lt;&gt;0,1,IF(IFERROR(FIND('Buscador Patologías'!$B$3,C140,1),0)=0,0,1))</f>
        <v>0</v>
      </c>
      <c r="H140" s="9"/>
      <c r="I140" s="9"/>
    </row>
    <row r="141">
      <c r="A141" s="5">
        <v>45717.0</v>
      </c>
      <c r="B141" s="6" t="s">
        <v>193</v>
      </c>
      <c r="C141" s="7" t="s">
        <v>255</v>
      </c>
      <c r="D141" s="6" t="s">
        <v>12</v>
      </c>
      <c r="E141" s="6" t="s">
        <v>16</v>
      </c>
      <c r="F141" s="7" t="s">
        <v>256</v>
      </c>
      <c r="G141" s="8">
        <f>IF(IFERROR(FIND(LOWER('Buscador Patologías'!$P$3),C141,1),0)&lt;&gt;0,1,IF(IFERROR(FIND('Buscador Patologías'!$B$3,C141,1),0)=0,0,1))</f>
        <v>0</v>
      </c>
      <c r="H141" s="9"/>
      <c r="I141" s="9"/>
    </row>
    <row r="142">
      <c r="A142" s="5">
        <v>45717.0</v>
      </c>
      <c r="B142" s="6" t="s">
        <v>29</v>
      </c>
      <c r="C142" s="7" t="s">
        <v>257</v>
      </c>
      <c r="D142" s="6" t="s">
        <v>92</v>
      </c>
      <c r="E142" s="6" t="s">
        <v>10</v>
      </c>
      <c r="F142" s="7" t="s">
        <v>258</v>
      </c>
      <c r="G142" s="8">
        <f>IF(IFERROR(FIND(LOWER('Buscador Patologías'!$P$3),C142,1),0)&lt;&gt;0,1,IF(IFERROR(FIND('Buscador Patologías'!$B$3,C142,1),0)=0,0,1))</f>
        <v>0</v>
      </c>
      <c r="H142" s="9"/>
      <c r="I142" s="9"/>
    </row>
    <row r="143">
      <c r="A143" s="5">
        <v>45717.0</v>
      </c>
      <c r="B143" s="20" t="s">
        <v>133</v>
      </c>
      <c r="C143" s="7" t="s">
        <v>259</v>
      </c>
      <c r="D143" s="6" t="s">
        <v>40</v>
      </c>
      <c r="E143" s="6" t="s">
        <v>35</v>
      </c>
      <c r="F143" s="7" t="s">
        <v>167</v>
      </c>
      <c r="G143" s="8">
        <f>IF(IFERROR(FIND(LOWER('Buscador Patologías'!$P$3),C143,1),0)&lt;&gt;0,1,IF(IFERROR(FIND('Buscador Patologías'!$B$3,C143,1),0)=0,0,1))</f>
        <v>0</v>
      </c>
      <c r="H143" s="9"/>
      <c r="I143" s="9"/>
    </row>
    <row r="144">
      <c r="A144" s="5">
        <v>45717.0</v>
      </c>
      <c r="B144" s="20" t="s">
        <v>193</v>
      </c>
      <c r="C144" s="7" t="s">
        <v>260</v>
      </c>
      <c r="D144" s="6" t="s">
        <v>45</v>
      </c>
      <c r="E144" s="6" t="s">
        <v>16</v>
      </c>
      <c r="F144" s="7" t="s">
        <v>261</v>
      </c>
      <c r="G144" s="8">
        <f>IF(IFERROR(FIND(LOWER('Buscador Patologías'!$P$3),C144,1),0)&lt;&gt;0,1,IF(IFERROR(FIND('Buscador Patologías'!$B$3,C144,1),0)=0,0,1))</f>
        <v>0</v>
      </c>
      <c r="H144" s="9"/>
      <c r="I144" s="9"/>
    </row>
    <row r="145">
      <c r="A145" s="5">
        <v>45717.0</v>
      </c>
      <c r="B145" s="6" t="s">
        <v>29</v>
      </c>
      <c r="C145" s="7" t="s">
        <v>262</v>
      </c>
      <c r="D145" s="6" t="s">
        <v>56</v>
      </c>
      <c r="E145" s="6" t="s">
        <v>16</v>
      </c>
      <c r="F145" s="16"/>
      <c r="G145" s="8">
        <f>IF(IFERROR(FIND(LOWER('Buscador Patologías'!$P$3),C145,1),0)&lt;&gt;0,1,IF(IFERROR(FIND('Buscador Patologías'!$B$3,C145,1),0)=0,0,1))</f>
        <v>0</v>
      </c>
      <c r="H145" s="9"/>
      <c r="I145" s="9"/>
    </row>
    <row r="146">
      <c r="A146" s="5">
        <v>45717.0</v>
      </c>
      <c r="B146" s="6" t="s">
        <v>156</v>
      </c>
      <c r="C146" s="7" t="s">
        <v>263</v>
      </c>
      <c r="D146" s="6" t="s">
        <v>12</v>
      </c>
      <c r="E146" s="6" t="s">
        <v>10</v>
      </c>
      <c r="F146" s="16"/>
      <c r="G146" s="8">
        <f>IF(IFERROR(FIND(LOWER('Buscador Patologías'!$P$3),C146,1),0)&lt;&gt;0,1,IF(IFERROR(FIND('Buscador Patologías'!$B$3,C146,1),0)=0,0,1))</f>
        <v>0</v>
      </c>
      <c r="H146" s="9"/>
      <c r="I146" s="9"/>
    </row>
    <row r="147">
      <c r="A147" s="5">
        <v>45717.0</v>
      </c>
      <c r="B147" s="6" t="s">
        <v>193</v>
      </c>
      <c r="C147" s="7" t="s">
        <v>264</v>
      </c>
      <c r="D147" s="6" t="s">
        <v>56</v>
      </c>
      <c r="E147" s="6" t="s">
        <v>16</v>
      </c>
      <c r="F147" s="7" t="s">
        <v>265</v>
      </c>
      <c r="G147" s="8">
        <f>IF(IFERROR(FIND(LOWER('Buscador Patologías'!$P$3),C147,1),0)&lt;&gt;0,1,IF(IFERROR(FIND('Buscador Patologías'!$B$3,C147,1),0)=0,0,1))</f>
        <v>0</v>
      </c>
      <c r="H147" s="9"/>
      <c r="I147" s="9"/>
    </row>
    <row r="148">
      <c r="A148" s="5">
        <v>45748.0</v>
      </c>
      <c r="B148" s="6" t="s">
        <v>193</v>
      </c>
      <c r="C148" s="7" t="s">
        <v>266</v>
      </c>
      <c r="D148" s="6" t="s">
        <v>9</v>
      </c>
      <c r="E148" s="6" t="s">
        <v>10</v>
      </c>
      <c r="F148" s="7" t="s">
        <v>267</v>
      </c>
      <c r="G148" s="8">
        <f>IF(IFERROR(FIND(LOWER('Buscador Patologías'!$P$3),C148,1),0)&lt;&gt;0,1,IF(IFERROR(FIND('Buscador Patologías'!$B$3,C148,1),0)=0,0,1))</f>
        <v>0</v>
      </c>
      <c r="H148" s="9"/>
      <c r="I148" s="9"/>
    </row>
    <row r="149">
      <c r="A149" s="5">
        <v>45748.0</v>
      </c>
      <c r="B149" s="6" t="s">
        <v>193</v>
      </c>
      <c r="C149" s="7" t="s">
        <v>268</v>
      </c>
      <c r="D149" s="6" t="s">
        <v>22</v>
      </c>
      <c r="E149" s="6" t="s">
        <v>10</v>
      </c>
      <c r="F149" s="16"/>
      <c r="G149" s="8">
        <f>IF(IFERROR(FIND(LOWER('Buscador Patologías'!$P$3),C149,1),0)&lt;&gt;0,1,IF(IFERROR(FIND('Buscador Patologías'!$B$3,C149,1),0)=0,0,1))</f>
        <v>0</v>
      </c>
      <c r="H149" s="9"/>
      <c r="I149" s="9"/>
    </row>
    <row r="150">
      <c r="A150" s="5">
        <v>45748.0</v>
      </c>
      <c r="B150" s="6" t="s">
        <v>193</v>
      </c>
      <c r="C150" s="7" t="s">
        <v>269</v>
      </c>
      <c r="D150" s="6" t="s">
        <v>12</v>
      </c>
      <c r="E150" s="6" t="s">
        <v>16</v>
      </c>
      <c r="F150" s="7" t="s">
        <v>270</v>
      </c>
      <c r="G150" s="8">
        <f>IF(IFERROR(FIND(LOWER('Buscador Patologías'!$P$3),C150,1),0)&lt;&gt;0,1,IF(IFERROR(FIND('Buscador Patologías'!$B$3,C150,1),0)=0,0,1))</f>
        <v>0</v>
      </c>
      <c r="H150" s="9"/>
      <c r="I150" s="9"/>
    </row>
    <row r="151">
      <c r="A151" s="5">
        <v>45748.0</v>
      </c>
      <c r="B151" s="6" t="s">
        <v>193</v>
      </c>
      <c r="C151" s="7" t="s">
        <v>271</v>
      </c>
      <c r="D151" s="6" t="s">
        <v>32</v>
      </c>
      <c r="E151" s="6" t="s">
        <v>10</v>
      </c>
      <c r="F151" s="7" t="s">
        <v>272</v>
      </c>
      <c r="G151" s="8">
        <f>IF(IFERROR(FIND(LOWER('Buscador Patologías'!$P$3),C151,1),0)&lt;&gt;0,1,IF(IFERROR(FIND('Buscador Patologías'!$B$3,C151,1),0)=0,0,1))</f>
        <v>0</v>
      </c>
      <c r="H151" s="9"/>
      <c r="I151" s="9"/>
    </row>
    <row r="152">
      <c r="A152" s="5">
        <v>45748.0</v>
      </c>
      <c r="B152" s="6" t="s">
        <v>193</v>
      </c>
      <c r="C152" s="7" t="s">
        <v>273</v>
      </c>
      <c r="D152" s="6" t="s">
        <v>22</v>
      </c>
      <c r="E152" s="6" t="s">
        <v>16</v>
      </c>
      <c r="F152" s="7" t="s">
        <v>274</v>
      </c>
      <c r="G152" s="8">
        <f>IF(IFERROR(FIND(LOWER('Buscador Patologías'!$P$3),C152,1),0)&lt;&gt;0,1,IF(IFERROR(FIND('Buscador Patologías'!$B$3,C152,1),0)=0,0,1))</f>
        <v>0</v>
      </c>
      <c r="H152" s="9"/>
      <c r="I152" s="9"/>
    </row>
    <row r="153">
      <c r="A153" s="5">
        <v>45748.0</v>
      </c>
      <c r="B153" s="6" t="s">
        <v>275</v>
      </c>
      <c r="C153" s="7" t="s">
        <v>276</v>
      </c>
      <c r="D153" s="6" t="s">
        <v>12</v>
      </c>
      <c r="E153" s="6" t="s">
        <v>16</v>
      </c>
      <c r="F153" s="7" t="s">
        <v>277</v>
      </c>
      <c r="G153" s="8">
        <f>IF(IFERROR(FIND(LOWER('Buscador Patologías'!$P$3),C153,1),0)&lt;&gt;0,1,IF(IFERROR(FIND('Buscador Patologías'!$B$3,C153,1),0)=0,0,1))</f>
        <v>0</v>
      </c>
      <c r="H153" s="9"/>
      <c r="I153" s="9"/>
    </row>
    <row r="154">
      <c r="A154" s="5">
        <v>45748.0</v>
      </c>
      <c r="B154" s="6" t="s">
        <v>133</v>
      </c>
      <c r="C154" s="7" t="s">
        <v>278</v>
      </c>
      <c r="D154" s="6" t="s">
        <v>15</v>
      </c>
      <c r="E154" s="6" t="s">
        <v>160</v>
      </c>
      <c r="F154" s="7" t="s">
        <v>279</v>
      </c>
      <c r="G154" s="8">
        <f>IF(IFERROR(FIND(LOWER('Buscador Patologías'!$P$3),C154,1),0)&lt;&gt;0,1,IF(IFERROR(FIND('Buscador Patologías'!$B$3,C154,1),0)=0,0,1))</f>
        <v>0</v>
      </c>
      <c r="H154" s="9"/>
      <c r="I154" s="9"/>
    </row>
    <row r="155">
      <c r="A155" s="5">
        <v>45748.0</v>
      </c>
      <c r="B155" s="6" t="s">
        <v>156</v>
      </c>
      <c r="C155" s="7" t="s">
        <v>280</v>
      </c>
      <c r="D155" s="6" t="s">
        <v>12</v>
      </c>
      <c r="E155" s="6" t="s">
        <v>160</v>
      </c>
      <c r="F155" s="7" t="s">
        <v>281</v>
      </c>
      <c r="G155" s="8">
        <f>IF(IFERROR(FIND(LOWER('Buscador Patologías'!$P$3),C155,1),0)&lt;&gt;0,1,IF(IFERROR(FIND('Buscador Patologías'!$B$3,C155,1),0)=0,0,1))</f>
        <v>0</v>
      </c>
      <c r="H155" s="9"/>
      <c r="I155" s="9"/>
    </row>
    <row r="156">
      <c r="A156" s="5">
        <v>45748.0</v>
      </c>
      <c r="B156" s="6" t="s">
        <v>193</v>
      </c>
      <c r="C156" s="7" t="s">
        <v>282</v>
      </c>
      <c r="D156" s="6" t="s">
        <v>15</v>
      </c>
      <c r="E156" s="6" t="s">
        <v>10</v>
      </c>
      <c r="F156" s="7" t="s">
        <v>267</v>
      </c>
      <c r="G156" s="8">
        <f>IF(IFERROR(FIND(LOWER('Buscador Patologías'!$P$3),C156,1),0)&lt;&gt;0,1,IF(IFERROR(FIND('Buscador Patologías'!$B$3,C156,1),0)=0,0,1))</f>
        <v>0</v>
      </c>
      <c r="H156" s="9"/>
      <c r="I156" s="9"/>
    </row>
    <row r="157">
      <c r="A157" s="5">
        <v>45748.0</v>
      </c>
      <c r="B157" s="6" t="s">
        <v>41</v>
      </c>
      <c r="C157" s="7" t="s">
        <v>283</v>
      </c>
      <c r="D157" s="6" t="s">
        <v>40</v>
      </c>
      <c r="E157" s="6" t="s">
        <v>160</v>
      </c>
      <c r="F157" s="7" t="s">
        <v>284</v>
      </c>
      <c r="G157" s="8">
        <f>IF(IFERROR(FIND(LOWER('Buscador Patologías'!$P$3),C157,1),0)&lt;&gt;0,1,IF(IFERROR(FIND('Buscador Patologías'!$B$3,C157,1),0)=0,0,1))</f>
        <v>0</v>
      </c>
      <c r="H157" s="9"/>
      <c r="I157" s="9"/>
    </row>
    <row r="158">
      <c r="A158" s="5">
        <v>45748.0</v>
      </c>
      <c r="B158" s="6" t="s">
        <v>29</v>
      </c>
      <c r="C158" s="7" t="s">
        <v>285</v>
      </c>
      <c r="D158" s="6" t="s">
        <v>56</v>
      </c>
      <c r="E158" s="6" t="s">
        <v>160</v>
      </c>
      <c r="F158" s="7" t="s">
        <v>286</v>
      </c>
      <c r="G158" s="8">
        <f>IF(IFERROR(FIND(LOWER('Buscador Patologías'!$P$3),C158,1),0)&lt;&gt;0,1,IF(IFERROR(FIND('Buscador Patologías'!$B$3,C158,1),0)=0,0,1))</f>
        <v>0</v>
      </c>
      <c r="H158" s="9"/>
      <c r="I158" s="9"/>
    </row>
    <row r="159">
      <c r="A159" s="5">
        <v>45748.0</v>
      </c>
      <c r="B159" s="6" t="s">
        <v>193</v>
      </c>
      <c r="C159" s="7" t="s">
        <v>287</v>
      </c>
      <c r="D159" s="6" t="s">
        <v>12</v>
      </c>
      <c r="E159" s="6" t="s">
        <v>16</v>
      </c>
      <c r="F159" s="16"/>
      <c r="G159" s="8">
        <f>IF(IFERROR(FIND(LOWER('Buscador Patologías'!$P$3),C159,1),0)&lt;&gt;0,1,IF(IFERROR(FIND('Buscador Patologías'!$B$3,C159,1),0)=0,0,1))</f>
        <v>0</v>
      </c>
      <c r="H159" s="9"/>
      <c r="I159" s="9"/>
    </row>
    <row r="160">
      <c r="A160" s="5">
        <v>45778.0</v>
      </c>
      <c r="B160" s="6" t="s">
        <v>41</v>
      </c>
      <c r="C160" s="7" t="s">
        <v>288</v>
      </c>
      <c r="D160" s="6" t="s">
        <v>12</v>
      </c>
      <c r="E160" s="6" t="s">
        <v>16</v>
      </c>
      <c r="F160" s="7" t="s">
        <v>289</v>
      </c>
      <c r="G160" s="8">
        <f>IF(IFERROR(FIND(LOWER('Buscador Patologías'!$P$3),C160,1),0)&lt;&gt;0,1,IF(IFERROR(FIND('Buscador Patologías'!$B$3,C160,1),0)=0,0,1))</f>
        <v>0</v>
      </c>
      <c r="H160" s="9"/>
      <c r="I160" s="9"/>
    </row>
    <row r="161">
      <c r="A161" s="5">
        <v>45778.0</v>
      </c>
      <c r="B161" s="6" t="s">
        <v>275</v>
      </c>
      <c r="C161" s="7" t="s">
        <v>290</v>
      </c>
      <c r="D161" s="6" t="s">
        <v>40</v>
      </c>
      <c r="E161" s="6" t="s">
        <v>160</v>
      </c>
      <c r="F161" s="7" t="s">
        <v>284</v>
      </c>
      <c r="G161" s="8">
        <f>IF(IFERROR(FIND(LOWER('Buscador Patologías'!$P$3),C161,1),0)&lt;&gt;0,1,IF(IFERROR(FIND('Buscador Patologías'!$B$3,C161,1),0)=0,0,1))</f>
        <v>0</v>
      </c>
      <c r="H161" s="9"/>
      <c r="I161" s="9"/>
    </row>
    <row r="162">
      <c r="A162" s="5">
        <v>45778.0</v>
      </c>
      <c r="B162" s="6" t="s">
        <v>29</v>
      </c>
      <c r="C162" s="7" t="s">
        <v>291</v>
      </c>
      <c r="D162" s="6" t="s">
        <v>12</v>
      </c>
      <c r="E162" s="6" t="s">
        <v>16</v>
      </c>
      <c r="F162" s="7" t="s">
        <v>292</v>
      </c>
      <c r="G162" s="8">
        <f>IF(IFERROR(FIND(LOWER('Buscador Patologías'!$P$3),C162,1),0)&lt;&gt;0,1,IF(IFERROR(FIND('Buscador Patologías'!$B$3,C162,1),0)=0,0,1))</f>
        <v>0</v>
      </c>
      <c r="H162" s="9"/>
      <c r="I162" s="9"/>
    </row>
    <row r="163">
      <c r="A163" s="5">
        <v>45778.0</v>
      </c>
      <c r="B163" s="6" t="s">
        <v>193</v>
      </c>
      <c r="C163" s="7" t="s">
        <v>293</v>
      </c>
      <c r="D163" s="6" t="s">
        <v>9</v>
      </c>
      <c r="E163" s="6" t="s">
        <v>10</v>
      </c>
      <c r="F163" s="7" t="s">
        <v>267</v>
      </c>
      <c r="G163" s="8">
        <f>IF(IFERROR(FIND(LOWER('Buscador Patologías'!$P$3),C163,1),0)&lt;&gt;0,1,IF(IFERROR(FIND('Buscador Patologías'!$B$3,C163,1),0)=0,0,1))</f>
        <v>0</v>
      </c>
      <c r="H163" s="9"/>
      <c r="I163" s="9"/>
    </row>
    <row r="164">
      <c r="A164" s="5">
        <v>45778.0</v>
      </c>
      <c r="B164" s="6" t="s">
        <v>193</v>
      </c>
      <c r="C164" s="7" t="s">
        <v>294</v>
      </c>
      <c r="D164" s="6" t="s">
        <v>9</v>
      </c>
      <c r="E164" s="6" t="s">
        <v>10</v>
      </c>
      <c r="F164" s="7" t="s">
        <v>267</v>
      </c>
      <c r="G164" s="8">
        <f>IF(IFERROR(FIND(LOWER('Buscador Patologías'!$P$3),C164,1),0)&lt;&gt;0,1,IF(IFERROR(FIND('Buscador Patologías'!$B$3,C164,1),0)=0,0,1))</f>
        <v>0</v>
      </c>
      <c r="H164" s="9"/>
      <c r="I164" s="9"/>
    </row>
    <row r="165">
      <c r="A165" s="5">
        <v>45778.0</v>
      </c>
      <c r="B165" s="6" t="s">
        <v>41</v>
      </c>
      <c r="C165" s="7" t="s">
        <v>295</v>
      </c>
      <c r="D165" s="6" t="s">
        <v>12</v>
      </c>
      <c r="E165" s="6" t="s">
        <v>160</v>
      </c>
      <c r="F165" s="7" t="s">
        <v>296</v>
      </c>
      <c r="G165" s="8">
        <f>IF(IFERROR(FIND(LOWER('Buscador Patologías'!$P$3),C165,1),0)&lt;&gt;0,1,IF(IFERROR(FIND('Buscador Patologías'!$B$3,C165,1),0)=0,0,1))</f>
        <v>0</v>
      </c>
      <c r="H165" s="9"/>
      <c r="I165" s="9"/>
    </row>
    <row r="166">
      <c r="A166" s="5">
        <v>45778.0</v>
      </c>
      <c r="B166" s="6" t="s">
        <v>275</v>
      </c>
      <c r="C166" s="7" t="s">
        <v>297</v>
      </c>
      <c r="D166" s="6" t="s">
        <v>12</v>
      </c>
      <c r="E166" s="6" t="s">
        <v>160</v>
      </c>
      <c r="F166" s="7" t="s">
        <v>298</v>
      </c>
      <c r="G166" s="8">
        <f>IF(IFERROR(FIND(LOWER('Buscador Patologías'!$P$3),C166,1),0)&lt;&gt;0,1,IF(IFERROR(FIND('Buscador Patologías'!$B$3,C166,1),0)=0,0,1))</f>
        <v>0</v>
      </c>
      <c r="H166" s="9"/>
      <c r="I166" s="9"/>
    </row>
    <row r="167">
      <c r="A167" s="5">
        <v>45778.0</v>
      </c>
      <c r="B167" s="6" t="s">
        <v>245</v>
      </c>
      <c r="C167" s="7" t="s">
        <v>299</v>
      </c>
      <c r="D167" s="6" t="s">
        <v>22</v>
      </c>
      <c r="E167" s="6" t="s">
        <v>10</v>
      </c>
      <c r="G167" s="8">
        <f>IF(IFERROR(FIND(LOWER('Buscador Patologías'!$P$3),C167,1),0)&lt;&gt;0,1,IF(IFERROR(FIND('Buscador Patologías'!$B$3,C167,1),0)=0,0,1))</f>
        <v>0</v>
      </c>
      <c r="H167" s="9"/>
      <c r="I167" s="9"/>
    </row>
    <row r="168">
      <c r="A168" s="5">
        <v>45778.0</v>
      </c>
      <c r="B168" s="6" t="s">
        <v>275</v>
      </c>
      <c r="C168" s="7" t="s">
        <v>300</v>
      </c>
      <c r="D168" s="6" t="s">
        <v>56</v>
      </c>
      <c r="E168" s="6" t="s">
        <v>16</v>
      </c>
      <c r="F168" s="7" t="s">
        <v>301</v>
      </c>
      <c r="G168" s="8">
        <f>IF(IFERROR(FIND(LOWER('Buscador Patologías'!$P$3),C168,1),0)&lt;&gt;0,1,IF(IFERROR(FIND('Buscador Patologías'!$B$3,C168,1),0)=0,0,1))</f>
        <v>0</v>
      </c>
      <c r="H168" s="9"/>
      <c r="I168" s="9"/>
    </row>
    <row r="169">
      <c r="A169" s="5">
        <v>45809.0</v>
      </c>
      <c r="B169" s="6" t="s">
        <v>245</v>
      </c>
      <c r="C169" s="7" t="s">
        <v>302</v>
      </c>
      <c r="D169" s="6" t="s">
        <v>32</v>
      </c>
      <c r="E169" s="6" t="s">
        <v>10</v>
      </c>
      <c r="F169" s="16"/>
      <c r="G169" s="8">
        <f>IF(IFERROR(FIND(LOWER('Buscador Patologías'!$P$3),C169,1),0)&lt;&gt;0,1,IF(IFERROR(FIND('Buscador Patologías'!$B$3,C169,1),0)=0,0,1))</f>
        <v>0</v>
      </c>
      <c r="H169" s="9"/>
      <c r="I169" s="9"/>
    </row>
    <row r="170">
      <c r="A170" s="5">
        <v>45809.0</v>
      </c>
      <c r="B170" s="6" t="s">
        <v>245</v>
      </c>
      <c r="C170" s="7" t="s">
        <v>303</v>
      </c>
      <c r="D170" s="6" t="s">
        <v>12</v>
      </c>
      <c r="E170" s="6" t="s">
        <v>10</v>
      </c>
      <c r="F170" s="7" t="s">
        <v>304</v>
      </c>
      <c r="G170" s="8">
        <f>IF(IFERROR(FIND(LOWER('Buscador Patologías'!$P$3),C170,1),0)&lt;&gt;0,1,IF(IFERROR(FIND('Buscador Patologías'!$B$3,C170,1),0)=0,0,1))</f>
        <v>0</v>
      </c>
      <c r="H170" s="9"/>
      <c r="I170" s="9"/>
    </row>
    <row r="171">
      <c r="A171" s="5">
        <v>45809.0</v>
      </c>
      <c r="B171" s="6" t="s">
        <v>193</v>
      </c>
      <c r="C171" s="7" t="s">
        <v>305</v>
      </c>
      <c r="D171" s="6" t="s">
        <v>12</v>
      </c>
      <c r="E171" s="6" t="s">
        <v>16</v>
      </c>
      <c r="F171" s="7" t="s">
        <v>306</v>
      </c>
      <c r="G171" s="8">
        <f>IF(IFERROR(FIND(LOWER('Buscador Patologías'!$P$3),C171,1),0)&lt;&gt;0,1,IF(IFERROR(FIND('Buscador Patologías'!$B$3,C171,1),0)=0,0,1))</f>
        <v>0</v>
      </c>
      <c r="H171" s="9"/>
      <c r="I171" s="9"/>
    </row>
    <row r="172">
      <c r="A172" s="5">
        <v>45809.0</v>
      </c>
      <c r="B172" s="6" t="s">
        <v>275</v>
      </c>
      <c r="C172" s="7" t="s">
        <v>307</v>
      </c>
      <c r="D172" s="6" t="s">
        <v>15</v>
      </c>
      <c r="E172" s="6" t="s">
        <v>16</v>
      </c>
      <c r="F172" s="7" t="s">
        <v>308</v>
      </c>
      <c r="G172" s="8">
        <f>IF(IFERROR(FIND(LOWER('Buscador Patologías'!$P$3),C172,1),0)&lt;&gt;0,1,IF(IFERROR(FIND('Buscador Patologías'!$B$3,C172,1),0)=0,0,1))</f>
        <v>0</v>
      </c>
      <c r="H172" s="9"/>
      <c r="I172" s="9"/>
    </row>
    <row r="173">
      <c r="A173" s="5">
        <v>45809.0</v>
      </c>
      <c r="B173" s="6" t="s">
        <v>275</v>
      </c>
      <c r="C173" s="7" t="s">
        <v>309</v>
      </c>
      <c r="D173" s="6" t="s">
        <v>15</v>
      </c>
      <c r="E173" s="6" t="s">
        <v>16</v>
      </c>
      <c r="F173" s="7" t="s">
        <v>310</v>
      </c>
      <c r="G173" s="8">
        <f>IF(IFERROR(FIND(LOWER('Buscador Patologías'!$P$3),C173,1),0)&lt;&gt;0,1,IF(IFERROR(FIND('Buscador Patologías'!$B$3,C173,1),0)=0,0,1))</f>
        <v>0</v>
      </c>
      <c r="H173" s="9"/>
      <c r="I173" s="9"/>
    </row>
    <row r="174">
      <c r="A174" s="5">
        <v>45809.0</v>
      </c>
      <c r="B174" s="6" t="s">
        <v>275</v>
      </c>
      <c r="C174" s="7" t="s">
        <v>311</v>
      </c>
      <c r="D174" s="6" t="s">
        <v>12</v>
      </c>
      <c r="E174" s="6" t="s">
        <v>35</v>
      </c>
      <c r="F174" s="16"/>
      <c r="G174" s="8">
        <f>IF(IFERROR(FIND(LOWER('Buscador Patologías'!$P$3),C174,1),0)&lt;&gt;0,1,IF(IFERROR(FIND('Buscador Patologías'!$B$3,C174,1),0)=0,0,1))</f>
        <v>0</v>
      </c>
      <c r="H174" s="9"/>
      <c r="I174" s="9"/>
    </row>
    <row r="175">
      <c r="A175" s="5">
        <v>45810.0</v>
      </c>
      <c r="B175" s="6" t="s">
        <v>275</v>
      </c>
      <c r="C175" s="7" t="s">
        <v>312</v>
      </c>
      <c r="D175" s="6" t="s">
        <v>9</v>
      </c>
      <c r="E175" s="6" t="s">
        <v>35</v>
      </c>
      <c r="F175" s="16"/>
      <c r="G175" s="8">
        <f>IF(IFERROR(FIND(LOWER('Buscador Patologías'!$P$3),C175,1),0)&lt;&gt;0,1,IF(IFERROR(FIND('Buscador Patologías'!$B$3,C175,1),0)=0,0,1))</f>
        <v>0</v>
      </c>
      <c r="H175" s="9"/>
      <c r="I175" s="9"/>
    </row>
    <row r="176">
      <c r="A176" s="5">
        <v>45811.0</v>
      </c>
      <c r="B176" s="6" t="s">
        <v>275</v>
      </c>
      <c r="C176" s="7" t="s">
        <v>313</v>
      </c>
      <c r="D176" s="6" t="s">
        <v>45</v>
      </c>
      <c r="E176" s="6" t="s">
        <v>35</v>
      </c>
      <c r="F176" s="16"/>
      <c r="G176" s="8">
        <f>IF(IFERROR(FIND(LOWER('Buscador Patologías'!$P$3),C176,1),0)&lt;&gt;0,1,IF(IFERROR(FIND('Buscador Patologías'!$B$3,C176,1),0)=0,0,1))</f>
        <v>0</v>
      </c>
      <c r="H176" s="9"/>
      <c r="I176" s="9"/>
    </row>
    <row r="177">
      <c r="A177" s="5">
        <v>45811.0</v>
      </c>
      <c r="B177" s="6" t="s">
        <v>193</v>
      </c>
      <c r="C177" s="7" t="s">
        <v>314</v>
      </c>
      <c r="D177" s="6" t="s">
        <v>45</v>
      </c>
      <c r="E177" s="6" t="s">
        <v>16</v>
      </c>
      <c r="F177" s="16"/>
      <c r="G177" s="8">
        <f>IF(IFERROR(FIND(LOWER('Buscador Patologías'!$P$3),C177,1),0)&lt;&gt;0,1,IF(IFERROR(FIND('Buscador Patologías'!$B$3,C177,1),0)=0,0,1))</f>
        <v>0</v>
      </c>
      <c r="H177" s="9"/>
      <c r="I177" s="9"/>
    </row>
    <row r="178">
      <c r="A178" s="5">
        <v>45839.0</v>
      </c>
      <c r="B178" s="6" t="s">
        <v>41</v>
      </c>
      <c r="C178" s="7" t="s">
        <v>315</v>
      </c>
      <c r="D178" s="6" t="s">
        <v>40</v>
      </c>
      <c r="E178" s="6" t="s">
        <v>35</v>
      </c>
      <c r="F178" s="7" t="s">
        <v>316</v>
      </c>
      <c r="G178" s="8">
        <f>IF(IFERROR(FIND(LOWER('Buscador Patologías'!$P$3),C178,1),0)&lt;&gt;0,1,IF(IFERROR(FIND('Buscador Patologías'!$B$3,C178,1),0)=0,0,1))</f>
        <v>0</v>
      </c>
      <c r="H178" s="9"/>
      <c r="I178" s="9"/>
    </row>
    <row r="179">
      <c r="A179" s="5">
        <v>45839.0</v>
      </c>
      <c r="B179" s="6" t="s">
        <v>29</v>
      </c>
      <c r="C179" s="7" t="s">
        <v>317</v>
      </c>
      <c r="D179" s="6" t="s">
        <v>22</v>
      </c>
      <c r="E179" s="6" t="s">
        <v>10</v>
      </c>
      <c r="F179" s="7" t="s">
        <v>162</v>
      </c>
      <c r="G179" s="8">
        <f>IF(IFERROR(FIND(LOWER('Buscador Patologías'!$P$3),C179,1),0)&lt;&gt;0,1,IF(IFERROR(FIND('Buscador Patologías'!$B$3,C179,1),0)=0,0,1))</f>
        <v>0</v>
      </c>
      <c r="H179" s="9"/>
      <c r="I179" s="9"/>
    </row>
    <row r="180">
      <c r="A180" s="5">
        <v>45839.0</v>
      </c>
      <c r="B180" s="6" t="s">
        <v>193</v>
      </c>
      <c r="C180" s="7" t="s">
        <v>318</v>
      </c>
      <c r="D180" s="6" t="s">
        <v>40</v>
      </c>
      <c r="E180" s="6" t="s">
        <v>16</v>
      </c>
      <c r="F180" s="7" t="s">
        <v>319</v>
      </c>
      <c r="G180" s="8">
        <f>IF(IFERROR(FIND(LOWER('Buscador Patologías'!$P$3),C180,1),0)&lt;&gt;0,1,IF(IFERROR(FIND('Buscador Patologías'!$B$3,C180,1),0)=0,0,1))</f>
        <v>0</v>
      </c>
      <c r="H180" s="9"/>
      <c r="I180" s="9"/>
    </row>
    <row r="181">
      <c r="A181" s="5">
        <v>45839.0</v>
      </c>
      <c r="B181" s="6" t="s">
        <v>193</v>
      </c>
      <c r="C181" s="7" t="s">
        <v>320</v>
      </c>
      <c r="D181" s="6" t="s">
        <v>12</v>
      </c>
      <c r="E181" s="6" t="s">
        <v>10</v>
      </c>
      <c r="F181" s="7" t="s">
        <v>321</v>
      </c>
      <c r="G181" s="8">
        <f>IF(IFERROR(FIND(LOWER('Buscador Patologías'!$P$3),C181,1),0)&lt;&gt;0,1,IF(IFERROR(FIND('Buscador Patologías'!$B$3,C181,1),0)=0,0,1))</f>
        <v>0</v>
      </c>
      <c r="H181" s="9"/>
      <c r="I181" s="9"/>
    </row>
    <row r="182">
      <c r="A182" s="5">
        <v>45839.0</v>
      </c>
      <c r="B182" s="6" t="s">
        <v>322</v>
      </c>
      <c r="C182" s="7" t="s">
        <v>323</v>
      </c>
      <c r="D182" s="6" t="s">
        <v>56</v>
      </c>
      <c r="E182" s="6" t="s">
        <v>10</v>
      </c>
      <c r="F182" s="7" t="s">
        <v>324</v>
      </c>
      <c r="G182" s="8">
        <f>IF(IFERROR(FIND(LOWER('Buscador Patologías'!$P$3),C182,1),0)&lt;&gt;0,1,IF(IFERROR(FIND('Buscador Patologías'!$B$3,C182,1),0)=0,0,1))</f>
        <v>0</v>
      </c>
      <c r="H182" s="9"/>
      <c r="I182" s="9"/>
    </row>
    <row r="183">
      <c r="A183" s="5">
        <v>45839.0</v>
      </c>
      <c r="B183" s="6" t="s">
        <v>29</v>
      </c>
      <c r="C183" s="7" t="s">
        <v>325</v>
      </c>
      <c r="D183" s="6" t="s">
        <v>12</v>
      </c>
      <c r="E183" s="6" t="s">
        <v>16</v>
      </c>
      <c r="F183" s="7" t="s">
        <v>326</v>
      </c>
      <c r="G183" s="8">
        <f>IF(IFERROR(FIND(LOWER('Buscador Patologías'!$P$3),C183,1),0)&lt;&gt;0,1,IF(IFERROR(FIND('Buscador Patologías'!$B$3,C183,1),0)=0,0,1))</f>
        <v>0</v>
      </c>
      <c r="H183" s="9"/>
      <c r="I183" s="9"/>
    </row>
    <row r="184">
      <c r="A184" s="5">
        <v>45870.0</v>
      </c>
      <c r="B184" s="6" t="s">
        <v>193</v>
      </c>
      <c r="C184" s="7" t="s">
        <v>327</v>
      </c>
      <c r="D184" s="6" t="s">
        <v>12</v>
      </c>
      <c r="E184" s="6" t="s">
        <v>160</v>
      </c>
      <c r="F184" s="7" t="s">
        <v>328</v>
      </c>
      <c r="G184" s="8">
        <f>IF(IFERROR(FIND(LOWER('Buscador Patologías'!$P$3),C184,1),0)&lt;&gt;0,1,IF(IFERROR(FIND('Buscador Patologías'!$B$3,C184,1),0)=0,0,1))</f>
        <v>0</v>
      </c>
      <c r="H184" s="9"/>
      <c r="I184" s="9"/>
    </row>
    <row r="185">
      <c r="A185" s="5">
        <v>45870.0</v>
      </c>
      <c r="B185" s="6" t="s">
        <v>245</v>
      </c>
      <c r="C185" s="7" t="s">
        <v>329</v>
      </c>
      <c r="D185" s="6" t="s">
        <v>12</v>
      </c>
      <c r="E185" s="6" t="s">
        <v>16</v>
      </c>
      <c r="F185" s="7" t="s">
        <v>330</v>
      </c>
      <c r="G185" s="8">
        <f>IF(IFERROR(FIND(LOWER('Buscador Patologías'!$P$3),C185,1),0)&lt;&gt;0,1,IF(IFERROR(FIND('Buscador Patologías'!$B$3,C185,1),0)=0,0,1))</f>
        <v>0</v>
      </c>
      <c r="H185" s="9"/>
      <c r="I185" s="9"/>
    </row>
    <row r="186">
      <c r="A186" s="5">
        <v>45870.0</v>
      </c>
      <c r="B186" s="6" t="s">
        <v>275</v>
      </c>
      <c r="C186" s="7" t="s">
        <v>331</v>
      </c>
      <c r="D186" s="6" t="s">
        <v>9</v>
      </c>
      <c r="E186" s="6" t="s">
        <v>10</v>
      </c>
      <c r="F186" s="7" t="s">
        <v>83</v>
      </c>
      <c r="G186" s="8">
        <f>IF(IFERROR(FIND(LOWER('Buscador Patologías'!$P$3),C186,1),0)&lt;&gt;0,1,IF(IFERROR(FIND('Buscador Patologías'!$B$3,C186,1),0)=0,0,1))</f>
        <v>0</v>
      </c>
      <c r="H186" s="9"/>
      <c r="I186" s="9"/>
    </row>
    <row r="187">
      <c r="A187" s="5">
        <v>45901.0</v>
      </c>
      <c r="B187" s="6" t="s">
        <v>41</v>
      </c>
      <c r="C187" s="7" t="s">
        <v>332</v>
      </c>
      <c r="D187" s="6" t="s">
        <v>92</v>
      </c>
      <c r="E187" s="6" t="s">
        <v>35</v>
      </c>
      <c r="F187" s="16"/>
      <c r="G187" s="8">
        <f>IF(IFERROR(FIND(LOWER('Buscador Patologías'!$P$3),C187,1),0)&lt;&gt;0,1,IF(IFERROR(FIND('Buscador Patologías'!$B$3,C187,1),0)=0,0,1))</f>
        <v>0</v>
      </c>
      <c r="H187" s="9"/>
      <c r="I187" s="9"/>
    </row>
    <row r="188">
      <c r="A188" s="5">
        <v>45901.0</v>
      </c>
      <c r="B188" s="6" t="s">
        <v>322</v>
      </c>
      <c r="C188" s="7" t="s">
        <v>333</v>
      </c>
      <c r="D188" s="6" t="s">
        <v>15</v>
      </c>
      <c r="E188" s="6" t="s">
        <v>160</v>
      </c>
      <c r="F188" s="7" t="s">
        <v>334</v>
      </c>
      <c r="G188" s="8">
        <f>IF(IFERROR(FIND(LOWER('Buscador Patologías'!$P$3),C188,1),0)&lt;&gt;0,1,IF(IFERROR(FIND('Buscador Patologías'!$B$3,C188,1),0)=0,0,1))</f>
        <v>0</v>
      </c>
      <c r="H188" s="9"/>
      <c r="I188" s="9"/>
    </row>
    <row r="189">
      <c r="A189" s="5">
        <v>45901.0</v>
      </c>
      <c r="B189" s="6" t="s">
        <v>41</v>
      </c>
      <c r="C189" s="7" t="s">
        <v>335</v>
      </c>
      <c r="D189" s="6" t="s">
        <v>149</v>
      </c>
      <c r="E189" s="6" t="s">
        <v>35</v>
      </c>
      <c r="F189" s="7" t="s">
        <v>89</v>
      </c>
      <c r="G189" s="8">
        <f>IF(IFERROR(FIND(LOWER('Buscador Patologías'!$P$3),C189,1),0)&lt;&gt;0,1,IF(IFERROR(FIND('Buscador Patologías'!$B$3,C189,1),0)=0,0,1))</f>
        <v>0</v>
      </c>
      <c r="H189" s="9"/>
      <c r="I189" s="9"/>
    </row>
    <row r="190">
      <c r="A190" s="5">
        <v>45901.0</v>
      </c>
      <c r="B190" s="6" t="s">
        <v>322</v>
      </c>
      <c r="C190" s="7" t="s">
        <v>336</v>
      </c>
      <c r="D190" s="6" t="s">
        <v>12</v>
      </c>
      <c r="E190" s="6" t="s">
        <v>35</v>
      </c>
      <c r="F190" s="7" t="s">
        <v>89</v>
      </c>
      <c r="G190" s="8">
        <f>IF(IFERROR(FIND(LOWER('Buscador Patologías'!$P$3),C190,1),0)&lt;&gt;0,1,IF(IFERROR(FIND('Buscador Patologías'!$B$3,C190,1),0)=0,0,1))</f>
        <v>0</v>
      </c>
      <c r="H190" s="9"/>
      <c r="I190" s="9"/>
    </row>
    <row r="191">
      <c r="A191" s="5">
        <v>45901.0</v>
      </c>
      <c r="B191" s="6" t="s">
        <v>29</v>
      </c>
      <c r="C191" s="7" t="s">
        <v>337</v>
      </c>
      <c r="D191" s="6" t="s">
        <v>56</v>
      </c>
      <c r="E191" s="6" t="s">
        <v>160</v>
      </c>
      <c r="F191" s="16"/>
      <c r="G191" s="8">
        <f>IF(IFERROR(FIND(LOWER('Buscador Patologías'!$P$3),C191,1),0)&lt;&gt;0,1,IF(IFERROR(FIND('Buscador Patologías'!$B$3,C191,1),0)=0,0,1))</f>
        <v>0</v>
      </c>
      <c r="H191" s="9"/>
      <c r="I191" s="9"/>
    </row>
    <row r="192">
      <c r="A192" s="5">
        <v>45901.0</v>
      </c>
      <c r="B192" s="6" t="s">
        <v>193</v>
      </c>
      <c r="C192" s="7" t="s">
        <v>338</v>
      </c>
      <c r="D192" s="6" t="s">
        <v>119</v>
      </c>
      <c r="E192" s="6" t="s">
        <v>10</v>
      </c>
      <c r="F192" s="16"/>
      <c r="G192" s="8">
        <f>IF(IFERROR(FIND(LOWER('Buscador Patologías'!$P$3),C192,1),0)&lt;&gt;0,1,IF(IFERROR(FIND('Buscador Patologías'!$B$3,C192,1),0)=0,0,1))</f>
        <v>0</v>
      </c>
      <c r="H192" s="9"/>
      <c r="I192" s="9"/>
    </row>
    <row r="193">
      <c r="A193" s="5">
        <v>45901.0</v>
      </c>
      <c r="B193" s="6" t="s">
        <v>193</v>
      </c>
      <c r="C193" s="7" t="s">
        <v>339</v>
      </c>
      <c r="D193" s="6" t="s">
        <v>15</v>
      </c>
      <c r="E193" s="6" t="s">
        <v>35</v>
      </c>
      <c r="F193" s="7" t="s">
        <v>89</v>
      </c>
      <c r="G193" s="8">
        <f>IF(IFERROR(FIND(LOWER('Buscador Patologías'!$P$3),C193,1),0)&lt;&gt;0,1,IF(IFERROR(FIND('Buscador Patologías'!$B$3,C193,1),0)=0,0,1))</f>
        <v>0</v>
      </c>
      <c r="H193" s="9"/>
      <c r="I193" s="9"/>
    </row>
    <row r="194">
      <c r="A194" s="5">
        <v>45901.0</v>
      </c>
      <c r="B194" s="6" t="s">
        <v>245</v>
      </c>
      <c r="C194" s="7" t="s">
        <v>340</v>
      </c>
      <c r="D194" s="6" t="s">
        <v>119</v>
      </c>
      <c r="E194" s="6" t="s">
        <v>10</v>
      </c>
      <c r="F194" s="7" t="s">
        <v>83</v>
      </c>
      <c r="G194" s="8">
        <f>IF(IFERROR(FIND(LOWER('Buscador Patologías'!$P$3),C194,1),0)&lt;&gt;0,1,IF(IFERROR(FIND('Buscador Patologías'!$B$3,C194,1),0)=0,0,1))</f>
        <v>0</v>
      </c>
      <c r="H194" s="9"/>
      <c r="I194" s="9"/>
    </row>
    <row r="195">
      <c r="A195" s="5">
        <v>45901.0</v>
      </c>
      <c r="B195" s="6" t="s">
        <v>275</v>
      </c>
      <c r="C195" s="7" t="s">
        <v>341</v>
      </c>
      <c r="D195" s="6" t="s">
        <v>15</v>
      </c>
      <c r="E195" s="6" t="s">
        <v>10</v>
      </c>
      <c r="F195" s="7" t="s">
        <v>83</v>
      </c>
      <c r="G195" s="8">
        <f>IF(IFERROR(FIND(LOWER('Buscador Patologías'!$P$3),C195,1),0)&lt;&gt;0,1,IF(IFERROR(FIND('Buscador Patologías'!$B$3,C195,1),0)=0,0,1))</f>
        <v>0</v>
      </c>
      <c r="H195" s="9"/>
      <c r="I195" s="9"/>
    </row>
    <row r="196">
      <c r="A196" s="5">
        <v>45901.0</v>
      </c>
      <c r="B196" s="6" t="s">
        <v>322</v>
      </c>
      <c r="C196" s="7" t="s">
        <v>342</v>
      </c>
      <c r="D196" s="6" t="s">
        <v>9</v>
      </c>
      <c r="E196" s="6" t="s">
        <v>160</v>
      </c>
      <c r="F196" s="7" t="s">
        <v>343</v>
      </c>
      <c r="G196" s="8">
        <f>IF(IFERROR(FIND(LOWER('Buscador Patologías'!$P$3),C196,1),0)&lt;&gt;0,1,IF(IFERROR(FIND('Buscador Patologías'!$B$3,C196,1),0)=0,0,1))</f>
        <v>0</v>
      </c>
      <c r="H196" s="9"/>
      <c r="I196" s="9"/>
    </row>
    <row r="197">
      <c r="A197" s="5">
        <v>45931.0</v>
      </c>
      <c r="B197" s="6" t="s">
        <v>193</v>
      </c>
      <c r="C197" s="7" t="s">
        <v>344</v>
      </c>
      <c r="D197" s="6" t="s">
        <v>12</v>
      </c>
      <c r="E197" s="6" t="s">
        <v>160</v>
      </c>
      <c r="F197" s="7" t="s">
        <v>345</v>
      </c>
      <c r="G197" s="8">
        <f>IF(IFERROR(FIND(LOWER('Buscador Patologías'!$P$3),C197,1),0)&lt;&gt;0,1,IF(IFERROR(FIND('Buscador Patologías'!$B$3,C197,1),0)=0,0,1))</f>
        <v>0</v>
      </c>
      <c r="H197" s="9"/>
      <c r="I197" s="9"/>
    </row>
    <row r="198">
      <c r="A198" s="5">
        <v>45931.0</v>
      </c>
      <c r="B198" s="6" t="s">
        <v>193</v>
      </c>
      <c r="C198" s="7" t="s">
        <v>346</v>
      </c>
      <c r="D198" s="6" t="s">
        <v>56</v>
      </c>
      <c r="E198" s="6" t="s">
        <v>160</v>
      </c>
      <c r="F198" s="7" t="s">
        <v>347</v>
      </c>
      <c r="G198" s="8">
        <f>IF(IFERROR(FIND(LOWER('Buscador Patologías'!$P$3),C198,1),0)&lt;&gt;0,1,IF(IFERROR(FIND('Buscador Patologías'!$B$3,C198,1),0)=0,0,1))</f>
        <v>0</v>
      </c>
      <c r="H198" s="9"/>
      <c r="I198" s="9"/>
    </row>
    <row r="199">
      <c r="A199" s="5">
        <v>45931.0</v>
      </c>
      <c r="B199" s="6" t="s">
        <v>348</v>
      </c>
      <c r="C199" s="7" t="s">
        <v>349</v>
      </c>
      <c r="D199" s="6" t="s">
        <v>12</v>
      </c>
      <c r="E199" s="6" t="s">
        <v>160</v>
      </c>
      <c r="F199" s="7" t="s">
        <v>350</v>
      </c>
      <c r="G199" s="8">
        <f>IF(IFERROR(FIND(LOWER('Buscador Patologías'!$P$3),C199,1),0)&lt;&gt;0,1,IF(IFERROR(FIND('Buscador Patologías'!$B$3,C199,1),0)=0,0,1))</f>
        <v>0</v>
      </c>
      <c r="H199" s="9"/>
      <c r="I199" s="9"/>
    </row>
    <row r="200">
      <c r="A200" s="5">
        <v>45931.0</v>
      </c>
      <c r="B200" s="6" t="s">
        <v>348</v>
      </c>
      <c r="C200" s="7" t="s">
        <v>351</v>
      </c>
      <c r="D200" s="6" t="s">
        <v>12</v>
      </c>
      <c r="E200" s="6" t="s">
        <v>160</v>
      </c>
      <c r="F200" s="7" t="s">
        <v>352</v>
      </c>
      <c r="G200" s="8">
        <f>IF(IFERROR(FIND(LOWER('Buscador Patologías'!$P$3),C200,1),0)&lt;&gt;0,1,IF(IFERROR(FIND('Buscador Patologías'!$B$3,C200,1),0)=0,0,1))</f>
        <v>0</v>
      </c>
      <c r="H200" s="9"/>
      <c r="I200" s="9"/>
    </row>
    <row r="201">
      <c r="A201" s="5">
        <v>45931.0</v>
      </c>
      <c r="B201" s="6" t="s">
        <v>193</v>
      </c>
      <c r="C201" s="7" t="s">
        <v>353</v>
      </c>
      <c r="D201" s="6" t="s">
        <v>56</v>
      </c>
      <c r="E201" s="6" t="s">
        <v>160</v>
      </c>
      <c r="F201" s="7" t="s">
        <v>354</v>
      </c>
      <c r="G201" s="8">
        <f>IF(IFERROR(FIND(LOWER('Buscador Patologías'!$P$3),C201,1),0)&lt;&gt;0,1,IF(IFERROR(FIND('Buscador Patologías'!$B$3,C201,1),0)=0,0,1))</f>
        <v>0</v>
      </c>
      <c r="H201" s="9"/>
      <c r="I201" s="9"/>
    </row>
    <row r="202">
      <c r="A202" s="5">
        <v>45931.0</v>
      </c>
      <c r="B202" s="6" t="s">
        <v>193</v>
      </c>
      <c r="C202" s="7" t="s">
        <v>355</v>
      </c>
      <c r="D202" s="6" t="s">
        <v>9</v>
      </c>
      <c r="E202" s="6" t="s">
        <v>35</v>
      </c>
      <c r="F202" s="7" t="s">
        <v>356</v>
      </c>
      <c r="G202" s="8">
        <f>IF(IFERROR(FIND(LOWER('Buscador Patologías'!$P$3),C202,1),0)&lt;&gt;0,1,IF(IFERROR(FIND('Buscador Patologías'!$B$3,C202,1),0)=0,0,1))</f>
        <v>0</v>
      </c>
      <c r="H202" s="9"/>
      <c r="I202" s="9"/>
    </row>
    <row r="203">
      <c r="A203" s="14">
        <v>45962.0</v>
      </c>
      <c r="B203" s="6" t="s">
        <v>193</v>
      </c>
      <c r="C203" s="7" t="s">
        <v>357</v>
      </c>
      <c r="D203" s="6" t="s">
        <v>40</v>
      </c>
      <c r="E203" s="6" t="s">
        <v>35</v>
      </c>
      <c r="F203" s="7" t="s">
        <v>89</v>
      </c>
      <c r="G203" s="8">
        <f>IF(IFERROR(FIND(LOWER('Buscador Patologías'!$P$3),C203,1),0)&lt;&gt;0,1,IF(IFERROR(FIND('Buscador Patologías'!$B$3,C203,1),0)=0,0,1))</f>
        <v>0</v>
      </c>
      <c r="H203" s="9"/>
      <c r="I203" s="9"/>
    </row>
    <row r="204">
      <c r="A204" s="14">
        <v>45962.0</v>
      </c>
      <c r="B204" s="6" t="s">
        <v>358</v>
      </c>
      <c r="C204" s="7" t="s">
        <v>359</v>
      </c>
      <c r="D204" s="6" t="s">
        <v>32</v>
      </c>
      <c r="E204" s="6" t="s">
        <v>10</v>
      </c>
      <c r="F204" s="7" t="s">
        <v>83</v>
      </c>
      <c r="G204" s="8">
        <f>IF(IFERROR(FIND(LOWER('Buscador Patologías'!$P$3),C204,1),0)&lt;&gt;0,1,IF(IFERROR(FIND('Buscador Patologías'!$B$3,C204,1),0)=0,0,1))</f>
        <v>0</v>
      </c>
      <c r="H204" s="9"/>
      <c r="I204" s="9"/>
    </row>
    <row r="205">
      <c r="A205" s="14">
        <v>45962.0</v>
      </c>
      <c r="B205" s="6" t="s">
        <v>322</v>
      </c>
      <c r="C205" s="7" t="s">
        <v>360</v>
      </c>
      <c r="D205" s="6" t="s">
        <v>12</v>
      </c>
      <c r="E205" s="6" t="s">
        <v>35</v>
      </c>
      <c r="F205" s="7" t="s">
        <v>89</v>
      </c>
      <c r="G205" s="8">
        <f>IF(IFERROR(FIND(LOWER('Buscador Patologías'!$P$3),C205,1),0)&lt;&gt;0,1,IF(IFERROR(FIND('Buscador Patologías'!$B$3,C205,1),0)=0,0,1))</f>
        <v>0</v>
      </c>
      <c r="H205" s="9"/>
      <c r="I205" s="9"/>
    </row>
    <row r="206">
      <c r="A206" s="14">
        <v>45962.0</v>
      </c>
      <c r="B206" s="6" t="s">
        <v>361</v>
      </c>
      <c r="C206" s="7" t="s">
        <v>362</v>
      </c>
      <c r="D206" s="6" t="s">
        <v>56</v>
      </c>
      <c r="E206" s="6" t="s">
        <v>16</v>
      </c>
      <c r="F206" s="7" t="s">
        <v>363</v>
      </c>
      <c r="G206" s="8">
        <f>IF(IFERROR(FIND(LOWER('Buscador Patologías'!$P$3),C206,1),0)&lt;&gt;0,1,IF(IFERROR(FIND('Buscador Patologías'!$B$3,C206,1),0)=0,0,1))</f>
        <v>0</v>
      </c>
      <c r="H206" s="9"/>
      <c r="I206" s="9"/>
    </row>
    <row r="207">
      <c r="A207" s="14">
        <v>45962.0</v>
      </c>
      <c r="B207" s="6" t="s">
        <v>29</v>
      </c>
      <c r="C207" s="7" t="s">
        <v>364</v>
      </c>
      <c r="D207" s="6" t="s">
        <v>40</v>
      </c>
      <c r="E207" s="6" t="s">
        <v>35</v>
      </c>
      <c r="F207" s="7" t="s">
        <v>89</v>
      </c>
      <c r="G207" s="8">
        <f>IF(IFERROR(FIND(LOWER('Buscador Patologías'!$P$3),C207,1),0)&lt;&gt;0,1,IF(IFERROR(FIND('Buscador Patologías'!$B$3,C207,1),0)=0,0,1))</f>
        <v>0</v>
      </c>
      <c r="H207" s="9"/>
      <c r="I207" s="9"/>
    </row>
    <row r="208">
      <c r="A208" s="14">
        <v>45962.0</v>
      </c>
      <c r="B208" s="6" t="s">
        <v>365</v>
      </c>
      <c r="C208" s="7" t="s">
        <v>366</v>
      </c>
      <c r="D208" s="6" t="s">
        <v>26</v>
      </c>
      <c r="E208" s="6" t="s">
        <v>10</v>
      </c>
      <c r="F208" s="7" t="s">
        <v>367</v>
      </c>
      <c r="G208" s="8">
        <f>IF(IFERROR(FIND(LOWER('Buscador Patologías'!$P$3),C208,1),0)&lt;&gt;0,1,IF(IFERROR(FIND('Buscador Patologías'!$B$3,C208,1),0)=0,0,1))</f>
        <v>0</v>
      </c>
      <c r="H208" s="9"/>
      <c r="I208" s="9"/>
    </row>
    <row r="209">
      <c r="A209" s="14">
        <v>45962.0</v>
      </c>
      <c r="B209" s="6" t="s">
        <v>358</v>
      </c>
      <c r="C209" s="7" t="s">
        <v>368</v>
      </c>
      <c r="D209" s="6" t="s">
        <v>12</v>
      </c>
      <c r="E209" s="6" t="s">
        <v>160</v>
      </c>
      <c r="F209" s="7" t="s">
        <v>369</v>
      </c>
      <c r="G209" s="8">
        <f>IF(IFERROR(FIND(LOWER('Buscador Patologías'!$P$3),C209,1),0)&lt;&gt;0,1,IF(IFERROR(FIND('Buscador Patologías'!$B$3,C209,1),0)=0,0,1))</f>
        <v>0</v>
      </c>
      <c r="H209" s="9"/>
      <c r="I209" s="9"/>
    </row>
    <row r="210">
      <c r="A210" s="14">
        <v>45962.0</v>
      </c>
      <c r="B210" s="6" t="s">
        <v>275</v>
      </c>
      <c r="C210" s="7" t="s">
        <v>370</v>
      </c>
      <c r="D210" s="6" t="s">
        <v>9</v>
      </c>
      <c r="E210" s="6" t="s">
        <v>160</v>
      </c>
      <c r="F210" s="7" t="s">
        <v>371</v>
      </c>
      <c r="G210" s="8">
        <f>IF(IFERROR(FIND(LOWER('Buscador Patologías'!$P$3),C210,1),0)&lt;&gt;0,1,IF(IFERROR(FIND('Buscador Patologías'!$B$3,C210,1),0)=0,0,1))</f>
        <v>0</v>
      </c>
      <c r="H210" s="9"/>
      <c r="I210" s="9"/>
    </row>
    <row r="211">
      <c r="A211" s="14">
        <v>45962.0</v>
      </c>
      <c r="B211" s="6" t="s">
        <v>275</v>
      </c>
      <c r="C211" s="7" t="s">
        <v>372</v>
      </c>
      <c r="D211" s="6" t="s">
        <v>119</v>
      </c>
      <c r="E211" s="6" t="s">
        <v>35</v>
      </c>
      <c r="F211" s="7" t="s">
        <v>373</v>
      </c>
      <c r="G211" s="8">
        <f>IF(IFERROR(FIND(LOWER('Buscador Patologías'!$P$3),C211,1),0)&lt;&gt;0,1,IF(IFERROR(FIND('Buscador Patologías'!$B$3,C211,1),0)=0,0,1))</f>
        <v>0</v>
      </c>
      <c r="H211" s="9"/>
      <c r="I211" s="9"/>
    </row>
    <row r="212">
      <c r="A212" s="5">
        <v>45992.0</v>
      </c>
      <c r="B212" s="6" t="s">
        <v>41</v>
      </c>
      <c r="C212" s="7" t="s">
        <v>374</v>
      </c>
      <c r="D212" s="6" t="s">
        <v>56</v>
      </c>
      <c r="E212" s="6" t="s">
        <v>10</v>
      </c>
      <c r="F212" s="7" t="s">
        <v>375</v>
      </c>
      <c r="G212" s="8">
        <f>IF(IFERROR(FIND(LOWER('Buscador Patologías'!$P$3),C212,1),0)&lt;&gt;0,1,IF(IFERROR(FIND('Buscador Patologías'!$B$3,C212,1),0)=0,0,1))</f>
        <v>0</v>
      </c>
    </row>
    <row r="213">
      <c r="A213" s="5">
        <v>45992.0</v>
      </c>
      <c r="B213" s="6" t="s">
        <v>376</v>
      </c>
      <c r="C213" s="7" t="s">
        <v>377</v>
      </c>
      <c r="D213" s="6" t="s">
        <v>56</v>
      </c>
      <c r="E213" s="6" t="s">
        <v>16</v>
      </c>
      <c r="F213" s="7" t="s">
        <v>378</v>
      </c>
      <c r="G213" s="8">
        <f>IF(IFERROR(FIND(LOWER('Buscador Patologías'!$P$3),C213,1),0)&lt;&gt;0,1,IF(IFERROR(FIND('Buscador Patologías'!$B$3,C213,1),0)=0,0,1))</f>
        <v>0</v>
      </c>
    </row>
    <row r="214">
      <c r="A214" s="5">
        <v>45992.0</v>
      </c>
      <c r="B214" s="6" t="s">
        <v>193</v>
      </c>
      <c r="C214" s="7" t="s">
        <v>379</v>
      </c>
      <c r="D214" s="9"/>
      <c r="E214" s="6" t="s">
        <v>10</v>
      </c>
      <c r="F214" s="7" t="s">
        <v>380</v>
      </c>
      <c r="G214" s="8">
        <f>IF(IFERROR(FIND(LOWER('Buscador Patologías'!$P$3),C214,1),0)&lt;&gt;0,1,IF(IFERROR(FIND('Buscador Patologías'!$B$3,C214,1),0)=0,0,1))</f>
        <v>0</v>
      </c>
      <c r="H214" s="9"/>
      <c r="I214" s="9"/>
    </row>
    <row r="215">
      <c r="A215" s="5">
        <v>45992.0</v>
      </c>
      <c r="B215" s="6" t="s">
        <v>41</v>
      </c>
      <c r="C215" s="7" t="s">
        <v>381</v>
      </c>
      <c r="D215" s="6" t="s">
        <v>12</v>
      </c>
      <c r="E215" s="6" t="s">
        <v>35</v>
      </c>
      <c r="F215" s="16"/>
      <c r="G215" s="8">
        <f>IF(IFERROR(FIND(LOWER('Buscador Patologías'!$P$3),C215,1),0)&lt;&gt;0,1,IF(IFERROR(FIND('Buscador Patologías'!$B$3,C215,1),0)=0,0,1))</f>
        <v>0</v>
      </c>
      <c r="H215" s="9"/>
      <c r="I215" s="9"/>
    </row>
    <row r="216">
      <c r="A216" s="5">
        <v>45992.0</v>
      </c>
      <c r="B216" s="6" t="s">
        <v>382</v>
      </c>
      <c r="C216" s="7" t="s">
        <v>383</v>
      </c>
      <c r="D216" s="6" t="s">
        <v>40</v>
      </c>
      <c r="E216" s="6" t="s">
        <v>10</v>
      </c>
      <c r="F216" s="7" t="s">
        <v>141</v>
      </c>
      <c r="G216" s="8">
        <f>IF(IFERROR(FIND(LOWER('Buscador Patologías'!$P$3),C216,1),0)&lt;&gt;0,1,IF(IFERROR(FIND('Buscador Patologías'!$B$3,C216,1),0)=0,0,1))</f>
        <v>0</v>
      </c>
      <c r="H216" s="9"/>
      <c r="I216" s="9"/>
    </row>
    <row r="217">
      <c r="A217" s="5">
        <v>45992.0</v>
      </c>
      <c r="B217" s="6" t="s">
        <v>376</v>
      </c>
      <c r="C217" s="7" t="s">
        <v>384</v>
      </c>
      <c r="D217" s="6" t="s">
        <v>12</v>
      </c>
      <c r="E217" s="6" t="s">
        <v>16</v>
      </c>
      <c r="F217" s="7" t="s">
        <v>326</v>
      </c>
      <c r="G217" s="8">
        <f>IF(IFERROR(FIND(LOWER('Buscador Patologías'!$P$3),C217,1),0)&lt;&gt;0,1,IF(IFERROR(FIND('Buscador Patologías'!$B$3,C217,1),0)=0,0,1))</f>
        <v>0</v>
      </c>
      <c r="H217" s="9"/>
      <c r="I217" s="9"/>
    </row>
    <row r="218">
      <c r="A218" s="5">
        <v>46023.0</v>
      </c>
      <c r="B218" s="6" t="s">
        <v>193</v>
      </c>
      <c r="C218" s="7" t="s">
        <v>385</v>
      </c>
      <c r="D218" s="6" t="s">
        <v>9</v>
      </c>
      <c r="E218" s="6" t="s">
        <v>10</v>
      </c>
      <c r="F218" s="7" t="s">
        <v>386</v>
      </c>
      <c r="G218" s="8">
        <f>IF(IFERROR(FIND(LOWER('Buscador Patologías'!$P$3),C218,1),0)&lt;&gt;0,1,IF(IFERROR(FIND('Buscador Patologías'!$B$3,C218,1),0)=0,0,1))</f>
        <v>0</v>
      </c>
      <c r="H218" s="9"/>
      <c r="I218" s="9"/>
    </row>
    <row r="219">
      <c r="A219" s="5">
        <v>46023.0</v>
      </c>
      <c r="B219" s="6" t="s">
        <v>193</v>
      </c>
      <c r="C219" s="7" t="s">
        <v>387</v>
      </c>
      <c r="D219" s="6" t="s">
        <v>12</v>
      </c>
      <c r="E219" s="6" t="s">
        <v>10</v>
      </c>
      <c r="F219" s="7" t="s">
        <v>388</v>
      </c>
      <c r="G219" s="8">
        <f>IF(IFERROR(FIND(LOWER('Buscador Patologías'!$P$3),C219,1),0)&lt;&gt;0,1,IF(IFERROR(FIND('Buscador Patologías'!$B$3,C219,1),0)=0,0,1))</f>
        <v>0</v>
      </c>
      <c r="H219" s="9"/>
      <c r="I219" s="9"/>
    </row>
    <row r="220">
      <c r="A220" s="5">
        <v>46023.0</v>
      </c>
      <c r="B220" s="6" t="s">
        <v>193</v>
      </c>
      <c r="C220" s="7" t="s">
        <v>389</v>
      </c>
      <c r="D220" s="6" t="s">
        <v>56</v>
      </c>
      <c r="E220" s="6" t="s">
        <v>35</v>
      </c>
      <c r="F220" s="7" t="s">
        <v>89</v>
      </c>
      <c r="G220" s="8">
        <f>IF(IFERROR(FIND(LOWER('Buscador Patologías'!$P$3),C220,1),0)&lt;&gt;0,1,IF(IFERROR(FIND('Buscador Patologías'!$B$3,C220,1),0)=0,0,1))</f>
        <v>0</v>
      </c>
      <c r="H220" s="9"/>
      <c r="I220" s="9"/>
    </row>
    <row r="221">
      <c r="A221" s="5">
        <v>46023.0</v>
      </c>
      <c r="B221" s="6" t="s">
        <v>390</v>
      </c>
      <c r="C221" s="7" t="s">
        <v>391</v>
      </c>
      <c r="D221" s="6" t="s">
        <v>40</v>
      </c>
      <c r="E221" s="6" t="s">
        <v>10</v>
      </c>
      <c r="F221" s="7" t="s">
        <v>392</v>
      </c>
      <c r="G221" s="8">
        <f>IF(IFERROR(FIND(LOWER('Buscador Patologías'!$P$3),C221,1),0)&lt;&gt;0,1,IF(IFERROR(FIND('Buscador Patologías'!$B$3,C221,1),0)=0,0,1))</f>
        <v>0</v>
      </c>
      <c r="H221" s="9"/>
      <c r="I221" s="9"/>
    </row>
    <row r="222">
      <c r="A222" s="5">
        <v>46023.0</v>
      </c>
      <c r="B222" s="6" t="s">
        <v>358</v>
      </c>
      <c r="C222" s="7" t="s">
        <v>393</v>
      </c>
      <c r="D222" s="6" t="s">
        <v>9</v>
      </c>
      <c r="E222" s="6" t="s">
        <v>16</v>
      </c>
      <c r="F222" s="7" t="s">
        <v>394</v>
      </c>
      <c r="G222" s="8">
        <f>IF(IFERROR(FIND(LOWER('Buscador Patologías'!$P$3),C222,1),0)&lt;&gt;0,1,IF(IFERROR(FIND('Buscador Patologías'!$B$3,C222,1),0)=0,0,1))</f>
        <v>0</v>
      </c>
      <c r="H222" s="9"/>
      <c r="I222" s="9"/>
    </row>
    <row r="223">
      <c r="A223" s="21"/>
      <c r="C223" s="16"/>
      <c r="D223" s="6"/>
      <c r="E223" s="9"/>
      <c r="F223" s="16"/>
      <c r="G223" s="8"/>
      <c r="H223" s="9"/>
      <c r="I223" s="9"/>
    </row>
    <row r="224">
      <c r="A224" s="21"/>
      <c r="C224" s="16"/>
      <c r="D224" s="6"/>
      <c r="E224" s="9"/>
      <c r="F224" s="16"/>
      <c r="G224" s="8"/>
      <c r="H224" s="9"/>
      <c r="I224" s="9"/>
    </row>
    <row r="225">
      <c r="A225" s="21"/>
      <c r="C225" s="16"/>
      <c r="D225" s="6"/>
      <c r="E225" s="9"/>
      <c r="F225" s="16"/>
      <c r="G225" s="8"/>
      <c r="H225" s="9"/>
      <c r="I225" s="9"/>
    </row>
    <row r="226">
      <c r="A226" s="21"/>
      <c r="C226" s="16"/>
      <c r="D226" s="6"/>
      <c r="E226" s="9"/>
      <c r="F226" s="16"/>
      <c r="G226" s="8"/>
      <c r="H226" s="9"/>
      <c r="I226" s="9"/>
    </row>
    <row r="227">
      <c r="A227" s="21"/>
      <c r="C227" s="16"/>
      <c r="D227" s="6"/>
      <c r="E227" s="9"/>
      <c r="F227" s="16"/>
      <c r="G227" s="8"/>
      <c r="H227" s="9"/>
      <c r="I227" s="9"/>
    </row>
    <row r="228">
      <c r="A228" s="21"/>
      <c r="C228" s="16"/>
      <c r="D228" s="6"/>
      <c r="E228" s="9"/>
      <c r="F228" s="16"/>
      <c r="G228" s="8"/>
      <c r="H228" s="9"/>
      <c r="I228" s="9"/>
    </row>
    <row r="229">
      <c r="A229" s="21"/>
      <c r="C229" s="16"/>
      <c r="D229" s="6"/>
      <c r="E229" s="9"/>
      <c r="F229" s="16"/>
      <c r="G229" s="8"/>
      <c r="H229" s="9"/>
      <c r="I229" s="9"/>
    </row>
    <row r="230">
      <c r="A230" s="21"/>
      <c r="C230" s="16"/>
      <c r="D230" s="6"/>
      <c r="E230" s="9"/>
      <c r="F230" s="16"/>
      <c r="G230" s="8"/>
      <c r="H230" s="9"/>
      <c r="I230" s="9"/>
    </row>
    <row r="231">
      <c r="A231" s="21"/>
      <c r="C231" s="16"/>
      <c r="D231" s="6"/>
      <c r="E231" s="9"/>
      <c r="F231" s="16"/>
      <c r="G231" s="8"/>
      <c r="H231" s="9"/>
      <c r="I231" s="9"/>
    </row>
    <row r="232">
      <c r="A232" s="21"/>
      <c r="C232" s="16"/>
      <c r="D232" s="6"/>
      <c r="E232" s="9"/>
      <c r="F232" s="16"/>
      <c r="G232" s="8"/>
      <c r="H232" s="9"/>
      <c r="I232" s="9"/>
    </row>
    <row r="233">
      <c r="A233" s="21"/>
      <c r="C233" s="16"/>
      <c r="D233" s="6"/>
      <c r="E233" s="9"/>
      <c r="F233" s="16"/>
      <c r="G233" s="8"/>
      <c r="H233" s="9"/>
      <c r="I233" s="9"/>
    </row>
    <row r="234">
      <c r="A234" s="21"/>
      <c r="C234" s="16"/>
      <c r="D234" s="6"/>
      <c r="E234" s="9"/>
      <c r="F234" s="16"/>
      <c r="G234" s="8"/>
      <c r="H234" s="9"/>
      <c r="I234" s="9"/>
    </row>
    <row r="235">
      <c r="A235" s="21"/>
      <c r="C235" s="16"/>
      <c r="D235" s="6"/>
      <c r="E235" s="9"/>
      <c r="F235" s="16"/>
      <c r="G235" s="8"/>
      <c r="H235" s="9"/>
      <c r="I235" s="9"/>
    </row>
    <row r="236">
      <c r="A236" s="21"/>
      <c r="C236" s="16"/>
      <c r="D236" s="6"/>
      <c r="E236" s="9"/>
      <c r="F236" s="16"/>
      <c r="G236" s="8"/>
      <c r="H236" s="9"/>
      <c r="I236" s="9"/>
    </row>
    <row r="237">
      <c r="A237" s="21"/>
      <c r="C237" s="16"/>
      <c r="D237" s="6"/>
      <c r="E237" s="9"/>
      <c r="F237" s="16"/>
      <c r="G237" s="8"/>
      <c r="H237" s="9"/>
      <c r="I237" s="9"/>
    </row>
    <row r="238">
      <c r="A238" s="21"/>
      <c r="C238" s="16"/>
      <c r="D238" s="6"/>
      <c r="E238" s="9"/>
      <c r="F238" s="16"/>
      <c r="G238" s="8"/>
      <c r="H238" s="9"/>
      <c r="I238" s="9"/>
    </row>
    <row r="239">
      <c r="A239" s="21"/>
      <c r="C239" s="16"/>
      <c r="D239" s="6"/>
      <c r="E239" s="9"/>
      <c r="F239" s="16"/>
      <c r="G239" s="8"/>
      <c r="H239" s="9"/>
      <c r="I239" s="9"/>
    </row>
    <row r="240">
      <c r="A240" s="21"/>
      <c r="C240" s="16"/>
      <c r="D240" s="6"/>
      <c r="E240" s="9"/>
      <c r="F240" s="16"/>
      <c r="G240" s="8"/>
      <c r="H240" s="9"/>
      <c r="I240" s="9"/>
    </row>
    <row r="241">
      <c r="A241" s="21"/>
      <c r="C241" s="16"/>
      <c r="D241" s="6"/>
      <c r="E241" s="9"/>
      <c r="F241" s="16"/>
      <c r="G241" s="8"/>
      <c r="H241" s="9"/>
      <c r="I241" s="9"/>
    </row>
    <row r="242">
      <c r="A242" s="21"/>
      <c r="C242" s="16"/>
      <c r="D242" s="6"/>
      <c r="E242" s="9"/>
      <c r="F242" s="16"/>
      <c r="G242" s="8"/>
      <c r="H242" s="9"/>
      <c r="I242" s="9"/>
    </row>
    <row r="243">
      <c r="A243" s="21"/>
      <c r="C243" s="16"/>
      <c r="D243" s="6"/>
      <c r="E243" s="9"/>
      <c r="F243" s="16"/>
      <c r="G243" s="8"/>
      <c r="H243" s="9"/>
      <c r="I243" s="9"/>
    </row>
    <row r="244">
      <c r="A244" s="21"/>
      <c r="C244" s="16"/>
      <c r="D244" s="6"/>
      <c r="E244" s="9"/>
      <c r="F244" s="16"/>
      <c r="G244" s="8"/>
      <c r="H244" s="9"/>
      <c r="I244" s="9"/>
    </row>
    <row r="245">
      <c r="A245" s="21"/>
      <c r="C245" s="16"/>
      <c r="D245" s="6"/>
      <c r="E245" s="9"/>
      <c r="F245" s="16"/>
      <c r="G245" s="8"/>
      <c r="H245" s="9"/>
      <c r="I245" s="9"/>
    </row>
    <row r="246">
      <c r="A246" s="21"/>
      <c r="C246" s="16"/>
      <c r="D246" s="6"/>
      <c r="E246" s="9"/>
      <c r="F246" s="16"/>
      <c r="G246" s="8"/>
      <c r="H246" s="9"/>
      <c r="I246" s="9"/>
    </row>
    <row r="247">
      <c r="A247" s="21"/>
      <c r="C247" s="16"/>
      <c r="D247" s="6"/>
      <c r="E247" s="9"/>
      <c r="F247" s="16"/>
      <c r="G247" s="8"/>
      <c r="H247" s="9"/>
      <c r="I247" s="9"/>
    </row>
    <row r="248">
      <c r="A248" s="21"/>
      <c r="C248" s="16"/>
      <c r="D248" s="6"/>
      <c r="E248" s="9"/>
      <c r="F248" s="16"/>
      <c r="G248" s="8"/>
      <c r="H248" s="9"/>
      <c r="I248" s="9"/>
    </row>
    <row r="249">
      <c r="A249" s="21"/>
      <c r="C249" s="16"/>
      <c r="D249" s="6"/>
      <c r="E249" s="9"/>
      <c r="F249" s="16"/>
      <c r="G249" s="8"/>
      <c r="H249" s="9"/>
      <c r="I249" s="9"/>
    </row>
    <row r="250">
      <c r="A250" s="21"/>
      <c r="C250" s="16"/>
      <c r="D250" s="6"/>
      <c r="E250" s="9"/>
      <c r="F250" s="16"/>
      <c r="G250" s="8"/>
      <c r="H250" s="9"/>
      <c r="I250" s="9"/>
    </row>
    <row r="251">
      <c r="A251" s="21"/>
      <c r="C251" s="16"/>
      <c r="D251" s="6"/>
      <c r="E251" s="9"/>
      <c r="F251" s="16"/>
      <c r="G251" s="8"/>
      <c r="H251" s="9"/>
      <c r="I251" s="9"/>
    </row>
    <row r="252">
      <c r="A252" s="21"/>
      <c r="C252" s="16"/>
      <c r="D252" s="6"/>
      <c r="E252" s="9"/>
      <c r="F252" s="16"/>
      <c r="G252" s="8"/>
      <c r="H252" s="9"/>
      <c r="I252" s="9"/>
    </row>
    <row r="253">
      <c r="A253" s="21"/>
      <c r="C253" s="16"/>
      <c r="D253" s="6"/>
      <c r="E253" s="9"/>
      <c r="F253" s="16"/>
      <c r="G253" s="8"/>
      <c r="H253" s="9"/>
      <c r="I253" s="9"/>
    </row>
    <row r="254">
      <c r="A254" s="21"/>
      <c r="C254" s="16"/>
      <c r="D254" s="6"/>
      <c r="E254" s="9"/>
      <c r="F254" s="16"/>
      <c r="G254" s="8"/>
      <c r="H254" s="9"/>
      <c r="I254" s="9"/>
    </row>
    <row r="255">
      <c r="A255" s="21"/>
      <c r="C255" s="16"/>
      <c r="D255" s="6"/>
      <c r="E255" s="9"/>
      <c r="F255" s="16"/>
      <c r="G255" s="8"/>
      <c r="H255" s="9"/>
      <c r="I255" s="9"/>
    </row>
    <row r="256">
      <c r="A256" s="21"/>
      <c r="C256" s="16"/>
      <c r="D256" s="6"/>
      <c r="E256" s="9"/>
      <c r="F256" s="16"/>
      <c r="G256" s="8"/>
      <c r="H256" s="9"/>
      <c r="I256" s="9"/>
    </row>
    <row r="257">
      <c r="A257" s="21"/>
      <c r="C257" s="16"/>
      <c r="D257" s="6"/>
      <c r="E257" s="9"/>
      <c r="F257" s="16"/>
      <c r="G257" s="8"/>
      <c r="H257" s="9"/>
      <c r="I257" s="9"/>
    </row>
    <row r="258">
      <c r="A258" s="21"/>
      <c r="C258" s="16"/>
      <c r="D258" s="6"/>
      <c r="E258" s="9"/>
      <c r="F258" s="16"/>
      <c r="G258" s="8"/>
      <c r="H258" s="9"/>
      <c r="I258" s="9"/>
    </row>
    <row r="259">
      <c r="A259" s="21"/>
      <c r="C259" s="16"/>
      <c r="D259" s="6"/>
      <c r="E259" s="9"/>
      <c r="F259" s="16"/>
      <c r="G259" s="8"/>
      <c r="H259" s="9"/>
      <c r="I259" s="9"/>
    </row>
    <row r="260">
      <c r="A260" s="21"/>
      <c r="C260" s="16"/>
      <c r="D260" s="6"/>
      <c r="E260" s="9"/>
      <c r="F260" s="16"/>
      <c r="G260" s="8"/>
      <c r="H260" s="9"/>
      <c r="I260" s="9"/>
    </row>
    <row r="261">
      <c r="A261" s="21"/>
      <c r="C261" s="16"/>
      <c r="D261" s="6"/>
      <c r="E261" s="9"/>
      <c r="F261" s="16"/>
      <c r="G261" s="8"/>
      <c r="H261" s="9"/>
      <c r="I261" s="9"/>
    </row>
    <row r="262">
      <c r="A262" s="21"/>
      <c r="C262" s="16"/>
      <c r="D262" s="6"/>
      <c r="E262" s="9"/>
      <c r="F262" s="16"/>
      <c r="G262" s="8"/>
      <c r="H262" s="9"/>
      <c r="I262" s="9"/>
    </row>
    <row r="263">
      <c r="A263" s="21"/>
      <c r="C263" s="16"/>
      <c r="D263" s="6"/>
      <c r="E263" s="9"/>
      <c r="F263" s="16"/>
      <c r="G263" s="8"/>
      <c r="H263" s="9"/>
      <c r="I263" s="9"/>
    </row>
    <row r="264">
      <c r="A264" s="21"/>
      <c r="C264" s="16"/>
      <c r="D264" s="6"/>
      <c r="E264" s="9"/>
      <c r="F264" s="16"/>
      <c r="G264" s="8"/>
      <c r="H264" s="9"/>
      <c r="I264" s="9"/>
    </row>
    <row r="265">
      <c r="A265" s="21"/>
      <c r="C265" s="16"/>
      <c r="D265" s="6"/>
      <c r="E265" s="9"/>
      <c r="F265" s="16"/>
      <c r="G265" s="8"/>
      <c r="H265" s="9"/>
      <c r="I265" s="9"/>
    </row>
    <row r="266">
      <c r="A266" s="21"/>
      <c r="C266" s="16"/>
      <c r="D266" s="6"/>
      <c r="E266" s="9"/>
      <c r="F266" s="16"/>
      <c r="G266" s="8"/>
      <c r="H266" s="9"/>
      <c r="I266" s="9"/>
    </row>
    <row r="267">
      <c r="A267" s="21"/>
      <c r="C267" s="16"/>
      <c r="D267" s="6"/>
      <c r="E267" s="9"/>
      <c r="F267" s="16"/>
      <c r="G267" s="8"/>
      <c r="H267" s="9"/>
      <c r="I267" s="9"/>
    </row>
    <row r="268">
      <c r="A268" s="21"/>
      <c r="C268" s="16"/>
      <c r="D268" s="6"/>
      <c r="E268" s="9"/>
      <c r="F268" s="16"/>
      <c r="G268" s="8"/>
      <c r="H268" s="9"/>
      <c r="I268" s="9"/>
    </row>
    <row r="269">
      <c r="A269" s="21"/>
      <c r="C269" s="16"/>
      <c r="D269" s="6"/>
      <c r="E269" s="9"/>
      <c r="F269" s="16"/>
      <c r="G269" s="8"/>
      <c r="H269" s="9"/>
      <c r="I269" s="9"/>
    </row>
    <row r="270">
      <c r="A270" s="21"/>
      <c r="C270" s="16"/>
      <c r="D270" s="6"/>
      <c r="E270" s="9"/>
      <c r="F270" s="16"/>
      <c r="G270" s="8"/>
      <c r="H270" s="9"/>
      <c r="I270" s="9"/>
    </row>
    <row r="271">
      <c r="A271" s="21"/>
      <c r="C271" s="16"/>
      <c r="D271" s="6"/>
      <c r="E271" s="9"/>
      <c r="F271" s="16"/>
      <c r="G271" s="8"/>
      <c r="H271" s="9"/>
      <c r="I271" s="9"/>
    </row>
    <row r="272">
      <c r="A272" s="21"/>
      <c r="C272" s="16"/>
      <c r="D272" s="6"/>
      <c r="E272" s="9"/>
      <c r="F272" s="16"/>
      <c r="G272" s="8"/>
      <c r="H272" s="9"/>
      <c r="I272" s="9"/>
    </row>
    <row r="273">
      <c r="A273" s="21"/>
      <c r="C273" s="16"/>
      <c r="D273" s="6"/>
      <c r="E273" s="9"/>
      <c r="F273" s="16"/>
      <c r="G273" s="8"/>
      <c r="H273" s="9"/>
      <c r="I273" s="9"/>
    </row>
    <row r="274">
      <c r="A274" s="21"/>
      <c r="C274" s="16"/>
      <c r="D274" s="6"/>
      <c r="E274" s="9"/>
      <c r="F274" s="16"/>
      <c r="G274" s="8"/>
      <c r="H274" s="9"/>
      <c r="I274" s="9"/>
    </row>
    <row r="275">
      <c r="A275" s="21"/>
      <c r="C275" s="16"/>
      <c r="D275" s="6"/>
      <c r="E275" s="9"/>
      <c r="F275" s="16"/>
      <c r="G275" s="8"/>
      <c r="H275" s="9"/>
      <c r="I275" s="9"/>
    </row>
    <row r="276">
      <c r="A276" s="21"/>
      <c r="C276" s="16"/>
      <c r="D276" s="6"/>
      <c r="E276" s="9"/>
      <c r="F276" s="16"/>
      <c r="G276" s="8"/>
      <c r="H276" s="9"/>
      <c r="I276" s="9"/>
    </row>
    <row r="277">
      <c r="A277" s="21"/>
      <c r="C277" s="16"/>
      <c r="D277" s="6"/>
      <c r="E277" s="9"/>
      <c r="F277" s="16"/>
      <c r="G277" s="8"/>
      <c r="H277" s="9"/>
      <c r="I277" s="9"/>
    </row>
    <row r="278">
      <c r="A278" s="21"/>
      <c r="C278" s="16"/>
      <c r="D278" s="6"/>
      <c r="E278" s="9"/>
      <c r="F278" s="16"/>
      <c r="G278" s="8"/>
      <c r="H278" s="9"/>
      <c r="I278" s="9"/>
    </row>
    <row r="279">
      <c r="A279" s="21"/>
      <c r="C279" s="16"/>
      <c r="D279" s="6"/>
      <c r="E279" s="9"/>
      <c r="F279" s="16"/>
      <c r="G279" s="8"/>
      <c r="H279" s="9"/>
      <c r="I279" s="9"/>
    </row>
    <row r="280">
      <c r="A280" s="21"/>
      <c r="C280" s="16"/>
      <c r="D280" s="6"/>
      <c r="E280" s="9"/>
      <c r="F280" s="16"/>
      <c r="G280" s="8"/>
      <c r="H280" s="9"/>
      <c r="I280" s="9"/>
    </row>
    <row r="281">
      <c r="A281" s="21"/>
      <c r="C281" s="16"/>
      <c r="D281" s="6"/>
      <c r="E281" s="9"/>
      <c r="F281" s="16"/>
      <c r="G281" s="8"/>
      <c r="H281" s="9"/>
      <c r="I281" s="9"/>
    </row>
    <row r="282">
      <c r="A282" s="21"/>
      <c r="C282" s="16"/>
      <c r="D282" s="6"/>
      <c r="E282" s="9"/>
      <c r="F282" s="16"/>
      <c r="G282" s="8"/>
      <c r="H282" s="9"/>
      <c r="I282" s="9"/>
    </row>
    <row r="283">
      <c r="A283" s="21"/>
      <c r="C283" s="16"/>
      <c r="D283" s="6"/>
      <c r="E283" s="9"/>
      <c r="F283" s="16"/>
      <c r="G283" s="8"/>
      <c r="H283" s="9"/>
      <c r="I283" s="9"/>
    </row>
    <row r="284">
      <c r="A284" s="21"/>
      <c r="C284" s="16"/>
      <c r="D284" s="6"/>
      <c r="E284" s="9"/>
      <c r="F284" s="16"/>
      <c r="G284" s="8"/>
      <c r="H284" s="9"/>
      <c r="I284" s="9"/>
    </row>
    <row r="285">
      <c r="A285" s="21"/>
      <c r="C285" s="16"/>
      <c r="D285" s="6"/>
      <c r="E285" s="9"/>
      <c r="F285" s="16"/>
      <c r="G285" s="8"/>
      <c r="H285" s="9"/>
      <c r="I285" s="9"/>
    </row>
    <row r="286">
      <c r="A286" s="21"/>
      <c r="C286" s="16"/>
      <c r="D286" s="6"/>
      <c r="E286" s="9"/>
      <c r="F286" s="16"/>
      <c r="G286" s="8"/>
      <c r="H286" s="9"/>
      <c r="I286" s="9"/>
    </row>
    <row r="287">
      <c r="A287" s="21"/>
      <c r="C287" s="16"/>
      <c r="D287" s="6"/>
      <c r="E287" s="9"/>
      <c r="F287" s="16"/>
      <c r="G287" s="8"/>
      <c r="H287" s="9"/>
      <c r="I287" s="9"/>
    </row>
    <row r="288">
      <c r="A288" s="21"/>
      <c r="C288" s="16"/>
      <c r="D288" s="6"/>
      <c r="E288" s="9"/>
      <c r="F288" s="16"/>
      <c r="G288" s="8"/>
      <c r="H288" s="9"/>
      <c r="I288" s="9"/>
    </row>
    <row r="289">
      <c r="A289" s="21"/>
      <c r="C289" s="16"/>
      <c r="D289" s="6"/>
      <c r="E289" s="9"/>
      <c r="F289" s="16"/>
      <c r="G289" s="8"/>
      <c r="H289" s="9"/>
      <c r="I289" s="9"/>
    </row>
    <row r="290">
      <c r="A290" s="21"/>
      <c r="C290" s="16"/>
      <c r="D290" s="6"/>
      <c r="E290" s="9"/>
      <c r="F290" s="16"/>
      <c r="G290" s="8"/>
      <c r="H290" s="9"/>
      <c r="I290" s="9"/>
    </row>
    <row r="291">
      <c r="A291" s="21"/>
      <c r="C291" s="16"/>
      <c r="D291" s="6"/>
      <c r="E291" s="9"/>
      <c r="F291" s="16"/>
      <c r="G291" s="8"/>
      <c r="H291" s="9"/>
      <c r="I291" s="9"/>
    </row>
    <row r="292">
      <c r="A292" s="21"/>
      <c r="C292" s="16"/>
      <c r="D292" s="6"/>
      <c r="E292" s="9"/>
      <c r="F292" s="16"/>
      <c r="G292" s="8"/>
      <c r="H292" s="9"/>
      <c r="I292" s="9"/>
    </row>
    <row r="293">
      <c r="A293" s="21"/>
      <c r="C293" s="16"/>
      <c r="D293" s="6"/>
      <c r="E293" s="9"/>
      <c r="F293" s="16"/>
      <c r="G293" s="8"/>
      <c r="H293" s="9"/>
      <c r="I293" s="9"/>
    </row>
    <row r="294">
      <c r="A294" s="21"/>
      <c r="C294" s="16"/>
      <c r="D294" s="6"/>
      <c r="E294" s="9"/>
      <c r="F294" s="16"/>
      <c r="G294" s="8"/>
      <c r="H294" s="9"/>
      <c r="I294" s="9"/>
    </row>
    <row r="295">
      <c r="A295" s="21"/>
      <c r="C295" s="16"/>
      <c r="D295" s="6"/>
      <c r="E295" s="9"/>
      <c r="F295" s="16"/>
      <c r="G295" s="8"/>
      <c r="H295" s="9"/>
      <c r="I295" s="9"/>
    </row>
    <row r="296">
      <c r="A296" s="21"/>
      <c r="C296" s="16"/>
      <c r="D296" s="6"/>
      <c r="E296" s="9"/>
      <c r="F296" s="16"/>
      <c r="G296" s="8"/>
      <c r="H296" s="9"/>
      <c r="I296" s="9"/>
    </row>
    <row r="297">
      <c r="A297" s="21"/>
      <c r="C297" s="16"/>
      <c r="D297" s="6"/>
      <c r="E297" s="9"/>
      <c r="F297" s="16"/>
      <c r="G297" s="8"/>
      <c r="H297" s="9"/>
      <c r="I297" s="9"/>
    </row>
    <row r="298">
      <c r="A298" s="21"/>
      <c r="C298" s="16"/>
      <c r="D298" s="6"/>
      <c r="E298" s="9"/>
      <c r="F298" s="16"/>
      <c r="G298" s="8"/>
      <c r="H298" s="9"/>
      <c r="I298" s="9"/>
    </row>
    <row r="299">
      <c r="A299" s="21"/>
      <c r="C299" s="16"/>
      <c r="D299" s="6"/>
      <c r="E299" s="9"/>
      <c r="F299" s="16"/>
      <c r="G299" s="8"/>
      <c r="H299" s="9"/>
      <c r="I299" s="9"/>
    </row>
    <row r="300">
      <c r="A300" s="21"/>
      <c r="C300" s="16"/>
      <c r="D300" s="6"/>
      <c r="E300" s="9"/>
      <c r="F300" s="16"/>
      <c r="G300" s="8"/>
      <c r="H300" s="9"/>
      <c r="I300" s="9"/>
    </row>
    <row r="301">
      <c r="A301" s="21"/>
      <c r="C301" s="16"/>
      <c r="D301" s="6"/>
      <c r="E301" s="9"/>
      <c r="F301" s="16"/>
      <c r="G301" s="8"/>
      <c r="H301" s="9"/>
      <c r="I301" s="9"/>
    </row>
    <row r="302">
      <c r="A302" s="21"/>
      <c r="C302" s="16"/>
      <c r="D302" s="6"/>
      <c r="E302" s="9"/>
      <c r="F302" s="16"/>
      <c r="G302" s="8"/>
      <c r="H302" s="9"/>
      <c r="I302" s="9"/>
    </row>
    <row r="303">
      <c r="A303" s="21"/>
      <c r="C303" s="16"/>
      <c r="D303" s="6"/>
      <c r="E303" s="9"/>
      <c r="F303" s="16"/>
      <c r="G303" s="8"/>
      <c r="H303" s="9"/>
      <c r="I303" s="9"/>
    </row>
    <row r="304">
      <c r="A304" s="21"/>
      <c r="C304" s="16"/>
      <c r="D304" s="6"/>
      <c r="E304" s="9"/>
      <c r="F304" s="16"/>
      <c r="G304" s="8"/>
      <c r="H304" s="9"/>
      <c r="I304" s="9"/>
    </row>
    <row r="305">
      <c r="A305" s="21"/>
      <c r="C305" s="16"/>
      <c r="D305" s="6"/>
      <c r="E305" s="9"/>
      <c r="F305" s="16"/>
      <c r="G305" s="8"/>
      <c r="H305" s="9"/>
      <c r="I305" s="9"/>
    </row>
    <row r="306">
      <c r="A306" s="21"/>
      <c r="C306" s="16"/>
      <c r="D306" s="6"/>
      <c r="E306" s="9"/>
      <c r="F306" s="16"/>
      <c r="G306" s="8"/>
      <c r="H306" s="9"/>
      <c r="I306" s="9"/>
    </row>
    <row r="307">
      <c r="A307" s="21"/>
      <c r="C307" s="16"/>
      <c r="D307" s="6"/>
      <c r="E307" s="9"/>
      <c r="F307" s="16"/>
      <c r="G307" s="8"/>
      <c r="H307" s="9"/>
      <c r="I307" s="9"/>
    </row>
    <row r="308">
      <c r="A308" s="21"/>
      <c r="C308" s="16"/>
      <c r="D308" s="6"/>
      <c r="E308" s="9"/>
      <c r="F308" s="16"/>
      <c r="G308" s="8"/>
      <c r="H308" s="9"/>
      <c r="I308" s="9"/>
    </row>
    <row r="309">
      <c r="A309" s="21"/>
      <c r="C309" s="16"/>
      <c r="D309" s="6"/>
      <c r="E309" s="9"/>
      <c r="F309" s="16"/>
      <c r="G309" s="8"/>
      <c r="H309" s="9"/>
      <c r="I309" s="9"/>
    </row>
    <row r="310">
      <c r="A310" s="21"/>
      <c r="C310" s="16"/>
      <c r="D310" s="6"/>
      <c r="E310" s="9"/>
      <c r="F310" s="16"/>
      <c r="G310" s="8"/>
      <c r="H310" s="9"/>
      <c r="I310" s="9"/>
    </row>
    <row r="311">
      <c r="A311" s="21"/>
      <c r="C311" s="16"/>
      <c r="D311" s="6"/>
      <c r="E311" s="9"/>
      <c r="F311" s="16"/>
      <c r="G311" s="8"/>
      <c r="H311" s="9"/>
      <c r="I311" s="9"/>
    </row>
    <row r="312">
      <c r="A312" s="21"/>
      <c r="C312" s="16"/>
      <c r="D312" s="6"/>
      <c r="E312" s="9"/>
      <c r="F312" s="16"/>
      <c r="G312" s="8"/>
      <c r="H312" s="9"/>
      <c r="I312" s="9"/>
    </row>
    <row r="313">
      <c r="A313" s="21"/>
      <c r="C313" s="16"/>
      <c r="D313" s="6"/>
      <c r="E313" s="9"/>
      <c r="F313" s="16"/>
      <c r="G313" s="8"/>
      <c r="H313" s="9"/>
      <c r="I313" s="9"/>
    </row>
    <row r="314">
      <c r="A314" s="21"/>
      <c r="C314" s="16"/>
      <c r="D314" s="6"/>
      <c r="E314" s="9"/>
      <c r="F314" s="16"/>
      <c r="G314" s="8"/>
      <c r="H314" s="9"/>
      <c r="I314" s="9"/>
    </row>
    <row r="315">
      <c r="A315" s="21"/>
      <c r="C315" s="16"/>
      <c r="D315" s="6"/>
      <c r="E315" s="9"/>
      <c r="F315" s="16"/>
      <c r="G315" s="8"/>
      <c r="H315" s="9"/>
      <c r="I315" s="9"/>
    </row>
    <row r="316">
      <c r="A316" s="21"/>
      <c r="C316" s="16"/>
      <c r="D316" s="6"/>
      <c r="E316" s="9"/>
      <c r="F316" s="16"/>
      <c r="G316" s="8"/>
      <c r="H316" s="9"/>
      <c r="I316" s="9"/>
    </row>
    <row r="317">
      <c r="A317" s="21"/>
      <c r="C317" s="16"/>
      <c r="D317" s="6"/>
      <c r="E317" s="9"/>
      <c r="F317" s="16"/>
      <c r="G317" s="8"/>
      <c r="H317" s="9"/>
      <c r="I317" s="9"/>
    </row>
    <row r="318">
      <c r="A318" s="21"/>
      <c r="C318" s="16"/>
      <c r="D318" s="6"/>
      <c r="E318" s="9"/>
      <c r="F318" s="16"/>
      <c r="G318" s="8"/>
      <c r="H318" s="9"/>
      <c r="I318" s="9"/>
    </row>
    <row r="319">
      <c r="A319" s="21"/>
      <c r="C319" s="16"/>
      <c r="D319" s="6"/>
      <c r="E319" s="9"/>
      <c r="F319" s="16"/>
      <c r="G319" s="8"/>
      <c r="H319" s="9"/>
      <c r="I319" s="9"/>
    </row>
    <row r="320">
      <c r="A320" s="21"/>
      <c r="C320" s="16"/>
      <c r="D320" s="6"/>
      <c r="E320" s="9"/>
      <c r="F320" s="16"/>
      <c r="G320" s="8"/>
      <c r="H320" s="9"/>
      <c r="I320" s="9"/>
    </row>
    <row r="321">
      <c r="A321" s="21"/>
      <c r="C321" s="16"/>
      <c r="D321" s="6"/>
      <c r="E321" s="9"/>
      <c r="F321" s="16"/>
      <c r="G321" s="8"/>
      <c r="H321" s="9"/>
      <c r="I321" s="9"/>
    </row>
    <row r="322">
      <c r="A322" s="21"/>
      <c r="C322" s="16"/>
      <c r="D322" s="6"/>
      <c r="E322" s="9"/>
      <c r="F322" s="16"/>
      <c r="G322" s="8"/>
      <c r="H322" s="9"/>
      <c r="I322" s="9"/>
    </row>
    <row r="323">
      <c r="A323" s="21"/>
      <c r="C323" s="16"/>
      <c r="D323" s="6"/>
      <c r="E323" s="9"/>
      <c r="F323" s="16"/>
      <c r="G323" s="8"/>
      <c r="H323" s="9"/>
      <c r="I323" s="9"/>
    </row>
    <row r="324">
      <c r="A324" s="21"/>
      <c r="C324" s="16"/>
      <c r="D324" s="6"/>
      <c r="E324" s="9"/>
      <c r="F324" s="16"/>
      <c r="G324" s="8"/>
      <c r="H324" s="9"/>
      <c r="I324" s="9"/>
    </row>
    <row r="325">
      <c r="A325" s="21"/>
      <c r="C325" s="16"/>
      <c r="D325" s="6"/>
      <c r="E325" s="9"/>
      <c r="F325" s="16"/>
      <c r="G325" s="8"/>
      <c r="H325" s="9"/>
      <c r="I325" s="9"/>
    </row>
    <row r="326">
      <c r="A326" s="21"/>
      <c r="C326" s="16"/>
      <c r="D326" s="6"/>
      <c r="E326" s="9"/>
      <c r="F326" s="16"/>
      <c r="G326" s="8"/>
      <c r="H326" s="9"/>
      <c r="I326" s="9"/>
    </row>
    <row r="327">
      <c r="A327" s="21"/>
      <c r="C327" s="16"/>
      <c r="D327" s="6"/>
      <c r="E327" s="9"/>
      <c r="F327" s="16"/>
      <c r="G327" s="8"/>
      <c r="H327" s="9"/>
      <c r="I327" s="9"/>
    </row>
    <row r="328">
      <c r="A328" s="21"/>
      <c r="C328" s="16"/>
      <c r="D328" s="6"/>
      <c r="E328" s="9"/>
      <c r="F328" s="16"/>
      <c r="G328" s="8"/>
      <c r="H328" s="9"/>
      <c r="I328" s="9"/>
    </row>
    <row r="329">
      <c r="A329" s="21"/>
      <c r="C329" s="16"/>
      <c r="D329" s="6"/>
      <c r="E329" s="9"/>
      <c r="F329" s="16"/>
      <c r="G329" s="8"/>
      <c r="H329" s="9"/>
      <c r="I329" s="9"/>
    </row>
    <row r="330">
      <c r="A330" s="21"/>
      <c r="C330" s="16"/>
      <c r="D330" s="6"/>
      <c r="E330" s="9"/>
      <c r="F330" s="16"/>
      <c r="G330" s="8"/>
      <c r="H330" s="9"/>
      <c r="I330" s="9"/>
    </row>
    <row r="331">
      <c r="A331" s="21"/>
      <c r="C331" s="16"/>
      <c r="D331" s="6"/>
      <c r="E331" s="9"/>
      <c r="F331" s="16"/>
      <c r="G331" s="8"/>
      <c r="H331" s="9"/>
      <c r="I331" s="9"/>
    </row>
    <row r="332">
      <c r="A332" s="21"/>
      <c r="C332" s="16"/>
      <c r="D332" s="6"/>
      <c r="E332" s="9"/>
      <c r="F332" s="16"/>
      <c r="G332" s="8"/>
      <c r="H332" s="9"/>
      <c r="I332" s="9"/>
    </row>
    <row r="333">
      <c r="A333" s="21"/>
      <c r="C333" s="16"/>
      <c r="D333" s="6"/>
      <c r="E333" s="9"/>
      <c r="F333" s="16"/>
      <c r="G333" s="8"/>
      <c r="H333" s="9"/>
      <c r="I333" s="9"/>
    </row>
    <row r="334">
      <c r="A334" s="21"/>
      <c r="C334" s="16"/>
      <c r="D334" s="6"/>
      <c r="E334" s="9"/>
      <c r="F334" s="16"/>
      <c r="G334" s="8"/>
      <c r="H334" s="9"/>
      <c r="I334" s="9"/>
    </row>
    <row r="335">
      <c r="A335" s="21"/>
      <c r="C335" s="16"/>
      <c r="D335" s="6"/>
      <c r="E335" s="9"/>
      <c r="F335" s="16"/>
      <c r="G335" s="8"/>
      <c r="H335" s="9"/>
      <c r="I335" s="9"/>
    </row>
    <row r="336">
      <c r="A336" s="21"/>
      <c r="C336" s="16"/>
      <c r="D336" s="6"/>
      <c r="E336" s="9"/>
      <c r="F336" s="16"/>
      <c r="G336" s="8"/>
      <c r="H336" s="9"/>
      <c r="I336" s="9"/>
    </row>
    <row r="337">
      <c r="A337" s="21"/>
      <c r="C337" s="16"/>
      <c r="D337" s="6"/>
      <c r="E337" s="9"/>
      <c r="F337" s="16"/>
      <c r="G337" s="8"/>
      <c r="H337" s="9"/>
      <c r="I337" s="9"/>
    </row>
    <row r="338">
      <c r="A338" s="21"/>
      <c r="C338" s="16"/>
      <c r="D338" s="6"/>
      <c r="E338" s="9"/>
      <c r="F338" s="16"/>
      <c r="G338" s="8"/>
      <c r="H338" s="9"/>
      <c r="I338" s="9"/>
    </row>
    <row r="339">
      <c r="A339" s="21"/>
      <c r="C339" s="16"/>
      <c r="D339" s="6"/>
      <c r="E339" s="9"/>
      <c r="F339" s="16"/>
      <c r="G339" s="8"/>
      <c r="H339" s="9"/>
      <c r="I339" s="9"/>
    </row>
    <row r="340">
      <c r="A340" s="21"/>
      <c r="C340" s="16"/>
      <c r="D340" s="6"/>
      <c r="E340" s="9"/>
      <c r="F340" s="16"/>
      <c r="G340" s="8"/>
      <c r="H340" s="9"/>
      <c r="I340" s="9"/>
    </row>
    <row r="341">
      <c r="A341" s="21"/>
      <c r="C341" s="16"/>
      <c r="D341" s="6"/>
      <c r="E341" s="9"/>
      <c r="F341" s="16"/>
      <c r="G341" s="8"/>
      <c r="H341" s="9"/>
      <c r="I341" s="9"/>
    </row>
    <row r="342">
      <c r="A342" s="21"/>
      <c r="C342" s="16"/>
      <c r="D342" s="6"/>
      <c r="E342" s="9"/>
      <c r="F342" s="16"/>
      <c r="G342" s="8"/>
      <c r="H342" s="9"/>
      <c r="I342" s="9"/>
    </row>
    <row r="343">
      <c r="A343" s="21"/>
      <c r="C343" s="16"/>
      <c r="D343" s="6"/>
      <c r="E343" s="9"/>
      <c r="F343" s="16"/>
      <c r="G343" s="8"/>
      <c r="H343" s="9"/>
      <c r="I343" s="9"/>
    </row>
    <row r="344">
      <c r="A344" s="21"/>
      <c r="C344" s="16"/>
      <c r="D344" s="6"/>
      <c r="E344" s="9"/>
      <c r="F344" s="16"/>
      <c r="G344" s="8"/>
      <c r="H344" s="9"/>
      <c r="I344" s="9"/>
    </row>
    <row r="345">
      <c r="A345" s="21"/>
      <c r="C345" s="16"/>
      <c r="D345" s="6"/>
      <c r="E345" s="9"/>
      <c r="F345" s="16"/>
      <c r="G345" s="8"/>
      <c r="H345" s="9"/>
      <c r="I345" s="9"/>
    </row>
    <row r="346">
      <c r="A346" s="21"/>
      <c r="C346" s="16"/>
      <c r="D346" s="6"/>
      <c r="E346" s="9"/>
      <c r="F346" s="16"/>
      <c r="G346" s="8"/>
      <c r="H346" s="9"/>
      <c r="I346" s="9"/>
    </row>
    <row r="347">
      <c r="A347" s="21"/>
      <c r="C347" s="16"/>
      <c r="D347" s="6"/>
      <c r="E347" s="9"/>
      <c r="F347" s="16"/>
      <c r="G347" s="8"/>
      <c r="H347" s="9"/>
      <c r="I347" s="9"/>
    </row>
    <row r="348">
      <c r="A348" s="21"/>
      <c r="C348" s="16"/>
      <c r="D348" s="6"/>
      <c r="E348" s="9"/>
      <c r="F348" s="16"/>
      <c r="G348" s="8"/>
      <c r="H348" s="9"/>
      <c r="I348" s="9"/>
    </row>
    <row r="349">
      <c r="A349" s="21"/>
      <c r="C349" s="16"/>
      <c r="D349" s="6"/>
      <c r="E349" s="9"/>
      <c r="F349" s="16"/>
      <c r="G349" s="8"/>
      <c r="H349" s="9"/>
      <c r="I349" s="9"/>
    </row>
    <row r="350">
      <c r="A350" s="21"/>
      <c r="C350" s="16"/>
      <c r="D350" s="6"/>
      <c r="E350" s="9"/>
      <c r="F350" s="16"/>
      <c r="G350" s="8"/>
      <c r="H350" s="9"/>
      <c r="I350" s="9"/>
    </row>
    <row r="351">
      <c r="A351" s="21"/>
      <c r="C351" s="16"/>
      <c r="D351" s="6"/>
      <c r="E351" s="9"/>
      <c r="F351" s="16"/>
      <c r="G351" s="8"/>
      <c r="H351" s="9"/>
      <c r="I351" s="9"/>
    </row>
    <row r="352">
      <c r="A352" s="21"/>
      <c r="C352" s="16"/>
      <c r="D352" s="6"/>
      <c r="E352" s="9"/>
      <c r="F352" s="16"/>
      <c r="G352" s="8"/>
      <c r="H352" s="9"/>
      <c r="I352" s="9"/>
    </row>
    <row r="353">
      <c r="A353" s="21"/>
      <c r="C353" s="16"/>
      <c r="D353" s="6"/>
      <c r="E353" s="9"/>
      <c r="F353" s="16"/>
      <c r="G353" s="8"/>
      <c r="H353" s="9"/>
      <c r="I353" s="9"/>
    </row>
    <row r="354">
      <c r="A354" s="21"/>
      <c r="C354" s="16"/>
      <c r="D354" s="6"/>
      <c r="E354" s="9"/>
      <c r="F354" s="16"/>
      <c r="G354" s="8"/>
      <c r="H354" s="9"/>
      <c r="I354" s="9"/>
    </row>
    <row r="355">
      <c r="A355" s="21"/>
      <c r="C355" s="16"/>
      <c r="D355" s="6"/>
      <c r="E355" s="9"/>
      <c r="F355" s="16"/>
      <c r="G355" s="8"/>
      <c r="H355" s="9"/>
      <c r="I355" s="9"/>
    </row>
    <row r="356">
      <c r="A356" s="21"/>
      <c r="C356" s="16"/>
      <c r="D356" s="6"/>
      <c r="E356" s="9"/>
      <c r="F356" s="16"/>
      <c r="G356" s="8"/>
      <c r="H356" s="9"/>
      <c r="I356" s="9"/>
    </row>
    <row r="357">
      <c r="A357" s="21"/>
      <c r="C357" s="16"/>
      <c r="D357" s="6"/>
      <c r="E357" s="9"/>
      <c r="F357" s="16"/>
      <c r="G357" s="8"/>
      <c r="H357" s="9"/>
      <c r="I357" s="9"/>
    </row>
    <row r="358">
      <c r="A358" s="21"/>
      <c r="C358" s="16"/>
      <c r="D358" s="6"/>
      <c r="E358" s="9"/>
      <c r="F358" s="16"/>
      <c r="G358" s="8"/>
      <c r="H358" s="9"/>
      <c r="I358" s="9"/>
    </row>
    <row r="359">
      <c r="A359" s="21"/>
      <c r="C359" s="16"/>
      <c r="D359" s="6"/>
      <c r="E359" s="9"/>
      <c r="F359" s="16"/>
      <c r="G359" s="8"/>
      <c r="H359" s="9"/>
      <c r="I359" s="9"/>
    </row>
    <row r="360">
      <c r="A360" s="21"/>
      <c r="C360" s="16"/>
      <c r="D360" s="6"/>
      <c r="E360" s="9"/>
      <c r="F360" s="16"/>
      <c r="G360" s="8"/>
      <c r="H360" s="9"/>
      <c r="I360" s="9"/>
    </row>
    <row r="361">
      <c r="A361" s="21"/>
      <c r="C361" s="16"/>
      <c r="D361" s="6"/>
      <c r="E361" s="9"/>
      <c r="F361" s="16"/>
      <c r="G361" s="8"/>
      <c r="H361" s="9"/>
      <c r="I361" s="9"/>
    </row>
    <row r="362">
      <c r="A362" s="21"/>
      <c r="C362" s="16"/>
      <c r="D362" s="6"/>
      <c r="E362" s="9"/>
      <c r="F362" s="16"/>
      <c r="G362" s="8"/>
      <c r="H362" s="9"/>
      <c r="I362" s="9"/>
    </row>
    <row r="363">
      <c r="A363" s="21"/>
      <c r="C363" s="16"/>
      <c r="D363" s="6"/>
      <c r="E363" s="9"/>
      <c r="F363" s="16"/>
      <c r="G363" s="8"/>
      <c r="H363" s="9"/>
      <c r="I363" s="9"/>
    </row>
    <row r="364">
      <c r="A364" s="21"/>
      <c r="C364" s="16"/>
      <c r="D364" s="6"/>
      <c r="E364" s="9"/>
      <c r="F364" s="16"/>
      <c r="G364" s="8"/>
      <c r="H364" s="9"/>
      <c r="I364" s="9"/>
    </row>
    <row r="365">
      <c r="A365" s="21"/>
      <c r="C365" s="16"/>
      <c r="D365" s="6"/>
      <c r="E365" s="9"/>
      <c r="F365" s="16"/>
      <c r="G365" s="8"/>
      <c r="H365" s="9"/>
      <c r="I365" s="9"/>
    </row>
    <row r="366">
      <c r="A366" s="21"/>
      <c r="C366" s="16"/>
      <c r="D366" s="6"/>
      <c r="E366" s="9"/>
      <c r="F366" s="16"/>
      <c r="G366" s="8"/>
      <c r="H366" s="9"/>
      <c r="I366" s="9"/>
    </row>
    <row r="367">
      <c r="A367" s="21"/>
      <c r="C367" s="16"/>
      <c r="D367" s="6"/>
      <c r="E367" s="9"/>
      <c r="F367" s="16"/>
      <c r="G367" s="8"/>
      <c r="H367" s="9"/>
      <c r="I367" s="9"/>
    </row>
    <row r="368">
      <c r="A368" s="21"/>
      <c r="C368" s="16"/>
      <c r="D368" s="6"/>
      <c r="E368" s="9"/>
      <c r="F368" s="16"/>
      <c r="G368" s="8"/>
      <c r="H368" s="9"/>
      <c r="I368" s="9"/>
    </row>
    <row r="369">
      <c r="A369" s="21"/>
      <c r="C369" s="16"/>
      <c r="D369" s="6"/>
      <c r="E369" s="9"/>
      <c r="F369" s="16"/>
      <c r="G369" s="8"/>
      <c r="H369" s="9"/>
      <c r="I369" s="9"/>
    </row>
    <row r="370">
      <c r="A370" s="21"/>
      <c r="C370" s="16"/>
      <c r="D370" s="6"/>
      <c r="E370" s="9"/>
      <c r="F370" s="16"/>
      <c r="G370" s="8"/>
      <c r="H370" s="9"/>
      <c r="I370" s="9"/>
    </row>
    <row r="371">
      <c r="A371" s="21"/>
      <c r="C371" s="16"/>
      <c r="D371" s="6"/>
      <c r="E371" s="9"/>
      <c r="F371" s="16"/>
      <c r="G371" s="8"/>
      <c r="H371" s="9"/>
      <c r="I371" s="9"/>
    </row>
    <row r="372">
      <c r="A372" s="21"/>
      <c r="C372" s="16"/>
      <c r="D372" s="6"/>
      <c r="E372" s="9"/>
      <c r="F372" s="16"/>
      <c r="G372" s="8"/>
      <c r="H372" s="9"/>
      <c r="I372" s="9"/>
    </row>
    <row r="373">
      <c r="A373" s="21"/>
      <c r="C373" s="16"/>
      <c r="D373" s="6"/>
      <c r="E373" s="9"/>
      <c r="F373" s="16"/>
      <c r="G373" s="8"/>
      <c r="H373" s="9"/>
      <c r="I373" s="9"/>
    </row>
    <row r="374">
      <c r="A374" s="21"/>
      <c r="C374" s="16"/>
      <c r="D374" s="6"/>
      <c r="E374" s="9"/>
      <c r="F374" s="16"/>
      <c r="G374" s="8"/>
      <c r="H374" s="9"/>
      <c r="I374" s="9"/>
    </row>
    <row r="375">
      <c r="A375" s="21"/>
      <c r="C375" s="16"/>
      <c r="D375" s="6"/>
      <c r="E375" s="9"/>
      <c r="F375" s="16"/>
      <c r="G375" s="8"/>
      <c r="H375" s="9"/>
      <c r="I375" s="9"/>
    </row>
    <row r="376">
      <c r="A376" s="21"/>
      <c r="C376" s="16"/>
      <c r="D376" s="6"/>
      <c r="E376" s="9"/>
      <c r="F376" s="16"/>
      <c r="G376" s="8"/>
      <c r="H376" s="9"/>
      <c r="I376" s="9"/>
    </row>
    <row r="377">
      <c r="A377" s="21"/>
      <c r="C377" s="16"/>
      <c r="D377" s="6"/>
      <c r="E377" s="9"/>
      <c r="F377" s="16"/>
      <c r="G377" s="8"/>
      <c r="H377" s="9"/>
      <c r="I377" s="9"/>
    </row>
    <row r="378">
      <c r="A378" s="21"/>
      <c r="C378" s="16"/>
      <c r="D378" s="6"/>
      <c r="E378" s="9"/>
      <c r="F378" s="16"/>
      <c r="G378" s="8"/>
      <c r="H378" s="9"/>
      <c r="I378" s="9"/>
    </row>
    <row r="379">
      <c r="A379" s="21"/>
      <c r="C379" s="16"/>
      <c r="D379" s="6"/>
      <c r="E379" s="9"/>
      <c r="F379" s="16"/>
      <c r="G379" s="8"/>
      <c r="H379" s="9"/>
      <c r="I379" s="9"/>
    </row>
    <row r="380">
      <c r="A380" s="21"/>
      <c r="C380" s="16"/>
      <c r="D380" s="6"/>
      <c r="E380" s="9"/>
      <c r="F380" s="16"/>
      <c r="G380" s="8"/>
      <c r="H380" s="9"/>
      <c r="I380" s="9"/>
    </row>
    <row r="381">
      <c r="A381" s="21"/>
      <c r="C381" s="16"/>
      <c r="D381" s="6"/>
      <c r="E381" s="9"/>
      <c r="F381" s="16"/>
      <c r="G381" s="8"/>
      <c r="H381" s="9"/>
      <c r="I381" s="9"/>
    </row>
    <row r="382">
      <c r="A382" s="21"/>
      <c r="C382" s="16"/>
      <c r="D382" s="6"/>
      <c r="E382" s="9"/>
      <c r="F382" s="16"/>
      <c r="G382" s="8"/>
      <c r="H382" s="9"/>
      <c r="I382" s="9"/>
    </row>
    <row r="383">
      <c r="A383" s="21"/>
      <c r="C383" s="16"/>
      <c r="D383" s="6"/>
      <c r="E383" s="9"/>
      <c r="F383" s="16"/>
      <c r="G383" s="8"/>
      <c r="H383" s="9"/>
      <c r="I383" s="9"/>
    </row>
    <row r="384">
      <c r="A384" s="21"/>
      <c r="C384" s="16"/>
      <c r="D384" s="6"/>
      <c r="E384" s="9"/>
      <c r="F384" s="16"/>
      <c r="G384" s="8"/>
      <c r="H384" s="9"/>
      <c r="I384" s="9"/>
    </row>
    <row r="385">
      <c r="A385" s="21"/>
      <c r="C385" s="16"/>
      <c r="D385" s="6"/>
      <c r="E385" s="9"/>
      <c r="F385" s="16"/>
      <c r="G385" s="8"/>
      <c r="H385" s="9"/>
      <c r="I385" s="9"/>
    </row>
    <row r="386">
      <c r="A386" s="21"/>
      <c r="C386" s="16"/>
      <c r="D386" s="6"/>
      <c r="E386" s="9"/>
      <c r="F386" s="16"/>
      <c r="G386" s="8"/>
      <c r="H386" s="9"/>
      <c r="I386" s="9"/>
    </row>
    <row r="387">
      <c r="A387" s="21"/>
      <c r="C387" s="16"/>
      <c r="D387" s="6"/>
      <c r="E387" s="9"/>
      <c r="F387" s="16"/>
      <c r="G387" s="8"/>
      <c r="H387" s="9"/>
      <c r="I387" s="9"/>
    </row>
    <row r="388">
      <c r="A388" s="21"/>
      <c r="C388" s="16"/>
      <c r="D388" s="6"/>
      <c r="E388" s="9"/>
      <c r="F388" s="16"/>
      <c r="G388" s="8"/>
      <c r="H388" s="9"/>
      <c r="I388" s="9"/>
    </row>
    <row r="389">
      <c r="A389" s="21"/>
      <c r="C389" s="16"/>
      <c r="D389" s="6"/>
      <c r="E389" s="9"/>
      <c r="F389" s="16"/>
      <c r="G389" s="8"/>
      <c r="H389" s="9"/>
      <c r="I389" s="9"/>
    </row>
    <row r="390">
      <c r="A390" s="21"/>
      <c r="C390" s="16"/>
      <c r="D390" s="6"/>
      <c r="E390" s="9"/>
      <c r="F390" s="16"/>
      <c r="G390" s="8"/>
      <c r="H390" s="9"/>
      <c r="I390" s="9"/>
    </row>
    <row r="391">
      <c r="A391" s="21"/>
      <c r="C391" s="16"/>
      <c r="D391" s="6"/>
      <c r="E391" s="9"/>
      <c r="F391" s="16"/>
      <c r="G391" s="8"/>
      <c r="H391" s="9"/>
      <c r="I391" s="9"/>
    </row>
    <row r="392">
      <c r="A392" s="21"/>
      <c r="C392" s="16"/>
      <c r="D392" s="6"/>
      <c r="E392" s="9"/>
      <c r="F392" s="16"/>
      <c r="G392" s="8"/>
      <c r="H392" s="9"/>
      <c r="I392" s="9"/>
    </row>
    <row r="393">
      <c r="A393" s="21"/>
      <c r="C393" s="16"/>
      <c r="D393" s="6"/>
      <c r="E393" s="9"/>
      <c r="F393" s="16"/>
      <c r="G393" s="8"/>
      <c r="H393" s="9"/>
      <c r="I393" s="9"/>
    </row>
    <row r="394">
      <c r="A394" s="21"/>
      <c r="C394" s="16"/>
      <c r="D394" s="6"/>
      <c r="E394" s="9"/>
      <c r="F394" s="16"/>
      <c r="G394" s="8"/>
      <c r="H394" s="9"/>
      <c r="I394" s="9"/>
    </row>
    <row r="395">
      <c r="A395" s="21"/>
      <c r="C395" s="16"/>
      <c r="D395" s="6"/>
      <c r="E395" s="9"/>
      <c r="F395" s="16"/>
      <c r="G395" s="8"/>
      <c r="H395" s="9"/>
      <c r="I395" s="9"/>
    </row>
    <row r="396">
      <c r="A396" s="21"/>
      <c r="C396" s="16"/>
      <c r="D396" s="6"/>
      <c r="E396" s="9"/>
      <c r="F396" s="16"/>
      <c r="G396" s="8"/>
      <c r="H396" s="9"/>
      <c r="I396" s="9"/>
    </row>
    <row r="397">
      <c r="A397" s="21"/>
      <c r="C397" s="16"/>
      <c r="D397" s="6"/>
      <c r="E397" s="9"/>
      <c r="F397" s="16"/>
      <c r="G397" s="8"/>
      <c r="H397" s="9"/>
      <c r="I397" s="9"/>
    </row>
    <row r="398">
      <c r="A398" s="21"/>
      <c r="C398" s="16"/>
      <c r="D398" s="6"/>
      <c r="E398" s="9"/>
      <c r="F398" s="16"/>
      <c r="G398" s="8"/>
      <c r="H398" s="9"/>
      <c r="I398" s="9"/>
    </row>
    <row r="399">
      <c r="A399" s="21"/>
      <c r="C399" s="16"/>
      <c r="D399" s="6"/>
      <c r="E399" s="9"/>
      <c r="F399" s="16"/>
      <c r="G399" s="8"/>
      <c r="H399" s="9"/>
      <c r="I399" s="9"/>
    </row>
    <row r="400">
      <c r="A400" s="21"/>
      <c r="C400" s="16"/>
      <c r="D400" s="6"/>
      <c r="E400" s="9"/>
      <c r="F400" s="16"/>
      <c r="G400" s="8"/>
      <c r="H400" s="9"/>
      <c r="I400" s="9"/>
    </row>
    <row r="401">
      <c r="A401" s="21"/>
      <c r="C401" s="16"/>
      <c r="D401" s="6"/>
      <c r="E401" s="9"/>
      <c r="F401" s="16"/>
      <c r="G401" s="8"/>
      <c r="H401" s="9"/>
      <c r="I401" s="9"/>
    </row>
    <row r="402">
      <c r="A402" s="21"/>
      <c r="C402" s="16"/>
      <c r="D402" s="6"/>
      <c r="E402" s="9"/>
      <c r="F402" s="16"/>
      <c r="G402" s="8"/>
      <c r="H402" s="9"/>
      <c r="I402" s="9"/>
    </row>
    <row r="403">
      <c r="A403" s="21"/>
      <c r="C403" s="16"/>
      <c r="D403" s="6"/>
      <c r="E403" s="9"/>
      <c r="F403" s="16"/>
      <c r="G403" s="8"/>
      <c r="H403" s="9"/>
      <c r="I403" s="9"/>
    </row>
    <row r="404">
      <c r="A404" s="21"/>
      <c r="C404" s="16"/>
      <c r="D404" s="6"/>
      <c r="E404" s="9"/>
      <c r="F404" s="16"/>
      <c r="G404" s="8"/>
      <c r="H404" s="9"/>
      <c r="I404" s="9"/>
    </row>
    <row r="405">
      <c r="A405" s="21"/>
      <c r="C405" s="16"/>
      <c r="D405" s="6"/>
      <c r="E405" s="9"/>
      <c r="F405" s="16"/>
      <c r="G405" s="8"/>
      <c r="H405" s="9"/>
      <c r="I405" s="9"/>
    </row>
    <row r="406">
      <c r="A406" s="21"/>
      <c r="C406" s="16"/>
      <c r="D406" s="6"/>
      <c r="E406" s="9"/>
      <c r="F406" s="16"/>
      <c r="G406" s="8"/>
      <c r="H406" s="9"/>
      <c r="I406" s="9"/>
    </row>
    <row r="407">
      <c r="A407" s="21"/>
      <c r="C407" s="16"/>
      <c r="D407" s="6"/>
      <c r="E407" s="9"/>
      <c r="F407" s="16"/>
      <c r="G407" s="8"/>
      <c r="H407" s="9"/>
      <c r="I407" s="9"/>
    </row>
    <row r="408">
      <c r="A408" s="21"/>
      <c r="C408" s="16"/>
      <c r="D408" s="6"/>
      <c r="E408" s="9"/>
      <c r="F408" s="16"/>
      <c r="G408" s="8"/>
      <c r="H408" s="9"/>
      <c r="I408" s="9"/>
    </row>
    <row r="409">
      <c r="A409" s="21"/>
      <c r="C409" s="16"/>
      <c r="D409" s="6"/>
      <c r="E409" s="9"/>
      <c r="F409" s="16"/>
      <c r="G409" s="8"/>
      <c r="H409" s="9"/>
      <c r="I409" s="9"/>
    </row>
    <row r="410">
      <c r="A410" s="21"/>
      <c r="C410" s="16"/>
      <c r="D410" s="6"/>
      <c r="E410" s="9"/>
      <c r="F410" s="16"/>
      <c r="G410" s="8"/>
      <c r="H410" s="9"/>
      <c r="I410" s="9"/>
    </row>
    <row r="411">
      <c r="A411" s="21"/>
      <c r="C411" s="16"/>
      <c r="D411" s="6"/>
      <c r="E411" s="9"/>
      <c r="F411" s="16"/>
      <c r="G411" s="8"/>
      <c r="H411" s="9"/>
      <c r="I411" s="9"/>
    </row>
    <row r="412">
      <c r="A412" s="21"/>
      <c r="C412" s="16"/>
      <c r="D412" s="6"/>
      <c r="E412" s="9"/>
      <c r="F412" s="16"/>
      <c r="G412" s="8"/>
      <c r="H412" s="9"/>
      <c r="I412" s="9"/>
    </row>
    <row r="413">
      <c r="A413" s="21"/>
      <c r="C413" s="16"/>
      <c r="D413" s="6"/>
      <c r="E413" s="9"/>
      <c r="F413" s="16"/>
      <c r="G413" s="8"/>
      <c r="H413" s="9"/>
      <c r="I413" s="9"/>
    </row>
    <row r="414">
      <c r="A414" s="21"/>
      <c r="C414" s="16"/>
      <c r="D414" s="6"/>
      <c r="E414" s="9"/>
      <c r="F414" s="16"/>
      <c r="G414" s="8"/>
      <c r="H414" s="9"/>
      <c r="I414" s="9"/>
    </row>
    <row r="415">
      <c r="A415" s="21"/>
      <c r="C415" s="16"/>
      <c r="D415" s="6"/>
      <c r="E415" s="9"/>
      <c r="F415" s="16"/>
      <c r="G415" s="8"/>
      <c r="H415" s="9"/>
      <c r="I415" s="9"/>
    </row>
    <row r="416">
      <c r="A416" s="21"/>
      <c r="C416" s="16"/>
      <c r="D416" s="6"/>
      <c r="E416" s="9"/>
      <c r="F416" s="16"/>
      <c r="G416" s="8"/>
      <c r="H416" s="9"/>
      <c r="I416" s="9"/>
    </row>
    <row r="417">
      <c r="A417" s="21"/>
      <c r="C417" s="16"/>
      <c r="D417" s="6"/>
      <c r="E417" s="9"/>
      <c r="F417" s="16"/>
      <c r="G417" s="8"/>
      <c r="H417" s="9"/>
      <c r="I417" s="9"/>
    </row>
    <row r="418">
      <c r="A418" s="21"/>
      <c r="C418" s="16"/>
      <c r="D418" s="6"/>
      <c r="E418" s="9"/>
      <c r="F418" s="16"/>
      <c r="G418" s="8"/>
      <c r="H418" s="9"/>
      <c r="I418" s="9"/>
    </row>
    <row r="419">
      <c r="A419" s="21"/>
      <c r="C419" s="16"/>
      <c r="D419" s="6"/>
      <c r="E419" s="9"/>
      <c r="F419" s="16"/>
      <c r="G419" s="8"/>
      <c r="H419" s="9"/>
      <c r="I419" s="9"/>
    </row>
    <row r="420">
      <c r="A420" s="21"/>
      <c r="C420" s="16"/>
      <c r="D420" s="6"/>
      <c r="E420" s="9"/>
      <c r="F420" s="16"/>
      <c r="G420" s="8"/>
      <c r="H420" s="9"/>
      <c r="I420" s="9"/>
    </row>
    <row r="421">
      <c r="A421" s="21"/>
      <c r="C421" s="16"/>
      <c r="D421" s="6"/>
      <c r="E421" s="9"/>
      <c r="F421" s="16"/>
      <c r="G421" s="8"/>
      <c r="H421" s="9"/>
      <c r="I421" s="9"/>
    </row>
    <row r="422">
      <c r="A422" s="21"/>
      <c r="C422" s="16"/>
      <c r="D422" s="6"/>
      <c r="E422" s="9"/>
      <c r="F422" s="16"/>
      <c r="G422" s="8"/>
      <c r="H422" s="9"/>
      <c r="I422" s="9"/>
    </row>
    <row r="423">
      <c r="A423" s="21"/>
      <c r="C423" s="16"/>
      <c r="D423" s="6"/>
      <c r="E423" s="9"/>
      <c r="F423" s="16"/>
      <c r="G423" s="8"/>
      <c r="H423" s="9"/>
      <c r="I423" s="9"/>
    </row>
    <row r="424">
      <c r="A424" s="21"/>
      <c r="C424" s="16"/>
      <c r="D424" s="6"/>
      <c r="E424" s="9"/>
      <c r="F424" s="16"/>
      <c r="G424" s="8"/>
      <c r="H424" s="9"/>
      <c r="I424" s="9"/>
    </row>
    <row r="425">
      <c r="A425" s="21"/>
      <c r="C425" s="16"/>
      <c r="D425" s="6"/>
      <c r="E425" s="9"/>
      <c r="F425" s="16"/>
      <c r="G425" s="8"/>
      <c r="H425" s="9"/>
      <c r="I425" s="9"/>
    </row>
    <row r="426">
      <c r="A426" s="21"/>
      <c r="C426" s="16"/>
      <c r="D426" s="6"/>
      <c r="E426" s="9"/>
      <c r="F426" s="16"/>
      <c r="G426" s="8"/>
      <c r="H426" s="9"/>
      <c r="I426" s="9"/>
    </row>
    <row r="427">
      <c r="A427" s="21"/>
      <c r="C427" s="16"/>
      <c r="D427" s="6"/>
      <c r="E427" s="9"/>
      <c r="F427" s="16"/>
      <c r="G427" s="8"/>
      <c r="H427" s="9"/>
      <c r="I427" s="9"/>
    </row>
    <row r="428">
      <c r="A428" s="21"/>
      <c r="C428" s="16"/>
      <c r="D428" s="6"/>
      <c r="E428" s="9"/>
      <c r="F428" s="16"/>
      <c r="G428" s="8"/>
      <c r="H428" s="9"/>
      <c r="I428" s="9"/>
    </row>
    <row r="429">
      <c r="A429" s="21"/>
      <c r="C429" s="16"/>
      <c r="D429" s="6"/>
      <c r="E429" s="9"/>
      <c r="F429" s="16"/>
      <c r="G429" s="8"/>
      <c r="H429" s="9"/>
      <c r="I429" s="9"/>
    </row>
    <row r="430">
      <c r="A430" s="21"/>
      <c r="C430" s="16"/>
      <c r="D430" s="6"/>
      <c r="E430" s="9"/>
      <c r="F430" s="16"/>
      <c r="G430" s="8"/>
      <c r="H430" s="9"/>
      <c r="I430" s="9"/>
    </row>
    <row r="431">
      <c r="A431" s="21"/>
      <c r="C431" s="16"/>
      <c r="D431" s="6"/>
      <c r="E431" s="9"/>
      <c r="F431" s="16"/>
      <c r="G431" s="8"/>
      <c r="H431" s="9"/>
      <c r="I431" s="9"/>
    </row>
    <row r="432">
      <c r="A432" s="21"/>
      <c r="C432" s="16"/>
      <c r="D432" s="6"/>
      <c r="E432" s="9"/>
      <c r="F432" s="16"/>
      <c r="G432" s="8"/>
      <c r="H432" s="9"/>
      <c r="I432" s="9"/>
    </row>
    <row r="433">
      <c r="A433" s="21"/>
      <c r="C433" s="16"/>
      <c r="D433" s="6"/>
      <c r="E433" s="9"/>
      <c r="F433" s="16"/>
      <c r="G433" s="8"/>
      <c r="H433" s="9"/>
      <c r="I433" s="9"/>
    </row>
    <row r="434">
      <c r="A434" s="21"/>
      <c r="C434" s="16"/>
      <c r="D434" s="6"/>
      <c r="E434" s="9"/>
      <c r="F434" s="16"/>
      <c r="G434" s="8"/>
      <c r="H434" s="9"/>
      <c r="I434" s="9"/>
    </row>
    <row r="435">
      <c r="A435" s="21"/>
      <c r="C435" s="16"/>
      <c r="D435" s="6"/>
      <c r="E435" s="9"/>
      <c r="F435" s="16"/>
      <c r="G435" s="8"/>
      <c r="H435" s="9"/>
      <c r="I435" s="9"/>
    </row>
    <row r="436">
      <c r="A436" s="21"/>
      <c r="C436" s="16"/>
      <c r="D436" s="6"/>
      <c r="E436" s="9"/>
      <c r="F436" s="16"/>
      <c r="G436" s="8"/>
      <c r="H436" s="9"/>
      <c r="I436" s="9"/>
    </row>
    <row r="437">
      <c r="A437" s="21"/>
      <c r="C437" s="16"/>
      <c r="D437" s="6"/>
      <c r="E437" s="9"/>
      <c r="F437" s="16"/>
      <c r="G437" s="8"/>
      <c r="H437" s="9"/>
      <c r="I437" s="9"/>
    </row>
    <row r="438">
      <c r="A438" s="21"/>
      <c r="C438" s="16"/>
      <c r="D438" s="6"/>
      <c r="E438" s="9"/>
      <c r="F438" s="16"/>
      <c r="G438" s="8"/>
      <c r="H438" s="9"/>
      <c r="I438" s="9"/>
    </row>
    <row r="439">
      <c r="A439" s="21"/>
      <c r="C439" s="16"/>
      <c r="D439" s="6"/>
      <c r="E439" s="9"/>
      <c r="F439" s="16"/>
      <c r="G439" s="8"/>
      <c r="H439" s="9"/>
      <c r="I439" s="9"/>
    </row>
    <row r="440">
      <c r="A440" s="21"/>
      <c r="C440" s="16"/>
      <c r="D440" s="6"/>
      <c r="E440" s="9"/>
      <c r="F440" s="16"/>
      <c r="G440" s="8"/>
      <c r="H440" s="9"/>
      <c r="I440" s="9"/>
    </row>
    <row r="441">
      <c r="A441" s="21"/>
      <c r="C441" s="16"/>
      <c r="D441" s="6"/>
      <c r="E441" s="9"/>
      <c r="F441" s="16"/>
      <c r="G441" s="8"/>
      <c r="H441" s="9"/>
      <c r="I441" s="9"/>
    </row>
    <row r="442">
      <c r="A442" s="21"/>
      <c r="C442" s="16"/>
      <c r="D442" s="6"/>
      <c r="E442" s="9"/>
      <c r="F442" s="16"/>
      <c r="G442" s="8"/>
      <c r="H442" s="9"/>
      <c r="I442" s="9"/>
    </row>
    <row r="443">
      <c r="A443" s="21"/>
      <c r="C443" s="16"/>
      <c r="D443" s="6"/>
      <c r="E443" s="9"/>
      <c r="F443" s="16"/>
      <c r="G443" s="8"/>
      <c r="H443" s="9"/>
      <c r="I443" s="9"/>
    </row>
    <row r="444">
      <c r="A444" s="21"/>
      <c r="C444" s="16"/>
      <c r="D444" s="6"/>
      <c r="E444" s="9"/>
      <c r="F444" s="16"/>
      <c r="G444" s="8"/>
      <c r="H444" s="9"/>
      <c r="I444" s="9"/>
    </row>
    <row r="445">
      <c r="A445" s="21"/>
      <c r="C445" s="16"/>
      <c r="D445" s="6"/>
      <c r="E445" s="9"/>
      <c r="F445" s="16"/>
      <c r="G445" s="8"/>
      <c r="H445" s="9"/>
      <c r="I445" s="9"/>
    </row>
    <row r="446">
      <c r="A446" s="21"/>
      <c r="C446" s="16"/>
      <c r="D446" s="6"/>
      <c r="E446" s="9"/>
      <c r="F446" s="16"/>
      <c r="G446" s="8"/>
      <c r="H446" s="9"/>
      <c r="I446" s="9"/>
    </row>
    <row r="447">
      <c r="A447" s="21"/>
      <c r="C447" s="16"/>
      <c r="D447" s="6"/>
      <c r="E447" s="9"/>
      <c r="F447" s="16"/>
      <c r="G447" s="8"/>
      <c r="H447" s="9"/>
      <c r="I447" s="9"/>
    </row>
    <row r="448">
      <c r="A448" s="21"/>
      <c r="C448" s="16"/>
      <c r="D448" s="6"/>
      <c r="E448" s="9"/>
      <c r="F448" s="16"/>
      <c r="G448" s="8"/>
      <c r="H448" s="9"/>
      <c r="I448" s="9"/>
    </row>
    <row r="449">
      <c r="A449" s="21"/>
      <c r="C449" s="16"/>
      <c r="D449" s="6"/>
      <c r="E449" s="9"/>
      <c r="F449" s="16"/>
      <c r="G449" s="8"/>
      <c r="H449" s="9"/>
      <c r="I449" s="9"/>
    </row>
    <row r="450">
      <c r="A450" s="21"/>
      <c r="C450" s="16"/>
      <c r="D450" s="6"/>
      <c r="E450" s="9"/>
      <c r="F450" s="16"/>
      <c r="G450" s="8"/>
      <c r="H450" s="9"/>
      <c r="I450" s="9"/>
    </row>
    <row r="451">
      <c r="A451" s="21"/>
      <c r="C451" s="16"/>
      <c r="D451" s="6"/>
      <c r="E451" s="9"/>
      <c r="F451" s="16"/>
      <c r="G451" s="8"/>
      <c r="H451" s="9"/>
      <c r="I451" s="9"/>
    </row>
    <row r="452">
      <c r="A452" s="21"/>
      <c r="C452" s="16"/>
      <c r="D452" s="6"/>
      <c r="E452" s="9"/>
      <c r="F452" s="16"/>
      <c r="G452" s="8"/>
      <c r="H452" s="9"/>
      <c r="I452" s="9"/>
    </row>
    <row r="453">
      <c r="A453" s="21"/>
      <c r="C453" s="16"/>
      <c r="D453" s="6"/>
      <c r="E453" s="9"/>
      <c r="F453" s="16"/>
      <c r="G453" s="8"/>
      <c r="H453" s="9"/>
      <c r="I453" s="9"/>
    </row>
    <row r="454">
      <c r="A454" s="21"/>
      <c r="C454" s="16"/>
      <c r="D454" s="6"/>
      <c r="E454" s="9"/>
      <c r="F454" s="16"/>
      <c r="G454" s="8"/>
      <c r="H454" s="9"/>
      <c r="I454" s="9"/>
    </row>
    <row r="455">
      <c r="A455" s="21"/>
      <c r="C455" s="16"/>
      <c r="D455" s="6"/>
      <c r="E455" s="9"/>
      <c r="F455" s="16"/>
      <c r="G455" s="8"/>
      <c r="H455" s="9"/>
      <c r="I455" s="9"/>
    </row>
    <row r="456">
      <c r="A456" s="21"/>
      <c r="C456" s="16"/>
      <c r="D456" s="6"/>
      <c r="E456" s="9"/>
      <c r="F456" s="16"/>
      <c r="G456" s="8"/>
      <c r="H456" s="9"/>
      <c r="I456" s="9"/>
    </row>
    <row r="457">
      <c r="A457" s="21"/>
      <c r="C457" s="16"/>
      <c r="D457" s="6"/>
      <c r="E457" s="9"/>
      <c r="F457" s="16"/>
      <c r="G457" s="8"/>
      <c r="H457" s="9"/>
      <c r="I457" s="9"/>
    </row>
    <row r="458">
      <c r="A458" s="21"/>
      <c r="C458" s="16"/>
      <c r="D458" s="6"/>
      <c r="E458" s="9"/>
      <c r="F458" s="16"/>
      <c r="G458" s="8"/>
      <c r="H458" s="9"/>
      <c r="I458" s="9"/>
    </row>
    <row r="459">
      <c r="A459" s="21"/>
      <c r="C459" s="16"/>
      <c r="D459" s="6"/>
      <c r="E459" s="9"/>
      <c r="F459" s="16"/>
      <c r="G459" s="8"/>
      <c r="H459" s="9"/>
      <c r="I459" s="9"/>
    </row>
    <row r="460">
      <c r="A460" s="21"/>
      <c r="C460" s="16"/>
      <c r="D460" s="6"/>
      <c r="E460" s="9"/>
      <c r="F460" s="16"/>
      <c r="G460" s="8"/>
      <c r="H460" s="9"/>
      <c r="I460" s="9"/>
    </row>
    <row r="461">
      <c r="A461" s="21"/>
      <c r="C461" s="16"/>
      <c r="D461" s="6"/>
      <c r="E461" s="9"/>
      <c r="F461" s="16"/>
      <c r="G461" s="8"/>
      <c r="H461" s="9"/>
      <c r="I461" s="9"/>
    </row>
    <row r="462">
      <c r="A462" s="21"/>
      <c r="C462" s="16"/>
      <c r="D462" s="6"/>
      <c r="E462" s="9"/>
      <c r="F462" s="16"/>
      <c r="G462" s="8"/>
      <c r="H462" s="9"/>
      <c r="I462" s="9"/>
    </row>
    <row r="463">
      <c r="A463" s="21"/>
      <c r="C463" s="16"/>
      <c r="D463" s="6"/>
      <c r="E463" s="9"/>
      <c r="F463" s="16"/>
      <c r="G463" s="8"/>
      <c r="H463" s="9"/>
      <c r="I463" s="9"/>
    </row>
    <row r="464">
      <c r="A464" s="21"/>
      <c r="C464" s="16"/>
      <c r="D464" s="6"/>
      <c r="E464" s="9"/>
      <c r="F464" s="16"/>
      <c r="G464" s="8"/>
      <c r="H464" s="9"/>
      <c r="I464" s="9"/>
    </row>
    <row r="465">
      <c r="A465" s="21"/>
      <c r="C465" s="16"/>
      <c r="D465" s="6"/>
      <c r="E465" s="9"/>
      <c r="F465" s="16"/>
      <c r="G465" s="8"/>
      <c r="H465" s="9"/>
      <c r="I465" s="9"/>
    </row>
    <row r="466">
      <c r="A466" s="21"/>
      <c r="C466" s="16"/>
      <c r="D466" s="6"/>
      <c r="E466" s="9"/>
      <c r="F466" s="16"/>
      <c r="G466" s="8"/>
      <c r="H466" s="9"/>
      <c r="I466" s="9"/>
    </row>
    <row r="467">
      <c r="A467" s="21"/>
      <c r="C467" s="16"/>
      <c r="D467" s="6"/>
      <c r="E467" s="9"/>
      <c r="F467" s="16"/>
      <c r="G467" s="8"/>
      <c r="H467" s="9"/>
      <c r="I467" s="9"/>
    </row>
    <row r="468">
      <c r="A468" s="21"/>
      <c r="C468" s="16"/>
      <c r="D468" s="6"/>
      <c r="E468" s="9"/>
      <c r="F468" s="16"/>
      <c r="G468" s="8"/>
      <c r="H468" s="9"/>
      <c r="I468" s="9"/>
    </row>
    <row r="469">
      <c r="A469" s="21"/>
      <c r="C469" s="16"/>
      <c r="D469" s="6"/>
      <c r="E469" s="9"/>
      <c r="F469" s="16"/>
      <c r="G469" s="8"/>
      <c r="H469" s="9"/>
      <c r="I469" s="9"/>
    </row>
    <row r="470">
      <c r="A470" s="21"/>
      <c r="C470" s="16"/>
      <c r="D470" s="6"/>
      <c r="E470" s="9"/>
      <c r="F470" s="16"/>
      <c r="G470" s="8"/>
      <c r="H470" s="9"/>
      <c r="I470" s="9"/>
    </row>
    <row r="471">
      <c r="A471" s="21"/>
      <c r="C471" s="16"/>
      <c r="D471" s="6"/>
      <c r="E471" s="9"/>
      <c r="F471" s="16"/>
      <c r="G471" s="8"/>
      <c r="H471" s="9"/>
      <c r="I471" s="9"/>
    </row>
    <row r="472">
      <c r="A472" s="21"/>
      <c r="C472" s="16"/>
      <c r="D472" s="6"/>
      <c r="E472" s="9"/>
      <c r="F472" s="16"/>
      <c r="G472" s="8"/>
      <c r="H472" s="9"/>
      <c r="I472" s="9"/>
    </row>
    <row r="473">
      <c r="A473" s="21"/>
      <c r="C473" s="16"/>
      <c r="D473" s="6"/>
      <c r="E473" s="9"/>
      <c r="F473" s="16"/>
      <c r="G473" s="8"/>
      <c r="H473" s="9"/>
      <c r="I473" s="9"/>
    </row>
    <row r="474">
      <c r="A474" s="21"/>
      <c r="C474" s="16"/>
      <c r="D474" s="6"/>
      <c r="E474" s="9"/>
      <c r="F474" s="16"/>
      <c r="G474" s="8"/>
      <c r="H474" s="9"/>
      <c r="I474" s="9"/>
    </row>
    <row r="475">
      <c r="A475" s="21"/>
      <c r="C475" s="16"/>
      <c r="D475" s="6"/>
      <c r="E475" s="9"/>
      <c r="F475" s="16"/>
      <c r="G475" s="8"/>
      <c r="H475" s="9"/>
      <c r="I475" s="9"/>
    </row>
    <row r="476">
      <c r="A476" s="21"/>
      <c r="C476" s="16"/>
      <c r="D476" s="6"/>
      <c r="E476" s="9"/>
      <c r="F476" s="16"/>
      <c r="G476" s="8"/>
      <c r="H476" s="9"/>
      <c r="I476" s="9"/>
    </row>
    <row r="477">
      <c r="A477" s="21"/>
      <c r="C477" s="16"/>
      <c r="D477" s="6"/>
      <c r="E477" s="9"/>
      <c r="F477" s="16"/>
      <c r="G477" s="8"/>
      <c r="H477" s="9"/>
      <c r="I477" s="9"/>
    </row>
    <row r="478">
      <c r="A478" s="21"/>
      <c r="C478" s="16"/>
      <c r="D478" s="6"/>
      <c r="E478" s="9"/>
      <c r="F478" s="16"/>
      <c r="G478" s="8"/>
      <c r="H478" s="9"/>
      <c r="I478" s="9"/>
    </row>
    <row r="479">
      <c r="A479" s="21"/>
      <c r="C479" s="16"/>
      <c r="D479" s="6"/>
      <c r="E479" s="9"/>
      <c r="F479" s="16"/>
      <c r="G479" s="8"/>
      <c r="H479" s="9"/>
      <c r="I479" s="9"/>
    </row>
    <row r="480">
      <c r="A480" s="21"/>
      <c r="C480" s="16"/>
      <c r="D480" s="6"/>
      <c r="E480" s="9"/>
      <c r="F480" s="16"/>
      <c r="G480" s="8"/>
      <c r="H480" s="9"/>
      <c r="I480" s="9"/>
    </row>
    <row r="481">
      <c r="A481" s="21"/>
      <c r="C481" s="16"/>
      <c r="D481" s="6"/>
      <c r="E481" s="9"/>
      <c r="F481" s="16"/>
      <c r="G481" s="8"/>
      <c r="H481" s="9"/>
      <c r="I481" s="9"/>
    </row>
    <row r="482">
      <c r="A482" s="21"/>
      <c r="C482" s="16"/>
      <c r="D482" s="6"/>
      <c r="E482" s="9"/>
      <c r="F482" s="16"/>
      <c r="G482" s="8"/>
      <c r="H482" s="9"/>
      <c r="I482" s="9"/>
    </row>
    <row r="483">
      <c r="A483" s="21"/>
      <c r="C483" s="16"/>
      <c r="D483" s="6"/>
      <c r="E483" s="9"/>
      <c r="F483" s="16"/>
      <c r="G483" s="8"/>
      <c r="H483" s="9"/>
      <c r="I483" s="9"/>
    </row>
    <row r="484">
      <c r="A484" s="21"/>
      <c r="C484" s="16"/>
      <c r="D484" s="6"/>
      <c r="E484" s="9"/>
      <c r="F484" s="16"/>
      <c r="G484" s="8"/>
      <c r="H484" s="9"/>
      <c r="I484" s="9"/>
    </row>
    <row r="485">
      <c r="A485" s="21"/>
      <c r="C485" s="16"/>
      <c r="D485" s="6"/>
      <c r="E485" s="9"/>
      <c r="F485" s="16"/>
      <c r="G485" s="8"/>
      <c r="H485" s="9"/>
      <c r="I485" s="9"/>
    </row>
    <row r="486">
      <c r="A486" s="21"/>
      <c r="C486" s="16"/>
      <c r="D486" s="6"/>
      <c r="E486" s="9"/>
      <c r="F486" s="16"/>
      <c r="G486" s="8"/>
      <c r="H486" s="9"/>
      <c r="I486" s="9"/>
    </row>
    <row r="487">
      <c r="A487" s="21"/>
      <c r="C487" s="16"/>
      <c r="D487" s="6"/>
      <c r="E487" s="9"/>
      <c r="F487" s="16"/>
      <c r="G487" s="8"/>
      <c r="H487" s="9"/>
      <c r="I487" s="9"/>
    </row>
    <row r="488">
      <c r="A488" s="21"/>
      <c r="C488" s="16"/>
      <c r="D488" s="6"/>
      <c r="E488" s="9"/>
      <c r="F488" s="16"/>
      <c r="G488" s="8"/>
      <c r="H488" s="9"/>
      <c r="I488" s="9"/>
    </row>
    <row r="489">
      <c r="A489" s="21"/>
      <c r="C489" s="16"/>
      <c r="D489" s="6"/>
      <c r="E489" s="9"/>
      <c r="F489" s="16"/>
      <c r="G489" s="8"/>
      <c r="H489" s="9"/>
      <c r="I489" s="9"/>
    </row>
    <row r="490">
      <c r="A490" s="21"/>
      <c r="C490" s="16"/>
      <c r="D490" s="6"/>
      <c r="E490" s="9"/>
      <c r="F490" s="16"/>
      <c r="G490" s="8"/>
      <c r="H490" s="9"/>
      <c r="I490" s="9"/>
    </row>
    <row r="491">
      <c r="A491" s="21"/>
      <c r="C491" s="16"/>
      <c r="D491" s="6"/>
      <c r="E491" s="9"/>
      <c r="F491" s="16"/>
      <c r="G491" s="8"/>
      <c r="H491" s="9"/>
      <c r="I491" s="9"/>
    </row>
    <row r="492">
      <c r="A492" s="21"/>
      <c r="C492" s="16"/>
      <c r="D492" s="6"/>
      <c r="E492" s="9"/>
      <c r="F492" s="16"/>
      <c r="G492" s="8"/>
      <c r="H492" s="9"/>
      <c r="I492" s="9"/>
    </row>
    <row r="493">
      <c r="A493" s="21"/>
      <c r="C493" s="16"/>
      <c r="D493" s="6"/>
      <c r="E493" s="9"/>
      <c r="F493" s="16"/>
      <c r="G493" s="8"/>
      <c r="H493" s="9"/>
      <c r="I493" s="9"/>
    </row>
    <row r="494">
      <c r="A494" s="21"/>
      <c r="C494" s="16"/>
      <c r="D494" s="6"/>
      <c r="E494" s="9"/>
      <c r="F494" s="16"/>
      <c r="G494" s="8"/>
      <c r="H494" s="9"/>
      <c r="I494" s="9"/>
    </row>
    <row r="495">
      <c r="A495" s="21"/>
      <c r="C495" s="16"/>
      <c r="D495" s="6"/>
      <c r="E495" s="9"/>
      <c r="F495" s="16"/>
      <c r="G495" s="8"/>
      <c r="H495" s="9"/>
      <c r="I495" s="9"/>
    </row>
    <row r="496">
      <c r="A496" s="21"/>
      <c r="C496" s="16"/>
      <c r="D496" s="6"/>
      <c r="E496" s="9"/>
      <c r="F496" s="16"/>
      <c r="G496" s="8"/>
      <c r="H496" s="9"/>
      <c r="I496" s="9"/>
    </row>
    <row r="497">
      <c r="A497" s="21"/>
      <c r="C497" s="16"/>
      <c r="D497" s="6"/>
      <c r="E497" s="9"/>
      <c r="F497" s="16"/>
      <c r="G497" s="8"/>
      <c r="H497" s="9"/>
      <c r="I497" s="9"/>
    </row>
    <row r="498">
      <c r="A498" s="21"/>
      <c r="C498" s="16"/>
      <c r="D498" s="6"/>
      <c r="E498" s="9"/>
      <c r="F498" s="16"/>
      <c r="G498" s="8"/>
      <c r="H498" s="9"/>
      <c r="I498" s="9"/>
    </row>
    <row r="499">
      <c r="A499" s="21"/>
      <c r="C499" s="16"/>
      <c r="D499" s="6"/>
      <c r="E499" s="9"/>
      <c r="F499" s="16"/>
      <c r="G499" s="8"/>
      <c r="H499" s="9"/>
      <c r="I499" s="9"/>
    </row>
    <row r="500">
      <c r="A500" s="21"/>
      <c r="C500" s="16"/>
      <c r="D500" s="6"/>
      <c r="E500" s="9"/>
      <c r="F500" s="16"/>
      <c r="G500" s="8"/>
      <c r="H500" s="9"/>
      <c r="I500" s="9"/>
    </row>
    <row r="501">
      <c r="A501" s="21"/>
      <c r="C501" s="16"/>
      <c r="D501" s="6"/>
      <c r="E501" s="9"/>
      <c r="F501" s="16"/>
      <c r="G501" s="8"/>
      <c r="H501" s="9"/>
      <c r="I501" s="9"/>
    </row>
    <row r="502">
      <c r="A502" s="21"/>
      <c r="C502" s="16"/>
      <c r="D502" s="6"/>
      <c r="E502" s="9"/>
      <c r="F502" s="16"/>
      <c r="G502" s="8"/>
      <c r="H502" s="9"/>
      <c r="I502" s="9"/>
    </row>
    <row r="503">
      <c r="A503" s="21"/>
      <c r="C503" s="16"/>
      <c r="D503" s="6"/>
      <c r="E503" s="9"/>
      <c r="F503" s="16"/>
      <c r="G503" s="8"/>
      <c r="H503" s="9"/>
      <c r="I503" s="9"/>
    </row>
    <row r="504">
      <c r="A504" s="21"/>
      <c r="C504" s="16"/>
      <c r="D504" s="6"/>
      <c r="E504" s="9"/>
      <c r="F504" s="16"/>
      <c r="G504" s="8"/>
      <c r="H504" s="9"/>
      <c r="I504" s="9"/>
    </row>
    <row r="505">
      <c r="A505" s="21"/>
      <c r="C505" s="16"/>
      <c r="D505" s="6"/>
      <c r="E505" s="9"/>
      <c r="F505" s="16"/>
      <c r="G505" s="8"/>
      <c r="H505" s="9"/>
      <c r="I505" s="9"/>
    </row>
    <row r="506">
      <c r="A506" s="21"/>
      <c r="C506" s="16"/>
      <c r="D506" s="6"/>
      <c r="E506" s="9"/>
      <c r="F506" s="16"/>
      <c r="G506" s="8"/>
      <c r="H506" s="9"/>
      <c r="I506" s="9"/>
    </row>
    <row r="507">
      <c r="A507" s="21"/>
      <c r="C507" s="16"/>
      <c r="D507" s="6"/>
      <c r="E507" s="9"/>
      <c r="F507" s="16"/>
      <c r="G507" s="8"/>
      <c r="H507" s="9"/>
      <c r="I507" s="9"/>
    </row>
    <row r="508">
      <c r="A508" s="21"/>
      <c r="C508" s="16"/>
      <c r="D508" s="6"/>
      <c r="E508" s="9"/>
      <c r="F508" s="16"/>
      <c r="G508" s="8"/>
      <c r="H508" s="9"/>
      <c r="I508" s="9"/>
    </row>
    <row r="509">
      <c r="A509" s="21"/>
      <c r="C509" s="16"/>
      <c r="D509" s="6"/>
      <c r="E509" s="9"/>
      <c r="F509" s="16"/>
      <c r="G509" s="8"/>
      <c r="H509" s="9"/>
      <c r="I509" s="9"/>
    </row>
    <row r="510">
      <c r="A510" s="21"/>
      <c r="C510" s="16"/>
      <c r="D510" s="6"/>
      <c r="E510" s="9"/>
      <c r="F510" s="16"/>
      <c r="G510" s="8"/>
      <c r="H510" s="9"/>
      <c r="I510" s="9"/>
    </row>
    <row r="511">
      <c r="A511" s="21"/>
      <c r="C511" s="16"/>
      <c r="D511" s="6"/>
      <c r="E511" s="9"/>
      <c r="F511" s="16"/>
      <c r="G511" s="8"/>
      <c r="H511" s="9"/>
      <c r="I511" s="9"/>
    </row>
    <row r="512">
      <c r="A512" s="21"/>
      <c r="C512" s="16"/>
      <c r="D512" s="6"/>
      <c r="E512" s="9"/>
      <c r="F512" s="16"/>
      <c r="G512" s="8"/>
      <c r="H512" s="9"/>
      <c r="I512" s="9"/>
    </row>
    <row r="513">
      <c r="A513" s="21"/>
      <c r="C513" s="16"/>
      <c r="D513" s="6"/>
      <c r="E513" s="9"/>
      <c r="F513" s="16"/>
      <c r="G513" s="8"/>
      <c r="H513" s="9"/>
      <c r="I513" s="9"/>
    </row>
    <row r="514">
      <c r="A514" s="21"/>
      <c r="C514" s="16"/>
      <c r="D514" s="6"/>
      <c r="E514" s="9"/>
      <c r="F514" s="16"/>
      <c r="G514" s="8"/>
      <c r="H514" s="9"/>
      <c r="I514" s="9"/>
    </row>
    <row r="515">
      <c r="A515" s="21"/>
      <c r="C515" s="16"/>
      <c r="D515" s="6"/>
      <c r="E515" s="9"/>
      <c r="F515" s="16"/>
      <c r="G515" s="8"/>
      <c r="H515" s="9"/>
      <c r="I515" s="9"/>
    </row>
    <row r="516">
      <c r="A516" s="21"/>
      <c r="C516" s="16"/>
      <c r="D516" s="6"/>
      <c r="E516" s="9"/>
      <c r="F516" s="16"/>
      <c r="G516" s="8"/>
      <c r="H516" s="9"/>
      <c r="I516" s="9"/>
    </row>
    <row r="517">
      <c r="A517" s="21"/>
      <c r="C517" s="16"/>
      <c r="D517" s="6"/>
      <c r="E517" s="9"/>
      <c r="F517" s="16"/>
      <c r="G517" s="8"/>
      <c r="H517" s="9"/>
      <c r="I517" s="9"/>
    </row>
    <row r="518">
      <c r="A518" s="21"/>
      <c r="C518" s="16"/>
      <c r="D518" s="6"/>
      <c r="E518" s="9"/>
      <c r="F518" s="16"/>
      <c r="G518" s="8"/>
      <c r="H518" s="9"/>
      <c r="I518" s="9"/>
    </row>
    <row r="519">
      <c r="A519" s="21"/>
      <c r="C519" s="16"/>
      <c r="D519" s="6"/>
      <c r="E519" s="9"/>
      <c r="F519" s="16"/>
      <c r="G519" s="8"/>
      <c r="H519" s="9"/>
      <c r="I519" s="9"/>
    </row>
    <row r="520">
      <c r="A520" s="21"/>
      <c r="C520" s="16"/>
      <c r="D520" s="6"/>
      <c r="E520" s="9"/>
      <c r="F520" s="16"/>
      <c r="G520" s="8"/>
      <c r="H520" s="9"/>
      <c r="I520" s="9"/>
    </row>
    <row r="521">
      <c r="A521" s="21"/>
      <c r="C521" s="16"/>
      <c r="D521" s="6"/>
      <c r="E521" s="9"/>
      <c r="F521" s="16"/>
      <c r="G521" s="8"/>
      <c r="H521" s="9"/>
      <c r="I521" s="9"/>
    </row>
    <row r="522">
      <c r="A522" s="21"/>
      <c r="C522" s="16"/>
      <c r="D522" s="6"/>
      <c r="E522" s="9"/>
      <c r="F522" s="16"/>
      <c r="G522" s="8"/>
      <c r="H522" s="9"/>
      <c r="I522" s="9"/>
    </row>
    <row r="523">
      <c r="A523" s="21"/>
      <c r="C523" s="16"/>
      <c r="D523" s="6"/>
      <c r="E523" s="9"/>
      <c r="F523" s="16"/>
      <c r="G523" s="8"/>
      <c r="H523" s="9"/>
      <c r="I523" s="9"/>
    </row>
    <row r="524">
      <c r="A524" s="21"/>
      <c r="C524" s="16"/>
      <c r="D524" s="6"/>
      <c r="E524" s="9"/>
      <c r="F524" s="16"/>
      <c r="G524" s="8"/>
      <c r="H524" s="9"/>
      <c r="I524" s="9"/>
    </row>
    <row r="525">
      <c r="A525" s="21"/>
      <c r="C525" s="16"/>
      <c r="D525" s="6"/>
      <c r="E525" s="9"/>
      <c r="F525" s="16"/>
      <c r="G525" s="8"/>
      <c r="H525" s="9"/>
      <c r="I525" s="9"/>
    </row>
    <row r="526">
      <c r="A526" s="21"/>
      <c r="C526" s="16"/>
      <c r="D526" s="6"/>
      <c r="E526" s="9"/>
      <c r="F526" s="16"/>
      <c r="G526" s="8"/>
      <c r="H526" s="9"/>
      <c r="I526" s="9"/>
    </row>
    <row r="527">
      <c r="A527" s="21"/>
      <c r="C527" s="16"/>
      <c r="D527" s="6"/>
      <c r="E527" s="9"/>
      <c r="F527" s="16"/>
      <c r="G527" s="8"/>
      <c r="H527" s="9"/>
      <c r="I527" s="9"/>
    </row>
    <row r="528">
      <c r="A528" s="21"/>
      <c r="C528" s="16"/>
      <c r="D528" s="6"/>
      <c r="E528" s="9"/>
      <c r="F528" s="16"/>
      <c r="G528" s="8"/>
      <c r="H528" s="9"/>
      <c r="I528" s="9"/>
    </row>
    <row r="529">
      <c r="A529" s="21"/>
      <c r="C529" s="16"/>
      <c r="D529" s="6"/>
      <c r="E529" s="9"/>
      <c r="F529" s="16"/>
      <c r="G529" s="8"/>
      <c r="H529" s="9"/>
      <c r="I529" s="9"/>
    </row>
    <row r="530">
      <c r="A530" s="21"/>
      <c r="C530" s="16"/>
      <c r="D530" s="6"/>
      <c r="E530" s="9"/>
      <c r="F530" s="16"/>
      <c r="G530" s="8"/>
      <c r="H530" s="9"/>
      <c r="I530" s="9"/>
    </row>
    <row r="531">
      <c r="A531" s="21"/>
      <c r="C531" s="16"/>
      <c r="D531" s="6"/>
      <c r="E531" s="9"/>
      <c r="F531" s="16"/>
      <c r="G531" s="8"/>
      <c r="H531" s="9"/>
      <c r="I531" s="9"/>
    </row>
    <row r="532">
      <c r="A532" s="21"/>
      <c r="C532" s="16"/>
      <c r="D532" s="6"/>
      <c r="E532" s="9"/>
      <c r="F532" s="16"/>
      <c r="G532" s="8"/>
      <c r="H532" s="9"/>
      <c r="I532" s="9"/>
    </row>
    <row r="533">
      <c r="A533" s="21"/>
      <c r="C533" s="16"/>
      <c r="D533" s="6"/>
      <c r="E533" s="9"/>
      <c r="F533" s="16"/>
      <c r="G533" s="8"/>
      <c r="H533" s="9"/>
      <c r="I533" s="9"/>
    </row>
    <row r="534">
      <c r="A534" s="21"/>
      <c r="C534" s="16"/>
      <c r="D534" s="6"/>
      <c r="E534" s="9"/>
      <c r="F534" s="16"/>
      <c r="G534" s="8"/>
      <c r="H534" s="9"/>
      <c r="I534" s="9"/>
    </row>
    <row r="535">
      <c r="A535" s="21"/>
      <c r="C535" s="16"/>
      <c r="D535" s="6"/>
      <c r="E535" s="9"/>
      <c r="F535" s="16"/>
      <c r="G535" s="8"/>
      <c r="H535" s="9"/>
      <c r="I535" s="9"/>
    </row>
    <row r="536">
      <c r="A536" s="21"/>
      <c r="C536" s="16"/>
      <c r="D536" s="6"/>
      <c r="E536" s="9"/>
      <c r="F536" s="16"/>
      <c r="G536" s="8"/>
      <c r="H536" s="9"/>
      <c r="I536" s="9"/>
    </row>
    <row r="537">
      <c r="A537" s="21"/>
      <c r="C537" s="16"/>
      <c r="D537" s="6"/>
      <c r="E537" s="9"/>
      <c r="F537" s="16"/>
      <c r="G537" s="8"/>
      <c r="H537" s="9"/>
      <c r="I537" s="9"/>
    </row>
    <row r="538">
      <c r="A538" s="21"/>
      <c r="C538" s="16"/>
      <c r="D538" s="6"/>
      <c r="E538" s="9"/>
      <c r="F538" s="16"/>
      <c r="G538" s="8"/>
      <c r="H538" s="9"/>
      <c r="I538" s="9"/>
    </row>
    <row r="539">
      <c r="A539" s="21"/>
      <c r="C539" s="16"/>
      <c r="D539" s="6"/>
      <c r="E539" s="9"/>
      <c r="F539" s="16"/>
      <c r="G539" s="8"/>
      <c r="H539" s="9"/>
      <c r="I539" s="9"/>
    </row>
    <row r="540">
      <c r="A540" s="21"/>
      <c r="C540" s="16"/>
      <c r="D540" s="6"/>
      <c r="E540" s="9"/>
      <c r="F540" s="16"/>
      <c r="G540" s="8"/>
      <c r="H540" s="9"/>
      <c r="I540" s="9"/>
    </row>
    <row r="541">
      <c r="A541" s="21"/>
      <c r="C541" s="16"/>
      <c r="D541" s="6"/>
      <c r="E541" s="9"/>
      <c r="F541" s="16"/>
      <c r="G541" s="8"/>
      <c r="H541" s="9"/>
      <c r="I541" s="9"/>
    </row>
    <row r="542">
      <c r="A542" s="21"/>
      <c r="C542" s="16"/>
      <c r="D542" s="6"/>
      <c r="E542" s="9"/>
      <c r="F542" s="16"/>
      <c r="G542" s="8"/>
      <c r="H542" s="9"/>
      <c r="I542" s="9"/>
    </row>
    <row r="543">
      <c r="A543" s="21"/>
      <c r="C543" s="16"/>
      <c r="D543" s="6"/>
      <c r="E543" s="9"/>
      <c r="F543" s="16"/>
      <c r="G543" s="8"/>
      <c r="H543" s="9"/>
      <c r="I543" s="9"/>
    </row>
    <row r="544">
      <c r="A544" s="21"/>
      <c r="C544" s="16"/>
      <c r="D544" s="6"/>
      <c r="E544" s="9"/>
      <c r="F544" s="16"/>
      <c r="G544" s="8"/>
      <c r="H544" s="9"/>
      <c r="I544" s="9"/>
    </row>
    <row r="545">
      <c r="A545" s="21"/>
      <c r="C545" s="16"/>
      <c r="D545" s="6"/>
      <c r="E545" s="9"/>
      <c r="F545" s="16"/>
      <c r="G545" s="8"/>
      <c r="H545" s="9"/>
      <c r="I545" s="9"/>
    </row>
    <row r="546">
      <c r="A546" s="21"/>
      <c r="C546" s="16"/>
      <c r="D546" s="6"/>
      <c r="E546" s="9"/>
      <c r="F546" s="16"/>
      <c r="G546" s="8"/>
      <c r="H546" s="9"/>
      <c r="I546" s="9"/>
    </row>
    <row r="547">
      <c r="A547" s="21"/>
      <c r="C547" s="16"/>
      <c r="D547" s="6"/>
      <c r="E547" s="9"/>
      <c r="F547" s="16"/>
      <c r="G547" s="8"/>
      <c r="H547" s="9"/>
      <c r="I547" s="9"/>
    </row>
    <row r="548">
      <c r="A548" s="21"/>
      <c r="C548" s="16"/>
      <c r="D548" s="6"/>
      <c r="E548" s="9"/>
      <c r="F548" s="16"/>
      <c r="G548" s="8"/>
      <c r="H548" s="9"/>
      <c r="I548" s="9"/>
    </row>
    <row r="549">
      <c r="A549" s="21"/>
      <c r="C549" s="16"/>
      <c r="D549" s="6"/>
      <c r="E549" s="9"/>
      <c r="F549" s="16"/>
      <c r="G549" s="8"/>
      <c r="H549" s="9"/>
      <c r="I549" s="9"/>
    </row>
    <row r="550">
      <c r="A550" s="21"/>
      <c r="C550" s="16"/>
      <c r="D550" s="6"/>
      <c r="E550" s="9"/>
      <c r="F550" s="16"/>
      <c r="G550" s="8"/>
      <c r="H550" s="9"/>
      <c r="I550" s="9"/>
    </row>
    <row r="551">
      <c r="A551" s="21"/>
      <c r="C551" s="16"/>
      <c r="D551" s="6"/>
      <c r="E551" s="9"/>
      <c r="F551" s="16"/>
      <c r="G551" s="8"/>
      <c r="H551" s="9"/>
      <c r="I551" s="9"/>
    </row>
    <row r="552">
      <c r="A552" s="21"/>
      <c r="C552" s="16"/>
      <c r="D552" s="6"/>
      <c r="E552" s="9"/>
      <c r="F552" s="16"/>
      <c r="G552" s="8"/>
      <c r="H552" s="9"/>
      <c r="I552" s="9"/>
    </row>
    <row r="553">
      <c r="A553" s="21"/>
      <c r="C553" s="16"/>
      <c r="D553" s="6"/>
      <c r="E553" s="9"/>
      <c r="F553" s="16"/>
      <c r="G553" s="8"/>
      <c r="H553" s="9"/>
      <c r="I553" s="9"/>
    </row>
    <row r="554">
      <c r="A554" s="21"/>
      <c r="C554" s="16"/>
      <c r="D554" s="6"/>
      <c r="E554" s="9"/>
      <c r="F554" s="16"/>
      <c r="G554" s="8"/>
      <c r="H554" s="9"/>
      <c r="I554" s="9"/>
    </row>
    <row r="555">
      <c r="A555" s="21"/>
      <c r="C555" s="16"/>
      <c r="D555" s="6"/>
      <c r="E555" s="9"/>
      <c r="F555" s="16"/>
      <c r="G555" s="8"/>
      <c r="H555" s="9"/>
      <c r="I555" s="9"/>
    </row>
    <row r="556">
      <c r="A556" s="21"/>
      <c r="C556" s="16"/>
      <c r="D556" s="6"/>
      <c r="E556" s="9"/>
      <c r="F556" s="16"/>
      <c r="G556" s="8"/>
      <c r="H556" s="9"/>
      <c r="I556" s="9"/>
    </row>
    <row r="557">
      <c r="A557" s="21"/>
      <c r="C557" s="16"/>
      <c r="D557" s="6"/>
      <c r="E557" s="9"/>
      <c r="F557" s="16"/>
      <c r="G557" s="8"/>
      <c r="H557" s="9"/>
      <c r="I557" s="9"/>
    </row>
    <row r="558">
      <c r="A558" s="21"/>
      <c r="C558" s="16"/>
      <c r="D558" s="6"/>
      <c r="E558" s="9"/>
      <c r="F558" s="16"/>
      <c r="G558" s="8"/>
      <c r="H558" s="9"/>
      <c r="I558" s="9"/>
    </row>
    <row r="559">
      <c r="A559" s="21"/>
      <c r="C559" s="16"/>
      <c r="D559" s="6"/>
      <c r="E559" s="9"/>
      <c r="F559" s="16"/>
      <c r="G559" s="8"/>
      <c r="H559" s="9"/>
      <c r="I559" s="9"/>
    </row>
    <row r="560">
      <c r="A560" s="21"/>
      <c r="C560" s="16"/>
      <c r="D560" s="6"/>
      <c r="E560" s="9"/>
      <c r="F560" s="16"/>
      <c r="G560" s="8"/>
      <c r="H560" s="9"/>
      <c r="I560" s="9"/>
    </row>
    <row r="561">
      <c r="A561" s="21"/>
      <c r="C561" s="16"/>
      <c r="D561" s="6"/>
      <c r="E561" s="9"/>
      <c r="F561" s="16"/>
      <c r="G561" s="8"/>
      <c r="H561" s="9"/>
      <c r="I561" s="9"/>
    </row>
    <row r="562">
      <c r="A562" s="21"/>
      <c r="C562" s="16"/>
      <c r="D562" s="6"/>
      <c r="E562" s="9"/>
      <c r="F562" s="16"/>
      <c r="G562" s="8"/>
      <c r="H562" s="9"/>
      <c r="I562" s="9"/>
    </row>
    <row r="563">
      <c r="A563" s="21"/>
      <c r="C563" s="16"/>
      <c r="D563" s="6"/>
      <c r="E563" s="9"/>
      <c r="F563" s="16"/>
      <c r="G563" s="8"/>
      <c r="H563" s="9"/>
      <c r="I563" s="9"/>
    </row>
    <row r="564">
      <c r="A564" s="21"/>
      <c r="C564" s="16"/>
      <c r="D564" s="6"/>
      <c r="E564" s="9"/>
      <c r="F564" s="16"/>
      <c r="G564" s="8"/>
      <c r="H564" s="9"/>
      <c r="I564" s="9"/>
    </row>
    <row r="565">
      <c r="A565" s="21"/>
      <c r="C565" s="16"/>
      <c r="D565" s="6"/>
      <c r="E565" s="9"/>
      <c r="F565" s="16"/>
      <c r="G565" s="8"/>
      <c r="H565" s="9"/>
      <c r="I565" s="9"/>
    </row>
    <row r="566">
      <c r="A566" s="21"/>
      <c r="C566" s="16"/>
      <c r="D566" s="6"/>
      <c r="E566" s="9"/>
      <c r="F566" s="16"/>
      <c r="G566" s="8"/>
      <c r="H566" s="9"/>
      <c r="I566" s="9"/>
    </row>
    <row r="567">
      <c r="A567" s="21"/>
      <c r="C567" s="16"/>
      <c r="D567" s="6"/>
      <c r="E567" s="9"/>
      <c r="F567" s="16"/>
      <c r="G567" s="8"/>
      <c r="H567" s="9"/>
      <c r="I567" s="9"/>
    </row>
    <row r="568">
      <c r="A568" s="21"/>
      <c r="C568" s="16"/>
      <c r="D568" s="6"/>
      <c r="E568" s="9"/>
      <c r="F568" s="16"/>
      <c r="G568" s="8"/>
      <c r="H568" s="9"/>
      <c r="I568" s="9"/>
    </row>
    <row r="569">
      <c r="A569" s="21"/>
      <c r="C569" s="16"/>
      <c r="D569" s="6"/>
      <c r="E569" s="9"/>
      <c r="F569" s="16"/>
      <c r="G569" s="8"/>
      <c r="H569" s="9"/>
      <c r="I569" s="9"/>
    </row>
    <row r="570">
      <c r="A570" s="21"/>
      <c r="C570" s="16"/>
      <c r="D570" s="6"/>
      <c r="E570" s="9"/>
      <c r="F570" s="16"/>
      <c r="G570" s="8"/>
      <c r="H570" s="9"/>
      <c r="I570" s="9"/>
    </row>
    <row r="571">
      <c r="A571" s="21"/>
      <c r="C571" s="16"/>
      <c r="D571" s="6"/>
      <c r="E571" s="9"/>
      <c r="F571" s="16"/>
      <c r="G571" s="8"/>
      <c r="H571" s="9"/>
      <c r="I571" s="9"/>
    </row>
    <row r="572">
      <c r="A572" s="21"/>
      <c r="C572" s="16"/>
      <c r="D572" s="6"/>
      <c r="E572" s="9"/>
      <c r="F572" s="16"/>
      <c r="G572" s="8"/>
      <c r="H572" s="9"/>
      <c r="I572" s="9"/>
    </row>
    <row r="573">
      <c r="A573" s="21"/>
      <c r="C573" s="16"/>
      <c r="D573" s="6"/>
      <c r="E573" s="9"/>
      <c r="F573" s="16"/>
      <c r="G573" s="8"/>
      <c r="H573" s="9"/>
      <c r="I573" s="9"/>
    </row>
    <row r="574">
      <c r="A574" s="21"/>
      <c r="C574" s="16"/>
      <c r="D574" s="6"/>
      <c r="E574" s="9"/>
      <c r="F574" s="16"/>
      <c r="G574" s="8"/>
      <c r="H574" s="9"/>
      <c r="I574" s="9"/>
    </row>
    <row r="575">
      <c r="A575" s="21"/>
      <c r="C575" s="16"/>
      <c r="D575" s="6"/>
      <c r="E575" s="9"/>
      <c r="F575" s="16"/>
      <c r="G575" s="8"/>
      <c r="H575" s="9"/>
      <c r="I575" s="9"/>
    </row>
    <row r="576">
      <c r="A576" s="21"/>
      <c r="C576" s="16"/>
      <c r="D576" s="6"/>
      <c r="E576" s="9"/>
      <c r="F576" s="16"/>
      <c r="G576" s="8"/>
      <c r="H576" s="9"/>
      <c r="I576" s="9"/>
    </row>
    <row r="577">
      <c r="A577" s="21"/>
      <c r="C577" s="16"/>
      <c r="D577" s="6"/>
      <c r="E577" s="9"/>
      <c r="F577" s="16"/>
      <c r="G577" s="8"/>
      <c r="H577" s="9"/>
      <c r="I577" s="9"/>
    </row>
    <row r="578">
      <c r="A578" s="21"/>
      <c r="C578" s="16"/>
      <c r="D578" s="6"/>
      <c r="E578" s="9"/>
      <c r="F578" s="16"/>
      <c r="G578" s="8"/>
      <c r="H578" s="9"/>
      <c r="I578" s="9"/>
    </row>
    <row r="579">
      <c r="A579" s="21"/>
      <c r="C579" s="16"/>
      <c r="D579" s="6"/>
      <c r="E579" s="9"/>
      <c r="F579" s="16"/>
      <c r="G579" s="8"/>
      <c r="H579" s="9"/>
      <c r="I579" s="9"/>
    </row>
    <row r="580">
      <c r="A580" s="21"/>
      <c r="C580" s="16"/>
      <c r="D580" s="6"/>
      <c r="E580" s="9"/>
      <c r="F580" s="16"/>
      <c r="G580" s="8"/>
      <c r="H580" s="9"/>
      <c r="I580" s="9"/>
    </row>
    <row r="581">
      <c r="A581" s="21"/>
      <c r="C581" s="16"/>
      <c r="D581" s="6"/>
      <c r="E581" s="9"/>
      <c r="F581" s="16"/>
      <c r="G581" s="8"/>
      <c r="H581" s="9"/>
      <c r="I581" s="9"/>
    </row>
    <row r="582">
      <c r="A582" s="21"/>
      <c r="C582" s="16"/>
      <c r="D582" s="6"/>
      <c r="E582" s="9"/>
      <c r="F582" s="16"/>
      <c r="G582" s="8"/>
      <c r="H582" s="9"/>
      <c r="I582" s="9"/>
    </row>
    <row r="583">
      <c r="A583" s="21"/>
      <c r="C583" s="16"/>
      <c r="D583" s="6"/>
      <c r="E583" s="9"/>
      <c r="F583" s="16"/>
      <c r="G583" s="8"/>
      <c r="H583" s="9"/>
      <c r="I583" s="9"/>
    </row>
    <row r="584">
      <c r="A584" s="21"/>
      <c r="C584" s="16"/>
      <c r="D584" s="6"/>
      <c r="E584" s="9"/>
      <c r="F584" s="16"/>
      <c r="G584" s="8"/>
      <c r="H584" s="9"/>
      <c r="I584" s="9"/>
    </row>
    <row r="585">
      <c r="A585" s="21"/>
      <c r="C585" s="16"/>
      <c r="D585" s="6"/>
      <c r="E585" s="9"/>
      <c r="F585" s="16"/>
      <c r="G585" s="8"/>
      <c r="H585" s="9"/>
      <c r="I585" s="9"/>
    </row>
    <row r="586">
      <c r="A586" s="21"/>
      <c r="C586" s="16"/>
      <c r="D586" s="6"/>
      <c r="E586" s="9"/>
      <c r="F586" s="16"/>
      <c r="G586" s="8"/>
      <c r="H586" s="9"/>
      <c r="I586" s="9"/>
    </row>
    <row r="587">
      <c r="A587" s="21"/>
      <c r="C587" s="16"/>
      <c r="D587" s="6"/>
      <c r="E587" s="9"/>
      <c r="F587" s="16"/>
      <c r="G587" s="8"/>
      <c r="H587" s="9"/>
      <c r="I587" s="9"/>
    </row>
    <row r="588">
      <c r="A588" s="21"/>
      <c r="C588" s="16"/>
      <c r="D588" s="6"/>
      <c r="E588" s="9"/>
      <c r="F588" s="16"/>
      <c r="G588" s="8"/>
      <c r="H588" s="9"/>
      <c r="I588" s="9"/>
    </row>
    <row r="589">
      <c r="A589" s="21"/>
      <c r="C589" s="16"/>
      <c r="D589" s="6"/>
      <c r="E589" s="9"/>
      <c r="F589" s="16"/>
      <c r="G589" s="8"/>
      <c r="H589" s="9"/>
      <c r="I589" s="9"/>
    </row>
    <row r="590">
      <c r="A590" s="21"/>
      <c r="C590" s="16"/>
      <c r="D590" s="6"/>
      <c r="E590" s="9"/>
      <c r="F590" s="16"/>
      <c r="G590" s="8"/>
      <c r="H590" s="9"/>
      <c r="I590" s="9"/>
    </row>
    <row r="591">
      <c r="A591" s="21"/>
      <c r="C591" s="16"/>
      <c r="D591" s="6"/>
      <c r="E591" s="9"/>
      <c r="F591" s="16"/>
      <c r="G591" s="8"/>
      <c r="H591" s="9"/>
      <c r="I591" s="9"/>
    </row>
    <row r="592">
      <c r="A592" s="21"/>
      <c r="C592" s="16"/>
      <c r="D592" s="6"/>
      <c r="E592" s="9"/>
      <c r="F592" s="16"/>
      <c r="G592" s="8"/>
      <c r="H592" s="9"/>
      <c r="I592" s="9"/>
    </row>
    <row r="593">
      <c r="A593" s="21"/>
      <c r="C593" s="16"/>
      <c r="D593" s="6"/>
      <c r="E593" s="9"/>
      <c r="F593" s="16"/>
      <c r="G593" s="8"/>
      <c r="H593" s="9"/>
      <c r="I593" s="9"/>
    </row>
    <row r="594">
      <c r="A594" s="21"/>
      <c r="C594" s="16"/>
      <c r="D594" s="6"/>
      <c r="E594" s="9"/>
      <c r="F594" s="16"/>
      <c r="G594" s="8"/>
      <c r="H594" s="9"/>
      <c r="I594" s="9"/>
    </row>
    <row r="595">
      <c r="A595" s="21"/>
      <c r="C595" s="16"/>
      <c r="D595" s="6"/>
      <c r="E595" s="9"/>
      <c r="F595" s="16"/>
      <c r="G595" s="8"/>
      <c r="H595" s="9"/>
      <c r="I595" s="9"/>
    </row>
    <row r="596">
      <c r="A596" s="21"/>
      <c r="C596" s="16"/>
      <c r="D596" s="6"/>
      <c r="E596" s="9"/>
      <c r="F596" s="16"/>
      <c r="G596" s="8"/>
      <c r="H596" s="9"/>
      <c r="I596" s="9"/>
    </row>
    <row r="597">
      <c r="A597" s="21"/>
      <c r="C597" s="16"/>
      <c r="D597" s="6"/>
      <c r="E597" s="9"/>
      <c r="F597" s="16"/>
      <c r="G597" s="8"/>
      <c r="H597" s="9"/>
      <c r="I597" s="9"/>
    </row>
    <row r="598">
      <c r="A598" s="21"/>
      <c r="C598" s="16"/>
      <c r="D598" s="6"/>
      <c r="E598" s="9"/>
      <c r="F598" s="16"/>
      <c r="G598" s="8"/>
      <c r="H598" s="9"/>
      <c r="I598" s="9"/>
    </row>
    <row r="599">
      <c r="A599" s="21"/>
      <c r="C599" s="16"/>
      <c r="D599" s="6"/>
      <c r="E599" s="9"/>
      <c r="F599" s="16"/>
      <c r="G599" s="8"/>
      <c r="H599" s="9"/>
      <c r="I599" s="9"/>
    </row>
    <row r="600">
      <c r="A600" s="21"/>
      <c r="C600" s="16"/>
      <c r="D600" s="6"/>
      <c r="E600" s="9"/>
      <c r="F600" s="16"/>
      <c r="G600" s="8"/>
      <c r="H600" s="9"/>
      <c r="I600" s="9"/>
    </row>
    <row r="601">
      <c r="A601" s="21"/>
      <c r="C601" s="16"/>
      <c r="D601" s="6"/>
      <c r="E601" s="9"/>
      <c r="F601" s="16"/>
      <c r="G601" s="8"/>
      <c r="H601" s="9"/>
      <c r="I601" s="9"/>
    </row>
    <row r="602">
      <c r="A602" s="21"/>
      <c r="C602" s="16"/>
      <c r="D602" s="6"/>
      <c r="E602" s="9"/>
      <c r="F602" s="16"/>
      <c r="G602" s="8"/>
      <c r="H602" s="9"/>
      <c r="I602" s="9"/>
    </row>
    <row r="603">
      <c r="A603" s="21"/>
      <c r="C603" s="16"/>
      <c r="D603" s="6"/>
      <c r="E603" s="9"/>
      <c r="F603" s="16"/>
      <c r="G603" s="8"/>
      <c r="H603" s="9"/>
      <c r="I603" s="9"/>
    </row>
    <row r="604">
      <c r="A604" s="21"/>
      <c r="C604" s="16"/>
      <c r="D604" s="6"/>
      <c r="E604" s="9"/>
      <c r="F604" s="16"/>
      <c r="G604" s="8"/>
      <c r="H604" s="9"/>
      <c r="I604" s="9"/>
    </row>
    <row r="605">
      <c r="A605" s="21"/>
      <c r="C605" s="16"/>
      <c r="D605" s="6"/>
      <c r="E605" s="9"/>
      <c r="F605" s="16"/>
      <c r="G605" s="8"/>
      <c r="H605" s="9"/>
      <c r="I605" s="9"/>
    </row>
    <row r="606">
      <c r="A606" s="21"/>
      <c r="C606" s="16"/>
      <c r="D606" s="6"/>
      <c r="E606" s="9"/>
      <c r="F606" s="16"/>
      <c r="G606" s="8"/>
      <c r="H606" s="9"/>
      <c r="I606" s="9"/>
    </row>
    <row r="607">
      <c r="A607" s="21"/>
      <c r="C607" s="16"/>
      <c r="D607" s="6"/>
      <c r="E607" s="9"/>
      <c r="F607" s="16"/>
      <c r="G607" s="8"/>
      <c r="H607" s="9"/>
      <c r="I607" s="9"/>
    </row>
    <row r="608">
      <c r="A608" s="21"/>
      <c r="C608" s="16"/>
      <c r="D608" s="6"/>
      <c r="E608" s="9"/>
      <c r="F608" s="16"/>
      <c r="G608" s="8"/>
      <c r="H608" s="9"/>
      <c r="I608" s="9"/>
    </row>
    <row r="609">
      <c r="A609" s="21"/>
      <c r="C609" s="16"/>
      <c r="D609" s="6"/>
      <c r="E609" s="9"/>
      <c r="F609" s="16"/>
      <c r="G609" s="8"/>
      <c r="H609" s="9"/>
      <c r="I609" s="9"/>
    </row>
    <row r="610">
      <c r="A610" s="21"/>
      <c r="C610" s="16"/>
      <c r="D610" s="6"/>
      <c r="E610" s="9"/>
      <c r="F610" s="16"/>
      <c r="G610" s="8"/>
      <c r="H610" s="9"/>
      <c r="I610" s="9"/>
    </row>
    <row r="611">
      <c r="A611" s="21"/>
      <c r="C611" s="16"/>
      <c r="D611" s="6"/>
      <c r="E611" s="9"/>
      <c r="F611" s="16"/>
      <c r="G611" s="8"/>
      <c r="H611" s="9"/>
      <c r="I611" s="9"/>
    </row>
    <row r="612">
      <c r="A612" s="21"/>
      <c r="C612" s="16"/>
      <c r="D612" s="6"/>
      <c r="E612" s="9"/>
      <c r="F612" s="16"/>
      <c r="G612" s="8"/>
      <c r="H612" s="9"/>
      <c r="I612" s="9"/>
    </row>
    <row r="613">
      <c r="A613" s="21"/>
      <c r="C613" s="16"/>
      <c r="D613" s="6"/>
      <c r="E613" s="9"/>
      <c r="F613" s="16"/>
      <c r="G613" s="8"/>
      <c r="H613" s="9"/>
      <c r="I613" s="9"/>
    </row>
    <row r="614">
      <c r="A614" s="21"/>
      <c r="C614" s="16"/>
      <c r="D614" s="6"/>
      <c r="E614" s="9"/>
      <c r="F614" s="16"/>
      <c r="G614" s="8"/>
      <c r="H614" s="9"/>
      <c r="I614" s="9"/>
    </row>
    <row r="615">
      <c r="A615" s="21"/>
      <c r="C615" s="16"/>
      <c r="D615" s="6"/>
      <c r="E615" s="9"/>
      <c r="F615" s="16"/>
      <c r="G615" s="8"/>
      <c r="H615" s="9"/>
      <c r="I615" s="9"/>
    </row>
    <row r="616">
      <c r="A616" s="21"/>
      <c r="C616" s="16"/>
      <c r="D616" s="6"/>
      <c r="E616" s="9"/>
      <c r="F616" s="16"/>
      <c r="G616" s="8"/>
      <c r="H616" s="9"/>
      <c r="I616" s="9"/>
    </row>
    <row r="617">
      <c r="A617" s="21"/>
      <c r="C617" s="16"/>
      <c r="D617" s="6"/>
      <c r="E617" s="9"/>
      <c r="F617" s="16"/>
      <c r="G617" s="8"/>
      <c r="H617" s="9"/>
      <c r="I617" s="9"/>
    </row>
    <row r="618">
      <c r="A618" s="21"/>
      <c r="C618" s="16"/>
      <c r="D618" s="6"/>
      <c r="E618" s="9"/>
      <c r="F618" s="16"/>
      <c r="G618" s="8"/>
      <c r="H618" s="9"/>
      <c r="I618" s="9"/>
    </row>
    <row r="619">
      <c r="A619" s="21"/>
      <c r="C619" s="16"/>
      <c r="D619" s="6"/>
      <c r="E619" s="9"/>
      <c r="F619" s="16"/>
      <c r="G619" s="8"/>
      <c r="H619" s="9"/>
      <c r="I619" s="9"/>
    </row>
    <row r="620">
      <c r="A620" s="21"/>
      <c r="C620" s="16"/>
      <c r="D620" s="6"/>
      <c r="E620" s="9"/>
      <c r="F620" s="16"/>
      <c r="G620" s="8"/>
      <c r="H620" s="9"/>
      <c r="I620" s="9"/>
    </row>
    <row r="621">
      <c r="A621" s="21"/>
      <c r="C621" s="16"/>
      <c r="D621" s="6"/>
      <c r="E621" s="9"/>
      <c r="F621" s="16"/>
      <c r="G621" s="8"/>
      <c r="H621" s="9"/>
      <c r="I621" s="9"/>
    </row>
    <row r="622">
      <c r="A622" s="21"/>
      <c r="C622" s="16"/>
      <c r="D622" s="6"/>
      <c r="E622" s="9"/>
      <c r="F622" s="16"/>
      <c r="G622" s="8"/>
      <c r="H622" s="9"/>
      <c r="I622" s="9"/>
    </row>
    <row r="623">
      <c r="A623" s="21"/>
      <c r="C623" s="16"/>
      <c r="D623" s="6"/>
      <c r="E623" s="9"/>
      <c r="F623" s="16"/>
      <c r="G623" s="8"/>
      <c r="H623" s="9"/>
      <c r="I623" s="9"/>
    </row>
    <row r="624">
      <c r="A624" s="21"/>
      <c r="C624" s="16"/>
      <c r="D624" s="6"/>
      <c r="E624" s="9"/>
      <c r="F624" s="16"/>
      <c r="G624" s="8"/>
      <c r="H624" s="9"/>
      <c r="I624" s="9"/>
    </row>
    <row r="625">
      <c r="A625" s="21"/>
      <c r="C625" s="16"/>
      <c r="D625" s="6"/>
      <c r="E625" s="9"/>
      <c r="F625" s="16"/>
      <c r="G625" s="8"/>
      <c r="H625" s="9"/>
      <c r="I625" s="9"/>
    </row>
    <row r="626">
      <c r="A626" s="21"/>
      <c r="C626" s="16"/>
      <c r="D626" s="6"/>
      <c r="E626" s="9"/>
      <c r="F626" s="16"/>
      <c r="G626" s="8"/>
      <c r="H626" s="9"/>
      <c r="I626" s="9"/>
    </row>
    <row r="627">
      <c r="A627" s="21"/>
      <c r="C627" s="16"/>
      <c r="D627" s="6"/>
      <c r="E627" s="9"/>
      <c r="F627" s="16"/>
      <c r="G627" s="8"/>
      <c r="H627" s="9"/>
      <c r="I627" s="9"/>
    </row>
    <row r="628">
      <c r="A628" s="21"/>
      <c r="C628" s="16"/>
      <c r="D628" s="6"/>
      <c r="E628" s="9"/>
      <c r="F628" s="16"/>
      <c r="G628" s="8"/>
      <c r="H628" s="9"/>
      <c r="I628" s="9"/>
    </row>
    <row r="629">
      <c r="A629" s="21"/>
      <c r="C629" s="16"/>
      <c r="D629" s="6"/>
      <c r="E629" s="9"/>
      <c r="F629" s="16"/>
      <c r="G629" s="8"/>
      <c r="H629" s="9"/>
      <c r="I629" s="9"/>
    </row>
    <row r="630">
      <c r="A630" s="21"/>
      <c r="C630" s="16"/>
      <c r="D630" s="6"/>
      <c r="E630" s="9"/>
      <c r="F630" s="16"/>
      <c r="G630" s="8"/>
      <c r="H630" s="9"/>
      <c r="I630" s="9"/>
    </row>
    <row r="631">
      <c r="A631" s="21"/>
      <c r="C631" s="16"/>
      <c r="D631" s="6"/>
      <c r="E631" s="9"/>
      <c r="F631" s="16"/>
      <c r="G631" s="8"/>
      <c r="H631" s="9"/>
      <c r="I631" s="9"/>
    </row>
    <row r="632">
      <c r="A632" s="21"/>
      <c r="C632" s="16"/>
      <c r="D632" s="6"/>
      <c r="E632" s="9"/>
      <c r="F632" s="16"/>
      <c r="G632" s="8"/>
      <c r="H632" s="9"/>
      <c r="I632" s="9"/>
    </row>
    <row r="633">
      <c r="A633" s="21"/>
      <c r="C633" s="16"/>
      <c r="D633" s="6"/>
      <c r="E633" s="9"/>
      <c r="F633" s="16"/>
      <c r="G633" s="8"/>
      <c r="H633" s="9"/>
      <c r="I633" s="9"/>
    </row>
    <row r="634">
      <c r="A634" s="21"/>
      <c r="C634" s="16"/>
      <c r="D634" s="6"/>
      <c r="E634" s="9"/>
      <c r="F634" s="16"/>
      <c r="G634" s="8"/>
      <c r="H634" s="9"/>
      <c r="I634" s="9"/>
    </row>
    <row r="635">
      <c r="A635" s="21"/>
      <c r="C635" s="16"/>
      <c r="D635" s="6"/>
      <c r="E635" s="9"/>
      <c r="F635" s="16"/>
      <c r="G635" s="8"/>
      <c r="H635" s="9"/>
      <c r="I635" s="9"/>
    </row>
    <row r="636">
      <c r="A636" s="21"/>
      <c r="C636" s="16"/>
      <c r="D636" s="6"/>
      <c r="E636" s="9"/>
      <c r="F636" s="16"/>
      <c r="G636" s="8"/>
      <c r="H636" s="9"/>
      <c r="I636" s="9"/>
    </row>
    <row r="637">
      <c r="A637" s="21"/>
      <c r="C637" s="16"/>
      <c r="D637" s="6"/>
      <c r="E637" s="9"/>
      <c r="F637" s="16"/>
      <c r="G637" s="8"/>
      <c r="H637" s="9"/>
      <c r="I637" s="9"/>
    </row>
    <row r="638">
      <c r="A638" s="21"/>
      <c r="C638" s="16"/>
      <c r="D638" s="6"/>
      <c r="E638" s="9"/>
      <c r="F638" s="16"/>
      <c r="G638" s="8"/>
      <c r="H638" s="9"/>
      <c r="I638" s="9"/>
    </row>
    <row r="639">
      <c r="A639" s="21"/>
      <c r="C639" s="16"/>
      <c r="D639" s="6"/>
      <c r="E639" s="9"/>
      <c r="F639" s="16"/>
      <c r="G639" s="8"/>
      <c r="H639" s="9"/>
      <c r="I639" s="9"/>
    </row>
    <row r="640">
      <c r="A640" s="21"/>
      <c r="C640" s="16"/>
      <c r="D640" s="6"/>
      <c r="E640" s="9"/>
      <c r="F640" s="16"/>
      <c r="G640" s="8"/>
      <c r="H640" s="9"/>
      <c r="I640" s="9"/>
    </row>
    <row r="641">
      <c r="A641" s="21"/>
      <c r="C641" s="16"/>
      <c r="D641" s="6"/>
      <c r="E641" s="9"/>
      <c r="F641" s="16"/>
      <c r="G641" s="8"/>
      <c r="H641" s="9"/>
      <c r="I641" s="9"/>
    </row>
    <row r="642">
      <c r="A642" s="21"/>
      <c r="C642" s="16"/>
      <c r="D642" s="6"/>
      <c r="E642" s="9"/>
      <c r="F642" s="16"/>
      <c r="G642" s="8"/>
      <c r="H642" s="9"/>
      <c r="I642" s="9"/>
    </row>
    <row r="643">
      <c r="A643" s="21"/>
      <c r="C643" s="16"/>
      <c r="D643" s="6"/>
      <c r="E643" s="9"/>
      <c r="F643" s="16"/>
      <c r="G643" s="8"/>
      <c r="H643" s="9"/>
      <c r="I643" s="9"/>
    </row>
    <row r="644">
      <c r="A644" s="21"/>
      <c r="C644" s="16"/>
      <c r="D644" s="6"/>
      <c r="E644" s="9"/>
      <c r="F644" s="16"/>
      <c r="G644" s="8"/>
      <c r="H644" s="9"/>
      <c r="I644" s="9"/>
    </row>
    <row r="645">
      <c r="A645" s="21"/>
      <c r="C645" s="16"/>
      <c r="D645" s="6"/>
      <c r="E645" s="9"/>
      <c r="F645" s="16"/>
      <c r="G645" s="8"/>
      <c r="H645" s="9"/>
      <c r="I645" s="9"/>
    </row>
    <row r="646">
      <c r="A646" s="21"/>
      <c r="C646" s="16"/>
      <c r="D646" s="6"/>
      <c r="E646" s="9"/>
      <c r="F646" s="16"/>
      <c r="G646" s="8"/>
      <c r="H646" s="9"/>
      <c r="I646" s="9"/>
    </row>
    <row r="647">
      <c r="A647" s="21"/>
      <c r="C647" s="16"/>
      <c r="D647" s="6"/>
      <c r="E647" s="9"/>
      <c r="F647" s="16"/>
      <c r="G647" s="8"/>
      <c r="H647" s="9"/>
      <c r="I647" s="9"/>
    </row>
    <row r="648">
      <c r="A648" s="21"/>
      <c r="C648" s="16"/>
      <c r="D648" s="6"/>
      <c r="E648" s="9"/>
      <c r="F648" s="16"/>
      <c r="G648" s="8"/>
      <c r="H648" s="9"/>
      <c r="I648" s="9"/>
    </row>
    <row r="649">
      <c r="A649" s="21"/>
      <c r="C649" s="16"/>
      <c r="D649" s="6"/>
      <c r="E649" s="9"/>
      <c r="F649" s="16"/>
      <c r="G649" s="8"/>
      <c r="H649" s="9"/>
      <c r="I649" s="9"/>
    </row>
    <row r="650">
      <c r="A650" s="21"/>
      <c r="C650" s="16"/>
      <c r="D650" s="6"/>
      <c r="E650" s="9"/>
      <c r="F650" s="16"/>
      <c r="G650" s="8"/>
      <c r="H650" s="9"/>
      <c r="I650" s="9"/>
    </row>
    <row r="651">
      <c r="A651" s="21"/>
      <c r="C651" s="16"/>
      <c r="D651" s="6"/>
      <c r="E651" s="9"/>
      <c r="F651" s="16"/>
      <c r="G651" s="8"/>
      <c r="H651" s="9"/>
      <c r="I651" s="9"/>
    </row>
    <row r="652">
      <c r="A652" s="21"/>
      <c r="C652" s="16"/>
      <c r="D652" s="6"/>
      <c r="E652" s="9"/>
      <c r="F652" s="16"/>
      <c r="G652" s="8"/>
      <c r="H652" s="9"/>
      <c r="I652" s="9"/>
    </row>
    <row r="653">
      <c r="A653" s="21"/>
      <c r="C653" s="16"/>
      <c r="D653" s="6"/>
      <c r="E653" s="9"/>
      <c r="F653" s="16"/>
      <c r="G653" s="8"/>
      <c r="H653" s="9"/>
      <c r="I653" s="9"/>
    </row>
    <row r="654">
      <c r="A654" s="21"/>
      <c r="C654" s="16"/>
      <c r="D654" s="6"/>
      <c r="E654" s="9"/>
      <c r="F654" s="16"/>
      <c r="G654" s="8"/>
      <c r="H654" s="9"/>
      <c r="I654" s="9"/>
    </row>
    <row r="655">
      <c r="A655" s="21"/>
      <c r="C655" s="16"/>
      <c r="D655" s="6"/>
      <c r="E655" s="9"/>
      <c r="F655" s="16"/>
      <c r="G655" s="8"/>
      <c r="H655" s="9"/>
      <c r="I655" s="9"/>
    </row>
    <row r="656">
      <c r="A656" s="21"/>
      <c r="C656" s="16"/>
      <c r="D656" s="6"/>
      <c r="E656" s="9"/>
      <c r="F656" s="16"/>
      <c r="G656" s="8"/>
      <c r="H656" s="9"/>
      <c r="I656" s="9"/>
    </row>
    <row r="657">
      <c r="A657" s="21"/>
      <c r="C657" s="16"/>
      <c r="D657" s="6"/>
      <c r="E657" s="9"/>
      <c r="F657" s="16"/>
      <c r="G657" s="8"/>
      <c r="H657" s="9"/>
      <c r="I657" s="9"/>
    </row>
    <row r="658">
      <c r="A658" s="21"/>
      <c r="C658" s="16"/>
      <c r="D658" s="6"/>
      <c r="E658" s="9"/>
      <c r="F658" s="16"/>
      <c r="G658" s="8"/>
      <c r="H658" s="9"/>
      <c r="I658" s="9"/>
    </row>
    <row r="659">
      <c r="A659" s="21"/>
      <c r="C659" s="16"/>
      <c r="D659" s="6"/>
      <c r="E659" s="9"/>
      <c r="F659" s="16"/>
      <c r="G659" s="8"/>
      <c r="H659" s="9"/>
      <c r="I659" s="9"/>
    </row>
    <row r="660">
      <c r="A660" s="21"/>
      <c r="C660" s="16"/>
      <c r="D660" s="6"/>
      <c r="E660" s="9"/>
      <c r="F660" s="16"/>
      <c r="G660" s="8"/>
      <c r="H660" s="9"/>
      <c r="I660" s="9"/>
    </row>
    <row r="661">
      <c r="A661" s="21"/>
      <c r="C661" s="16"/>
      <c r="D661" s="6"/>
      <c r="E661" s="9"/>
      <c r="F661" s="16"/>
      <c r="G661" s="8"/>
      <c r="H661" s="9"/>
      <c r="I661" s="9"/>
    </row>
    <row r="662">
      <c r="A662" s="21"/>
      <c r="C662" s="16"/>
      <c r="D662" s="6"/>
      <c r="E662" s="9"/>
      <c r="F662" s="16"/>
      <c r="G662" s="8"/>
      <c r="H662" s="9"/>
      <c r="I662" s="9"/>
    </row>
    <row r="663">
      <c r="A663" s="21"/>
      <c r="C663" s="16"/>
      <c r="D663" s="6"/>
      <c r="E663" s="9"/>
      <c r="F663" s="16"/>
      <c r="G663" s="8"/>
      <c r="H663" s="9"/>
      <c r="I663" s="9"/>
    </row>
    <row r="664">
      <c r="A664" s="21"/>
      <c r="C664" s="16"/>
      <c r="D664" s="6"/>
      <c r="E664" s="9"/>
      <c r="F664" s="16"/>
      <c r="G664" s="8"/>
      <c r="H664" s="9"/>
      <c r="I664" s="9"/>
    </row>
    <row r="665">
      <c r="A665" s="21"/>
      <c r="C665" s="16"/>
      <c r="D665" s="6"/>
      <c r="E665" s="9"/>
      <c r="F665" s="16"/>
      <c r="G665" s="8"/>
      <c r="H665" s="9"/>
      <c r="I665" s="9"/>
    </row>
    <row r="666">
      <c r="A666" s="21"/>
      <c r="C666" s="16"/>
      <c r="D666" s="6"/>
      <c r="E666" s="9"/>
      <c r="F666" s="16"/>
      <c r="G666" s="8"/>
      <c r="H666" s="9"/>
      <c r="I666" s="9"/>
    </row>
    <row r="667">
      <c r="A667" s="21"/>
      <c r="C667" s="16"/>
      <c r="D667" s="6"/>
      <c r="E667" s="9"/>
      <c r="F667" s="16"/>
      <c r="G667" s="8"/>
      <c r="H667" s="9"/>
      <c r="I667" s="9"/>
    </row>
    <row r="668">
      <c r="A668" s="21"/>
      <c r="C668" s="16"/>
      <c r="D668" s="6"/>
      <c r="E668" s="9"/>
      <c r="F668" s="16"/>
      <c r="G668" s="8"/>
      <c r="H668" s="9"/>
      <c r="I668" s="9"/>
    </row>
    <row r="669">
      <c r="A669" s="21"/>
      <c r="C669" s="16"/>
      <c r="D669" s="6"/>
      <c r="E669" s="9"/>
      <c r="F669" s="16"/>
      <c r="G669" s="8"/>
      <c r="H669" s="9"/>
      <c r="I669" s="9"/>
    </row>
    <row r="670">
      <c r="A670" s="21"/>
      <c r="C670" s="16"/>
      <c r="D670" s="6"/>
      <c r="E670" s="9"/>
      <c r="F670" s="16"/>
      <c r="G670" s="8"/>
      <c r="H670" s="9"/>
      <c r="I670" s="9"/>
    </row>
    <row r="671">
      <c r="A671" s="21"/>
      <c r="C671" s="16"/>
      <c r="D671" s="6"/>
      <c r="E671" s="9"/>
      <c r="F671" s="16"/>
      <c r="G671" s="8"/>
      <c r="H671" s="9"/>
      <c r="I671" s="9"/>
    </row>
    <row r="672">
      <c r="A672" s="21"/>
      <c r="C672" s="16"/>
      <c r="D672" s="6"/>
      <c r="E672" s="9"/>
      <c r="F672" s="16"/>
      <c r="G672" s="8"/>
      <c r="H672" s="9"/>
      <c r="I672" s="9"/>
    </row>
    <row r="673">
      <c r="A673" s="21"/>
      <c r="C673" s="16"/>
      <c r="D673" s="6"/>
      <c r="E673" s="9"/>
      <c r="F673" s="16"/>
      <c r="G673" s="8"/>
      <c r="H673" s="9"/>
      <c r="I673" s="9"/>
    </row>
    <row r="674">
      <c r="A674" s="21"/>
      <c r="C674" s="16"/>
      <c r="D674" s="6"/>
      <c r="E674" s="9"/>
      <c r="F674" s="16"/>
      <c r="G674" s="8"/>
      <c r="H674" s="9"/>
      <c r="I674" s="9"/>
    </row>
    <row r="675">
      <c r="A675" s="21"/>
      <c r="C675" s="16"/>
      <c r="D675" s="6"/>
      <c r="E675" s="9"/>
      <c r="F675" s="16"/>
      <c r="G675" s="8"/>
      <c r="H675" s="9"/>
      <c r="I675" s="9"/>
    </row>
    <row r="676">
      <c r="A676" s="21"/>
      <c r="C676" s="16"/>
      <c r="D676" s="6"/>
      <c r="E676" s="9"/>
      <c r="F676" s="16"/>
      <c r="G676" s="8"/>
      <c r="H676" s="9"/>
      <c r="I676" s="9"/>
    </row>
    <row r="677">
      <c r="A677" s="21"/>
      <c r="C677" s="16"/>
      <c r="D677" s="6"/>
      <c r="E677" s="9"/>
      <c r="F677" s="16"/>
      <c r="G677" s="8"/>
      <c r="H677" s="9"/>
      <c r="I677" s="9"/>
    </row>
    <row r="678">
      <c r="A678" s="21"/>
      <c r="C678" s="16"/>
      <c r="D678" s="6"/>
      <c r="E678" s="9"/>
      <c r="F678" s="16"/>
      <c r="G678" s="8"/>
      <c r="H678" s="9"/>
      <c r="I678" s="9"/>
    </row>
    <row r="679">
      <c r="A679" s="21"/>
      <c r="C679" s="16"/>
      <c r="D679" s="6"/>
      <c r="E679" s="9"/>
      <c r="F679" s="16"/>
      <c r="G679" s="8"/>
      <c r="H679" s="9"/>
      <c r="I679" s="9"/>
    </row>
    <row r="680">
      <c r="A680" s="21"/>
      <c r="C680" s="16"/>
      <c r="D680" s="6"/>
      <c r="E680" s="9"/>
      <c r="F680" s="16"/>
      <c r="G680" s="8"/>
      <c r="H680" s="9"/>
      <c r="I680" s="9"/>
    </row>
    <row r="681">
      <c r="A681" s="21"/>
      <c r="C681" s="16"/>
      <c r="D681" s="6"/>
      <c r="E681" s="9"/>
      <c r="F681" s="16"/>
      <c r="G681" s="8"/>
      <c r="H681" s="9"/>
      <c r="I681" s="9"/>
    </row>
    <row r="682">
      <c r="A682" s="21"/>
      <c r="C682" s="16"/>
      <c r="D682" s="6"/>
      <c r="E682" s="9"/>
      <c r="F682" s="16"/>
      <c r="G682" s="8"/>
      <c r="H682" s="9"/>
      <c r="I682" s="9"/>
    </row>
    <row r="683">
      <c r="A683" s="21"/>
      <c r="C683" s="16"/>
      <c r="D683" s="6"/>
      <c r="E683" s="9"/>
      <c r="F683" s="16"/>
      <c r="G683" s="8"/>
      <c r="H683" s="9"/>
      <c r="I683" s="9"/>
    </row>
    <row r="684">
      <c r="A684" s="21"/>
      <c r="C684" s="16"/>
      <c r="D684" s="6"/>
      <c r="E684" s="9"/>
      <c r="F684" s="16"/>
      <c r="G684" s="8"/>
      <c r="H684" s="9"/>
      <c r="I684" s="9"/>
    </row>
    <row r="685">
      <c r="A685" s="21"/>
      <c r="C685" s="16"/>
      <c r="D685" s="6"/>
      <c r="E685" s="9"/>
      <c r="F685" s="16"/>
      <c r="G685" s="8"/>
      <c r="H685" s="9"/>
      <c r="I685" s="9"/>
    </row>
    <row r="686">
      <c r="A686" s="21"/>
      <c r="C686" s="16"/>
      <c r="D686" s="6"/>
      <c r="E686" s="9"/>
      <c r="F686" s="16"/>
      <c r="G686" s="8"/>
      <c r="H686" s="9"/>
      <c r="I686" s="9"/>
    </row>
    <row r="687">
      <c r="A687" s="21"/>
      <c r="C687" s="16"/>
      <c r="D687" s="6"/>
      <c r="E687" s="9"/>
      <c r="F687" s="16"/>
      <c r="G687" s="8"/>
      <c r="H687" s="9"/>
      <c r="I687" s="9"/>
    </row>
    <row r="688">
      <c r="A688" s="21"/>
      <c r="C688" s="16"/>
      <c r="D688" s="6"/>
      <c r="E688" s="9"/>
      <c r="F688" s="16"/>
      <c r="G688" s="8"/>
      <c r="H688" s="9"/>
      <c r="I688" s="9"/>
    </row>
    <row r="689">
      <c r="A689" s="21"/>
      <c r="C689" s="16"/>
      <c r="D689" s="6"/>
      <c r="E689" s="9"/>
      <c r="F689" s="16"/>
      <c r="G689" s="8"/>
      <c r="H689" s="9"/>
      <c r="I689" s="9"/>
    </row>
    <row r="690">
      <c r="A690" s="21"/>
      <c r="C690" s="16"/>
      <c r="D690" s="6"/>
      <c r="E690" s="9"/>
      <c r="F690" s="16"/>
      <c r="G690" s="8"/>
      <c r="H690" s="9"/>
      <c r="I690" s="9"/>
    </row>
    <row r="691">
      <c r="A691" s="21"/>
      <c r="C691" s="16"/>
      <c r="D691" s="6"/>
      <c r="E691" s="9"/>
      <c r="F691" s="16"/>
      <c r="G691" s="8"/>
      <c r="H691" s="9"/>
      <c r="I691" s="9"/>
    </row>
    <row r="692">
      <c r="A692" s="21"/>
      <c r="C692" s="16"/>
      <c r="D692" s="6"/>
      <c r="E692" s="9"/>
      <c r="F692" s="16"/>
      <c r="G692" s="8"/>
      <c r="H692" s="9"/>
      <c r="I692" s="9"/>
    </row>
    <row r="693">
      <c r="A693" s="21"/>
      <c r="C693" s="16"/>
      <c r="D693" s="6"/>
      <c r="E693" s="9"/>
      <c r="F693" s="16"/>
      <c r="G693" s="8"/>
      <c r="H693" s="9"/>
      <c r="I693" s="9"/>
    </row>
    <row r="694">
      <c r="A694" s="21"/>
      <c r="C694" s="16"/>
      <c r="D694" s="6"/>
      <c r="E694" s="9"/>
      <c r="F694" s="16"/>
      <c r="G694" s="8"/>
      <c r="H694" s="9"/>
      <c r="I694" s="9"/>
    </row>
    <row r="695">
      <c r="A695" s="21"/>
      <c r="C695" s="16"/>
      <c r="D695" s="6"/>
      <c r="E695" s="9"/>
      <c r="F695" s="16"/>
      <c r="G695" s="8"/>
      <c r="H695" s="9"/>
      <c r="I695" s="9"/>
    </row>
    <row r="696">
      <c r="A696" s="21"/>
      <c r="C696" s="16"/>
      <c r="D696" s="6"/>
      <c r="E696" s="9"/>
      <c r="F696" s="16"/>
      <c r="G696" s="8"/>
      <c r="H696" s="9"/>
      <c r="I696" s="9"/>
    </row>
    <row r="697">
      <c r="A697" s="21"/>
      <c r="C697" s="16"/>
      <c r="D697" s="6"/>
      <c r="E697" s="9"/>
      <c r="F697" s="16"/>
      <c r="G697" s="8"/>
      <c r="H697" s="9"/>
      <c r="I697" s="9"/>
    </row>
    <row r="698">
      <c r="A698" s="21"/>
      <c r="C698" s="16"/>
      <c r="D698" s="6"/>
      <c r="E698" s="9"/>
      <c r="F698" s="16"/>
      <c r="G698" s="8"/>
      <c r="H698" s="9"/>
      <c r="I698" s="9"/>
    </row>
    <row r="699">
      <c r="A699" s="21"/>
      <c r="C699" s="16"/>
      <c r="D699" s="6"/>
      <c r="E699" s="9"/>
      <c r="F699" s="16"/>
      <c r="G699" s="8"/>
      <c r="H699" s="9"/>
      <c r="I699" s="9"/>
    </row>
    <row r="700">
      <c r="A700" s="21"/>
      <c r="C700" s="16"/>
      <c r="D700" s="6"/>
      <c r="E700" s="9"/>
      <c r="F700" s="16"/>
      <c r="G700" s="8"/>
      <c r="H700" s="9"/>
      <c r="I700" s="9"/>
    </row>
    <row r="701">
      <c r="A701" s="21"/>
      <c r="C701" s="16"/>
      <c r="D701" s="6"/>
      <c r="E701" s="9"/>
      <c r="F701" s="16"/>
      <c r="G701" s="8"/>
      <c r="H701" s="9"/>
      <c r="I701" s="9"/>
    </row>
    <row r="702">
      <c r="A702" s="21"/>
      <c r="C702" s="16"/>
      <c r="D702" s="6"/>
      <c r="E702" s="9"/>
      <c r="F702" s="16"/>
      <c r="G702" s="8"/>
      <c r="H702" s="9"/>
      <c r="I702" s="9"/>
    </row>
    <row r="703">
      <c r="A703" s="21"/>
      <c r="C703" s="16"/>
      <c r="D703" s="6"/>
      <c r="E703" s="9"/>
      <c r="F703" s="16"/>
      <c r="G703" s="8"/>
      <c r="H703" s="9"/>
      <c r="I703" s="9"/>
    </row>
    <row r="704">
      <c r="A704" s="21"/>
      <c r="C704" s="16"/>
      <c r="D704" s="6"/>
      <c r="E704" s="9"/>
      <c r="F704" s="16"/>
      <c r="G704" s="8"/>
      <c r="H704" s="9"/>
      <c r="I704" s="9"/>
    </row>
    <row r="705">
      <c r="A705" s="21"/>
      <c r="C705" s="16"/>
      <c r="D705" s="6"/>
      <c r="E705" s="9"/>
      <c r="F705" s="16"/>
      <c r="G705" s="8"/>
      <c r="H705" s="9"/>
      <c r="I705" s="9"/>
    </row>
    <row r="706">
      <c r="A706" s="21"/>
      <c r="C706" s="16"/>
      <c r="D706" s="6"/>
      <c r="E706" s="9"/>
      <c r="F706" s="16"/>
      <c r="G706" s="8"/>
      <c r="H706" s="9"/>
      <c r="I706" s="9"/>
    </row>
    <row r="707">
      <c r="A707" s="21"/>
      <c r="C707" s="16"/>
      <c r="D707" s="6"/>
      <c r="E707" s="9"/>
      <c r="F707" s="16"/>
      <c r="G707" s="8"/>
      <c r="H707" s="9"/>
      <c r="I707" s="9"/>
    </row>
    <row r="708">
      <c r="A708" s="21"/>
      <c r="C708" s="16"/>
      <c r="D708" s="6"/>
      <c r="E708" s="9"/>
      <c r="F708" s="16"/>
      <c r="G708" s="8"/>
      <c r="H708" s="9"/>
      <c r="I708" s="9"/>
    </row>
    <row r="709">
      <c r="A709" s="21"/>
      <c r="C709" s="16"/>
      <c r="D709" s="6"/>
      <c r="E709" s="9"/>
      <c r="F709" s="16"/>
      <c r="G709" s="8"/>
      <c r="H709" s="9"/>
      <c r="I709" s="9"/>
    </row>
    <row r="710">
      <c r="A710" s="21"/>
      <c r="C710" s="16"/>
      <c r="D710" s="6"/>
      <c r="E710" s="9"/>
      <c r="F710" s="16"/>
      <c r="G710" s="8"/>
      <c r="H710" s="9"/>
      <c r="I710" s="9"/>
    </row>
    <row r="711">
      <c r="A711" s="21"/>
      <c r="C711" s="16"/>
      <c r="D711" s="6"/>
      <c r="E711" s="9"/>
      <c r="F711" s="16"/>
      <c r="G711" s="8"/>
      <c r="H711" s="9"/>
      <c r="I711" s="9"/>
    </row>
    <row r="712">
      <c r="A712" s="21"/>
      <c r="C712" s="16"/>
      <c r="D712" s="6"/>
      <c r="E712" s="9"/>
      <c r="F712" s="16"/>
      <c r="G712" s="8"/>
      <c r="H712" s="9"/>
      <c r="I712" s="9"/>
    </row>
    <row r="713">
      <c r="A713" s="21"/>
      <c r="C713" s="16"/>
      <c r="D713" s="6"/>
      <c r="E713" s="9"/>
      <c r="F713" s="16"/>
      <c r="G713" s="8"/>
      <c r="H713" s="9"/>
      <c r="I713" s="9"/>
    </row>
    <row r="714">
      <c r="A714" s="21"/>
      <c r="C714" s="16"/>
      <c r="D714" s="6"/>
      <c r="E714" s="9"/>
      <c r="F714" s="16"/>
      <c r="G714" s="8"/>
      <c r="H714" s="9"/>
      <c r="I714" s="9"/>
    </row>
    <row r="715">
      <c r="A715" s="21"/>
      <c r="C715" s="16"/>
      <c r="D715" s="6"/>
      <c r="E715" s="9"/>
      <c r="F715" s="16"/>
      <c r="G715" s="8"/>
      <c r="H715" s="9"/>
      <c r="I715" s="9"/>
    </row>
    <row r="716">
      <c r="A716" s="21"/>
      <c r="C716" s="16"/>
      <c r="D716" s="6"/>
      <c r="E716" s="9"/>
      <c r="F716" s="16"/>
      <c r="G716" s="8"/>
      <c r="H716" s="9"/>
      <c r="I716" s="9"/>
    </row>
    <row r="717">
      <c r="A717" s="21"/>
      <c r="C717" s="16"/>
      <c r="D717" s="6"/>
      <c r="E717" s="9"/>
      <c r="F717" s="16"/>
      <c r="G717" s="8"/>
      <c r="H717" s="9"/>
      <c r="I717" s="9"/>
    </row>
    <row r="718">
      <c r="A718" s="21"/>
      <c r="C718" s="16"/>
      <c r="D718" s="6"/>
      <c r="E718" s="9"/>
      <c r="F718" s="16"/>
      <c r="G718" s="8"/>
      <c r="H718" s="9"/>
      <c r="I718" s="9"/>
    </row>
    <row r="719">
      <c r="A719" s="21"/>
      <c r="C719" s="16"/>
      <c r="D719" s="6"/>
      <c r="E719" s="9"/>
      <c r="F719" s="16"/>
      <c r="G719" s="8"/>
      <c r="H719" s="9"/>
      <c r="I719" s="9"/>
    </row>
    <row r="720">
      <c r="A720" s="21"/>
      <c r="C720" s="16"/>
      <c r="D720" s="6"/>
      <c r="E720" s="9"/>
      <c r="F720" s="16"/>
      <c r="G720" s="8"/>
      <c r="H720" s="9"/>
      <c r="I720" s="9"/>
    </row>
    <row r="721">
      <c r="A721" s="21"/>
      <c r="C721" s="16"/>
      <c r="D721" s="6"/>
      <c r="E721" s="9"/>
      <c r="F721" s="16"/>
      <c r="G721" s="8"/>
      <c r="H721" s="9"/>
      <c r="I721" s="9"/>
    </row>
    <row r="722">
      <c r="A722" s="21"/>
      <c r="C722" s="16"/>
      <c r="D722" s="6"/>
      <c r="E722" s="9"/>
      <c r="F722" s="16"/>
      <c r="G722" s="8"/>
      <c r="H722" s="9"/>
      <c r="I722" s="9"/>
    </row>
    <row r="723">
      <c r="A723" s="21"/>
      <c r="C723" s="16"/>
      <c r="D723" s="6"/>
      <c r="E723" s="9"/>
      <c r="F723" s="16"/>
      <c r="G723" s="8"/>
      <c r="H723" s="9"/>
      <c r="I723" s="9"/>
    </row>
    <row r="724">
      <c r="A724" s="21"/>
      <c r="C724" s="16"/>
      <c r="D724" s="6"/>
      <c r="E724" s="9"/>
      <c r="F724" s="16"/>
      <c r="G724" s="8"/>
      <c r="H724" s="9"/>
      <c r="I724" s="9"/>
    </row>
    <row r="725">
      <c r="A725" s="21"/>
      <c r="C725" s="16"/>
      <c r="D725" s="6"/>
      <c r="E725" s="9"/>
      <c r="F725" s="16"/>
      <c r="G725" s="8"/>
      <c r="H725" s="9"/>
      <c r="I725" s="9"/>
    </row>
    <row r="726">
      <c r="A726" s="21"/>
      <c r="C726" s="16"/>
      <c r="D726" s="6"/>
      <c r="E726" s="9"/>
      <c r="F726" s="16"/>
      <c r="G726" s="8"/>
      <c r="H726" s="9"/>
      <c r="I726" s="9"/>
    </row>
    <row r="727">
      <c r="A727" s="21"/>
      <c r="C727" s="16"/>
      <c r="D727" s="6"/>
      <c r="E727" s="9"/>
      <c r="F727" s="16"/>
      <c r="G727" s="8"/>
      <c r="H727" s="9"/>
      <c r="I727" s="9"/>
    </row>
    <row r="728">
      <c r="A728" s="21"/>
      <c r="C728" s="16"/>
      <c r="D728" s="6"/>
      <c r="E728" s="9"/>
      <c r="F728" s="16"/>
      <c r="G728" s="8"/>
      <c r="H728" s="9"/>
      <c r="I728" s="9"/>
    </row>
    <row r="729">
      <c r="A729" s="21"/>
      <c r="C729" s="16"/>
      <c r="D729" s="6"/>
      <c r="E729" s="9"/>
      <c r="F729" s="16"/>
      <c r="G729" s="8"/>
      <c r="H729" s="9"/>
      <c r="I729" s="9"/>
    </row>
    <row r="730">
      <c r="A730" s="21"/>
      <c r="C730" s="16"/>
      <c r="D730" s="6"/>
      <c r="E730" s="9"/>
      <c r="F730" s="16"/>
      <c r="G730" s="8"/>
      <c r="H730" s="9"/>
      <c r="I730" s="9"/>
    </row>
    <row r="731">
      <c r="A731" s="21"/>
      <c r="C731" s="16"/>
      <c r="D731" s="6"/>
      <c r="E731" s="9"/>
      <c r="F731" s="16"/>
      <c r="G731" s="8"/>
      <c r="H731" s="9"/>
      <c r="I731" s="9"/>
    </row>
    <row r="732">
      <c r="A732" s="21"/>
      <c r="C732" s="16"/>
      <c r="D732" s="6"/>
      <c r="E732" s="9"/>
      <c r="F732" s="16"/>
      <c r="G732" s="8"/>
      <c r="H732" s="9"/>
      <c r="I732" s="9"/>
    </row>
    <row r="733">
      <c r="A733" s="21"/>
      <c r="C733" s="16"/>
      <c r="D733" s="6"/>
      <c r="E733" s="9"/>
      <c r="F733" s="16"/>
      <c r="G733" s="8"/>
      <c r="H733" s="9"/>
      <c r="I733" s="9"/>
    </row>
    <row r="734">
      <c r="A734" s="21"/>
      <c r="C734" s="16"/>
      <c r="D734" s="6"/>
      <c r="E734" s="9"/>
      <c r="F734" s="16"/>
      <c r="G734" s="8"/>
      <c r="H734" s="9"/>
      <c r="I734" s="9"/>
    </row>
    <row r="735">
      <c r="A735" s="21"/>
      <c r="C735" s="16"/>
      <c r="D735" s="6"/>
      <c r="E735" s="9"/>
      <c r="F735" s="16"/>
      <c r="G735" s="8"/>
      <c r="H735" s="9"/>
      <c r="I735" s="9"/>
    </row>
    <row r="736">
      <c r="A736" s="21"/>
      <c r="C736" s="16"/>
      <c r="D736" s="6"/>
      <c r="E736" s="9"/>
      <c r="F736" s="16"/>
      <c r="G736" s="8"/>
      <c r="H736" s="9"/>
      <c r="I736" s="9"/>
    </row>
    <row r="737">
      <c r="A737" s="21"/>
      <c r="C737" s="16"/>
      <c r="D737" s="6"/>
      <c r="E737" s="9"/>
      <c r="F737" s="16"/>
      <c r="G737" s="8"/>
      <c r="H737" s="9"/>
      <c r="I737" s="9"/>
    </row>
    <row r="738">
      <c r="A738" s="21"/>
      <c r="C738" s="16"/>
      <c r="D738" s="6"/>
      <c r="E738" s="9"/>
      <c r="F738" s="16"/>
      <c r="G738" s="8"/>
      <c r="H738" s="9"/>
      <c r="I738" s="9"/>
    </row>
    <row r="739">
      <c r="A739" s="21"/>
      <c r="C739" s="16"/>
      <c r="D739" s="6"/>
      <c r="E739" s="9"/>
      <c r="F739" s="16"/>
      <c r="G739" s="8"/>
      <c r="H739" s="9"/>
      <c r="I739" s="9"/>
    </row>
    <row r="740">
      <c r="A740" s="21"/>
      <c r="C740" s="16"/>
      <c r="D740" s="6"/>
      <c r="E740" s="9"/>
      <c r="F740" s="16"/>
      <c r="G740" s="8"/>
      <c r="H740" s="9"/>
      <c r="I740" s="9"/>
    </row>
    <row r="741">
      <c r="A741" s="21"/>
      <c r="C741" s="16"/>
      <c r="D741" s="6"/>
      <c r="E741" s="9"/>
      <c r="F741" s="16"/>
      <c r="G741" s="8"/>
      <c r="H741" s="9"/>
      <c r="I741" s="9"/>
    </row>
    <row r="742">
      <c r="A742" s="21"/>
      <c r="C742" s="16"/>
      <c r="D742" s="6"/>
      <c r="E742" s="9"/>
      <c r="F742" s="16"/>
      <c r="G742" s="8"/>
      <c r="H742" s="9"/>
      <c r="I742" s="9"/>
    </row>
    <row r="743">
      <c r="A743" s="21"/>
      <c r="C743" s="16"/>
      <c r="D743" s="6"/>
      <c r="E743" s="9"/>
      <c r="F743" s="16"/>
      <c r="G743" s="8"/>
      <c r="H743" s="9"/>
      <c r="I743" s="9"/>
    </row>
    <row r="744">
      <c r="A744" s="21"/>
      <c r="C744" s="16"/>
      <c r="D744" s="6"/>
      <c r="E744" s="9"/>
      <c r="F744" s="16"/>
      <c r="G744" s="8"/>
      <c r="H744" s="9"/>
      <c r="I744" s="9"/>
    </row>
    <row r="745">
      <c r="A745" s="21"/>
      <c r="C745" s="16"/>
      <c r="D745" s="6"/>
      <c r="E745" s="9"/>
      <c r="F745" s="16"/>
      <c r="G745" s="8"/>
      <c r="H745" s="9"/>
      <c r="I745" s="9"/>
    </row>
    <row r="746">
      <c r="A746" s="21"/>
      <c r="C746" s="16"/>
      <c r="D746" s="6"/>
      <c r="E746" s="9"/>
      <c r="F746" s="16"/>
      <c r="G746" s="8"/>
      <c r="H746" s="9"/>
      <c r="I746" s="9"/>
    </row>
    <row r="747">
      <c r="A747" s="21"/>
      <c r="C747" s="16"/>
      <c r="D747" s="6"/>
      <c r="E747" s="9"/>
      <c r="F747" s="16"/>
      <c r="G747" s="8"/>
      <c r="H747" s="9"/>
      <c r="I747" s="9"/>
    </row>
    <row r="748">
      <c r="A748" s="21"/>
      <c r="C748" s="16"/>
      <c r="D748" s="6"/>
      <c r="E748" s="9"/>
      <c r="F748" s="16"/>
      <c r="G748" s="8"/>
      <c r="H748" s="9"/>
      <c r="I748" s="9"/>
    </row>
    <row r="749">
      <c r="A749" s="21"/>
      <c r="C749" s="16"/>
      <c r="D749" s="6"/>
      <c r="E749" s="9"/>
      <c r="F749" s="16"/>
      <c r="G749" s="8"/>
      <c r="H749" s="9"/>
      <c r="I749" s="9"/>
    </row>
    <row r="750">
      <c r="A750" s="21"/>
      <c r="C750" s="16"/>
      <c r="D750" s="6"/>
      <c r="E750" s="9"/>
      <c r="F750" s="16"/>
      <c r="G750" s="8"/>
      <c r="H750" s="9"/>
      <c r="I750" s="9"/>
    </row>
    <row r="751">
      <c r="A751" s="21"/>
      <c r="C751" s="16"/>
      <c r="D751" s="6"/>
      <c r="E751" s="9"/>
      <c r="F751" s="16"/>
      <c r="G751" s="8"/>
      <c r="H751" s="9"/>
      <c r="I751" s="9"/>
    </row>
    <row r="752">
      <c r="A752" s="21"/>
      <c r="C752" s="16"/>
      <c r="D752" s="6"/>
      <c r="E752" s="9"/>
      <c r="F752" s="16"/>
      <c r="G752" s="8"/>
      <c r="H752" s="9"/>
      <c r="I752" s="9"/>
    </row>
    <row r="753">
      <c r="A753" s="21"/>
      <c r="C753" s="16"/>
      <c r="D753" s="6"/>
      <c r="E753" s="9"/>
      <c r="F753" s="16"/>
      <c r="G753" s="8"/>
      <c r="H753" s="9"/>
      <c r="I753" s="9"/>
    </row>
    <row r="754">
      <c r="A754" s="21"/>
      <c r="C754" s="16"/>
      <c r="D754" s="6"/>
      <c r="E754" s="9"/>
      <c r="F754" s="16"/>
      <c r="G754" s="8"/>
      <c r="H754" s="9"/>
      <c r="I754" s="9"/>
    </row>
    <row r="755">
      <c r="A755" s="21"/>
      <c r="C755" s="16"/>
      <c r="D755" s="6"/>
      <c r="E755" s="9"/>
      <c r="F755" s="16"/>
      <c r="G755" s="8"/>
      <c r="H755" s="9"/>
      <c r="I755" s="9"/>
    </row>
    <row r="756">
      <c r="A756" s="21"/>
      <c r="C756" s="16"/>
      <c r="D756" s="6"/>
      <c r="E756" s="9"/>
      <c r="F756" s="16"/>
      <c r="G756" s="8"/>
      <c r="H756" s="9"/>
      <c r="I756" s="9"/>
    </row>
    <row r="757">
      <c r="A757" s="21"/>
      <c r="C757" s="16"/>
      <c r="D757" s="6"/>
      <c r="E757" s="9"/>
      <c r="F757" s="16"/>
      <c r="G757" s="8"/>
      <c r="H757" s="9"/>
      <c r="I757" s="9"/>
    </row>
    <row r="758">
      <c r="A758" s="21"/>
      <c r="C758" s="16"/>
      <c r="D758" s="6"/>
      <c r="E758" s="9"/>
      <c r="F758" s="16"/>
      <c r="G758" s="8"/>
      <c r="H758" s="9"/>
      <c r="I758" s="9"/>
    </row>
    <row r="759">
      <c r="A759" s="21"/>
      <c r="C759" s="16"/>
      <c r="D759" s="6"/>
      <c r="E759" s="9"/>
      <c r="F759" s="16"/>
      <c r="G759" s="8"/>
      <c r="H759" s="9"/>
      <c r="I759" s="9"/>
    </row>
    <row r="760">
      <c r="A760" s="21"/>
      <c r="C760" s="16"/>
      <c r="D760" s="6"/>
      <c r="E760" s="9"/>
      <c r="F760" s="16"/>
      <c r="G760" s="8"/>
      <c r="H760" s="9"/>
      <c r="I760" s="9"/>
    </row>
    <row r="761">
      <c r="A761" s="21"/>
      <c r="C761" s="16"/>
      <c r="D761" s="6"/>
      <c r="E761" s="9"/>
      <c r="F761" s="16"/>
      <c r="G761" s="8"/>
      <c r="H761" s="9"/>
      <c r="I761" s="9"/>
    </row>
    <row r="762">
      <c r="A762" s="21"/>
      <c r="C762" s="16"/>
      <c r="D762" s="6"/>
      <c r="E762" s="9"/>
      <c r="F762" s="16"/>
      <c r="G762" s="8"/>
      <c r="H762" s="9"/>
      <c r="I762" s="9"/>
    </row>
    <row r="763">
      <c r="A763" s="21"/>
      <c r="C763" s="16"/>
      <c r="D763" s="6"/>
      <c r="E763" s="9"/>
      <c r="F763" s="16"/>
      <c r="G763" s="8"/>
      <c r="H763" s="9"/>
      <c r="I763" s="9"/>
    </row>
    <row r="764">
      <c r="A764" s="21"/>
      <c r="C764" s="16"/>
      <c r="D764" s="6"/>
      <c r="E764" s="9"/>
      <c r="F764" s="16"/>
      <c r="G764" s="8"/>
      <c r="H764" s="9"/>
      <c r="I764" s="9"/>
    </row>
    <row r="765">
      <c r="A765" s="21"/>
      <c r="C765" s="16"/>
      <c r="D765" s="6"/>
      <c r="E765" s="9"/>
      <c r="F765" s="16"/>
      <c r="G765" s="8"/>
      <c r="H765" s="9"/>
      <c r="I765" s="9"/>
    </row>
    <row r="766">
      <c r="A766" s="21"/>
      <c r="C766" s="16"/>
      <c r="D766" s="6"/>
      <c r="E766" s="9"/>
      <c r="F766" s="16"/>
      <c r="G766" s="8"/>
      <c r="H766" s="9"/>
      <c r="I766" s="9"/>
    </row>
    <row r="767">
      <c r="A767" s="21"/>
      <c r="C767" s="16"/>
      <c r="D767" s="6"/>
      <c r="E767" s="9"/>
      <c r="F767" s="16"/>
      <c r="G767" s="8"/>
      <c r="H767" s="9"/>
      <c r="I767" s="9"/>
    </row>
    <row r="768">
      <c r="A768" s="21"/>
      <c r="C768" s="16"/>
      <c r="D768" s="6"/>
      <c r="E768" s="9"/>
      <c r="F768" s="16"/>
      <c r="G768" s="8"/>
      <c r="H768" s="9"/>
      <c r="I768" s="9"/>
    </row>
    <row r="769">
      <c r="A769" s="21"/>
      <c r="C769" s="16"/>
      <c r="D769" s="6"/>
      <c r="E769" s="9"/>
      <c r="F769" s="16"/>
      <c r="G769" s="8"/>
      <c r="H769" s="9"/>
      <c r="I769" s="9"/>
    </row>
    <row r="770">
      <c r="A770" s="21"/>
      <c r="C770" s="16"/>
      <c r="D770" s="6"/>
      <c r="E770" s="9"/>
      <c r="F770" s="16"/>
      <c r="G770" s="8"/>
      <c r="H770" s="9"/>
      <c r="I770" s="9"/>
    </row>
    <row r="771">
      <c r="A771" s="21"/>
      <c r="C771" s="16"/>
      <c r="D771" s="6"/>
      <c r="E771" s="9"/>
      <c r="F771" s="16"/>
      <c r="G771" s="8"/>
      <c r="H771" s="9"/>
      <c r="I771" s="9"/>
    </row>
    <row r="772">
      <c r="A772" s="21"/>
      <c r="C772" s="16"/>
      <c r="D772" s="6"/>
      <c r="E772" s="9"/>
      <c r="F772" s="16"/>
      <c r="G772" s="8"/>
      <c r="H772" s="9"/>
      <c r="I772" s="9"/>
    </row>
    <row r="773">
      <c r="A773" s="21"/>
      <c r="C773" s="16"/>
      <c r="D773" s="6"/>
      <c r="E773" s="9"/>
      <c r="F773" s="16"/>
      <c r="G773" s="8"/>
      <c r="H773" s="9"/>
      <c r="I773" s="9"/>
    </row>
    <row r="774">
      <c r="A774" s="21"/>
      <c r="C774" s="16"/>
      <c r="D774" s="6"/>
      <c r="E774" s="9"/>
      <c r="F774" s="16"/>
      <c r="G774" s="8"/>
      <c r="H774" s="9"/>
      <c r="I774" s="9"/>
    </row>
    <row r="775">
      <c r="A775" s="21"/>
      <c r="C775" s="16"/>
      <c r="D775" s="6"/>
      <c r="E775" s="9"/>
      <c r="F775" s="16"/>
      <c r="G775" s="8"/>
      <c r="H775" s="9"/>
      <c r="I775" s="9"/>
    </row>
    <row r="776">
      <c r="A776" s="21"/>
      <c r="C776" s="16"/>
      <c r="D776" s="6"/>
      <c r="E776" s="9"/>
      <c r="F776" s="16"/>
      <c r="G776" s="8"/>
      <c r="H776" s="9"/>
      <c r="I776" s="9"/>
    </row>
    <row r="777">
      <c r="A777" s="21"/>
      <c r="C777" s="16"/>
      <c r="D777" s="6"/>
      <c r="E777" s="9"/>
      <c r="F777" s="16"/>
      <c r="G777" s="8"/>
      <c r="H777" s="9"/>
      <c r="I777" s="9"/>
    </row>
    <row r="778">
      <c r="A778" s="21"/>
      <c r="C778" s="16"/>
      <c r="D778" s="6"/>
      <c r="E778" s="9"/>
      <c r="F778" s="16"/>
      <c r="G778" s="8"/>
      <c r="H778" s="9"/>
      <c r="I778" s="9"/>
    </row>
    <row r="779">
      <c r="A779" s="21"/>
      <c r="C779" s="16"/>
      <c r="D779" s="6"/>
      <c r="E779" s="9"/>
      <c r="F779" s="16"/>
      <c r="G779" s="8"/>
      <c r="H779" s="9"/>
      <c r="I779" s="9"/>
    </row>
    <row r="780">
      <c r="A780" s="21"/>
      <c r="C780" s="16"/>
      <c r="D780" s="6"/>
      <c r="E780" s="9"/>
      <c r="F780" s="16"/>
      <c r="G780" s="8"/>
      <c r="H780" s="9"/>
      <c r="I780" s="9"/>
    </row>
    <row r="781">
      <c r="A781" s="21"/>
      <c r="C781" s="16"/>
      <c r="D781" s="6"/>
      <c r="E781" s="9"/>
      <c r="F781" s="16"/>
      <c r="G781" s="8"/>
      <c r="H781" s="9"/>
      <c r="I781" s="9"/>
    </row>
    <row r="782">
      <c r="A782" s="21"/>
      <c r="C782" s="16"/>
      <c r="D782" s="6"/>
      <c r="E782" s="9"/>
      <c r="F782" s="16"/>
      <c r="G782" s="8"/>
      <c r="H782" s="9"/>
      <c r="I782" s="9"/>
    </row>
    <row r="783">
      <c r="A783" s="21"/>
      <c r="C783" s="16"/>
      <c r="D783" s="6"/>
      <c r="E783" s="9"/>
      <c r="F783" s="16"/>
      <c r="G783" s="8"/>
      <c r="H783" s="9"/>
      <c r="I783" s="9"/>
    </row>
    <row r="784">
      <c r="A784" s="21"/>
      <c r="C784" s="16"/>
      <c r="D784" s="6"/>
      <c r="E784" s="9"/>
      <c r="F784" s="16"/>
      <c r="G784" s="8"/>
      <c r="H784" s="9"/>
      <c r="I784" s="9"/>
    </row>
    <row r="785">
      <c r="A785" s="21"/>
      <c r="C785" s="16"/>
      <c r="D785" s="6"/>
      <c r="E785" s="9"/>
      <c r="F785" s="16"/>
      <c r="G785" s="8"/>
      <c r="H785" s="9"/>
      <c r="I785" s="9"/>
    </row>
    <row r="786">
      <c r="A786" s="21"/>
      <c r="C786" s="16"/>
      <c r="D786" s="6"/>
      <c r="E786" s="9"/>
      <c r="F786" s="16"/>
      <c r="G786" s="8"/>
      <c r="H786" s="9"/>
      <c r="I786" s="9"/>
    </row>
    <row r="787">
      <c r="A787" s="21"/>
      <c r="C787" s="16"/>
      <c r="D787" s="6"/>
      <c r="E787" s="9"/>
      <c r="F787" s="16"/>
      <c r="G787" s="8"/>
      <c r="H787" s="9"/>
      <c r="I787" s="9"/>
    </row>
    <row r="788">
      <c r="A788" s="21"/>
      <c r="C788" s="16"/>
      <c r="D788" s="6"/>
      <c r="E788" s="9"/>
      <c r="F788" s="16"/>
      <c r="G788" s="8"/>
      <c r="H788" s="9"/>
      <c r="I788" s="9"/>
    </row>
    <row r="789">
      <c r="A789" s="21"/>
      <c r="C789" s="16"/>
      <c r="D789" s="6"/>
      <c r="E789" s="9"/>
      <c r="F789" s="16"/>
      <c r="G789" s="8"/>
      <c r="H789" s="9"/>
      <c r="I789" s="9"/>
    </row>
    <row r="790">
      <c r="A790" s="21"/>
      <c r="C790" s="16"/>
      <c r="D790" s="6"/>
      <c r="E790" s="9"/>
      <c r="F790" s="16"/>
      <c r="G790" s="8"/>
      <c r="H790" s="9"/>
      <c r="I790" s="9"/>
    </row>
    <row r="791">
      <c r="A791" s="21"/>
      <c r="C791" s="16"/>
      <c r="D791" s="6"/>
      <c r="E791" s="9"/>
      <c r="F791" s="16"/>
      <c r="G791" s="8"/>
      <c r="H791" s="9"/>
      <c r="I791" s="9"/>
    </row>
    <row r="792">
      <c r="A792" s="21"/>
      <c r="C792" s="16"/>
      <c r="D792" s="6"/>
      <c r="E792" s="9"/>
      <c r="F792" s="16"/>
      <c r="G792" s="8"/>
      <c r="H792" s="9"/>
      <c r="I792" s="9"/>
    </row>
    <row r="793">
      <c r="A793" s="21"/>
      <c r="C793" s="16"/>
      <c r="D793" s="6"/>
      <c r="E793" s="9"/>
      <c r="F793" s="16"/>
      <c r="G793" s="8"/>
      <c r="H793" s="9"/>
      <c r="I793" s="9"/>
    </row>
    <row r="794">
      <c r="A794" s="21"/>
      <c r="C794" s="16"/>
      <c r="D794" s="6"/>
      <c r="E794" s="9"/>
      <c r="F794" s="16"/>
      <c r="G794" s="8"/>
      <c r="H794" s="9"/>
      <c r="I794" s="9"/>
    </row>
    <row r="795">
      <c r="A795" s="21"/>
      <c r="C795" s="16"/>
      <c r="D795" s="6"/>
      <c r="E795" s="9"/>
      <c r="F795" s="16"/>
      <c r="G795" s="8"/>
      <c r="H795" s="9"/>
      <c r="I795" s="9"/>
    </row>
    <row r="796">
      <c r="A796" s="21"/>
      <c r="C796" s="16"/>
      <c r="D796" s="6"/>
      <c r="E796" s="9"/>
      <c r="F796" s="16"/>
      <c r="G796" s="8"/>
      <c r="H796" s="9"/>
      <c r="I796" s="9"/>
    </row>
    <row r="797">
      <c r="A797" s="21"/>
      <c r="C797" s="16"/>
      <c r="D797" s="6"/>
      <c r="E797" s="9"/>
      <c r="F797" s="16"/>
      <c r="G797" s="8"/>
      <c r="H797" s="9"/>
      <c r="I797" s="9"/>
    </row>
    <row r="798">
      <c r="A798" s="21"/>
      <c r="C798" s="16"/>
      <c r="D798" s="6"/>
      <c r="E798" s="9"/>
      <c r="F798" s="16"/>
      <c r="G798" s="8"/>
      <c r="H798" s="9"/>
      <c r="I798" s="9"/>
    </row>
    <row r="799">
      <c r="A799" s="21"/>
      <c r="C799" s="16"/>
      <c r="D799" s="6"/>
      <c r="E799" s="9"/>
      <c r="F799" s="16"/>
      <c r="G799" s="8"/>
      <c r="H799" s="9"/>
      <c r="I799" s="9"/>
    </row>
    <row r="800">
      <c r="A800" s="21"/>
      <c r="C800" s="16"/>
      <c r="D800" s="6"/>
      <c r="E800" s="9"/>
      <c r="F800" s="16"/>
      <c r="G800" s="8"/>
      <c r="H800" s="9"/>
      <c r="I800" s="9"/>
    </row>
    <row r="801">
      <c r="A801" s="21"/>
      <c r="C801" s="16"/>
      <c r="D801" s="6"/>
      <c r="E801" s="9"/>
      <c r="F801" s="16"/>
      <c r="G801" s="8"/>
      <c r="H801" s="9"/>
      <c r="I801" s="9"/>
    </row>
    <row r="802">
      <c r="A802" s="21"/>
      <c r="C802" s="16"/>
      <c r="D802" s="6"/>
      <c r="E802" s="9"/>
      <c r="F802" s="16"/>
      <c r="G802" s="8"/>
      <c r="H802" s="9"/>
      <c r="I802" s="9"/>
    </row>
    <row r="803">
      <c r="A803" s="21"/>
      <c r="C803" s="16"/>
      <c r="D803" s="6"/>
      <c r="E803" s="9"/>
      <c r="F803" s="16"/>
      <c r="G803" s="8"/>
      <c r="H803" s="9"/>
      <c r="I803" s="9"/>
    </row>
    <row r="804">
      <c r="A804" s="21"/>
      <c r="C804" s="16"/>
      <c r="D804" s="6"/>
      <c r="E804" s="9"/>
      <c r="F804" s="16"/>
      <c r="G804" s="8"/>
      <c r="H804" s="9"/>
      <c r="I804" s="9"/>
    </row>
    <row r="805">
      <c r="A805" s="21"/>
      <c r="C805" s="16"/>
      <c r="D805" s="6"/>
      <c r="E805" s="9"/>
      <c r="F805" s="16"/>
      <c r="G805" s="8"/>
      <c r="H805" s="9"/>
      <c r="I805" s="9"/>
    </row>
    <row r="806">
      <c r="A806" s="21"/>
      <c r="C806" s="16"/>
      <c r="D806" s="6"/>
      <c r="E806" s="9"/>
      <c r="F806" s="16"/>
      <c r="G806" s="8"/>
      <c r="H806" s="9"/>
      <c r="I806" s="9"/>
    </row>
    <row r="807">
      <c r="A807" s="21"/>
      <c r="C807" s="16"/>
      <c r="D807" s="6"/>
      <c r="E807" s="9"/>
      <c r="F807" s="16"/>
      <c r="G807" s="8"/>
      <c r="H807" s="9"/>
      <c r="I807" s="9"/>
    </row>
    <row r="808">
      <c r="A808" s="21"/>
      <c r="C808" s="16"/>
      <c r="D808" s="6"/>
      <c r="E808" s="9"/>
      <c r="F808" s="16"/>
      <c r="G808" s="8"/>
      <c r="H808" s="9"/>
      <c r="I808" s="9"/>
    </row>
    <row r="809">
      <c r="A809" s="21"/>
      <c r="C809" s="16"/>
      <c r="D809" s="6"/>
      <c r="E809" s="9"/>
      <c r="F809" s="16"/>
      <c r="G809" s="8"/>
      <c r="H809" s="9"/>
      <c r="I809" s="9"/>
    </row>
    <row r="810">
      <c r="A810" s="21"/>
      <c r="C810" s="16"/>
      <c r="D810" s="6"/>
      <c r="E810" s="9"/>
      <c r="F810" s="16"/>
      <c r="G810" s="8"/>
      <c r="H810" s="9"/>
      <c r="I810" s="9"/>
    </row>
    <row r="811">
      <c r="A811" s="21"/>
      <c r="C811" s="16"/>
      <c r="D811" s="6"/>
      <c r="E811" s="9"/>
      <c r="F811" s="16"/>
      <c r="G811" s="8"/>
      <c r="H811" s="9"/>
      <c r="I811" s="9"/>
    </row>
    <row r="812">
      <c r="A812" s="21"/>
      <c r="C812" s="16"/>
      <c r="D812" s="6"/>
      <c r="E812" s="9"/>
      <c r="F812" s="16"/>
      <c r="G812" s="8"/>
      <c r="H812" s="9"/>
      <c r="I812" s="9"/>
    </row>
    <row r="813">
      <c r="A813" s="21"/>
      <c r="C813" s="16"/>
      <c r="D813" s="6"/>
      <c r="E813" s="9"/>
      <c r="F813" s="16"/>
      <c r="G813" s="8"/>
      <c r="H813" s="9"/>
      <c r="I813" s="9"/>
    </row>
    <row r="814">
      <c r="A814" s="21"/>
      <c r="C814" s="16"/>
      <c r="D814" s="6"/>
      <c r="E814" s="9"/>
      <c r="F814" s="16"/>
      <c r="G814" s="8"/>
      <c r="H814" s="9"/>
      <c r="I814" s="9"/>
    </row>
    <row r="815">
      <c r="A815" s="21"/>
      <c r="C815" s="16"/>
      <c r="D815" s="6"/>
      <c r="E815" s="9"/>
      <c r="F815" s="16"/>
      <c r="G815" s="8"/>
      <c r="H815" s="9"/>
      <c r="I815" s="9"/>
    </row>
    <row r="816">
      <c r="A816" s="21"/>
      <c r="C816" s="16"/>
      <c r="D816" s="6"/>
      <c r="E816" s="9"/>
      <c r="F816" s="16"/>
      <c r="G816" s="8"/>
      <c r="H816" s="9"/>
      <c r="I816" s="9"/>
    </row>
    <row r="817">
      <c r="A817" s="21"/>
      <c r="C817" s="16"/>
      <c r="D817" s="6"/>
      <c r="E817" s="9"/>
      <c r="F817" s="16"/>
      <c r="G817" s="8"/>
      <c r="H817" s="9"/>
      <c r="I817" s="9"/>
    </row>
    <row r="818">
      <c r="A818" s="21"/>
      <c r="C818" s="16"/>
      <c r="D818" s="6"/>
      <c r="E818" s="9"/>
      <c r="F818" s="16"/>
      <c r="G818" s="8"/>
      <c r="H818" s="9"/>
      <c r="I818" s="9"/>
    </row>
    <row r="819">
      <c r="A819" s="21"/>
      <c r="C819" s="16"/>
      <c r="D819" s="6"/>
      <c r="E819" s="9"/>
      <c r="F819" s="16"/>
      <c r="G819" s="8"/>
      <c r="H819" s="9"/>
      <c r="I819" s="9"/>
    </row>
    <row r="820">
      <c r="A820" s="21"/>
      <c r="C820" s="16"/>
      <c r="D820" s="6"/>
      <c r="E820" s="9"/>
      <c r="F820" s="16"/>
      <c r="G820" s="8"/>
      <c r="H820" s="9"/>
      <c r="I820" s="9"/>
    </row>
    <row r="821">
      <c r="A821" s="21"/>
      <c r="C821" s="16"/>
      <c r="D821" s="6"/>
      <c r="E821" s="9"/>
      <c r="F821" s="16"/>
      <c r="G821" s="8"/>
      <c r="H821" s="9"/>
      <c r="I821" s="9"/>
    </row>
    <row r="822">
      <c r="A822" s="21"/>
      <c r="C822" s="16"/>
      <c r="D822" s="6"/>
      <c r="E822" s="9"/>
      <c r="F822" s="16"/>
      <c r="G822" s="8"/>
      <c r="H822" s="9"/>
      <c r="I822" s="9"/>
    </row>
    <row r="823">
      <c r="A823" s="21"/>
      <c r="C823" s="16"/>
      <c r="D823" s="6"/>
      <c r="E823" s="9"/>
      <c r="F823" s="16"/>
      <c r="G823" s="8"/>
      <c r="H823" s="9"/>
      <c r="I823" s="9"/>
    </row>
    <row r="824">
      <c r="A824" s="21"/>
      <c r="C824" s="16"/>
      <c r="D824" s="6"/>
      <c r="E824" s="9"/>
      <c r="F824" s="16"/>
      <c r="G824" s="8"/>
      <c r="H824" s="9"/>
      <c r="I824" s="9"/>
    </row>
    <row r="825">
      <c r="A825" s="21"/>
      <c r="C825" s="16"/>
      <c r="D825" s="6"/>
      <c r="E825" s="9"/>
      <c r="F825" s="16"/>
      <c r="G825" s="8"/>
      <c r="H825" s="9"/>
      <c r="I825" s="9"/>
    </row>
    <row r="826">
      <c r="A826" s="21"/>
      <c r="C826" s="16"/>
      <c r="D826" s="6"/>
      <c r="E826" s="9"/>
      <c r="F826" s="16"/>
      <c r="G826" s="8"/>
      <c r="H826" s="9"/>
      <c r="I826" s="9"/>
    </row>
    <row r="827">
      <c r="A827" s="21"/>
      <c r="C827" s="16"/>
      <c r="D827" s="6"/>
      <c r="E827" s="9"/>
      <c r="F827" s="16"/>
      <c r="G827" s="8"/>
      <c r="H827" s="9"/>
      <c r="I827" s="9"/>
    </row>
    <row r="828">
      <c r="A828" s="21"/>
      <c r="C828" s="16"/>
      <c r="D828" s="6"/>
      <c r="E828" s="9"/>
      <c r="F828" s="16"/>
      <c r="G828" s="8"/>
      <c r="H828" s="9"/>
      <c r="I828" s="9"/>
    </row>
    <row r="829">
      <c r="A829" s="21"/>
      <c r="C829" s="16"/>
      <c r="D829" s="6"/>
      <c r="E829" s="9"/>
      <c r="F829" s="16"/>
      <c r="G829" s="8"/>
      <c r="H829" s="9"/>
      <c r="I829" s="9"/>
    </row>
    <row r="830">
      <c r="A830" s="21"/>
      <c r="C830" s="16"/>
      <c r="D830" s="6"/>
      <c r="E830" s="9"/>
      <c r="F830" s="16"/>
      <c r="G830" s="8"/>
      <c r="H830" s="9"/>
      <c r="I830" s="9"/>
    </row>
    <row r="831">
      <c r="A831" s="21"/>
      <c r="C831" s="16"/>
      <c r="D831" s="6"/>
      <c r="E831" s="9"/>
      <c r="F831" s="16"/>
      <c r="G831" s="8"/>
      <c r="H831" s="9"/>
      <c r="I831" s="9"/>
    </row>
    <row r="832">
      <c r="A832" s="21"/>
      <c r="C832" s="16"/>
      <c r="D832" s="6"/>
      <c r="E832" s="9"/>
      <c r="F832" s="16"/>
      <c r="G832" s="8"/>
      <c r="H832" s="9"/>
      <c r="I832" s="9"/>
    </row>
    <row r="833">
      <c r="A833" s="21"/>
      <c r="C833" s="16"/>
      <c r="D833" s="6"/>
      <c r="E833" s="9"/>
      <c r="F833" s="16"/>
      <c r="G833" s="8"/>
      <c r="H833" s="9"/>
      <c r="I833" s="9"/>
    </row>
    <row r="834">
      <c r="A834" s="21"/>
      <c r="C834" s="16"/>
      <c r="D834" s="6"/>
      <c r="E834" s="9"/>
      <c r="F834" s="16"/>
      <c r="G834" s="8"/>
      <c r="H834" s="9"/>
      <c r="I834" s="9"/>
    </row>
    <row r="835">
      <c r="A835" s="21"/>
      <c r="C835" s="16"/>
      <c r="D835" s="6"/>
      <c r="E835" s="9"/>
      <c r="F835" s="16"/>
      <c r="G835" s="8"/>
      <c r="H835" s="9"/>
      <c r="I835" s="9"/>
    </row>
    <row r="836">
      <c r="A836" s="21"/>
      <c r="C836" s="16"/>
      <c r="D836" s="6"/>
      <c r="E836" s="9"/>
      <c r="F836" s="16"/>
      <c r="G836" s="8"/>
      <c r="H836" s="9"/>
      <c r="I836" s="9"/>
    </row>
    <row r="837">
      <c r="A837" s="21"/>
      <c r="C837" s="16"/>
      <c r="D837" s="6"/>
      <c r="E837" s="9"/>
      <c r="F837" s="16"/>
      <c r="G837" s="8"/>
      <c r="H837" s="9"/>
      <c r="I837" s="9"/>
    </row>
    <row r="838">
      <c r="A838" s="21"/>
      <c r="C838" s="16"/>
      <c r="D838" s="6"/>
      <c r="E838" s="9"/>
      <c r="F838" s="16"/>
      <c r="G838" s="8"/>
      <c r="H838" s="9"/>
      <c r="I838" s="9"/>
    </row>
    <row r="839">
      <c r="A839" s="21"/>
      <c r="C839" s="16"/>
      <c r="D839" s="6"/>
      <c r="E839" s="9"/>
      <c r="F839" s="16"/>
      <c r="G839" s="8"/>
      <c r="H839" s="9"/>
      <c r="I839" s="9"/>
    </row>
    <row r="840">
      <c r="A840" s="21"/>
      <c r="C840" s="16"/>
      <c r="D840" s="6"/>
      <c r="E840" s="9"/>
      <c r="F840" s="16"/>
      <c r="G840" s="8"/>
      <c r="H840" s="9"/>
      <c r="I840" s="9"/>
    </row>
    <row r="841">
      <c r="A841" s="21"/>
      <c r="C841" s="16"/>
      <c r="D841" s="6"/>
      <c r="E841" s="9"/>
      <c r="F841" s="16"/>
      <c r="G841" s="8"/>
      <c r="H841" s="9"/>
      <c r="I841" s="9"/>
    </row>
    <row r="842">
      <c r="A842" s="21"/>
      <c r="C842" s="16"/>
      <c r="D842" s="6"/>
      <c r="E842" s="9"/>
      <c r="F842" s="16"/>
      <c r="G842" s="8"/>
      <c r="H842" s="9"/>
      <c r="I842" s="9"/>
    </row>
    <row r="843">
      <c r="A843" s="21"/>
      <c r="C843" s="16"/>
      <c r="D843" s="6"/>
      <c r="E843" s="9"/>
      <c r="F843" s="16"/>
      <c r="G843" s="8"/>
      <c r="H843" s="9"/>
      <c r="I843" s="9"/>
    </row>
    <row r="844">
      <c r="A844" s="21"/>
      <c r="C844" s="16"/>
      <c r="D844" s="6"/>
      <c r="E844" s="9"/>
      <c r="F844" s="16"/>
      <c r="G844" s="8"/>
      <c r="H844" s="9"/>
      <c r="I844" s="9"/>
    </row>
    <row r="845">
      <c r="A845" s="21"/>
      <c r="C845" s="16"/>
      <c r="D845" s="6"/>
      <c r="E845" s="9"/>
      <c r="F845" s="16"/>
      <c r="G845" s="8"/>
      <c r="H845" s="9"/>
      <c r="I845" s="9"/>
    </row>
    <row r="846">
      <c r="A846" s="21"/>
      <c r="C846" s="16"/>
      <c r="D846" s="6"/>
      <c r="E846" s="9"/>
      <c r="F846" s="16"/>
      <c r="G846" s="8"/>
      <c r="H846" s="9"/>
      <c r="I846" s="9"/>
    </row>
    <row r="847">
      <c r="A847" s="21"/>
      <c r="C847" s="16"/>
      <c r="D847" s="6"/>
      <c r="E847" s="9"/>
      <c r="F847" s="16"/>
      <c r="G847" s="8"/>
      <c r="H847" s="9"/>
      <c r="I847" s="9"/>
    </row>
    <row r="848">
      <c r="A848" s="21"/>
      <c r="C848" s="16"/>
      <c r="D848" s="6"/>
      <c r="E848" s="9"/>
      <c r="F848" s="16"/>
      <c r="G848" s="8"/>
      <c r="H848" s="9"/>
      <c r="I848" s="9"/>
    </row>
    <row r="849">
      <c r="A849" s="21"/>
      <c r="C849" s="16"/>
      <c r="D849" s="6"/>
      <c r="E849" s="9"/>
      <c r="F849" s="16"/>
      <c r="G849" s="8"/>
      <c r="H849" s="9"/>
      <c r="I849" s="9"/>
    </row>
    <row r="850">
      <c r="A850" s="21"/>
      <c r="C850" s="16"/>
      <c r="D850" s="6"/>
      <c r="E850" s="9"/>
      <c r="F850" s="16"/>
      <c r="G850" s="8"/>
      <c r="H850" s="9"/>
      <c r="I850" s="9"/>
    </row>
    <row r="851">
      <c r="A851" s="21"/>
      <c r="C851" s="16"/>
      <c r="D851" s="6"/>
      <c r="E851" s="9"/>
      <c r="F851" s="16"/>
      <c r="G851" s="8"/>
      <c r="H851" s="9"/>
      <c r="I851" s="9"/>
    </row>
    <row r="852">
      <c r="A852" s="21"/>
      <c r="C852" s="16"/>
      <c r="D852" s="6"/>
      <c r="E852" s="9"/>
      <c r="F852" s="16"/>
      <c r="G852" s="8"/>
      <c r="H852" s="9"/>
      <c r="I852" s="9"/>
    </row>
    <row r="853">
      <c r="A853" s="21"/>
      <c r="C853" s="16"/>
      <c r="D853" s="6"/>
      <c r="E853" s="9"/>
      <c r="F853" s="16"/>
      <c r="G853" s="8"/>
      <c r="H853" s="9"/>
      <c r="I853" s="9"/>
    </row>
    <row r="854">
      <c r="A854" s="21"/>
      <c r="C854" s="16"/>
      <c r="D854" s="6"/>
      <c r="E854" s="9"/>
      <c r="F854" s="16"/>
      <c r="G854" s="8"/>
      <c r="H854" s="9"/>
      <c r="I854" s="9"/>
    </row>
    <row r="855">
      <c r="A855" s="21"/>
      <c r="C855" s="16"/>
      <c r="D855" s="6"/>
      <c r="E855" s="9"/>
      <c r="F855" s="16"/>
      <c r="G855" s="8"/>
      <c r="H855" s="9"/>
      <c r="I855" s="9"/>
    </row>
    <row r="856">
      <c r="A856" s="21"/>
      <c r="C856" s="16"/>
      <c r="D856" s="6"/>
      <c r="E856" s="9"/>
      <c r="F856" s="16"/>
      <c r="G856" s="8"/>
      <c r="H856" s="9"/>
      <c r="I856" s="9"/>
    </row>
    <row r="857">
      <c r="A857" s="21"/>
      <c r="C857" s="16"/>
      <c r="D857" s="6"/>
      <c r="E857" s="9"/>
      <c r="F857" s="16"/>
      <c r="G857" s="8"/>
      <c r="H857" s="9"/>
      <c r="I857" s="9"/>
    </row>
    <row r="858">
      <c r="A858" s="21"/>
      <c r="C858" s="16"/>
      <c r="D858" s="6"/>
      <c r="E858" s="9"/>
      <c r="F858" s="16"/>
      <c r="G858" s="8"/>
      <c r="H858" s="9"/>
      <c r="I858" s="9"/>
    </row>
    <row r="859">
      <c r="A859" s="21"/>
      <c r="C859" s="16"/>
      <c r="D859" s="6"/>
      <c r="E859" s="9"/>
      <c r="F859" s="16"/>
      <c r="G859" s="8"/>
      <c r="H859" s="9"/>
      <c r="I859" s="9"/>
    </row>
    <row r="860">
      <c r="A860" s="21"/>
      <c r="C860" s="16"/>
      <c r="D860" s="6"/>
      <c r="E860" s="9"/>
      <c r="F860" s="16"/>
      <c r="G860" s="8"/>
      <c r="H860" s="9"/>
      <c r="I860" s="9"/>
    </row>
    <row r="861">
      <c r="A861" s="21"/>
      <c r="C861" s="16"/>
      <c r="D861" s="6"/>
      <c r="E861" s="9"/>
      <c r="F861" s="16"/>
      <c r="G861" s="8"/>
      <c r="H861" s="9"/>
      <c r="I861" s="9"/>
    </row>
    <row r="862">
      <c r="A862" s="21"/>
      <c r="C862" s="16"/>
      <c r="D862" s="6"/>
      <c r="E862" s="9"/>
      <c r="F862" s="16"/>
      <c r="G862" s="8"/>
      <c r="H862" s="9"/>
      <c r="I862" s="9"/>
    </row>
    <row r="863">
      <c r="A863" s="21"/>
      <c r="C863" s="16"/>
      <c r="D863" s="6"/>
      <c r="E863" s="9"/>
      <c r="F863" s="16"/>
      <c r="G863" s="8"/>
      <c r="H863" s="9"/>
      <c r="I863" s="9"/>
    </row>
    <row r="864">
      <c r="A864" s="21"/>
      <c r="C864" s="16"/>
      <c r="D864" s="6"/>
      <c r="E864" s="9"/>
      <c r="F864" s="16"/>
      <c r="G864" s="8"/>
      <c r="H864" s="9"/>
      <c r="I864" s="9"/>
    </row>
    <row r="865">
      <c r="A865" s="21"/>
      <c r="C865" s="16"/>
      <c r="D865" s="6"/>
      <c r="E865" s="9"/>
      <c r="F865" s="16"/>
      <c r="G865" s="8"/>
      <c r="H865" s="9"/>
      <c r="I865" s="9"/>
    </row>
    <row r="866">
      <c r="A866" s="21"/>
      <c r="C866" s="16"/>
      <c r="D866" s="6"/>
      <c r="E866" s="9"/>
      <c r="F866" s="16"/>
      <c r="G866" s="8"/>
      <c r="H866" s="9"/>
      <c r="I866" s="9"/>
    </row>
    <row r="867">
      <c r="A867" s="21"/>
      <c r="C867" s="16"/>
      <c r="D867" s="6"/>
      <c r="E867" s="9"/>
      <c r="F867" s="16"/>
      <c r="G867" s="8"/>
      <c r="H867" s="9"/>
      <c r="I867" s="9"/>
    </row>
    <row r="868">
      <c r="A868" s="21"/>
      <c r="C868" s="16"/>
      <c r="D868" s="6"/>
      <c r="E868" s="9"/>
      <c r="F868" s="16"/>
      <c r="G868" s="8"/>
      <c r="H868" s="9"/>
      <c r="I868" s="9"/>
    </row>
    <row r="869">
      <c r="A869" s="21"/>
      <c r="C869" s="16"/>
      <c r="D869" s="6"/>
      <c r="E869" s="9"/>
      <c r="F869" s="16"/>
      <c r="G869" s="8"/>
      <c r="H869" s="9"/>
      <c r="I869" s="9"/>
    </row>
    <row r="870">
      <c r="A870" s="21"/>
      <c r="C870" s="16"/>
      <c r="D870" s="6"/>
      <c r="E870" s="9"/>
      <c r="F870" s="16"/>
      <c r="G870" s="8"/>
      <c r="H870" s="9"/>
      <c r="I870" s="9"/>
    </row>
    <row r="871">
      <c r="A871" s="21"/>
      <c r="C871" s="16"/>
      <c r="D871" s="6"/>
      <c r="E871" s="9"/>
      <c r="F871" s="16"/>
      <c r="G871" s="8"/>
      <c r="H871" s="9"/>
      <c r="I871" s="9"/>
    </row>
    <row r="872">
      <c r="A872" s="21"/>
      <c r="C872" s="16"/>
      <c r="D872" s="6"/>
      <c r="E872" s="9"/>
      <c r="F872" s="16"/>
      <c r="G872" s="8"/>
      <c r="H872" s="9"/>
      <c r="I872" s="9"/>
    </row>
    <row r="873">
      <c r="A873" s="21"/>
      <c r="C873" s="16"/>
      <c r="D873" s="6"/>
      <c r="E873" s="9"/>
      <c r="F873" s="16"/>
      <c r="G873" s="8"/>
      <c r="H873" s="9"/>
      <c r="I873" s="9"/>
    </row>
    <row r="874">
      <c r="A874" s="21"/>
      <c r="C874" s="16"/>
      <c r="D874" s="6"/>
      <c r="E874" s="9"/>
      <c r="F874" s="16"/>
      <c r="G874" s="8"/>
      <c r="H874" s="9"/>
      <c r="I874" s="9"/>
    </row>
    <row r="875">
      <c r="A875" s="21"/>
      <c r="C875" s="16"/>
      <c r="D875" s="6"/>
      <c r="E875" s="9"/>
      <c r="F875" s="16"/>
      <c r="G875" s="8"/>
      <c r="H875" s="9"/>
      <c r="I875" s="9"/>
    </row>
    <row r="876">
      <c r="A876" s="21"/>
      <c r="C876" s="16"/>
      <c r="D876" s="6"/>
      <c r="E876" s="9"/>
      <c r="F876" s="16"/>
      <c r="G876" s="8"/>
      <c r="H876" s="9"/>
      <c r="I876" s="9"/>
    </row>
    <row r="877">
      <c r="A877" s="21"/>
      <c r="C877" s="16"/>
      <c r="D877" s="6"/>
      <c r="E877" s="9"/>
      <c r="F877" s="16"/>
      <c r="G877" s="8"/>
      <c r="H877" s="9"/>
      <c r="I877" s="9"/>
    </row>
    <row r="878">
      <c r="A878" s="21"/>
      <c r="C878" s="16"/>
      <c r="D878" s="6"/>
      <c r="E878" s="9"/>
      <c r="F878" s="16"/>
      <c r="G878" s="8"/>
      <c r="H878" s="9"/>
      <c r="I878" s="9"/>
    </row>
    <row r="879">
      <c r="A879" s="21"/>
      <c r="C879" s="16"/>
      <c r="D879" s="6"/>
      <c r="E879" s="9"/>
      <c r="F879" s="16"/>
      <c r="G879" s="8"/>
      <c r="H879" s="9"/>
      <c r="I879" s="9"/>
    </row>
    <row r="880">
      <c r="A880" s="21"/>
      <c r="C880" s="16"/>
      <c r="D880" s="6"/>
      <c r="E880" s="9"/>
      <c r="F880" s="16"/>
      <c r="G880" s="8"/>
      <c r="H880" s="9"/>
      <c r="I880" s="9"/>
    </row>
    <row r="881">
      <c r="A881" s="21"/>
      <c r="C881" s="16"/>
      <c r="D881" s="6"/>
      <c r="E881" s="9"/>
      <c r="F881" s="16"/>
      <c r="G881" s="8"/>
      <c r="H881" s="9"/>
      <c r="I881" s="9"/>
    </row>
    <row r="882">
      <c r="A882" s="21"/>
      <c r="C882" s="16"/>
      <c r="D882" s="6"/>
      <c r="E882" s="9"/>
      <c r="F882" s="16"/>
      <c r="G882" s="8"/>
      <c r="H882" s="9"/>
      <c r="I882" s="9"/>
    </row>
    <row r="883">
      <c r="A883" s="21"/>
      <c r="C883" s="16"/>
      <c r="D883" s="6"/>
      <c r="E883" s="9"/>
      <c r="F883" s="16"/>
      <c r="G883" s="8"/>
      <c r="H883" s="9"/>
      <c r="I883" s="9"/>
    </row>
    <row r="884">
      <c r="A884" s="21"/>
      <c r="C884" s="16"/>
      <c r="D884" s="6"/>
      <c r="E884" s="9"/>
      <c r="F884" s="16"/>
      <c r="G884" s="8"/>
      <c r="H884" s="9"/>
      <c r="I884" s="9"/>
    </row>
    <row r="885">
      <c r="A885" s="21"/>
      <c r="C885" s="16"/>
      <c r="D885" s="6"/>
      <c r="E885" s="9"/>
      <c r="F885" s="16"/>
      <c r="G885" s="8"/>
      <c r="H885" s="9"/>
      <c r="I885" s="9"/>
    </row>
    <row r="886">
      <c r="A886" s="21"/>
      <c r="C886" s="16"/>
      <c r="D886" s="6"/>
      <c r="E886" s="9"/>
      <c r="F886" s="16"/>
      <c r="G886" s="8"/>
      <c r="H886" s="9"/>
      <c r="I886" s="9"/>
    </row>
    <row r="887">
      <c r="A887" s="21"/>
      <c r="C887" s="16"/>
      <c r="D887" s="6"/>
      <c r="E887" s="9"/>
      <c r="F887" s="16"/>
      <c r="G887" s="8"/>
      <c r="H887" s="9"/>
      <c r="I887" s="9"/>
    </row>
    <row r="888">
      <c r="A888" s="21"/>
      <c r="C888" s="16"/>
      <c r="D888" s="6"/>
      <c r="E888" s="9"/>
      <c r="F888" s="16"/>
      <c r="G888" s="8"/>
      <c r="H888" s="9"/>
      <c r="I888" s="9"/>
    </row>
    <row r="889">
      <c r="A889" s="21"/>
      <c r="C889" s="16"/>
      <c r="D889" s="6"/>
      <c r="E889" s="9"/>
      <c r="F889" s="16"/>
      <c r="G889" s="8"/>
      <c r="H889" s="9"/>
      <c r="I889" s="9"/>
    </row>
    <row r="890">
      <c r="A890" s="21"/>
      <c r="C890" s="16"/>
      <c r="D890" s="6"/>
      <c r="E890" s="9"/>
      <c r="F890" s="16"/>
      <c r="G890" s="8"/>
      <c r="H890" s="9"/>
      <c r="I890" s="9"/>
    </row>
    <row r="891">
      <c r="A891" s="21"/>
      <c r="C891" s="16"/>
      <c r="D891" s="6"/>
      <c r="E891" s="9"/>
      <c r="F891" s="16"/>
      <c r="G891" s="8"/>
      <c r="H891" s="9"/>
      <c r="I891" s="9"/>
    </row>
    <row r="892">
      <c r="A892" s="21"/>
      <c r="C892" s="16"/>
      <c r="D892" s="6"/>
      <c r="E892" s="9"/>
      <c r="F892" s="16"/>
      <c r="G892" s="8"/>
      <c r="H892" s="9"/>
      <c r="I892" s="9"/>
    </row>
    <row r="893">
      <c r="A893" s="21"/>
      <c r="C893" s="16"/>
      <c r="D893" s="6"/>
      <c r="E893" s="9"/>
      <c r="F893" s="16"/>
      <c r="G893" s="8"/>
      <c r="H893" s="9"/>
      <c r="I893" s="9"/>
    </row>
    <row r="894">
      <c r="A894" s="21"/>
      <c r="C894" s="16"/>
      <c r="D894" s="6"/>
      <c r="E894" s="9"/>
      <c r="F894" s="16"/>
      <c r="G894" s="8"/>
      <c r="H894" s="9"/>
      <c r="I894" s="9"/>
    </row>
    <row r="895">
      <c r="A895" s="21"/>
      <c r="C895" s="16"/>
      <c r="D895" s="6"/>
      <c r="E895" s="9"/>
      <c r="F895" s="16"/>
      <c r="G895" s="8"/>
      <c r="H895" s="9"/>
      <c r="I895" s="9"/>
    </row>
    <row r="896">
      <c r="A896" s="21"/>
      <c r="C896" s="16"/>
      <c r="D896" s="6"/>
      <c r="E896" s="9"/>
      <c r="F896" s="16"/>
      <c r="G896" s="8"/>
      <c r="H896" s="9"/>
      <c r="I896" s="9"/>
    </row>
    <row r="897">
      <c r="A897" s="21"/>
      <c r="C897" s="16"/>
      <c r="D897" s="6"/>
      <c r="E897" s="9"/>
      <c r="F897" s="16"/>
      <c r="G897" s="8"/>
      <c r="H897" s="9"/>
      <c r="I897" s="9"/>
    </row>
    <row r="898">
      <c r="A898" s="21"/>
      <c r="C898" s="16"/>
      <c r="D898" s="6"/>
      <c r="E898" s="9"/>
      <c r="F898" s="16"/>
      <c r="G898" s="8"/>
      <c r="H898" s="9"/>
      <c r="I898" s="9"/>
    </row>
    <row r="899">
      <c r="A899" s="21"/>
      <c r="C899" s="16"/>
      <c r="D899" s="6"/>
      <c r="E899" s="9"/>
      <c r="F899" s="16"/>
      <c r="G899" s="8"/>
      <c r="H899" s="9"/>
      <c r="I899" s="9"/>
    </row>
    <row r="900">
      <c r="A900" s="21"/>
      <c r="C900" s="16"/>
      <c r="D900" s="6"/>
      <c r="E900" s="9"/>
      <c r="F900" s="16"/>
      <c r="G900" s="8"/>
      <c r="H900" s="9"/>
      <c r="I900" s="9"/>
    </row>
    <row r="901">
      <c r="A901" s="21"/>
      <c r="C901" s="16"/>
      <c r="D901" s="6"/>
      <c r="E901" s="9"/>
      <c r="F901" s="16"/>
      <c r="G901" s="8"/>
      <c r="H901" s="9"/>
      <c r="I901" s="9"/>
    </row>
    <row r="902">
      <c r="A902" s="21"/>
      <c r="C902" s="16"/>
      <c r="D902" s="6"/>
      <c r="E902" s="9"/>
      <c r="F902" s="16"/>
      <c r="G902" s="8"/>
      <c r="H902" s="9"/>
      <c r="I902" s="9"/>
    </row>
    <row r="903">
      <c r="A903" s="21"/>
      <c r="C903" s="16"/>
      <c r="D903" s="6"/>
      <c r="E903" s="9"/>
      <c r="F903" s="16"/>
      <c r="G903" s="8"/>
      <c r="H903" s="9"/>
      <c r="I903" s="9"/>
    </row>
    <row r="904">
      <c r="A904" s="21"/>
      <c r="C904" s="16"/>
      <c r="D904" s="6"/>
      <c r="E904" s="9"/>
      <c r="F904" s="16"/>
      <c r="G904" s="8"/>
      <c r="H904" s="9"/>
      <c r="I904" s="9"/>
    </row>
    <row r="905">
      <c r="A905" s="21"/>
      <c r="C905" s="16"/>
      <c r="D905" s="6"/>
      <c r="E905" s="9"/>
      <c r="F905" s="16"/>
      <c r="G905" s="8"/>
      <c r="H905" s="9"/>
      <c r="I905" s="9"/>
    </row>
    <row r="906">
      <c r="A906" s="21"/>
      <c r="C906" s="16"/>
      <c r="D906" s="6"/>
      <c r="E906" s="9"/>
      <c r="F906" s="16"/>
      <c r="G906" s="8"/>
      <c r="H906" s="9"/>
      <c r="I906" s="9"/>
    </row>
    <row r="907">
      <c r="A907" s="21"/>
      <c r="C907" s="16"/>
      <c r="D907" s="6"/>
      <c r="E907" s="9"/>
      <c r="F907" s="16"/>
      <c r="G907" s="8"/>
      <c r="H907" s="9"/>
      <c r="I907" s="9"/>
    </row>
    <row r="908">
      <c r="A908" s="21"/>
      <c r="C908" s="16"/>
      <c r="D908" s="6"/>
      <c r="E908" s="9"/>
      <c r="F908" s="16"/>
      <c r="G908" s="8"/>
      <c r="H908" s="9"/>
      <c r="I908" s="9"/>
    </row>
    <row r="909">
      <c r="A909" s="21"/>
      <c r="C909" s="16"/>
      <c r="D909" s="6"/>
      <c r="E909" s="9"/>
      <c r="F909" s="16"/>
      <c r="G909" s="8"/>
      <c r="H909" s="9"/>
      <c r="I909" s="9"/>
    </row>
    <row r="910">
      <c r="A910" s="21"/>
      <c r="C910" s="16"/>
      <c r="D910" s="6"/>
      <c r="E910" s="9"/>
      <c r="F910" s="16"/>
      <c r="G910" s="8"/>
      <c r="H910" s="9"/>
      <c r="I910" s="9"/>
    </row>
    <row r="911">
      <c r="A911" s="21"/>
      <c r="C911" s="16"/>
      <c r="D911" s="6"/>
      <c r="E911" s="9"/>
      <c r="F911" s="16"/>
      <c r="G911" s="8"/>
      <c r="H911" s="9"/>
      <c r="I911" s="9"/>
    </row>
    <row r="912">
      <c r="A912" s="21"/>
      <c r="C912" s="16"/>
      <c r="D912" s="6"/>
      <c r="E912" s="9"/>
      <c r="F912" s="16"/>
      <c r="G912" s="8"/>
      <c r="H912" s="9"/>
      <c r="I912" s="9"/>
    </row>
    <row r="913">
      <c r="A913" s="21"/>
      <c r="C913" s="16"/>
      <c r="D913" s="6"/>
      <c r="E913" s="9"/>
      <c r="F913" s="16"/>
      <c r="G913" s="8"/>
      <c r="H913" s="9"/>
      <c r="I913" s="9"/>
    </row>
    <row r="914">
      <c r="A914" s="21"/>
      <c r="C914" s="16"/>
      <c r="D914" s="6"/>
      <c r="E914" s="9"/>
      <c r="F914" s="16"/>
      <c r="G914" s="8"/>
      <c r="H914" s="9"/>
      <c r="I914" s="9"/>
    </row>
    <row r="915">
      <c r="A915" s="21"/>
      <c r="C915" s="16"/>
      <c r="D915" s="6"/>
      <c r="E915" s="9"/>
      <c r="F915" s="16"/>
      <c r="G915" s="8"/>
      <c r="H915" s="9"/>
      <c r="I915" s="9"/>
    </row>
    <row r="916">
      <c r="A916" s="21"/>
      <c r="C916" s="16"/>
      <c r="D916" s="6"/>
      <c r="E916" s="9"/>
      <c r="F916" s="16"/>
      <c r="G916" s="8"/>
      <c r="H916" s="9"/>
      <c r="I916" s="9"/>
    </row>
    <row r="917">
      <c r="A917" s="21"/>
      <c r="C917" s="16"/>
      <c r="D917" s="6"/>
      <c r="E917" s="9"/>
      <c r="F917" s="16"/>
      <c r="G917" s="8"/>
      <c r="H917" s="9"/>
      <c r="I917" s="9"/>
    </row>
    <row r="918">
      <c r="A918" s="21"/>
      <c r="C918" s="16"/>
      <c r="D918" s="6"/>
      <c r="E918" s="9"/>
      <c r="F918" s="16"/>
      <c r="G918" s="8"/>
      <c r="H918" s="9"/>
      <c r="I918" s="9"/>
    </row>
    <row r="919">
      <c r="A919" s="21"/>
      <c r="C919" s="16"/>
      <c r="D919" s="6"/>
      <c r="E919" s="9"/>
      <c r="F919" s="16"/>
      <c r="G919" s="8"/>
      <c r="H919" s="9"/>
      <c r="I919" s="9"/>
    </row>
    <row r="920">
      <c r="A920" s="21"/>
      <c r="C920" s="16"/>
      <c r="D920" s="6"/>
      <c r="E920" s="9"/>
      <c r="F920" s="16"/>
      <c r="G920" s="8"/>
      <c r="H920" s="9"/>
      <c r="I920" s="9"/>
    </row>
    <row r="921">
      <c r="A921" s="21"/>
      <c r="C921" s="16"/>
      <c r="D921" s="6"/>
      <c r="E921" s="9"/>
      <c r="F921" s="16"/>
      <c r="G921" s="8"/>
      <c r="H921" s="9"/>
      <c r="I921" s="9"/>
    </row>
    <row r="922">
      <c r="A922" s="21"/>
      <c r="C922" s="16"/>
      <c r="D922" s="6"/>
      <c r="E922" s="9"/>
      <c r="F922" s="16"/>
      <c r="G922" s="8"/>
      <c r="H922" s="9"/>
      <c r="I922" s="9"/>
    </row>
    <row r="923">
      <c r="A923" s="21"/>
      <c r="C923" s="16"/>
      <c r="D923" s="6"/>
      <c r="E923" s="9"/>
      <c r="F923" s="16"/>
      <c r="G923" s="8"/>
      <c r="H923" s="9"/>
      <c r="I923" s="9"/>
    </row>
    <row r="924">
      <c r="A924" s="21"/>
      <c r="C924" s="16"/>
      <c r="D924" s="6"/>
      <c r="E924" s="9"/>
      <c r="F924" s="16"/>
      <c r="G924" s="8"/>
      <c r="H924" s="9"/>
      <c r="I924" s="9"/>
    </row>
    <row r="925">
      <c r="A925" s="21"/>
      <c r="C925" s="16"/>
      <c r="D925" s="6"/>
      <c r="E925" s="9"/>
      <c r="F925" s="16"/>
      <c r="G925" s="8"/>
      <c r="H925" s="9"/>
      <c r="I925" s="9"/>
    </row>
    <row r="926">
      <c r="A926" s="21"/>
      <c r="C926" s="16"/>
      <c r="D926" s="6"/>
      <c r="E926" s="9"/>
      <c r="F926" s="16"/>
      <c r="G926" s="8"/>
      <c r="H926" s="9"/>
      <c r="I926" s="9"/>
    </row>
    <row r="927">
      <c r="A927" s="21"/>
      <c r="C927" s="16"/>
      <c r="D927" s="6"/>
      <c r="E927" s="9"/>
      <c r="F927" s="16"/>
      <c r="G927" s="8"/>
      <c r="H927" s="9"/>
      <c r="I927" s="9"/>
    </row>
    <row r="928">
      <c r="A928" s="21"/>
      <c r="C928" s="16"/>
      <c r="D928" s="6"/>
      <c r="E928" s="9"/>
      <c r="F928" s="16"/>
      <c r="G928" s="8"/>
      <c r="H928" s="9"/>
      <c r="I928" s="9"/>
    </row>
    <row r="929">
      <c r="A929" s="21"/>
      <c r="C929" s="16"/>
      <c r="D929" s="6"/>
      <c r="E929" s="9"/>
      <c r="F929" s="16"/>
      <c r="G929" s="8"/>
      <c r="H929" s="9"/>
      <c r="I929" s="9"/>
    </row>
    <row r="930">
      <c r="A930" s="21"/>
      <c r="C930" s="16"/>
      <c r="D930" s="6"/>
      <c r="E930" s="9"/>
      <c r="F930" s="16"/>
      <c r="G930" s="8"/>
      <c r="H930" s="9"/>
      <c r="I930" s="9"/>
    </row>
    <row r="931">
      <c r="A931" s="21"/>
      <c r="C931" s="16"/>
      <c r="D931" s="6"/>
      <c r="E931" s="9"/>
      <c r="F931" s="16"/>
      <c r="G931" s="8"/>
      <c r="H931" s="9"/>
      <c r="I931" s="9"/>
    </row>
    <row r="932">
      <c r="A932" s="21"/>
      <c r="C932" s="16"/>
      <c r="D932" s="6"/>
      <c r="E932" s="9"/>
      <c r="F932" s="16"/>
      <c r="G932" s="8"/>
      <c r="H932" s="9"/>
      <c r="I932" s="9"/>
    </row>
    <row r="933">
      <c r="A933" s="21"/>
      <c r="C933" s="16"/>
      <c r="D933" s="6"/>
      <c r="E933" s="9"/>
      <c r="F933" s="16"/>
      <c r="G933" s="8"/>
      <c r="H933" s="9"/>
      <c r="I933" s="9"/>
    </row>
    <row r="934">
      <c r="A934" s="21"/>
      <c r="C934" s="16"/>
      <c r="D934" s="6"/>
      <c r="E934" s="9"/>
      <c r="F934" s="16"/>
      <c r="G934" s="8"/>
      <c r="H934" s="9"/>
      <c r="I934" s="9"/>
    </row>
    <row r="935">
      <c r="A935" s="21"/>
      <c r="C935" s="16"/>
      <c r="D935" s="6"/>
      <c r="E935" s="9"/>
      <c r="F935" s="16"/>
      <c r="G935" s="8"/>
      <c r="H935" s="9"/>
      <c r="I935" s="9"/>
    </row>
    <row r="936">
      <c r="A936" s="21"/>
      <c r="C936" s="16"/>
      <c r="D936" s="6"/>
      <c r="E936" s="9"/>
      <c r="F936" s="16"/>
      <c r="G936" s="8"/>
      <c r="H936" s="9"/>
      <c r="I936" s="9"/>
    </row>
    <row r="937">
      <c r="A937" s="21"/>
      <c r="C937" s="16"/>
      <c r="D937" s="6"/>
      <c r="E937" s="9"/>
      <c r="F937" s="16"/>
      <c r="G937" s="8"/>
      <c r="H937" s="9"/>
      <c r="I937" s="9"/>
    </row>
    <row r="938">
      <c r="A938" s="21"/>
      <c r="C938" s="16"/>
      <c r="D938" s="6"/>
      <c r="E938" s="9"/>
      <c r="F938" s="16"/>
      <c r="G938" s="8"/>
      <c r="H938" s="9"/>
      <c r="I938" s="9"/>
    </row>
    <row r="939">
      <c r="A939" s="21"/>
      <c r="C939" s="16"/>
      <c r="D939" s="6"/>
      <c r="E939" s="9"/>
      <c r="F939" s="16"/>
      <c r="G939" s="8"/>
      <c r="H939" s="9"/>
      <c r="I939" s="9"/>
    </row>
    <row r="940">
      <c r="A940" s="21"/>
      <c r="C940" s="16"/>
      <c r="D940" s="6"/>
      <c r="E940" s="9"/>
      <c r="F940" s="16"/>
      <c r="G940" s="8"/>
      <c r="H940" s="9"/>
      <c r="I940" s="9"/>
    </row>
    <row r="941">
      <c r="A941" s="21"/>
      <c r="C941" s="16"/>
      <c r="D941" s="6"/>
      <c r="E941" s="9"/>
      <c r="F941" s="16"/>
      <c r="G941" s="8"/>
      <c r="H941" s="9"/>
      <c r="I941" s="9"/>
    </row>
    <row r="942">
      <c r="A942" s="21"/>
      <c r="C942" s="16"/>
      <c r="D942" s="6"/>
      <c r="E942" s="9"/>
      <c r="F942" s="16"/>
      <c r="G942" s="8"/>
      <c r="H942" s="9"/>
      <c r="I942" s="9"/>
    </row>
    <row r="943">
      <c r="A943" s="21"/>
      <c r="C943" s="16"/>
      <c r="D943" s="6"/>
      <c r="E943" s="9"/>
      <c r="F943" s="16"/>
      <c r="G943" s="8"/>
      <c r="H943" s="9"/>
      <c r="I943" s="9"/>
    </row>
    <row r="944">
      <c r="A944" s="21"/>
      <c r="C944" s="16"/>
      <c r="D944" s="6"/>
      <c r="E944" s="9"/>
      <c r="F944" s="16"/>
      <c r="G944" s="8"/>
      <c r="H944" s="9"/>
      <c r="I944" s="9"/>
    </row>
    <row r="945">
      <c r="A945" s="21"/>
      <c r="C945" s="16"/>
      <c r="D945" s="6"/>
      <c r="E945" s="9"/>
      <c r="F945" s="16"/>
      <c r="G945" s="8"/>
      <c r="H945" s="9"/>
      <c r="I945" s="9"/>
    </row>
    <row r="946">
      <c r="A946" s="21"/>
      <c r="C946" s="16"/>
      <c r="D946" s="6"/>
      <c r="E946" s="9"/>
      <c r="F946" s="16"/>
      <c r="G946" s="8"/>
      <c r="H946" s="9"/>
      <c r="I946" s="9"/>
    </row>
    <row r="947">
      <c r="A947" s="21"/>
      <c r="C947" s="16"/>
      <c r="D947" s="6"/>
      <c r="E947" s="9"/>
      <c r="F947" s="16"/>
      <c r="G947" s="8"/>
      <c r="H947" s="9"/>
      <c r="I947" s="9"/>
    </row>
    <row r="948">
      <c r="A948" s="21"/>
      <c r="C948" s="16"/>
      <c r="D948" s="6"/>
      <c r="E948" s="9"/>
      <c r="F948" s="16"/>
      <c r="G948" s="8"/>
      <c r="H948" s="9"/>
      <c r="I948" s="9"/>
    </row>
    <row r="949">
      <c r="A949" s="21"/>
      <c r="C949" s="16"/>
      <c r="D949" s="6"/>
      <c r="E949" s="9"/>
      <c r="F949" s="16"/>
      <c r="G949" s="8"/>
      <c r="H949" s="9"/>
      <c r="I949" s="9"/>
    </row>
    <row r="950">
      <c r="A950" s="21"/>
      <c r="C950" s="16"/>
      <c r="D950" s="6"/>
      <c r="E950" s="9"/>
      <c r="F950" s="16"/>
      <c r="G950" s="8"/>
      <c r="H950" s="9"/>
      <c r="I950" s="9"/>
    </row>
    <row r="951">
      <c r="A951" s="21"/>
      <c r="C951" s="16"/>
      <c r="D951" s="6"/>
      <c r="E951" s="9"/>
      <c r="F951" s="16"/>
      <c r="G951" s="8"/>
      <c r="H951" s="9"/>
      <c r="I951" s="9"/>
    </row>
    <row r="952">
      <c r="A952" s="21"/>
      <c r="C952" s="16"/>
      <c r="D952" s="6"/>
      <c r="E952" s="9"/>
      <c r="F952" s="16"/>
      <c r="G952" s="8"/>
      <c r="H952" s="9"/>
      <c r="I952" s="9"/>
    </row>
    <row r="953">
      <c r="A953" s="21"/>
      <c r="C953" s="16"/>
      <c r="D953" s="6"/>
      <c r="E953" s="9"/>
      <c r="F953" s="16"/>
      <c r="G953" s="8"/>
      <c r="H953" s="9"/>
      <c r="I953" s="9"/>
    </row>
    <row r="954">
      <c r="A954" s="21"/>
      <c r="C954" s="16"/>
      <c r="D954" s="6"/>
      <c r="E954" s="9"/>
      <c r="F954" s="16"/>
      <c r="G954" s="8"/>
      <c r="H954" s="9"/>
      <c r="I954" s="9"/>
    </row>
    <row r="955">
      <c r="A955" s="21"/>
      <c r="C955" s="16"/>
      <c r="D955" s="6"/>
      <c r="E955" s="9"/>
      <c r="F955" s="16"/>
      <c r="G955" s="8"/>
      <c r="H955" s="9"/>
      <c r="I955" s="9"/>
    </row>
    <row r="956">
      <c r="A956" s="21"/>
      <c r="C956" s="16"/>
      <c r="D956" s="6"/>
      <c r="E956" s="9"/>
      <c r="F956" s="16"/>
      <c r="G956" s="8"/>
      <c r="H956" s="9"/>
      <c r="I956" s="9"/>
    </row>
    <row r="957">
      <c r="A957" s="21"/>
      <c r="C957" s="16"/>
      <c r="D957" s="6"/>
      <c r="E957" s="9"/>
      <c r="F957" s="16"/>
      <c r="G957" s="8"/>
      <c r="H957" s="9"/>
      <c r="I957" s="9"/>
    </row>
    <row r="958">
      <c r="A958" s="21"/>
      <c r="C958" s="16"/>
      <c r="D958" s="6"/>
      <c r="E958" s="9"/>
      <c r="F958" s="16"/>
      <c r="G958" s="8"/>
      <c r="H958" s="9"/>
      <c r="I958" s="9"/>
    </row>
    <row r="959">
      <c r="A959" s="21"/>
      <c r="C959" s="16"/>
      <c r="D959" s="6"/>
      <c r="E959" s="9"/>
      <c r="F959" s="16"/>
      <c r="G959" s="8"/>
      <c r="H959" s="9"/>
      <c r="I959" s="9"/>
    </row>
    <row r="960">
      <c r="A960" s="21"/>
      <c r="C960" s="16"/>
      <c r="D960" s="6"/>
      <c r="E960" s="9"/>
      <c r="F960" s="16"/>
      <c r="G960" s="8"/>
      <c r="H960" s="9"/>
      <c r="I960" s="9"/>
    </row>
    <row r="961">
      <c r="A961" s="21"/>
      <c r="C961" s="16"/>
      <c r="D961" s="6"/>
      <c r="E961" s="9"/>
      <c r="F961" s="16"/>
      <c r="G961" s="8"/>
      <c r="H961" s="9"/>
      <c r="I961" s="9"/>
    </row>
    <row r="962">
      <c r="A962" s="21"/>
      <c r="C962" s="16"/>
      <c r="D962" s="6"/>
      <c r="E962" s="9"/>
      <c r="F962" s="16"/>
      <c r="G962" s="8"/>
      <c r="H962" s="9"/>
      <c r="I962" s="9"/>
    </row>
    <row r="963">
      <c r="A963" s="21"/>
      <c r="C963" s="16"/>
      <c r="D963" s="6"/>
      <c r="E963" s="9"/>
      <c r="F963" s="16"/>
      <c r="G963" s="8"/>
      <c r="H963" s="9"/>
      <c r="I963" s="9"/>
    </row>
    <row r="964">
      <c r="A964" s="21"/>
      <c r="C964" s="16"/>
      <c r="D964" s="6"/>
      <c r="E964" s="9"/>
      <c r="F964" s="16"/>
      <c r="G964" s="8"/>
      <c r="H964" s="9"/>
      <c r="I964" s="9"/>
    </row>
    <row r="965">
      <c r="A965" s="21"/>
      <c r="C965" s="16"/>
      <c r="D965" s="6"/>
      <c r="E965" s="9"/>
      <c r="F965" s="16"/>
      <c r="G965" s="8"/>
      <c r="H965" s="9"/>
      <c r="I965" s="9"/>
    </row>
    <row r="966">
      <c r="A966" s="21"/>
      <c r="C966" s="16"/>
      <c r="D966" s="6"/>
      <c r="E966" s="9"/>
      <c r="F966" s="16"/>
      <c r="G966" s="8"/>
      <c r="H966" s="9"/>
      <c r="I966" s="9"/>
    </row>
    <row r="967">
      <c r="A967" s="21"/>
      <c r="C967" s="16"/>
      <c r="D967" s="6"/>
      <c r="E967" s="9"/>
      <c r="F967" s="16"/>
      <c r="G967" s="8"/>
      <c r="H967" s="9"/>
      <c r="I967" s="9"/>
    </row>
    <row r="968">
      <c r="A968" s="21"/>
      <c r="C968" s="16"/>
      <c r="D968" s="6"/>
      <c r="E968" s="9"/>
      <c r="F968" s="16"/>
      <c r="G968" s="8"/>
      <c r="H968" s="9"/>
      <c r="I968" s="9"/>
    </row>
    <row r="969">
      <c r="A969" s="21"/>
      <c r="C969" s="16"/>
      <c r="D969" s="6"/>
      <c r="E969" s="9"/>
      <c r="F969" s="16"/>
      <c r="G969" s="8"/>
      <c r="H969" s="9"/>
      <c r="I969" s="9"/>
    </row>
    <row r="970">
      <c r="A970" s="21"/>
      <c r="C970" s="16"/>
      <c r="D970" s="6"/>
      <c r="E970" s="9"/>
      <c r="F970" s="16"/>
      <c r="G970" s="8"/>
      <c r="H970" s="9"/>
      <c r="I970" s="9"/>
    </row>
    <row r="971">
      <c r="A971" s="21"/>
      <c r="C971" s="16"/>
      <c r="D971" s="6"/>
      <c r="E971" s="9"/>
      <c r="F971" s="16"/>
      <c r="G971" s="8"/>
      <c r="H971" s="9"/>
      <c r="I971" s="9"/>
    </row>
    <row r="972">
      <c r="A972" s="21"/>
      <c r="C972" s="16"/>
      <c r="D972" s="6"/>
      <c r="E972" s="9"/>
      <c r="F972" s="16"/>
      <c r="G972" s="8"/>
      <c r="H972" s="9"/>
      <c r="I972" s="9"/>
    </row>
    <row r="973">
      <c r="A973" s="21"/>
      <c r="C973" s="16"/>
      <c r="D973" s="6"/>
      <c r="E973" s="9"/>
      <c r="F973" s="16"/>
      <c r="G973" s="8"/>
      <c r="H973" s="9"/>
      <c r="I973" s="9"/>
    </row>
    <row r="974">
      <c r="A974" s="21"/>
      <c r="C974" s="16"/>
      <c r="D974" s="6"/>
      <c r="E974" s="9"/>
      <c r="F974" s="16"/>
      <c r="G974" s="8"/>
      <c r="H974" s="9"/>
      <c r="I974" s="9"/>
    </row>
    <row r="975">
      <c r="A975" s="21"/>
      <c r="C975" s="16"/>
      <c r="D975" s="6"/>
      <c r="E975" s="9"/>
      <c r="F975" s="16"/>
      <c r="G975" s="8"/>
      <c r="H975" s="9"/>
      <c r="I975" s="9"/>
    </row>
    <row r="976">
      <c r="A976" s="21"/>
      <c r="C976" s="16"/>
      <c r="D976" s="6"/>
      <c r="E976" s="9"/>
      <c r="F976" s="16"/>
      <c r="G976" s="8"/>
      <c r="H976" s="9"/>
      <c r="I976" s="9"/>
    </row>
    <row r="977">
      <c r="A977" s="21"/>
      <c r="C977" s="16"/>
      <c r="D977" s="6"/>
      <c r="E977" s="9"/>
      <c r="F977" s="16"/>
      <c r="G977" s="8"/>
      <c r="H977" s="9"/>
      <c r="I977" s="9"/>
    </row>
    <row r="978">
      <c r="A978" s="21"/>
      <c r="C978" s="16"/>
      <c r="D978" s="6"/>
      <c r="E978" s="9"/>
      <c r="F978" s="16"/>
      <c r="G978" s="8"/>
      <c r="H978" s="9"/>
      <c r="I978" s="9"/>
    </row>
    <row r="979">
      <c r="A979" s="21"/>
      <c r="C979" s="16"/>
      <c r="D979" s="6"/>
      <c r="E979" s="9"/>
      <c r="F979" s="16"/>
      <c r="G979" s="8"/>
      <c r="H979" s="9"/>
      <c r="I979" s="9"/>
    </row>
    <row r="980">
      <c r="A980" s="21"/>
      <c r="C980" s="16"/>
      <c r="D980" s="6"/>
      <c r="E980" s="9"/>
      <c r="F980" s="16"/>
      <c r="G980" s="8"/>
      <c r="H980" s="9"/>
      <c r="I980" s="9"/>
    </row>
    <row r="981">
      <c r="A981" s="21"/>
      <c r="C981" s="16"/>
      <c r="D981" s="6"/>
      <c r="E981" s="9"/>
      <c r="F981" s="16"/>
      <c r="G981" s="8"/>
      <c r="H981" s="9"/>
      <c r="I981" s="9"/>
    </row>
    <row r="982">
      <c r="A982" s="21"/>
      <c r="C982" s="16"/>
      <c r="D982" s="6"/>
      <c r="E982" s="9"/>
      <c r="F982" s="16"/>
      <c r="G982" s="8"/>
      <c r="H982" s="9"/>
      <c r="I982" s="9"/>
    </row>
    <row r="983">
      <c r="A983" s="21"/>
      <c r="C983" s="16"/>
      <c r="D983" s="6"/>
      <c r="E983" s="9"/>
      <c r="F983" s="16"/>
      <c r="G983" s="8"/>
      <c r="H983" s="9"/>
      <c r="I983" s="9"/>
    </row>
    <row r="984">
      <c r="A984" s="21"/>
      <c r="C984" s="16"/>
      <c r="D984" s="6"/>
      <c r="E984" s="9"/>
      <c r="F984" s="16"/>
      <c r="G984" s="8"/>
      <c r="H984" s="9"/>
      <c r="I984" s="9"/>
    </row>
    <row r="985">
      <c r="A985" s="21"/>
      <c r="C985" s="16"/>
      <c r="D985" s="6"/>
      <c r="E985" s="9"/>
      <c r="F985" s="16"/>
      <c r="G985" s="8"/>
      <c r="H985" s="9"/>
      <c r="I985" s="9"/>
    </row>
    <row r="986">
      <c r="A986" s="21"/>
      <c r="C986" s="16"/>
      <c r="D986" s="6"/>
      <c r="E986" s="9"/>
      <c r="F986" s="16"/>
      <c r="G986" s="8"/>
      <c r="H986" s="9"/>
      <c r="I986" s="9"/>
    </row>
    <row r="987">
      <c r="A987" s="21"/>
      <c r="C987" s="16"/>
      <c r="D987" s="6"/>
      <c r="E987" s="9"/>
      <c r="F987" s="16"/>
      <c r="G987" s="8"/>
      <c r="H987" s="9"/>
      <c r="I987" s="9"/>
    </row>
    <row r="988">
      <c r="A988" s="21"/>
      <c r="C988" s="16"/>
      <c r="D988" s="6"/>
      <c r="E988" s="9"/>
      <c r="F988" s="16"/>
      <c r="G988" s="8"/>
      <c r="H988" s="9"/>
      <c r="I988" s="9"/>
    </row>
    <row r="989">
      <c r="A989" s="21"/>
      <c r="C989" s="16"/>
      <c r="D989" s="6"/>
      <c r="E989" s="9"/>
      <c r="F989" s="16"/>
      <c r="G989" s="8"/>
      <c r="H989" s="9"/>
      <c r="I989" s="9"/>
    </row>
    <row r="990">
      <c r="A990" s="21"/>
      <c r="C990" s="16"/>
      <c r="D990" s="6"/>
      <c r="E990" s="9"/>
      <c r="F990" s="16"/>
      <c r="G990" s="8"/>
      <c r="H990" s="9"/>
      <c r="I990" s="9"/>
    </row>
    <row r="991">
      <c r="A991" s="21"/>
      <c r="C991" s="16"/>
      <c r="D991" s="6"/>
      <c r="E991" s="9"/>
      <c r="F991" s="16"/>
      <c r="G991" s="8"/>
      <c r="H991" s="9"/>
      <c r="I991" s="9"/>
    </row>
    <row r="992">
      <c r="A992" s="21"/>
      <c r="C992" s="16"/>
      <c r="D992" s="6"/>
      <c r="E992" s="9"/>
      <c r="F992" s="16"/>
      <c r="G992" s="8"/>
      <c r="H992" s="9"/>
      <c r="I992" s="9"/>
    </row>
    <row r="993">
      <c r="A993" s="21"/>
      <c r="C993" s="16"/>
      <c r="D993" s="6"/>
      <c r="E993" s="9"/>
      <c r="F993" s="16"/>
      <c r="G993" s="8"/>
      <c r="H993" s="9"/>
      <c r="I993" s="9"/>
    </row>
    <row r="994">
      <c r="A994" s="21"/>
      <c r="C994" s="16"/>
      <c r="D994" s="6"/>
      <c r="E994" s="9"/>
      <c r="F994" s="16"/>
      <c r="G994" s="8"/>
      <c r="H994" s="9"/>
      <c r="I994" s="9"/>
    </row>
  </sheetData>
  <dataValidations>
    <dataValidation type="list" allowBlank="1" showErrorMessage="1" sqref="E2:E994">
      <formula1>"Aceptado,Carencia,En Valoración Médica,Exclusión,No asegurable"</formula1>
    </dataValidation>
    <dataValidation type="list" allowBlank="1" showErrorMessage="1" sqref="B2:B222">
      <formula1>"Héctor,Yésica,Jenifer,Rubén,Analía,Dani,Yaiza,Hugo,María,Sergio,Sandra,Chus,Vanesa,Ana,Carlos,Lucía,Indira,Jocelyn"</formula1>
    </dataValidation>
    <dataValidation type="list" allowBlank="1" sqref="D2:D6 D8:D994">
      <formula1>"Sistema Endocrino y Metabólico,Respiratoria,Digestiva, hernias, hepatitis y páncreas,Oncológica y transplantes,Psiquiátrica,Cardíaca,Neurología,Renal, Urológia o Ginecológica,Autoinmunes, reumatológicas, de la sangre, infecciosas o dermatológicas,Patologí"&amp;"a de oído, nariz, laringe y gargante,Oftalmología,Traumatología,Obesidad"</formula1>
    </dataValidation>
    <dataValidation type="list" allowBlank="1" sqref="D7">
      <formula1>"Sistema Endocrino y Metabólico,Respiratoria,Digestiva, hernias, hepatitis y páncreas,Oncológica y transplantes,Psiquiátrica,Cardíaca,Neurología,Renal, Urológia o Ginecológica,Autoinmunes, reumatológicas, de la sangre, infecciosas o dermatológicas,Patologí"&amp;"a de oído, nariz, laringe y gargante,Oftalmología,Traumatología,Obesidad"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75"/>
  <cols>
    <col customWidth="1" min="1" max="1" width="2.89"/>
    <col customWidth="1" min="2" max="2" width="63.67"/>
    <col customWidth="1" min="3" max="3" width="29.11"/>
    <col customWidth="1" min="4" max="4" width="16.22"/>
    <col customWidth="1" min="5" max="5" width="34.89"/>
    <col customWidth="1" min="6" max="6" width="20.11"/>
  </cols>
  <sheetData>
    <row r="1">
      <c r="A1" s="22"/>
      <c r="B1" s="23" t="s">
        <v>395</v>
      </c>
      <c r="F1" s="22"/>
      <c r="G1" s="22"/>
      <c r="H1" s="22"/>
      <c r="I1" s="22"/>
      <c r="J1" s="22"/>
      <c r="K1" s="22"/>
      <c r="L1" s="22"/>
      <c r="M1" s="22"/>
      <c r="N1" s="22"/>
      <c r="O1" s="22"/>
      <c r="P1" s="22"/>
      <c r="Q1" s="22"/>
      <c r="R1" s="22"/>
      <c r="S1" s="22"/>
      <c r="T1" s="22"/>
      <c r="U1" s="22"/>
      <c r="V1" s="22"/>
      <c r="W1" s="22"/>
      <c r="X1" s="22"/>
      <c r="Y1" s="22"/>
    </row>
    <row r="2">
      <c r="A2" s="22"/>
      <c r="B2" s="22"/>
      <c r="C2" s="22"/>
      <c r="D2" s="22"/>
      <c r="E2" s="22"/>
      <c r="F2" s="22"/>
      <c r="G2" s="22"/>
      <c r="H2" s="22"/>
      <c r="I2" s="22"/>
      <c r="J2" s="22"/>
      <c r="K2" s="22"/>
      <c r="L2" s="22"/>
      <c r="M2" s="22"/>
      <c r="N2" s="22"/>
      <c r="O2" s="22"/>
      <c r="P2" s="22"/>
      <c r="Q2" s="22"/>
      <c r="R2" s="22"/>
      <c r="S2" s="22"/>
      <c r="T2" s="22"/>
      <c r="U2" s="22"/>
      <c r="V2" s="22"/>
      <c r="W2" s="22"/>
      <c r="X2" s="22"/>
      <c r="Y2" s="22"/>
    </row>
    <row r="3" ht="32.25" customHeight="1">
      <c r="A3" s="22"/>
      <c r="B3" s="24" t="s">
        <v>396</v>
      </c>
      <c r="C3" s="25"/>
      <c r="D3" s="25"/>
      <c r="E3" s="26"/>
      <c r="F3" s="22"/>
      <c r="G3" s="22"/>
      <c r="H3" s="22"/>
      <c r="I3" s="22"/>
      <c r="J3" s="22"/>
      <c r="K3" s="22"/>
      <c r="L3" s="22"/>
      <c r="M3" s="22"/>
      <c r="N3" s="22"/>
      <c r="O3" s="22"/>
      <c r="P3" s="27" t="str">
        <f>PROPER(B3)</f>
        <v>Esclerosis</v>
      </c>
      <c r="Q3" s="22"/>
      <c r="R3" s="22"/>
      <c r="S3" s="22"/>
      <c r="T3" s="22"/>
      <c r="U3" s="22"/>
      <c r="V3" s="22"/>
      <c r="W3" s="22"/>
      <c r="X3" s="22"/>
      <c r="Y3" s="22"/>
    </row>
    <row r="4">
      <c r="A4" s="22"/>
      <c r="B4" s="22"/>
      <c r="C4" s="22"/>
      <c r="D4" s="22"/>
      <c r="E4" s="22"/>
      <c r="F4" s="22"/>
      <c r="G4" s="22"/>
      <c r="H4" s="22"/>
      <c r="I4" s="22"/>
      <c r="J4" s="22"/>
      <c r="K4" s="22"/>
      <c r="L4" s="22"/>
      <c r="M4" s="22"/>
      <c r="N4" s="22"/>
      <c r="O4" s="22"/>
      <c r="P4" s="22"/>
      <c r="Q4" s="22"/>
      <c r="R4" s="22"/>
      <c r="S4" s="22"/>
      <c r="T4" s="22"/>
      <c r="U4" s="22"/>
      <c r="V4" s="22"/>
      <c r="W4" s="22"/>
      <c r="X4" s="22"/>
      <c r="Y4" s="22"/>
    </row>
    <row r="5">
      <c r="A5" s="22"/>
      <c r="G5" s="22"/>
      <c r="H5" s="22"/>
      <c r="I5" s="22"/>
      <c r="J5" s="22"/>
      <c r="K5" s="22"/>
      <c r="L5" s="22"/>
      <c r="M5" s="22"/>
      <c r="N5" s="22"/>
      <c r="O5" s="22"/>
      <c r="P5" s="22"/>
      <c r="Q5" s="22"/>
      <c r="R5" s="22"/>
      <c r="S5" s="22"/>
      <c r="T5" s="22"/>
      <c r="U5" s="22"/>
      <c r="V5" s="22"/>
      <c r="W5" s="22"/>
      <c r="X5" s="22"/>
      <c r="Y5" s="22"/>
    </row>
    <row r="6">
      <c r="A6" s="22"/>
      <c r="G6" s="22"/>
      <c r="H6" s="22"/>
      <c r="I6" s="22"/>
      <c r="J6" s="22"/>
      <c r="K6" s="22"/>
      <c r="L6" s="22"/>
      <c r="M6" s="22"/>
      <c r="N6" s="22"/>
      <c r="O6" s="22"/>
      <c r="P6" s="22"/>
      <c r="Q6" s="22"/>
      <c r="R6" s="22"/>
      <c r="S6" s="22"/>
      <c r="T6" s="22"/>
      <c r="U6" s="22"/>
      <c r="V6" s="22"/>
      <c r="W6" s="22"/>
      <c r="X6" s="22"/>
      <c r="Y6" s="22"/>
    </row>
    <row r="7">
      <c r="A7" s="22"/>
      <c r="G7" s="22"/>
      <c r="H7" s="22"/>
      <c r="I7" s="22"/>
      <c r="J7" s="22"/>
      <c r="K7" s="22"/>
      <c r="L7" s="22"/>
      <c r="M7" s="22"/>
      <c r="N7" s="22"/>
      <c r="O7" s="22"/>
      <c r="P7" s="22"/>
      <c r="Q7" s="22"/>
      <c r="R7" s="22"/>
      <c r="S7" s="22"/>
      <c r="T7" s="22"/>
      <c r="U7" s="22"/>
      <c r="V7" s="22"/>
      <c r="W7" s="22"/>
      <c r="X7" s="22"/>
      <c r="Y7" s="22"/>
    </row>
    <row r="8">
      <c r="A8" s="22"/>
      <c r="G8" s="22"/>
      <c r="H8" s="22"/>
      <c r="I8" s="22"/>
      <c r="J8" s="22"/>
      <c r="K8" s="22"/>
      <c r="L8" s="22"/>
      <c r="M8" s="22"/>
      <c r="N8" s="22"/>
      <c r="O8" s="22"/>
      <c r="P8" s="22"/>
      <c r="Q8" s="22"/>
      <c r="R8" s="22"/>
      <c r="S8" s="22"/>
      <c r="T8" s="22"/>
      <c r="U8" s="22"/>
      <c r="V8" s="22"/>
      <c r="W8" s="22"/>
      <c r="X8" s="22"/>
      <c r="Y8" s="22"/>
    </row>
    <row r="9">
      <c r="A9" s="22"/>
      <c r="B9" s="22"/>
      <c r="C9" s="22"/>
      <c r="D9" s="22"/>
      <c r="E9" s="22"/>
      <c r="F9" s="22"/>
      <c r="G9" s="22"/>
      <c r="H9" s="22"/>
      <c r="I9" s="22"/>
      <c r="J9" s="22"/>
      <c r="K9" s="22"/>
      <c r="L9" s="22"/>
      <c r="M9" s="22"/>
      <c r="N9" s="22"/>
      <c r="O9" s="22"/>
      <c r="P9" s="22"/>
      <c r="Q9" s="22"/>
      <c r="R9" s="22"/>
      <c r="S9" s="22"/>
      <c r="T9" s="22"/>
      <c r="U9" s="22"/>
      <c r="V9" s="22"/>
      <c r="W9" s="22"/>
      <c r="X9" s="22"/>
      <c r="Y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sheetData>
  <mergeCells count="2">
    <mergeCell ref="B1:E1"/>
    <mergeCell ref="B3:E3"/>
  </mergeCell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sheetData>
    <row r="1">
      <c r="A1" s="28" t="s">
        <v>0</v>
      </c>
      <c r="B1" s="29" t="s">
        <v>1</v>
      </c>
      <c r="C1" s="29" t="s">
        <v>2</v>
      </c>
      <c r="D1" s="29" t="s">
        <v>3</v>
      </c>
      <c r="E1" s="29" t="s">
        <v>4</v>
      </c>
      <c r="F1" s="29" t="s">
        <v>5</v>
      </c>
      <c r="G1" s="30" t="s">
        <v>6</v>
      </c>
    </row>
    <row r="2">
      <c r="A2" s="31">
        <v>45352.0</v>
      </c>
      <c r="B2" s="32" t="s">
        <v>41</v>
      </c>
      <c r="C2" s="32" t="s">
        <v>55</v>
      </c>
      <c r="D2" s="32" t="s">
        <v>56</v>
      </c>
      <c r="E2" s="32" t="s">
        <v>16</v>
      </c>
      <c r="F2" s="32" t="s">
        <v>57</v>
      </c>
      <c r="G2" s="33">
        <v>1.0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75"/>
  <cols>
    <col customWidth="1" min="1" max="1" width="24.44"/>
    <col customWidth="1" min="2" max="6" width="15.67"/>
    <col customWidth="1" min="7" max="7" width="7.44"/>
    <col customWidth="1" min="8" max="8" width="7.78"/>
    <col customWidth="1" hidden="1" min="9" max="9" width="17.67"/>
    <col customWidth="1" min="10" max="26" width="7.78"/>
  </cols>
  <sheetData>
    <row r="1" ht="15.0" customHeight="1">
      <c r="A1" s="34" t="s">
        <v>397</v>
      </c>
      <c r="B1" s="34"/>
      <c r="C1" s="34"/>
      <c r="D1" s="34"/>
      <c r="E1" s="34"/>
      <c r="F1" s="35">
        <v>41451.0</v>
      </c>
      <c r="G1" s="36"/>
    </row>
    <row r="2" ht="31.5" customHeight="1">
      <c r="A2" s="37" t="s">
        <v>398</v>
      </c>
      <c r="B2" s="38" t="s">
        <v>399</v>
      </c>
      <c r="C2" s="38" t="s">
        <v>400</v>
      </c>
      <c r="D2" s="38" t="s">
        <v>401</v>
      </c>
      <c r="E2" s="39" t="s">
        <v>402</v>
      </c>
      <c r="F2" s="40" t="s">
        <v>403</v>
      </c>
      <c r="G2" s="41"/>
      <c r="H2" s="16"/>
      <c r="I2" s="42"/>
      <c r="J2" s="16"/>
      <c r="K2" s="16"/>
      <c r="L2" s="16"/>
      <c r="M2" s="16"/>
      <c r="N2" s="16"/>
      <c r="O2" s="16"/>
      <c r="P2" s="16"/>
      <c r="Q2" s="16"/>
      <c r="R2" s="16"/>
      <c r="S2" s="16"/>
      <c r="T2" s="16"/>
      <c r="U2" s="16"/>
      <c r="V2" s="16"/>
      <c r="W2" s="16"/>
      <c r="X2" s="16"/>
      <c r="Y2" s="16"/>
      <c r="Z2" s="16"/>
    </row>
    <row r="3" ht="15.0" customHeight="1">
      <c r="A3" s="43" t="s">
        <v>404</v>
      </c>
      <c r="B3" s="44"/>
      <c r="C3" s="44"/>
      <c r="D3" s="44"/>
      <c r="E3" s="45" t="s">
        <v>405</v>
      </c>
      <c r="F3" s="44"/>
      <c r="G3" s="36"/>
      <c r="I3" s="46"/>
    </row>
    <row r="4" ht="15.0" customHeight="1">
      <c r="A4" s="47" t="s">
        <v>406</v>
      </c>
      <c r="B4" s="48"/>
      <c r="C4" s="49"/>
      <c r="D4" s="49" t="s">
        <v>407</v>
      </c>
      <c r="E4" s="49"/>
      <c r="F4" s="50"/>
      <c r="G4" s="36"/>
      <c r="I4" s="48"/>
    </row>
    <row r="5" ht="21.0" customHeight="1">
      <c r="A5" s="47" t="s">
        <v>408</v>
      </c>
      <c r="B5" s="48"/>
      <c r="C5" s="51" t="s">
        <v>409</v>
      </c>
      <c r="D5" s="48"/>
      <c r="E5" s="52"/>
      <c r="F5" s="50" t="s">
        <v>410</v>
      </c>
      <c r="G5" s="36"/>
      <c r="I5" s="48"/>
    </row>
    <row r="6" ht="24.0" customHeight="1">
      <c r="A6" s="53" t="s">
        <v>411</v>
      </c>
      <c r="B6" s="54"/>
      <c r="C6" s="55"/>
      <c r="D6" s="49" t="s">
        <v>412</v>
      </c>
      <c r="E6" s="56"/>
      <c r="F6" s="48"/>
      <c r="G6" s="36"/>
      <c r="I6" s="48"/>
    </row>
    <row r="7" ht="3.0" hidden="1" customHeight="1">
      <c r="A7" s="57"/>
      <c r="B7" s="58"/>
      <c r="C7" s="58"/>
      <c r="D7" s="49" t="s">
        <v>413</v>
      </c>
      <c r="E7" s="59"/>
      <c r="F7" s="48"/>
      <c r="G7" s="36"/>
      <c r="I7" s="48"/>
    </row>
    <row r="8" ht="15.75" hidden="1" customHeight="1">
      <c r="A8" s="60"/>
      <c r="B8" s="61"/>
      <c r="C8" s="61"/>
      <c r="D8" s="49" t="s">
        <v>414</v>
      </c>
      <c r="E8" s="62"/>
      <c r="F8" s="48"/>
      <c r="G8" s="36"/>
      <c r="I8" s="48"/>
    </row>
    <row r="9" ht="15.0" customHeight="1">
      <c r="A9" s="53" t="s">
        <v>415</v>
      </c>
      <c r="B9" s="48"/>
      <c r="C9" s="48"/>
      <c r="D9" s="49" t="s">
        <v>416</v>
      </c>
      <c r="E9" s="48"/>
      <c r="F9" s="48"/>
      <c r="G9" s="36"/>
      <c r="I9" s="48"/>
    </row>
    <row r="10" ht="15.0" customHeight="1">
      <c r="A10" s="53" t="s">
        <v>417</v>
      </c>
      <c r="B10" s="48"/>
      <c r="C10" s="48"/>
      <c r="D10" s="49" t="s">
        <v>418</v>
      </c>
      <c r="E10" s="48"/>
      <c r="F10" s="48"/>
      <c r="G10" s="36"/>
      <c r="I10" s="48"/>
    </row>
    <row r="11" ht="15.0" customHeight="1">
      <c r="A11" s="43" t="s">
        <v>419</v>
      </c>
      <c r="B11" s="45" t="s">
        <v>420</v>
      </c>
      <c r="C11" s="44"/>
      <c r="D11" s="44"/>
      <c r="E11" s="45"/>
      <c r="F11" s="44"/>
      <c r="G11" s="36"/>
      <c r="I11" s="63"/>
    </row>
    <row r="12" ht="30.75" customHeight="1">
      <c r="A12" s="43" t="s">
        <v>421</v>
      </c>
      <c r="B12" s="44"/>
      <c r="C12" s="44"/>
      <c r="D12" s="44"/>
      <c r="E12" s="45" t="s">
        <v>422</v>
      </c>
      <c r="F12" s="64" t="s">
        <v>423</v>
      </c>
      <c r="G12" s="36"/>
      <c r="I12" s="46"/>
    </row>
    <row r="13" ht="15.0" customHeight="1">
      <c r="F13" s="65"/>
      <c r="G13" s="36"/>
      <c r="I13" s="36"/>
    </row>
    <row r="14" ht="32.25" customHeight="1">
      <c r="A14" s="37" t="s">
        <v>424</v>
      </c>
      <c r="B14" s="38" t="s">
        <v>399</v>
      </c>
      <c r="C14" s="38" t="s">
        <v>400</v>
      </c>
      <c r="D14" s="38" t="s">
        <v>401</v>
      </c>
      <c r="E14" s="38" t="s">
        <v>425</v>
      </c>
      <c r="F14" s="66" t="s">
        <v>426</v>
      </c>
      <c r="G14" s="36"/>
      <c r="I14" s="42"/>
    </row>
    <row r="15" ht="15.0" customHeight="1">
      <c r="A15" s="43" t="s">
        <v>427</v>
      </c>
      <c r="B15" s="44"/>
      <c r="C15" s="44"/>
      <c r="D15" s="49" t="s">
        <v>428</v>
      </c>
      <c r="E15" s="45"/>
      <c r="F15" s="44"/>
      <c r="G15" s="36"/>
      <c r="I15" s="67"/>
    </row>
    <row r="16" ht="15.0" customHeight="1">
      <c r="A16" s="43" t="s">
        <v>429</v>
      </c>
      <c r="B16" s="44"/>
      <c r="C16" s="44"/>
      <c r="D16" s="48"/>
      <c r="E16" s="68" t="s">
        <v>430</v>
      </c>
      <c r="F16" s="44"/>
      <c r="G16" s="36"/>
      <c r="I16" s="46"/>
    </row>
    <row r="17" ht="25.5" customHeight="1">
      <c r="A17" s="43" t="s">
        <v>431</v>
      </c>
      <c r="B17" s="44"/>
      <c r="C17" s="44"/>
      <c r="D17" s="48"/>
      <c r="E17" s="68" t="s">
        <v>432</v>
      </c>
      <c r="F17" s="44"/>
      <c r="G17" s="36"/>
      <c r="I17" s="46"/>
    </row>
    <row r="18" ht="15.0" customHeight="1">
      <c r="A18" s="47" t="s">
        <v>433</v>
      </c>
      <c r="B18" s="48"/>
      <c r="C18" s="48"/>
      <c r="D18" s="49" t="s">
        <v>434</v>
      </c>
      <c r="E18" s="69"/>
      <c r="F18" s="48"/>
      <c r="G18" s="36"/>
      <c r="I18" s="63"/>
    </row>
    <row r="19" ht="15.0" customHeight="1">
      <c r="A19" s="43" t="s">
        <v>435</v>
      </c>
      <c r="B19" s="44"/>
      <c r="C19" s="44"/>
      <c r="D19" s="48"/>
      <c r="E19" s="68" t="s">
        <v>436</v>
      </c>
      <c r="F19" s="44"/>
      <c r="G19" s="36"/>
      <c r="I19" s="46"/>
    </row>
    <row r="20" ht="15.0" customHeight="1">
      <c r="A20" s="43" t="s">
        <v>437</v>
      </c>
      <c r="B20" s="44"/>
      <c r="C20" s="44"/>
      <c r="D20" s="49" t="s">
        <v>438</v>
      </c>
      <c r="E20" s="68"/>
      <c r="F20" s="44"/>
      <c r="G20" s="36"/>
      <c r="I20" s="67"/>
    </row>
    <row r="21" ht="15.0" customHeight="1">
      <c r="A21" s="43" t="s">
        <v>439</v>
      </c>
      <c r="B21" s="44"/>
      <c r="C21" s="70"/>
      <c r="D21" s="48"/>
      <c r="E21" s="68" t="s">
        <v>440</v>
      </c>
      <c r="F21" s="44"/>
      <c r="G21" s="36"/>
      <c r="I21" s="46"/>
    </row>
    <row r="22" ht="25.5" customHeight="1">
      <c r="A22" s="43" t="s">
        <v>441</v>
      </c>
      <c r="B22" s="44"/>
      <c r="C22" s="68"/>
      <c r="D22" s="48"/>
      <c r="E22" s="68" t="s">
        <v>442</v>
      </c>
      <c r="F22" s="64"/>
      <c r="G22" s="36"/>
      <c r="I22" s="46"/>
    </row>
    <row r="23" ht="15.0" customHeight="1">
      <c r="A23" s="43" t="s">
        <v>443</v>
      </c>
      <c r="B23" s="44"/>
      <c r="C23" s="44"/>
      <c r="D23" s="49" t="s">
        <v>444</v>
      </c>
      <c r="E23" s="68"/>
      <c r="F23" s="44"/>
      <c r="G23" s="36"/>
      <c r="I23" s="67"/>
    </row>
    <row r="24" ht="15.0" customHeight="1">
      <c r="A24" s="43" t="s">
        <v>445</v>
      </c>
      <c r="B24" s="44"/>
      <c r="C24" s="44"/>
      <c r="D24" s="48"/>
      <c r="E24" s="68" t="s">
        <v>446</v>
      </c>
      <c r="F24" s="44"/>
      <c r="G24" s="36"/>
      <c r="I24" s="46"/>
    </row>
    <row r="25" ht="15.0" customHeight="1">
      <c r="A25" s="43" t="s">
        <v>447</v>
      </c>
      <c r="B25" s="44"/>
      <c r="C25" s="68" t="s">
        <v>448</v>
      </c>
      <c r="D25" s="44"/>
      <c r="E25" s="44"/>
      <c r="F25" s="64" t="s">
        <v>449</v>
      </c>
      <c r="G25" s="36"/>
      <c r="I25" s="46"/>
    </row>
    <row r="26" ht="15.0" customHeight="1">
      <c r="G26" s="36"/>
      <c r="I26" s="36"/>
    </row>
    <row r="27" ht="31.5" customHeight="1">
      <c r="A27" s="71" t="s">
        <v>450</v>
      </c>
      <c r="B27" s="38" t="s">
        <v>399</v>
      </c>
      <c r="C27" s="38" t="s">
        <v>400</v>
      </c>
      <c r="D27" s="38" t="s">
        <v>401</v>
      </c>
      <c r="E27" s="38" t="s">
        <v>425</v>
      </c>
      <c r="F27" s="66" t="s">
        <v>451</v>
      </c>
      <c r="G27" s="36"/>
      <c r="I27" s="42"/>
    </row>
    <row r="28" ht="25.5" customHeight="1">
      <c r="A28" s="47" t="s">
        <v>452</v>
      </c>
      <c r="B28" s="48"/>
      <c r="C28" s="49"/>
      <c r="D28" s="49" t="s">
        <v>453</v>
      </c>
      <c r="E28" s="68"/>
      <c r="F28" s="44"/>
      <c r="G28" s="36"/>
      <c r="I28" s="67"/>
    </row>
    <row r="29" ht="15.0" customHeight="1">
      <c r="A29" s="47" t="s">
        <v>454</v>
      </c>
      <c r="B29" s="48"/>
      <c r="C29" s="49"/>
      <c r="D29" s="49" t="s">
        <v>455</v>
      </c>
      <c r="E29" s="68"/>
      <c r="F29" s="44"/>
      <c r="G29" s="36"/>
      <c r="I29" s="67"/>
    </row>
    <row r="30" ht="15.0" customHeight="1">
      <c r="A30" s="47" t="s">
        <v>456</v>
      </c>
      <c r="B30" s="48"/>
      <c r="C30" s="49"/>
      <c r="D30" s="48"/>
      <c r="E30" s="68" t="s">
        <v>457</v>
      </c>
      <c r="F30" s="44"/>
      <c r="G30" s="36"/>
      <c r="I30" s="46"/>
    </row>
    <row r="31" ht="15.0" customHeight="1">
      <c r="A31" s="47" t="s">
        <v>458</v>
      </c>
      <c r="B31" s="48"/>
      <c r="C31" s="49"/>
      <c r="D31" s="49" t="s">
        <v>459</v>
      </c>
      <c r="E31" s="68"/>
      <c r="F31" s="44"/>
      <c r="G31" s="36"/>
      <c r="I31" s="67"/>
    </row>
    <row r="32" ht="15.0" customHeight="1">
      <c r="A32" s="47" t="s">
        <v>460</v>
      </c>
      <c r="B32" s="48"/>
      <c r="C32" s="48"/>
      <c r="D32" s="49" t="s">
        <v>461</v>
      </c>
      <c r="E32" s="68"/>
      <c r="F32" s="44"/>
      <c r="G32" s="36"/>
      <c r="I32" s="67"/>
    </row>
    <row r="33" ht="15.0" customHeight="1">
      <c r="A33" s="47" t="s">
        <v>462</v>
      </c>
      <c r="B33" s="48"/>
      <c r="C33" s="48"/>
      <c r="D33" s="49" t="s">
        <v>463</v>
      </c>
      <c r="E33" s="68"/>
      <c r="F33" s="44"/>
      <c r="G33" s="36"/>
      <c r="I33" s="67"/>
    </row>
    <row r="34" ht="15.0" customHeight="1">
      <c r="A34" s="47" t="s">
        <v>464</v>
      </c>
      <c r="B34" s="48"/>
      <c r="C34" s="48"/>
      <c r="D34" s="48"/>
      <c r="E34" s="68" t="s">
        <v>465</v>
      </c>
      <c r="F34" s="44"/>
      <c r="G34" s="36"/>
      <c r="I34" s="72"/>
    </row>
    <row r="35" ht="19.5" customHeight="1">
      <c r="A35" s="47" t="s">
        <v>466</v>
      </c>
      <c r="B35" s="48"/>
      <c r="C35" s="48"/>
      <c r="D35" s="49" t="s">
        <v>467</v>
      </c>
      <c r="E35" s="68"/>
      <c r="F35" s="44"/>
      <c r="G35" s="36"/>
      <c r="I35" s="67"/>
    </row>
    <row r="36" ht="18.0" customHeight="1">
      <c r="A36" s="47" t="s">
        <v>468</v>
      </c>
      <c r="B36" s="48"/>
      <c r="C36" s="49"/>
      <c r="D36" s="49" t="s">
        <v>469</v>
      </c>
      <c r="E36" s="44"/>
      <c r="F36" s="73"/>
      <c r="G36" s="36"/>
      <c r="I36" s="67"/>
    </row>
    <row r="37" ht="15.0" customHeight="1">
      <c r="A37" s="47" t="s">
        <v>470</v>
      </c>
      <c r="B37" s="48"/>
      <c r="C37" s="48"/>
      <c r="D37" s="48"/>
      <c r="E37" s="68" t="s">
        <v>471</v>
      </c>
      <c r="F37" s="44"/>
      <c r="G37" s="36"/>
      <c r="I37" s="46"/>
    </row>
    <row r="38" ht="15.0" customHeight="1">
      <c r="A38" s="47" t="s">
        <v>472</v>
      </c>
      <c r="B38" s="48"/>
      <c r="C38" s="49"/>
      <c r="D38" s="48"/>
      <c r="E38" s="68" t="s">
        <v>473</v>
      </c>
      <c r="F38" s="64"/>
      <c r="G38" s="36"/>
      <c r="I38" s="46"/>
    </row>
    <row r="39" ht="15.0" customHeight="1">
      <c r="A39" s="47" t="s">
        <v>474</v>
      </c>
      <c r="B39" s="48"/>
      <c r="C39" s="49" t="s">
        <v>475</v>
      </c>
      <c r="D39" s="48"/>
      <c r="E39" s="74"/>
      <c r="F39" s="44"/>
      <c r="G39" s="36"/>
      <c r="I39" s="46"/>
    </row>
    <row r="40" ht="15.0" customHeight="1">
      <c r="A40" s="47" t="s">
        <v>476</v>
      </c>
      <c r="B40" s="48"/>
      <c r="C40" s="48"/>
      <c r="D40" s="49" t="s">
        <v>477</v>
      </c>
      <c r="E40" s="68"/>
      <c r="F40" s="44"/>
      <c r="G40" s="36"/>
      <c r="I40" s="67"/>
    </row>
    <row r="41" ht="15.0" customHeight="1">
      <c r="A41" s="47" t="s">
        <v>478</v>
      </c>
      <c r="B41" s="48"/>
      <c r="C41" s="48"/>
      <c r="D41" s="48"/>
      <c r="E41" s="68" t="s">
        <v>479</v>
      </c>
      <c r="F41" s="44"/>
      <c r="G41" s="36"/>
      <c r="I41" s="67"/>
    </row>
    <row r="42" ht="15.0" customHeight="1">
      <c r="A42" s="47" t="s">
        <v>480</v>
      </c>
      <c r="B42" s="48"/>
      <c r="C42" s="48"/>
      <c r="D42" s="49" t="s">
        <v>481</v>
      </c>
      <c r="E42" s="68"/>
      <c r="F42" s="44"/>
      <c r="G42" s="36"/>
      <c r="I42" s="67"/>
    </row>
    <row r="43" ht="27.0" customHeight="1">
      <c r="A43" s="75" t="s">
        <v>482</v>
      </c>
      <c r="B43" s="48"/>
      <c r="C43" s="49"/>
      <c r="D43" s="49" t="s">
        <v>483</v>
      </c>
      <c r="E43" s="44"/>
      <c r="F43" s="44"/>
      <c r="G43" s="36"/>
      <c r="I43" s="67"/>
    </row>
    <row r="44" ht="15.0" customHeight="1">
      <c r="A44" s="47" t="s">
        <v>484</v>
      </c>
      <c r="B44" s="48"/>
      <c r="C44" s="48"/>
      <c r="D44" s="48"/>
      <c r="E44" s="68" t="s">
        <v>485</v>
      </c>
      <c r="F44" s="44"/>
      <c r="G44" s="36"/>
      <c r="I44" s="46"/>
    </row>
    <row r="45" ht="25.5" customHeight="1">
      <c r="A45" s="47" t="s">
        <v>486</v>
      </c>
      <c r="B45" s="48"/>
      <c r="C45" s="49" t="s">
        <v>487</v>
      </c>
      <c r="D45" s="49"/>
      <c r="E45" s="44"/>
      <c r="F45" s="64" t="s">
        <v>449</v>
      </c>
      <c r="G45" s="36"/>
      <c r="I45" s="46"/>
    </row>
    <row r="46" ht="38.25" customHeight="1">
      <c r="A46" s="47" t="s">
        <v>488</v>
      </c>
      <c r="B46" s="48"/>
      <c r="C46" s="48"/>
      <c r="D46" s="48"/>
      <c r="E46" s="68" t="s">
        <v>489</v>
      </c>
      <c r="F46" s="73"/>
      <c r="G46" s="36"/>
      <c r="I46" s="46"/>
    </row>
    <row r="47" ht="15.0" customHeight="1">
      <c r="A47" s="47" t="s">
        <v>490</v>
      </c>
      <c r="B47" s="48"/>
      <c r="C47" s="48"/>
      <c r="D47" s="48"/>
      <c r="E47" s="68" t="s">
        <v>491</v>
      </c>
      <c r="F47" s="44"/>
      <c r="G47" s="36"/>
      <c r="I47" s="46"/>
    </row>
    <row r="48" ht="15.0" customHeight="1">
      <c r="G48" s="36"/>
      <c r="I48" s="36"/>
    </row>
    <row r="49" ht="31.5" customHeight="1">
      <c r="A49" s="37" t="s">
        <v>492</v>
      </c>
      <c r="B49" s="38" t="s">
        <v>399</v>
      </c>
      <c r="C49" s="38" t="s">
        <v>400</v>
      </c>
      <c r="D49" s="38" t="s">
        <v>401</v>
      </c>
      <c r="E49" s="38" t="s">
        <v>425</v>
      </c>
      <c r="F49" s="66" t="s">
        <v>493</v>
      </c>
      <c r="G49" s="36"/>
      <c r="I49" s="42"/>
    </row>
    <row r="50" ht="27.0" customHeight="1">
      <c r="A50" s="76" t="s">
        <v>494</v>
      </c>
      <c r="B50" s="44"/>
      <c r="C50" s="44"/>
      <c r="D50" s="44"/>
      <c r="E50" s="68" t="s">
        <v>495</v>
      </c>
      <c r="F50" s="44"/>
      <c r="G50" s="36"/>
      <c r="I50" s="46"/>
    </row>
    <row r="51" ht="27.0" customHeight="1">
      <c r="A51" s="76" t="s">
        <v>496</v>
      </c>
      <c r="B51" s="44"/>
      <c r="C51" s="44"/>
      <c r="D51" s="44"/>
      <c r="E51" s="68" t="s">
        <v>497</v>
      </c>
      <c r="F51" s="44"/>
      <c r="G51" s="36"/>
      <c r="I51" s="46"/>
    </row>
    <row r="52" ht="27.0" customHeight="1">
      <c r="A52" s="76" t="s">
        <v>498</v>
      </c>
      <c r="B52" s="44"/>
      <c r="C52" s="44"/>
      <c r="D52" s="44"/>
      <c r="E52" s="68" t="s">
        <v>499</v>
      </c>
      <c r="F52" s="44"/>
      <c r="G52" s="36"/>
      <c r="I52" s="46"/>
    </row>
    <row r="53" ht="27.0" customHeight="1">
      <c r="A53" s="76" t="s">
        <v>500</v>
      </c>
      <c r="B53" s="44"/>
      <c r="C53" s="44"/>
      <c r="D53" s="44"/>
      <c r="E53" s="68" t="s">
        <v>501</v>
      </c>
      <c r="F53" s="44"/>
      <c r="G53" s="36"/>
      <c r="I53" s="46"/>
    </row>
    <row r="54" ht="15.0" customHeight="1">
      <c r="A54" s="76" t="s">
        <v>502</v>
      </c>
      <c r="B54" s="44"/>
      <c r="C54" s="44"/>
      <c r="D54" s="44"/>
      <c r="E54" s="68" t="s">
        <v>503</v>
      </c>
      <c r="F54" s="44"/>
      <c r="G54" s="36"/>
      <c r="I54" s="46"/>
    </row>
    <row r="55" ht="24.0" customHeight="1">
      <c r="A55" s="76" t="s">
        <v>504</v>
      </c>
      <c r="B55" s="44"/>
      <c r="C55" s="68" t="s">
        <v>505</v>
      </c>
      <c r="D55" s="44"/>
      <c r="E55" s="68"/>
      <c r="F55" s="44"/>
      <c r="G55" s="36"/>
      <c r="I55" s="46"/>
    </row>
    <row r="56" ht="15.0" customHeight="1">
      <c r="A56" s="76" t="s">
        <v>506</v>
      </c>
      <c r="B56" s="44"/>
      <c r="C56" s="68" t="s">
        <v>507</v>
      </c>
      <c r="D56" s="44"/>
      <c r="E56" s="44"/>
      <c r="F56" s="44"/>
      <c r="G56" s="36"/>
      <c r="I56" s="46"/>
    </row>
    <row r="57" ht="36.75" customHeight="1">
      <c r="A57" s="76" t="s">
        <v>508</v>
      </c>
      <c r="B57" s="44"/>
      <c r="C57" s="44"/>
      <c r="D57" s="44"/>
      <c r="E57" s="68" t="s">
        <v>509</v>
      </c>
      <c r="F57" s="44"/>
      <c r="G57" s="36"/>
      <c r="I57" s="46"/>
    </row>
    <row r="58" ht="15.0" customHeight="1">
      <c r="A58" s="76" t="s">
        <v>510</v>
      </c>
      <c r="B58" s="44"/>
      <c r="C58" s="44"/>
      <c r="D58" s="44"/>
      <c r="E58" s="68" t="s">
        <v>511</v>
      </c>
      <c r="F58" s="44"/>
      <c r="G58" s="36"/>
      <c r="I58" s="46"/>
    </row>
    <row r="59" ht="51.0" customHeight="1">
      <c r="A59" s="77" t="s">
        <v>512</v>
      </c>
      <c r="B59" s="55"/>
      <c r="C59" s="54" t="s">
        <v>513</v>
      </c>
      <c r="D59" s="55"/>
      <c r="E59" s="54"/>
      <c r="F59" s="50" t="s">
        <v>514</v>
      </c>
      <c r="G59" s="36"/>
      <c r="I59" s="67"/>
    </row>
    <row r="60" ht="51.0" customHeight="1">
      <c r="A60" s="77" t="s">
        <v>515</v>
      </c>
      <c r="B60" s="55"/>
      <c r="C60" s="54" t="s">
        <v>516</v>
      </c>
      <c r="D60" s="55"/>
      <c r="E60" s="55"/>
      <c r="F60" s="50" t="s">
        <v>514</v>
      </c>
      <c r="G60" s="36"/>
      <c r="I60" s="67"/>
    </row>
    <row r="61" ht="51.0" customHeight="1">
      <c r="A61" s="78" t="s">
        <v>517</v>
      </c>
      <c r="B61" s="55"/>
      <c r="C61" s="54" t="s">
        <v>518</v>
      </c>
      <c r="D61" s="55"/>
      <c r="E61" s="55"/>
      <c r="F61" s="50" t="s">
        <v>514</v>
      </c>
      <c r="G61" s="36"/>
      <c r="I61" s="67"/>
    </row>
    <row r="62" ht="27.0" customHeight="1">
      <c r="A62" s="78" t="s">
        <v>519</v>
      </c>
      <c r="B62" s="55"/>
      <c r="C62" s="54" t="s">
        <v>520</v>
      </c>
      <c r="D62" s="55"/>
      <c r="E62" s="55"/>
      <c r="F62" s="48"/>
      <c r="G62" s="36"/>
      <c r="I62" s="72"/>
    </row>
    <row r="63" ht="27.0" customHeight="1">
      <c r="A63" s="78" t="s">
        <v>521</v>
      </c>
      <c r="B63" s="54" t="s">
        <v>522</v>
      </c>
      <c r="C63" s="54"/>
      <c r="D63" s="55"/>
      <c r="E63" s="55"/>
      <c r="F63" s="48"/>
      <c r="G63" s="36"/>
      <c r="I63" s="72"/>
    </row>
    <row r="64" ht="15.0" customHeight="1">
      <c r="A64" s="75" t="s">
        <v>523</v>
      </c>
      <c r="B64" s="48"/>
      <c r="C64" s="49" t="s">
        <v>524</v>
      </c>
      <c r="D64" s="48"/>
      <c r="E64" s="48"/>
      <c r="F64" s="48"/>
      <c r="G64" s="36"/>
      <c r="I64" s="72"/>
    </row>
    <row r="65" ht="15.0" customHeight="1">
      <c r="A65" s="75" t="s">
        <v>525</v>
      </c>
      <c r="B65" s="48"/>
      <c r="C65" s="48"/>
      <c r="D65" s="48"/>
      <c r="E65" s="49" t="s">
        <v>526</v>
      </c>
      <c r="F65" s="48"/>
      <c r="G65" s="36"/>
      <c r="I65" s="72"/>
    </row>
    <row r="66" ht="15.0" customHeight="1">
      <c r="A66" s="75" t="s">
        <v>527</v>
      </c>
      <c r="B66" s="48"/>
      <c r="C66" s="49" t="s">
        <v>528</v>
      </c>
      <c r="D66" s="48"/>
      <c r="E66" s="52"/>
      <c r="F66" s="48"/>
      <c r="G66" s="36"/>
      <c r="I66" s="72"/>
    </row>
    <row r="67" ht="15.0" customHeight="1">
      <c r="A67" s="77" t="s">
        <v>529</v>
      </c>
      <c r="B67" s="79"/>
      <c r="C67" s="79"/>
      <c r="D67" s="79"/>
      <c r="E67" s="79"/>
      <c r="F67" s="48"/>
      <c r="G67" s="36"/>
      <c r="I67" s="67"/>
    </row>
    <row r="68" ht="15.0" customHeight="1">
      <c r="A68" s="78" t="s">
        <v>530</v>
      </c>
      <c r="B68" s="49"/>
      <c r="C68" s="49" t="s">
        <v>531</v>
      </c>
      <c r="D68" s="79"/>
      <c r="E68" s="79"/>
      <c r="F68" s="48"/>
      <c r="G68" s="36"/>
      <c r="I68" s="67"/>
    </row>
    <row r="69" ht="15.0" customHeight="1">
      <c r="A69" s="80" t="s">
        <v>532</v>
      </c>
      <c r="B69" s="81"/>
      <c r="C69" s="68" t="s">
        <v>533</v>
      </c>
      <c r="D69" s="81"/>
      <c r="E69" s="81"/>
      <c r="F69" s="44"/>
      <c r="G69" s="36"/>
      <c r="I69" s="72"/>
    </row>
    <row r="70" ht="15.0" customHeight="1">
      <c r="A70" s="76" t="s">
        <v>534</v>
      </c>
      <c r="B70" s="44"/>
      <c r="C70" s="44"/>
      <c r="D70" s="44"/>
      <c r="E70" s="68" t="s">
        <v>535</v>
      </c>
      <c r="F70" s="44"/>
      <c r="G70" s="36"/>
      <c r="I70" s="72"/>
    </row>
    <row r="71" ht="47.25" customHeight="1">
      <c r="A71" s="76" t="s">
        <v>536</v>
      </c>
      <c r="B71" s="44"/>
      <c r="C71" s="44"/>
      <c r="D71" s="49" t="s">
        <v>537</v>
      </c>
      <c r="E71" s="68"/>
      <c r="F71" s="44"/>
      <c r="G71" s="36"/>
      <c r="I71" s="67"/>
    </row>
    <row r="72" ht="15.0" customHeight="1">
      <c r="G72" s="36"/>
      <c r="I72" s="36"/>
    </row>
    <row r="73" ht="27.0" customHeight="1">
      <c r="A73" s="71" t="s">
        <v>538</v>
      </c>
      <c r="B73" s="38" t="s">
        <v>399</v>
      </c>
      <c r="C73" s="38" t="s">
        <v>400</v>
      </c>
      <c r="D73" s="38" t="s">
        <v>401</v>
      </c>
      <c r="E73" s="38" t="s">
        <v>425</v>
      </c>
      <c r="F73" s="66" t="s">
        <v>539</v>
      </c>
      <c r="G73" s="36"/>
      <c r="I73" s="42"/>
    </row>
    <row r="74" ht="15.0" customHeight="1">
      <c r="A74" s="75" t="s">
        <v>540</v>
      </c>
      <c r="B74" s="48"/>
      <c r="C74" s="54" t="s">
        <v>541</v>
      </c>
      <c r="D74" s="44"/>
      <c r="E74" s="68"/>
      <c r="F74" s="44"/>
      <c r="G74" s="36"/>
      <c r="I74" s="67"/>
    </row>
    <row r="75" ht="15.0" customHeight="1">
      <c r="A75" s="75" t="s">
        <v>542</v>
      </c>
      <c r="B75" s="48"/>
      <c r="C75" s="54" t="s">
        <v>543</v>
      </c>
      <c r="D75" s="44"/>
      <c r="E75" s="68"/>
      <c r="F75" s="44"/>
      <c r="G75" s="36"/>
      <c r="I75" s="67"/>
    </row>
    <row r="76" ht="27.0" customHeight="1">
      <c r="A76" s="75" t="s">
        <v>544</v>
      </c>
      <c r="B76" s="48"/>
      <c r="C76" s="54" t="s">
        <v>545</v>
      </c>
      <c r="D76" s="44"/>
      <c r="E76" s="68"/>
      <c r="F76" s="44"/>
      <c r="G76" s="36"/>
      <c r="I76" s="67"/>
    </row>
    <row r="77" ht="15.0" customHeight="1">
      <c r="A77" s="75" t="s">
        <v>546</v>
      </c>
      <c r="B77" s="48"/>
      <c r="C77" s="48"/>
      <c r="D77" s="44"/>
      <c r="E77" s="68" t="s">
        <v>547</v>
      </c>
      <c r="F77" s="44"/>
      <c r="G77" s="36"/>
      <c r="I77" s="72"/>
    </row>
    <row r="78" ht="15.0" customHeight="1">
      <c r="A78" s="76" t="s">
        <v>548</v>
      </c>
      <c r="B78" s="44"/>
      <c r="C78" s="44"/>
      <c r="D78" s="44"/>
      <c r="E78" s="68" t="s">
        <v>549</v>
      </c>
      <c r="F78" s="44"/>
      <c r="G78" s="36"/>
      <c r="I78" s="72"/>
    </row>
    <row r="79" ht="15.0" customHeight="1">
      <c r="A79" s="82"/>
      <c r="B79" s="83"/>
      <c r="C79" s="83"/>
      <c r="D79" s="83"/>
      <c r="E79" s="84"/>
      <c r="F79" s="83"/>
      <c r="G79" s="36"/>
      <c r="I79" s="36"/>
    </row>
    <row r="80" ht="27.0" customHeight="1">
      <c r="A80" s="37" t="s">
        <v>550</v>
      </c>
      <c r="B80" s="38" t="s">
        <v>399</v>
      </c>
      <c r="C80" s="38" t="s">
        <v>400</v>
      </c>
      <c r="D80" s="38" t="s">
        <v>401</v>
      </c>
      <c r="E80" s="38" t="s">
        <v>425</v>
      </c>
      <c r="F80" s="66" t="s">
        <v>551</v>
      </c>
      <c r="G80" s="36"/>
      <c r="I80" s="42"/>
    </row>
    <row r="81" ht="21.0" customHeight="1">
      <c r="A81" s="85" t="s">
        <v>552</v>
      </c>
      <c r="B81" s="86"/>
      <c r="C81" s="86" t="s">
        <v>553</v>
      </c>
      <c r="D81" s="87"/>
      <c r="E81" s="87"/>
      <c r="F81" s="64" t="s">
        <v>554</v>
      </c>
      <c r="G81" s="36"/>
      <c r="I81" s="72"/>
    </row>
    <row r="82" ht="15.0" hidden="1" customHeight="1">
      <c r="A82" s="88"/>
      <c r="B82" s="61"/>
      <c r="C82" s="61"/>
      <c r="D82" s="61"/>
      <c r="E82" s="61"/>
      <c r="F82" s="64"/>
      <c r="G82" s="36"/>
      <c r="I82" s="72"/>
    </row>
    <row r="83" ht="21.0" customHeight="1">
      <c r="A83" s="85" t="s">
        <v>555</v>
      </c>
      <c r="B83" s="86"/>
      <c r="C83" s="86" t="s">
        <v>556</v>
      </c>
      <c r="D83" s="87"/>
      <c r="E83" s="87"/>
      <c r="F83" s="64" t="s">
        <v>554</v>
      </c>
      <c r="G83" s="36"/>
      <c r="I83" s="72"/>
    </row>
    <row r="84" ht="21.0" hidden="1" customHeight="1">
      <c r="A84" s="88"/>
      <c r="B84" s="61"/>
      <c r="C84" s="61"/>
      <c r="D84" s="61"/>
      <c r="E84" s="61"/>
      <c r="F84" s="64" t="s">
        <v>554</v>
      </c>
      <c r="G84" s="36"/>
      <c r="I84" s="72"/>
    </row>
    <row r="85" ht="21.0" customHeight="1">
      <c r="A85" s="85" t="s">
        <v>557</v>
      </c>
      <c r="B85" s="86"/>
      <c r="C85" s="86" t="s">
        <v>558</v>
      </c>
      <c r="D85" s="87"/>
      <c r="E85" s="87"/>
      <c r="F85" s="64" t="s">
        <v>554</v>
      </c>
      <c r="G85" s="36"/>
      <c r="I85" s="72"/>
    </row>
    <row r="86" ht="51.0" customHeight="1">
      <c r="A86" s="89" t="s">
        <v>559</v>
      </c>
      <c r="B86" s="48"/>
      <c r="C86" s="54" t="s">
        <v>560</v>
      </c>
      <c r="D86" s="48"/>
      <c r="E86" s="49"/>
      <c r="F86" s="48" t="s">
        <v>449</v>
      </c>
      <c r="G86" s="36"/>
      <c r="I86" s="67"/>
    </row>
    <row r="87" ht="25.5" customHeight="1">
      <c r="A87" s="89" t="s">
        <v>561</v>
      </c>
      <c r="B87" s="48"/>
      <c r="C87" s="54" t="s">
        <v>562</v>
      </c>
      <c r="D87" s="48"/>
      <c r="E87" s="49"/>
      <c r="F87" s="50" t="s">
        <v>449</v>
      </c>
      <c r="G87" s="36"/>
      <c r="I87" s="72"/>
    </row>
    <row r="88" ht="15.0" customHeight="1">
      <c r="A88" s="89" t="s">
        <v>563</v>
      </c>
      <c r="B88" s="48"/>
      <c r="C88" s="49" t="s">
        <v>564</v>
      </c>
      <c r="D88" s="48"/>
      <c r="E88" s="48"/>
      <c r="F88" s="50" t="s">
        <v>449</v>
      </c>
      <c r="G88" s="36"/>
      <c r="I88" s="72"/>
    </row>
    <row r="89" ht="25.5" customHeight="1">
      <c r="A89" s="89" t="s">
        <v>565</v>
      </c>
      <c r="B89" s="48"/>
      <c r="C89" s="49"/>
      <c r="D89" s="48"/>
      <c r="E89" s="49" t="s">
        <v>566</v>
      </c>
      <c r="F89" s="48"/>
      <c r="G89" s="36"/>
      <c r="I89" s="72"/>
    </row>
    <row r="90" ht="15.0" customHeight="1">
      <c r="A90" s="89" t="s">
        <v>567</v>
      </c>
      <c r="B90" s="48"/>
      <c r="C90" s="49" t="s">
        <v>568</v>
      </c>
      <c r="D90" s="48"/>
      <c r="E90" s="49"/>
      <c r="F90" s="50" t="s">
        <v>449</v>
      </c>
      <c r="G90" s="36"/>
      <c r="I90" s="72"/>
    </row>
    <row r="91" ht="15.0" customHeight="1">
      <c r="A91" s="89" t="s">
        <v>569</v>
      </c>
      <c r="B91" s="48"/>
      <c r="C91" s="49" t="s">
        <v>570</v>
      </c>
      <c r="D91" s="48"/>
      <c r="E91" s="49"/>
      <c r="F91" s="48" t="s">
        <v>449</v>
      </c>
      <c r="G91" s="36"/>
      <c r="I91" s="67"/>
    </row>
    <row r="92" ht="15.0" customHeight="1">
      <c r="A92" s="89" t="s">
        <v>571</v>
      </c>
      <c r="B92" s="48"/>
      <c r="C92" s="54" t="s">
        <v>572</v>
      </c>
      <c r="D92" s="48"/>
      <c r="E92" s="49"/>
      <c r="F92" s="48"/>
      <c r="G92" s="36"/>
      <c r="I92" s="67"/>
    </row>
    <row r="93" ht="15.0" customHeight="1">
      <c r="A93" s="89" t="s">
        <v>573</v>
      </c>
      <c r="B93" s="48"/>
      <c r="C93" s="48"/>
      <c r="D93" s="48"/>
      <c r="E93" s="49" t="s">
        <v>574</v>
      </c>
      <c r="F93" s="48"/>
      <c r="G93" s="36"/>
      <c r="I93" s="72"/>
    </row>
    <row r="94" ht="25.5" customHeight="1">
      <c r="A94" s="89" t="s">
        <v>575</v>
      </c>
      <c r="B94" s="48"/>
      <c r="C94" s="49" t="s">
        <v>576</v>
      </c>
      <c r="D94" s="48"/>
      <c r="E94" s="49"/>
      <c r="F94" s="48" t="s">
        <v>449</v>
      </c>
      <c r="G94" s="36"/>
      <c r="I94" s="67"/>
    </row>
    <row r="95" ht="15.0" customHeight="1">
      <c r="G95" s="36"/>
      <c r="I95" s="36"/>
    </row>
    <row r="96" ht="31.5" customHeight="1">
      <c r="A96" s="37" t="s">
        <v>577</v>
      </c>
      <c r="B96" s="38" t="s">
        <v>399</v>
      </c>
      <c r="C96" s="38" t="s">
        <v>400</v>
      </c>
      <c r="D96" s="38" t="s">
        <v>401</v>
      </c>
      <c r="E96" s="38" t="s">
        <v>425</v>
      </c>
      <c r="F96" s="66" t="s">
        <v>578</v>
      </c>
      <c r="G96" s="36"/>
      <c r="I96" s="42"/>
    </row>
    <row r="97" ht="15.0" customHeight="1">
      <c r="A97" s="76" t="s">
        <v>579</v>
      </c>
      <c r="B97" s="44"/>
      <c r="C97" s="44"/>
      <c r="D97" s="67"/>
      <c r="E97" s="68" t="s">
        <v>580</v>
      </c>
      <c r="F97" s="44"/>
      <c r="G97" s="36"/>
      <c r="I97" s="72"/>
    </row>
    <row r="98" ht="15.0" customHeight="1">
      <c r="A98" s="76" t="s">
        <v>581</v>
      </c>
      <c r="B98" s="44"/>
      <c r="C98" s="44"/>
      <c r="D98" s="44"/>
      <c r="E98" s="68" t="s">
        <v>582</v>
      </c>
      <c r="F98" s="44"/>
      <c r="G98" s="36"/>
      <c r="I98" s="72"/>
    </row>
    <row r="99" ht="15.0" customHeight="1">
      <c r="A99" s="76" t="s">
        <v>583</v>
      </c>
      <c r="B99" s="44"/>
      <c r="C99" s="68" t="s">
        <v>584</v>
      </c>
      <c r="D99" s="44"/>
      <c r="E99" s="44"/>
      <c r="F99" s="44"/>
      <c r="G99" s="36"/>
      <c r="I99" s="72"/>
    </row>
    <row r="100" ht="36.75" customHeight="1">
      <c r="A100" s="76" t="s">
        <v>585</v>
      </c>
      <c r="B100" s="44"/>
      <c r="C100" s="68" t="s">
        <v>586</v>
      </c>
      <c r="D100" s="44"/>
      <c r="E100" s="44"/>
      <c r="F100" s="44"/>
      <c r="G100" s="36"/>
      <c r="I100" s="72"/>
    </row>
    <row r="101" ht="27.0" customHeight="1">
      <c r="A101" s="76" t="s">
        <v>587</v>
      </c>
      <c r="B101" s="44"/>
      <c r="C101" s="68" t="s">
        <v>588</v>
      </c>
      <c r="D101" s="44"/>
      <c r="E101" s="44"/>
      <c r="F101" s="44"/>
      <c r="G101" s="36"/>
      <c r="I101" s="72"/>
    </row>
    <row r="102" ht="15.0" customHeight="1">
      <c r="A102" s="76" t="s">
        <v>589</v>
      </c>
      <c r="B102" s="44"/>
      <c r="C102" s="68" t="s">
        <v>590</v>
      </c>
      <c r="D102" s="44"/>
      <c r="E102" s="44"/>
      <c r="F102" s="44"/>
      <c r="G102" s="36"/>
      <c r="I102" s="72"/>
    </row>
    <row r="103" ht="15.0" customHeight="1">
      <c r="A103" s="76" t="s">
        <v>591</v>
      </c>
      <c r="B103" s="44"/>
      <c r="C103" s="68" t="s">
        <v>592</v>
      </c>
      <c r="D103" s="44"/>
      <c r="E103" s="44"/>
      <c r="F103" s="44"/>
      <c r="G103" s="36"/>
      <c r="I103" s="72"/>
    </row>
    <row r="104" ht="15.0" customHeight="1">
      <c r="A104" s="75" t="s">
        <v>593</v>
      </c>
      <c r="B104" s="48"/>
      <c r="C104" s="49"/>
      <c r="D104" s="49" t="s">
        <v>594</v>
      </c>
      <c r="E104" s="48"/>
      <c r="F104" s="48"/>
      <c r="G104" s="36"/>
      <c r="I104" s="67"/>
    </row>
    <row r="105" ht="24.0" customHeight="1">
      <c r="A105" s="75" t="s">
        <v>595</v>
      </c>
      <c r="B105" s="49" t="s">
        <v>596</v>
      </c>
      <c r="C105" s="48"/>
      <c r="D105" s="48"/>
      <c r="E105" s="48"/>
      <c r="F105" s="48"/>
      <c r="G105" s="36"/>
      <c r="I105" s="72"/>
    </row>
    <row r="106" ht="24.0" customHeight="1">
      <c r="A106" s="75" t="s">
        <v>597</v>
      </c>
      <c r="B106" s="48"/>
      <c r="C106" s="48"/>
      <c r="D106" s="48"/>
      <c r="E106" s="49" t="s">
        <v>598</v>
      </c>
      <c r="F106" s="48"/>
      <c r="G106" s="36"/>
      <c r="I106" s="72"/>
    </row>
    <row r="107" ht="24.0" customHeight="1">
      <c r="A107" s="75" t="s">
        <v>599</v>
      </c>
      <c r="B107" s="48"/>
      <c r="C107" s="49" t="s">
        <v>600</v>
      </c>
      <c r="D107" s="48"/>
      <c r="E107" s="48"/>
      <c r="F107" s="48" t="s">
        <v>449</v>
      </c>
      <c r="G107" s="36"/>
      <c r="I107" s="72"/>
    </row>
    <row r="108" ht="39.0" customHeight="1">
      <c r="A108" s="90" t="s">
        <v>601</v>
      </c>
      <c r="B108" s="68" t="s">
        <v>602</v>
      </c>
      <c r="C108" s="86"/>
      <c r="D108" s="87"/>
      <c r="E108" s="86" t="s">
        <v>603</v>
      </c>
      <c r="F108" s="44"/>
      <c r="G108" s="36"/>
      <c r="H108" s="91"/>
      <c r="I108" s="72"/>
    </row>
    <row r="109" ht="39.0" customHeight="1">
      <c r="A109" s="90" t="s">
        <v>604</v>
      </c>
      <c r="B109" s="68"/>
      <c r="C109" s="86"/>
      <c r="D109" s="87"/>
      <c r="E109" s="86" t="s">
        <v>605</v>
      </c>
      <c r="F109" s="44"/>
      <c r="G109" s="36"/>
      <c r="H109" s="91"/>
      <c r="I109" s="72"/>
    </row>
    <row r="110" ht="39.0" customHeight="1">
      <c r="A110" s="76" t="s">
        <v>606</v>
      </c>
      <c r="B110" s="44"/>
      <c r="C110" s="44"/>
      <c r="D110" s="44"/>
      <c r="E110" s="44"/>
      <c r="F110" s="44"/>
      <c r="G110" s="36"/>
      <c r="H110" s="91"/>
      <c r="I110" s="92"/>
    </row>
    <row r="111" ht="15.0" customHeight="1">
      <c r="E111" s="93"/>
      <c r="G111" s="36"/>
      <c r="H111" s="91"/>
      <c r="I111" s="36"/>
    </row>
    <row r="112" ht="31.5" customHeight="1">
      <c r="A112" s="37" t="s">
        <v>607</v>
      </c>
      <c r="B112" s="38" t="s">
        <v>399</v>
      </c>
      <c r="C112" s="38" t="s">
        <v>400</v>
      </c>
      <c r="D112" s="38" t="s">
        <v>401</v>
      </c>
      <c r="E112" s="38" t="s">
        <v>425</v>
      </c>
      <c r="F112" s="66" t="s">
        <v>608</v>
      </c>
      <c r="G112" s="36"/>
      <c r="H112" s="91"/>
      <c r="I112" s="42"/>
    </row>
    <row r="113" ht="41.25" customHeight="1">
      <c r="A113" s="94" t="s">
        <v>609</v>
      </c>
      <c r="B113" s="44"/>
      <c r="C113" s="68" t="s">
        <v>610</v>
      </c>
      <c r="D113" s="44"/>
      <c r="E113" s="44"/>
      <c r="F113" s="64" t="s">
        <v>611</v>
      </c>
      <c r="G113" s="36"/>
      <c r="I113" s="72"/>
    </row>
    <row r="114" ht="15.0" customHeight="1">
      <c r="A114" s="94" t="s">
        <v>612</v>
      </c>
      <c r="B114" s="44"/>
      <c r="C114" s="68" t="s">
        <v>613</v>
      </c>
      <c r="D114" s="44"/>
      <c r="E114" s="44"/>
      <c r="F114" s="44"/>
      <c r="G114" s="36"/>
      <c r="I114" s="72"/>
    </row>
    <row r="115" ht="23.25" customHeight="1">
      <c r="A115" s="94" t="s">
        <v>614</v>
      </c>
      <c r="B115" s="68" t="s">
        <v>615</v>
      </c>
      <c r="C115" s="44"/>
      <c r="D115" s="44"/>
      <c r="E115" s="44"/>
      <c r="F115" s="44"/>
      <c r="G115" s="36"/>
      <c r="I115" s="72"/>
    </row>
    <row r="116" ht="23.25" customHeight="1">
      <c r="A116" s="94" t="s">
        <v>616</v>
      </c>
      <c r="B116" s="44"/>
      <c r="C116" s="44"/>
      <c r="D116" s="44"/>
      <c r="E116" s="68" t="s">
        <v>617</v>
      </c>
      <c r="F116" s="44"/>
      <c r="G116" s="36"/>
      <c r="I116" s="72"/>
    </row>
    <row r="117" ht="15.0" customHeight="1">
      <c r="A117" s="94" t="s">
        <v>618</v>
      </c>
      <c r="B117" s="68" t="s">
        <v>619</v>
      </c>
      <c r="C117" s="68"/>
      <c r="D117" s="44"/>
      <c r="E117" s="44"/>
      <c r="F117" s="44"/>
      <c r="G117" s="36"/>
      <c r="I117" s="72"/>
    </row>
    <row r="118" ht="15.0" customHeight="1">
      <c r="A118" s="94" t="s">
        <v>620</v>
      </c>
      <c r="B118" s="44"/>
      <c r="C118" s="68" t="s">
        <v>621</v>
      </c>
      <c r="D118" s="44"/>
      <c r="E118" s="44"/>
      <c r="F118" s="44"/>
      <c r="G118" s="36"/>
      <c r="I118" s="72"/>
    </row>
    <row r="119" ht="15.0" customHeight="1">
      <c r="E119" s="84"/>
      <c r="G119" s="36"/>
      <c r="I119" s="36"/>
    </row>
    <row r="120" ht="31.5" customHeight="1">
      <c r="A120" s="37" t="s">
        <v>622</v>
      </c>
      <c r="B120" s="38" t="s">
        <v>399</v>
      </c>
      <c r="C120" s="38" t="s">
        <v>400</v>
      </c>
      <c r="D120" s="38" t="s">
        <v>401</v>
      </c>
      <c r="E120" s="38" t="s">
        <v>425</v>
      </c>
      <c r="F120" s="66" t="s">
        <v>623</v>
      </c>
      <c r="G120" s="36"/>
      <c r="I120" s="42"/>
    </row>
    <row r="121" ht="25.5" customHeight="1">
      <c r="A121" s="95" t="s">
        <v>624</v>
      </c>
      <c r="B121" s="96"/>
      <c r="C121" s="44"/>
      <c r="D121" s="44"/>
      <c r="E121" s="44"/>
      <c r="F121" s="97"/>
      <c r="G121" s="36"/>
      <c r="I121" s="67"/>
    </row>
    <row r="122" ht="15.0" customHeight="1">
      <c r="A122" s="98" t="s">
        <v>625</v>
      </c>
      <c r="B122" s="99"/>
      <c r="C122" s="100" t="s">
        <v>626</v>
      </c>
      <c r="D122" s="97"/>
      <c r="E122" s="97"/>
      <c r="F122" s="97"/>
      <c r="G122" s="36"/>
      <c r="I122" s="92"/>
    </row>
    <row r="123" ht="41.25" customHeight="1">
      <c r="A123" s="101" t="s">
        <v>627</v>
      </c>
      <c r="B123" s="102"/>
      <c r="C123" s="68" t="s">
        <v>628</v>
      </c>
      <c r="D123" s="97"/>
      <c r="E123" s="97"/>
      <c r="F123" s="64" t="s">
        <v>611</v>
      </c>
      <c r="G123" s="36"/>
      <c r="I123" s="72"/>
    </row>
    <row r="124" ht="41.25" customHeight="1">
      <c r="A124" s="95" t="s">
        <v>629</v>
      </c>
      <c r="B124" s="97"/>
      <c r="C124" s="68" t="s">
        <v>630</v>
      </c>
      <c r="D124" s="97"/>
      <c r="E124" s="97"/>
      <c r="F124" s="50" t="s">
        <v>611</v>
      </c>
      <c r="G124" s="36"/>
      <c r="I124" s="67"/>
    </row>
    <row r="125" ht="25.5" customHeight="1">
      <c r="A125" s="43" t="s">
        <v>631</v>
      </c>
      <c r="B125" s="68" t="s">
        <v>632</v>
      </c>
      <c r="C125" s="97"/>
      <c r="D125" s="97"/>
      <c r="E125" s="97"/>
      <c r="F125" s="97"/>
      <c r="G125" s="36"/>
      <c r="I125" s="72"/>
    </row>
    <row r="126" ht="25.5" customHeight="1">
      <c r="A126" s="43" t="s">
        <v>633</v>
      </c>
      <c r="B126" s="44"/>
      <c r="C126" s="97"/>
      <c r="D126" s="97"/>
      <c r="E126" s="68" t="s">
        <v>634</v>
      </c>
      <c r="F126" s="97"/>
      <c r="G126" s="36"/>
      <c r="I126" s="72"/>
    </row>
    <row r="127" ht="25.5" customHeight="1">
      <c r="A127" s="43" t="s">
        <v>635</v>
      </c>
      <c r="B127" s="44"/>
      <c r="C127" s="44"/>
      <c r="D127" s="44"/>
      <c r="E127" s="68" t="s">
        <v>636</v>
      </c>
      <c r="F127" s="64"/>
      <c r="G127" s="36"/>
      <c r="I127" s="72"/>
    </row>
    <row r="128" ht="27.0" customHeight="1">
      <c r="A128" s="76" t="s">
        <v>637</v>
      </c>
      <c r="B128" s="44"/>
      <c r="C128" s="44"/>
      <c r="D128" s="44"/>
      <c r="E128" s="68" t="s">
        <v>638</v>
      </c>
      <c r="F128" s="97"/>
      <c r="G128" s="36"/>
      <c r="I128" s="72"/>
    </row>
    <row r="129" ht="27.0" customHeight="1">
      <c r="A129" s="76" t="s">
        <v>639</v>
      </c>
      <c r="B129" s="44"/>
      <c r="C129" s="44"/>
      <c r="D129" s="44"/>
      <c r="E129" s="68" t="s">
        <v>640</v>
      </c>
      <c r="F129" s="97"/>
      <c r="G129" s="36"/>
      <c r="I129" s="72"/>
    </row>
    <row r="130" ht="39.0" customHeight="1">
      <c r="A130" s="76" t="s">
        <v>641</v>
      </c>
      <c r="B130" s="44"/>
      <c r="C130" s="44"/>
      <c r="D130" s="44"/>
      <c r="E130" s="68" t="s">
        <v>642</v>
      </c>
      <c r="F130" s="97"/>
      <c r="G130" s="36"/>
      <c r="I130" s="72"/>
    </row>
    <row r="131" ht="30.75" customHeight="1">
      <c r="A131" s="43" t="s">
        <v>643</v>
      </c>
      <c r="B131" s="44"/>
      <c r="C131" s="68" t="s">
        <v>644</v>
      </c>
      <c r="D131" s="44"/>
      <c r="E131" s="68"/>
      <c r="F131" s="64" t="s">
        <v>645</v>
      </c>
      <c r="G131" s="36"/>
      <c r="I131" s="72"/>
    </row>
    <row r="132" ht="30.75" customHeight="1">
      <c r="A132" s="43" t="s">
        <v>646</v>
      </c>
      <c r="B132" s="44"/>
      <c r="C132" s="68" t="s">
        <v>647</v>
      </c>
      <c r="D132" s="44"/>
      <c r="E132" s="68"/>
      <c r="F132" s="64" t="s">
        <v>645</v>
      </c>
      <c r="G132" s="36"/>
      <c r="I132" s="72"/>
    </row>
    <row r="133" ht="30.75" customHeight="1">
      <c r="A133" s="43" t="s">
        <v>648</v>
      </c>
      <c r="B133" s="44"/>
      <c r="C133" s="68" t="s">
        <v>649</v>
      </c>
      <c r="D133" s="44"/>
      <c r="E133" s="44"/>
      <c r="F133" s="64" t="s">
        <v>645</v>
      </c>
      <c r="G133" s="36"/>
      <c r="I133" s="72"/>
    </row>
    <row r="134" ht="15.0" customHeight="1">
      <c r="A134" s="90" t="s">
        <v>650</v>
      </c>
      <c r="B134" s="86" t="s">
        <v>651</v>
      </c>
      <c r="C134" s="86"/>
      <c r="D134" s="87"/>
      <c r="E134" s="44"/>
      <c r="F134" s="97"/>
      <c r="G134" s="36"/>
      <c r="I134" s="72"/>
    </row>
    <row r="135" ht="27.0" customHeight="1">
      <c r="A135" s="76" t="s">
        <v>652</v>
      </c>
      <c r="B135" s="44"/>
      <c r="C135" s="44"/>
      <c r="D135" s="44"/>
      <c r="E135" s="68" t="s">
        <v>653</v>
      </c>
      <c r="F135" s="97"/>
      <c r="G135" s="36"/>
      <c r="I135" s="72"/>
    </row>
    <row r="136" ht="15.0" customHeight="1">
      <c r="A136" s="76" t="s">
        <v>654</v>
      </c>
      <c r="B136" s="44"/>
      <c r="C136" s="44"/>
      <c r="D136" s="44"/>
      <c r="E136" s="44"/>
      <c r="F136" s="97"/>
      <c r="G136" s="36"/>
      <c r="I136" s="72"/>
    </row>
    <row r="137" ht="15.0" customHeight="1">
      <c r="A137" s="103" t="s">
        <v>627</v>
      </c>
      <c r="B137" s="44"/>
      <c r="C137" s="86" t="s">
        <v>655</v>
      </c>
      <c r="D137" s="44"/>
      <c r="E137" s="44"/>
      <c r="F137" s="97"/>
      <c r="G137" s="36"/>
      <c r="I137" s="72"/>
    </row>
    <row r="138" ht="15.0" customHeight="1">
      <c r="A138" s="103" t="s">
        <v>625</v>
      </c>
      <c r="B138" s="86" t="s">
        <v>656</v>
      </c>
      <c r="C138" s="44"/>
      <c r="D138" s="44"/>
      <c r="E138" s="44"/>
      <c r="F138" s="97"/>
      <c r="G138" s="36"/>
      <c r="I138" s="72"/>
    </row>
    <row r="139" ht="27.0" customHeight="1">
      <c r="A139" s="76" t="s">
        <v>657</v>
      </c>
      <c r="B139" s="44"/>
      <c r="C139" s="44"/>
      <c r="D139" s="44"/>
      <c r="E139" s="68" t="s">
        <v>658</v>
      </c>
      <c r="F139" s="97"/>
      <c r="G139" s="36"/>
      <c r="I139" s="72"/>
    </row>
    <row r="140" ht="15.0" customHeight="1">
      <c r="A140" s="76" t="s">
        <v>659</v>
      </c>
      <c r="B140" s="44"/>
      <c r="C140" s="68" t="s">
        <v>660</v>
      </c>
      <c r="D140" s="44"/>
      <c r="E140" s="70"/>
      <c r="F140" s="97"/>
      <c r="G140" s="36"/>
      <c r="I140" s="72"/>
    </row>
    <row r="141" ht="15.0" customHeight="1">
      <c r="A141" s="90" t="s">
        <v>661</v>
      </c>
      <c r="B141" s="86" t="s">
        <v>662</v>
      </c>
      <c r="C141" s="87"/>
      <c r="D141" s="87"/>
      <c r="E141" s="68"/>
      <c r="F141" s="97"/>
      <c r="G141" s="36"/>
      <c r="I141" s="72"/>
    </row>
    <row r="142" ht="27.0" customHeight="1">
      <c r="A142" s="76" t="s">
        <v>663</v>
      </c>
      <c r="B142" s="86" t="s">
        <v>664</v>
      </c>
      <c r="C142" s="44"/>
      <c r="D142" s="44"/>
      <c r="E142" s="68"/>
      <c r="F142" s="97"/>
      <c r="G142" s="36"/>
      <c r="I142" s="72"/>
    </row>
    <row r="143" ht="27.0" customHeight="1">
      <c r="A143" s="76" t="s">
        <v>665</v>
      </c>
      <c r="B143" s="44"/>
      <c r="C143" s="44"/>
      <c r="D143" s="44"/>
      <c r="E143" s="68" t="s">
        <v>666</v>
      </c>
      <c r="F143" s="97"/>
      <c r="G143" s="36"/>
      <c r="I143" s="72"/>
    </row>
    <row r="144" ht="27.0" customHeight="1">
      <c r="A144" s="76" t="s">
        <v>667</v>
      </c>
      <c r="B144" s="44"/>
      <c r="C144" s="44"/>
      <c r="D144" s="44"/>
      <c r="E144" s="68" t="s">
        <v>668</v>
      </c>
      <c r="F144" s="97"/>
      <c r="G144" s="36"/>
      <c r="I144" s="72"/>
    </row>
    <row r="145" ht="27.0" customHeight="1">
      <c r="A145" s="76" t="s">
        <v>669</v>
      </c>
      <c r="B145" s="44"/>
      <c r="C145" s="44"/>
      <c r="D145" s="44"/>
      <c r="E145" s="68" t="s">
        <v>670</v>
      </c>
      <c r="F145" s="44"/>
      <c r="G145" s="36"/>
      <c r="I145" s="72"/>
    </row>
    <row r="146" ht="15.0" customHeight="1">
      <c r="A146" s="82"/>
      <c r="B146" s="83"/>
      <c r="C146" s="83"/>
      <c r="D146" s="83"/>
      <c r="E146" s="84"/>
      <c r="F146" s="84"/>
      <c r="G146" s="36"/>
      <c r="I146" s="36"/>
    </row>
    <row r="147" ht="47.25" customHeight="1">
      <c r="A147" s="37" t="s">
        <v>671</v>
      </c>
      <c r="B147" s="38" t="s">
        <v>399</v>
      </c>
      <c r="C147" s="38" t="s">
        <v>400</v>
      </c>
      <c r="D147" s="38" t="s">
        <v>401</v>
      </c>
      <c r="E147" s="38" t="s">
        <v>425</v>
      </c>
      <c r="F147" s="66" t="s">
        <v>672</v>
      </c>
      <c r="G147" s="36"/>
      <c r="I147" s="42"/>
    </row>
    <row r="148" ht="36.0" customHeight="1">
      <c r="A148" s="43" t="s">
        <v>673</v>
      </c>
      <c r="B148" s="44"/>
      <c r="C148" s="44"/>
      <c r="D148" s="44"/>
      <c r="E148" s="68" t="s">
        <v>674</v>
      </c>
      <c r="F148" s="97"/>
      <c r="G148" s="36"/>
      <c r="I148" s="72"/>
    </row>
    <row r="149" ht="15.0" customHeight="1">
      <c r="A149" s="43" t="s">
        <v>675</v>
      </c>
      <c r="B149" s="44"/>
      <c r="C149" s="44"/>
      <c r="D149" s="68"/>
      <c r="E149" s="68"/>
      <c r="F149" s="97"/>
      <c r="G149" s="36"/>
      <c r="I149" s="67"/>
    </row>
    <row r="150" ht="15.0" customHeight="1">
      <c r="A150" s="104" t="s">
        <v>676</v>
      </c>
      <c r="B150" s="44"/>
      <c r="C150" s="44"/>
      <c r="D150" s="68" t="s">
        <v>677</v>
      </c>
      <c r="E150" s="68"/>
      <c r="F150" s="97"/>
      <c r="G150" s="36"/>
      <c r="I150" s="72"/>
    </row>
    <row r="151" ht="15.0" customHeight="1">
      <c r="A151" s="105" t="s">
        <v>678</v>
      </c>
      <c r="B151" s="48"/>
      <c r="C151" s="49"/>
      <c r="D151" s="49" t="s">
        <v>679</v>
      </c>
      <c r="E151" s="68"/>
      <c r="F151" s="97"/>
      <c r="G151" s="36"/>
      <c r="I151" s="67"/>
    </row>
    <row r="152" ht="23.25" customHeight="1">
      <c r="A152" s="47" t="s">
        <v>680</v>
      </c>
      <c r="B152" s="48"/>
      <c r="C152" s="48"/>
      <c r="D152" s="48"/>
      <c r="E152" s="68" t="s">
        <v>681</v>
      </c>
      <c r="F152" s="64"/>
      <c r="G152" s="36"/>
      <c r="I152" s="72"/>
    </row>
    <row r="153" ht="15.0" customHeight="1">
      <c r="A153" s="47" t="s">
        <v>682</v>
      </c>
      <c r="B153" s="48"/>
      <c r="C153" s="49" t="s">
        <v>683</v>
      </c>
      <c r="D153" s="48"/>
      <c r="E153" s="44"/>
      <c r="F153" s="97"/>
      <c r="G153" s="36"/>
      <c r="I153" s="72"/>
    </row>
    <row r="154" ht="33.0" customHeight="1">
      <c r="A154" s="53" t="s">
        <v>684</v>
      </c>
      <c r="B154" s="54"/>
      <c r="C154" s="54" t="s">
        <v>685</v>
      </c>
      <c r="D154" s="55"/>
      <c r="E154" s="44"/>
      <c r="F154" s="97"/>
      <c r="G154" s="36"/>
      <c r="I154" s="67"/>
    </row>
    <row r="155" ht="25.5" customHeight="1">
      <c r="A155" s="53" t="s">
        <v>686</v>
      </c>
      <c r="B155" s="55"/>
      <c r="C155" s="54" t="s">
        <v>687</v>
      </c>
      <c r="D155" s="55"/>
      <c r="E155" s="44"/>
      <c r="F155" s="97"/>
      <c r="G155" s="36"/>
      <c r="I155" s="72"/>
    </row>
    <row r="156" ht="25.5" customHeight="1">
      <c r="A156" s="47" t="s">
        <v>688</v>
      </c>
      <c r="B156" s="48"/>
      <c r="C156" s="48"/>
      <c r="D156" s="48"/>
      <c r="E156" s="68" t="s">
        <v>689</v>
      </c>
      <c r="F156" s="97"/>
      <c r="G156" s="36"/>
      <c r="I156" s="72"/>
    </row>
    <row r="157" ht="25.5" customHeight="1">
      <c r="A157" s="47" t="s">
        <v>690</v>
      </c>
      <c r="B157" s="48"/>
      <c r="C157" s="48"/>
      <c r="D157" s="48"/>
      <c r="E157" s="68" t="s">
        <v>691</v>
      </c>
      <c r="F157" s="97"/>
      <c r="G157" s="36"/>
      <c r="I157" s="72"/>
    </row>
    <row r="158" ht="25.5" customHeight="1">
      <c r="A158" s="53" t="s">
        <v>692</v>
      </c>
      <c r="B158" s="54"/>
      <c r="C158" s="54"/>
      <c r="D158" s="106"/>
      <c r="E158" s="68"/>
      <c r="F158" s="97"/>
      <c r="G158" s="36"/>
      <c r="I158" s="67"/>
    </row>
    <row r="159" ht="15.0" customHeight="1">
      <c r="A159" s="107" t="s">
        <v>627</v>
      </c>
      <c r="B159" s="54"/>
      <c r="C159" s="49" t="s">
        <v>693</v>
      </c>
      <c r="D159" s="106"/>
      <c r="E159" s="97"/>
      <c r="F159" s="97"/>
      <c r="G159" s="36"/>
      <c r="I159" s="72"/>
    </row>
    <row r="160" ht="15.0" customHeight="1">
      <c r="A160" s="107" t="s">
        <v>625</v>
      </c>
      <c r="B160" s="49" t="s">
        <v>694</v>
      </c>
      <c r="C160" s="106"/>
      <c r="D160" s="106"/>
      <c r="E160" s="97"/>
      <c r="F160" s="108"/>
      <c r="G160" s="36"/>
      <c r="I160" s="72"/>
    </row>
    <row r="161" ht="15.0" customHeight="1">
      <c r="A161" s="43" t="s">
        <v>695</v>
      </c>
      <c r="B161" s="68" t="s">
        <v>696</v>
      </c>
      <c r="C161" s="44"/>
      <c r="D161" s="44"/>
      <c r="E161" s="97"/>
      <c r="F161" s="97"/>
      <c r="G161" s="36"/>
      <c r="I161" s="72"/>
    </row>
    <row r="162" ht="15.0" customHeight="1">
      <c r="A162" s="43" t="s">
        <v>697</v>
      </c>
      <c r="B162" s="68" t="s">
        <v>698</v>
      </c>
      <c r="C162" s="44"/>
      <c r="D162" s="44"/>
      <c r="E162" s="97"/>
      <c r="F162" s="97"/>
      <c r="G162" s="36"/>
      <c r="I162" s="72"/>
      <c r="J162" s="91"/>
    </row>
    <row r="163" ht="15.0" customHeight="1">
      <c r="A163" s="43" t="s">
        <v>699</v>
      </c>
      <c r="B163" s="68" t="s">
        <v>700</v>
      </c>
      <c r="C163" s="44"/>
      <c r="D163" s="44"/>
      <c r="E163" s="97"/>
      <c r="F163" s="97"/>
      <c r="G163" s="36"/>
      <c r="I163" s="72"/>
    </row>
    <row r="164" ht="15.0" customHeight="1">
      <c r="A164" s="43" t="s">
        <v>701</v>
      </c>
      <c r="B164" s="44"/>
      <c r="C164" s="67"/>
      <c r="D164" s="45" t="s">
        <v>702</v>
      </c>
      <c r="E164" s="109"/>
      <c r="F164" s="110"/>
      <c r="G164" s="36"/>
      <c r="I164" s="92"/>
    </row>
    <row r="165" ht="38.25" customHeight="1">
      <c r="A165" s="43" t="s">
        <v>703</v>
      </c>
      <c r="B165" s="44"/>
      <c r="C165" s="44"/>
      <c r="D165" s="67"/>
      <c r="E165" s="97"/>
      <c r="F165" s="97"/>
      <c r="G165" s="36"/>
      <c r="I165" s="72"/>
    </row>
    <row r="166" ht="15.0" customHeight="1">
      <c r="A166" s="111" t="s">
        <v>704</v>
      </c>
      <c r="B166" s="112"/>
      <c r="C166" s="112"/>
      <c r="D166" s="113" t="s">
        <v>705</v>
      </c>
      <c r="E166" s="68"/>
      <c r="F166" s="97"/>
      <c r="G166" s="36"/>
      <c r="I166" s="92"/>
    </row>
    <row r="167" ht="41.25" customHeight="1">
      <c r="A167" s="111" t="s">
        <v>706</v>
      </c>
      <c r="B167" s="112"/>
      <c r="C167" s="112"/>
      <c r="D167" s="67"/>
      <c r="E167" s="68" t="s">
        <v>707</v>
      </c>
      <c r="F167" s="114" t="s">
        <v>708</v>
      </c>
      <c r="G167" s="36"/>
      <c r="I167" s="72"/>
    </row>
    <row r="168" ht="38.25" customHeight="1">
      <c r="A168" s="115" t="s">
        <v>709</v>
      </c>
      <c r="B168" s="116"/>
      <c r="C168" s="116"/>
      <c r="D168" s="49" t="s">
        <v>710</v>
      </c>
      <c r="E168" s="49"/>
      <c r="F168" s="114"/>
      <c r="G168" s="36"/>
      <c r="I168" s="67"/>
    </row>
    <row r="169" ht="25.5" customHeight="1">
      <c r="A169" s="111" t="s">
        <v>711</v>
      </c>
      <c r="B169" s="112"/>
      <c r="C169" s="112"/>
      <c r="D169" s="97"/>
      <c r="E169" s="68"/>
      <c r="F169" s="114"/>
      <c r="G169" s="36"/>
      <c r="I169" s="67"/>
    </row>
    <row r="170" ht="15.0" customHeight="1">
      <c r="A170" s="117" t="s">
        <v>712</v>
      </c>
      <c r="B170" s="112"/>
      <c r="C170" s="112"/>
      <c r="D170" s="97"/>
      <c r="E170" s="68" t="s">
        <v>713</v>
      </c>
      <c r="F170" s="114"/>
      <c r="G170" s="36"/>
      <c r="I170" s="72"/>
    </row>
    <row r="171" ht="41.25" customHeight="1">
      <c r="A171" s="117" t="s">
        <v>714</v>
      </c>
      <c r="B171" s="112"/>
      <c r="C171" s="112"/>
      <c r="D171" s="67"/>
      <c r="E171" s="68" t="s">
        <v>715</v>
      </c>
      <c r="F171" s="114" t="s">
        <v>708</v>
      </c>
      <c r="G171" s="36"/>
      <c r="I171" s="72"/>
    </row>
    <row r="172" ht="25.5" customHeight="1">
      <c r="A172" s="111" t="s">
        <v>716</v>
      </c>
      <c r="B172" s="108"/>
      <c r="C172" s="108"/>
      <c r="D172" s="108"/>
      <c r="E172" s="68" t="s">
        <v>717</v>
      </c>
      <c r="F172" s="97"/>
      <c r="G172" s="36"/>
      <c r="I172" s="72"/>
    </row>
    <row r="173" ht="15.0" customHeight="1">
      <c r="A173" s="118"/>
      <c r="B173" s="119"/>
      <c r="C173" s="119"/>
      <c r="D173" s="119"/>
      <c r="E173" s="84"/>
      <c r="F173" s="119"/>
      <c r="G173" s="36"/>
      <c r="I173" s="36"/>
    </row>
    <row r="174" ht="31.5" customHeight="1">
      <c r="A174" s="120" t="s">
        <v>718</v>
      </c>
      <c r="B174" s="121" t="s">
        <v>399</v>
      </c>
      <c r="C174" s="121" t="s">
        <v>400</v>
      </c>
      <c r="D174" s="121" t="s">
        <v>401</v>
      </c>
      <c r="E174" s="121" t="s">
        <v>425</v>
      </c>
      <c r="F174" s="122" t="s">
        <v>719</v>
      </c>
      <c r="G174" s="36"/>
      <c r="I174" s="42"/>
    </row>
    <row r="175" ht="25.5" customHeight="1">
      <c r="A175" s="111" t="s">
        <v>720</v>
      </c>
      <c r="B175" s="112"/>
      <c r="C175" s="112"/>
      <c r="D175" s="112"/>
      <c r="E175" s="68" t="s">
        <v>721</v>
      </c>
      <c r="F175" s="112"/>
      <c r="G175" s="36"/>
      <c r="I175" s="72"/>
    </row>
    <row r="176" ht="15.0" customHeight="1">
      <c r="A176" s="111" t="s">
        <v>722</v>
      </c>
      <c r="B176" s="112"/>
      <c r="C176" s="112"/>
      <c r="D176" s="112"/>
      <c r="E176" s="68" t="s">
        <v>723</v>
      </c>
      <c r="F176" s="112"/>
      <c r="G176" s="36"/>
      <c r="I176" s="72"/>
    </row>
    <row r="177" ht="15.0" customHeight="1">
      <c r="A177" s="111" t="s">
        <v>724</v>
      </c>
      <c r="B177" s="112"/>
      <c r="C177" s="112"/>
      <c r="D177" s="112"/>
      <c r="E177" s="68"/>
      <c r="F177" s="112"/>
      <c r="G177" s="36"/>
      <c r="I177" s="67"/>
    </row>
    <row r="178" ht="15.0" customHeight="1">
      <c r="A178" s="117" t="s">
        <v>725</v>
      </c>
      <c r="B178" s="68" t="s">
        <v>726</v>
      </c>
      <c r="C178" s="112"/>
      <c r="D178" s="112"/>
      <c r="E178" s="68"/>
      <c r="F178" s="112"/>
      <c r="G178" s="36"/>
      <c r="I178" s="72"/>
    </row>
    <row r="179" ht="15.0" customHeight="1">
      <c r="A179" s="123" t="s">
        <v>727</v>
      </c>
      <c r="B179" s="116"/>
      <c r="C179" s="116"/>
      <c r="D179" s="49" t="s">
        <v>728</v>
      </c>
      <c r="E179" s="68"/>
      <c r="F179" s="114"/>
      <c r="G179" s="36"/>
      <c r="I179" s="67"/>
    </row>
    <row r="180" ht="15.0" customHeight="1">
      <c r="A180" s="123" t="s">
        <v>729</v>
      </c>
      <c r="B180" s="116"/>
      <c r="C180" s="116"/>
      <c r="D180" s="49" t="s">
        <v>730</v>
      </c>
      <c r="E180" s="68"/>
      <c r="F180" s="114"/>
      <c r="G180" s="36"/>
      <c r="I180" s="67"/>
    </row>
    <row r="181" ht="15.0" customHeight="1">
      <c r="A181" s="123" t="s">
        <v>731</v>
      </c>
      <c r="B181" s="116"/>
      <c r="C181" s="116"/>
      <c r="D181" s="116"/>
      <c r="E181" s="68" t="s">
        <v>732</v>
      </c>
      <c r="F181" s="114"/>
      <c r="G181" s="36"/>
      <c r="I181" s="72"/>
    </row>
    <row r="182" ht="23.25" customHeight="1">
      <c r="A182" s="111" t="s">
        <v>733</v>
      </c>
      <c r="B182" s="112"/>
      <c r="C182" s="112"/>
      <c r="D182" s="68" t="s">
        <v>734</v>
      </c>
      <c r="F182" s="112"/>
      <c r="G182" s="36"/>
      <c r="I182" s="72"/>
    </row>
    <row r="183" ht="15.0" customHeight="1">
      <c r="A183" s="111" t="s">
        <v>735</v>
      </c>
      <c r="B183" s="112"/>
      <c r="C183" s="112"/>
      <c r="D183" s="112"/>
      <c r="E183" s="68" t="s">
        <v>736</v>
      </c>
      <c r="F183" s="112"/>
      <c r="G183" s="36"/>
      <c r="I183" s="72"/>
    </row>
    <row r="184" ht="15.0" customHeight="1">
      <c r="A184" s="111" t="s">
        <v>737</v>
      </c>
      <c r="B184" s="112"/>
      <c r="C184" s="112"/>
      <c r="D184" s="112"/>
      <c r="E184" s="68" t="s">
        <v>738</v>
      </c>
      <c r="F184" s="112"/>
      <c r="G184" s="36"/>
      <c r="I184" s="72"/>
    </row>
    <row r="185" ht="15.0" customHeight="1">
      <c r="A185" s="111" t="s">
        <v>739</v>
      </c>
      <c r="B185" s="112"/>
      <c r="C185" s="112"/>
      <c r="D185" s="112"/>
      <c r="E185" s="68" t="s">
        <v>740</v>
      </c>
      <c r="F185" s="112"/>
      <c r="G185" s="36"/>
      <c r="I185" s="72"/>
    </row>
    <row r="186" ht="15.0" customHeight="1">
      <c r="A186" s="118"/>
      <c r="B186" s="124"/>
      <c r="C186" s="124"/>
      <c r="D186" s="124"/>
      <c r="E186" s="125"/>
      <c r="F186" s="124"/>
      <c r="G186" s="36"/>
      <c r="I186" s="36"/>
    </row>
    <row r="187" ht="27.0" customHeight="1">
      <c r="A187" s="37" t="s">
        <v>741</v>
      </c>
      <c r="B187" s="38" t="s">
        <v>399</v>
      </c>
      <c r="C187" s="38" t="s">
        <v>400</v>
      </c>
      <c r="D187" s="38" t="s">
        <v>401</v>
      </c>
      <c r="E187" s="38" t="s">
        <v>425</v>
      </c>
      <c r="F187" s="66" t="s">
        <v>742</v>
      </c>
      <c r="G187" s="36"/>
      <c r="I187" s="42"/>
    </row>
    <row r="188" ht="15.0" customHeight="1">
      <c r="A188" s="126" t="s">
        <v>743</v>
      </c>
      <c r="B188" s="54"/>
      <c r="C188" s="54"/>
      <c r="D188" s="49" t="s">
        <v>744</v>
      </c>
      <c r="E188" s="87"/>
      <c r="F188" s="64"/>
      <c r="G188" s="36"/>
      <c r="I188" s="67"/>
    </row>
    <row r="189" ht="63.0" customHeight="1">
      <c r="A189" s="85" t="s">
        <v>745</v>
      </c>
      <c r="B189" s="86"/>
      <c r="C189" s="86" t="s">
        <v>746</v>
      </c>
      <c r="D189" s="87"/>
      <c r="E189" s="87"/>
      <c r="F189" s="64"/>
      <c r="G189" s="36"/>
      <c r="I189" s="72"/>
    </row>
    <row r="190" ht="15.0" customHeight="1">
      <c r="A190" s="85" t="s">
        <v>747</v>
      </c>
      <c r="B190" s="86" t="s">
        <v>748</v>
      </c>
      <c r="C190" s="127"/>
      <c r="D190" s="87"/>
      <c r="E190" s="87"/>
      <c r="F190" s="64"/>
      <c r="G190" s="36"/>
      <c r="I190" s="72"/>
    </row>
    <row r="191" ht="25.5" customHeight="1">
      <c r="A191" s="85" t="s">
        <v>749</v>
      </c>
      <c r="B191" s="86" t="s">
        <v>750</v>
      </c>
      <c r="C191" s="127"/>
      <c r="D191" s="87"/>
      <c r="E191" s="87"/>
      <c r="F191" s="64"/>
      <c r="G191" s="36"/>
      <c r="I191" s="72"/>
    </row>
    <row r="192" ht="51.0" customHeight="1">
      <c r="A192" s="94" t="s">
        <v>751</v>
      </c>
      <c r="B192" s="86" t="s">
        <v>752</v>
      </c>
      <c r="C192" s="127"/>
      <c r="D192" s="44"/>
      <c r="E192" s="68"/>
      <c r="F192" s="64" t="s">
        <v>753</v>
      </c>
      <c r="G192" s="36"/>
      <c r="I192" s="67"/>
    </row>
    <row r="193" ht="25.5" customHeight="1">
      <c r="A193" s="94" t="s">
        <v>754</v>
      </c>
      <c r="B193" s="86" t="s">
        <v>755</v>
      </c>
      <c r="C193" s="127"/>
      <c r="D193" s="44"/>
      <c r="E193" s="44"/>
      <c r="F193" s="64" t="s">
        <v>753</v>
      </c>
      <c r="G193" s="36"/>
      <c r="I193" s="67"/>
    </row>
    <row r="194" ht="38.25" customHeight="1">
      <c r="A194" s="94" t="s">
        <v>756</v>
      </c>
      <c r="B194" s="86" t="s">
        <v>757</v>
      </c>
      <c r="C194" s="127"/>
      <c r="D194" s="44"/>
      <c r="E194" s="68"/>
      <c r="F194" s="64" t="s">
        <v>753</v>
      </c>
      <c r="G194" s="36"/>
      <c r="I194" s="67"/>
    </row>
    <row r="195" ht="15.0" customHeight="1">
      <c r="A195" s="94" t="s">
        <v>758</v>
      </c>
      <c r="B195" s="68" t="s">
        <v>759</v>
      </c>
      <c r="C195" s="127"/>
      <c r="D195" s="44"/>
      <c r="E195" s="68"/>
      <c r="F195" s="64"/>
      <c r="G195" s="36"/>
      <c r="I195" s="72"/>
    </row>
    <row r="196" ht="15.0" customHeight="1">
      <c r="A196" s="94" t="s">
        <v>760</v>
      </c>
      <c r="B196" s="68" t="s">
        <v>761</v>
      </c>
      <c r="C196" s="127"/>
      <c r="D196" s="44"/>
      <c r="E196" s="68"/>
      <c r="F196" s="64"/>
      <c r="G196" s="36"/>
      <c r="I196" s="72"/>
    </row>
    <row r="197" ht="38.25" customHeight="1">
      <c r="A197" s="94" t="s">
        <v>762</v>
      </c>
      <c r="B197" s="68" t="s">
        <v>763</v>
      </c>
      <c r="C197" s="127"/>
      <c r="D197" s="44"/>
      <c r="E197" s="68"/>
      <c r="F197" s="64"/>
      <c r="G197" s="36"/>
      <c r="I197" s="72"/>
    </row>
    <row r="198" ht="15.0" customHeight="1">
      <c r="A198" s="94" t="s">
        <v>764</v>
      </c>
      <c r="B198" s="68" t="s">
        <v>765</v>
      </c>
      <c r="C198" s="127"/>
      <c r="D198" s="44"/>
      <c r="E198" s="68"/>
      <c r="F198" s="64"/>
      <c r="G198" s="36"/>
      <c r="I198" s="72"/>
    </row>
    <row r="199" ht="15.0" customHeight="1">
      <c r="A199" s="94" t="s">
        <v>766</v>
      </c>
      <c r="B199" s="68" t="s">
        <v>767</v>
      </c>
      <c r="C199" s="127"/>
      <c r="D199" s="44"/>
      <c r="E199" s="68"/>
      <c r="F199" s="64"/>
      <c r="G199" s="36"/>
      <c r="I199" s="72"/>
    </row>
    <row r="200" ht="15.0" customHeight="1">
      <c r="A200" s="94" t="s">
        <v>768</v>
      </c>
      <c r="B200" s="68" t="s">
        <v>769</v>
      </c>
      <c r="C200" s="127"/>
      <c r="D200" s="44"/>
      <c r="E200" s="68"/>
      <c r="F200" s="64"/>
      <c r="G200" s="36"/>
      <c r="I200" s="72"/>
    </row>
    <row r="201" ht="25.5" customHeight="1">
      <c r="A201" s="89" t="s">
        <v>770</v>
      </c>
      <c r="B201" s="49"/>
      <c r="C201" s="128"/>
      <c r="D201" s="54" t="s">
        <v>771</v>
      </c>
      <c r="E201" s="68"/>
      <c r="F201" s="64"/>
      <c r="G201" s="36"/>
      <c r="I201" s="67"/>
    </row>
    <row r="202" ht="15.0" customHeight="1">
      <c r="A202" s="89" t="s">
        <v>772</v>
      </c>
      <c r="B202" s="49" t="s">
        <v>773</v>
      </c>
      <c r="C202" s="128"/>
      <c r="D202" s="48"/>
      <c r="E202" s="68"/>
      <c r="F202" s="64"/>
      <c r="G202" s="36"/>
      <c r="I202" s="72"/>
    </row>
    <row r="203" ht="25.5" customHeight="1">
      <c r="A203" s="89" t="s">
        <v>774</v>
      </c>
      <c r="B203" s="49" t="s">
        <v>775</v>
      </c>
      <c r="C203" s="128"/>
      <c r="D203" s="48"/>
      <c r="E203" s="68"/>
      <c r="F203" s="64"/>
      <c r="G203" s="36"/>
      <c r="I203" s="72"/>
    </row>
    <row r="204" ht="15.0" customHeight="1">
      <c r="A204" s="89" t="s">
        <v>776</v>
      </c>
      <c r="B204" s="49" t="s">
        <v>777</v>
      </c>
      <c r="C204" s="128"/>
      <c r="D204" s="48"/>
      <c r="E204" s="68"/>
      <c r="F204" s="64"/>
      <c r="G204" s="36"/>
      <c r="I204" s="72"/>
    </row>
    <row r="205" ht="15.0" customHeight="1">
      <c r="A205" s="89" t="s">
        <v>778</v>
      </c>
      <c r="B205" s="49" t="s">
        <v>779</v>
      </c>
      <c r="C205" s="128"/>
      <c r="D205" s="48"/>
      <c r="E205" s="68"/>
      <c r="F205" s="64"/>
      <c r="G205" s="36"/>
      <c r="I205" s="72"/>
    </row>
    <row r="206" ht="15.0" customHeight="1">
      <c r="A206" s="89" t="s">
        <v>780</v>
      </c>
      <c r="B206" s="49" t="s">
        <v>781</v>
      </c>
      <c r="C206" s="128"/>
      <c r="D206" s="48"/>
      <c r="E206" s="68"/>
      <c r="F206" s="64"/>
      <c r="G206" s="36"/>
      <c r="I206" s="72"/>
    </row>
    <row r="207" ht="15.0" customHeight="1">
      <c r="A207" s="89" t="s">
        <v>782</v>
      </c>
      <c r="B207" s="49" t="s">
        <v>783</v>
      </c>
      <c r="C207" s="128"/>
      <c r="D207" s="48"/>
      <c r="E207" s="68"/>
      <c r="F207" s="64"/>
      <c r="G207" s="36"/>
      <c r="I207" s="72"/>
    </row>
    <row r="208" ht="15.0" customHeight="1">
      <c r="A208" s="89" t="s">
        <v>784</v>
      </c>
      <c r="B208" s="49" t="s">
        <v>785</v>
      </c>
      <c r="C208" s="128"/>
      <c r="D208" s="48"/>
      <c r="E208" s="68"/>
      <c r="F208" s="64"/>
      <c r="G208" s="36"/>
      <c r="I208" s="72"/>
    </row>
    <row r="209" ht="15.0" customHeight="1">
      <c r="A209" s="89" t="s">
        <v>786</v>
      </c>
      <c r="B209" s="49" t="s">
        <v>787</v>
      </c>
      <c r="C209" s="128"/>
      <c r="D209" s="48"/>
      <c r="E209" s="68"/>
      <c r="F209" s="64"/>
      <c r="G209" s="36"/>
      <c r="I209" s="72"/>
    </row>
    <row r="210" ht="15.0" customHeight="1">
      <c r="A210" s="89" t="s">
        <v>788</v>
      </c>
      <c r="B210" s="49" t="s">
        <v>789</v>
      </c>
      <c r="C210" s="128"/>
      <c r="D210" s="48"/>
      <c r="E210" s="68"/>
      <c r="F210" s="64"/>
      <c r="G210" s="36"/>
      <c r="I210" s="72"/>
    </row>
    <row r="211" ht="15.0" customHeight="1">
      <c r="A211" s="89" t="s">
        <v>790</v>
      </c>
      <c r="B211" s="49" t="s">
        <v>791</v>
      </c>
      <c r="C211" s="128"/>
      <c r="D211" s="48"/>
      <c r="E211" s="68"/>
      <c r="F211" s="64"/>
      <c r="G211" s="36"/>
      <c r="I211" s="72"/>
    </row>
    <row r="212" ht="25.5" customHeight="1">
      <c r="A212" s="89" t="s">
        <v>792</v>
      </c>
      <c r="B212" s="128"/>
      <c r="C212" s="128"/>
      <c r="D212" s="54" t="s">
        <v>793</v>
      </c>
      <c r="E212" s="68"/>
      <c r="F212" s="64"/>
      <c r="G212" s="36"/>
      <c r="I212" s="67"/>
    </row>
    <row r="213" ht="25.5" customHeight="1">
      <c r="A213" s="94" t="s">
        <v>794</v>
      </c>
      <c r="B213" s="68" t="s">
        <v>795</v>
      </c>
      <c r="C213" s="127"/>
      <c r="D213" s="44"/>
      <c r="E213" s="68"/>
      <c r="F213" s="64"/>
      <c r="G213" s="36"/>
      <c r="I213" s="72"/>
    </row>
    <row r="214" ht="15.0" customHeight="1">
      <c r="A214" s="94" t="s">
        <v>796</v>
      </c>
      <c r="B214" s="68" t="s">
        <v>797</v>
      </c>
      <c r="C214" s="127"/>
      <c r="D214" s="44"/>
      <c r="E214" s="68"/>
      <c r="F214" s="64"/>
      <c r="G214" s="36"/>
      <c r="I214" s="72"/>
    </row>
    <row r="215" ht="15.0" customHeight="1">
      <c r="A215" s="94" t="s">
        <v>798</v>
      </c>
      <c r="B215" s="68" t="s">
        <v>799</v>
      </c>
      <c r="C215" s="127"/>
      <c r="D215" s="44"/>
      <c r="E215" s="68"/>
      <c r="F215" s="64"/>
      <c r="G215" s="36"/>
      <c r="I215" s="72"/>
    </row>
    <row r="216" ht="15.0" customHeight="1">
      <c r="A216" s="94" t="s">
        <v>800</v>
      </c>
      <c r="B216" s="68" t="s">
        <v>801</v>
      </c>
      <c r="C216" s="127"/>
      <c r="D216" s="44"/>
      <c r="E216" s="68"/>
      <c r="F216" s="64"/>
      <c r="G216" s="36"/>
      <c r="I216" s="72"/>
    </row>
    <row r="217" ht="15.0" customHeight="1">
      <c r="A217" s="94" t="s">
        <v>802</v>
      </c>
      <c r="B217" s="68" t="s">
        <v>803</v>
      </c>
      <c r="C217" s="127"/>
      <c r="D217" s="44"/>
      <c r="E217" s="68"/>
      <c r="F217" s="64"/>
      <c r="G217" s="36"/>
      <c r="I217" s="72"/>
    </row>
    <row r="218" ht="15.0" customHeight="1">
      <c r="A218" s="94" t="s">
        <v>804</v>
      </c>
      <c r="B218" s="68" t="s">
        <v>805</v>
      </c>
      <c r="C218" s="127"/>
      <c r="D218" s="44"/>
      <c r="E218" s="68"/>
      <c r="F218" s="64"/>
      <c r="G218" s="36"/>
      <c r="I218" s="72"/>
    </row>
    <row r="219" ht="14.25" customHeight="1">
      <c r="A219" s="118"/>
      <c r="B219" s="124"/>
      <c r="C219" s="124"/>
      <c r="D219" s="124"/>
      <c r="E219" s="125"/>
      <c r="F219" s="124"/>
      <c r="G219" s="36"/>
    </row>
    <row r="220" ht="14.25" customHeight="1">
      <c r="G220" s="36"/>
    </row>
    <row r="221" ht="14.25" customHeight="1">
      <c r="G221" s="36"/>
    </row>
    <row r="222" ht="14.25" customHeight="1">
      <c r="G222" s="36"/>
    </row>
    <row r="223" ht="14.25" customHeight="1">
      <c r="G223" s="36"/>
    </row>
    <row r="224" ht="14.25" customHeight="1">
      <c r="G224" s="36"/>
    </row>
    <row r="225" ht="14.25" customHeight="1">
      <c r="G225" s="36"/>
    </row>
    <row r="226" ht="14.25" customHeight="1">
      <c r="G226" s="36"/>
    </row>
    <row r="227" ht="14.25" customHeight="1">
      <c r="G227" s="36"/>
    </row>
    <row r="228" ht="14.25" customHeight="1">
      <c r="G228" s="36"/>
    </row>
    <row r="229" ht="14.25" customHeight="1">
      <c r="G229" s="36"/>
    </row>
    <row r="230" ht="14.25" customHeight="1">
      <c r="G230" s="36"/>
    </row>
    <row r="231" ht="14.25" customHeight="1">
      <c r="G231" s="36"/>
    </row>
    <row r="232" ht="14.25" customHeight="1">
      <c r="G232" s="36"/>
    </row>
    <row r="233" ht="14.25" customHeight="1">
      <c r="G233" s="36"/>
    </row>
    <row r="234" ht="14.25" customHeight="1">
      <c r="G234" s="36"/>
    </row>
    <row r="235" ht="14.25" customHeight="1">
      <c r="G235" s="36"/>
    </row>
    <row r="236" ht="14.25" customHeight="1">
      <c r="G236" s="36"/>
    </row>
    <row r="237" ht="14.25" customHeight="1">
      <c r="G237" s="36"/>
    </row>
    <row r="238" ht="14.25" customHeight="1">
      <c r="G238" s="36"/>
    </row>
    <row r="239" ht="14.25" customHeight="1">
      <c r="G239" s="36"/>
    </row>
    <row r="240" ht="14.25" customHeight="1">
      <c r="G240" s="36"/>
    </row>
    <row r="241" ht="14.25" customHeight="1">
      <c r="G241" s="36"/>
    </row>
    <row r="242" ht="14.25" customHeight="1">
      <c r="G242" s="36"/>
    </row>
    <row r="243" ht="14.25" customHeight="1">
      <c r="G243" s="36"/>
    </row>
    <row r="244" ht="14.25" customHeight="1">
      <c r="G244" s="36"/>
    </row>
    <row r="245" ht="14.25" customHeight="1">
      <c r="G245" s="36"/>
    </row>
    <row r="246" ht="14.25" customHeight="1">
      <c r="G246" s="36"/>
    </row>
    <row r="247" ht="14.25" customHeight="1">
      <c r="G247" s="36"/>
    </row>
    <row r="248" ht="14.25" customHeight="1">
      <c r="G248" s="36"/>
    </row>
    <row r="249" ht="14.25" customHeight="1">
      <c r="G249" s="36"/>
    </row>
    <row r="250" ht="14.25" customHeight="1">
      <c r="G250" s="36"/>
    </row>
    <row r="251" ht="14.25" customHeight="1">
      <c r="G251" s="36"/>
    </row>
    <row r="252" ht="14.25" customHeight="1">
      <c r="G252" s="36"/>
    </row>
    <row r="253" ht="14.25" customHeight="1">
      <c r="G253" s="36"/>
    </row>
    <row r="254" ht="14.25" customHeight="1">
      <c r="G254" s="36"/>
    </row>
    <row r="255" ht="14.25" customHeight="1">
      <c r="G255" s="36"/>
    </row>
    <row r="256" ht="14.25" customHeight="1">
      <c r="G256" s="36"/>
    </row>
    <row r="257" ht="14.25" customHeight="1">
      <c r="G257" s="36"/>
    </row>
    <row r="258" ht="14.25" customHeight="1">
      <c r="G258" s="36"/>
    </row>
    <row r="259" ht="14.25" customHeight="1">
      <c r="G259" s="36"/>
    </row>
    <row r="260" ht="14.25" customHeight="1">
      <c r="G260" s="36"/>
    </row>
    <row r="261" ht="14.25" customHeight="1">
      <c r="G261" s="36"/>
    </row>
    <row r="262" ht="14.25" customHeight="1">
      <c r="G262" s="36"/>
    </row>
    <row r="263" ht="14.25" customHeight="1">
      <c r="G263" s="36"/>
    </row>
    <row r="264" ht="14.25" customHeight="1">
      <c r="G264" s="36"/>
    </row>
    <row r="265" ht="14.25" customHeight="1">
      <c r="G265" s="36"/>
    </row>
    <row r="266" ht="14.25" customHeight="1">
      <c r="G266" s="36"/>
    </row>
    <row r="267" ht="14.25" customHeight="1">
      <c r="G267" s="36"/>
    </row>
    <row r="268" ht="14.25" customHeight="1">
      <c r="G268" s="36"/>
    </row>
    <row r="269" ht="14.25" customHeight="1">
      <c r="G269" s="36"/>
    </row>
    <row r="270" ht="14.25" customHeight="1">
      <c r="G270" s="36"/>
    </row>
    <row r="271" ht="14.25" customHeight="1">
      <c r="G271" s="36"/>
    </row>
    <row r="272" ht="14.25" customHeight="1">
      <c r="G272" s="36"/>
    </row>
    <row r="273" ht="14.25" customHeight="1">
      <c r="G273" s="36"/>
    </row>
    <row r="274" ht="14.25" customHeight="1">
      <c r="G274" s="36"/>
    </row>
    <row r="275" ht="14.25" customHeight="1">
      <c r="G275" s="36"/>
    </row>
    <row r="276" ht="14.25" customHeight="1">
      <c r="G276" s="36"/>
    </row>
    <row r="277" ht="14.25" customHeight="1">
      <c r="G277" s="36"/>
    </row>
    <row r="278" ht="14.25" customHeight="1">
      <c r="G278" s="36"/>
    </row>
    <row r="279" ht="14.25" customHeight="1">
      <c r="G279" s="36"/>
    </row>
    <row r="280" ht="14.25" customHeight="1">
      <c r="G280" s="36"/>
    </row>
    <row r="281" ht="14.25" customHeight="1">
      <c r="G281" s="36"/>
    </row>
    <row r="282" ht="14.25" customHeight="1">
      <c r="G282" s="36"/>
    </row>
    <row r="283" ht="14.25" customHeight="1">
      <c r="G283" s="36"/>
    </row>
    <row r="284" ht="14.25" customHeight="1">
      <c r="G284" s="36"/>
    </row>
    <row r="285" ht="14.25" customHeight="1">
      <c r="G285" s="36"/>
    </row>
    <row r="286" ht="14.25" customHeight="1">
      <c r="G286" s="36"/>
    </row>
    <row r="287" ht="14.25" customHeight="1">
      <c r="G287" s="36"/>
    </row>
    <row r="288" ht="14.25" customHeight="1">
      <c r="G288" s="36"/>
    </row>
    <row r="289" ht="14.25" customHeight="1">
      <c r="G289" s="36"/>
    </row>
    <row r="290" ht="14.25" customHeight="1">
      <c r="G290" s="36"/>
    </row>
    <row r="291" ht="14.25" customHeight="1">
      <c r="G291" s="36"/>
    </row>
    <row r="292" ht="14.25" customHeight="1">
      <c r="G292" s="36"/>
    </row>
    <row r="293" ht="14.25" customHeight="1">
      <c r="G293" s="36"/>
    </row>
    <row r="294" ht="14.25" customHeight="1">
      <c r="G294" s="36"/>
    </row>
    <row r="295" ht="14.25" customHeight="1">
      <c r="G295" s="36"/>
    </row>
    <row r="296" ht="14.25" customHeight="1">
      <c r="G296" s="36"/>
    </row>
    <row r="297" ht="14.25" customHeight="1">
      <c r="G297" s="36"/>
    </row>
    <row r="298" ht="14.25" customHeight="1">
      <c r="G298" s="36"/>
    </row>
    <row r="299" ht="14.25" customHeight="1">
      <c r="G299" s="36"/>
    </row>
    <row r="300" ht="14.25" customHeight="1">
      <c r="G300" s="36"/>
    </row>
    <row r="301" ht="14.25" customHeight="1">
      <c r="G301" s="36"/>
    </row>
    <row r="302" ht="14.25" customHeight="1">
      <c r="G302" s="36"/>
    </row>
    <row r="303" ht="14.25" customHeight="1">
      <c r="G303" s="36"/>
    </row>
    <row r="304" ht="14.25" customHeight="1">
      <c r="G304" s="36"/>
    </row>
    <row r="305" ht="14.25" customHeight="1">
      <c r="G305" s="36"/>
    </row>
    <row r="306" ht="14.25" customHeight="1">
      <c r="G306" s="36"/>
    </row>
    <row r="307" ht="14.25" customHeight="1">
      <c r="G307" s="36"/>
    </row>
    <row r="308" ht="14.25" customHeight="1">
      <c r="G308" s="36"/>
    </row>
    <row r="309" ht="14.25" customHeight="1">
      <c r="G309" s="36"/>
    </row>
    <row r="310" ht="14.25" customHeight="1">
      <c r="G310" s="36"/>
    </row>
    <row r="311" ht="14.25" customHeight="1">
      <c r="G311" s="36"/>
    </row>
    <row r="312" ht="14.25" customHeight="1">
      <c r="G312" s="36"/>
    </row>
    <row r="313" ht="14.25" customHeight="1">
      <c r="G313" s="36"/>
    </row>
    <row r="314" ht="14.25" customHeight="1">
      <c r="G314" s="36"/>
    </row>
    <row r="315" ht="14.25" customHeight="1">
      <c r="G315" s="36"/>
    </row>
    <row r="316" ht="14.25" customHeight="1">
      <c r="G316" s="36"/>
    </row>
    <row r="317" ht="14.25" customHeight="1">
      <c r="G317" s="36"/>
    </row>
    <row r="318" ht="14.25" customHeight="1">
      <c r="G318" s="36"/>
    </row>
    <row r="319" ht="14.25" customHeight="1">
      <c r="G319" s="36"/>
    </row>
    <row r="320" ht="14.25" customHeight="1">
      <c r="G320" s="36"/>
    </row>
    <row r="321" ht="14.25" customHeight="1">
      <c r="G321" s="36"/>
    </row>
    <row r="322" ht="14.25" customHeight="1">
      <c r="G322" s="36"/>
    </row>
    <row r="323" ht="14.25" customHeight="1">
      <c r="G323" s="36"/>
    </row>
    <row r="324" ht="14.25" customHeight="1">
      <c r="G324" s="36"/>
    </row>
    <row r="325" ht="14.25" customHeight="1">
      <c r="G325" s="36"/>
    </row>
    <row r="326" ht="14.25" customHeight="1">
      <c r="G326" s="36"/>
    </row>
    <row r="327" ht="14.25" customHeight="1">
      <c r="G327" s="36"/>
    </row>
    <row r="328" ht="14.25" customHeight="1">
      <c r="G328" s="36"/>
    </row>
    <row r="329" ht="14.25" customHeight="1">
      <c r="G329" s="36"/>
    </row>
    <row r="330" ht="14.25" customHeight="1">
      <c r="G330" s="36"/>
    </row>
    <row r="331" ht="14.25" customHeight="1">
      <c r="G331" s="36"/>
    </row>
    <row r="332" ht="14.25" customHeight="1">
      <c r="G332" s="36"/>
    </row>
    <row r="333" ht="14.25" customHeight="1">
      <c r="G333" s="36"/>
    </row>
    <row r="334" ht="14.25" customHeight="1">
      <c r="G334" s="36"/>
    </row>
    <row r="335" ht="14.25" customHeight="1">
      <c r="G335" s="36"/>
    </row>
    <row r="336" ht="14.25" customHeight="1">
      <c r="G336" s="36"/>
    </row>
    <row r="337" ht="14.25" customHeight="1">
      <c r="G337" s="36"/>
    </row>
    <row r="338" ht="14.25" customHeight="1">
      <c r="G338" s="36"/>
    </row>
    <row r="339" ht="14.25" customHeight="1">
      <c r="G339" s="36"/>
    </row>
    <row r="340" ht="14.25" customHeight="1">
      <c r="G340" s="36"/>
    </row>
    <row r="341" ht="14.25" customHeight="1">
      <c r="G341" s="36"/>
    </row>
    <row r="342" ht="14.25" customHeight="1">
      <c r="G342" s="36"/>
    </row>
    <row r="343" ht="14.25" customHeight="1">
      <c r="G343" s="36"/>
    </row>
    <row r="344" ht="14.25" customHeight="1">
      <c r="G344" s="36"/>
    </row>
    <row r="345" ht="14.25" customHeight="1">
      <c r="G345" s="36"/>
    </row>
    <row r="346" ht="14.25" customHeight="1">
      <c r="G346" s="36"/>
    </row>
    <row r="347" ht="14.25" customHeight="1">
      <c r="G347" s="36"/>
    </row>
    <row r="348" ht="14.25" customHeight="1">
      <c r="G348" s="36"/>
    </row>
    <row r="349" ht="14.25" customHeight="1">
      <c r="G349" s="36"/>
    </row>
    <row r="350" ht="14.25" customHeight="1">
      <c r="G350" s="36"/>
    </row>
    <row r="351" ht="14.25" customHeight="1">
      <c r="G351" s="36"/>
    </row>
    <row r="352" ht="14.25" customHeight="1">
      <c r="G352" s="36"/>
    </row>
    <row r="353" ht="14.25" customHeight="1">
      <c r="G353" s="36"/>
    </row>
    <row r="354" ht="14.25" customHeight="1">
      <c r="G354" s="36"/>
    </row>
    <row r="355" ht="14.25" customHeight="1">
      <c r="G355" s="36"/>
    </row>
    <row r="356" ht="14.25" customHeight="1">
      <c r="G356" s="36"/>
    </row>
    <row r="357" ht="14.25" customHeight="1">
      <c r="G357" s="36"/>
    </row>
    <row r="358" ht="14.25" customHeight="1">
      <c r="G358" s="36"/>
    </row>
    <row r="359" ht="14.25" customHeight="1">
      <c r="G359" s="36"/>
    </row>
    <row r="360" ht="14.25" customHeight="1">
      <c r="G360" s="36"/>
    </row>
    <row r="361" ht="14.25" customHeight="1">
      <c r="G361" s="36"/>
    </row>
    <row r="362" ht="14.25" customHeight="1">
      <c r="G362" s="36"/>
    </row>
    <row r="363" ht="14.25" customHeight="1">
      <c r="G363" s="36"/>
    </row>
    <row r="364" ht="14.25" customHeight="1">
      <c r="G364" s="36"/>
    </row>
    <row r="365" ht="14.25" customHeight="1">
      <c r="G365" s="36"/>
    </row>
    <row r="366" ht="14.25" customHeight="1">
      <c r="G366" s="36"/>
    </row>
    <row r="367" ht="14.25" customHeight="1">
      <c r="G367" s="36"/>
    </row>
    <row r="368" ht="14.25" customHeight="1">
      <c r="G368" s="36"/>
    </row>
    <row r="369" ht="14.25" customHeight="1">
      <c r="G369" s="36"/>
    </row>
    <row r="370" ht="14.25" customHeight="1">
      <c r="G370" s="36"/>
    </row>
    <row r="371" ht="14.25" customHeight="1">
      <c r="G371" s="36"/>
    </row>
    <row r="372" ht="14.25" customHeight="1">
      <c r="G372" s="36"/>
    </row>
    <row r="373" ht="14.25" customHeight="1">
      <c r="G373" s="36"/>
    </row>
    <row r="374" ht="14.25" customHeight="1">
      <c r="G374" s="36"/>
    </row>
    <row r="375" ht="14.25" customHeight="1">
      <c r="G375" s="36"/>
    </row>
    <row r="376" ht="14.25" customHeight="1">
      <c r="G376" s="36"/>
    </row>
    <row r="377" ht="14.25" customHeight="1">
      <c r="G377" s="36"/>
    </row>
    <row r="378" ht="14.25" customHeight="1">
      <c r="G378" s="36"/>
    </row>
    <row r="379" ht="14.25" customHeight="1">
      <c r="G379" s="36"/>
    </row>
    <row r="380" ht="14.25" customHeight="1">
      <c r="G380" s="36"/>
    </row>
    <row r="381" ht="14.25" customHeight="1">
      <c r="G381" s="36"/>
    </row>
    <row r="382" ht="14.25" customHeight="1">
      <c r="G382" s="36"/>
    </row>
    <row r="383" ht="14.25" customHeight="1">
      <c r="G383" s="36"/>
    </row>
    <row r="384" ht="14.25" customHeight="1">
      <c r="G384" s="36"/>
    </row>
    <row r="385" ht="14.25" customHeight="1">
      <c r="G385" s="36"/>
    </row>
    <row r="386" ht="14.25" customHeight="1">
      <c r="G386" s="36"/>
    </row>
    <row r="387" ht="14.25" customHeight="1">
      <c r="G387" s="36"/>
    </row>
    <row r="388" ht="14.25" customHeight="1">
      <c r="G388" s="36"/>
    </row>
    <row r="389" ht="14.25" customHeight="1">
      <c r="G389" s="36"/>
    </row>
    <row r="390" ht="14.25" customHeight="1">
      <c r="G390" s="36"/>
    </row>
    <row r="391" ht="14.25" customHeight="1">
      <c r="G391" s="36"/>
    </row>
    <row r="392" ht="14.25" customHeight="1">
      <c r="G392" s="36"/>
    </row>
    <row r="393" ht="14.25" customHeight="1">
      <c r="G393" s="36"/>
    </row>
    <row r="394" ht="14.25" customHeight="1">
      <c r="G394" s="36"/>
    </row>
    <row r="395" ht="14.25" customHeight="1">
      <c r="G395" s="36"/>
    </row>
    <row r="396" ht="14.25" customHeight="1">
      <c r="G396" s="36"/>
    </row>
    <row r="397" ht="14.25" customHeight="1">
      <c r="G397" s="36"/>
    </row>
    <row r="398" ht="14.25" customHeight="1">
      <c r="G398" s="36"/>
    </row>
    <row r="399" ht="14.25" customHeight="1">
      <c r="G399" s="36"/>
    </row>
    <row r="400" ht="14.25" customHeight="1">
      <c r="G400" s="36"/>
    </row>
    <row r="401" ht="14.25" customHeight="1">
      <c r="G401" s="36"/>
    </row>
    <row r="402" ht="14.25" customHeight="1">
      <c r="G402" s="36"/>
    </row>
    <row r="403" ht="14.25" customHeight="1">
      <c r="G403" s="36"/>
    </row>
    <row r="404" ht="14.25" customHeight="1">
      <c r="G404" s="36"/>
    </row>
    <row r="405" ht="14.25" customHeight="1">
      <c r="G405" s="36"/>
    </row>
    <row r="406" ht="14.25" customHeight="1">
      <c r="G406" s="36"/>
    </row>
    <row r="407" ht="14.25" customHeight="1">
      <c r="G407" s="36"/>
    </row>
    <row r="408" ht="14.25" customHeight="1">
      <c r="G408" s="36"/>
    </row>
    <row r="409" ht="14.25" customHeight="1">
      <c r="G409" s="36"/>
    </row>
    <row r="410" ht="14.25" customHeight="1">
      <c r="G410" s="36"/>
    </row>
    <row r="411" ht="14.25" customHeight="1">
      <c r="G411" s="36"/>
    </row>
    <row r="412" ht="14.25" customHeight="1">
      <c r="G412" s="36"/>
    </row>
    <row r="413" ht="14.25" customHeight="1">
      <c r="G413" s="36"/>
    </row>
    <row r="414" ht="14.25" customHeight="1">
      <c r="G414" s="36"/>
    </row>
    <row r="415" ht="14.25" customHeight="1">
      <c r="G415" s="36"/>
    </row>
    <row r="416" ht="14.25" customHeight="1">
      <c r="G416" s="36"/>
    </row>
    <row r="417" ht="14.25" customHeight="1">
      <c r="G417" s="36"/>
    </row>
    <row r="418" ht="14.25" customHeight="1">
      <c r="G418" s="36"/>
    </row>
    <row r="419" ht="14.25" customHeight="1">
      <c r="G419" s="36"/>
    </row>
    <row r="420" ht="14.25" customHeight="1">
      <c r="G420" s="36"/>
    </row>
    <row r="421" ht="14.25" customHeight="1">
      <c r="G421" s="36"/>
    </row>
    <row r="422" ht="14.25" customHeight="1">
      <c r="G422" s="36"/>
    </row>
    <row r="423" ht="14.25" customHeight="1">
      <c r="G423" s="36"/>
    </row>
    <row r="424" ht="14.25" customHeight="1">
      <c r="G424" s="36"/>
    </row>
    <row r="425" ht="14.25" customHeight="1">
      <c r="G425" s="36"/>
    </row>
    <row r="426" ht="14.25" customHeight="1">
      <c r="G426" s="36"/>
    </row>
    <row r="427" ht="14.25" customHeight="1">
      <c r="G427" s="36"/>
    </row>
    <row r="428" ht="14.25" customHeight="1">
      <c r="G428" s="36"/>
    </row>
    <row r="429" ht="14.25" customHeight="1">
      <c r="G429" s="36"/>
    </row>
    <row r="430" ht="14.25" customHeight="1">
      <c r="G430" s="36"/>
    </row>
    <row r="431" ht="14.25" customHeight="1">
      <c r="G431" s="36"/>
    </row>
    <row r="432" ht="14.25" customHeight="1">
      <c r="G432" s="36"/>
    </row>
    <row r="433" ht="14.25" customHeight="1">
      <c r="G433" s="36"/>
    </row>
    <row r="434" ht="14.25" customHeight="1">
      <c r="G434" s="36"/>
    </row>
    <row r="435" ht="14.25" customHeight="1">
      <c r="G435" s="36"/>
    </row>
    <row r="436" ht="14.25" customHeight="1">
      <c r="G436" s="36"/>
    </row>
    <row r="437" ht="14.25" customHeight="1">
      <c r="G437" s="36"/>
    </row>
    <row r="438" ht="14.25" customHeight="1">
      <c r="G438" s="36"/>
    </row>
    <row r="439" ht="14.25" customHeight="1">
      <c r="G439" s="36"/>
    </row>
    <row r="440" ht="14.25" customHeight="1">
      <c r="G440" s="36"/>
    </row>
    <row r="441" ht="14.25" customHeight="1">
      <c r="G441" s="36"/>
    </row>
    <row r="442" ht="14.25" customHeight="1">
      <c r="G442" s="36"/>
    </row>
    <row r="443" ht="14.25" customHeight="1">
      <c r="G443" s="36"/>
    </row>
    <row r="444" ht="14.25" customHeight="1">
      <c r="G444" s="36"/>
    </row>
    <row r="445" ht="14.25" customHeight="1">
      <c r="G445" s="36"/>
    </row>
    <row r="446" ht="14.25" customHeight="1">
      <c r="G446" s="36"/>
    </row>
    <row r="447" ht="14.25" customHeight="1">
      <c r="G447" s="36"/>
    </row>
    <row r="448" ht="14.25" customHeight="1">
      <c r="G448" s="36"/>
    </row>
    <row r="449" ht="14.25" customHeight="1">
      <c r="G449" s="36"/>
    </row>
    <row r="450" ht="14.25" customHeight="1">
      <c r="G450" s="36"/>
    </row>
    <row r="451" ht="14.25" customHeight="1">
      <c r="G451" s="36"/>
    </row>
    <row r="452" ht="14.25" customHeight="1">
      <c r="G452" s="36"/>
    </row>
    <row r="453" ht="14.25" customHeight="1">
      <c r="G453" s="36"/>
    </row>
    <row r="454" ht="14.25" customHeight="1">
      <c r="G454" s="36"/>
    </row>
    <row r="455" ht="14.25" customHeight="1">
      <c r="G455" s="36"/>
    </row>
    <row r="456" ht="14.25" customHeight="1">
      <c r="G456" s="36"/>
    </row>
    <row r="457" ht="14.25" customHeight="1">
      <c r="G457" s="36"/>
    </row>
    <row r="458" ht="14.25" customHeight="1">
      <c r="G458" s="36"/>
    </row>
    <row r="459" ht="14.25" customHeight="1">
      <c r="G459" s="36"/>
    </row>
    <row r="460" ht="14.25" customHeight="1">
      <c r="G460" s="36"/>
    </row>
    <row r="461" ht="14.25" customHeight="1">
      <c r="G461" s="36"/>
    </row>
    <row r="462" ht="14.25" customHeight="1">
      <c r="G462" s="36"/>
    </row>
    <row r="463" ht="14.25" customHeight="1">
      <c r="G463" s="36"/>
    </row>
    <row r="464" ht="14.25" customHeight="1">
      <c r="G464" s="36"/>
    </row>
    <row r="465" ht="14.25" customHeight="1">
      <c r="G465" s="36"/>
    </row>
    <row r="466" ht="14.25" customHeight="1">
      <c r="G466" s="36"/>
    </row>
    <row r="467" ht="14.25" customHeight="1">
      <c r="G467" s="36"/>
    </row>
    <row r="468" ht="14.25" customHeight="1">
      <c r="G468" s="36"/>
    </row>
    <row r="469" ht="14.25" customHeight="1">
      <c r="G469" s="36"/>
    </row>
    <row r="470" ht="14.25" customHeight="1">
      <c r="G470" s="36"/>
    </row>
    <row r="471" ht="14.25" customHeight="1">
      <c r="G471" s="36"/>
    </row>
    <row r="472" ht="14.25" customHeight="1">
      <c r="G472" s="36"/>
    </row>
    <row r="473" ht="14.25" customHeight="1">
      <c r="G473" s="36"/>
    </row>
    <row r="474" ht="14.25" customHeight="1">
      <c r="G474" s="36"/>
    </row>
    <row r="475" ht="14.25" customHeight="1">
      <c r="G475" s="36"/>
    </row>
    <row r="476" ht="14.25" customHeight="1">
      <c r="G476" s="36"/>
    </row>
    <row r="477" ht="14.25" customHeight="1">
      <c r="G477" s="36"/>
    </row>
    <row r="478" ht="14.25" customHeight="1">
      <c r="G478" s="36"/>
    </row>
    <row r="479" ht="14.25" customHeight="1">
      <c r="G479" s="36"/>
    </row>
    <row r="480" ht="14.25" customHeight="1">
      <c r="G480" s="36"/>
    </row>
    <row r="481" ht="14.25" customHeight="1">
      <c r="G481" s="36"/>
    </row>
    <row r="482" ht="14.25" customHeight="1">
      <c r="G482" s="36"/>
    </row>
    <row r="483" ht="14.25" customHeight="1">
      <c r="G483" s="36"/>
    </row>
    <row r="484" ht="14.25" customHeight="1">
      <c r="G484" s="36"/>
    </row>
    <row r="485" ht="14.25" customHeight="1">
      <c r="G485" s="36"/>
    </row>
    <row r="486" ht="14.25" customHeight="1">
      <c r="G486" s="36"/>
    </row>
    <row r="487" ht="14.25" customHeight="1">
      <c r="G487" s="36"/>
    </row>
    <row r="488" ht="14.25" customHeight="1">
      <c r="G488" s="36"/>
    </row>
    <row r="489" ht="14.25" customHeight="1">
      <c r="G489" s="36"/>
    </row>
    <row r="490" ht="14.25" customHeight="1">
      <c r="G490" s="36"/>
    </row>
    <row r="491" ht="14.25" customHeight="1">
      <c r="G491" s="36"/>
    </row>
    <row r="492" ht="14.25" customHeight="1">
      <c r="G492" s="36"/>
    </row>
    <row r="493" ht="14.25" customHeight="1">
      <c r="G493" s="36"/>
    </row>
    <row r="494" ht="14.25" customHeight="1">
      <c r="G494" s="36"/>
    </row>
    <row r="495" ht="14.25" customHeight="1">
      <c r="G495" s="36"/>
    </row>
    <row r="496" ht="14.25" customHeight="1">
      <c r="G496" s="36"/>
    </row>
    <row r="497" ht="14.25" customHeight="1">
      <c r="G497" s="36"/>
    </row>
    <row r="498" ht="14.25" customHeight="1">
      <c r="G498" s="36"/>
    </row>
    <row r="499" ht="14.25" customHeight="1">
      <c r="G499" s="36"/>
    </row>
    <row r="500" ht="14.25" customHeight="1">
      <c r="G500" s="36"/>
    </row>
    <row r="501" ht="14.25" customHeight="1">
      <c r="G501" s="36"/>
    </row>
    <row r="502" ht="14.25" customHeight="1">
      <c r="G502" s="36"/>
    </row>
    <row r="503" ht="14.25" customHeight="1">
      <c r="G503" s="36"/>
    </row>
    <row r="504" ht="14.25" customHeight="1">
      <c r="G504" s="36"/>
    </row>
    <row r="505" ht="14.25" customHeight="1">
      <c r="G505" s="36"/>
    </row>
    <row r="506" ht="14.25" customHeight="1">
      <c r="G506" s="36"/>
    </row>
    <row r="507" ht="14.25" customHeight="1">
      <c r="G507" s="36"/>
    </row>
    <row r="508" ht="14.25" customHeight="1">
      <c r="G508" s="36"/>
    </row>
    <row r="509" ht="14.25" customHeight="1">
      <c r="G509" s="36"/>
    </row>
    <row r="510" ht="14.25" customHeight="1">
      <c r="G510" s="36"/>
    </row>
    <row r="511" ht="14.25" customHeight="1">
      <c r="G511" s="36"/>
    </row>
    <row r="512" ht="14.25" customHeight="1">
      <c r="G512" s="36"/>
    </row>
    <row r="513" ht="14.25" customHeight="1">
      <c r="G513" s="36"/>
    </row>
    <row r="514" ht="14.25" customHeight="1">
      <c r="G514" s="36"/>
    </row>
    <row r="515" ht="14.25" customHeight="1">
      <c r="G515" s="36"/>
    </row>
    <row r="516" ht="14.25" customHeight="1">
      <c r="G516" s="36"/>
    </row>
    <row r="517" ht="14.25" customHeight="1">
      <c r="G517" s="36"/>
    </row>
    <row r="518" ht="14.25" customHeight="1">
      <c r="G518" s="36"/>
    </row>
    <row r="519" ht="14.25" customHeight="1">
      <c r="G519" s="36"/>
    </row>
    <row r="520" ht="14.25" customHeight="1">
      <c r="G520" s="36"/>
    </row>
    <row r="521" ht="14.25" customHeight="1">
      <c r="G521" s="36"/>
    </row>
    <row r="522" ht="14.25" customHeight="1">
      <c r="G522" s="36"/>
    </row>
    <row r="523" ht="14.25" customHeight="1">
      <c r="G523" s="36"/>
    </row>
    <row r="524" ht="14.25" customHeight="1">
      <c r="G524" s="36"/>
    </row>
    <row r="525" ht="14.25" customHeight="1">
      <c r="G525" s="36"/>
    </row>
    <row r="526" ht="14.25" customHeight="1">
      <c r="G526" s="36"/>
    </row>
    <row r="527" ht="14.25" customHeight="1">
      <c r="G527" s="36"/>
    </row>
    <row r="528" ht="14.25" customHeight="1">
      <c r="G528" s="36"/>
    </row>
    <row r="529" ht="14.25" customHeight="1">
      <c r="G529" s="36"/>
    </row>
    <row r="530" ht="14.25" customHeight="1">
      <c r="G530" s="36"/>
    </row>
    <row r="531" ht="14.25" customHeight="1">
      <c r="G531" s="36"/>
    </row>
    <row r="532" ht="14.25" customHeight="1">
      <c r="G532" s="36"/>
    </row>
    <row r="533" ht="14.25" customHeight="1">
      <c r="G533" s="36"/>
    </row>
    <row r="534" ht="14.25" customHeight="1">
      <c r="G534" s="36"/>
    </row>
    <row r="535" ht="14.25" customHeight="1">
      <c r="G535" s="36"/>
    </row>
    <row r="536" ht="14.25" customHeight="1">
      <c r="G536" s="36"/>
    </row>
    <row r="537" ht="14.25" customHeight="1">
      <c r="G537" s="36"/>
    </row>
    <row r="538" ht="14.25" customHeight="1">
      <c r="G538" s="36"/>
    </row>
    <row r="539" ht="14.25" customHeight="1">
      <c r="G539" s="36"/>
    </row>
    <row r="540" ht="14.25" customHeight="1">
      <c r="G540" s="36"/>
    </row>
    <row r="541" ht="14.25" customHeight="1">
      <c r="G541" s="36"/>
    </row>
    <row r="542" ht="14.25" customHeight="1">
      <c r="G542" s="36"/>
    </row>
    <row r="543" ht="14.25" customHeight="1">
      <c r="G543" s="36"/>
    </row>
    <row r="544" ht="14.25" customHeight="1">
      <c r="G544" s="36"/>
    </row>
    <row r="545" ht="14.25" customHeight="1">
      <c r="G545" s="36"/>
    </row>
    <row r="546" ht="14.25" customHeight="1">
      <c r="G546" s="36"/>
    </row>
    <row r="547" ht="14.25" customHeight="1">
      <c r="G547" s="36"/>
    </row>
    <row r="548" ht="14.25" customHeight="1">
      <c r="G548" s="36"/>
    </row>
    <row r="549" ht="14.25" customHeight="1">
      <c r="G549" s="36"/>
    </row>
    <row r="550" ht="14.25" customHeight="1">
      <c r="G550" s="36"/>
    </row>
    <row r="551" ht="14.25" customHeight="1">
      <c r="G551" s="36"/>
    </row>
    <row r="552" ht="14.25" customHeight="1">
      <c r="G552" s="36"/>
    </row>
    <row r="553" ht="14.25" customHeight="1">
      <c r="G553" s="36"/>
    </row>
    <row r="554" ht="14.25" customHeight="1">
      <c r="G554" s="36"/>
    </row>
    <row r="555" ht="14.25" customHeight="1">
      <c r="G555" s="36"/>
    </row>
    <row r="556" ht="14.25" customHeight="1">
      <c r="G556" s="36"/>
    </row>
    <row r="557" ht="14.25" customHeight="1">
      <c r="G557" s="36"/>
    </row>
    <row r="558" ht="14.25" customHeight="1">
      <c r="G558" s="36"/>
    </row>
    <row r="559" ht="14.25" customHeight="1">
      <c r="G559" s="36"/>
    </row>
    <row r="560" ht="14.25" customHeight="1">
      <c r="G560" s="36"/>
    </row>
    <row r="561" ht="14.25" customHeight="1">
      <c r="G561" s="36"/>
    </row>
    <row r="562" ht="14.25" customHeight="1">
      <c r="G562" s="36"/>
    </row>
    <row r="563" ht="14.25" customHeight="1">
      <c r="G563" s="36"/>
    </row>
    <row r="564" ht="14.25" customHeight="1">
      <c r="G564" s="36"/>
    </row>
    <row r="565" ht="14.25" customHeight="1">
      <c r="G565" s="36"/>
    </row>
    <row r="566" ht="14.25" customHeight="1">
      <c r="G566" s="36"/>
    </row>
    <row r="567" ht="14.25" customHeight="1">
      <c r="G567" s="36"/>
    </row>
    <row r="568" ht="14.25" customHeight="1">
      <c r="G568" s="36"/>
    </row>
    <row r="569" ht="14.25" customHeight="1">
      <c r="G569" s="36"/>
    </row>
    <row r="570" ht="14.25" customHeight="1">
      <c r="G570" s="36"/>
    </row>
    <row r="571" ht="14.25" customHeight="1">
      <c r="G571" s="36"/>
    </row>
    <row r="572" ht="14.25" customHeight="1">
      <c r="G572" s="36"/>
    </row>
    <row r="573" ht="14.25" customHeight="1">
      <c r="G573" s="36"/>
    </row>
    <row r="574" ht="14.25" customHeight="1">
      <c r="G574" s="36"/>
    </row>
    <row r="575" ht="14.25" customHeight="1">
      <c r="G575" s="36"/>
    </row>
    <row r="576" ht="14.25" customHeight="1">
      <c r="G576" s="36"/>
    </row>
    <row r="577" ht="14.25" customHeight="1">
      <c r="G577" s="36"/>
    </row>
    <row r="578" ht="14.25" customHeight="1">
      <c r="G578" s="36"/>
    </row>
    <row r="579" ht="14.25" customHeight="1">
      <c r="G579" s="36"/>
    </row>
    <row r="580" ht="14.25" customHeight="1">
      <c r="G580" s="36"/>
    </row>
    <row r="581" ht="14.25" customHeight="1">
      <c r="G581" s="36"/>
    </row>
    <row r="582" ht="14.25" customHeight="1">
      <c r="G582" s="36"/>
    </row>
    <row r="583" ht="14.25" customHeight="1">
      <c r="G583" s="36"/>
    </row>
    <row r="584" ht="14.25" customHeight="1">
      <c r="G584" s="36"/>
    </row>
    <row r="585" ht="14.25" customHeight="1">
      <c r="G585" s="36"/>
    </row>
    <row r="586" ht="14.25" customHeight="1">
      <c r="G586" s="36"/>
    </row>
    <row r="587" ht="14.25" customHeight="1">
      <c r="G587" s="36"/>
    </row>
    <row r="588" ht="14.25" customHeight="1">
      <c r="G588" s="36"/>
    </row>
    <row r="589" ht="14.25" customHeight="1">
      <c r="G589" s="36"/>
    </row>
    <row r="590" ht="14.25" customHeight="1">
      <c r="G590" s="36"/>
    </row>
    <row r="591" ht="14.25" customHeight="1">
      <c r="G591" s="36"/>
    </row>
    <row r="592" ht="14.25" customHeight="1">
      <c r="G592" s="36"/>
    </row>
    <row r="593" ht="14.25" customHeight="1">
      <c r="G593" s="36"/>
    </row>
    <row r="594" ht="14.25" customHeight="1">
      <c r="G594" s="36"/>
    </row>
    <row r="595" ht="14.25" customHeight="1">
      <c r="G595" s="36"/>
    </row>
    <row r="596" ht="14.25" customHeight="1">
      <c r="G596" s="36"/>
    </row>
    <row r="597" ht="14.25" customHeight="1">
      <c r="G597" s="36"/>
    </row>
    <row r="598" ht="14.25" customHeight="1">
      <c r="G598" s="36"/>
    </row>
    <row r="599" ht="14.25" customHeight="1">
      <c r="G599" s="36"/>
    </row>
    <row r="600" ht="14.25" customHeight="1">
      <c r="G600" s="36"/>
    </row>
    <row r="601" ht="14.25" customHeight="1">
      <c r="G601" s="36"/>
    </row>
    <row r="602" ht="14.25" customHeight="1">
      <c r="G602" s="36"/>
    </row>
    <row r="603" ht="14.25" customHeight="1">
      <c r="G603" s="36"/>
    </row>
    <row r="604" ht="14.25" customHeight="1">
      <c r="G604" s="36"/>
    </row>
    <row r="605" ht="14.25" customHeight="1">
      <c r="G605" s="36"/>
    </row>
    <row r="606" ht="14.25" customHeight="1">
      <c r="G606" s="36"/>
    </row>
    <row r="607" ht="14.25" customHeight="1">
      <c r="G607" s="36"/>
    </row>
    <row r="608" ht="14.25" customHeight="1">
      <c r="G608" s="36"/>
    </row>
    <row r="609" ht="14.25" customHeight="1">
      <c r="G609" s="36"/>
    </row>
    <row r="610" ht="14.25" customHeight="1">
      <c r="G610" s="36"/>
    </row>
    <row r="611" ht="14.25" customHeight="1">
      <c r="G611" s="36"/>
    </row>
    <row r="612" ht="14.25" customHeight="1">
      <c r="G612" s="36"/>
    </row>
    <row r="613" ht="14.25" customHeight="1">
      <c r="G613" s="36"/>
    </row>
    <row r="614" ht="14.25" customHeight="1">
      <c r="G614" s="36"/>
    </row>
    <row r="615" ht="14.25" customHeight="1">
      <c r="G615" s="36"/>
    </row>
    <row r="616" ht="14.25" customHeight="1">
      <c r="G616" s="36"/>
    </row>
    <row r="617" ht="14.25" customHeight="1">
      <c r="G617" s="36"/>
    </row>
    <row r="618" ht="14.25" customHeight="1">
      <c r="G618" s="36"/>
    </row>
    <row r="619" ht="14.25" customHeight="1">
      <c r="G619" s="36"/>
    </row>
    <row r="620" ht="14.25" customHeight="1">
      <c r="G620" s="36"/>
    </row>
    <row r="621" ht="14.25" customHeight="1">
      <c r="G621" s="36"/>
    </row>
    <row r="622" ht="14.25" customHeight="1">
      <c r="G622" s="36"/>
    </row>
    <row r="623" ht="14.25" customHeight="1">
      <c r="G623" s="36"/>
    </row>
    <row r="624" ht="14.25" customHeight="1">
      <c r="G624" s="36"/>
    </row>
    <row r="625" ht="14.25" customHeight="1">
      <c r="G625" s="36"/>
    </row>
    <row r="626" ht="14.25" customHeight="1">
      <c r="G626" s="36"/>
    </row>
    <row r="627" ht="14.25" customHeight="1">
      <c r="G627" s="36"/>
    </row>
    <row r="628" ht="14.25" customHeight="1">
      <c r="G628" s="36"/>
    </row>
    <row r="629" ht="14.25" customHeight="1">
      <c r="G629" s="36"/>
    </row>
    <row r="630" ht="14.25" customHeight="1">
      <c r="G630" s="36"/>
    </row>
    <row r="631" ht="14.25" customHeight="1">
      <c r="G631" s="36"/>
    </row>
    <row r="632" ht="14.25" customHeight="1">
      <c r="G632" s="36"/>
    </row>
    <row r="633" ht="14.25" customHeight="1">
      <c r="G633" s="36"/>
    </row>
    <row r="634" ht="14.25" customHeight="1">
      <c r="G634" s="36"/>
    </row>
    <row r="635" ht="14.25" customHeight="1">
      <c r="G635" s="36"/>
    </row>
    <row r="636" ht="14.25" customHeight="1">
      <c r="G636" s="36"/>
    </row>
    <row r="637" ht="14.25" customHeight="1">
      <c r="G637" s="36"/>
    </row>
    <row r="638" ht="14.25" customHeight="1">
      <c r="G638" s="36"/>
    </row>
    <row r="639" ht="14.25" customHeight="1">
      <c r="G639" s="36"/>
    </row>
    <row r="640" ht="14.25" customHeight="1">
      <c r="G640" s="36"/>
    </row>
    <row r="641" ht="14.25" customHeight="1">
      <c r="G641" s="36"/>
    </row>
    <row r="642" ht="14.25" customHeight="1">
      <c r="G642" s="36"/>
    </row>
    <row r="643" ht="14.25" customHeight="1">
      <c r="G643" s="36"/>
    </row>
    <row r="644" ht="14.25" customHeight="1">
      <c r="G644" s="36"/>
    </row>
    <row r="645" ht="14.25" customHeight="1">
      <c r="G645" s="36"/>
    </row>
    <row r="646" ht="14.25" customHeight="1">
      <c r="G646" s="36"/>
    </row>
    <row r="647" ht="14.25" customHeight="1">
      <c r="G647" s="36"/>
    </row>
    <row r="648" ht="14.25" customHeight="1">
      <c r="G648" s="36"/>
    </row>
    <row r="649" ht="14.25" customHeight="1">
      <c r="G649" s="36"/>
    </row>
    <row r="650" ht="14.25" customHeight="1">
      <c r="G650" s="36"/>
    </row>
    <row r="651" ht="14.25" customHeight="1">
      <c r="G651" s="36"/>
    </row>
    <row r="652" ht="14.25" customHeight="1">
      <c r="G652" s="36"/>
    </row>
    <row r="653" ht="14.25" customHeight="1">
      <c r="G653" s="36"/>
    </row>
    <row r="654" ht="14.25" customHeight="1">
      <c r="G654" s="36"/>
    </row>
    <row r="655" ht="14.25" customHeight="1">
      <c r="G655" s="36"/>
    </row>
    <row r="656" ht="14.25" customHeight="1">
      <c r="G656" s="36"/>
    </row>
    <row r="657" ht="14.25" customHeight="1">
      <c r="G657" s="36"/>
    </row>
    <row r="658" ht="14.25" customHeight="1">
      <c r="G658" s="36"/>
    </row>
    <row r="659" ht="14.25" customHeight="1">
      <c r="G659" s="36"/>
    </row>
    <row r="660" ht="14.25" customHeight="1">
      <c r="G660" s="36"/>
    </row>
    <row r="661" ht="14.25" customHeight="1">
      <c r="G661" s="36"/>
    </row>
    <row r="662" ht="14.25" customHeight="1">
      <c r="G662" s="36"/>
    </row>
    <row r="663" ht="14.25" customHeight="1">
      <c r="G663" s="36"/>
    </row>
    <row r="664" ht="14.25" customHeight="1">
      <c r="G664" s="36"/>
    </row>
    <row r="665" ht="14.25" customHeight="1">
      <c r="G665" s="36"/>
    </row>
    <row r="666" ht="14.25" customHeight="1">
      <c r="G666" s="36"/>
    </row>
    <row r="667" ht="14.25" customHeight="1">
      <c r="G667" s="36"/>
    </row>
    <row r="668" ht="14.25" customHeight="1">
      <c r="G668" s="36"/>
    </row>
    <row r="669" ht="14.25" customHeight="1">
      <c r="G669" s="36"/>
    </row>
    <row r="670" ht="14.25" customHeight="1">
      <c r="G670" s="36"/>
    </row>
    <row r="671" ht="14.25" customHeight="1">
      <c r="G671" s="36"/>
    </row>
    <row r="672" ht="14.25" customHeight="1">
      <c r="G672" s="36"/>
    </row>
    <row r="673" ht="14.25" customHeight="1">
      <c r="G673" s="36"/>
    </row>
    <row r="674" ht="14.25" customHeight="1">
      <c r="G674" s="36"/>
    </row>
    <row r="675" ht="14.25" customHeight="1">
      <c r="G675" s="36"/>
    </row>
    <row r="676" ht="14.25" customHeight="1">
      <c r="G676" s="36"/>
    </row>
    <row r="677" ht="14.25" customHeight="1">
      <c r="G677" s="36"/>
    </row>
    <row r="678" ht="14.25" customHeight="1">
      <c r="G678" s="36"/>
    </row>
    <row r="679" ht="14.25" customHeight="1">
      <c r="G679" s="36"/>
    </row>
    <row r="680" ht="14.25" customHeight="1">
      <c r="G680" s="36"/>
    </row>
    <row r="681" ht="14.25" customHeight="1">
      <c r="G681" s="36"/>
    </row>
    <row r="682" ht="14.25" customHeight="1">
      <c r="G682" s="36"/>
    </row>
    <row r="683" ht="14.25" customHeight="1">
      <c r="G683" s="36"/>
    </row>
    <row r="684" ht="14.25" customHeight="1">
      <c r="G684" s="36"/>
    </row>
    <row r="685" ht="14.25" customHeight="1">
      <c r="G685" s="36"/>
    </row>
    <row r="686" ht="14.25" customHeight="1">
      <c r="G686" s="36"/>
    </row>
    <row r="687" ht="14.25" customHeight="1">
      <c r="G687" s="36"/>
    </row>
    <row r="688" ht="14.25" customHeight="1">
      <c r="G688" s="36"/>
    </row>
    <row r="689" ht="14.25" customHeight="1">
      <c r="G689" s="36"/>
    </row>
    <row r="690" ht="14.25" customHeight="1">
      <c r="G690" s="36"/>
    </row>
    <row r="691" ht="14.25" customHeight="1">
      <c r="G691" s="36"/>
    </row>
    <row r="692" ht="14.25" customHeight="1">
      <c r="G692" s="36"/>
    </row>
    <row r="693" ht="14.25" customHeight="1">
      <c r="G693" s="36"/>
    </row>
    <row r="694" ht="14.25" customHeight="1">
      <c r="G694" s="36"/>
    </row>
    <row r="695" ht="14.25" customHeight="1">
      <c r="G695" s="36"/>
    </row>
    <row r="696" ht="14.25" customHeight="1">
      <c r="G696" s="36"/>
    </row>
    <row r="697" ht="14.25" customHeight="1">
      <c r="G697" s="36"/>
    </row>
    <row r="698" ht="14.25" customHeight="1">
      <c r="G698" s="36"/>
    </row>
    <row r="699" ht="14.25" customHeight="1">
      <c r="G699" s="36"/>
    </row>
    <row r="700" ht="14.25" customHeight="1">
      <c r="G700" s="36"/>
    </row>
    <row r="701" ht="14.25" customHeight="1">
      <c r="G701" s="36"/>
    </row>
    <row r="702" ht="14.25" customHeight="1">
      <c r="G702" s="36"/>
    </row>
    <row r="703" ht="14.25" customHeight="1">
      <c r="G703" s="36"/>
    </row>
    <row r="704" ht="14.25" customHeight="1">
      <c r="G704" s="36"/>
    </row>
    <row r="705" ht="14.25" customHeight="1">
      <c r="G705" s="36"/>
    </row>
    <row r="706" ht="14.25" customHeight="1">
      <c r="G706" s="36"/>
    </row>
    <row r="707" ht="14.25" customHeight="1">
      <c r="G707" s="36"/>
    </row>
    <row r="708" ht="14.25" customHeight="1">
      <c r="G708" s="36"/>
    </row>
    <row r="709" ht="14.25" customHeight="1">
      <c r="G709" s="36"/>
    </row>
    <row r="710" ht="14.25" customHeight="1">
      <c r="G710" s="36"/>
    </row>
    <row r="711" ht="14.25" customHeight="1">
      <c r="G711" s="36"/>
    </row>
    <row r="712" ht="14.25" customHeight="1">
      <c r="G712" s="36"/>
    </row>
    <row r="713" ht="14.25" customHeight="1">
      <c r="G713" s="36"/>
    </row>
    <row r="714" ht="14.25" customHeight="1">
      <c r="G714" s="36"/>
    </row>
    <row r="715" ht="14.25" customHeight="1">
      <c r="G715" s="36"/>
    </row>
    <row r="716" ht="14.25" customHeight="1">
      <c r="G716" s="36"/>
    </row>
    <row r="717" ht="14.25" customHeight="1">
      <c r="G717" s="36"/>
    </row>
    <row r="718" ht="14.25" customHeight="1">
      <c r="G718" s="36"/>
    </row>
    <row r="719" ht="14.25" customHeight="1">
      <c r="G719" s="36"/>
    </row>
    <row r="720" ht="14.25" customHeight="1">
      <c r="G720" s="36"/>
    </row>
    <row r="721" ht="14.25" customHeight="1">
      <c r="G721" s="36"/>
    </row>
    <row r="722" ht="14.25" customHeight="1">
      <c r="G722" s="36"/>
    </row>
    <row r="723" ht="14.25" customHeight="1">
      <c r="G723" s="36"/>
    </row>
    <row r="724" ht="14.25" customHeight="1">
      <c r="G724" s="36"/>
    </row>
    <row r="725" ht="14.25" customHeight="1">
      <c r="G725" s="36"/>
    </row>
    <row r="726" ht="14.25" customHeight="1">
      <c r="G726" s="36"/>
    </row>
    <row r="727" ht="14.25" customHeight="1">
      <c r="G727" s="36"/>
    </row>
    <row r="728" ht="14.25" customHeight="1">
      <c r="G728" s="36"/>
    </row>
    <row r="729" ht="14.25" customHeight="1">
      <c r="G729" s="36"/>
    </row>
    <row r="730" ht="14.25" customHeight="1">
      <c r="G730" s="36"/>
    </row>
    <row r="731" ht="14.25" customHeight="1">
      <c r="G731" s="36"/>
    </row>
    <row r="732" ht="14.25" customHeight="1">
      <c r="G732" s="36"/>
    </row>
    <row r="733" ht="14.25" customHeight="1">
      <c r="G733" s="36"/>
    </row>
    <row r="734" ht="14.25" customHeight="1">
      <c r="G734" s="36"/>
    </row>
    <row r="735" ht="14.25" customHeight="1">
      <c r="G735" s="36"/>
    </row>
    <row r="736" ht="14.25" customHeight="1">
      <c r="G736" s="36"/>
    </row>
    <row r="737" ht="14.25" customHeight="1">
      <c r="G737" s="36"/>
    </row>
    <row r="738" ht="14.25" customHeight="1">
      <c r="G738" s="36"/>
    </row>
    <row r="739" ht="14.25" customHeight="1">
      <c r="G739" s="36"/>
    </row>
    <row r="740" ht="14.25" customHeight="1">
      <c r="G740" s="36"/>
    </row>
    <row r="741" ht="14.25" customHeight="1">
      <c r="G741" s="36"/>
    </row>
    <row r="742" ht="14.25" customHeight="1">
      <c r="G742" s="36"/>
    </row>
    <row r="743" ht="14.25" customHeight="1">
      <c r="G743" s="36"/>
    </row>
    <row r="744" ht="14.25" customHeight="1">
      <c r="G744" s="36"/>
    </row>
    <row r="745" ht="14.25" customHeight="1">
      <c r="G745" s="36"/>
    </row>
    <row r="746" ht="14.25" customHeight="1">
      <c r="G746" s="36"/>
    </row>
    <row r="747" ht="14.25" customHeight="1">
      <c r="G747" s="36"/>
    </row>
    <row r="748" ht="14.25" customHeight="1">
      <c r="G748" s="36"/>
    </row>
    <row r="749" ht="14.25" customHeight="1">
      <c r="G749" s="36"/>
    </row>
    <row r="750" ht="14.25" customHeight="1">
      <c r="G750" s="36"/>
    </row>
    <row r="751" ht="14.25" customHeight="1">
      <c r="G751" s="36"/>
    </row>
    <row r="752" ht="14.25" customHeight="1">
      <c r="G752" s="36"/>
    </row>
    <row r="753" ht="14.25" customHeight="1">
      <c r="G753" s="36"/>
    </row>
    <row r="754" ht="14.25" customHeight="1">
      <c r="G754" s="36"/>
    </row>
    <row r="755" ht="14.25" customHeight="1">
      <c r="G755" s="36"/>
    </row>
    <row r="756" ht="14.25" customHeight="1">
      <c r="G756" s="36"/>
    </row>
    <row r="757" ht="14.25" customHeight="1">
      <c r="G757" s="36"/>
    </row>
    <row r="758" ht="14.25" customHeight="1">
      <c r="G758" s="36"/>
    </row>
    <row r="759" ht="14.25" customHeight="1">
      <c r="G759" s="36"/>
    </row>
    <row r="760" ht="14.25" customHeight="1">
      <c r="G760" s="36"/>
    </row>
    <row r="761" ht="14.25" customHeight="1">
      <c r="G761" s="36"/>
    </row>
    <row r="762" ht="14.25" customHeight="1">
      <c r="G762" s="36"/>
    </row>
    <row r="763" ht="14.25" customHeight="1">
      <c r="G763" s="36"/>
    </row>
    <row r="764" ht="14.25" customHeight="1">
      <c r="G764" s="36"/>
    </row>
    <row r="765" ht="14.25" customHeight="1">
      <c r="G765" s="36"/>
    </row>
    <row r="766" ht="14.25" customHeight="1">
      <c r="G766" s="36"/>
    </row>
    <row r="767" ht="14.25" customHeight="1">
      <c r="G767" s="36"/>
    </row>
    <row r="768" ht="14.25" customHeight="1">
      <c r="G768" s="36"/>
    </row>
    <row r="769" ht="14.25" customHeight="1">
      <c r="G769" s="36"/>
    </row>
    <row r="770" ht="14.25" customHeight="1">
      <c r="G770" s="36"/>
    </row>
    <row r="771" ht="14.25" customHeight="1">
      <c r="G771" s="36"/>
    </row>
    <row r="772" ht="14.25" customHeight="1">
      <c r="G772" s="36"/>
    </row>
    <row r="773" ht="14.25" customHeight="1">
      <c r="G773" s="36"/>
    </row>
    <row r="774" ht="14.25" customHeight="1">
      <c r="G774" s="36"/>
    </row>
    <row r="775" ht="14.25" customHeight="1">
      <c r="G775" s="36"/>
    </row>
    <row r="776" ht="14.25" customHeight="1">
      <c r="G776" s="36"/>
    </row>
    <row r="777" ht="14.25" customHeight="1">
      <c r="G777" s="36"/>
    </row>
    <row r="778" ht="14.25" customHeight="1">
      <c r="G778" s="36"/>
    </row>
    <row r="779" ht="14.25" customHeight="1">
      <c r="G779" s="36"/>
    </row>
    <row r="780" ht="14.25" customHeight="1">
      <c r="G780" s="36"/>
    </row>
    <row r="781" ht="14.25" customHeight="1">
      <c r="G781" s="36"/>
    </row>
    <row r="782" ht="14.25" customHeight="1">
      <c r="G782" s="36"/>
    </row>
    <row r="783" ht="14.25" customHeight="1">
      <c r="G783" s="36"/>
    </row>
    <row r="784" ht="14.25" customHeight="1">
      <c r="G784" s="36"/>
    </row>
    <row r="785" ht="14.25" customHeight="1">
      <c r="G785" s="36"/>
    </row>
    <row r="786" ht="14.25" customHeight="1">
      <c r="G786" s="36"/>
    </row>
    <row r="787" ht="14.25" customHeight="1">
      <c r="G787" s="36"/>
    </row>
    <row r="788" ht="14.25" customHeight="1">
      <c r="G788" s="36"/>
    </row>
    <row r="789" ht="14.25" customHeight="1">
      <c r="G789" s="36"/>
    </row>
    <row r="790" ht="14.25" customHeight="1">
      <c r="G790" s="36"/>
    </row>
    <row r="791" ht="14.25" customHeight="1">
      <c r="G791" s="36"/>
    </row>
    <row r="792" ht="14.25" customHeight="1">
      <c r="G792" s="36"/>
    </row>
    <row r="793" ht="14.25" customHeight="1">
      <c r="G793" s="36"/>
    </row>
    <row r="794" ht="14.25" customHeight="1">
      <c r="G794" s="36"/>
    </row>
    <row r="795" ht="14.25" customHeight="1">
      <c r="G795" s="36"/>
    </row>
    <row r="796" ht="14.25" customHeight="1">
      <c r="G796" s="36"/>
    </row>
    <row r="797" ht="14.25" customHeight="1">
      <c r="G797" s="36"/>
    </row>
    <row r="798" ht="14.25" customHeight="1">
      <c r="G798" s="36"/>
    </row>
    <row r="799" ht="14.25" customHeight="1">
      <c r="G799" s="36"/>
    </row>
    <row r="800" ht="14.25" customHeight="1">
      <c r="G800" s="36"/>
    </row>
    <row r="801" ht="14.25" customHeight="1">
      <c r="G801" s="36"/>
    </row>
    <row r="802" ht="14.25" customHeight="1">
      <c r="G802" s="36"/>
    </row>
    <row r="803" ht="14.25" customHeight="1">
      <c r="G803" s="36"/>
    </row>
    <row r="804" ht="14.25" customHeight="1">
      <c r="G804" s="36"/>
    </row>
    <row r="805" ht="14.25" customHeight="1">
      <c r="G805" s="36"/>
    </row>
    <row r="806" ht="14.25" customHeight="1">
      <c r="G806" s="36"/>
    </row>
    <row r="807" ht="14.25" customHeight="1">
      <c r="G807" s="36"/>
    </row>
    <row r="808" ht="14.25" customHeight="1">
      <c r="G808" s="36"/>
    </row>
    <row r="809" ht="14.25" customHeight="1">
      <c r="G809" s="36"/>
    </row>
    <row r="810" ht="14.25" customHeight="1">
      <c r="G810" s="36"/>
    </row>
    <row r="811" ht="14.25" customHeight="1">
      <c r="G811" s="36"/>
    </row>
    <row r="812" ht="14.25" customHeight="1">
      <c r="G812" s="36"/>
    </row>
    <row r="813" ht="14.25" customHeight="1">
      <c r="G813" s="36"/>
    </row>
    <row r="814" ht="14.25" customHeight="1">
      <c r="G814" s="36"/>
    </row>
    <row r="815" ht="14.25" customHeight="1">
      <c r="G815" s="36"/>
    </row>
    <row r="816" ht="14.25" customHeight="1">
      <c r="G816" s="36"/>
    </row>
    <row r="817" ht="14.25" customHeight="1">
      <c r="G817" s="36"/>
    </row>
    <row r="818" ht="14.25" customHeight="1">
      <c r="G818" s="36"/>
    </row>
    <row r="819" ht="14.25" customHeight="1">
      <c r="G819" s="36"/>
    </row>
    <row r="820" ht="14.25" customHeight="1">
      <c r="G820" s="36"/>
    </row>
    <row r="821" ht="14.25" customHeight="1">
      <c r="G821" s="36"/>
    </row>
    <row r="822" ht="14.25" customHeight="1">
      <c r="G822" s="36"/>
    </row>
    <row r="823" ht="14.25" customHeight="1">
      <c r="G823" s="36"/>
    </row>
    <row r="824" ht="14.25" customHeight="1">
      <c r="G824" s="36"/>
    </row>
    <row r="825" ht="14.25" customHeight="1">
      <c r="G825" s="36"/>
    </row>
    <row r="826" ht="14.25" customHeight="1">
      <c r="G826" s="36"/>
    </row>
    <row r="827" ht="14.25" customHeight="1">
      <c r="G827" s="36"/>
    </row>
    <row r="828" ht="14.25" customHeight="1">
      <c r="G828" s="36"/>
    </row>
    <row r="829" ht="14.25" customHeight="1">
      <c r="G829" s="36"/>
    </row>
    <row r="830" ht="14.25" customHeight="1">
      <c r="G830" s="36"/>
    </row>
    <row r="831" ht="14.25" customHeight="1">
      <c r="G831" s="36"/>
    </row>
    <row r="832" ht="14.25" customHeight="1">
      <c r="G832" s="36"/>
    </row>
    <row r="833" ht="14.25" customHeight="1">
      <c r="G833" s="36"/>
    </row>
    <row r="834" ht="14.25" customHeight="1">
      <c r="G834" s="36"/>
    </row>
    <row r="835" ht="14.25" customHeight="1">
      <c r="G835" s="36"/>
    </row>
    <row r="836" ht="14.25" customHeight="1">
      <c r="G836" s="36"/>
    </row>
    <row r="837" ht="14.25" customHeight="1">
      <c r="G837" s="36"/>
    </row>
    <row r="838" ht="14.25" customHeight="1">
      <c r="G838" s="36"/>
    </row>
    <row r="839" ht="14.25" customHeight="1">
      <c r="G839" s="36"/>
    </row>
    <row r="840" ht="14.25" customHeight="1">
      <c r="G840" s="36"/>
    </row>
    <row r="841" ht="14.25" customHeight="1">
      <c r="G841" s="36"/>
    </row>
    <row r="842" ht="14.25" customHeight="1">
      <c r="G842" s="36"/>
    </row>
    <row r="843" ht="14.25" customHeight="1">
      <c r="G843" s="36"/>
    </row>
    <row r="844" ht="14.25" customHeight="1">
      <c r="G844" s="36"/>
    </row>
    <row r="845" ht="14.25" customHeight="1">
      <c r="G845" s="36"/>
    </row>
    <row r="846" ht="14.25" customHeight="1">
      <c r="G846" s="36"/>
    </row>
    <row r="847" ht="14.25" customHeight="1">
      <c r="G847" s="36"/>
    </row>
    <row r="848" ht="14.25" customHeight="1">
      <c r="G848" s="36"/>
    </row>
    <row r="849" ht="14.25" customHeight="1">
      <c r="G849" s="36"/>
    </row>
    <row r="850" ht="14.25" customHeight="1">
      <c r="G850" s="36"/>
    </row>
    <row r="851" ht="14.25" customHeight="1">
      <c r="G851" s="36"/>
    </row>
    <row r="852" ht="14.25" customHeight="1">
      <c r="G852" s="36"/>
    </row>
    <row r="853" ht="14.25" customHeight="1">
      <c r="G853" s="36"/>
    </row>
    <row r="854" ht="14.25" customHeight="1">
      <c r="G854" s="36"/>
    </row>
    <row r="855" ht="14.25" customHeight="1">
      <c r="G855" s="36"/>
    </row>
    <row r="856" ht="14.25" customHeight="1">
      <c r="G856" s="36"/>
    </row>
    <row r="857" ht="14.25" customHeight="1">
      <c r="G857" s="36"/>
    </row>
    <row r="858" ht="14.25" customHeight="1">
      <c r="G858" s="36"/>
    </row>
    <row r="859" ht="14.25" customHeight="1">
      <c r="G859" s="36"/>
    </row>
    <row r="860" ht="14.25" customHeight="1">
      <c r="G860" s="36"/>
    </row>
    <row r="861" ht="14.25" customHeight="1">
      <c r="G861" s="36"/>
    </row>
    <row r="862" ht="14.25" customHeight="1">
      <c r="G862" s="36"/>
    </row>
    <row r="863" ht="14.25" customHeight="1">
      <c r="G863" s="36"/>
    </row>
    <row r="864" ht="14.25" customHeight="1">
      <c r="G864" s="36"/>
    </row>
    <row r="865" ht="14.25" customHeight="1">
      <c r="G865" s="36"/>
    </row>
    <row r="866" ht="14.25" customHeight="1">
      <c r="G866" s="36"/>
    </row>
    <row r="867" ht="14.25" customHeight="1">
      <c r="G867" s="36"/>
    </row>
    <row r="868" ht="14.25" customHeight="1">
      <c r="G868" s="36"/>
    </row>
    <row r="869" ht="14.25" customHeight="1">
      <c r="G869" s="36"/>
    </row>
    <row r="870" ht="14.25" customHeight="1">
      <c r="G870" s="36"/>
    </row>
    <row r="871" ht="14.25" customHeight="1">
      <c r="G871" s="36"/>
    </row>
    <row r="872" ht="14.25" customHeight="1">
      <c r="G872" s="36"/>
    </row>
    <row r="873" ht="14.25" customHeight="1">
      <c r="G873" s="36"/>
    </row>
    <row r="874" ht="14.25" customHeight="1">
      <c r="G874" s="36"/>
    </row>
    <row r="875" ht="14.25" customHeight="1">
      <c r="G875" s="36"/>
    </row>
    <row r="876" ht="14.25" customHeight="1">
      <c r="G876" s="36"/>
    </row>
    <row r="877" ht="14.25" customHeight="1">
      <c r="G877" s="36"/>
    </row>
    <row r="878" ht="14.25" customHeight="1">
      <c r="G878" s="36"/>
    </row>
    <row r="879" ht="14.25" customHeight="1">
      <c r="G879" s="36"/>
    </row>
    <row r="880" ht="14.25" customHeight="1">
      <c r="G880" s="36"/>
    </row>
    <row r="881" ht="14.25" customHeight="1">
      <c r="G881" s="36"/>
    </row>
    <row r="882" ht="14.25" customHeight="1">
      <c r="G882" s="36"/>
    </row>
    <row r="883" ht="14.25" customHeight="1">
      <c r="G883" s="36"/>
    </row>
    <row r="884" ht="14.25" customHeight="1">
      <c r="G884" s="36"/>
    </row>
    <row r="885" ht="14.25" customHeight="1">
      <c r="G885" s="36"/>
    </row>
    <row r="886" ht="14.25" customHeight="1">
      <c r="G886" s="36"/>
    </row>
    <row r="887" ht="14.25" customHeight="1">
      <c r="G887" s="36"/>
    </row>
    <row r="888" ht="14.25" customHeight="1">
      <c r="G888" s="36"/>
    </row>
    <row r="889" ht="14.25" customHeight="1">
      <c r="G889" s="36"/>
    </row>
    <row r="890" ht="14.25" customHeight="1">
      <c r="G890" s="36"/>
    </row>
    <row r="891" ht="14.25" customHeight="1">
      <c r="G891" s="36"/>
    </row>
    <row r="892" ht="14.25" customHeight="1">
      <c r="G892" s="36"/>
    </row>
    <row r="893" ht="14.25" customHeight="1">
      <c r="G893" s="36"/>
    </row>
    <row r="894" ht="14.25" customHeight="1">
      <c r="G894" s="36"/>
    </row>
    <row r="895" ht="14.25" customHeight="1">
      <c r="G895" s="36"/>
    </row>
    <row r="896" ht="14.25" customHeight="1">
      <c r="G896" s="36"/>
    </row>
    <row r="897" ht="14.25" customHeight="1">
      <c r="G897" s="36"/>
    </row>
    <row r="898" ht="14.25" customHeight="1">
      <c r="G898" s="36"/>
    </row>
    <row r="899" ht="14.25" customHeight="1">
      <c r="G899" s="36"/>
    </row>
    <row r="900" ht="14.25" customHeight="1">
      <c r="G900" s="36"/>
    </row>
    <row r="901" ht="14.25" customHeight="1">
      <c r="G901" s="36"/>
    </row>
    <row r="902" ht="14.25" customHeight="1">
      <c r="G902" s="36"/>
    </row>
    <row r="903" ht="14.25" customHeight="1">
      <c r="G903" s="36"/>
    </row>
    <row r="904" ht="14.25" customHeight="1">
      <c r="G904" s="36"/>
    </row>
    <row r="905" ht="14.25" customHeight="1">
      <c r="G905" s="36"/>
    </row>
    <row r="906" ht="14.25" customHeight="1">
      <c r="G906" s="36"/>
    </row>
    <row r="907" ht="14.25" customHeight="1">
      <c r="G907" s="36"/>
    </row>
    <row r="908" ht="14.25" customHeight="1">
      <c r="G908" s="36"/>
    </row>
    <row r="909" ht="14.25" customHeight="1">
      <c r="G909" s="36"/>
    </row>
    <row r="910" ht="14.25" customHeight="1">
      <c r="G910" s="36"/>
    </row>
    <row r="911" ht="14.25" customHeight="1">
      <c r="G911" s="36"/>
    </row>
    <row r="912" ht="14.25" customHeight="1">
      <c r="G912" s="36"/>
    </row>
    <row r="913" ht="14.25" customHeight="1">
      <c r="G913" s="36"/>
    </row>
    <row r="914" ht="14.25" customHeight="1">
      <c r="G914" s="36"/>
    </row>
    <row r="915" ht="14.25" customHeight="1">
      <c r="G915" s="36"/>
    </row>
    <row r="916" ht="14.25" customHeight="1">
      <c r="G916" s="36"/>
    </row>
    <row r="917" ht="14.25" customHeight="1">
      <c r="G917" s="36"/>
    </row>
    <row r="918" ht="14.25" customHeight="1">
      <c r="G918" s="36"/>
    </row>
    <row r="919" ht="14.25" customHeight="1">
      <c r="G919" s="36"/>
    </row>
    <row r="920" ht="14.25" customHeight="1">
      <c r="G920" s="36"/>
    </row>
    <row r="921" ht="14.25" customHeight="1">
      <c r="G921" s="36"/>
    </row>
    <row r="922" ht="14.25" customHeight="1">
      <c r="G922" s="36"/>
    </row>
    <row r="923" ht="14.25" customHeight="1">
      <c r="G923" s="36"/>
    </row>
    <row r="924" ht="14.25" customHeight="1">
      <c r="G924" s="36"/>
    </row>
    <row r="925" ht="14.25" customHeight="1">
      <c r="G925" s="36"/>
    </row>
    <row r="926" ht="14.25" customHeight="1">
      <c r="G926" s="36"/>
    </row>
    <row r="927" ht="14.25" customHeight="1">
      <c r="G927" s="36"/>
    </row>
    <row r="928" ht="14.25" customHeight="1">
      <c r="G928" s="36"/>
    </row>
    <row r="929" ht="14.25" customHeight="1">
      <c r="G929" s="36"/>
    </row>
    <row r="930" ht="14.25" customHeight="1">
      <c r="G930" s="36"/>
    </row>
    <row r="931" ht="14.25" customHeight="1">
      <c r="G931" s="36"/>
    </row>
    <row r="932" ht="14.25" customHeight="1">
      <c r="G932" s="36"/>
    </row>
    <row r="933" ht="14.25" customHeight="1">
      <c r="G933" s="36"/>
    </row>
    <row r="934" ht="14.25" customHeight="1">
      <c r="G934" s="36"/>
    </row>
    <row r="935" ht="14.25" customHeight="1">
      <c r="G935" s="36"/>
    </row>
    <row r="936" ht="14.25" customHeight="1">
      <c r="G936" s="36"/>
    </row>
    <row r="937" ht="14.25" customHeight="1">
      <c r="G937" s="36"/>
    </row>
    <row r="938" ht="14.25" customHeight="1">
      <c r="G938" s="36"/>
    </row>
    <row r="939" ht="14.25" customHeight="1">
      <c r="G939" s="36"/>
    </row>
    <row r="940" ht="14.25" customHeight="1">
      <c r="G940" s="36"/>
    </row>
    <row r="941" ht="14.25" customHeight="1">
      <c r="G941" s="36"/>
    </row>
    <row r="942" ht="14.25" customHeight="1">
      <c r="G942" s="36"/>
    </row>
    <row r="943" ht="14.25" customHeight="1">
      <c r="G943" s="36"/>
    </row>
    <row r="944" ht="14.25" customHeight="1">
      <c r="G944" s="36"/>
    </row>
    <row r="945" ht="14.25" customHeight="1">
      <c r="G945" s="36"/>
    </row>
    <row r="946" ht="14.25" customHeight="1">
      <c r="G946" s="36"/>
    </row>
    <row r="947" ht="14.25" customHeight="1">
      <c r="G947" s="36"/>
    </row>
    <row r="948" ht="14.25" customHeight="1">
      <c r="G948" s="36"/>
    </row>
    <row r="949" ht="14.25" customHeight="1">
      <c r="G949" s="36"/>
    </row>
    <row r="950" ht="14.25" customHeight="1">
      <c r="G950" s="36"/>
    </row>
    <row r="951" ht="14.25" customHeight="1">
      <c r="G951" s="36"/>
    </row>
    <row r="952" ht="14.25" customHeight="1">
      <c r="G952" s="36"/>
    </row>
    <row r="953" ht="14.25" customHeight="1">
      <c r="G953" s="36"/>
    </row>
    <row r="954" ht="14.25" customHeight="1">
      <c r="G954" s="36"/>
    </row>
    <row r="955" ht="14.25" customHeight="1">
      <c r="G955" s="36"/>
    </row>
    <row r="956" ht="14.25" customHeight="1">
      <c r="G956" s="36"/>
    </row>
    <row r="957" ht="14.25" customHeight="1">
      <c r="G957" s="36"/>
    </row>
    <row r="958" ht="14.25" customHeight="1">
      <c r="G958" s="36"/>
    </row>
    <row r="959" ht="14.25" customHeight="1">
      <c r="G959" s="36"/>
    </row>
    <row r="960" ht="14.25" customHeight="1">
      <c r="G960" s="36"/>
    </row>
    <row r="961" ht="14.25" customHeight="1">
      <c r="G961" s="36"/>
    </row>
    <row r="962" ht="14.25" customHeight="1">
      <c r="G962" s="36"/>
    </row>
    <row r="963" ht="14.25" customHeight="1">
      <c r="G963" s="36"/>
    </row>
    <row r="964" ht="14.25" customHeight="1">
      <c r="G964" s="36"/>
    </row>
    <row r="965" ht="14.25" customHeight="1">
      <c r="G965" s="36"/>
    </row>
    <row r="966" ht="14.25" customHeight="1">
      <c r="G966" s="36"/>
    </row>
    <row r="967" ht="14.25" customHeight="1">
      <c r="G967" s="36"/>
    </row>
    <row r="968" ht="14.25" customHeight="1">
      <c r="G968" s="36"/>
    </row>
    <row r="969" ht="14.25" customHeight="1">
      <c r="G969" s="36"/>
    </row>
    <row r="970" ht="14.25" customHeight="1">
      <c r="G970" s="36"/>
    </row>
    <row r="971" ht="14.25" customHeight="1">
      <c r="G971" s="36"/>
    </row>
    <row r="972" ht="14.25" customHeight="1">
      <c r="G972" s="36"/>
    </row>
    <row r="973" ht="14.25" customHeight="1">
      <c r="G973" s="36"/>
    </row>
    <row r="974" ht="14.25" customHeight="1">
      <c r="G974" s="36"/>
    </row>
    <row r="975" ht="14.25" customHeight="1">
      <c r="G975" s="36"/>
    </row>
    <row r="976" ht="14.25" customHeight="1">
      <c r="G976" s="36"/>
    </row>
    <row r="977" ht="14.25" customHeight="1">
      <c r="G977" s="36"/>
    </row>
    <row r="978" ht="14.25" customHeight="1">
      <c r="G978" s="36"/>
    </row>
    <row r="979" ht="14.25" customHeight="1">
      <c r="G979" s="36"/>
    </row>
    <row r="980" ht="14.25" customHeight="1">
      <c r="G980" s="36"/>
    </row>
    <row r="981" ht="14.25" customHeight="1">
      <c r="G981" s="36"/>
    </row>
    <row r="982" ht="14.25" customHeight="1">
      <c r="G982" s="36"/>
    </row>
    <row r="983" ht="14.25" customHeight="1">
      <c r="G983" s="36"/>
    </row>
    <row r="984" ht="14.25" customHeight="1">
      <c r="G984" s="36"/>
    </row>
    <row r="985" ht="14.25" customHeight="1">
      <c r="G985" s="36"/>
    </row>
    <row r="986" ht="14.25" customHeight="1">
      <c r="G986" s="36"/>
    </row>
    <row r="987" ht="14.25" customHeight="1">
      <c r="G987" s="36"/>
    </row>
    <row r="988" ht="14.25" customHeight="1">
      <c r="G988" s="36"/>
    </row>
    <row r="989" ht="14.25" customHeight="1">
      <c r="G989" s="36"/>
    </row>
    <row r="990" ht="14.25" customHeight="1">
      <c r="G990" s="36"/>
    </row>
    <row r="991" ht="14.25" customHeight="1">
      <c r="G991" s="36"/>
    </row>
    <row r="992" ht="14.25" customHeight="1">
      <c r="G992" s="36"/>
    </row>
    <row r="993" ht="14.25" customHeight="1">
      <c r="G993" s="36"/>
    </row>
    <row r="994" ht="14.25" customHeight="1">
      <c r="G994" s="36"/>
    </row>
    <row r="995" ht="14.25" customHeight="1">
      <c r="G995" s="36"/>
    </row>
    <row r="996" ht="14.25" customHeight="1">
      <c r="G996" s="36"/>
    </row>
    <row r="997" ht="14.25" customHeight="1">
      <c r="G997" s="36"/>
    </row>
    <row r="998" ht="14.25" customHeight="1">
      <c r="G998" s="36"/>
    </row>
    <row r="999" ht="14.25" customHeight="1">
      <c r="G999" s="36"/>
    </row>
    <row r="1000" ht="14.25" customHeight="1">
      <c r="G1000" s="36"/>
    </row>
  </sheetData>
  <mergeCells count="11">
    <mergeCell ref="B83:B84"/>
    <mergeCell ref="C83:C84"/>
    <mergeCell ref="D83:D84"/>
    <mergeCell ref="E83:E84"/>
    <mergeCell ref="B6:B8"/>
    <mergeCell ref="C6:C8"/>
    <mergeCell ref="E6:E8"/>
    <mergeCell ref="B81:B82"/>
    <mergeCell ref="C81:C82"/>
    <mergeCell ref="D81:D82"/>
    <mergeCell ref="E81:E82"/>
  </mergeCells>
  <printOptions/>
  <pageMargins bottom="0.75" footer="0.0" header="0.0" left="0.7" right="0.7" top="0.75"/>
  <pageSetup orientation="landscape"/>
  <drawing r:id="rId1"/>
</worksheet>
</file>