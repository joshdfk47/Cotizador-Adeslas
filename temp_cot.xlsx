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tizador" sheetId="1" state="visible" r:id="rId1"/>
    <sheet name="Excepciones" sheetId="2" state="visible" r:id="rId2"/>
    <sheet name="Precios" sheetId="3" state="visible" r:id="rId3"/>
    <sheet name="AuxCP" sheetId="4" state="visible" r:id="rId4"/>
    <sheet name="coti antiguo" sheetId="5" state="visible" r:id="rId5"/>
    <sheet name="aux antigu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[$€-1]"/>
    <numFmt numFmtId="165" formatCode="#,##0.00&quot;€&quot;"/>
    <numFmt numFmtId="166" formatCode="#,##0&quot;€&quot;"/>
    <numFmt numFmtId="167" formatCode="#,##0\ [$€-1]"/>
  </numFmts>
  <fonts count="3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Arial"/>
      <b val="1"/>
      <color rgb="FFFFFFFF"/>
      <sz val="14"/>
      <scheme val="minor"/>
    </font>
    <font/>
    <font>
      <name val="Arial"/>
      <color theme="1"/>
      <sz val="9"/>
      <scheme val="minor"/>
    </font>
    <font>
      <name val="Arial"/>
      <b val="1"/>
      <color rgb="FFFF9900"/>
      <scheme val="minor"/>
    </font>
    <font>
      <name val="Arial"/>
      <b val="1"/>
      <color rgb="FFA64D79"/>
      <scheme val="minor"/>
    </font>
    <font>
      <name val="Arial"/>
      <b val="1"/>
      <color rgb="FF39B4E1"/>
      <scheme val="minor"/>
    </font>
    <font>
      <name val="Arial"/>
      <b val="1"/>
      <color rgb="FF38761D"/>
      <scheme val="minor"/>
    </font>
    <font>
      <name val="Arial"/>
      <b val="1"/>
      <color rgb="FFBF9000"/>
      <scheme val="minor"/>
    </font>
    <font>
      <name val="Arial"/>
      <b val="1"/>
      <color rgb="FFA64D79"/>
      <sz val="10"/>
      <scheme val="minor"/>
    </font>
    <font>
      <name val="Arial"/>
      <color rgb="FFFFFFFF"/>
      <scheme val="minor"/>
    </font>
    <font>
      <name val="Arial"/>
      <color rgb="FFCCCCCC"/>
      <scheme val="minor"/>
    </font>
    <font>
      <name val="Arial"/>
      <color theme="1"/>
    </font>
    <font>
      <name val="Arial"/>
      <b val="1"/>
      <color theme="1"/>
      <scheme val="minor"/>
    </font>
    <font>
      <name val="Arial"/>
      <color rgb="FF000000"/>
      <sz val="8"/>
      <scheme val="minor"/>
    </font>
    <font>
      <name val="Arial"/>
      <color rgb="FFFF0000"/>
      <scheme val="minor"/>
    </font>
    <font>
      <name val="Arial"/>
      <b val="1"/>
      <i val="1"/>
      <color theme="1"/>
      <scheme val="minor"/>
    </font>
    <font>
      <name val="Arial"/>
      <b val="1"/>
      <color rgb="FFFFFFFF"/>
      <sz val="16"/>
      <u val="single"/>
      <scheme val="minor"/>
    </font>
    <font>
      <name val="Arial"/>
      <b val="1"/>
      <color rgb="FFFFFFFF"/>
      <sz val="16"/>
      <u val="single"/>
      <scheme val="minor"/>
    </font>
    <font>
      <name val="Arial"/>
      <b val="1"/>
      <color rgb="FFFFFFFF"/>
      <sz val="16"/>
      <u val="single"/>
      <scheme val="minor"/>
    </font>
    <font>
      <name val="Arial"/>
      <b val="1"/>
      <i val="1"/>
      <color theme="1"/>
    </font>
    <font>
      <name val="Arial"/>
      <b val="1"/>
      <color theme="1"/>
      <sz val="12"/>
      <scheme val="minor"/>
    </font>
    <font>
      <name val="Arial"/>
      <color rgb="FF434343"/>
      <scheme val="minor"/>
    </font>
    <font>
      <name val="Arial"/>
      <color rgb="FF434343"/>
    </font>
    <font>
      <name val="Arial"/>
      <color rgb="FFD9D9D9"/>
      <scheme val="minor"/>
    </font>
    <font>
      <name val="Arial"/>
      <color theme="1"/>
      <sz val="10"/>
    </font>
    <font>
      <name val="Calibri"/>
      <color rgb="FF000000"/>
      <sz val="14"/>
    </font>
    <font>
      <name val="Helvetica"/>
      <i val="1"/>
      <color rgb="FF4D4D4D"/>
      <sz val="14"/>
    </font>
    <font>
      <name val="Arial"/>
      <color rgb="FF000000"/>
      <sz val="10"/>
    </font>
    <font>
      <name val="Arial"/>
      <b val="1"/>
      <color rgb="FF000000"/>
      <sz val="8"/>
    </font>
    <font>
      <name val="Calibri"/>
      <color rgb="FF000000"/>
      <sz val="8"/>
    </font>
    <font>
      <name val="Arial"/>
      <color rgb="FF000000"/>
      <sz val="8"/>
    </font>
    <font>
      <name val="Arial"/>
      <b val="1"/>
      <color rgb="FFFF0000"/>
      <scheme val="minor"/>
    </font>
    <font>
      <name val="Arial"/>
      <color rgb="FFD9D9D9"/>
    </font>
    <font>
      <name val="Arial"/>
      <b val="1"/>
      <color rgb="FFD9D9D9"/>
    </font>
    <font>
      <name val="Arial"/>
      <b val="1"/>
      <color rgb="FFD9D9D9"/>
      <scheme val="minor"/>
    </font>
  </fonts>
  <fills count="13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9B4E1"/>
        <bgColor rgb="FF39B4E1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D9D9D9"/>
      </righ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ck">
        <color rgb="FF000000"/>
      </left>
      <top style="thick">
        <color rgb="FF000000"/>
      </top>
      <bottom style="dotted">
        <color rgb="FF434343"/>
      </bottom>
    </border>
    <border>
      <top style="thick">
        <color rgb="FF000000"/>
      </top>
      <bottom style="dotted">
        <color rgb="FF434343"/>
      </bottom>
    </border>
    <border>
      <right style="thick">
        <color rgb="FF000000"/>
      </right>
      <top style="thick">
        <color rgb="FF000000"/>
      </top>
      <bottom style="dotted">
        <color rgb="FF434343"/>
      </bottom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dotted">
        <color rgb="FF434343"/>
      </bottom>
    </border>
    <border>
      <bottom style="dotted">
        <color rgb="FF434343"/>
      </bottom>
    </border>
    <border>
      <right style="thick">
        <color rgb="FF000000"/>
      </right>
      <bottom style="dotted">
        <color rgb="FF434343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dotted">
        <color rgb="FFEFEFEF"/>
      </right>
    </border>
    <border>
      <right style="dotted">
        <color rgb="FFEFEFEF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434343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dotted">
        <color rgb="FF434343"/>
      </bottom>
    </border>
  </borders>
  <cellStyleXfs count="1">
    <xf numFmtId="0" fontId="0" fillId="0" borderId="0"/>
  </cellStyleXfs>
  <cellXfs count="28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4" fillId="0" borderId="11" pivotButton="0" quotePrefix="0" xfId="0"/>
    <xf numFmtId="0" fontId="1" fillId="0" borderId="12" applyAlignment="1" pivotButton="0" quotePrefix="0" xfId="0">
      <alignment horizontal="center" wrapText="1"/>
    </xf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3" fontId="14" fillId="2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" fillId="6" borderId="1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164" fontId="1" fillId="0" borderId="8" applyAlignment="1" pivotButton="0" quotePrefix="0" xfId="0">
      <alignment horizontal="center" vertical="center"/>
    </xf>
    <xf numFmtId="164" fontId="1" fillId="7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bottom" wrapText="1"/>
    </xf>
    <xf numFmtId="0" fontId="15" fillId="7" borderId="16" applyAlignment="1" pivotButton="0" quotePrefix="0" xfId="0">
      <alignment horizontal="center" vertical="center" wrapText="1"/>
    </xf>
    <xf numFmtId="164" fontId="1" fillId="7" borderId="0" applyAlignment="1" pivotButton="0" quotePrefix="0" xfId="0">
      <alignment horizontal="center" vertical="center"/>
    </xf>
    <xf numFmtId="164" fontId="1" fillId="7" borderId="17" applyAlignment="1" pivotButton="0" quotePrefix="0" xfId="0">
      <alignment horizontal="center" vertical="center"/>
    </xf>
    <xf numFmtId="164" fontId="17" fillId="7" borderId="0" applyAlignment="1" pivotButton="0" quotePrefix="0" xfId="0">
      <alignment horizontal="center" vertical="center"/>
    </xf>
    <xf numFmtId="164" fontId="17" fillId="7" borderId="1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9" fontId="1" fillId="2" borderId="0" applyAlignment="1" pivotButton="0" quotePrefix="0" xfId="0">
      <alignment horizontal="center" vertical="center"/>
    </xf>
    <xf numFmtId="0" fontId="18" fillId="8" borderId="12" applyAlignment="1" pivotButton="0" quotePrefix="0" xfId="0">
      <alignment horizontal="center" vertical="center" wrapText="1"/>
    </xf>
    <xf numFmtId="0" fontId="18" fillId="8" borderId="13" applyAlignment="1" pivotButton="0" quotePrefix="0" xfId="0">
      <alignment horizontal="center" vertical="center"/>
    </xf>
    <xf numFmtId="164" fontId="18" fillId="8" borderId="13" applyAlignment="1" pivotButton="0" quotePrefix="0" xfId="0">
      <alignment horizontal="center" vertical="center"/>
    </xf>
    <xf numFmtId="164" fontId="18" fillId="8" borderId="14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10" applyAlignment="1" pivotButton="0" quotePrefix="0" xfId="0">
      <alignment horizontal="center" vertical="center"/>
    </xf>
    <xf numFmtId="0" fontId="19" fillId="9" borderId="12" applyAlignment="1" pivotButton="0" quotePrefix="0" xfId="0">
      <alignment horizontal="center" vertical="center" wrapText="1"/>
    </xf>
    <xf numFmtId="0" fontId="20" fillId="9" borderId="18" applyAlignment="1" pivotButton="0" quotePrefix="0" xfId="0">
      <alignment horizontal="center" vertical="center" wrapText="1"/>
    </xf>
    <xf numFmtId="0" fontId="21" fillId="9" borderId="19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4" fontId="14" fillId="0" borderId="8" applyAlignment="1" pivotButton="0" quotePrefix="0" xfId="0">
      <alignment vertical="center"/>
    </xf>
    <xf numFmtId="164" fontId="14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0" fontId="18" fillId="8" borderId="16" applyAlignment="1" pivotButton="0" quotePrefix="0" xfId="0">
      <alignment horizontal="center" vertical="center" wrapText="1"/>
    </xf>
    <xf numFmtId="164" fontId="22" fillId="8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 wrapText="1"/>
    </xf>
    <xf numFmtId="164" fontId="18" fillId="8" borderId="10" applyAlignment="1" pivotButton="0" quotePrefix="0" xfId="0">
      <alignment horizontal="center" vertical="center" wrapText="1"/>
    </xf>
    <xf numFmtId="0" fontId="15" fillId="10" borderId="16" applyAlignment="1" pivotButton="0" quotePrefix="0" xfId="0">
      <alignment horizontal="center" vertical="center" wrapText="1"/>
    </xf>
    <xf numFmtId="164" fontId="14" fillId="10" borderId="0" applyAlignment="1" pivotButton="0" quotePrefix="0" xfId="0">
      <alignment vertical="center"/>
    </xf>
    <xf numFmtId="164" fontId="14" fillId="10" borderId="0" applyAlignment="1" pivotButton="0" quotePrefix="0" xfId="0">
      <alignment horizontal="center" vertical="center"/>
    </xf>
    <xf numFmtId="164" fontId="1" fillId="10" borderId="0" applyAlignment="1" pivotButton="0" quotePrefix="0" xfId="0">
      <alignment horizontal="center" vertical="center"/>
    </xf>
    <xf numFmtId="164" fontId="1" fillId="10" borderId="10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 wrapText="1"/>
    </xf>
    <xf numFmtId="164" fontId="14" fillId="6" borderId="13" applyAlignment="1" pivotButton="0" quotePrefix="0" xfId="0">
      <alignment vertical="center"/>
    </xf>
    <xf numFmtId="164" fontId="1" fillId="6" borderId="13" applyAlignment="1" pivotButton="0" quotePrefix="0" xfId="0">
      <alignment horizontal="center" vertical="center"/>
    </xf>
    <xf numFmtId="164" fontId="1" fillId="7" borderId="13" applyAlignment="1" pivotButton="0" quotePrefix="0" xfId="0">
      <alignment horizontal="center" vertical="center"/>
    </xf>
    <xf numFmtId="164" fontId="1" fillId="7" borderId="14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 vertical="center"/>
    </xf>
    <xf numFmtId="164" fontId="1" fillId="6" borderId="10" applyAlignment="1" pivotButton="0" quotePrefix="0" xfId="0">
      <alignment horizontal="center" vertical="center"/>
    </xf>
    <xf numFmtId="0" fontId="15" fillId="11" borderId="7" applyAlignment="1" pivotButton="0" quotePrefix="0" xfId="0">
      <alignment horizontal="center" vertical="center" wrapText="1"/>
    </xf>
    <xf numFmtId="164" fontId="1" fillId="11" borderId="8" applyAlignment="1" pivotButton="0" quotePrefix="0" xfId="0">
      <alignment horizontal="center" vertical="center"/>
    </xf>
    <xf numFmtId="164" fontId="1" fillId="11" borderId="0" applyAlignment="1" pivotButton="0" quotePrefix="0" xfId="0">
      <alignment horizontal="center" vertical="center"/>
    </xf>
    <xf numFmtId="164" fontId="1" fillId="11" borderId="9" applyAlignment="1" pivotButton="0" quotePrefix="0" xfId="0">
      <alignment horizontal="center" vertical="center"/>
    </xf>
    <xf numFmtId="164" fontId="1" fillId="11" borderId="20" applyAlignment="1" pivotButton="0" quotePrefix="0" xfId="0">
      <alignment horizontal="center" vertical="center"/>
    </xf>
    <xf numFmtId="164" fontId="1" fillId="11" borderId="21" applyAlignment="1" pivotButton="0" quotePrefix="0" xfId="0">
      <alignment horizontal="center" vertical="center"/>
    </xf>
    <xf numFmtId="164" fontId="18" fillId="8" borderId="17" applyAlignment="1" pivotButton="0" quotePrefix="0" xfId="0">
      <alignment horizontal="center" vertical="center" wrapText="1"/>
    </xf>
    <xf numFmtId="0" fontId="18" fillId="8" borderId="10" applyAlignment="1" pivotButton="0" quotePrefix="0" xfId="0">
      <alignment horizontal="center" vertical="center" wrapText="1"/>
    </xf>
    <xf numFmtId="164" fontId="1" fillId="10" borderId="17" applyAlignment="1" pivotButton="0" quotePrefix="0" xfId="0">
      <alignment horizontal="center" vertical="center"/>
    </xf>
    <xf numFmtId="164" fontId="1" fillId="6" borderId="14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3" fillId="4" borderId="22" applyAlignment="1" pivotButton="0" quotePrefix="0" xfId="0">
      <alignment horizontal="center" vertical="center"/>
    </xf>
    <xf numFmtId="0" fontId="4" fillId="0" borderId="23" pivotButton="0" quotePrefix="0" xfId="0"/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10" borderId="2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4" fillId="0" borderId="25" pivotButton="0" quotePrefix="0" xfId="0"/>
    <xf numFmtId="0" fontId="1" fillId="0" borderId="22" applyAlignment="1" pivotButton="0" quotePrefix="0" xfId="0">
      <alignment horizontal="center" vertical="center"/>
    </xf>
    <xf numFmtId="164" fontId="1" fillId="0" borderId="23" applyAlignment="1" pivotButton="0" quotePrefix="0" xfId="0">
      <alignment horizontal="center" vertical="center"/>
    </xf>
    <xf numFmtId="164" fontId="1" fillId="12" borderId="23" applyAlignment="1" pivotButton="0" quotePrefix="0" xfId="0">
      <alignment horizontal="center" vertical="center"/>
    </xf>
    <xf numFmtId="164" fontId="1" fillId="12" borderId="24" applyAlignment="1" pivotButton="0" quotePrefix="0" xfId="0">
      <alignment horizontal="center" vertical="center"/>
    </xf>
    <xf numFmtId="164" fontId="1" fillId="0" borderId="2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4" fontId="1" fillId="12" borderId="0" applyAlignment="1" pivotButton="0" quotePrefix="0" xfId="0">
      <alignment horizontal="center" vertical="center"/>
    </xf>
    <xf numFmtId="164" fontId="1" fillId="12" borderId="10" applyAlignment="1" pivotButton="0" quotePrefix="0" xfId="0">
      <alignment horizontal="center" vertical="center"/>
    </xf>
    <xf numFmtId="164" fontId="1" fillId="0" borderId="10" applyAlignment="1" pivotButton="0" quotePrefix="0" xfId="0">
      <alignment horizontal="center" vertical="center"/>
    </xf>
    <xf numFmtId="0" fontId="24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vertical="bottom"/>
    </xf>
    <xf numFmtId="0" fontId="26" fillId="0" borderId="0" pivotButton="0" quotePrefix="0" xfId="0"/>
    <xf numFmtId="0" fontId="2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" fillId="0" borderId="25" applyAlignment="1" pivotButton="0" quotePrefix="0" xfId="0">
      <alignment horizontal="center" vertical="center"/>
    </xf>
    <xf numFmtId="0" fontId="1" fillId="0" borderId="11" pivotButton="0" quotePrefix="0" xfId="0"/>
    <xf numFmtId="164" fontId="1" fillId="0" borderId="11" applyAlignment="1" pivotButton="0" quotePrefix="0" xfId="0">
      <alignment horizontal="center" vertical="center"/>
    </xf>
    <xf numFmtId="164" fontId="1" fillId="12" borderId="11" applyAlignment="1" pivotButton="0" quotePrefix="0" xfId="0">
      <alignment horizontal="center" vertical="center"/>
    </xf>
    <xf numFmtId="164" fontId="1" fillId="12" borderId="15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/>
    </xf>
    <xf numFmtId="0" fontId="15" fillId="0" borderId="0" pivotButton="0" quotePrefix="0" xfId="0"/>
    <xf numFmtId="0" fontId="1" fillId="12" borderId="23" applyAlignment="1" pivotButton="0" quotePrefix="0" xfId="0">
      <alignment horizontal="center" vertical="center"/>
    </xf>
    <xf numFmtId="0" fontId="1" fillId="12" borderId="24" applyAlignment="1" pivotButton="0" quotePrefix="0" xfId="0">
      <alignment horizontal="center" vertical="center"/>
    </xf>
    <xf numFmtId="164" fontId="2" fillId="12" borderId="24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164" fontId="2" fillId="12" borderId="10" applyAlignment="1" pivotButton="0" quotePrefix="0" xfId="0">
      <alignment horizontal="center" vertical="center"/>
    </xf>
    <xf numFmtId="0" fontId="1" fillId="12" borderId="11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164" fontId="2" fillId="12" borderId="15" applyAlignment="1" pivotButton="0" quotePrefix="0" xfId="0">
      <alignment horizontal="center" vertical="center"/>
    </xf>
    <xf numFmtId="164" fontId="2" fillId="0" borderId="24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 vertical="center"/>
    </xf>
    <xf numFmtId="0" fontId="1" fillId="0" borderId="0" pivotButton="0" quotePrefix="0" xfId="0"/>
    <xf numFmtId="0" fontId="27" fillId="0" borderId="0" applyAlignment="1" pivotButton="0" quotePrefix="0" xfId="0">
      <alignment horizontal="left"/>
    </xf>
    <xf numFmtId="164" fontId="27" fillId="0" borderId="0" applyAlignment="1" pivotButton="0" quotePrefix="0" xfId="0">
      <alignment horizontal="left"/>
    </xf>
    <xf numFmtId="0" fontId="1" fillId="4" borderId="11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3" fontId="28" fillId="4" borderId="27" applyAlignment="1" pivotButton="0" quotePrefix="0" xfId="0">
      <alignment horizontal="center"/>
    </xf>
    <xf numFmtId="166" fontId="29" fillId="4" borderId="0" applyAlignment="1" pivotButton="0" quotePrefix="0" xfId="0">
      <alignment horizontal="center" vertical="bottom"/>
    </xf>
    <xf numFmtId="0" fontId="28" fillId="4" borderId="27" applyAlignment="1" pivotButton="0" quotePrefix="0" xfId="0">
      <alignment horizontal="center"/>
    </xf>
    <xf numFmtId="165" fontId="29" fillId="4" borderId="0" applyAlignment="1" pivotButton="0" quotePrefix="0" xfId="0">
      <alignment horizontal="center" vertical="bottom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164" fontId="1" fillId="4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10" borderId="27" applyAlignment="1" pivotButton="0" quotePrefix="0" xfId="0">
      <alignment horizontal="center"/>
    </xf>
    <xf numFmtId="166" fontId="29" fillId="10" borderId="0" applyAlignment="1" pivotButton="0" quotePrefix="0" xfId="0">
      <alignment horizontal="center" vertical="bottom"/>
    </xf>
    <xf numFmtId="0" fontId="28" fillId="0" borderId="27" applyAlignment="1" pivotButton="0" quotePrefix="0" xfId="0">
      <alignment horizontal="center"/>
    </xf>
    <xf numFmtId="165" fontId="29" fillId="0" borderId="0" applyAlignment="1" pivotButton="0" quotePrefix="0" xfId="0">
      <alignment horizontal="center" vertical="bottom"/>
    </xf>
    <xf numFmtId="166" fontId="29" fillId="0" borderId="0" applyAlignment="1" pivotButton="0" quotePrefix="0" xfId="0">
      <alignment horizontal="center" vertical="bottom"/>
    </xf>
    <xf numFmtId="0" fontId="28" fillId="4" borderId="0" applyAlignment="1" pivotButton="0" quotePrefix="0" xfId="0">
      <alignment horizontal="center"/>
    </xf>
    <xf numFmtId="0" fontId="29" fillId="0" borderId="0" applyAlignment="1" pivotButton="0" quotePrefix="0" xfId="0">
      <alignment horizontal="center" vertical="bottom"/>
    </xf>
    <xf numFmtId="166" fontId="1" fillId="0" borderId="0" applyAlignment="1" pivotButton="0" quotePrefix="0" xfId="0">
      <alignment horizontal="center"/>
    </xf>
    <xf numFmtId="165" fontId="29" fillId="10" borderId="0" applyAlignment="1" pivotButton="0" quotePrefix="0" xfId="0">
      <alignment horizontal="center" vertical="bottom"/>
    </xf>
    <xf numFmtId="165" fontId="1" fillId="0" borderId="0" applyAlignment="1" pivotButton="0" quotePrefix="0" xfId="0">
      <alignment horizontal="center"/>
    </xf>
    <xf numFmtId="164" fontId="30" fillId="0" borderId="0" applyAlignment="1" pivotButton="0" quotePrefix="0" xfId="0">
      <alignment horizontal="left"/>
    </xf>
    <xf numFmtId="164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64" fontId="1" fillId="0" borderId="0" pivotButton="0" quotePrefix="0" xfId="0"/>
    <xf numFmtId="0" fontId="31" fillId="0" borderId="28" applyAlignment="1" pivotButton="0" quotePrefix="0" xfId="0">
      <alignment vertical="bottom"/>
    </xf>
    <xf numFmtId="0" fontId="2" fillId="0" borderId="28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2" fillId="0" borderId="28" applyAlignment="1" pivotButton="0" quotePrefix="0" xfId="0">
      <alignment vertical="bottom"/>
    </xf>
    <xf numFmtId="0" fontId="33" fillId="0" borderId="28" applyAlignment="1" pivotButton="0" quotePrefix="0" xfId="0">
      <alignment horizontal="right" vertical="bottom"/>
    </xf>
    <xf numFmtId="4" fontId="32" fillId="0" borderId="1" applyAlignment="1" pivotButton="0" quotePrefix="0" xfId="0">
      <alignment vertical="bottom"/>
    </xf>
    <xf numFmtId="0" fontId="3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9" fontId="1" fillId="0" borderId="0" applyAlignment="1" pivotButton="0" quotePrefix="0" xfId="0">
      <alignment horizontal="center" wrapText="1"/>
    </xf>
    <xf numFmtId="0" fontId="3" fillId="3" borderId="29" applyAlignment="1" pivotButton="0" quotePrefix="0" xfId="0">
      <alignment horizontal="center" vertical="center" wrapText="1"/>
    </xf>
    <xf numFmtId="0" fontId="4" fillId="0" borderId="30" pivotButton="0" quotePrefix="0" xfId="0"/>
    <xf numFmtId="0" fontId="4" fillId="0" borderId="31" pivotButton="0" quotePrefix="0" xfId="0"/>
    <xf numFmtId="0" fontId="1" fillId="0" borderId="32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4" fillId="0" borderId="34" pivotButton="0" quotePrefix="0" xfId="0"/>
    <xf numFmtId="0" fontId="1" fillId="2" borderId="0" applyAlignment="1" pivotButton="0" quotePrefix="0" xfId="0">
      <alignment horizontal="center" vertical="center"/>
    </xf>
    <xf numFmtId="3" fontId="1" fillId="2" borderId="0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 wrapText="1"/>
    </xf>
    <xf numFmtId="164" fontId="17" fillId="7" borderId="33" applyAlignment="1" pivotButton="0" quotePrefix="0" xfId="0">
      <alignment horizontal="center" vertical="center"/>
    </xf>
    <xf numFmtId="0" fontId="18" fillId="8" borderId="32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/>
    </xf>
    <xf numFmtId="0" fontId="18" fillId="8" borderId="33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 wrapText="1"/>
    </xf>
    <xf numFmtId="0" fontId="4" fillId="0" borderId="33" pivotButton="0" quotePrefix="0" xfId="0"/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3" fillId="3" borderId="35" applyAlignment="1" pivotButton="0" quotePrefix="0" xfId="0">
      <alignment horizontal="center" vertical="center" wrapText="1"/>
    </xf>
    <xf numFmtId="0" fontId="4" fillId="0" borderId="36" pivotButton="0" quotePrefix="0" xfId="0"/>
    <xf numFmtId="0" fontId="4" fillId="0" borderId="37" pivotButton="0" quotePrefix="0" xfId="0"/>
    <xf numFmtId="167" fontId="1" fillId="0" borderId="0" applyAlignment="1" pivotButton="0" quotePrefix="0" xfId="0">
      <alignment horizontal="center" vertical="center"/>
    </xf>
    <xf numFmtId="167" fontId="2" fillId="0" borderId="3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5" fillId="7" borderId="38" applyAlignment="1" pivotButton="0" quotePrefix="0" xfId="0">
      <alignment horizontal="center" vertical="center" wrapText="1"/>
    </xf>
    <xf numFmtId="164" fontId="1" fillId="7" borderId="39" applyAlignment="1" pivotButton="0" quotePrefix="0" xfId="0">
      <alignment horizontal="center" vertical="center"/>
    </xf>
    <xf numFmtId="49" fontId="1" fillId="7" borderId="39" applyAlignment="1" pivotButton="0" quotePrefix="0" xfId="0">
      <alignment horizontal="center" vertical="center"/>
    </xf>
    <xf numFmtId="164" fontId="1" fillId="7" borderId="40" applyAlignment="1" pivotButton="0" quotePrefix="0" xfId="0">
      <alignment horizontal="center" vertical="center"/>
    </xf>
    <xf numFmtId="0" fontId="35" fillId="0" borderId="0" applyAlignment="1" pivotButton="0" quotePrefix="0" xfId="0">
      <alignment vertical="bottom"/>
    </xf>
    <xf numFmtId="0" fontId="35" fillId="0" borderId="0" applyAlignment="1" pivotButton="0" quotePrefix="0" xfId="0">
      <alignment horizontal="right" vertical="bottom"/>
    </xf>
    <xf numFmtId="0" fontId="35" fillId="0" borderId="0" applyAlignment="1" pivotButton="0" quotePrefix="0" xfId="0">
      <alignment vertical="bottom"/>
    </xf>
    <xf numFmtId="0" fontId="1" fillId="0" borderId="22" pivotButton="0" quotePrefix="0" xfId="0"/>
    <xf numFmtId="0" fontId="1" fillId="0" borderId="23" applyAlignment="1" pivotButton="0" quotePrefix="0" xfId="0">
      <alignment horizontal="center" wrapText="1"/>
    </xf>
    <xf numFmtId="0" fontId="1" fillId="6" borderId="23" applyAlignment="1" pivotButton="0" quotePrefix="0" xfId="0">
      <alignment horizontal="center" vertical="center" wrapText="1"/>
    </xf>
    <xf numFmtId="0" fontId="1" fillId="6" borderId="24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1" fillId="0" borderId="25" pivotButton="0" quotePrefix="0" xfId="0"/>
    <xf numFmtId="0" fontId="1" fillId="0" borderId="11" applyAlignment="1" pivotButton="0" quotePrefix="0" xfId="0">
      <alignment horizontal="center" wrapText="1"/>
    </xf>
    <xf numFmtId="0" fontId="35" fillId="0" borderId="0" applyAlignment="1" pivotButton="0" quotePrefix="0" xfId="0">
      <alignment vertical="bottom"/>
    </xf>
    <xf numFmtId="164" fontId="1" fillId="0" borderId="41" applyAlignment="1" pivotButton="0" quotePrefix="0" xfId="0">
      <alignment horizontal="center" vertical="center"/>
    </xf>
    <xf numFmtId="164" fontId="2" fillId="0" borderId="41" applyAlignment="1" pivotButton="0" quotePrefix="0" xfId="0">
      <alignment horizontal="center" vertical="center"/>
    </xf>
    <xf numFmtId="0" fontId="36" fillId="0" borderId="0" applyAlignment="1" pivotButton="0" quotePrefix="0" xfId="0">
      <alignment vertical="bottom"/>
    </xf>
    <xf numFmtId="0" fontId="37" fillId="0" borderId="0" pivotButton="0" quotePrefix="0" xfId="0"/>
    <xf numFmtId="0" fontId="36" fillId="0" borderId="0" applyAlignment="1" pivotButton="0" quotePrefix="0" xfId="0">
      <alignment vertical="bottom"/>
    </xf>
    <xf numFmtId="164" fontId="2" fillId="0" borderId="41" applyAlignment="1" pivotButton="0" quotePrefix="0" xfId="0">
      <alignment horizontal="center" vertical="center"/>
    </xf>
    <xf numFmtId="0" fontId="26" fillId="0" borderId="0" pivotButton="0" quotePrefix="0" xfId="0"/>
    <xf numFmtId="164" fontId="1" fillId="0" borderId="42" applyAlignment="1" pivotButton="0" quotePrefix="0" xfId="0">
      <alignment horizontal="center" vertical="center"/>
    </xf>
    <xf numFmtId="164" fontId="2" fillId="0" borderId="42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0" fontId="1" fillId="10" borderId="1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/>
    </xf>
    <xf numFmtId="9" fontId="1" fillId="10" borderId="0" applyAlignment="1" pivotButton="0" quotePrefix="0" xfId="0">
      <alignment horizontal="center"/>
    </xf>
    <xf numFmtId="0" fontId="0" fillId="0" borderId="0" pivotButton="0" quotePrefix="0" xfId="0"/>
    <xf numFmtId="0" fontId="3" fillId="3" borderId="4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9" fillId="9" borderId="43" applyAlignment="1" pivotButton="0" quotePrefix="0" xfId="0">
      <alignment horizontal="center" vertical="center" wrapText="1"/>
    </xf>
    <xf numFmtId="0" fontId="23" fillId="4" borderId="45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1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3" borderId="4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6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3" borderId="48" applyAlignment="1" pivotButton="0" quotePrefix="0" xfId="0">
      <alignment horizontal="center" vertical="center" wrapText="1"/>
    </xf>
    <xf numFmtId="0" fontId="0" fillId="0" borderId="33" pivotButton="0" quotePrefix="0" xfId="0"/>
    <xf numFmtId="0" fontId="3" fillId="3" borderId="49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1" fillId="6" borderId="5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/>
      </fill>
      <border/>
    </dxf>
    <dxf>
      <font>
        <color rgb="FF000000"/>
      </font>
      <fill>
        <patternFill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 val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Z103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38" customWidth="1" style="241" min="1" max="1"/>
    <col width="6.88" customWidth="1" style="241" min="2" max="4"/>
    <col width="2.63" customWidth="1" style="241" min="5" max="6"/>
    <col width="2.38" customWidth="1" style="241" min="8" max="8"/>
    <col width="4.25" customWidth="1" style="241" min="10" max="10"/>
    <col width="11.75" customWidth="1" style="241" min="11" max="11"/>
    <col width="4.13" customWidth="1" style="241" min="12" max="12"/>
    <col width="14.75" customWidth="1" style="241" min="13" max="13"/>
    <col width="10.63" customWidth="1" style="241" min="14" max="14"/>
    <col width="12.38" customWidth="1" style="241" min="15" max="15"/>
    <col width="12.25" customWidth="1" style="241" min="16" max="16"/>
    <col width="12.38" customWidth="1" style="241" min="17" max="18"/>
    <col width="12.25" customWidth="1" style="241" min="19" max="19"/>
    <col width="12.38" customWidth="1" style="241" min="20" max="20"/>
    <col width="11.75" customWidth="1" style="241" min="21" max="21"/>
    <col width="12.25" customWidth="1" style="241" min="22" max="22"/>
    <col width="12" customWidth="1" style="241" min="23" max="23"/>
    <col width="12.5" customWidth="1" style="241" min="24" max="24"/>
    <col hidden="1" width="10.63" customWidth="1" style="241" min="25" max="26"/>
    <col hidden="1" width="13.5" customWidth="1" style="241" min="27" max="29"/>
    <col hidden="1" width="69" customWidth="1" style="241" min="30" max="30"/>
    <col hidden="1" width="28.5" customWidth="1" style="241" min="31" max="31"/>
    <col hidden="1" width="12.25" customWidth="1" style="241" min="32" max="32"/>
    <col hidden="1" width="24.5" customWidth="1" style="241" min="33" max="33"/>
    <col hidden="1" width="7" customWidth="1" style="241" min="34" max="41"/>
    <col hidden="1" width="12.63" customWidth="1" style="241" min="42" max="52"/>
  </cols>
  <sheetData>
    <row r="1" ht="29.25" customHeight="1" s="241">
      <c r="A1" s="144" t="inlineStr">
        <is>
          <t>!</t>
        </is>
      </c>
      <c r="B1" s="2" t="n"/>
      <c r="C1" s="2" t="n"/>
      <c r="D1" s="5" t="n"/>
      <c r="E1" s="10" t="n"/>
      <c r="F1" s="10" t="n"/>
      <c r="G1" s="10" t="n"/>
      <c r="H1" s="5" t="n"/>
      <c r="I1" s="5" t="n"/>
      <c r="K1" s="6" t="n"/>
      <c r="L1" s="5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</row>
    <row r="2" ht="18.75" customHeight="1" s="241">
      <c r="B2" s="2" t="n"/>
      <c r="D2" s="5" t="n"/>
      <c r="E2" s="10" t="n"/>
      <c r="F2" s="10" t="n"/>
      <c r="G2" s="5" t="n"/>
      <c r="H2" s="5" t="n"/>
      <c r="I2" s="7">
        <f>IF(LEN(I3)=5,VLOOKUP(LEFT(I3,2),AuxCP!C:E,3,0),VLOOKUP("0"&amp;LEFT(I3,1),AuxCP!C:E,3,0))</f>
        <v/>
      </c>
      <c r="K2" s="6" t="inlineStr">
        <is>
          <t>Zona</t>
        </is>
      </c>
      <c r="L2" s="5" t="n"/>
      <c r="N2" s="144" t="inlineStr">
        <is>
          <t>COPAGO</t>
        </is>
      </c>
      <c r="O2" s="180" t="inlineStr">
        <is>
          <t>COPAGO</t>
        </is>
      </c>
      <c r="P2" s="180" t="inlineStr">
        <is>
          <t>COPAGO</t>
        </is>
      </c>
      <c r="Q2" s="6" t="inlineStr">
        <is>
          <t>COPAGO</t>
        </is>
      </c>
      <c r="R2" s="6" t="n"/>
      <c r="S2" s="6" t="n"/>
      <c r="T2" s="6" t="n"/>
      <c r="U2" s="6" t="inlineStr">
        <is>
          <t>COPAGO</t>
        </is>
      </c>
      <c r="V2" s="6" t="inlineStr">
        <is>
          <t>COPAGO</t>
        </is>
      </c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 ht="27" customHeight="1" s="241">
      <c r="A3" s="58" t="n"/>
      <c r="B3" s="10" t="n"/>
      <c r="C3" s="10" t="n"/>
      <c r="D3" s="10" t="n"/>
      <c r="E3" s="10" t="n"/>
      <c r="F3" s="10" t="n"/>
      <c r="G3" s="10" t="inlineStr">
        <is>
          <t>CP</t>
        </is>
      </c>
      <c r="H3" s="10" t="n"/>
      <c r="I3" s="11" t="n">
        <v>46019</v>
      </c>
      <c r="J3" s="10" t="n"/>
      <c r="K3" s="12">
        <f>IF(LEN(I3)=5,VLOOKUP(LEFT(I3,2),AuxCP!C:D,2,0),VLOOKUP("0"&amp;LEFT(I3,1),AuxCP!C:D,2,0))</f>
        <v/>
      </c>
      <c r="L3" s="10" t="n"/>
      <c r="M3" s="242" t="inlineStr">
        <is>
          <t>COTIZACIÓN</t>
        </is>
      </c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16" t="n"/>
      <c r="Z3" s="16" t="n"/>
      <c r="AA3" s="16" t="n"/>
      <c r="AB3" s="16" t="n"/>
      <c r="AC3" s="17" t="n"/>
      <c r="AD3" s="58" t="n"/>
      <c r="AE3" s="18" t="inlineStr">
        <is>
          <t>PROMOCIONES ACTUALES</t>
        </is>
      </c>
      <c r="AF3" s="18" t="inlineStr">
        <is>
          <t>Asegurados</t>
        </is>
      </c>
      <c r="AG3" s="18" t="inlineStr">
        <is>
          <t>Promo</t>
        </is>
      </c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  <c r="AQ3" s="58" t="n"/>
      <c r="AR3" s="58" t="n"/>
      <c r="AS3" s="58" t="n"/>
      <c r="AT3" s="58" t="n"/>
      <c r="AU3" s="58" t="n"/>
      <c r="AV3" s="58" t="n"/>
      <c r="AW3" s="58" t="n"/>
      <c r="AX3" s="58" t="n"/>
      <c r="AY3" s="58" t="n"/>
      <c r="AZ3" s="58" t="n"/>
    </row>
    <row r="4" ht="20.25" customHeight="1" s="241">
      <c r="B4" s="5" t="inlineStr">
        <is>
          <t>Fecha nacimiento</t>
        </is>
      </c>
      <c r="E4" s="10" t="n"/>
      <c r="F4" s="10" t="n"/>
      <c r="G4" s="5" t="inlineStr">
        <is>
          <t>Edad</t>
        </is>
      </c>
      <c r="H4" s="5" t="n"/>
      <c r="I4" s="5" t="n"/>
      <c r="K4" s="245" t="inlineStr">
        <is>
          <t>DESCUENTOS</t>
        </is>
      </c>
      <c r="L4" s="5" t="n"/>
      <c r="M4" s="20" t="n"/>
      <c r="N4" s="246" t="inlineStr">
        <is>
          <t>Go</t>
        </is>
      </c>
      <c r="O4" s="247" t="inlineStr">
        <is>
          <t>Plena Vital</t>
        </is>
      </c>
      <c r="P4" s="248" t="inlineStr">
        <is>
          <t>Plena Total Vital</t>
        </is>
      </c>
      <c r="Q4" s="247" t="inlineStr">
        <is>
          <t>Adeslas Plena</t>
        </is>
      </c>
      <c r="R4" s="247" t="inlineStr">
        <is>
          <t>Adeslas Plena Plus</t>
        </is>
      </c>
      <c r="S4" s="248" t="inlineStr">
        <is>
          <t>Adeslas Plena Total</t>
        </is>
      </c>
      <c r="T4" s="247" t="inlineStr">
        <is>
          <t>Adeslas Plena Extra 150</t>
        </is>
      </c>
      <c r="U4" s="249" t="inlineStr">
        <is>
          <t>Adeslas Seniors</t>
        </is>
      </c>
      <c r="V4" s="249" t="inlineStr">
        <is>
          <t>Adeslas Plena Total Seniors</t>
        </is>
      </c>
      <c r="W4" s="247" t="inlineStr">
        <is>
          <t>Adeslas NIF</t>
        </is>
      </c>
      <c r="X4" s="250" t="inlineStr">
        <is>
          <t>Adeslas Pymes TOTAL</t>
        </is>
      </c>
      <c r="Y4" s="251" t="inlineStr">
        <is>
          <t>Adeslas Extra NIF</t>
        </is>
      </c>
      <c r="Z4" s="251" t="inlineStr">
        <is>
          <t>Adeslas CIF</t>
        </is>
      </c>
      <c r="AA4" s="251" t="inlineStr">
        <is>
          <t>Adeslas Extra CIF</t>
        </is>
      </c>
      <c r="AB4" s="251" t="inlineStr">
        <is>
          <t>Adeslas Empresas</t>
        </is>
      </c>
      <c r="AC4" s="252" t="inlineStr">
        <is>
          <t>Adeslas Extra Empresas</t>
        </is>
      </c>
      <c r="AD4" s="58" t="n"/>
      <c r="AE4" s="28" t="inlineStr">
        <is>
          <t>Plurianuales</t>
        </is>
      </c>
      <c r="AF4" s="29" t="n">
        <v>1</v>
      </c>
      <c r="AG4" s="28" t="inlineStr">
        <is>
          <t>2 meses gratis</t>
        </is>
      </c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</row>
    <row r="5" ht="20.25" customHeight="1" s="241">
      <c r="A5" s="58" t="n"/>
      <c r="B5" s="30" t="inlineStr">
        <is>
          <t>Día</t>
        </is>
      </c>
      <c r="C5" s="30" t="inlineStr">
        <is>
          <t>Mes</t>
        </is>
      </c>
      <c r="D5" s="30" t="inlineStr">
        <is>
          <t>Año</t>
        </is>
      </c>
      <c r="E5" s="10" t="n"/>
      <c r="F5" s="10" t="n"/>
      <c r="G5" s="30" t="n"/>
      <c r="H5" s="31" t="n"/>
      <c r="I5" s="32" t="inlineStr">
        <is>
          <t>Edad</t>
        </is>
      </c>
      <c r="J5" s="58" t="n"/>
      <c r="K5" s="253" t="n"/>
      <c r="L5" s="10" t="n"/>
      <c r="M5" s="34" t="n"/>
      <c r="N5" s="254" t="n"/>
      <c r="O5" s="254" t="n"/>
      <c r="P5" s="254" t="n"/>
      <c r="Q5" s="254" t="n"/>
      <c r="R5" s="254" t="n"/>
      <c r="S5" s="254" t="n"/>
      <c r="T5" s="254" t="n"/>
      <c r="U5" s="254" t="n"/>
      <c r="V5" s="254" t="n"/>
      <c r="W5" s="254" t="n"/>
      <c r="X5" s="255" t="n"/>
      <c r="Y5" s="253" t="n"/>
      <c r="Z5" s="253" t="n"/>
      <c r="AA5" s="253" t="n"/>
      <c r="AB5" s="253" t="n"/>
      <c r="AC5" s="256" t="n"/>
      <c r="AD5" s="58" t="n"/>
      <c r="AE5" s="28" t="inlineStr">
        <is>
          <t>Plurianuales</t>
        </is>
      </c>
      <c r="AF5" s="29" t="inlineStr">
        <is>
          <t>&gt;=2</t>
        </is>
      </c>
      <c r="AG5" s="28" t="inlineStr">
        <is>
          <t>3 meses gratis (2 el primer año)</t>
        </is>
      </c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R5" s="58" t="n"/>
      <c r="AS5" s="58" t="n"/>
      <c r="AT5" s="58" t="n"/>
      <c r="AU5" s="58" t="n"/>
      <c r="AV5" s="58" t="n"/>
      <c r="AW5" s="58" t="n"/>
      <c r="AX5" s="58" t="n"/>
      <c r="AY5" s="58" t="n"/>
    </row>
    <row r="6" ht="34.5" customHeight="1" s="241">
      <c r="A6" s="38" t="n">
        <v>1</v>
      </c>
      <c r="B6" s="69" t="n"/>
      <c r="C6" s="69" t="n"/>
      <c r="D6" s="69" t="n"/>
      <c r="E6" s="10" t="n"/>
      <c r="F6" s="10" t="n"/>
      <c r="G6" s="40" t="n">
        <v>33</v>
      </c>
      <c r="H6" s="10" t="n"/>
      <c r="I6" s="41" t="n">
        <v>33</v>
      </c>
      <c r="J6" s="10" t="n"/>
      <c r="K6" s="42">
        <f>IF(K10="Sí",0.06+K8,K8)</f>
        <v/>
      </c>
      <c r="L6" s="5" t="n"/>
      <c r="M6" s="43" t="inlineStr">
        <is>
          <t>SIN DENTAL</t>
        </is>
      </c>
      <c r="N6" s="44">
        <f>IF((SUM(N57:N71))=0,"",SUM(N57:N71))</f>
        <v/>
      </c>
      <c r="O6" s="44">
        <f>IF((SUM(O21:O35))=0,"",SUM(O21:O35))</f>
        <v/>
      </c>
      <c r="P6" s="45" t="n"/>
      <c r="Q6" s="44">
        <f>IF((SUM(Q21:Q35))=0,"",SUM(Q21:Q35))</f>
        <v/>
      </c>
      <c r="R6" s="44">
        <f>IF((SUM(R21:R35))=0,"",SUM(R21:R35))</f>
        <v/>
      </c>
      <c r="S6" s="45" t="n"/>
      <c r="T6" s="44">
        <f>IF((SUM(T21:T35))=0,"",SUM(T21:T35))</f>
        <v/>
      </c>
      <c r="U6" s="46">
        <f>IF(SUM(U21:U35)=0,"",IF(COUNT($I$6:$I$20)&gt;=4,SUM(U21:U35)*0.9, SUM(U21:U35)))</f>
        <v/>
      </c>
      <c r="V6" s="45" t="n"/>
      <c r="W6" s="44">
        <f>IF((SUM(W21:W35))=0,"",SUM(W21:W35))</f>
        <v/>
      </c>
      <c r="X6" s="47" t="n"/>
      <c r="Y6" s="48">
        <f>IF(COUNT($I$6:$I$13)&gt;4,SUM(Y21:Y28)*0.9, SUM(Y21:Y28))</f>
        <v/>
      </c>
      <c r="Z6" s="48">
        <f>IF(COUNT($I$6:$I$13)&gt;4,SUM(Z21:Z28)*0.9, SUM(Z21:Z28))</f>
        <v/>
      </c>
      <c r="AA6" s="48">
        <f>IF(COUNT($I$6:$I$13)&gt;4,SUM(AA21:AA28)*0.9, SUM(AA21:AA28))</f>
        <v/>
      </c>
      <c r="AB6" s="48">
        <f>IF(COUNT($I$6:$I$13)&gt;4,SUM(AB21:AB28)*0.9, SUM(AB21:AB28))</f>
        <v/>
      </c>
      <c r="AC6" s="49">
        <f>IF(COUNT($I$6:$I$13)&gt;4,SUM(AC21:AC28)*0.9, SUM(AC21:AC28))</f>
        <v/>
      </c>
      <c r="AE6" s="50" t="inlineStr">
        <is>
          <t>Anuales Sin dental</t>
        </is>
      </c>
      <c r="AF6" s="51" t="n">
        <v>1</v>
      </c>
      <c r="AG6" s="28" t="inlineStr">
        <is>
          <t>1 mes gratis</t>
        </is>
      </c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8" t="n"/>
      <c r="AT6" s="58" t="n"/>
      <c r="AU6" s="58" t="n"/>
      <c r="AV6" s="10" t="n"/>
      <c r="AW6" s="10" t="n"/>
      <c r="AX6" s="10" t="n"/>
    </row>
    <row r="7" ht="34.5" customHeight="1" s="241">
      <c r="A7" s="38" t="n">
        <v>2</v>
      </c>
      <c r="B7" s="69" t="n"/>
      <c r="C7" s="69" t="n"/>
      <c r="D7" s="69" t="n"/>
      <c r="E7" s="10" t="n"/>
      <c r="F7" s="10" t="n"/>
      <c r="G7" s="40" t="n">
        <v>43</v>
      </c>
      <c r="H7" s="10" t="n"/>
      <c r="I7" s="41" t="n">
        <v>44</v>
      </c>
      <c r="J7" s="10" t="n"/>
      <c r="K7" s="52" t="inlineStr">
        <is>
          <t>Descuento contra comisión</t>
        </is>
      </c>
      <c r="L7" s="5" t="n"/>
      <c r="M7" s="53" t="inlineStr">
        <is>
          <t>CON DENTAL</t>
        </is>
      </c>
      <c r="N7" s="54">
        <f>IF((SUM(N75:N89))=0,"",SUM(N75:N89))</f>
        <v/>
      </c>
      <c r="O7" s="54">
        <f>IF((SUM(O39:O53))=0,"",SUM(O39:O53))</f>
        <v/>
      </c>
      <c r="P7" s="54">
        <f>IF((SUM(P39:P53))=0,"",SUM(P39:P53))</f>
        <v/>
      </c>
      <c r="Q7" s="54">
        <f>IF((SUM(Q39:Q53))=0,"",SUM(Q39:Q53))</f>
        <v/>
      </c>
      <c r="R7" s="54">
        <f>IF((SUM(R39:R53))=0,"",SUM(R39:R53))</f>
        <v/>
      </c>
      <c r="S7" s="54">
        <f>IF((SUM(S39:S53))=0,"",SUM(S39:S53))</f>
        <v/>
      </c>
      <c r="T7" s="54">
        <f>IF((SUM(T39:T53))=0,"",SUM(T39:T53))</f>
        <v/>
      </c>
      <c r="U7" s="54">
        <f>IF((SUM(U39:U53))=0,"",SUM(U39:U53))</f>
        <v/>
      </c>
      <c r="V7" s="54">
        <f>IF((SUM(V39:V53))=0,"",SUM(V39:V53))</f>
        <v/>
      </c>
      <c r="W7" s="54">
        <f>IF((SUM(W39:W53))=0,"",SUM(W39:W53))</f>
        <v/>
      </c>
      <c r="X7" s="55">
        <f>IF((SUM(X39:X53))=0,"",SUM(X39:X53))</f>
        <v/>
      </c>
      <c r="Y7" s="54">
        <f>IF(OR(Y$6="",Y$6=0),"",Y6+VLOOKUP(COUNT($I$6:$I$13),Precios!$F:$H,3,0))</f>
        <v/>
      </c>
      <c r="Z7" s="56" t="n"/>
      <c r="AA7" s="56" t="n"/>
      <c r="AB7" s="56" t="n"/>
      <c r="AC7" s="57" t="n"/>
      <c r="AD7" s="58" t="n"/>
      <c r="AE7" s="50" t="inlineStr">
        <is>
          <t>Anuales Sin dental</t>
        </is>
      </c>
      <c r="AF7" s="29" t="inlineStr">
        <is>
          <t>&gt;=2</t>
        </is>
      </c>
      <c r="AG7" s="28" t="inlineStr">
        <is>
          <t>2 meses gratis (1 el primer año)</t>
        </is>
      </c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58" t="n"/>
      <c r="AV7" s="10" t="n"/>
      <c r="AW7" s="10" t="n"/>
      <c r="AX7" s="10" t="n"/>
    </row>
    <row r="8" ht="34.5" customHeight="1" s="241">
      <c r="A8" s="38" t="n">
        <v>3</v>
      </c>
      <c r="B8" s="69" t="n"/>
      <c r="C8" s="69" t="n"/>
      <c r="D8" s="69" t="n"/>
      <c r="E8" s="10" t="n"/>
      <c r="F8" s="10" t="n"/>
      <c r="G8" s="40" t="n">
        <v>55</v>
      </c>
      <c r="H8" s="10" t="n"/>
      <c r="I8" s="41" t="n">
        <v>55</v>
      </c>
      <c r="J8" s="10" t="n"/>
      <c r="K8" s="59" t="n">
        <v>0</v>
      </c>
      <c r="L8" s="5" t="n"/>
      <c r="M8" s="60" t="inlineStr">
        <is>
          <t>PRECIO SIN DESCUENTO</t>
        </is>
      </c>
      <c r="N8" s="61" t="n"/>
      <c r="O8" s="61" t="n"/>
      <c r="P8" s="62">
        <f>IF(SUM(P75:P89)=0,"",SUM(P75:P89))</f>
        <v/>
      </c>
      <c r="Q8" s="61" t="n"/>
      <c r="R8" s="61" t="n"/>
      <c r="S8" s="62">
        <f>IF(SUM(S75:S89)=0,"",SUM(S75:S89))</f>
        <v/>
      </c>
      <c r="T8" s="61" t="n"/>
      <c r="U8" s="61" t="n"/>
      <c r="V8" s="61">
        <f>IF(SUM(V75:V89)=0,"",SUM(V75:V89))</f>
        <v/>
      </c>
      <c r="W8" s="61" t="n"/>
      <c r="X8" s="63">
        <f>IF(SUM(X75:X89)=0,"",SUM(X75:X89))</f>
        <v/>
      </c>
      <c r="Y8" s="64" t="n"/>
      <c r="Z8" s="64" t="n"/>
      <c r="AA8" s="64" t="n"/>
      <c r="AB8" s="64" t="n"/>
      <c r="AC8" s="65" t="n"/>
      <c r="AD8" s="58" t="n"/>
      <c r="AE8" s="50" t="inlineStr">
        <is>
          <t>Anuales Con dental</t>
        </is>
      </c>
      <c r="AF8" s="51" t="n">
        <v>1</v>
      </c>
      <c r="AG8" s="28" t="inlineStr">
        <is>
          <t>2 meses gratis</t>
        </is>
      </c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10" t="n"/>
      <c r="AW8" s="10" t="n"/>
      <c r="AX8" s="10" t="n"/>
    </row>
    <row r="9" ht="34.5" customHeight="1" s="241">
      <c r="A9" s="38" t="n">
        <v>4</v>
      </c>
      <c r="B9" s="69" t="n"/>
      <c r="C9" s="69" t="n"/>
      <c r="D9" s="69" t="n"/>
      <c r="E9" s="10" t="n"/>
      <c r="F9" s="10" t="n"/>
      <c r="G9" s="40" t="n">
        <v>66</v>
      </c>
      <c r="H9" s="10" t="n"/>
      <c r="I9" s="41" t="n">
        <v>60</v>
      </c>
      <c r="J9" s="10" t="n"/>
      <c r="K9" s="52" t="inlineStr">
        <is>
          <t>¿Es Anual?</t>
        </is>
      </c>
      <c r="L9" s="5" t="n"/>
      <c r="M9" s="257" t="inlineStr">
        <is>
          <t>PRIMA ANUAL</t>
        </is>
      </c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5" t="n"/>
      <c r="Y9" s="67" t="n"/>
      <c r="Z9" s="67" t="n"/>
      <c r="AA9" s="67" t="n"/>
      <c r="AB9" s="67" t="n"/>
      <c r="AC9" s="6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10" t="n"/>
      <c r="AT9" s="10" t="n"/>
      <c r="AU9" s="10" t="n"/>
    </row>
    <row r="10" ht="39.75" customHeight="1" s="241">
      <c r="A10" s="38" t="n">
        <v>5</v>
      </c>
      <c r="B10" s="69" t="n"/>
      <c r="C10" s="69" t="n"/>
      <c r="D10" s="69" t="n"/>
      <c r="E10" s="10" t="n"/>
      <c r="F10" s="10" t="n"/>
      <c r="G10" s="69" t="n"/>
      <c r="H10" s="10" t="n"/>
      <c r="I10" s="31" t="n">
        <v>3</v>
      </c>
      <c r="J10" s="10" t="n"/>
      <c r="K10" s="192" t="inlineStr">
        <is>
          <t>No</t>
        </is>
      </c>
      <c r="L10" s="71" t="n"/>
      <c r="M10" s="43" t="inlineStr">
        <is>
          <t>SIN DENTAL</t>
        </is>
      </c>
      <c r="N10" s="72">
        <f>IF((SUM(N57:N71)*12)=0,"",SUM(N57:N71)*12)</f>
        <v/>
      </c>
      <c r="O10" s="73">
        <f>IF((SUM(O21:O35)*12)=0,"",SUM(O21:O35)*12)</f>
        <v/>
      </c>
      <c r="P10" s="45" t="n"/>
      <c r="Q10" s="73">
        <f>IF((SUM(Q21:Q35)*12)=0,"",SUM(Q21:Q35)*12)</f>
        <v/>
      </c>
      <c r="R10" s="73">
        <f>IF((SUM(R21:R35)*12)=0,"",SUM(R21:R35)*12)</f>
        <v/>
      </c>
      <c r="S10" s="45" t="n"/>
      <c r="T10" s="73">
        <f>IF((SUM(T21:T35)*12)=0,"",SUM(T21:T35)*12)</f>
        <v/>
      </c>
      <c r="U10" s="73">
        <f>IF(IFERROR(IF(AND($K$8&gt;1%,$K$10="Sí"),U$57*(1-($K$6-$K$8))*(1-$K$8)*12,IF(AND($K$6&gt;0%,$K$6&lt;11%),U$57*(1-$K$6)*12,IF($K$6=0,U$57*12))),"")=0,"",IFERROR(IF(AND($K$8&gt;1%,$K$10="Sí"),U$57*(1-($K$6-$K$8))*(1-$K$8)*12,IF(AND($K$6&gt;0%,$K$6&lt;11%),U$57*(1-$K$6)*12,IF($K$6=0,U$57*12))),""))</f>
        <v/>
      </c>
      <c r="V10" s="45" t="n"/>
      <c r="W10" s="73">
        <f>IF((SUM(W21:W35)*12)=0,"",SUM(W21:W35)*12)</f>
        <v/>
      </c>
      <c r="X10" s="47" t="n"/>
      <c r="Y10" s="74">
        <f>IFERROR(IF(IF(AND($K$8&gt;1%,$K$10="Sí"),Y$57*(1-($K$6-$K$8))*(1-$K$8)*12,IF(AND($K$6&gt;0%,$K$6&lt;11%),Y$57*(1-$K$6)*12,IF($K$6=0,Y$57*12)))=0,"",IF(AND($K$8&gt;1%,$K$10="Sí"),Y$57*(1-($K$6-$K$8))*(1-$K$8)*12,IF(AND($K$6&gt;0%,$K$6&lt;11%),Y$57*(1-$K$6)*12,IF($K$6=0,Y$57*12)))),"")</f>
        <v/>
      </c>
      <c r="Z10" s="74">
        <f>IFERROR(IF(AND($K$8&gt;1%,$K$10="Sí"),Z$57*(1-($K$6-$K$8))*(1-$K$8)*12,IF(AND($K$6&gt;0%,$K$6&lt;11%),Z$57*(1-$K$6)*12,IF($K$6=0,Z$57*12))),"")</f>
        <v/>
      </c>
      <c r="AA10" s="74">
        <f>IFERROR(IF(AND($K$8&gt;1%,$K$10="Sí"),AA$57*(1-($K$6-$K$8))*(1-$K$8)*12,IF(AND($K$6&gt;0%,$K$6&lt;11%),AA$57*(1-$K$6)*12,IF($K$6=0,AA$57*12))),"")</f>
        <v/>
      </c>
      <c r="AB10" s="74">
        <f>IFERROR(IF(AND($K$8&gt;1%,$K$10="Sí"),AB$57*(1-($K$6-$K$8))*(1-$K$8)*12,IF(AND($K$6&gt;0%,$K$6&lt;11%),AB$57*(1-$K$6)*12,IF($K$6=0,AB$57*12))),"")</f>
        <v/>
      </c>
      <c r="AC10" s="49">
        <f>IFERROR(IF(AND($K$8&gt;1%,$K$10="Sí"),AC$57*(1-($K$6-$K$8))*(1-$K$8)*12,IF(AND($K$6&gt;0%,$K$6&lt;11%),AC$57*(1-$K$6)*12,IF($K$6=0,AC$57*12))),"")</f>
        <v/>
      </c>
      <c r="AD10" s="58" t="n"/>
      <c r="AE10" s="58" t="n"/>
      <c r="AF10" s="58" t="n"/>
      <c r="AG10" s="58" t="n"/>
      <c r="AH10" s="58" t="n"/>
      <c r="AI10" s="58" t="n"/>
      <c r="AJ10" s="58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</row>
    <row r="11" ht="39.75" customHeight="1" s="241">
      <c r="A11" s="38" t="n">
        <v>6</v>
      </c>
      <c r="B11" s="69" t="n"/>
      <c r="C11" s="69" t="n"/>
      <c r="D11" s="69" t="n"/>
      <c r="E11" s="10" t="n"/>
      <c r="F11" s="10" t="n"/>
      <c r="G11" s="69" t="n"/>
      <c r="H11" s="10" t="n"/>
      <c r="I11" s="31" t="n"/>
      <c r="J11" s="10" t="n"/>
      <c r="K11" s="75">
        <f>$K$6</f>
        <v/>
      </c>
      <c r="L11" s="71" t="n"/>
      <c r="M11" s="76" t="inlineStr">
        <is>
          <t>SIN DESCUENTO</t>
        </is>
      </c>
      <c r="N11" s="77">
        <f>IF((SUM(N57:N71)*12)=0,"",SUM(N57:N71)*12)</f>
        <v/>
      </c>
      <c r="O11" s="77">
        <f>IF((SUM(O57:O71)*12)=0,"",SUM(O57:O71)*12)</f>
        <v/>
      </c>
      <c r="P11" s="54" t="n"/>
      <c r="Q11" s="77">
        <f>IF((SUM(Q57:Q71)*12)=0,"",SUM(Q57:Q71)*12)</f>
        <v/>
      </c>
      <c r="R11" s="77">
        <f>IF((SUM(R57:R71)*12)=0,"",SUM(R57:R71)*12)</f>
        <v/>
      </c>
      <c r="S11" s="54" t="n"/>
      <c r="T11" s="77">
        <f>IF((SUM(T57:T71)*12)=0,"",SUM(T57:T71)*12)</f>
        <v/>
      </c>
      <c r="U11" s="77">
        <f>IFERROR(__xludf.DUMMYFUNCTION("IFERROR(IF($U$10="""","""",IF($K$10=""Sí"",IF($I6="""","""",IF(VLOOKUP(LEFT(U$37,SEARCH(""☃"",SUBSTITUTE(U$37,"" "",""☃"",LEN(U$37)-LEN(SUBSTITUTE(U$37,"" "",""""))))-1),Excepciones!$A:$B,2,0)&gt;=0,IFERROR(INDEX(filter(Precios!$D:$D,(Precios!$A:$A&lt;=$I6)*(Pr"&amp;"ecios!$B:$B&gt;=$I6)*(Precios!$C:$C=U$37))*12,1),""""),""""))*0.94,IF($I6="""","""",IF(VLOOKUP(LEFT(U$37,SEARCH(""☃"",SUBSTITUTE(U$37,"" "",""☃"",LEN(U$37)-LEN(SUBSTITUTE(U$37,"" "",""""))))-1),Excepciones!$A:$B,2,0)&gt;=0,IFERROR(INDEX(filter(Precios!$D:$D,(Pr"&amp;"ecios!$A:$A&lt;=$I6)*(Precios!$B:$B&gt;=$I6)*(Precios!$C:$C=U$37))*12,1),""""),"""")))),"""")"),"")</f>
        <v/>
      </c>
      <c r="V11" s="54" t="n"/>
      <c r="W11" s="77">
        <f>IF((SUM(W57:W71)*12)=0,"",SUM(W57:W71)*12)</f>
        <v/>
      </c>
      <c r="X11" s="55" t="n"/>
      <c r="Y11" s="78">
        <f>IF(OR(Y8="",Y8=0),"",Y8*12)</f>
        <v/>
      </c>
      <c r="Z11" s="79">
        <f>IFERROR(__xludf.DUMMYFUNCTION("IFERROR(IF($K$10=""Sí"",IF($I6="""","""",IF(VLOOKUP(LEFT(Z$37,SEARCH(""☃"",SUBSTITUTE(Z$37,"" "",""☃"",LEN(Z$37)-LEN(SUBSTITUTE(Z$37,"" "",""""))))-1),Excepciones!$A:$B,2,0)&gt;=0,IFERROR(INDEX(filter(Precios!$D:$D,(Precios!$A:$A&lt;=$I6)*(Precios!$B:$B&gt;=$I6)*("&amp;"Precios!$C:$C=Z$37))*12,1),""""),""""))*0.94,IF($I6="""","""",IF(VLOOKUP(LEFT(Z$37,SEARCH(""☃"",SUBSTITUTE(Z$37,"" "",""☃"",LEN(Z$37)-LEN(SUBSTITUTE(Z$37,"" "",""""))))-1),Excepciones!$A:$B,2,0)&gt;=0,IFERROR(INDEX(filter(Precios!$D:$D,(Precios!$A:$A&lt;=$I6)*("&amp;"Precios!$B:$B&gt;=$I6)*(Precios!$C:$C=Z$37))*12,1),""""),""""))),"""")"),624.0)</f>
        <v/>
      </c>
      <c r="AA11" s="79">
        <f>IFERROR(__xludf.DUMMYFUNCTION("IFERROR(IF($K$10=""Sí"",IF($I6="""","""",IF(VLOOKUP(LEFT(AA$37,SEARCH(""☃"",SUBSTITUTE(AA$37,"" "",""☃"",LEN(AA$37)-LEN(SUBSTITUTE(AA$37,"" "",""""))))-1),Excepciones!$A:$B,2,0)&gt;=0,IFERROR(INDEX(filter(Precios!$D:$D,(Precios!$A:$A&lt;=$I6)*(Precios!$B:$B&gt;=$I"&amp;"6)*(Precios!$C:$C=AA$37))*12,1),""""),""""))*0.94,IF($I6="""","""",IF(VLOOKUP(LEFT(AA$37,SEARCH(""☃"",SUBSTITUTE(AA$37,"" "",""☃"",LEN(AA$37)-LEN(SUBSTITUTE(AA$37,"" "",""""))))-1),Excepciones!$A:$B,2,0)&gt;=0,IFERROR(INDEX(filter(Precios!$D:$D,(Precios!$A:$"&amp;"A&lt;=$I6)*(Precios!$B:$B&gt;=$I6)*(Precios!$C:$C=AA$37))*12,1),""""),""""))),"""")"),918.0)</f>
        <v/>
      </c>
      <c r="AB11" s="79">
        <f>IFERROR(__xludf.DUMMYFUNCTION("IFERROR(IF($K$10=""Sí"",IF($I6="""","""",IF(VLOOKUP(LEFT(AB$37,SEARCH(""☃"",SUBSTITUTE(AB$37,"" "",""☃"",LEN(AB$37)-LEN(SUBSTITUTE(AB$37,"" "",""""))))-1),Excepciones!$A:$B,2,0)&gt;=0,IFERROR(INDEX(filter(Precios!$D:$D,(Precios!$A:$A&lt;=$I6)*(Precios!$B:$B&gt;=$I"&amp;"6)*(Precios!$C:$C=AB$37))*12,1),""""),""""))*0.94,IF($I6="""","""",IF(VLOOKUP(LEFT(AB$37,SEARCH(""☃"",SUBSTITUTE(AB$37,"" "",""☃"",LEN(AB$37)-LEN(SUBSTITUTE(AB$37,"" "",""""))))-1),Excepciones!$A:$B,2,0)&gt;=0,IFERROR(INDEX(filter(Precios!$D:$D,(Precios!$A:$"&amp;"A&lt;=$I6)*(Precios!$B:$B&gt;=$I6)*(Precios!$C:$C=AB$37))*12,1),""""),""""))),"""")"),702.0)</f>
        <v/>
      </c>
      <c r="AC11" s="80">
        <f>IFERROR(__xludf.DUMMYFUNCTION("IFERROR(IF($K$10=""Sí"",IF($I6="""","""",IF(VLOOKUP(LEFT(AC$37,SEARCH(""☃"",SUBSTITUTE(AC$37,"" "",""☃"",LEN(AC$37)-LEN(SUBSTITUTE(AC$37,"" "",""""))))-1),Excepciones!$A:$B,2,0)&gt;=0,IFERROR(INDEX(filter(Precios!$D:$D,(Precios!$A:$A&lt;=$I6)*(Precios!$B:$B&gt;=$I"&amp;"6)*(Precios!$C:$C=AC$37))*12,1),""""),""""))*0.94,IF($I6="""","""",IF(VLOOKUP(LEFT(AC$37,SEARCH(""☃"",SUBSTITUTE(AC$37,"" "",""☃"",LEN(AC$37)-LEN(SUBSTITUTE(AC$37,"" "",""""))))-1),Excepciones!$A:$B,2,0)&gt;=0,IFERROR(INDEX(filter(Precios!$D:$D,(Precios!$A:$"&amp;"A&lt;=$I6)*(Precios!$B:$B&gt;=$I6)*(Precios!$C:$C=AC$37))*12,1),""""),""""))),"""")"),978.0)</f>
        <v/>
      </c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</row>
    <row r="12" ht="39.75" customHeight="1" s="241">
      <c r="A12" s="38" t="n">
        <v>7</v>
      </c>
      <c r="B12" s="69" t="n"/>
      <c r="C12" s="69" t="n"/>
      <c r="D12" s="69" t="n"/>
      <c r="E12" s="10" t="n"/>
      <c r="F12" s="10" t="n"/>
      <c r="G12" s="69" t="n"/>
      <c r="H12" s="10" t="n"/>
      <c r="I12" s="31" t="n"/>
      <c r="J12" s="10" t="n"/>
      <c r="K12" s="75">
        <f>$K$6</f>
        <v/>
      </c>
      <c r="L12" s="71" t="n"/>
      <c r="M12" s="81" t="inlineStr">
        <is>
          <t>🔻</t>
        </is>
      </c>
      <c r="N12" s="82">
        <f>IF(N10="","",N13-N11)</f>
        <v/>
      </c>
      <c r="O12" s="83">
        <f>IF(O10="","",O13-O11)</f>
        <v/>
      </c>
      <c r="P12" s="54" t="n"/>
      <c r="Q12" s="83">
        <f>IF(Q10="","",Q13-Q11)</f>
        <v/>
      </c>
      <c r="R12" s="83">
        <f>IF(R10="","",R13-R11)</f>
        <v/>
      </c>
      <c r="S12" s="54" t="n"/>
      <c r="T12" s="83">
        <f>IF(T10="","",T13-T11)</f>
        <v/>
      </c>
      <c r="U12" s="83">
        <f>IF(U10="","",U13-U11)</f>
        <v/>
      </c>
      <c r="V12" s="54" t="n"/>
      <c r="W12" s="83">
        <f>IF(W10="","",W13-W11)</f>
        <v/>
      </c>
      <c r="X12" s="55" t="n"/>
      <c r="Y12" s="84">
        <f>IF(Y10="","",Y13-Y11)</f>
        <v/>
      </c>
      <c r="Z12" s="84">
        <f>IF(Z10="","",Z13-Z11)</f>
        <v/>
      </c>
      <c r="AA12" s="84">
        <f>IF(AA10="","",AA13-AA11)</f>
        <v/>
      </c>
      <c r="AB12" s="84">
        <f>IF(AB10="","",AB13-AB11)</f>
        <v/>
      </c>
      <c r="AC12" s="85">
        <f>IF(AC10="","",AC13-AC11)</f>
        <v/>
      </c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  <c r="AS12" s="58" t="n"/>
    </row>
    <row r="13" ht="39.75" customHeight="1" s="241">
      <c r="A13" s="38" t="n">
        <v>8</v>
      </c>
      <c r="B13" s="69" t="n"/>
      <c r="C13" s="69" t="n"/>
      <c r="D13" s="69" t="n"/>
      <c r="E13" s="10" t="n"/>
      <c r="F13" s="10" t="n"/>
      <c r="G13" s="69" t="n"/>
      <c r="H13" s="10" t="n"/>
      <c r="I13" s="31" t="n"/>
      <c r="J13" s="10" t="n"/>
      <c r="K13" s="75">
        <f>$K$6</f>
        <v/>
      </c>
      <c r="L13" s="71" t="n"/>
      <c r="M13" s="86" t="inlineStr">
        <is>
          <t>VALOR DE VENTA</t>
        </is>
      </c>
      <c r="N13" s="87">
        <f>N11</f>
        <v/>
      </c>
      <c r="O13" s="88">
        <f>IF($K$10="Sí",IF($K$6=0.11,O10*0.82,IF($K$6=0.1,O10*0.84,IF($K$6=0.09,O10*0.86,IF($K$6=0.08,O10*0.88,IF($K$6=0.07,O10*0.89,O10))))),IF($K$6=0.05,O10*0.82,IF($K$6=0.04,O10*0.84,IF($K$6=0.03,O10*0.86,IF($K$6=0.02,O10*0.88,IF($K$6=0.01,O10*0.89,O10))))))</f>
        <v/>
      </c>
      <c r="P13" s="89" t="n"/>
      <c r="Q13" s="88">
        <f>IF($K$10="Sí",IF($K$6=0.11,Q10*0.82,IF($K$6=0.1,Q10*0.84,IF($K$6=0.09,Q10*0.86,IF($K$6=0.08,Q10*0.88,IF($K$6=0.07,Q10*0.89,Q10))))),IF($K$6=0.05,Q10*0.82,IF($K$6=0.04,Q10*0.84,IF($K$6=0.03,Q10*0.86,IF($K$6=0.02,Q10*0.88,IF($K$6=0.01,Q10*0.89,Q10))))))</f>
        <v/>
      </c>
      <c r="R13" s="88">
        <f>IF($K$10="Sí",IF($K$6=0.11,R10*0.82,IF($K$6=0.1,R10*0.84,IF($K$6=0.09,R10*0.86,IF($K$6=0.08,R10*0.88,IF($K$6=0.07,R10*0.89,R10))))),IF($K$6=0.05,R10*0.82,IF($K$6=0.04,R10*0.84,IF($K$6=0.03,R10*0.86,IF($K$6=0.02,R10*0.88,IF($K$6=0.01,R10*0.89,R10))))))</f>
        <v/>
      </c>
      <c r="S13" s="89" t="n"/>
      <c r="T13" s="88">
        <f>IF($K$10="Sí",IF($K$6=0.11,T10*0.82,IF($K$6=0.1,T10*0.84,IF($K$6=0.09,T10*0.86,IF($K$6=0.08,T10*0.88,IF($K$6=0.07,T10*0.89,T10))))),IF($K$6=0.05,T10*0.82,IF($K$6=0.04,T10*0.84,IF($K$6=0.03,T10*0.86,IF($K$6=0.02,T10*0.88,IF($K$6=0.01,T10*0.89,T10))))))</f>
        <v/>
      </c>
      <c r="U13" s="88">
        <f>IF($K$10="Sí",IF($K$6=0.11,U10*0.82,IF($K$6=0.1,U10*0.84,IF($K$6=0.09,U10*0.86,IF($K$6=0.08,U10*0.88,IF($K$6=0.07,U10*0.89,U10))))),IF($K$6=0.05,U10*0.82,IF($K$6=0.04,U10*0.84,IF($K$6=0.03,U10*0.86,IF($K$6=0.02,U10*0.88,IF($K$6=0.01,U10*0.89,U10))))))</f>
        <v/>
      </c>
      <c r="V13" s="89" t="n"/>
      <c r="W13" s="88">
        <f>IF($K$10="Sí",IF($K$6=0.11,W10*0.82,IF($K$6=0.1,W10*0.84,IF($K$6=0.09,W10*0.86,IF($K$6=0.08,W10*0.88,IF($K$6=0.07,W10*0.89,W10))))),IF($K$6=0.05,W10*0.82,IF($K$6=0.04,W10*0.84,IF($K$6=0.03,W10*0.86,IF($K$6=0.02,W10*0.88,IF($K$6=0.01,W10*0.89,W10))))))</f>
        <v/>
      </c>
      <c r="X13" s="90" t="n"/>
      <c r="Y13" s="91" t="n"/>
      <c r="Z13" s="91">
        <f>IF($K$10="Sí",IF($K$6=0.16,Z10*0.82,IF($K$6=0.15,Z10*0.84,IF($K$6=0.14,Z10*0.86,IF($K$6=0.13,Z10*0.88,IF($K$6=0.12,Z10*0.89,IF($K$6=0.11,Z10*0.91,IF($K$6=0.1,Z10*0.93,IF($K$6=0.09,Z10*0.95,IF($K$6=0.08,Z10*0.96,IF($K$6=0.07,Z10*0.98,Z10)))))))))),IF($K$6=0.1,Z10*0.82,IF($K$6=0.09,Z10*0.84,IF($K$6=0.08,Z10*0.86,IF($K$6=0.07,Z10*0.88,IF($K$6=0.06,Z10*0.89,IF($K$6=0.05,Z10*0.91,IF($K$6=0.04,Z10*0.93,IF($K$6=0.03,Z10*0.95,IF($K$6=0.02,Z10*0.96,IF($K$6=0.01,Z10*0.98,Z10)))))))))))</f>
        <v/>
      </c>
      <c r="AA13" s="91">
        <f>IF($K$10="Sí",IF($K$6=0.16,AA10*0.82,IF($K$6=0.15,AA10*0.84,IF($K$6=0.14,AA10*0.86,IF($K$6=0.13,AA10*0.88,IF($K$6=0.12,AA10*0.89,IF($K$6=0.11,AA10*0.91,IF($K$6=0.1,AA10*0.93,IF($K$6=0.09,AA10*0.95,IF($K$6=0.08,AA10*0.96,IF($K$6=0.07,AA10*0.98,AA10)))))))))),IF($K$6=0.1,AA10*0.82,IF($K$6=0.09,AA10*0.84,IF($K$6=0.08,AA10*0.86,IF($K$6=0.07,AA10*0.88,IF($K$6=0.06,AA10*0.89,IF($K$6=0.05,AA10*0.91,IF($K$6=0.04,AA10*0.93,IF($K$6=0.03,AA10*0.95,IF($K$6=0.02,AA10*0.96,IF($K$6=0.01,AA10*0.98,AA10)))))))))))</f>
        <v/>
      </c>
      <c r="AB13" s="91">
        <f>IF($K$10="Sí",IF($K$6=0.16,AB10*0.82,IF($K$6=0.15,AB10*0.84,IF($K$6=0.14,AB10*0.86,IF($K$6=0.13,AB10*0.88,IF($K$6=0.12,AB10*0.89,IF($K$6=0.11,AB10*0.91,IF($K$6=0.1,AB10*0.93,IF($K$6=0.09,AB10*0.95,IF($K$6=0.08,AB10*0.96,IF($K$6=0.07,AB10*0.98,AB10)))))))))),IF($K$6=0.1,AB10*0.82,IF($K$6=0.09,AB10*0.84,IF($K$6=0.08,AB10*0.86,IF($K$6=0.07,AB10*0.88,IF($K$6=0.06,AB10*0.89,IF($K$6=0.05,AB10*0.91,IF($K$6=0.04,AB10*0.93,IF($K$6=0.03,AB10*0.95,IF($K$6=0.02,AB10*0.96,IF($K$6=0.01,AB10*0.98,AB10)))))))))))</f>
        <v/>
      </c>
      <c r="AC13" s="92">
        <f>IF($K$10="Sí",IF($K$6=0.16,AC10*0.82,IF($K$6=0.15,AC10*0.84,IF($K$6=0.14,AC10*0.86,IF($K$6=0.13,AC10*0.88,IF($K$6=0.12,AC10*0.89,IF($K$6=0.11,AC10*0.91,IF($K$6=0.1,AC10*0.93,IF($K$6=0.09,AC10*0.95,IF($K$6=0.08,AC10*0.96,IF($K$6=0.07,AC10*0.98,AC10)))))))))),IF($K$6=0.1,AC10*0.82,IF($K$6=0.09,AC10*0.84,IF($K$6=0.08,AC10*0.86,IF($K$6=0.07,AC10*0.88,IF($K$6=0.06,AC10*0.89,IF($K$6=0.05,AC10*0.91,IF($K$6=0.04,AC10*0.93,IF($K$6=0.03,AC10*0.95,IF($K$6=0.02,AC10*0.96,IF($K$6=0.01,AC10*0.98,AC10)))))))))))</f>
        <v/>
      </c>
      <c r="AD13" s="58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  <c r="AQ13" s="58" t="n"/>
      <c r="AR13" s="58" t="n"/>
      <c r="AS13" s="58" t="n"/>
    </row>
    <row r="14" ht="39.75" customHeight="1" s="241">
      <c r="A14" s="38" t="n">
        <v>9</v>
      </c>
      <c r="B14" s="69" t="n"/>
      <c r="C14" s="69" t="n"/>
      <c r="D14" s="69" t="n"/>
      <c r="E14" s="10" t="n"/>
      <c r="F14" s="10" t="n"/>
      <c r="G14" s="69" t="n"/>
      <c r="I14" s="31">
        <f>IF(G14=0,TRUNC((TODAY()-DATE(D14,C14,B14))/365.25,0),G14)</f>
        <v/>
      </c>
      <c r="L14" s="71" t="n"/>
      <c r="M14" s="93" t="inlineStr">
        <is>
          <t>CON DENTAL</t>
        </is>
      </c>
      <c r="N14" s="94">
        <f>IF((SUM(N75:N89)*12)=0,"",SUM(N75:N89)*12)</f>
        <v/>
      </c>
      <c r="O14" s="94">
        <f>IF((SUM(O39:O53)*12)=0,"",SUM(O39:O53)*12)</f>
        <v/>
      </c>
      <c r="P14" s="95">
        <f>IF((SUM(P39:P53)*12)=0,"",SUM(P39:P53)*12)</f>
        <v/>
      </c>
      <c r="Q14" s="94">
        <f>IF((SUM(Q39:Q53)*12)=0,"",SUM(Q39:Q53)*12)</f>
        <v/>
      </c>
      <c r="R14" s="94">
        <f>IF((SUM(R39:R53)*12)=0,"",SUM(R39:R53)*12)</f>
        <v/>
      </c>
      <c r="S14" s="94">
        <f>IF((SUM(S39:S53)*12)=0,"",SUM(S39:S53)*12)</f>
        <v/>
      </c>
      <c r="T14" s="94">
        <f>IF((SUM(T39:T53)*12)=0,"",SUM(T39:T53)*12)</f>
        <v/>
      </c>
      <c r="U14" s="94">
        <f>IF((SUM(U39:U53)*12)=0,"",SUM(U39:U53)*12)</f>
        <v/>
      </c>
      <c r="V14" s="94">
        <f>IF((SUM(V39:V53)*12)=0,"",SUM(V39:V53)*12)</f>
        <v/>
      </c>
      <c r="W14" s="94">
        <f>IF((SUM(W39:W53)*12)=0,"",SUM(W39:W53)*12)</f>
        <v/>
      </c>
      <c r="X14" s="96">
        <f>IF((SUM(X39:X53)*12*0.9)=0,"",SUM(X39:X53)*12*0.9)</f>
        <v/>
      </c>
      <c r="Y14" s="97">
        <f>IF(OR(Y7="",Y7=0),"",Y7*12)</f>
        <v/>
      </c>
      <c r="Z14" s="97">
        <f>IF(OR(Z7="",Z7=0),"",Z7*12)</f>
        <v/>
      </c>
      <c r="AA14" s="97">
        <f>IF(OR(AA7="",AA7=0),"",AA7*12)</f>
        <v/>
      </c>
      <c r="AB14" s="97">
        <f>IF(OR(AB7="",AB7=0),"",AB7*12)</f>
        <v/>
      </c>
      <c r="AC14" s="98">
        <f>IF(OR(AC7="",AC7=0),"",AC7*12)</f>
        <v/>
      </c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  <c r="AS14" s="58" t="n"/>
    </row>
    <row r="15" ht="39.75" customHeight="1" s="241">
      <c r="A15" s="38" t="n">
        <v>10</v>
      </c>
      <c r="B15" s="69" t="n"/>
      <c r="C15" s="69" t="n"/>
      <c r="D15" s="69" t="n"/>
      <c r="E15" s="10" t="n"/>
      <c r="F15" s="10" t="n"/>
      <c r="G15" s="69" t="n"/>
      <c r="I15" s="31">
        <f>IF(G15=0,TRUNC((TODAY()-DATE(D15,C15,B15))/365.25,0),G15)</f>
        <v/>
      </c>
      <c r="L15" s="71" t="n"/>
      <c r="M15" s="76" t="inlineStr">
        <is>
          <t>SIN DESCUENTO</t>
        </is>
      </c>
      <c r="N15" s="79">
        <f>IF((SUM(N75:N89)*12)=0,"",SUM(N75:N89)*12)</f>
        <v/>
      </c>
      <c r="O15" s="79">
        <f>IF((SUM(O75:O89)*12)=0,"",SUM(O75:O89)*12)</f>
        <v/>
      </c>
      <c r="P15" s="79">
        <f>IF((SUM(P75:P89)*12)=0,"",SUM(P75:P89)*12)</f>
        <v/>
      </c>
      <c r="Q15" s="79">
        <f>IF((SUM(Q75:Q89)*12)=0,"",SUM(Q75:Q89)*12)</f>
        <v/>
      </c>
      <c r="R15" s="79">
        <f>IF((SUM(R75:R89)*12)=0,"",SUM(R75:R89)*12)</f>
        <v/>
      </c>
      <c r="S15" s="79">
        <f>IF((SUM(S75:S89)*12)=0,"",SUM(S75:S89)*12)</f>
        <v/>
      </c>
      <c r="T15" s="79">
        <f>IF((SUM(T75:T89)*12)=0,"",SUM(T75:T89)*12)</f>
        <v/>
      </c>
      <c r="U15" s="79">
        <f>IF((SUM(U75:U89)*12)=0,"",SUM(U75:U89)*12)</f>
        <v/>
      </c>
      <c r="V15" s="79">
        <f>IF((SUM(V75:V89)*12)=0,"",SUM(V75:V89)*12)</f>
        <v/>
      </c>
      <c r="W15" s="79">
        <f>IF((SUM(W75:W89)*12)=0,"",SUM(W75:W89)*12)</f>
        <v/>
      </c>
      <c r="X15" s="99">
        <f>IF((SUM(X75:X89)*12)=0,"",SUM(X75:X89)*12)</f>
        <v/>
      </c>
      <c r="Y15" s="78" t="n"/>
      <c r="Z15" s="78" t="n"/>
      <c r="AA15" s="78" t="n"/>
      <c r="AB15" s="78" t="n"/>
      <c r="AC15" s="100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  <c r="AS15" s="58" t="n"/>
    </row>
    <row r="16" ht="39.75" customHeight="1" s="241">
      <c r="A16" s="38" t="n">
        <v>11</v>
      </c>
      <c r="B16" s="69" t="n"/>
      <c r="C16" s="69" t="n"/>
      <c r="D16" s="69" t="n"/>
      <c r="E16" s="10" t="n"/>
      <c r="F16" s="10" t="n"/>
      <c r="G16" s="69" t="n"/>
      <c r="I16" s="31">
        <f>IF(G16=0,TRUNC((TODAY()-DATE(D16,C16,B16))/365.25,0),G16)</f>
        <v/>
      </c>
      <c r="L16" s="71" t="n"/>
      <c r="M16" s="81" t="inlineStr">
        <is>
          <t>🔻</t>
        </is>
      </c>
      <c r="N16" s="84">
        <f>IF(N14="","",N17-N15)</f>
        <v/>
      </c>
      <c r="O16" s="84">
        <f>IF(O14="","",O17-O15)</f>
        <v/>
      </c>
      <c r="P16" s="84">
        <f>IF(P14="","",P17-P15)</f>
        <v/>
      </c>
      <c r="Q16" s="84">
        <f>IF(Q14="","",Q17-Q15)</f>
        <v/>
      </c>
      <c r="R16" s="84">
        <f>IF(R14="","",R17-R15)</f>
        <v/>
      </c>
      <c r="S16" s="84">
        <f>IF(S14="","",S17-S15)</f>
        <v/>
      </c>
      <c r="T16" s="84">
        <f>IF(T14="","",T17-T15)</f>
        <v/>
      </c>
      <c r="U16" s="84">
        <f>IF(U14="","",U17-U15)</f>
        <v/>
      </c>
      <c r="V16" s="84">
        <f>IF(V14="","",V17-V15)</f>
        <v/>
      </c>
      <c r="W16" s="84">
        <f>IF(W14="","",W17-W15)</f>
        <v/>
      </c>
      <c r="X16" s="101">
        <f>IF(X14="","",X17-X15)</f>
        <v/>
      </c>
      <c r="Y16" s="84" t="n"/>
      <c r="Z16" s="84" t="n"/>
      <c r="AA16" s="84" t="n"/>
      <c r="AB16" s="84" t="n"/>
      <c r="AC16" s="85" t="n"/>
      <c r="AD16" s="58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  <c r="AQ16" s="58" t="n"/>
      <c r="AR16" s="58" t="n"/>
      <c r="AS16" s="58" t="n"/>
    </row>
    <row r="17" ht="39.75" customHeight="1" s="241">
      <c r="A17" s="38" t="n">
        <v>12</v>
      </c>
      <c r="B17" s="69" t="n"/>
      <c r="C17" s="69" t="n"/>
      <c r="D17" s="69" t="n"/>
      <c r="E17" s="10" t="n"/>
      <c r="F17" s="10" t="n"/>
      <c r="G17" s="69" t="n"/>
      <c r="I17" s="31">
        <f>IF(G17=0,TRUNC((TODAY()-DATE(D17,C17,B17))/365.25,0),G17)</f>
        <v/>
      </c>
      <c r="L17" s="71" t="n"/>
      <c r="M17" s="86" t="inlineStr">
        <is>
          <t>VALOR DE VENTA</t>
        </is>
      </c>
      <c r="N17" s="88">
        <f>N14</f>
        <v/>
      </c>
      <c r="O17" s="88">
        <f>IF($K$10="Sí",IF($K$6=0.11,O14*0.82,IF($K$6=0.1,O14*0.84,IF($K$6=0.09,O14*0.86,IF($K$6=0.08,O14*0.88,IF($K$6=0.07,O14*0.89,O14))))),IF($K$6=0.05,O14*0.82,IF($K$6=0.04,O14*0.84,IF($K$6=0.03,O14*0.86,IF($K$6=0.02,O14*0.88,IF($K$6=0.01,O14*0.89,O14))))))</f>
        <v/>
      </c>
      <c r="P17" s="88">
        <f>P14</f>
        <v/>
      </c>
      <c r="Q17" s="88">
        <f>IF($K$10="Sí",IF($K$6=0.11,Q14*0.82,IF($K$6=0.1,Q14*0.84,IF($K$6=0.09,Q14*0.86,IF($K$6=0.08,Q14*0.88,IF($K$6=0.07,Q14*0.89,Q14))))),IF($K$6=0.05,Q14*0.82,IF($K$6=0.04,Q14*0.84,IF($K$6=0.03,Q14*0.86,IF($K$6=0.02,Q14*0.88,IF($K$6=0.01,Q14*0.89,Q14))))))</f>
        <v/>
      </c>
      <c r="R17" s="88">
        <f>IF($K$10="Sí",IF($K$6=0.11,R14*0.82,IF($K$6=0.1,R14*0.84,IF($K$6=0.09,R14*0.86,IF($K$6=0.08,R14*0.88,IF($K$6=0.07,R14*0.89,R14))))),IF($K$6=0.05,R14*0.82,IF($K$6=0.04,R14*0.84,IF($K$6=0.03,R14*0.86,IF($K$6=0.02,R14*0.88,IF($K$6=0.01,R14*0.89,R14))))))</f>
        <v/>
      </c>
      <c r="S17" s="88">
        <f>S14</f>
        <v/>
      </c>
      <c r="T17" s="88">
        <f>IF($K$10="Sí",IF($K$6=0.11,T14*0.82,IF($K$6=0.1,T14*0.84,IF($K$6=0.09,T14*0.86,IF($K$6=0.08,T14*0.88,IF($K$6=0.07,T14*0.89,T14))))),IF($K$6=0.05,T14*0.82,IF($K$6=0.04,T14*0.84,IF($K$6=0.03,T14*0.86,IF($K$6=0.02,T14*0.88,IF($K$6=0.01,T14*0.89,T14))))))</f>
        <v/>
      </c>
      <c r="U17" s="88">
        <f>IF($K$10="Sí",IF($K$6=0.11,U14*0.82,IF($K$6=0.1,U14*0.84,IF($K$6=0.09,U14*0.86,IF($K$6=0.08,U14*0.88,IF($K$6=0.07,U14*0.89,U14))))),IF($K$6=0.05,U14*0.82,IF($K$6=0.04,U14*0.84,IF($K$6=0.03,U14*0.86,IF($K$6=0.02,U14*0.88,IF($K$6=0.01,U14*0.89,U14))))))</f>
        <v/>
      </c>
      <c r="V17" s="88">
        <f>V14</f>
        <v/>
      </c>
      <c r="W17" s="88">
        <f>IF($K$10="Sí",IF($K$6=0.11,W14*0.82,IF($K$6=0.1,W14*0.84,IF($K$6=0.09,W14*0.86,IF($K$6=0.08,W14*0.88,IF($K$6=0.07,W14*0.89,W14))))),IF($K$6=0.05,W14*0.82,IF($K$6=0.04,W14*0.84,IF($K$6=0.03,W14*0.86,IF($K$6=0.02,W14*0.88,IF($K$6=0.01,W14*0.89,W14))))))</f>
        <v/>
      </c>
      <c r="X17" s="102">
        <f>X14</f>
        <v/>
      </c>
      <c r="Y17" s="91" t="n"/>
      <c r="Z17" s="91" t="n"/>
      <c r="AA17" s="91" t="n"/>
      <c r="AB17" s="91" t="n"/>
      <c r="AC17" s="92" t="n"/>
      <c r="AD17" s="58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  <c r="AQ17" s="58" t="n"/>
      <c r="AR17" s="58" t="n"/>
      <c r="AS17" s="58" t="n"/>
    </row>
    <row r="18" ht="33.75" customHeight="1" s="241">
      <c r="A18" s="38" t="n">
        <v>13</v>
      </c>
      <c r="B18" s="69" t="n"/>
      <c r="C18" s="69" t="n"/>
      <c r="D18" s="69" t="n"/>
      <c r="E18" s="10" t="n"/>
      <c r="F18" s="10" t="n"/>
      <c r="G18" s="69" t="n"/>
      <c r="I18" s="31">
        <f>IF(G18=0,TRUNC((TODAY()-DATE(D18,C18,B18))/365.25,0),G18)</f>
        <v/>
      </c>
      <c r="L18" s="5" t="n"/>
      <c r="M18" s="10" t="n"/>
      <c r="N18" s="10" t="n"/>
      <c r="O18" s="10" t="n"/>
      <c r="P18" s="10" t="n"/>
      <c r="Q18" s="10" t="n"/>
      <c r="R18" s="10" t="n"/>
      <c r="S18" s="103" t="n"/>
      <c r="T18" s="10" t="n"/>
      <c r="U18" s="10" t="n"/>
      <c r="V18" s="103" t="n"/>
      <c r="W18" s="10" t="n"/>
      <c r="X18" s="48" t="n"/>
      <c r="Y18" s="10" t="n"/>
      <c r="Z18" s="10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8" t="n"/>
      <c r="AS18" s="58" t="n"/>
      <c r="AT18" s="58" t="n"/>
      <c r="AU18" s="58" t="n"/>
      <c r="AV18" s="58" t="n"/>
    </row>
    <row r="19" ht="33.75" customHeight="1" s="241">
      <c r="A19" s="38" t="n">
        <v>14</v>
      </c>
      <c r="B19" s="69" t="n"/>
      <c r="C19" s="69" t="n"/>
      <c r="D19" s="69" t="n"/>
      <c r="E19" s="10" t="n"/>
      <c r="F19" s="10" t="n"/>
      <c r="G19" s="69" t="n"/>
      <c r="I19" s="31">
        <f>IF(G19=0,TRUNC((TODAY()-DATE(D19,C19,B19))/365.25,0),G19)</f>
        <v/>
      </c>
      <c r="L19" s="258" t="inlineStr">
        <is>
          <t>SIN DENTAL</t>
        </is>
      </c>
      <c r="M19" s="259" t="n"/>
      <c r="N19" s="260">
        <f>"Go"&amp;" "&amp;$K$3</f>
        <v/>
      </c>
      <c r="O19" s="260">
        <f>"Plena Vital"&amp;" "&amp;$K$3</f>
        <v/>
      </c>
      <c r="P19" s="260">
        <f>"Plena Total vital"&amp;" "&amp;$K$3</f>
        <v/>
      </c>
      <c r="Q19" s="260">
        <f>"Plena"&amp;" "&amp;$K$3</f>
        <v/>
      </c>
      <c r="R19" s="260">
        <f>"Plena Plus"&amp;" "&amp;$K$3</f>
        <v/>
      </c>
      <c r="S19" s="260">
        <f>"Plena Total"&amp;" "&amp;$K$3</f>
        <v/>
      </c>
      <c r="T19" s="260">
        <f>"Plena Extra 150"&amp;" "&amp;$K$3</f>
        <v/>
      </c>
      <c r="U19" s="260">
        <f>"Seniors"&amp;" "&amp;$K$3</f>
        <v/>
      </c>
      <c r="V19" s="260">
        <f>"Seniors total"&amp;" "&amp;$K$3</f>
        <v/>
      </c>
      <c r="W19" s="260">
        <f>"Negocios NIF"&amp;" "&amp;$K$3</f>
        <v/>
      </c>
      <c r="X19" s="261">
        <f>"Pymes TOTAL"&amp;" "&amp;$K$3</f>
        <v/>
      </c>
      <c r="Y19" s="262">
        <f>IF(OR(COUNT(#REF!)=1,COUNT(#REF!)=2),"Extra Negocios NIF"&amp;" "&amp;$K$3&amp;" "&amp;COUNT(#REF!),"Extra Negocios NIF"&amp;" "&amp;$K$3)</f>
        <v/>
      </c>
      <c r="Z19" s="260">
        <f>"Negocios CIF"&amp;" "&amp;$K$3</f>
        <v/>
      </c>
      <c r="AA19" s="260">
        <f>"Extra Negocios CIF"&amp;" "&amp;$K$3</f>
        <v/>
      </c>
      <c r="AB19" s="260">
        <f>"Empresas"&amp;" "&amp;$K$3</f>
        <v/>
      </c>
      <c r="AC19" s="261">
        <f>"Extra Empresas"&amp;" "&amp;$K$3</f>
        <v/>
      </c>
      <c r="AD19" s="58" t="n"/>
      <c r="AE19" s="48" t="n"/>
      <c r="AF19" s="48" t="n"/>
      <c r="AG19" s="48" t="n"/>
      <c r="AH19" s="48" t="n"/>
      <c r="AI19" s="48" t="n"/>
      <c r="AJ19" s="109" t="n"/>
      <c r="AK19" s="109" t="n"/>
      <c r="AL19" s="58" t="n"/>
      <c r="AM19" s="58" t="n"/>
      <c r="AN19" s="58" t="n"/>
      <c r="AO19" s="58" t="n"/>
      <c r="AP19" s="58" t="n"/>
      <c r="AQ19" s="58" t="n"/>
      <c r="AR19" s="58" t="n"/>
      <c r="AS19" s="58" t="n"/>
      <c r="AT19" s="58" t="n"/>
      <c r="AU19" s="58" t="n"/>
      <c r="AV19" s="58" t="n"/>
    </row>
    <row r="20" ht="33.75" customHeight="1" s="241">
      <c r="A20" s="38" t="n">
        <v>15</v>
      </c>
      <c r="B20" s="69" t="n"/>
      <c r="C20" s="69" t="n"/>
      <c r="D20" s="69" t="n"/>
      <c r="E20" s="10" t="n"/>
      <c r="F20" s="10" t="n"/>
      <c r="G20" s="69" t="n"/>
      <c r="I20" s="31">
        <f>IF(G20=0,TRUNC((TODAY()-DATE(D20,C20,B20))/365.25,0),G20)</f>
        <v/>
      </c>
      <c r="L20" s="263" t="n"/>
      <c r="M20" s="253" t="n"/>
      <c r="N20" s="253" t="n"/>
      <c r="O20" s="253" t="n"/>
      <c r="P20" s="253" t="n"/>
      <c r="Q20" s="253" t="n"/>
      <c r="R20" s="253" t="n"/>
      <c r="S20" s="253" t="n"/>
      <c r="T20" s="253" t="n"/>
      <c r="U20" s="253" t="n"/>
      <c r="V20" s="253" t="n"/>
      <c r="W20" s="253" t="n"/>
      <c r="X20" s="256" t="n"/>
      <c r="Y20" s="253" t="n"/>
      <c r="Z20" s="253" t="n"/>
      <c r="AA20" s="253" t="n"/>
      <c r="AB20" s="253" t="n"/>
      <c r="AC20" s="256" t="n"/>
      <c r="AD20" s="58" t="n"/>
      <c r="AJ20" s="109" t="n"/>
      <c r="AK20" s="109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  <c r="AV20" s="58" t="n"/>
    </row>
    <row r="21" ht="33.75" customHeight="1" s="241">
      <c r="L21" s="111" t="n">
        <v>1</v>
      </c>
      <c r="M21" s="112" t="n"/>
      <c r="N21" s="112">
        <f>N57</f>
        <v/>
      </c>
      <c r="O21" s="112">
        <f>IF(OR(O57="",O57=0),"",O57*(1-$K$8))</f>
        <v/>
      </c>
      <c r="P21" s="113" t="n"/>
      <c r="Q21" s="112">
        <f>IF(OR(Q57="",Q57=0),"",Q57*(1-$K$8))</f>
        <v/>
      </c>
      <c r="R21" s="112">
        <f>IF(OR(R57="",R57=0),"",R57*(1-$K$8))</f>
        <v/>
      </c>
      <c r="S21" s="113" t="n"/>
      <c r="T21" s="112">
        <f>IF(OR(T57="",T57=0),"",T57*(1-$K$8))</f>
        <v/>
      </c>
      <c r="U21" s="112">
        <f>IF(OR(U57="",U57=0),"",U57*(1-$K$8))</f>
        <v/>
      </c>
      <c r="V21" s="113" t="n"/>
      <c r="W21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"",""""))))-1),Excepciones!$A:$B,2,0)&gt;=0,IFERROR(INDEX(filter(Precios!$D:$D,(Precios!$A:$A&lt;=$I6)*(Precios!$B:$B&gt;=$I6)*(Precios!$C:$C=W$"&amp;"37)),1)*(1-$K$6),""No asegurable""),""No asegurable"")),"""")"),63.5)</f>
        <v/>
      </c>
      <c r="X21" s="114" t="n"/>
      <c r="Y21" s="112">
        <f>IFERROR(__xludf.DUMMYFUNCTION("IFERROR(IF($I6="""","""",IF(VLOOKUP(LEFT(Y$37,SEARCH(""☃"",SUBSTITUTE(Y$37,"" "",""☃"",LEN(Y$37)-LEN(SUBSTITUTE(Y$37,"" "",""""))))-1),Excepciones!$A:$B,2,0)&gt;=0,IFERROR((INDEX(filter(Precios!$D:$D,(Precios!$A:$A&lt;=$I6)*(Precios!$B:$B&gt;=$I6)*(Precios!$C:$C=Y"&amp;"$37)),1)*(1-$K$6)+VLOOKUP($L21,Precios!$F:$G,2,0)),""No asegurable""),""No asegurable"")),"""")"),"")</f>
        <v/>
      </c>
      <c r="Z21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"",""""))))-1),Excepciones!$A:$B,2,0)&gt;=0,IFERROR(INDEX(filter(Precios!$D:$D,(Precios!$A:$A&lt;=$I6)*(Precios!$B:$B&gt;=$I6)*(Precios!$C:$C=Z$"&amp;"37)),1)*(1-$K$6),""No asegurable""),""No asegurable"")),"""")"),52.0)</f>
        <v/>
      </c>
      <c r="AA21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"",""""))))-1),Excepciones!$A:$B,2,0)&gt;=0,IFERROR(INDEX(filter(Precios!$D:$D,(Precios!$A:$A&lt;=$I6)*(Precios!$B:$B&gt;=$I6)*(Precios!$C:$"&amp;"C=AA$37)),1)*(1-$K$6),""No asegurable""),""No asegurable"")),"""")"),76.5)</f>
        <v/>
      </c>
      <c r="AB21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"",""""))))-1),Excepciones!$A:$B,2,0)&gt;=0,IFERROR(INDEX(filter(Precios!$D:$D,(Precios!$A:$A&lt;=$I6)*(Precios!$B:$B&gt;=$I6)*(Precios!$C:$"&amp;"C=AB$37)),1)*(1-$K$6),""No asegurable""),""No asegurable"")),"""")"),58.5)</f>
        <v/>
      </c>
      <c r="AC21" s="11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"",""""))))-1),Excepciones!$A:$B,2,0)&gt;=0,IFERROR(INDEX(filter(Precios!$D:$D,(Precios!$A:$A&lt;=$I6)*(Precios!$B:$B&gt;=$I6)*(Precios!$C:$"&amp;"C=AC$37)),1)*(1-$K$6),""No asegurable""),""No asegurable"")),"""")"),81.5)</f>
        <v/>
      </c>
      <c r="AD21" s="58" t="n"/>
      <c r="AJ21" s="109" t="n"/>
      <c r="AK21" s="109" t="n"/>
      <c r="AL21" s="58" t="n"/>
      <c r="AM21" s="58" t="n"/>
      <c r="AN21" s="58" t="n"/>
      <c r="AO21" s="58" t="n"/>
      <c r="AP21" s="58" t="n"/>
      <c r="AQ21" s="58" t="n"/>
      <c r="AR21" s="58" t="n"/>
      <c r="AS21" s="58" t="n"/>
      <c r="AT21" s="58" t="n"/>
      <c r="AU21" s="58" t="n"/>
      <c r="AV21" s="58" t="n"/>
    </row>
    <row r="22" ht="33.75" customHeight="1" s="241">
      <c r="L22" s="116" t="n">
        <v>2</v>
      </c>
      <c r="M22" s="48" t="n"/>
      <c r="N22" s="48">
        <f>N58</f>
        <v/>
      </c>
      <c r="O22" s="48">
        <f>IF(OR(O58="",O58=0),"",O58*(1-$K$8))</f>
        <v/>
      </c>
      <c r="P22" s="117" t="n"/>
      <c r="Q22" s="48">
        <f>IF(OR(Q58="",Q58=0),"",Q58*(1-$K$8))</f>
        <v/>
      </c>
      <c r="R22" s="48">
        <f>IF(OR(R58="",R58=0),"",R58*(1-$K$8))</f>
        <v/>
      </c>
      <c r="S22" s="117" t="n"/>
      <c r="T22" s="48">
        <f>IF(OR(T58="",T58=0),"",T58*(1-$K$8))</f>
        <v/>
      </c>
      <c r="U22" s="48">
        <f>IF(OR(U58="",U58=0),"",U58*(1-$K$8))</f>
        <v/>
      </c>
      <c r="V22" s="117" t="n"/>
      <c r="W22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"",""""))))-1),Excepciones!$A:$B,2,0)&gt;=0,IFERROR(INDEX(filter(Precios!$D:$D,(Precios!$A:$A&lt;=$I7)*(Precios!$B:$B&gt;=$I7)*(Precios!$C:$C=W$"&amp;"37)),1)*(1-$K$6),""No asegurable""),""No asegurable"")),"""")"),63.5)</f>
        <v/>
      </c>
      <c r="X22" s="118" t="n"/>
      <c r="Y22" s="48">
        <f>IFERROR(__xludf.DUMMYFUNCTION("IFERROR(IF($I7="""","""",IF(VLOOKUP(LEFT(Y$37,SEARCH(""☃"",SUBSTITUTE(Y$37,"" "",""☃"",LEN(Y$37)-LEN(SUBSTITUTE(Y$37,"" "",""""))))-1),Excepciones!$A:$B,2,0)&gt;=0,IFERROR((INDEX(filter(Precios!$D:$D,(Precios!$A:$A&lt;=$I7)*(Precios!$B:$B&gt;=$I7)*(Precios!$C:$C=Y"&amp;"$37)),1)*(1-$K$6)+VLOOKUP($L22,Precios!$F:$G,2,0)),""No asegurable""),""No asegurable"")),"""")"),"")</f>
        <v/>
      </c>
      <c r="Z22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"",""""))))-1),Excepciones!$A:$B,2,0)&gt;=0,IFERROR(INDEX(filter(Precios!$D:$D,(Precios!$A:$A&lt;=$I7)*(Precios!$B:$B&gt;=$I7)*(Precios!$C:$C=Z$"&amp;"37)),1)*(1-$K$6),""No asegurable""),""No asegurable"")),"""")"),52.0)</f>
        <v/>
      </c>
      <c r="AA22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"",""""))))-1),Excepciones!$A:$B,2,0)&gt;=0,IFERROR(INDEX(filter(Precios!$D:$D,(Precios!$A:$A&lt;=$I7)*(Precios!$B:$B&gt;=$I7)*(Precios!$C:$"&amp;"C=AA$37)),1)*(1-$K$6),""No asegurable""),""No asegurable"")),"""")"),76.5)</f>
        <v/>
      </c>
      <c r="AB22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"",""""))))-1),Excepciones!$A:$B,2,0)&gt;=0,IFERROR(INDEX(filter(Precios!$D:$D,(Precios!$A:$A&lt;=$I7)*(Precios!$B:$B&gt;=$I7)*(Precios!$C:$"&amp;"C=AB$37)),1)*(1-$K$6),""No asegurable""),""No asegurable"")),"""")"),58.5)</f>
        <v/>
      </c>
      <c r="AC22" s="11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"",""""))))-1),Excepciones!$A:$B,2,0)&gt;=0,IFERROR(INDEX(filter(Precios!$D:$D,(Precios!$A:$A&lt;=$I7)*(Precios!$B:$B&gt;=$I7)*(Precios!$C:$"&amp;"C=AC$37)),1)*(1-$K$6),""No asegurable""),""No asegurable"")),"""")"),81.5)</f>
        <v/>
      </c>
      <c r="AD22" s="48" t="n"/>
      <c r="AJ22" s="109" t="n"/>
      <c r="AK22" s="109" t="n"/>
      <c r="AL22" s="58" t="n"/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  <c r="AV22" s="58" t="n"/>
    </row>
    <row r="23" ht="33.75" customHeight="1" s="241">
      <c r="L23" s="116" t="n">
        <v>3</v>
      </c>
      <c r="M23" s="48" t="n"/>
      <c r="N23" s="48">
        <f>N59</f>
        <v/>
      </c>
      <c r="O23" s="48">
        <f>IF(OR(O59="",O59=0),"",O59*(1-$K$8))</f>
        <v/>
      </c>
      <c r="P23" s="117" t="n"/>
      <c r="Q23" s="48">
        <f>IF(OR(Q59="",Q59=0),"",Q59*(1-$K$8))</f>
        <v/>
      </c>
      <c r="R23" s="48">
        <f>IF(OR(R59="",R59=0),"",R59*(1-$K$8))</f>
        <v/>
      </c>
      <c r="S23" s="117" t="n"/>
      <c r="T23" s="48">
        <f>IF(OR(T59="",T59=0),"",T59*(1-$K$8))</f>
        <v/>
      </c>
      <c r="U23" s="48">
        <f>IF(OR(U59="",U59=0),"",U59*(1-$K$8))</f>
        <v/>
      </c>
      <c r="V23" s="117" t="n"/>
      <c r="W23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"",""""))))-1),Excepciones!$A:$B,2,0)&gt;=0,IFERROR(INDEX(filter(Precios!$D:$D,(Precios!$A:$A&lt;=$I8)*(Precios!$B:$B&gt;=$I8)*(Precios!$C:$C=W$"&amp;"37)),1)*(1-$K$6),""No asegurable""),""No asegurable"")),"""")"),127.0)</f>
        <v/>
      </c>
      <c r="X23" s="118" t="n"/>
      <c r="Y23" s="48">
        <f>IFERROR(__xludf.DUMMYFUNCTION("IFERROR(IF($I8="""","""",IF(VLOOKUP(LEFT(Y$37,SEARCH(""☃"",SUBSTITUTE(Y$37,"" "",""☃"",LEN(Y$37)-LEN(SUBSTITUTE(Y$37,"" "",""""))))-1),Excepciones!$A:$B,2,0)&gt;=0,IFERROR((INDEX(filter(Precios!$D:$D,(Precios!$A:$A&lt;=$I8)*(Precios!$B:$B&gt;=$I8)*(Precios!$C:$C=Y"&amp;"$37)),1)*(1-$K$6)+VLOOKUP($L23,Precios!$F:$G,2,0)),""No asegurable""),""No asegurable"")),"""")"),"")</f>
        <v/>
      </c>
      <c r="Z23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"",""""))))-1),Excepciones!$A:$B,2,0)&gt;=0,IFERROR(INDEX(filter(Precios!$D:$D,(Precios!$A:$A&lt;=$I8)*(Precios!$B:$B&gt;=$I8)*(Precios!$C:$C=Z$"&amp;"37)),1)*(1-$K$6),""No asegurable""),""No asegurable"")),"""")"),81.0)</f>
        <v/>
      </c>
      <c r="AA23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"",""""))))-1),Excepciones!$A:$B,2,0)&gt;=0,IFERROR(INDEX(filter(Precios!$D:$D,(Precios!$A:$A&lt;=$I8)*(Precios!$B:$B&gt;=$I8)*(Precios!$C:$"&amp;"C=AA$37)),1)*(1-$K$6),""No asegurable""),""No asegurable"")),"""")"),115.0)</f>
        <v/>
      </c>
      <c r="AB23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"",""""))))-1),Excepciones!$A:$B,2,0)&gt;=0,IFERROR(INDEX(filter(Precios!$D:$D,(Precios!$A:$A&lt;=$I8)*(Precios!$B:$B&gt;=$I8)*(Precios!$C:$"&amp;"C=AB$37)),1)*(1-$K$6),""No asegurable""),""No asegurable"")),"""")"),58.5)</f>
        <v/>
      </c>
      <c r="AC23" s="11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"",""""))))-1),Excepciones!$A:$B,2,0)&gt;=0,IFERROR(INDEX(filter(Precios!$D:$D,(Precios!$A:$A&lt;=$I8)*(Precios!$B:$B&gt;=$I8)*(Precios!$C:$"&amp;"C=AC$37)),1)*(1-$K$6),""No asegurable""),""No asegurable"")),"""")"),81.5)</f>
        <v/>
      </c>
      <c r="AD23" s="58" t="n"/>
      <c r="AJ23" s="109" t="n"/>
      <c r="AK23" s="109" t="n"/>
      <c r="AL23" s="58" t="n"/>
      <c r="AM23" s="58" t="n"/>
      <c r="AN23" s="58" t="n"/>
      <c r="AO23" s="58" t="n"/>
      <c r="AP23" s="58" t="n"/>
      <c r="AQ23" s="58" t="n"/>
      <c r="AR23" s="58" t="n"/>
      <c r="AS23" s="58" t="n"/>
      <c r="AT23" s="58" t="n"/>
      <c r="AU23" s="58" t="n"/>
      <c r="AV23" s="58" t="n"/>
    </row>
    <row r="24" ht="33.75" customHeight="1" s="241">
      <c r="L24" s="116" t="n">
        <v>4</v>
      </c>
      <c r="M24" s="48" t="n"/>
      <c r="N24" s="48">
        <f>N60</f>
        <v/>
      </c>
      <c r="O24" s="48">
        <f>IF(OR(O60="",O60=0),"",O60*(1-$K$8))</f>
        <v/>
      </c>
      <c r="P24" s="117" t="n"/>
      <c r="Q24" s="48">
        <f>IF(OR(Q60="",Q60=0),"",Q60*(1-$K$8))</f>
        <v/>
      </c>
      <c r="R24" s="48">
        <f>IF(OR(R60="",R60=0),"",R60*(1-$K$8))</f>
        <v/>
      </c>
      <c r="S24" s="117" t="n"/>
      <c r="T24" s="48">
        <f>IF(OR(T60="",T60=0),"",T60*(1-$K$8))</f>
        <v/>
      </c>
      <c r="U24" s="48">
        <f>IF(OR(U60="",U60=0),"",U60*(1-$K$8))</f>
        <v/>
      </c>
      <c r="V24" s="117" t="n"/>
      <c r="W24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"",""""))))-1),Excepciones!$A:$B,2,0)&gt;=0,IFERROR(INDEX(filter(Precios!$D:$D,(Precios!$A:$A&lt;=$I9)*(Precios!$B:$B&gt;=$I9)*(Precios!$C:$C=W$"&amp;"37)),1)*(1-$K$6),""No asegurable""),""No asegurable"")),"""")"),238.0)</f>
        <v/>
      </c>
      <c r="X24" s="118" t="n"/>
      <c r="Y24" s="48">
        <f>IFERROR(__xludf.DUMMYFUNCTION("IFERROR(IF($I9="""","""",IF(VLOOKUP(LEFT(Y$37,SEARCH(""☃"",SUBSTITUTE(Y$37,"" "",""☃"",LEN(Y$37)-LEN(SUBSTITUTE(Y$37,"" "",""""))))-1),Excepciones!$A:$B,2,0)&gt;=0,IFERROR((INDEX(filter(Precios!$D:$D,(Precios!$A:$A&lt;=$I9)*(Precios!$B:$B&gt;=$I9)*(Precios!$C:$C=Y"&amp;"$37)),1)*(1-$K$6)+VLOOKUP($L24,Precios!$F:$G,2,0)),""No asegurable""),""No asegurable"")),"""")"),"")</f>
        <v/>
      </c>
      <c r="Z24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"",""""))))-1),Excepciones!$A:$B,2,0)&gt;=0,IFERROR(INDEX(filter(Precios!$D:$D,(Precios!$A:$A&lt;=$I9)*(Precios!$B:$B&gt;=$I9)*(Precios!$C:$C=Z$"&amp;"37)),1)*(1-$K$6),""No asegurable""),""No asegurable"")),"""")"),105.0)</f>
        <v/>
      </c>
      <c r="AA24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"",""""))))-1),Excepciones!$A:$B,2,0)&gt;=0,IFERROR(INDEX(filter(Precios!$D:$D,(Precios!$A:$A&lt;=$I9)*(Precios!$B:$B&gt;=$I9)*(Precios!$C:$"&amp;"C=AA$37)),1)*(1-$K$6),""No asegurable""),""No asegurable"")),"""")"),137.0)</f>
        <v/>
      </c>
      <c r="AB24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"",""""))))-1),Excepciones!$A:$B,2,0)&gt;=0,IFERROR(INDEX(filter(Precios!$D:$D,(Precios!$A:$A&lt;=$I9)*(Precios!$B:$B&gt;=$I9)*(Precios!$C:$"&amp;"C=AB$37)),1)*(1-$K$6),""No asegurable""),""No asegurable"")),"""")"),92.0)</f>
        <v/>
      </c>
      <c r="AC24" s="11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"",""""))))-1),Excepciones!$A:$B,2,0)&gt;=0,IFERROR(INDEX(filter(Precios!$D:$D,(Precios!$A:$A&lt;=$I9)*(Precios!$B:$B&gt;=$I9)*(Precios!$C:$"&amp;"C=AC$37)),1)*(1-$K$6),""No asegurable""),""No asegurable"")),"""")"),115.0)</f>
        <v/>
      </c>
      <c r="AD24" s="48" t="n"/>
      <c r="AJ24" s="109" t="n"/>
      <c r="AK24" s="109" t="n"/>
      <c r="AL24" s="58" t="n"/>
      <c r="AM24" s="58" t="n"/>
      <c r="AN24" s="58" t="n"/>
      <c r="AO24" s="58" t="n"/>
      <c r="AP24" s="58" t="n"/>
      <c r="AQ24" s="58" t="n"/>
      <c r="AR24" s="58" t="n"/>
      <c r="AS24" s="58" t="n"/>
      <c r="AT24" s="58" t="n"/>
      <c r="AU24" s="58" t="n"/>
      <c r="AV24" s="58" t="n"/>
    </row>
    <row r="25" ht="32.25" customHeight="1" s="241">
      <c r="L25" s="116" t="n">
        <v>5</v>
      </c>
      <c r="M25" s="48" t="n"/>
      <c r="N25" s="48">
        <f>N61</f>
        <v/>
      </c>
      <c r="O25" s="48">
        <f>IF(OR(O61="",O61=0),"",O61*(1-$K$8))</f>
        <v/>
      </c>
      <c r="P25" s="117" t="n"/>
      <c r="Q25" s="48">
        <f>IF(OR(Q61="",Q61=0),"",Q61*(1-$K$8))</f>
        <v/>
      </c>
      <c r="R25" s="48">
        <f>IF(OR(R61="",R61=0),"",R61*(1-$K$8))</f>
        <v/>
      </c>
      <c r="S25" s="117" t="n"/>
      <c r="T25" s="48">
        <f>IF(OR(T61="",T61=0),"",T61*(1-$K$8))</f>
        <v/>
      </c>
      <c r="U25" s="48">
        <f>IF(OR(U61="",U61=0),"",U61*(1-$K$8))</f>
        <v/>
      </c>
      <c r="V25" s="117" t="n"/>
      <c r="W25" s="48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"",""""))))-1),Excepciones!$A:$B,2,0)&gt;=0,IFERROR(INDEX(filter(Precios!$D:$D,(Precios!$A:$A&lt;=$I10)*(Precios!$B:$B&gt;=$I10)*(Precios!$C:$C"&amp;"=W$37)),1)*(1-$K$6),""No asegurable""),""No asegurable"")),"""")"),"")</f>
        <v/>
      </c>
      <c r="X25" s="118" t="n"/>
      <c r="Y25" s="48">
        <f>IFERROR(__xludf.DUMMYFUNCTION("IFERROR(IF($I10="""","""",IF(VLOOKUP(LEFT(Y$37,SEARCH(""☃"",SUBSTITUTE(Y$37,"" "",""☃"",LEN(Y$37)-LEN(SUBSTITUTE(Y$37,"" "",""""))))-1),Excepciones!$A:$B,2,0)&gt;=0,IFERROR((INDEX(filter(Precios!$D:$D,(Precios!$A:$A&lt;=$I10)*(Precios!$B:$B&gt;=$I10)*(Precios!$C:$"&amp;"C=Y$37)),1)*(1-$K$6)+VLOOKUP($L25,Precios!$F:$G,2,0)),""No asegurable""),""No asegurable"")),"""")"),"")</f>
        <v/>
      </c>
      <c r="Z25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"",""""))))-1),Excepciones!$A:$B,2,0)&gt;=0,IFERROR(INDEX(filter(Precios!$D:$D,(Precios!$A:$A&lt;=$I10)*(Precios!$B:$B&gt;=$I10)*(Precios!$C:$C"&amp;"=Z$37)),1)*(1-$K$6),""No asegurable""),""No asegurable"")),"""")"),"")</f>
        <v/>
      </c>
      <c r="AA25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"",""""))))-1),Excepciones!$A:$B,2,0)&gt;=0,IFERROR(INDEX(filter(Precios!$D:$D,(Precios!$A:$A&lt;=$I10)*(Precios!$B:$B&gt;=$I10)*(Precios!$"&amp;"C:$C=AA$37)),1)*(1-$K$6),""No asegurable""),""No asegurable"")),"""")"),"")</f>
        <v/>
      </c>
      <c r="AB25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"",""""))))-1),Excepciones!$A:$B,2,0)&gt;=0,IFERROR(INDEX(filter(Precios!$D:$D,(Precios!$A:$A&lt;=$I10)*(Precios!$B:$B&gt;=$I10)*(Precios!$"&amp;"C:$C=AB$37)),1)*(1-$K$6),""No asegurable""),""No asegurable"")),"""")"),"")</f>
        <v/>
      </c>
      <c r="AC25" s="119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"",""""))))-1),Excepciones!$A:$B,2,0)&gt;=0,IFERROR(INDEX(filter(Precios!$D:$D,(Precios!$A:$A&lt;=$I10)*(Precios!$B:$B&gt;=$I10)*(Precios!$"&amp;"C:$C=AC$37)),1)*(1-$K$6),""No asegurable""),""No asegurable"")),"""")"),"")</f>
        <v/>
      </c>
      <c r="AJ25" s="109" t="n"/>
      <c r="AK25" s="109" t="n"/>
      <c r="AL25" s="58" t="n"/>
      <c r="AM25" s="58" t="n"/>
      <c r="AN25" s="58" t="n"/>
      <c r="AO25" s="58" t="n"/>
      <c r="AP25" s="58" t="n"/>
      <c r="AQ25" s="58" t="n"/>
      <c r="AR25" s="58" t="n"/>
      <c r="AS25" s="58" t="n"/>
      <c r="AT25" s="58" t="n"/>
      <c r="AU25" s="58" t="n"/>
      <c r="AV25" s="58" t="n"/>
    </row>
    <row r="26" ht="32.25" customHeight="1" s="241">
      <c r="B26" s="121" t="n"/>
      <c r="C26" s="121" t="n"/>
      <c r="D26" s="121" t="n"/>
      <c r="E26" s="121" t="n"/>
      <c r="F26" s="121" t="n"/>
      <c r="G26" s="121" t="n"/>
      <c r="H26" s="121" t="n"/>
      <c r="I26" s="122" t="n"/>
      <c r="K26" s="234" t="n"/>
      <c r="L26" s="116" t="n">
        <v>6</v>
      </c>
      <c r="M26" s="48" t="n"/>
      <c r="N26" s="48">
        <f>N62</f>
        <v/>
      </c>
      <c r="O26" s="48">
        <f>IF(OR(O62="",O62=0),"",O62*(1-$K$8))</f>
        <v/>
      </c>
      <c r="P26" s="117" t="n"/>
      <c r="Q26" s="48">
        <f>IF(OR(Q62="",Q62=0),"",Q62*(1-$K$8))</f>
        <v/>
      </c>
      <c r="R26" s="48">
        <f>IF(OR(R62="",R62=0),"",R62*(1-$K$8))</f>
        <v/>
      </c>
      <c r="S26" s="117" t="n"/>
      <c r="T26" s="48">
        <f>IF(OR(T62="",T62=0),"",T62*(1-$K$8))</f>
        <v/>
      </c>
      <c r="U26" s="48">
        <f>IF(OR(U62="",U62=0),"",U62*(1-$K$8))</f>
        <v/>
      </c>
      <c r="V26" s="117" t="n"/>
      <c r="W26" s="48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"",""""))))-1),Excepciones!$A:$B,2,0)&gt;=0,IFERROR(INDEX(filter(Precios!$D:$D,(Precios!$A:$A&lt;=$I11)*(Precios!$B:$B&gt;=$I11)*(Precios!$C:$C"&amp;"=W$37)),1)*(1-$K$6),""No asegurable""),""No asegurable"")),"""")"),"")</f>
        <v/>
      </c>
      <c r="X26" s="118" t="n"/>
      <c r="Y26" s="48">
        <f>IFERROR(__xludf.DUMMYFUNCTION("IFERROR(IF($I11="""","""",IF(VLOOKUP(LEFT(Y$37,SEARCH(""☃"",SUBSTITUTE(Y$37,"" "",""☃"",LEN(Y$37)-LEN(SUBSTITUTE(Y$37,"" "",""""))))-1),Excepciones!$A:$B,2,0)&gt;=0,IFERROR((INDEX(filter(Precios!$D:$D,(Precios!$A:$A&lt;=$I11)*(Precios!$B:$B&gt;=$I11)*(Precios!$C:$"&amp;"C=Y$37)),1)*(1-$K$6)+VLOOKUP($L26,Precios!$F:$G,2,0)),""No asegurable""),""No asegurable"")),"""")"),"")</f>
        <v/>
      </c>
      <c r="Z26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"",""""))))-1),Excepciones!$A:$B,2,0)&gt;=0,IFERROR(INDEX(filter(Precios!$D:$D,(Precios!$A:$A&lt;=$I11)*(Precios!$B:$B&gt;=$I11)*(Precios!$C:$C"&amp;"=Z$37)),1)*(1-$K$6),""No asegurable""),""No asegurable"")),"""")"),"")</f>
        <v/>
      </c>
      <c r="AA26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"",""""))))-1),Excepciones!$A:$B,2,0)&gt;=0,IFERROR(INDEX(filter(Precios!$D:$D,(Precios!$A:$A&lt;=$I11)*(Precios!$B:$B&gt;=$I11)*(Precios!$"&amp;"C:$C=AA$37)),1)*(1-$K$6),""No asegurable""),""No asegurable"")),"""")"),"")</f>
        <v/>
      </c>
      <c r="AB26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"",""""))))-1),Excepciones!$A:$B,2,0)&gt;=0,IFERROR(INDEX(filter(Precios!$D:$D,(Precios!$A:$A&lt;=$I11)*(Precios!$B:$B&gt;=$I11)*(Precios!$"&amp;"C:$C=AB$37)),1)*(1-$K$6),""No asegurable""),""No asegurable"")),"""")"),"")</f>
        <v/>
      </c>
      <c r="AC26" s="119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"",""""))))-1),Excepciones!$A:$B,2,0)&gt;=0,IFERROR(INDEX(filter(Precios!$D:$D,(Precios!$A:$A&lt;=$I11)*(Precios!$B:$B&gt;=$I11)*(Precios!$"&amp;"C:$C=AC$37)),1)*(1-$K$6),""No asegurable""),""No asegurable"")),"""")"),"")</f>
        <v/>
      </c>
      <c r="AJ26" s="109" t="n"/>
      <c r="AK26" s="109" t="n"/>
      <c r="AL26" s="58" t="n"/>
      <c r="AM26" s="58" t="n"/>
      <c r="AN26" s="58" t="n"/>
      <c r="AO26" s="58" t="n"/>
      <c r="AP26" s="58" t="n"/>
      <c r="AQ26" s="58" t="n"/>
      <c r="AR26" s="58" t="n"/>
      <c r="AS26" s="58" t="n"/>
      <c r="AT26" s="58" t="n"/>
      <c r="AU26" s="58" t="n"/>
      <c r="AV26" s="58" t="n"/>
    </row>
    <row r="27" ht="32.25" customHeight="1" s="241">
      <c r="B27" s="124" t="n"/>
      <c r="C27" s="121" t="n"/>
      <c r="D27" s="121" t="n"/>
      <c r="E27" s="121" t="n"/>
      <c r="F27" s="121" t="n"/>
      <c r="G27" s="121" t="n"/>
      <c r="H27" s="121" t="n"/>
      <c r="I27" s="122" t="n"/>
      <c r="K27" s="234" t="n"/>
      <c r="L27" s="116" t="n">
        <v>7</v>
      </c>
      <c r="M27" s="48" t="n"/>
      <c r="N27" s="48">
        <f>N63</f>
        <v/>
      </c>
      <c r="O27" s="48">
        <f>IF(OR(O63="",O63=0),"",O63*(1-$K$8))</f>
        <v/>
      </c>
      <c r="P27" s="117" t="n"/>
      <c r="Q27" s="48">
        <f>IF(OR(Q63="",Q63=0),"",Q63*(1-$K$8))</f>
        <v/>
      </c>
      <c r="R27" s="48">
        <f>IF(OR(R63="",R63=0),"",R63*(1-$K$8))</f>
        <v/>
      </c>
      <c r="S27" s="117" t="n"/>
      <c r="T27" s="48">
        <f>IF(OR(T63="",T63=0),"",T63*(1-$K$8))</f>
        <v/>
      </c>
      <c r="U27" s="48">
        <f>IF(OR(U63="",U63=0),"",U63*(1-$K$8))</f>
        <v/>
      </c>
      <c r="V27" s="117" t="n"/>
      <c r="W27" s="48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"",""""))))-1),Excepciones!$A:$B,2,0)&gt;=0,IFERROR(INDEX(filter(Precios!$D:$D,(Precios!$A:$A&lt;=$I12)*(Precios!$B:$B&gt;=$I12)*(Precios!$C:$C"&amp;"=W$37)),1)*(1-$K$6),""No asegurable""),""No asegurable"")),"""")"),"")</f>
        <v/>
      </c>
      <c r="X27" s="118" t="n"/>
      <c r="Y27" s="48">
        <f>IFERROR(__xludf.DUMMYFUNCTION("IFERROR(IF($I12="""","""",IF(VLOOKUP(LEFT(Y$37,SEARCH(""☃"",SUBSTITUTE(Y$37,"" "",""☃"",LEN(Y$37)-LEN(SUBSTITUTE(Y$37,"" "",""""))))-1),Excepciones!$A:$B,2,0)&gt;=0,IFERROR((INDEX(filter(Precios!$D:$D,(Precios!$A:$A&lt;=$I12)*(Precios!$B:$B&gt;=$I12)*(Precios!$C:$"&amp;"C=Y$37)),1)*(1-$K$6)+VLOOKUP($L27,Precios!$F:$G,2,0)),""No asegurable""),""No asegurable"")),"""")"),"")</f>
        <v/>
      </c>
      <c r="Z27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"",""""))))-1),Excepciones!$A:$B,2,0)&gt;=0,IFERROR(INDEX(filter(Precios!$D:$D,(Precios!$A:$A&lt;=$I12)*(Precios!$B:$B&gt;=$I12)*(Precios!$C:$C"&amp;"=Z$37)),1)*(1-$K$6),""No asegurable""),""No asegurable"")),"""")"),"")</f>
        <v/>
      </c>
      <c r="AA27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"",""""))))-1),Excepciones!$A:$B,2,0)&gt;=0,IFERROR(INDEX(filter(Precios!$D:$D,(Precios!$A:$A&lt;=$I12)*(Precios!$B:$B&gt;=$I12)*(Precios!$"&amp;"C:$C=AA$37)),1)*(1-$K$6),""No asegurable""),""No asegurable"")),"""")"),"")</f>
        <v/>
      </c>
      <c r="AB27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"",""""))))-1),Excepciones!$A:$B,2,0)&gt;=0,IFERROR(INDEX(filter(Precios!$D:$D,(Precios!$A:$A&lt;=$I12)*(Precios!$B:$B&gt;=$I12)*(Precios!$"&amp;"C:$C=AB$37)),1)*(1-$K$6),""No asegurable""),""No asegurable"")),"""")"),"")</f>
        <v/>
      </c>
      <c r="AC27" s="119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"",""""))))-1),Excepciones!$A:$B,2,0)&gt;=0,IFERROR(INDEX(filter(Precios!$D:$D,(Precios!$A:$A&lt;=$I12)*(Precios!$B:$B&gt;=$I12)*(Precios!$"&amp;"C:$C=AC$37)),1)*(1-$K$6),""No asegurable""),""No asegurable"")),"""")"),"")</f>
        <v/>
      </c>
      <c r="AJ27" s="109" t="n"/>
      <c r="AK27" s="109" t="n"/>
      <c r="AL27" s="58" t="n"/>
      <c r="AM27" s="58" t="n"/>
      <c r="AN27" s="58" t="n"/>
      <c r="AO27" s="58" t="n"/>
      <c r="AP27" s="58" t="n"/>
      <c r="AQ27" s="58" t="n"/>
      <c r="AR27" s="58" t="n"/>
      <c r="AS27" s="58" t="n"/>
      <c r="AT27" s="58" t="n"/>
      <c r="AU27" s="58" t="n"/>
      <c r="AV27" s="58" t="n"/>
    </row>
    <row r="28" ht="32.25" customHeight="1" s="241">
      <c r="B28" s="124" t="n"/>
      <c r="C28" s="121" t="n"/>
      <c r="D28" s="121" t="n"/>
      <c r="E28" s="121" t="n"/>
      <c r="F28" s="121" t="n"/>
      <c r="G28" s="121" t="n"/>
      <c r="H28" s="121" t="n"/>
      <c r="I28" s="122" t="n"/>
      <c r="K28" s="234" t="n"/>
      <c r="L28" s="116" t="n">
        <v>8</v>
      </c>
      <c r="M28" s="48" t="n"/>
      <c r="N28" s="48">
        <f>N64</f>
        <v/>
      </c>
      <c r="O28" s="48">
        <f>IF(OR(O64="",O64=0),"",O64*(1-$K$8))</f>
        <v/>
      </c>
      <c r="P28" s="117" t="n"/>
      <c r="Q28" s="48">
        <f>IF(OR(Q64="",Q64=0),"",Q64*(1-$K$8))</f>
        <v/>
      </c>
      <c r="R28" s="48">
        <f>IF(OR(R64="",R64=0),"",R64*(1-$K$8))</f>
        <v/>
      </c>
      <c r="S28" s="117" t="n"/>
      <c r="T28" s="48">
        <f>IF(OR(T64="",T64=0),"",T64*(1-$K$8))</f>
        <v/>
      </c>
      <c r="U28" s="48">
        <f>IF(OR(U64="",U64=0),"",U64*(1-$K$8))</f>
        <v/>
      </c>
      <c r="V28" s="117" t="n"/>
      <c r="W28" s="48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"",""""))))-1),Excepciones!$A:$B,2,0)&gt;=0,IFERROR(INDEX(filter(Precios!$D:$D,(Precios!$A:$A&lt;=$I13)*(Precios!$B:$B&gt;=$I13)*(Precios!$C:$C"&amp;"=W$37)),1)*(1-$K$6),""No asegurable""),""No asegurable"")),"""")"),"")</f>
        <v/>
      </c>
      <c r="X28" s="118" t="n"/>
      <c r="Y28" s="48">
        <f>IFERROR(__xludf.DUMMYFUNCTION("IFERROR(IF($I13="""","""",IF(VLOOKUP(LEFT(Y$37,SEARCH(""☃"",SUBSTITUTE(Y$37,"" "",""☃"",LEN(Y$37)-LEN(SUBSTITUTE(Y$37,"" "",""""))))-1),Excepciones!$A:$B,2,0)&gt;=0,IFERROR((INDEX(filter(Precios!$D:$D,(Precios!$A:$A&lt;=$I13)*(Precios!$B:$B&gt;=$I13)*(Precios!$C:$"&amp;"C=Y$37)),1)*(1-$K$6)+VLOOKUP($L28,Precios!$F:$G,2,0)),""No asegurable""),""No asegurable"")),"""")"),"")</f>
        <v/>
      </c>
      <c r="Z28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"",""""))))-1),Excepciones!$A:$B,2,0)&gt;=0,IFERROR(INDEX(filter(Precios!$D:$D,(Precios!$A:$A&lt;=$I13)*(Precios!$B:$B&gt;=$I13)*(Precios!$C:$C"&amp;"=Z$37)),1)*(1-$K$6),""No asegurable""),""No asegurable"")),"""")"),"")</f>
        <v/>
      </c>
      <c r="AA28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"",""""))))-1),Excepciones!$A:$B,2,0)&gt;=0,IFERROR(INDEX(filter(Precios!$D:$D,(Precios!$A:$A&lt;=$I13)*(Precios!$B:$B&gt;=$I13)*(Precios!$"&amp;"C:$C=AA$37)),1)*(1-$K$6),""No asegurable""),""No asegurable"")),"""")"),"")</f>
        <v/>
      </c>
      <c r="AB28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"",""""))))-1),Excepciones!$A:$B,2,0)&gt;=0,IFERROR(INDEX(filter(Precios!$D:$D,(Precios!$A:$A&lt;=$I13)*(Precios!$B:$B&gt;=$I13)*(Precios!$"&amp;"C:$C=AB$37)),1)*(1-$K$6),""No asegurable""),""No asegurable"")),"""")"),"")</f>
        <v/>
      </c>
      <c r="AC28" s="119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"",""""))))-1),Excepciones!$A:$B,2,0)&gt;=0,IFERROR(INDEX(filter(Precios!$D:$D,(Precios!$A:$A&lt;=$I13)*(Precios!$B:$B&gt;=$I13)*(Precios!$"&amp;"C:$C=AC$37)),1)*(1-$K$6),""No asegurable""),""No asegurable"")),"""")"),"")</f>
        <v/>
      </c>
      <c r="AJ28" s="109" t="n"/>
      <c r="AK28" s="109" t="n"/>
      <c r="AL28" s="58" t="n"/>
      <c r="AM28" s="58" t="n"/>
      <c r="AN28" s="58" t="n"/>
      <c r="AO28" s="58" t="n"/>
      <c r="AP28" s="58" t="n"/>
      <c r="AQ28" s="58" t="n"/>
      <c r="AR28" s="58" t="n"/>
      <c r="AS28" s="58" t="n"/>
      <c r="AT28" s="58" t="n"/>
      <c r="AU28" s="58" t="n"/>
      <c r="AV28" s="58" t="n"/>
    </row>
    <row r="29" ht="28.5" customHeight="1" s="241">
      <c r="B29" s="124" t="n"/>
      <c r="C29" s="122" t="n"/>
      <c r="D29" s="121" t="n"/>
      <c r="E29" s="121" t="n"/>
      <c r="F29" s="121" t="n"/>
      <c r="G29" s="121" t="n"/>
      <c r="H29" s="121" t="n"/>
      <c r="I29" s="122" t="n"/>
      <c r="J29" s="122" t="n"/>
      <c r="K29" s="234" t="n"/>
      <c r="L29" s="116" t="n">
        <v>9</v>
      </c>
      <c r="N29" s="48">
        <f>N65</f>
        <v/>
      </c>
      <c r="O29" s="48">
        <f>IF(OR(O65="",O65=0),"",O65*(1-$K$8))</f>
        <v/>
      </c>
      <c r="P29" s="117" t="n"/>
      <c r="Q29" s="48">
        <f>IF(OR(Q65="",Q65=0),"",Q65*(1-$K$8))</f>
        <v/>
      </c>
      <c r="R29" s="48">
        <f>IF(OR(R65="",R65=0),"",R65*(1-$K$8))</f>
        <v/>
      </c>
      <c r="S29" s="117" t="n"/>
      <c r="T29" s="48">
        <f>IF(OR(T65="",T65=0),"",T65*(1-$K$8))</f>
        <v/>
      </c>
      <c r="U29" s="48">
        <f>IF(OR(U65="",U65=0),"",U65*(1-$K$8))</f>
        <v/>
      </c>
      <c r="V29" s="117" t="n"/>
      <c r="W29" s="48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"",""""))))-1),Excepciones!$A:$B,2,0)&gt;=0,IFERROR(INDEX(filter(Precios!$D:$D,(Precios!$A:$A&lt;=$I14)*(Precios!$B:$B&gt;=$I14)*(Precios!$C:$C"&amp;"=W$37)),1)*(1-$K$6),""No asegurable""),""No asegurable"")),"""")"),"")</f>
        <v/>
      </c>
      <c r="X29" s="118" t="n"/>
      <c r="Y29" s="48">
        <f>IFERROR(__xludf.DUMMYFUNCTION("IFERROR(IF($I14="""","""",IF(VLOOKUP(LEFT(Y$37,SEARCH(""☃"",SUBSTITUTE(Y$37,"" "",""☃"",LEN(Y$37)-LEN(SUBSTITUTE(Y$37,"" "",""""))))-1),Excepciones!$A:$B,2,0)&gt;=0,IFERROR((INDEX(filter(Precios!$D:$D,(Precios!$A:$A&lt;=$I14)*(Precios!$B:$B&gt;=$I14)*(Precios!$C:$"&amp;"C=Y$37)),1)*(1-$K$6)+VLOOKUP($L29,Precios!$F:$G,2,0)),""No asegurable""),""No asegurable"")),"""")"),"")</f>
        <v/>
      </c>
      <c r="Z29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"",""""))))-1),Excepciones!$A:$B,2,0)&gt;=0,IFERROR(INDEX(filter(Precios!$D:$D,(Precios!$A:$A&lt;=$I14)*(Precios!$B:$B&gt;=$I14)*(Precios!$C:$C"&amp;"=Z$37)),1)*(1-$K$6),""No asegurable""),""No asegurable"")),"""")"),"")</f>
        <v/>
      </c>
      <c r="AA29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"",""""))))-1),Excepciones!$A:$B,2,0)&gt;=0,IFERROR(INDEX(filter(Precios!$D:$D,(Precios!$A:$A&lt;=$I14)*(Precios!$B:$B&gt;=$I14)*(Precios!$"&amp;"C:$C=AA$37)),1)*(1-$K$6),""No asegurable""),""No asegurable"")),"""")"),"")</f>
        <v/>
      </c>
      <c r="AB29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"",""""))))-1),Excepciones!$A:$B,2,0)&gt;=0,IFERROR(INDEX(filter(Precios!$D:$D,(Precios!$A:$A&lt;=$I14)*(Precios!$B:$B&gt;=$I14)*(Precios!$"&amp;"C:$C=AB$37)),1)*(1-$K$6),""No asegurable""),""No asegurable"")),"""")"),"")</f>
        <v/>
      </c>
      <c r="AC29" s="119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"",""""))))-1),Excepciones!$A:$B,2,0)&gt;=0,IFERROR(INDEX(filter(Precios!$D:$D,(Precios!$A:$A&lt;=$I14)*(Precios!$B:$B&gt;=$I14)*(Precios!$"&amp;"C:$C=AC$37)),1)*(1-$K$6),""No asegurable""),""No asegurable"")),"""")"),"")</f>
        <v/>
      </c>
      <c r="AE29" s="5" t="n"/>
      <c r="AF29" s="5" t="n"/>
      <c r="AG29" s="5" t="n"/>
      <c r="AH29" s="125" t="n"/>
      <c r="AI29" s="125" t="n"/>
      <c r="AJ29" s="5" t="n"/>
      <c r="AK29" s="125" t="n"/>
      <c r="AL29" s="125" t="n"/>
    </row>
    <row r="30" ht="28.5" customHeight="1" s="241">
      <c r="B30" s="124" t="n"/>
      <c r="C30" s="122" t="n"/>
      <c r="D30" s="121" t="n"/>
      <c r="E30" s="121" t="n"/>
      <c r="F30" s="121" t="n"/>
      <c r="G30" s="121" t="n"/>
      <c r="H30" s="121" t="n"/>
      <c r="I30" s="122" t="n"/>
      <c r="J30" s="122" t="n"/>
      <c r="K30" s="234" t="n"/>
      <c r="L30" s="116" t="n">
        <v>10</v>
      </c>
      <c r="N30" s="48">
        <f>N66</f>
        <v/>
      </c>
      <c r="O30" s="48">
        <f>IF(OR(O66="",O66=0),"",O66*(1-$K$8))</f>
        <v/>
      </c>
      <c r="P30" s="117" t="n"/>
      <c r="Q30" s="48">
        <f>IF(OR(Q66="",Q66=0),"",Q66*(1-$K$8))</f>
        <v/>
      </c>
      <c r="R30" s="48">
        <f>IF(OR(R66="",R66=0),"",R66*(1-$K$8))</f>
        <v/>
      </c>
      <c r="S30" s="117" t="n"/>
      <c r="T30" s="48">
        <f>IF(OR(T66="",T66=0),"",T66*(1-$K$8))</f>
        <v/>
      </c>
      <c r="U30" s="48">
        <f>IF(OR(U66="",U66=0),"",U66*(1-$K$8))</f>
        <v/>
      </c>
      <c r="V30" s="117" t="n"/>
      <c r="W30" s="48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"",""""))))-1),Excepciones!$A:$B,2,0)&gt;=0,IFERROR(INDEX(filter(Precios!$D:$D,(Precios!$A:$A&lt;=$I15)*(Precios!$B:$B&gt;=$I15)*(Precios!$C:$C"&amp;"=W$37)),1)*(1-$K$6),""No asegurable""),""No asegurable"")),"""")"),"")</f>
        <v/>
      </c>
      <c r="X30" s="118" t="n"/>
      <c r="Y30" s="48">
        <f>IFERROR(__xludf.DUMMYFUNCTION("IFERROR(IF($I15="""","""",IF(VLOOKUP(LEFT(Y$37,SEARCH(""☃"",SUBSTITUTE(Y$37,"" "",""☃"",LEN(Y$37)-LEN(SUBSTITUTE(Y$37,"" "",""""))))-1),Excepciones!$A:$B,2,0)&gt;=0,IFERROR((INDEX(filter(Precios!$D:$D,(Precios!$A:$A&lt;=$I15)*(Precios!$B:$B&gt;=$I15)*(Precios!$C:$"&amp;"C=Y$37)),1)*(1-$K$6)+VLOOKUP($L30,Precios!$F:$G,2,0)),""No asegurable""),""No asegurable"")),"""")"),"")</f>
        <v/>
      </c>
      <c r="Z30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"",""""))))-1),Excepciones!$A:$B,2,0)&gt;=0,IFERROR(INDEX(filter(Precios!$D:$D,(Precios!$A:$A&lt;=$I15)*(Precios!$B:$B&gt;=$I15)*(Precios!$C:$C"&amp;"=Z$37)),1)*(1-$K$6),""No asegurable""),""No asegurable"")),"""")"),"")</f>
        <v/>
      </c>
      <c r="AA30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"",""""))))-1),Excepciones!$A:$B,2,0)&gt;=0,IFERROR(INDEX(filter(Precios!$D:$D,(Precios!$A:$A&lt;=$I15)*(Precios!$B:$B&gt;=$I15)*(Precios!$"&amp;"C:$C=AA$37)),1)*(1-$K$6),""No asegurable""),""No asegurable"")),"""")"),"")</f>
        <v/>
      </c>
      <c r="AB30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"",""""))))-1),Excepciones!$A:$B,2,0)&gt;=0,IFERROR(INDEX(filter(Precios!$D:$D,(Precios!$A:$A&lt;=$I15)*(Precios!$B:$B&gt;=$I15)*(Precios!$"&amp;"C:$C=AB$37)),1)*(1-$K$6),""No asegurable""),""No asegurable"")),"""")"),"")</f>
        <v/>
      </c>
      <c r="AC30" s="119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"",""""))))-1),Excepciones!$A:$B,2,0)&gt;=0,IFERROR(INDEX(filter(Precios!$D:$D,(Precios!$A:$A&lt;=$I15)*(Precios!$B:$B&gt;=$I15)*(Precios!$"&amp;"C:$C=AC$37)),1)*(1-$K$6),""No asegurable""),""No asegurable"")),"""")"),"")</f>
        <v/>
      </c>
      <c r="AE30" s="5" t="n"/>
      <c r="AF30" s="5" t="n"/>
      <c r="AG30" s="5" t="n"/>
      <c r="AH30" s="125" t="n"/>
      <c r="AI30" s="125" t="n"/>
      <c r="AJ30" s="5" t="n"/>
      <c r="AK30" s="125" t="n"/>
      <c r="AL30" s="125" t="n"/>
    </row>
    <row r="31" ht="28.5" customHeight="1" s="241">
      <c r="B31" s="124" t="n"/>
      <c r="C31" s="122" t="n"/>
      <c r="D31" s="121" t="n"/>
      <c r="E31" s="121" t="n"/>
      <c r="F31" s="121" t="n"/>
      <c r="G31" s="121" t="n"/>
      <c r="H31" s="121" t="n"/>
      <c r="I31" s="122" t="n"/>
      <c r="J31" s="122" t="n"/>
      <c r="K31" s="234" t="n"/>
      <c r="L31" s="116" t="n">
        <v>11</v>
      </c>
      <c r="N31" s="48">
        <f>N67</f>
        <v/>
      </c>
      <c r="O31" s="48">
        <f>IF(OR(O67="",O67=0),"",O67*(1-$K$8))</f>
        <v/>
      </c>
      <c r="P31" s="117" t="n"/>
      <c r="Q31" s="48">
        <f>IF(OR(Q67="",Q67=0),"",Q67*(1-$K$8))</f>
        <v/>
      </c>
      <c r="R31" s="48">
        <f>IF(OR(R67="",R67=0),"",R67*(1-$K$8))</f>
        <v/>
      </c>
      <c r="S31" s="117" t="n"/>
      <c r="T31" s="48">
        <f>IF(OR(T67="",T67=0),"",T67*(1-$K$8))</f>
        <v/>
      </c>
      <c r="U31" s="48">
        <f>IF(OR(U67="",U67=0),"",U67*(1-$K$8))</f>
        <v/>
      </c>
      <c r="V31" s="117" t="n"/>
      <c r="W31" s="48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"",""""))))-1),Excepciones!$A:$B,2,0)&gt;=0,IFERROR(INDEX(filter(Precios!$D:$D,(Precios!$A:$A&lt;=$I16)*(Precios!$B:$B&gt;=$I16)*(Precios!$C:$C"&amp;"=W$37)),1)*(1-$K$6),""No asegurable""),""No asegurable"")),"""")"),"")</f>
        <v/>
      </c>
      <c r="X31" s="118" t="n"/>
      <c r="Y31" s="48">
        <f>IFERROR(__xludf.DUMMYFUNCTION("IFERROR(IF($I16="""","""",IF(VLOOKUP(LEFT(Y$37,SEARCH(""☃"",SUBSTITUTE(Y$37,"" "",""☃"",LEN(Y$37)-LEN(SUBSTITUTE(Y$37,"" "",""""))))-1),Excepciones!$A:$B,2,0)&gt;=0,IFERROR((INDEX(filter(Precios!$D:$D,(Precios!$A:$A&lt;=$I16)*(Precios!$B:$B&gt;=$I16)*(Precios!$C:$"&amp;"C=Y$37)),1)*(1-$K$6)+VLOOKUP($L31,Precios!$F:$G,2,0)),""No asegurable""),""No asegurable"")),"""")"),"")</f>
        <v/>
      </c>
      <c r="Z31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"",""""))))-1),Excepciones!$A:$B,2,0)&gt;=0,IFERROR(INDEX(filter(Precios!$D:$D,(Precios!$A:$A&lt;=$I16)*(Precios!$B:$B&gt;=$I16)*(Precios!$C:$C"&amp;"=Z$37)),1)*(1-$K$6),""No asegurable""),""No asegurable"")),"""")"),"")</f>
        <v/>
      </c>
      <c r="AA31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"",""""))))-1),Excepciones!$A:$B,2,0)&gt;=0,IFERROR(INDEX(filter(Precios!$D:$D,(Precios!$A:$A&lt;=$I16)*(Precios!$B:$B&gt;=$I16)*(Precios!$"&amp;"C:$C=AA$37)),1)*(1-$K$6),""No asegurable""),""No asegurable"")),"""")"),"")</f>
        <v/>
      </c>
      <c r="AB31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"",""""))))-1),Excepciones!$A:$B,2,0)&gt;=0,IFERROR(INDEX(filter(Precios!$D:$D,(Precios!$A:$A&lt;=$I16)*(Precios!$B:$B&gt;=$I16)*(Precios!$"&amp;"C:$C=AB$37)),1)*(1-$K$6),""No asegurable""),""No asegurable"")),"""")"),"")</f>
        <v/>
      </c>
      <c r="AC31" s="119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"",""""))))-1),Excepciones!$A:$B,2,0)&gt;=0,IFERROR(INDEX(filter(Precios!$D:$D,(Precios!$A:$A&lt;=$I16)*(Precios!$B:$B&gt;=$I16)*(Precios!$"&amp;"C:$C=AC$37)),1)*(1-$K$6),""No asegurable""),""No asegurable"")),"""")"),"")</f>
        <v/>
      </c>
      <c r="AE31" s="5" t="n"/>
      <c r="AF31" s="5" t="n"/>
      <c r="AG31" s="5" t="n"/>
      <c r="AH31" s="125" t="n"/>
      <c r="AI31" s="125" t="n"/>
      <c r="AJ31" s="5" t="n"/>
      <c r="AK31" s="125" t="n"/>
      <c r="AL31" s="125" t="n"/>
    </row>
    <row r="32" ht="28.5" customHeight="1" s="241">
      <c r="B32" s="124" t="n"/>
      <c r="C32" s="122" t="n"/>
      <c r="D32" s="121" t="n"/>
      <c r="E32" s="121" t="n"/>
      <c r="F32" s="121" t="n"/>
      <c r="G32" s="121" t="n"/>
      <c r="H32" s="121" t="n"/>
      <c r="I32" s="122" t="n"/>
      <c r="J32" s="122" t="n"/>
      <c r="K32" s="234" t="n"/>
      <c r="L32" s="116" t="n">
        <v>12</v>
      </c>
      <c r="N32" s="48">
        <f>N68</f>
        <v/>
      </c>
      <c r="O32" s="48">
        <f>IF(OR(O68="",O68=0),"",O68*(1-$K$8))</f>
        <v/>
      </c>
      <c r="P32" s="117" t="n"/>
      <c r="Q32" s="48">
        <f>IF(OR(Q68="",Q68=0),"",Q68*(1-$K$8))</f>
        <v/>
      </c>
      <c r="R32" s="48">
        <f>IF(OR(R68="",R68=0),"",R68*(1-$K$8))</f>
        <v/>
      </c>
      <c r="S32" s="117" t="n"/>
      <c r="T32" s="48">
        <f>IF(OR(T68="",T68=0),"",T68*(1-$K$8))</f>
        <v/>
      </c>
      <c r="U32" s="48">
        <f>IF(OR(U68="",U68=0),"",U68*(1-$K$8))</f>
        <v/>
      </c>
      <c r="V32" s="117" t="n"/>
      <c r="W32" s="48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"",""""))))-1),Excepciones!$A:$B,2,0)&gt;=0,IFERROR(INDEX(filter(Precios!$D:$D,(Precios!$A:$A&lt;=$I17)*(Precios!$B:$B&gt;=$I17)*(Precios!$C:$C"&amp;"=W$37)),1)*(1-$K$6),""No asegurable""),""No asegurable"")),"""")"),"")</f>
        <v/>
      </c>
      <c r="X32" s="118" t="n"/>
      <c r="Y32" s="48">
        <f>IFERROR(__xludf.DUMMYFUNCTION("IFERROR(IF($I17="""","""",IF(VLOOKUP(LEFT(Y$37,SEARCH(""☃"",SUBSTITUTE(Y$37,"" "",""☃"",LEN(Y$37)-LEN(SUBSTITUTE(Y$37,"" "",""""))))-1),Excepciones!$A:$B,2,0)&gt;=0,IFERROR((INDEX(filter(Precios!$D:$D,(Precios!$A:$A&lt;=$I17)*(Precios!$B:$B&gt;=$I17)*(Precios!$C:$"&amp;"C=Y$37)),1)*(1-$K$6)+VLOOKUP($L32,Precios!$F:$G,2,0)),""No asegurable""),""No asegurable"")),"""")"),"")</f>
        <v/>
      </c>
      <c r="Z32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"",""""))))-1),Excepciones!$A:$B,2,0)&gt;=0,IFERROR(INDEX(filter(Precios!$D:$D,(Precios!$A:$A&lt;=$I17)*(Precios!$B:$B&gt;=$I17)*(Precios!$C:$C"&amp;"=Z$37)),1)*(1-$K$6),""No asegurable""),""No asegurable"")),"""")"),"")</f>
        <v/>
      </c>
      <c r="AA32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"",""""))))-1),Excepciones!$A:$B,2,0)&gt;=0,IFERROR(INDEX(filter(Precios!$D:$D,(Precios!$A:$A&lt;=$I17)*(Precios!$B:$B&gt;=$I17)*(Precios!$"&amp;"C:$C=AA$37)),1)*(1-$K$6),""No asegurable""),""No asegurable"")),"""")"),"")</f>
        <v/>
      </c>
      <c r="AB32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"",""""))))-1),Excepciones!$A:$B,2,0)&gt;=0,IFERROR(INDEX(filter(Precios!$D:$D,(Precios!$A:$A&lt;=$I17)*(Precios!$B:$B&gt;=$I17)*(Precios!$"&amp;"C:$C=AB$37)),1)*(1-$K$6),""No asegurable""),""No asegurable"")),"""")"),"")</f>
        <v/>
      </c>
      <c r="AC32" s="119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"",""""))))-1),Excepciones!$A:$B,2,0)&gt;=0,IFERROR(INDEX(filter(Precios!$D:$D,(Precios!$A:$A&lt;=$I17)*(Precios!$B:$B&gt;=$I17)*(Precios!$"&amp;"C:$C=AC$37)),1)*(1-$K$6),""No asegurable""),""No asegurable"")),"""")"),"")</f>
        <v/>
      </c>
      <c r="AE32" s="5" t="n"/>
      <c r="AF32" s="5" t="n"/>
      <c r="AG32" s="5" t="n"/>
      <c r="AH32" s="125" t="n"/>
      <c r="AI32" s="125" t="n"/>
      <c r="AJ32" s="5" t="n"/>
      <c r="AK32" s="125" t="n"/>
      <c r="AL32" s="125" t="n"/>
    </row>
    <row r="33" ht="28.5" customHeight="1" s="241">
      <c r="B33" s="124" t="n"/>
      <c r="C33" s="122" t="n"/>
      <c r="D33" s="121" t="n"/>
      <c r="E33" s="121" t="n"/>
      <c r="F33" s="121" t="n"/>
      <c r="G33" s="121" t="n"/>
      <c r="H33" s="121" t="n"/>
      <c r="I33" s="122" t="n"/>
      <c r="J33" s="122" t="n"/>
      <c r="K33" s="234" t="n"/>
      <c r="L33" s="116" t="n">
        <v>13</v>
      </c>
      <c r="N33" s="48">
        <f>N69</f>
        <v/>
      </c>
      <c r="O33" s="48">
        <f>IF(OR(O69="",O69=0),"",O69*(1-$K$8))</f>
        <v/>
      </c>
      <c r="P33" s="117" t="n"/>
      <c r="Q33" s="48">
        <f>IF(OR(Q69="",Q69=0),"",Q69*(1-$K$8))</f>
        <v/>
      </c>
      <c r="R33" s="48">
        <f>IF(OR(R69="",R69=0),"",R69*(1-$K$8))</f>
        <v/>
      </c>
      <c r="S33" s="117" t="n"/>
      <c r="T33" s="48">
        <f>IF(OR(T69="",T69=0),"",T69*(1-$K$8))</f>
        <v/>
      </c>
      <c r="U33" s="48">
        <f>IF(OR(U69="",U69=0),"",U69*(1-$K$8))</f>
        <v/>
      </c>
      <c r="V33" s="117" t="n"/>
      <c r="W33" s="48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"",""""))))-1),Excepciones!$A:$B,2,0)&gt;=0,IFERROR(INDEX(filter(Precios!$D:$D,(Precios!$A:$A&lt;=$I18)*(Precios!$B:$B&gt;=$I18)*(Precios!$C:$C"&amp;"=W$37)),1)*(1-$K$6),""No asegurable""),""No asegurable"")),"""")"),"")</f>
        <v/>
      </c>
      <c r="X33" s="118" t="n"/>
      <c r="Y33" s="48">
        <f>IFERROR(__xludf.DUMMYFUNCTION("IFERROR(IF($I18="""","""",IF(VLOOKUP(LEFT(Y$37,SEARCH(""☃"",SUBSTITUTE(Y$37,"" "",""☃"",LEN(Y$37)-LEN(SUBSTITUTE(Y$37,"" "",""""))))-1),Excepciones!$A:$B,2,0)&gt;=0,IFERROR((INDEX(filter(Precios!$D:$D,(Precios!$A:$A&lt;=$I18)*(Precios!$B:$B&gt;=$I18)*(Precios!$C:$"&amp;"C=Y$37)),1)*(1-$K$6)+VLOOKUP($L33,Precios!$F:$G,2,0)),""No asegurable""),""No asegurable"")),"""")"),"")</f>
        <v/>
      </c>
      <c r="Z33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"",""""))))-1),Excepciones!$A:$B,2,0)&gt;=0,IFERROR(INDEX(filter(Precios!$D:$D,(Precios!$A:$A&lt;=$I18)*(Precios!$B:$B&gt;=$I18)*(Precios!$C:$C"&amp;"=Z$37)),1)*(1-$K$6),""No asegurable""),""No asegurable"")),"""")"),"")</f>
        <v/>
      </c>
      <c r="AA33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"",""""))))-1),Excepciones!$A:$B,2,0)&gt;=0,IFERROR(INDEX(filter(Precios!$D:$D,(Precios!$A:$A&lt;=$I18)*(Precios!$B:$B&gt;=$I18)*(Precios!$"&amp;"C:$C=AA$37)),1)*(1-$K$6),""No asegurable""),""No asegurable"")),"""")"),"")</f>
        <v/>
      </c>
      <c r="AB33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"",""""))))-1),Excepciones!$A:$B,2,0)&gt;=0,IFERROR(INDEX(filter(Precios!$D:$D,(Precios!$A:$A&lt;=$I18)*(Precios!$B:$B&gt;=$I18)*(Precios!$"&amp;"C:$C=AB$37)),1)*(1-$K$6),""No asegurable""),""No asegurable"")),"""")"),"")</f>
        <v/>
      </c>
      <c r="AC33" s="119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"",""""))))-1),Excepciones!$A:$B,2,0)&gt;=0,IFERROR(INDEX(filter(Precios!$D:$D,(Precios!$A:$A&lt;=$I18)*(Precios!$B:$B&gt;=$I18)*(Precios!$"&amp;"C:$C=AC$37)),1)*(1-$K$6),""No asegurable""),""No asegurable"")),"""")"),"")</f>
        <v/>
      </c>
      <c r="AE33" s="5" t="n"/>
      <c r="AF33" s="5" t="n"/>
      <c r="AG33" s="5" t="n"/>
      <c r="AH33" s="125" t="n"/>
      <c r="AI33" s="125" t="n"/>
      <c r="AJ33" s="5" t="n"/>
      <c r="AK33" s="125" t="n"/>
      <c r="AL33" s="125" t="n"/>
    </row>
    <row r="34" ht="28.5" customHeight="1" s="241">
      <c r="B34" s="124" t="n"/>
      <c r="C34" s="122" t="n"/>
      <c r="D34" s="121" t="n"/>
      <c r="E34" s="121" t="n"/>
      <c r="F34" s="121" t="n"/>
      <c r="G34" s="121" t="n"/>
      <c r="H34" s="121" t="n"/>
      <c r="I34" s="122" t="n"/>
      <c r="J34" s="122" t="n"/>
      <c r="K34" s="234" t="n"/>
      <c r="L34" s="116" t="n">
        <v>14</v>
      </c>
      <c r="N34" s="48">
        <f>N70</f>
        <v/>
      </c>
      <c r="O34" s="48">
        <f>IF(OR(O70="",O70=0),"",O70*(1-$K$8))</f>
        <v/>
      </c>
      <c r="P34" s="117" t="n"/>
      <c r="Q34" s="48">
        <f>IF(OR(Q70="",Q70=0),"",Q70*(1-$K$8))</f>
        <v/>
      </c>
      <c r="R34" s="48">
        <f>IF(OR(R70="",R70=0),"",R70*(1-$K$8))</f>
        <v/>
      </c>
      <c r="S34" s="117" t="n"/>
      <c r="T34" s="48">
        <f>IF(OR(T70="",T70=0),"",T70*(1-$K$8))</f>
        <v/>
      </c>
      <c r="U34" s="48">
        <f>IF(OR(U70="",U70=0),"",U70*(1-$K$8))</f>
        <v/>
      </c>
      <c r="V34" s="117" t="n"/>
      <c r="W34" s="48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"",""""))))-1),Excepciones!$A:$B,2,0)&gt;=0,IFERROR(INDEX(filter(Precios!$D:$D,(Precios!$A:$A&lt;=$I19)*(Precios!$B:$B&gt;=$I19)*(Precios!$C:$C"&amp;"=W$37)),1)*(1-$K$6),""No asegurable""),""No asegurable"")),"""")"),"")</f>
        <v/>
      </c>
      <c r="X34" s="118" t="n"/>
      <c r="Y34" s="48">
        <f>IFERROR(__xludf.DUMMYFUNCTION("IFERROR(IF($I19="""","""",IF(VLOOKUP(LEFT(Y$37,SEARCH(""☃"",SUBSTITUTE(Y$37,"" "",""☃"",LEN(Y$37)-LEN(SUBSTITUTE(Y$37,"" "",""""))))-1),Excepciones!$A:$B,2,0)&gt;=0,IFERROR((INDEX(filter(Precios!$D:$D,(Precios!$A:$A&lt;=$I19)*(Precios!$B:$B&gt;=$I19)*(Precios!$C:$"&amp;"C=Y$37)),1)*(1-$K$6)+VLOOKUP($L34,Precios!$F:$G,2,0)),""No asegurable""),""No asegurable"")),"""")"),"")</f>
        <v/>
      </c>
      <c r="Z34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"",""""))))-1),Excepciones!$A:$B,2,0)&gt;=0,IFERROR(INDEX(filter(Precios!$D:$D,(Precios!$A:$A&lt;=$I19)*(Precios!$B:$B&gt;=$I19)*(Precios!$C:$C"&amp;"=Z$37)),1)*(1-$K$6),""No asegurable""),""No asegurable"")),"""")"),"")</f>
        <v/>
      </c>
      <c r="AA34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"",""""))))-1),Excepciones!$A:$B,2,0)&gt;=0,IFERROR(INDEX(filter(Precios!$D:$D,(Precios!$A:$A&lt;=$I19)*(Precios!$B:$B&gt;=$I19)*(Precios!$"&amp;"C:$C=AA$37)),1)*(1-$K$6),""No asegurable""),""No asegurable"")),"""")"),"")</f>
        <v/>
      </c>
      <c r="AB34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"",""""))))-1),Excepciones!$A:$B,2,0)&gt;=0,IFERROR(INDEX(filter(Precios!$D:$D,(Precios!$A:$A&lt;=$I19)*(Precios!$B:$B&gt;=$I19)*(Precios!$"&amp;"C:$C=AB$37)),1)*(1-$K$6),""No asegurable""),""No asegurable"")),"""")"),"")</f>
        <v/>
      </c>
      <c r="AC34" s="119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"",""""))))-1),Excepciones!$A:$B,2,0)&gt;=0,IFERROR(INDEX(filter(Precios!$D:$D,(Precios!$A:$A&lt;=$I19)*(Precios!$B:$B&gt;=$I19)*(Precios!$"&amp;"C:$C=AC$37)),1)*(1-$K$6),""No asegurable""),""No asegurable"")),"""")"),"")</f>
        <v/>
      </c>
      <c r="AE34" s="5" t="n"/>
      <c r="AF34" s="5" t="n"/>
      <c r="AG34" s="5" t="n"/>
      <c r="AH34" s="125" t="n"/>
      <c r="AI34" s="125" t="n"/>
      <c r="AJ34" s="5" t="n"/>
      <c r="AK34" s="125" t="n"/>
      <c r="AL34" s="125" t="n"/>
    </row>
    <row r="35" ht="28.5" customHeight="1" s="241">
      <c r="B35" s="124" t="n"/>
      <c r="C35" s="122" t="n"/>
      <c r="D35" s="121" t="n"/>
      <c r="E35" s="121" t="n"/>
      <c r="F35" s="121" t="n"/>
      <c r="G35" s="121" t="n"/>
      <c r="H35" s="121" t="n"/>
      <c r="I35" s="122" t="n"/>
      <c r="J35" s="122" t="n"/>
      <c r="K35" s="234" t="n"/>
      <c r="L35" s="126" t="n">
        <v>15</v>
      </c>
      <c r="M35" s="127" t="n"/>
      <c r="N35" s="128">
        <f>N71</f>
        <v/>
      </c>
      <c r="O35" s="128">
        <f>IF(OR(O71="",O71=0),"",O71*(1-$K$8))</f>
        <v/>
      </c>
      <c r="P35" s="129" t="n"/>
      <c r="Q35" s="128">
        <f>IF(OR(Q71="",Q71=0),"",Q71*(1-$K$8))</f>
        <v/>
      </c>
      <c r="R35" s="128">
        <f>IF(OR(R71="",R71=0),"",R71*(1-$K$8))</f>
        <v/>
      </c>
      <c r="S35" s="129" t="n"/>
      <c r="T35" s="128">
        <f>IF(OR(T71="",T71=0),"",T71*(1-$K$8))</f>
        <v/>
      </c>
      <c r="U35" s="128">
        <f>IF(OR(U71="",U71=0),"",U71*(1-$K$8))</f>
        <v/>
      </c>
      <c r="V35" s="129" t="n"/>
      <c r="W35" s="128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"",""""))))-1),Excepciones!$A:$B,2,0)&gt;=0,IFERROR(INDEX(filter(Precios!$D:$D,(Precios!$A:$A&lt;=$I20)*(Precios!$B:$B&gt;=$I20)*(Precios!$C:$C"&amp;"=W$37)),1)*(1-$K$6),""No asegurable""),""No asegurable"")),"""")"),"")</f>
        <v/>
      </c>
      <c r="X35" s="130" t="n"/>
      <c r="Y35" s="128">
        <f>IFERROR(__xludf.DUMMYFUNCTION("IFERROR(IF($I20="""","""",IF(VLOOKUP(LEFT(Y$37,SEARCH(""☃"",SUBSTITUTE(Y$37,"" "",""☃"",LEN(Y$37)-LEN(SUBSTITUTE(Y$37,"" "",""""))))-1),Excepciones!$A:$B,2,0)&gt;=0,IFERROR((INDEX(filter(Precios!$D:$D,(Precios!$A:$A&lt;=$I20)*(Precios!$B:$B&gt;=$I20)*(Precios!$C:$"&amp;"C=Y$37)),1)*(1-$K$6)+VLOOKUP($L35,Precios!$F:$G,2,0)),""No asegurable""),""No asegurable"")),"""")"),"")</f>
        <v/>
      </c>
      <c r="Z35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"",""""))))-1),Excepciones!$A:$B,2,0)&gt;=0,IFERROR(INDEX(filter(Precios!$D:$D,(Precios!$A:$A&lt;=$I20)*(Precios!$B:$B&gt;=$I20)*(Precios!$C:$C"&amp;"=Z$37)),1)*(1-$K$6),""No asegurable""),""No asegurable"")),"""")"),"")</f>
        <v/>
      </c>
      <c r="AA35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"",""""))))-1),Excepciones!$A:$B,2,0)&gt;=0,IFERROR(INDEX(filter(Precios!$D:$D,(Precios!$A:$A&lt;=$I20)*(Precios!$B:$B&gt;=$I20)*(Precios!$"&amp;"C:$C=AA$37)),1)*(1-$K$6),""No asegurable""),""No asegurable"")),"""")"),"")</f>
        <v/>
      </c>
      <c r="AB35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"",""""))))-1),Excepciones!$A:$B,2,0)&gt;=0,IFERROR(INDEX(filter(Precios!$D:$D,(Precios!$A:$A&lt;=$I20)*(Precios!$B:$B&gt;=$I20)*(Precios!$"&amp;"C:$C=AB$37)),1)*(1-$K$6),""No asegurable""),""No asegurable"")),"""")"),"")</f>
        <v/>
      </c>
      <c r="AC35" s="131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"",""""))))-1),Excepciones!$A:$B,2,0)&gt;=0,IFERROR(INDEX(filter(Precios!$D:$D,(Precios!$A:$A&lt;=$I20)*(Precios!$B:$B&gt;=$I20)*(Precios!$"&amp;"C:$C=AC$37)),1)*(1-$K$6),""No asegurable""),""No asegurable"")),"""")"),"")</f>
        <v/>
      </c>
      <c r="AE35" s="5" t="n"/>
      <c r="AF35" s="5" t="n"/>
      <c r="AG35" s="5" t="n"/>
      <c r="AH35" s="125" t="n"/>
      <c r="AI35" s="125" t="n"/>
      <c r="AJ35" s="5" t="n"/>
      <c r="AK35" s="125" t="n"/>
      <c r="AL35" s="125" t="n"/>
    </row>
    <row r="36" ht="28.5" customHeight="1" s="241">
      <c r="B36" s="124" t="n"/>
      <c r="C36" s="122" t="n"/>
      <c r="D36" s="121" t="n"/>
      <c r="E36" s="121" t="n"/>
      <c r="F36" s="121" t="n"/>
      <c r="G36" s="121" t="n"/>
      <c r="H36" s="121" t="n"/>
      <c r="I36" s="122" t="n"/>
      <c r="K36" s="234" t="n"/>
      <c r="L36" s="132" t="n"/>
      <c r="AE36" s="5" t="n"/>
      <c r="AF36" s="5" t="n"/>
      <c r="AG36" s="5" t="n"/>
      <c r="AH36" s="125" t="n"/>
      <c r="AI36" s="125" t="n"/>
      <c r="AJ36" s="5" t="n"/>
      <c r="AK36" s="125" t="n"/>
      <c r="AL36" s="125" t="n"/>
    </row>
    <row r="37" ht="27.75" customHeight="1" s="241"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1" t="n"/>
      <c r="K37" s="234" t="n"/>
      <c r="L37" s="258" t="inlineStr">
        <is>
          <t>CON DENTAL</t>
        </is>
      </c>
      <c r="M37" s="259" t="n"/>
      <c r="N37" s="260">
        <f>"Go"&amp;" "&amp;$K$3</f>
        <v/>
      </c>
      <c r="O37" s="260">
        <f>"Plena Vital"&amp;" "&amp;$K$3</f>
        <v/>
      </c>
      <c r="P37" s="260">
        <f>"Plena Total vital"&amp;" "&amp;$K$3</f>
        <v/>
      </c>
      <c r="Q37" s="260">
        <f>"Plena"&amp;" "&amp;$K$3</f>
        <v/>
      </c>
      <c r="R37" s="260">
        <f>"Plena Plus"&amp;" "&amp;$K$3</f>
        <v/>
      </c>
      <c r="S37" s="260">
        <f>"Plena Total"&amp;" "&amp;$K$3</f>
        <v/>
      </c>
      <c r="T37" s="260">
        <f>"Plena Extra 150"&amp;" "&amp;$K$3</f>
        <v/>
      </c>
      <c r="U37" s="260">
        <f>"Seniors"&amp;" "&amp;$K$3</f>
        <v/>
      </c>
      <c r="V37" s="260">
        <f>"Seniors total"&amp;" "&amp;$K$3</f>
        <v/>
      </c>
      <c r="W37" s="260">
        <f>"Negocios NIF"&amp;" "&amp;$K$3</f>
        <v/>
      </c>
      <c r="X37" s="261">
        <f>"Pymes TOTAL"&amp;" "&amp;$K$3</f>
        <v/>
      </c>
      <c r="Y37" s="262">
        <f>IF(OR(COUNT(I6:I13)=1,COUNT(I6:I13)=2),"Extra Negocios NIF"&amp;" "&amp;$K$3&amp;" "&amp;COUNT(I6:I13),"Extra Negocios NIF"&amp;" "&amp;$K$3)</f>
        <v/>
      </c>
      <c r="Z37" s="260">
        <f>"Negocios CIF"&amp;" "&amp;$K$3</f>
        <v/>
      </c>
      <c r="AA37" s="260">
        <f>"Extra Negocios CIF"&amp;" "&amp;$K$3</f>
        <v/>
      </c>
      <c r="AB37" s="260">
        <f>"Empresas"&amp;" "&amp;$K$3</f>
        <v/>
      </c>
      <c r="AC37" s="261">
        <f>"Extra Empresas"&amp;" "&amp;$K$3</f>
        <v/>
      </c>
      <c r="AE37" s="5" t="n"/>
      <c r="AF37" s="5" t="n"/>
      <c r="AG37" s="5" t="n"/>
      <c r="AH37" s="125" t="n"/>
      <c r="AI37" s="125" t="n"/>
      <c r="AJ37" s="5" t="n"/>
      <c r="AK37" s="125" t="n"/>
      <c r="AL37" s="125" t="n"/>
    </row>
    <row r="38" ht="27.75" customHeight="1" s="241">
      <c r="B38" s="234" t="n"/>
      <c r="C38" s="234" t="n"/>
      <c r="D38" s="234" t="n"/>
      <c r="E38" s="234" t="n"/>
      <c r="F38" s="234" t="n"/>
      <c r="G38" s="234" t="n"/>
      <c r="H38" s="234" t="n"/>
      <c r="I38" s="234" t="n"/>
      <c r="J38" s="234" t="n"/>
      <c r="K38" s="234" t="n"/>
      <c r="L38" s="26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6" t="n"/>
      <c r="Y38" s="253" t="n"/>
      <c r="Z38" s="253" t="n"/>
      <c r="AA38" s="253" t="n"/>
      <c r="AB38" s="253" t="n"/>
      <c r="AC38" s="256" t="n"/>
      <c r="AE38" s="5" t="n"/>
      <c r="AF38" s="5" t="n"/>
      <c r="AG38" s="5" t="n"/>
      <c r="AH38" s="125" t="n"/>
      <c r="AI38" s="125" t="n"/>
      <c r="AJ38" s="5" t="n"/>
      <c r="AK38" s="125" t="n"/>
      <c r="AL38" s="125" t="n"/>
    </row>
    <row r="39" ht="27.75" customHeight="1" s="241">
      <c r="B39" s="234" t="n"/>
      <c r="C39" s="234" t="n"/>
      <c r="D39" s="234" t="n"/>
      <c r="E39" s="234" t="n"/>
      <c r="F39" s="234" t="n"/>
      <c r="G39" s="234" t="n"/>
      <c r="H39" s="234" t="n"/>
      <c r="I39" s="234" t="n"/>
      <c r="J39" s="234" t="n"/>
      <c r="K39" s="234" t="n"/>
      <c r="L39" s="111" t="n">
        <v>1</v>
      </c>
      <c r="M39" s="112" t="n"/>
      <c r="N39" s="112">
        <f>N75</f>
        <v/>
      </c>
      <c r="O39" s="112">
        <f>IF(OR(O75="",O75=0),"",O75*(1-$K$8))</f>
        <v/>
      </c>
      <c r="P39" s="112">
        <f>IF(OR(P75="",P75=0),"",P75*(1-$K$8))</f>
        <v/>
      </c>
      <c r="Q39" s="112">
        <f>IF(OR(Q75="",Q75=0),"",Q75*(1-$K$8))</f>
        <v/>
      </c>
      <c r="R39" s="112">
        <f>IF(OR(R75="",R75=0),"",R75*(1-$K$8))</f>
        <v/>
      </c>
      <c r="S39" s="112">
        <f>IF(OR(S75="",S75=0),"",S75*(1-$K$8))</f>
        <v/>
      </c>
      <c r="T39" s="112">
        <f>IF(OR(T75="",T75=0),"",T75*(1-$K$8))</f>
        <v/>
      </c>
      <c r="U39" s="112">
        <f>IF(OR(U75="",U75=0),"",U75*(1-$K$8))</f>
        <v/>
      </c>
      <c r="V39" s="112">
        <f>IF(OR(V75="",V75=0),"",V75*(1-$K$8))</f>
        <v/>
      </c>
      <c r="W39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"",""""))))-1),Excepciones!$A:$B,2,0)&gt;=0,IFERROR((INDEX(filter(Precios!$D:$D,(Precios!$A:$A&lt;=$I6)*(Precios!$B:$B&gt;=$I6)*(Precios!$C:$C=W"&amp;"$37)),1)*(1-$K$6)+VLOOKUP(COUNT($I$6:$I$13),Precios!$F:$G,2,0)),""No asegurable""),""No asegurable"")),"""")"),67.9625)</f>
        <v/>
      </c>
      <c r="X39" s="115">
        <f>IF(OR($K$10="Sí",X75=""),"",IF($K$8&gt;0,X75*(1-($K$8)*2),X75))</f>
        <v/>
      </c>
      <c r="Y39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"",""""))))-1),Excepciones!$A:$B,2,0)&gt;=0,IFERROR(INDEX(filter(Precios!$D:$D,(Precios!$A:$A&lt;=$I6)*(Precios!$B:$B&gt;=$I6)*(Precios!$C:$C=Y$"&amp;"37)),1)*(1-$K$6),""No asegurable""),""No asegurable"")),"""")"),"")</f>
        <v/>
      </c>
      <c r="Z39" s="113" t="n"/>
      <c r="AA39" s="113" t="n"/>
      <c r="AB39" s="113" t="n"/>
      <c r="AC39" s="114" t="n"/>
      <c r="AE39" s="5" t="n"/>
      <c r="AF39" s="5" t="n"/>
      <c r="AG39" s="5" t="n"/>
      <c r="AH39" s="125" t="n"/>
      <c r="AI39" s="125" t="n"/>
      <c r="AJ39" s="5" t="n"/>
      <c r="AK39" s="125" t="n"/>
      <c r="AL39" s="125" t="n"/>
    </row>
    <row r="40" ht="27.75" customHeight="1" s="241">
      <c r="B40" s="234" t="n"/>
      <c r="C40" s="234" t="n"/>
      <c r="D40" s="234" t="n"/>
      <c r="E40" s="234" t="n"/>
      <c r="F40" s="234" t="n"/>
      <c r="G40" s="234" t="n"/>
      <c r="H40" s="234" t="n"/>
      <c r="I40" s="234" t="n"/>
      <c r="J40" s="234" t="n"/>
      <c r="K40" s="234" t="n"/>
      <c r="L40" s="116" t="n">
        <v>2</v>
      </c>
      <c r="M40" s="48" t="n"/>
      <c r="N40" s="48">
        <f>N76</f>
        <v/>
      </c>
      <c r="O40" s="48">
        <f>IF(OR(O76="",O76=0),"",O76*(1-$K$8))</f>
        <v/>
      </c>
      <c r="P40" s="48">
        <f>IF(OR(P76="",P76=0),"",P76*(1-$K$8))</f>
        <v/>
      </c>
      <c r="Q40" s="48">
        <f>IF(OR(Q76="",Q76=0),"",Q76*(1-$K$8))</f>
        <v/>
      </c>
      <c r="R40" s="48">
        <f>IF(OR(R76="",R76=0),"",R76*(1-$K$8))</f>
        <v/>
      </c>
      <c r="S40" s="48">
        <f>IF(OR(S76="",S76=0),"",S76*(1-$K$8))</f>
        <v/>
      </c>
      <c r="T40" s="48">
        <f>IF(OR(T76="",T76=0),"",T76*(1-$K$8))</f>
        <v/>
      </c>
      <c r="U40" s="48">
        <f>IF(OR(U76="",U76=0),"",U76*(1-$K$8))</f>
        <v/>
      </c>
      <c r="V40" s="48">
        <f>IF(OR(V76="",V76=0),"",V76*(1-$K$8))</f>
        <v/>
      </c>
      <c r="W40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"",""""))))-1),Excepciones!$A:$B,2,0)&gt;=0,IFERROR((INDEX(filter(Precios!$D:$D,(Precios!$A:$A&lt;=$I7)*(Precios!$B:$B&gt;=$I7)*(Precios!$C:$C=W"&amp;"$37)),1)*(1-$K$6)+VLOOKUP(COUNT($I$6:$I$13),Precios!$F:$G,2,0)),""No asegurable""),""No asegurable"")),"""")"),67.9625)</f>
        <v/>
      </c>
      <c r="X40" s="119">
        <f>IF(OR($K$10="Sí",X76=""),"",IF($K$8&gt;0,X76*(1-($K$8)*2),X76))</f>
        <v/>
      </c>
      <c r="Y40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"",""""))))-1),Excepciones!$A:$B,2,0)&gt;=0,IFERROR(INDEX(filter(Precios!$D:$D,(Precios!$A:$A&lt;=$I7)*(Precios!$B:$B&gt;=$I7)*(Precios!$C:$C=Y$"&amp;"37)),1)*(1-$K$6),""No asegurable""),""No asegurable"")),"""")"),"")</f>
        <v/>
      </c>
      <c r="Z40" s="117" t="n"/>
      <c r="AA40" s="117" t="n"/>
      <c r="AB40" s="117" t="n"/>
      <c r="AC40" s="118" t="n"/>
      <c r="AE40" s="5" t="n"/>
      <c r="AF40" s="5" t="n"/>
      <c r="AG40" s="5" t="n"/>
      <c r="AH40" s="125" t="n"/>
      <c r="AI40" s="125" t="n"/>
      <c r="AJ40" s="5" t="n"/>
      <c r="AK40" s="125" t="n"/>
      <c r="AL40" s="125" t="n"/>
    </row>
    <row r="41" ht="27.75" customHeight="1" s="241">
      <c r="K41" s="234" t="n"/>
      <c r="L41" s="116" t="n">
        <v>3</v>
      </c>
      <c r="M41" s="48" t="n"/>
      <c r="N41" s="48">
        <f>N77</f>
        <v/>
      </c>
      <c r="O41" s="48">
        <f>IF(OR(O77="",O77=0),"",O77*(1-$K$8))</f>
        <v/>
      </c>
      <c r="P41" s="48">
        <f>IF(OR(P77="",P77=0),"",P77*(1-$K$8))</f>
        <v/>
      </c>
      <c r="Q41" s="48">
        <f>IF(OR(Q77="",Q77=0),"",Q77*(1-$K$8))</f>
        <v/>
      </c>
      <c r="R41" s="48">
        <f>IF(OR(R77="",R77=0),"",R77*(1-$K$8))</f>
        <v/>
      </c>
      <c r="S41" s="48">
        <f>IF(OR(S77="",S77=0),"",S77*(1-$K$8))</f>
        <v/>
      </c>
      <c r="T41" s="48">
        <f>IF(OR(T77="",T77=0),"",T77*(1-$K$8))</f>
        <v/>
      </c>
      <c r="U41" s="48">
        <f>IF(OR(U77="",U77=0),"",U77*(1-$K$8))</f>
        <v/>
      </c>
      <c r="V41" s="48">
        <f>IF(OR(V77="",V77=0),"",V77*(1-$K$8))</f>
        <v/>
      </c>
      <c r="W41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"",""""))))-1),Excepciones!$A:$B,2,0)&gt;=0,IFERROR((INDEX(filter(Precios!$D:$D,(Precios!$A:$A&lt;=$I8)*(Precios!$B:$B&gt;=$I8)*(Precios!$C:$C=W"&amp;"$37)),1)*(1-$K$6)+VLOOKUP(COUNT($I$6:$I$13),Precios!$F:$G,2,0)),""No asegurable""),""No asegurable"")),"""")"),131.4625)</f>
        <v/>
      </c>
      <c r="X41" s="119">
        <f>IF(OR($K$10="Sí",X77=""),"",IF($K$8&gt;0,X77*(1-($K$8)*2),X77))</f>
        <v/>
      </c>
      <c r="Y41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"",""""))))-1),Excepciones!$A:$B,2,0)&gt;=0,IFERROR(INDEX(filter(Precios!$D:$D,(Precios!$A:$A&lt;=$I8)*(Precios!$B:$B&gt;=$I8)*(Precios!$C:$C=Y$"&amp;"37)),1)*(1-$K$6),""No asegurable""),""No asegurable"")),"""")"),"")</f>
        <v/>
      </c>
      <c r="Z41" s="117" t="n"/>
      <c r="AA41" s="117" t="n"/>
      <c r="AB41" s="117" t="n"/>
      <c r="AC41" s="118" t="n"/>
      <c r="AD41" s="5" t="n"/>
      <c r="AE41" s="5" t="n"/>
      <c r="AF41" s="5" t="n"/>
      <c r="AG41" s="5" t="n"/>
      <c r="AH41" s="125" t="n"/>
      <c r="AI41" s="125" t="n"/>
      <c r="AJ41" s="5" t="n"/>
      <c r="AK41" s="125" t="n"/>
      <c r="AL41" s="125" t="n"/>
    </row>
    <row r="42" ht="27.75" customHeight="1" s="241">
      <c r="L42" s="116" t="n">
        <v>4</v>
      </c>
      <c r="M42" s="48" t="n"/>
      <c r="N42" s="48">
        <f>N78</f>
        <v/>
      </c>
      <c r="O42" s="48">
        <f>IF(OR(O78="",O78=0),"",O78*(1-$K$8))</f>
        <v/>
      </c>
      <c r="P42" s="48">
        <f>IF(OR(P78="",P78=0),"",P78*(1-$K$8))</f>
        <v/>
      </c>
      <c r="Q42" s="48">
        <f>IF(OR(Q78="",Q78=0),"",Q78*(1-$K$8))</f>
        <v/>
      </c>
      <c r="R42" s="48">
        <f>IF(OR(R78="",R78=0),"",R78*(1-$K$8))</f>
        <v/>
      </c>
      <c r="S42" s="48">
        <f>IF(OR(S78="",S78=0),"",S78*(1-$K$8))</f>
        <v/>
      </c>
      <c r="T42" s="48">
        <f>IF(OR(T78="",T78=0),"",T78*(1-$K$8))</f>
        <v/>
      </c>
      <c r="U42" s="48">
        <f>IF(OR(U78="",U78=0),"",U78*(1-$K$8))</f>
        <v/>
      </c>
      <c r="V42" s="48">
        <f>IF(OR(V78="",V78=0),"",V78*(1-$K$8))</f>
        <v/>
      </c>
      <c r="W42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"",""""))))-1),Excepciones!$A:$B,2,0)&gt;=0,IFERROR((INDEX(filter(Precios!$D:$D,(Precios!$A:$A&lt;=$I9)*(Precios!$B:$B&gt;=$I9)*(Precios!$C:$C=W"&amp;"$37)),1)*(1-$K$6)+VLOOKUP(COUNT($I$6:$I$13),Precios!$F:$G,2,0)),""No asegurable""),""No asegurable"")),"""")"),242.4625)</f>
        <v/>
      </c>
      <c r="X42" s="119">
        <f>IF(OR($K$10="Sí",X78=""),"",IF($K$8&gt;0,X78*(1-($K$8)*2),X78))</f>
        <v/>
      </c>
      <c r="Y42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"",""""))))-1),Excepciones!$A:$B,2,0)&gt;=0,IFERROR(INDEX(filter(Precios!$D:$D,(Precios!$A:$A&lt;=$I9)*(Precios!$B:$B&gt;=$I9)*(Precios!$C:$C=Y$"&amp;"37)),1)*(1-$K$6),""No asegurable""),""No asegurable"")),"""")"),"")</f>
        <v/>
      </c>
      <c r="Z42" s="117" t="n"/>
      <c r="AA42" s="117" t="n"/>
      <c r="AB42" s="117" t="n"/>
      <c r="AC42" s="118" t="n"/>
      <c r="AD42" s="5" t="n"/>
      <c r="AE42" s="5" t="n"/>
      <c r="AF42" s="5" t="n"/>
      <c r="AG42" s="5" t="n"/>
      <c r="AH42" s="125" t="n"/>
      <c r="AI42" s="125" t="n"/>
      <c r="AJ42" s="5" t="n"/>
      <c r="AK42" s="125" t="n"/>
      <c r="AL42" s="125" t="n"/>
    </row>
    <row r="43" ht="27.75" customHeight="1" s="241">
      <c r="L43" s="116" t="n">
        <v>5</v>
      </c>
      <c r="M43" s="48" t="n"/>
      <c r="N43" s="48">
        <f>N79</f>
        <v/>
      </c>
      <c r="O43" s="48">
        <f>IF(OR(O79="",O79=0),"",O79*(1-$K$8))</f>
        <v/>
      </c>
      <c r="P43" s="48">
        <f>IF(OR(P79="",P79=0),"",P79*(1-$K$8))</f>
        <v/>
      </c>
      <c r="Q43" s="48">
        <f>IF(OR(Q79="",Q79=0),"",Q79*(1-$K$8))</f>
        <v/>
      </c>
      <c r="R43" s="48">
        <f>IF(OR(R79="",R79=0),"",R79*(1-$K$8))</f>
        <v/>
      </c>
      <c r="S43" s="48">
        <f>IF(OR(S79="",S79=0),"",S79*(1-$K$8))</f>
        <v/>
      </c>
      <c r="T43" s="48">
        <f>IF(OR(T79="",T79=0),"",T79*(1-$K$8))</f>
        <v/>
      </c>
      <c r="U43" s="48">
        <f>IF(OR(U79="",U79=0),"",U79*(1-$K$8))</f>
        <v/>
      </c>
      <c r="V43" s="48">
        <f>IF(OR(V79="",V79=0),"",V79*(1-$K$8))</f>
        <v/>
      </c>
      <c r="W43" s="48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"",""""))))-1),Excepciones!$A:$B,2,0)&gt;=0,IFERROR((INDEX(filter(Precios!$D:$D,(Precios!$A:$A&lt;=$I10)*(Precios!$B:$B&gt;=$I10)*(Precios!$C:$"&amp;"C=W$37)),1)*(1-$K$6)+VLOOKUP(COUNT($I$6:$I$13),Precios!$F:$G,2,0)),""No asegurable""),""No asegurable"")),"""")"),"")</f>
        <v/>
      </c>
      <c r="X43" s="119">
        <f>IF(OR($K$10="Sí",X79=""),"",IF($K$8&gt;0,X79*(1-($K$8)*2),X79))</f>
        <v/>
      </c>
      <c r="Y43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"",""""))))-1),Excepciones!$A:$B,2,0)&gt;=0,IFERROR(INDEX(filter(Precios!$D:$D,(Precios!$A:$A&lt;=$I10)*(Precios!$B:$B&gt;=$I10)*(Precios!$C:$C"&amp;"=Y$37)),1)*(1-$K$6),""No asegurable""),""No asegurable"")),"""")"),"")</f>
        <v/>
      </c>
      <c r="Z43" s="117" t="n"/>
      <c r="AA43" s="117" t="n"/>
      <c r="AB43" s="117" t="n"/>
      <c r="AC43" s="118" t="n"/>
      <c r="AD43" s="5" t="n"/>
      <c r="AE43" s="5" t="n"/>
      <c r="AF43" s="5" t="n"/>
      <c r="AG43" s="5" t="n"/>
      <c r="AH43" s="125" t="n"/>
      <c r="AI43" s="125" t="n"/>
      <c r="AJ43" s="5" t="n"/>
      <c r="AK43" s="125" t="n"/>
      <c r="AL43" s="125" t="n"/>
    </row>
    <row r="44" ht="27.75" customHeight="1" s="241">
      <c r="L44" s="116" t="n">
        <v>6</v>
      </c>
      <c r="M44" s="48" t="n"/>
      <c r="N44" s="48">
        <f>N80</f>
        <v/>
      </c>
      <c r="O44" s="48">
        <f>IF(OR(O80="",O80=0),"",O80*(1-$K$8))</f>
        <v/>
      </c>
      <c r="P44" s="48">
        <f>IF(OR(P80="",P80=0),"",P80*(1-$K$8))</f>
        <v/>
      </c>
      <c r="Q44" s="48">
        <f>IF(OR(Q80="",Q80=0),"",Q80*(1-$K$8))</f>
        <v/>
      </c>
      <c r="R44" s="48">
        <f>IF(OR(R80="",R80=0),"",R80*(1-$K$8))</f>
        <v/>
      </c>
      <c r="S44" s="48">
        <f>IF(OR(S80="",S80=0),"",S80*(1-$K$8))</f>
        <v/>
      </c>
      <c r="T44" s="48">
        <f>IF(OR(T80="",T80=0),"",T80*(1-$K$8))</f>
        <v/>
      </c>
      <c r="U44" s="48">
        <f>IF(OR(U80="",U80=0),"",U80*(1-$K$8))</f>
        <v/>
      </c>
      <c r="V44" s="48">
        <f>IF(OR(V80="",V80=0),"",V80*(1-$K$8))</f>
        <v/>
      </c>
      <c r="W44" s="48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"",""""))))-1),Excepciones!$A:$B,2,0)&gt;=0,IFERROR((INDEX(filter(Precios!$D:$D,(Precios!$A:$A&lt;=$I11)*(Precios!$B:$B&gt;=$I11)*(Precios!$C:$"&amp;"C=W$37)),1)*(1-$K$6)+VLOOKUP(COUNT($I$6:$I$13),Precios!$F:$G,2,0)),""No asegurable""),""No asegurable"")),"""")"),"")</f>
        <v/>
      </c>
      <c r="X44" s="119">
        <f>IF(OR($K$10="Sí",X80=""),"",IF($K$8&gt;0,X80*(1-($K$8)*2),X80))</f>
        <v/>
      </c>
      <c r="Y44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"",""""))))-1),Excepciones!$A:$B,2,0)&gt;=0,IFERROR(INDEX(filter(Precios!$D:$D,(Precios!$A:$A&lt;=$I11)*(Precios!$B:$B&gt;=$I11)*(Precios!$C:$C"&amp;"=Y$37)),1)*(1-$K$6),""No asegurable""),""No asegurable"")),"""")"),"")</f>
        <v/>
      </c>
      <c r="Z44" s="117" t="n"/>
      <c r="AA44" s="117" t="n"/>
      <c r="AB44" s="117" t="n"/>
      <c r="AC44" s="118" t="n"/>
      <c r="AD44" s="5" t="n"/>
      <c r="AE44" s="5" t="n"/>
      <c r="AF44" s="5" t="n"/>
      <c r="AG44" s="5" t="n"/>
      <c r="AH44" s="125" t="n"/>
      <c r="AI44" s="125" t="n"/>
      <c r="AJ44" s="5" t="n"/>
      <c r="AK44" s="125" t="n"/>
      <c r="AL44" s="125" t="n"/>
    </row>
    <row r="45" ht="27.75" customHeight="1" s="241">
      <c r="L45" s="116" t="n">
        <v>7</v>
      </c>
      <c r="M45" s="48" t="n"/>
      <c r="N45" s="48">
        <f>N81</f>
        <v/>
      </c>
      <c r="O45" s="48">
        <f>IF(OR(O81="",O81=0),"",O81*(1-$K$8))</f>
        <v/>
      </c>
      <c r="P45" s="48">
        <f>IF(OR(P81="",P81=0),"",P81*(1-$K$8))</f>
        <v/>
      </c>
      <c r="Q45" s="48">
        <f>IF(OR(Q81="",Q81=0),"",Q81*(1-$K$8))</f>
        <v/>
      </c>
      <c r="R45" s="48">
        <f>IF(OR(R81="",R81=0),"",R81*(1-$K$8))</f>
        <v/>
      </c>
      <c r="S45" s="48">
        <f>IF(OR(S81="",S81=0),"",S81*(1-$K$8))</f>
        <v/>
      </c>
      <c r="T45" s="48">
        <f>IF(OR(T81="",T81=0),"",T81*(1-$K$8))</f>
        <v/>
      </c>
      <c r="U45" s="48">
        <f>IF(OR(U81="",U81=0),"",U81*(1-$K$8))</f>
        <v/>
      </c>
      <c r="V45" s="48">
        <f>IF(OR(V81="",V81=0),"",V81*(1-$K$8))</f>
        <v/>
      </c>
      <c r="W45" s="48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"",""""))))-1),Excepciones!$A:$B,2,0)&gt;=0,IFERROR((INDEX(filter(Precios!$D:$D,(Precios!$A:$A&lt;=$I12)*(Precios!$B:$B&gt;=$I12)*(Precios!$C:$"&amp;"C=W$37)),1)*(1-$K$6)+VLOOKUP(COUNT($I$6:$I$13),Precios!$F:$G,2,0)),""No asegurable""),""No asegurable"")),"""")"),"")</f>
        <v/>
      </c>
      <c r="X45" s="119">
        <f>IF(OR($K$10="Sí",X81=""),"",IF($K$8&gt;0,X81*(1-($K$8)*2),X81))</f>
        <v/>
      </c>
      <c r="Y45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"",""""))))-1),Excepciones!$A:$B,2,0)&gt;=0,IFERROR(INDEX(filter(Precios!$D:$D,(Precios!$A:$A&lt;=$I12)*(Precios!$B:$B&gt;=$I12)*(Precios!$C:$C"&amp;"=Y$37)),1)*(1-$K$6),""No asegurable""),""No asegurable"")),"""")"),"")</f>
        <v/>
      </c>
      <c r="Z45" s="117" t="n"/>
      <c r="AA45" s="117" t="n"/>
      <c r="AB45" s="117" t="n"/>
      <c r="AC45" s="118" t="n"/>
      <c r="AD45" s="5" t="n"/>
      <c r="AE45" s="5" t="n"/>
      <c r="AF45" s="5" t="n"/>
      <c r="AG45" s="5" t="n"/>
      <c r="AH45" s="125" t="n"/>
      <c r="AI45" s="125" t="n"/>
      <c r="AJ45" s="5" t="n"/>
      <c r="AK45" s="125" t="n"/>
      <c r="AL45" s="125" t="n"/>
    </row>
    <row r="46" ht="24.75" customHeight="1" s="241">
      <c r="L46" s="116" t="n">
        <v>8</v>
      </c>
      <c r="M46" s="48" t="n"/>
      <c r="N46" s="48">
        <f>N82</f>
        <v/>
      </c>
      <c r="O46" s="48">
        <f>IF(OR(O82="",O82=0),"",O82*(1-$K$8))</f>
        <v/>
      </c>
      <c r="P46" s="48">
        <f>IF(OR(P82="",P82=0),"",P82*(1-$K$8))</f>
        <v/>
      </c>
      <c r="Q46" s="48">
        <f>IF(OR(Q82="",Q82=0),"",Q82*(1-$K$8))</f>
        <v/>
      </c>
      <c r="R46" s="48">
        <f>IF(OR(R82="",R82=0),"",R82*(1-$K$8))</f>
        <v/>
      </c>
      <c r="S46" s="48">
        <f>IF(OR(S82="",S82=0),"",S82*(1-$K$8))</f>
        <v/>
      </c>
      <c r="T46" s="48">
        <f>IF(OR(T82="",T82=0),"",T82*(1-$K$8))</f>
        <v/>
      </c>
      <c r="U46" s="48">
        <f>IF(OR(U82="",U82=0),"",U82*(1-$K$8))</f>
        <v/>
      </c>
      <c r="V46" s="48">
        <f>IF(OR(V82="",V82=0),"",V82*(1-$K$8))</f>
        <v/>
      </c>
      <c r="W46" s="48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"",""""))))-1),Excepciones!$A:$B,2,0)&gt;=0,IFERROR((INDEX(filter(Precios!$D:$D,(Precios!$A:$A&lt;=$I13)*(Precios!$B:$B&gt;=$I13)*(Precios!$C:$"&amp;"C=W$37)),1)*(1-$K$6)+VLOOKUP(COUNT($I$6:$I$13),Precios!$F:$G,2,0)),""No asegurable""),""No asegurable"")),"""")"),"")</f>
        <v/>
      </c>
      <c r="X46" s="119">
        <f>IF(OR($K$10="Sí",X82=""),"",IF($K$8&gt;0,X82*(1-($K$8)*2),X82))</f>
        <v/>
      </c>
      <c r="Y46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"",""""))))-1),Excepciones!$A:$B,2,0)&gt;=0,IFERROR(INDEX(filter(Precios!$D:$D,(Precios!$A:$A&lt;=$I13)*(Precios!$B:$B&gt;=$I13)*(Precios!$C:$C"&amp;"=Y$37)),1)*(1-$K$6),""No asegurable""),""No asegurable"")),"""")"),"")</f>
        <v/>
      </c>
      <c r="Z46" s="117" t="n"/>
      <c r="AA46" s="117" t="n"/>
      <c r="AB46" s="117" t="n"/>
      <c r="AC46" s="118" t="n"/>
      <c r="AD46" s="5" t="n"/>
      <c r="AE46" s="5" t="n"/>
      <c r="AF46" s="5" t="n"/>
      <c r="AG46" s="5" t="n"/>
      <c r="AH46" s="125" t="n"/>
      <c r="AI46" s="125" t="n"/>
      <c r="AJ46" s="5" t="n"/>
      <c r="AK46" s="125" t="n"/>
      <c r="AL46" s="125" t="n"/>
    </row>
    <row r="47" ht="24.75" customHeight="1" s="241">
      <c r="L47" s="116" t="n">
        <v>9</v>
      </c>
      <c r="M47" s="48" t="n"/>
      <c r="N47" s="48">
        <f>N83</f>
        <v/>
      </c>
      <c r="O47" s="48">
        <f>IF(OR(O83="",O83=0),"",O83*(1-$K$8))</f>
        <v/>
      </c>
      <c r="P47" s="48">
        <f>IF(OR(P83="",P83=0),"",P83*(1-$K$8))</f>
        <v/>
      </c>
      <c r="Q47" s="48">
        <f>IF(OR(Q83="",Q83=0),"",Q83*(1-$K$8))</f>
        <v/>
      </c>
      <c r="R47" s="48">
        <f>IF(OR(R83="",R83=0),"",R83*(1-$K$8))</f>
        <v/>
      </c>
      <c r="S47" s="48">
        <f>IF(OR(S83="",S83=0),"",S83*(1-$K$8))</f>
        <v/>
      </c>
      <c r="T47" s="48">
        <f>IF(OR(T83="",T83=0),"",T83*(1-$K$8))</f>
        <v/>
      </c>
      <c r="U47" s="48">
        <f>IF(OR(U83="",U83=0),"",U83*(1-$K$8))</f>
        <v/>
      </c>
      <c r="V47" s="48">
        <f>IF(OR(V83="",V83=0),"",V83*(1-$K$8))</f>
        <v/>
      </c>
      <c r="W47" s="48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"",""""))))-1),Excepciones!$A:$B,2,0)&gt;=0,IFERROR((INDEX(filter(Precios!$D:$D,(Precios!$A:$A&lt;=$I14)*(Precios!$B:$B&gt;=$I14)*(Precios!$C:$"&amp;"C=W$37)),1)*(1-$K$6)+VLOOKUP(COUNT($I$6:$I$13),Precios!$F:$G,2,0)),""No asegurable""),""No asegurable"")),"""")"),"")</f>
        <v/>
      </c>
      <c r="X47" s="119">
        <f>IF(OR($K$10="Sí",X83=""),"",IF($K$8&gt;0,X83*(1-($K$8)*2),X83))</f>
        <v/>
      </c>
      <c r="Y47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"",""""))))-1),Excepciones!$A:$B,2,0)&gt;=0,IFERROR(INDEX(filter(Precios!$D:$D,(Precios!$A:$A&lt;=$I14)*(Precios!$B:$B&gt;=$I14)*(Precios!$C:$C"&amp;"=Y$37)),1)*(1-$K$6),""No asegurable""),""No asegurable"")),"""")"),"")</f>
        <v/>
      </c>
      <c r="Z47" s="117" t="n"/>
      <c r="AA47" s="117" t="n"/>
      <c r="AB47" s="117" t="n"/>
      <c r="AC47" s="118" t="n"/>
      <c r="AD47" s="5" t="n"/>
      <c r="AE47" s="5" t="n"/>
      <c r="AF47" s="5" t="n"/>
      <c r="AG47" s="5" t="n"/>
      <c r="AH47" s="125" t="n"/>
      <c r="AI47" s="125" t="n"/>
      <c r="AJ47" s="5" t="n"/>
      <c r="AK47" s="125" t="n"/>
      <c r="AL47" s="125" t="n"/>
    </row>
    <row r="48" ht="24.75" customHeight="1" s="241">
      <c r="L48" s="116" t="n">
        <v>10</v>
      </c>
      <c r="M48" s="48" t="n"/>
      <c r="N48" s="48">
        <f>N84</f>
        <v/>
      </c>
      <c r="O48" s="48">
        <f>IF(OR(O84="",O84=0),"",O84*(1-$K$8))</f>
        <v/>
      </c>
      <c r="P48" s="48">
        <f>IF(OR(P84="",P84=0),"",P84*(1-$K$8))</f>
        <v/>
      </c>
      <c r="Q48" s="48">
        <f>IF(OR(Q84="",Q84=0),"",Q84*(1-$K$8))</f>
        <v/>
      </c>
      <c r="R48" s="48">
        <f>IF(OR(R84="",R84=0),"",R84*(1-$K$8))</f>
        <v/>
      </c>
      <c r="S48" s="48">
        <f>IF(OR(S84="",S84=0),"",S84*(1-$K$8))</f>
        <v/>
      </c>
      <c r="T48" s="48">
        <f>IF(OR(T84="",T84=0),"",T84*(1-$K$8))</f>
        <v/>
      </c>
      <c r="U48" s="48">
        <f>IF(OR(U84="",U84=0),"",U84*(1-$K$8))</f>
        <v/>
      </c>
      <c r="V48" s="48">
        <f>IF(OR(V84="",V84=0),"",V84*(1-$K$8))</f>
        <v/>
      </c>
      <c r="W48" s="48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"",""""))))-1),Excepciones!$A:$B,2,0)&gt;=0,IFERROR((INDEX(filter(Precios!$D:$D,(Precios!$A:$A&lt;=$I15)*(Precios!$B:$B&gt;=$I15)*(Precios!$C:$"&amp;"C=W$37)),1)*(1-$K$6)+VLOOKUP(COUNT($I$6:$I$13),Precios!$F:$G,2,0)),""No asegurable""),""No asegurable"")),"""")"),"")</f>
        <v/>
      </c>
      <c r="X48" s="119">
        <f>IF(OR($K$10="Sí",X84=""),"",IF($K$8&gt;0,X84*(1-($K$8)*2),X84))</f>
        <v/>
      </c>
      <c r="Y48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"",""""))))-1),Excepciones!$A:$B,2,0)&gt;=0,IFERROR(INDEX(filter(Precios!$D:$D,(Precios!$A:$A&lt;=$I15)*(Precios!$B:$B&gt;=$I15)*(Precios!$C:$C"&amp;"=Y$37)),1)*(1-$K$6),""No asegurable""),""No asegurable"")),"""")"),"")</f>
        <v/>
      </c>
      <c r="Z48" s="117" t="n"/>
      <c r="AA48" s="117" t="n"/>
      <c r="AB48" s="117" t="n"/>
      <c r="AC48" s="118" t="n"/>
      <c r="AD48" s="5" t="n"/>
      <c r="AE48" s="5" t="n"/>
      <c r="AF48" s="5" t="n"/>
      <c r="AG48" s="5" t="n"/>
      <c r="AH48" s="125" t="n"/>
      <c r="AI48" s="125" t="n"/>
      <c r="AJ48" s="5" t="n"/>
      <c r="AK48" s="125" t="n"/>
      <c r="AL48" s="125" t="n"/>
    </row>
    <row r="49" ht="24.75" customHeight="1" s="241">
      <c r="L49" s="116" t="n">
        <v>11</v>
      </c>
      <c r="M49" s="48" t="n"/>
      <c r="N49" s="48">
        <f>N85</f>
        <v/>
      </c>
      <c r="O49" s="48">
        <f>IF(OR(O85="",O85=0),"",O85*(1-$K$8))</f>
        <v/>
      </c>
      <c r="P49" s="48">
        <f>IF(OR(P85="",P85=0),"",P85*(1-$K$8))</f>
        <v/>
      </c>
      <c r="Q49" s="48">
        <f>IF(OR(Q85="",Q85=0),"",Q85*(1-$K$8))</f>
        <v/>
      </c>
      <c r="R49" s="48">
        <f>IF(OR(R85="",R85=0),"",R85*(1-$K$8))</f>
        <v/>
      </c>
      <c r="S49" s="48">
        <f>IF(OR(S85="",S85=0),"",S85*(1-$K$8))</f>
        <v/>
      </c>
      <c r="T49" s="48">
        <f>IF(OR(T85="",T85=0),"",T85*(1-$K$8))</f>
        <v/>
      </c>
      <c r="U49" s="48">
        <f>IF(OR(U85="",U85=0),"",U85*(1-$K$8))</f>
        <v/>
      </c>
      <c r="V49" s="48">
        <f>IF(OR(V85="",V85=0),"",V85*(1-$K$8))</f>
        <v/>
      </c>
      <c r="W49" s="48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"",""""))))-1),Excepciones!$A:$B,2,0)&gt;=0,IFERROR((INDEX(filter(Precios!$D:$D,(Precios!$A:$A&lt;=$I16)*(Precios!$B:$B&gt;=$I16)*(Precios!$C:$"&amp;"C=W$37)),1)*(1-$K$6)+VLOOKUP(COUNT($I$6:$I$13),Precios!$F:$G,2,0)),""No asegurable""),""No asegurable"")),"""")"),"")</f>
        <v/>
      </c>
      <c r="X49" s="119">
        <f>IF(OR($K$10="Sí",X85=""),"",IF($K$8&gt;0,X85*(1-($K$8)*2),X85))</f>
        <v/>
      </c>
      <c r="Y49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"",""""))))-1),Excepciones!$A:$B,2,0)&gt;=0,IFERROR(INDEX(filter(Precios!$D:$D,(Precios!$A:$A&lt;=$I16)*(Precios!$B:$B&gt;=$I16)*(Precios!$C:$C"&amp;"=Y$37)),1)*(1-$K$6),""No asegurable""),""No asegurable"")),"""")"),"")</f>
        <v/>
      </c>
      <c r="Z49" s="117" t="n"/>
      <c r="AA49" s="117" t="n"/>
      <c r="AB49" s="117" t="n"/>
      <c r="AC49" s="118" t="n"/>
      <c r="AD49" s="5" t="n"/>
      <c r="AE49" s="5" t="n"/>
      <c r="AF49" s="5" t="n"/>
      <c r="AG49" s="5" t="n"/>
      <c r="AH49" s="125" t="n"/>
      <c r="AI49" s="125" t="n"/>
      <c r="AJ49" s="5" t="n"/>
      <c r="AK49" s="125" t="n"/>
      <c r="AL49" s="125" t="n"/>
    </row>
    <row r="50" ht="24.75" customHeight="1" s="241">
      <c r="L50" s="116" t="n">
        <v>12</v>
      </c>
      <c r="M50" s="48" t="n"/>
      <c r="N50" s="48">
        <f>N86</f>
        <v/>
      </c>
      <c r="O50" s="48">
        <f>IF(OR(O86="",O86=0),"",O86*(1-$K$8))</f>
        <v/>
      </c>
      <c r="P50" s="48">
        <f>IF(OR(P86="",P86=0),"",P86*(1-$K$8))</f>
        <v/>
      </c>
      <c r="Q50" s="48">
        <f>IF(OR(Q86="",Q86=0),"",Q86*(1-$K$8))</f>
        <v/>
      </c>
      <c r="R50" s="48">
        <f>IF(OR(R86="",R86=0),"",R86*(1-$K$8))</f>
        <v/>
      </c>
      <c r="S50" s="48">
        <f>IF(OR(S86="",S86=0),"",S86*(1-$K$8))</f>
        <v/>
      </c>
      <c r="T50" s="48">
        <f>IF(OR(T86="",T86=0),"",T86*(1-$K$8))</f>
        <v/>
      </c>
      <c r="U50" s="48">
        <f>IF(OR(U86="",U86=0),"",U86*(1-$K$8))</f>
        <v/>
      </c>
      <c r="V50" s="48">
        <f>IF(OR(V86="",V86=0),"",V86*(1-$K$8))</f>
        <v/>
      </c>
      <c r="W50" s="48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"",""""))))-1),Excepciones!$A:$B,2,0)&gt;=0,IFERROR((INDEX(filter(Precios!$D:$D,(Precios!$A:$A&lt;=$I17)*(Precios!$B:$B&gt;=$I17)*(Precios!$C:$"&amp;"C=W$37)),1)*(1-$K$6)+VLOOKUP(COUNT($I$6:$I$13),Precios!$F:$G,2,0)),""No asegurable""),""No asegurable"")),"""")"),"")</f>
        <v/>
      </c>
      <c r="X50" s="119">
        <f>IF(OR($K$10="Sí",X86=""),"",IF($K$8&gt;0,X86*(1-($K$8)*2),X86))</f>
        <v/>
      </c>
      <c r="Y50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"",""""))))-1),Excepciones!$A:$B,2,0)&gt;=0,IFERROR(INDEX(filter(Precios!$D:$D,(Precios!$A:$A&lt;=$I17)*(Precios!$B:$B&gt;=$I17)*(Precios!$C:$C"&amp;"=Y$37)),1)*(1-$K$6),""No asegurable""),""No asegurable"")),"""")"),"")</f>
        <v/>
      </c>
      <c r="Z50" s="117" t="n"/>
      <c r="AA50" s="117" t="n"/>
      <c r="AB50" s="117" t="n"/>
      <c r="AC50" s="118" t="n"/>
      <c r="AD50" s="5" t="n"/>
      <c r="AE50" s="5" t="n"/>
      <c r="AF50" s="5" t="n"/>
      <c r="AG50" s="5" t="n"/>
      <c r="AH50" s="125" t="n"/>
      <c r="AI50" s="125" t="n"/>
      <c r="AJ50" s="5" t="n"/>
      <c r="AK50" s="125" t="n"/>
      <c r="AL50" s="125" t="n"/>
    </row>
    <row r="51" ht="24.75" customHeight="1" s="241">
      <c r="L51" s="116" t="n">
        <v>13</v>
      </c>
      <c r="M51" s="48" t="n"/>
      <c r="N51" s="48">
        <f>N87</f>
        <v/>
      </c>
      <c r="O51" s="48">
        <f>IF(OR(O87="",O87=0),"",O87*(1-$K$8))</f>
        <v/>
      </c>
      <c r="P51" s="48">
        <f>IF(OR(P87="",P87=0),"",P87*(1-$K$8))</f>
        <v/>
      </c>
      <c r="Q51" s="48">
        <f>IF(OR(Q87="",Q87=0),"",Q87*(1-$K$8))</f>
        <v/>
      </c>
      <c r="R51" s="48">
        <f>IF(OR(R87="",R87=0),"",R87*(1-$K$8))</f>
        <v/>
      </c>
      <c r="S51" s="48">
        <f>IF(OR(S87="",S87=0),"",S87*(1-$K$8))</f>
        <v/>
      </c>
      <c r="T51" s="48">
        <f>IF(OR(T87="",T87=0),"",T87*(1-$K$8))</f>
        <v/>
      </c>
      <c r="U51" s="48">
        <f>IF(OR(U87="",U87=0),"",U87*(1-$K$8))</f>
        <v/>
      </c>
      <c r="V51" s="48">
        <f>IF(OR(V87="",V87=0),"",V87*(1-$K$8))</f>
        <v/>
      </c>
      <c r="W51" s="48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"",""""))))-1),Excepciones!$A:$B,2,0)&gt;=0,IFERROR((INDEX(filter(Precios!$D:$D,(Precios!$A:$A&lt;=$I18)*(Precios!$B:$B&gt;=$I18)*(Precios!$C:$"&amp;"C=W$37)),1)*(1-$K$6)+VLOOKUP(COUNT($I$6:$I$13),Precios!$F:$G,2,0)),""No asegurable""),""No asegurable"")),"""")"),"")</f>
        <v/>
      </c>
      <c r="X51" s="119">
        <f>IF(OR($K$10="Sí",X87=""),"",IF($K$8&gt;0,X87*(1-($K$8)*2),X87))</f>
        <v/>
      </c>
      <c r="Y51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"",""""))))-1),Excepciones!$A:$B,2,0)&gt;=0,IFERROR(INDEX(filter(Precios!$D:$D,(Precios!$A:$A&lt;=$I18)*(Precios!$B:$B&gt;=$I18)*(Precios!$C:$C"&amp;"=Y$37)),1)*(1-$K$6),""No asegurable""),""No asegurable"")),"""")"),"")</f>
        <v/>
      </c>
      <c r="Z51" s="117" t="n"/>
      <c r="AA51" s="117" t="n"/>
      <c r="AB51" s="117" t="n"/>
      <c r="AC51" s="118" t="n"/>
      <c r="AD51" s="5" t="n"/>
      <c r="AE51" s="5" t="n"/>
      <c r="AF51" s="5" t="n"/>
      <c r="AG51" s="5" t="n"/>
      <c r="AH51" s="125" t="n"/>
      <c r="AI51" s="125" t="n"/>
      <c r="AJ51" s="5" t="n"/>
      <c r="AK51" s="125" t="n"/>
      <c r="AL51" s="125" t="n"/>
    </row>
    <row r="52" ht="24.75" customHeight="1" s="241">
      <c r="L52" s="116" t="n">
        <v>14</v>
      </c>
      <c r="M52" s="48" t="n"/>
      <c r="N52" s="48">
        <f>N88</f>
        <v/>
      </c>
      <c r="O52" s="48">
        <f>IF(OR(O88="",O88=0),"",O88*(1-$K$8))</f>
        <v/>
      </c>
      <c r="P52" s="48">
        <f>IF(OR(P88="",P88=0),"",P88*(1-$K$8))</f>
        <v/>
      </c>
      <c r="Q52" s="48">
        <f>IF(OR(Q88="",Q88=0),"",Q88*(1-$K$8))</f>
        <v/>
      </c>
      <c r="R52" s="48">
        <f>IF(OR(R88="",R88=0),"",R88*(1-$K$8))</f>
        <v/>
      </c>
      <c r="S52" s="48">
        <f>IF(OR(S88="",S88=0),"",S88*(1-$K$8))</f>
        <v/>
      </c>
      <c r="T52" s="48">
        <f>IF(OR(T88="",T88=0),"",T88*(1-$K$8))</f>
        <v/>
      </c>
      <c r="U52" s="48">
        <f>IF(OR(U88="",U88=0),"",U88*(1-$K$8))</f>
        <v/>
      </c>
      <c r="V52" s="48">
        <f>IF(OR(V88="",V88=0),"",V88*(1-$K$8))</f>
        <v/>
      </c>
      <c r="W52" s="48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"",""""))))-1),Excepciones!$A:$B,2,0)&gt;=0,IFERROR((INDEX(filter(Precios!$D:$D,(Precios!$A:$A&lt;=$I19)*(Precios!$B:$B&gt;=$I19)*(Precios!$C:$"&amp;"C=W$37)),1)*(1-$K$6)+VLOOKUP(COUNT($I$6:$I$13),Precios!$F:$G,2,0)),""No asegurable""),""No asegurable"")),"""")"),"")</f>
        <v/>
      </c>
      <c r="X52" s="119">
        <f>IF(OR($K$10="Sí",X88=""),"",IF($K$8&gt;0,X88*(1-($K$8)*2),X88))</f>
        <v/>
      </c>
      <c r="Y52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"",""""))))-1),Excepciones!$A:$B,2,0)&gt;=0,IFERROR(INDEX(filter(Precios!$D:$D,(Precios!$A:$A&lt;=$I19)*(Precios!$B:$B&gt;=$I19)*(Precios!$C:$C"&amp;"=Y$37)),1)*(1-$K$6),""No asegurable""),""No asegurable"")),"""")"),"")</f>
        <v/>
      </c>
      <c r="Z52" s="117" t="n"/>
      <c r="AA52" s="117" t="n"/>
      <c r="AB52" s="117" t="n"/>
      <c r="AC52" s="118" t="n"/>
      <c r="AD52" s="5" t="n"/>
      <c r="AE52" s="5" t="n"/>
      <c r="AF52" s="5" t="n"/>
      <c r="AG52" s="5" t="n"/>
      <c r="AH52" s="125" t="n"/>
      <c r="AI52" s="125" t="n"/>
      <c r="AJ52" s="5" t="n"/>
      <c r="AK52" s="125" t="n"/>
      <c r="AL52" s="125" t="n"/>
    </row>
    <row r="53" ht="24.75" customHeight="1" s="241">
      <c r="L53" s="126" t="n">
        <v>15</v>
      </c>
      <c r="M53" s="128" t="n"/>
      <c r="N53" s="128">
        <f>N89</f>
        <v/>
      </c>
      <c r="O53" s="128">
        <f>IF(OR(O89="",O89=0),"",O89*(1-$K$8))</f>
        <v/>
      </c>
      <c r="P53" s="128">
        <f>IF(OR(P89="",P89=0),"",P89*(1-$K$8))</f>
        <v/>
      </c>
      <c r="Q53" s="128">
        <f>IF(OR(Q89="",Q89=0),"",Q89*(1-$K$8))</f>
        <v/>
      </c>
      <c r="R53" s="128">
        <f>IF(OR(R89="",R89=0),"",R89*(1-$K$8))</f>
        <v/>
      </c>
      <c r="S53" s="128">
        <f>IF(OR(S89="",S89=0),"",S89*(1-$K$8))</f>
        <v/>
      </c>
      <c r="T53" s="128">
        <f>IF(OR(T89="",T89=0),"",T89*(1-$K$8))</f>
        <v/>
      </c>
      <c r="U53" s="128">
        <f>IF(OR(U89="",U89=0),"",U89*(1-$K$8))</f>
        <v/>
      </c>
      <c r="V53" s="128">
        <f>IF(OR(V89="",V89=0),"",V89*(1-$K$8))</f>
        <v/>
      </c>
      <c r="W53" s="128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"",""""))))-1),Excepciones!$A:$B,2,0)&gt;=0,IFERROR((INDEX(filter(Precios!$D:$D,(Precios!$A:$A&lt;=$I20)*(Precios!$B:$B&gt;=$I20)*(Precios!$C:$"&amp;"C=W$37)),1)*(1-$K$6)+VLOOKUP(COUNT($I$6:$I$13),Precios!$F:$G,2,0)),""No asegurable""),""No asegurable"")),"""")"),"")</f>
        <v/>
      </c>
      <c r="X53" s="131">
        <f>IF(OR($K$10="Sí",X89=""),"",IF($K$8&gt;0,X89*(1-($K$8)*2),X89))</f>
        <v/>
      </c>
      <c r="Y53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"",""""))))-1),Excepciones!$A:$B,2,0)&gt;=0,IFERROR(INDEX(filter(Precios!$D:$D,(Precios!$A:$A&lt;=$I20)*(Precios!$B:$B&gt;=$I20)*(Precios!$C:$C"&amp;"=Y$37)),1)*(1-$K$6),""No asegurable""),""No asegurable"")),"""")"),"")</f>
        <v/>
      </c>
      <c r="Z53" s="129" t="n"/>
      <c r="AA53" s="129" t="n"/>
      <c r="AB53" s="129" t="n"/>
      <c r="AC53" s="130" t="n"/>
      <c r="AD53" s="5" t="n"/>
      <c r="AE53" s="5" t="n"/>
      <c r="AF53" s="5" t="n"/>
      <c r="AG53" s="5" t="n"/>
      <c r="AH53" s="125" t="n"/>
      <c r="AI53" s="125" t="n"/>
      <c r="AJ53" s="5" t="n"/>
      <c r="AK53" s="125" t="n"/>
      <c r="AL53" s="125" t="n"/>
    </row>
    <row r="54" ht="28.5" customHeight="1" s="241"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125" t="n"/>
      <c r="AI54" s="125" t="n"/>
      <c r="AJ54" s="5" t="n"/>
      <c r="AK54" s="125" t="n"/>
      <c r="AL54" s="125" t="n"/>
    </row>
    <row r="55" ht="26.25" customHeight="1" s="241">
      <c r="L55" s="258" t="inlineStr">
        <is>
          <t>SIN DTO
SIN DENTAL</t>
        </is>
      </c>
      <c r="M55" s="259" t="n"/>
      <c r="N55" s="260">
        <f>"Go"&amp;" "&amp;$K$3</f>
        <v/>
      </c>
      <c r="O55" s="260">
        <f>"Plena Vital"&amp;" "&amp;$K$3</f>
        <v/>
      </c>
      <c r="P55" s="260">
        <f>"Plena Total vital"&amp;" "&amp;$K$3</f>
        <v/>
      </c>
      <c r="Q55" s="260">
        <f>"Plena"&amp;" "&amp;$K$3</f>
        <v/>
      </c>
      <c r="R55" s="260">
        <f>"Plena Plus"&amp;" "&amp;$K$3</f>
        <v/>
      </c>
      <c r="S55" s="260">
        <f>"Plena Total"&amp;" "&amp;$K$3</f>
        <v/>
      </c>
      <c r="T55" s="260">
        <f>"Plena Extra 150"&amp;" "&amp;$K$3</f>
        <v/>
      </c>
      <c r="U55" s="260">
        <f>"Seniors"&amp;" "&amp;$K$3</f>
        <v/>
      </c>
      <c r="V55" s="260">
        <f>"Seniors total"&amp;" "&amp;$K$3</f>
        <v/>
      </c>
      <c r="W55" s="260">
        <f>"Negocios NIF"&amp;" "&amp;$K$3</f>
        <v/>
      </c>
      <c r="X55" s="261">
        <f>"Pymes TOTAL"&amp;" "&amp;$K$3</f>
        <v/>
      </c>
      <c r="Y55" s="260">
        <f>IF(OR(COUNT(I36:I42)=1,COUNT(I36:I42)=2),"Extra Negocios NIF"&amp;" "&amp;$K$3&amp;" "&amp;COUNT(I36:I42),"Extra Negocios NIF"&amp;" "&amp;$K$3)</f>
        <v/>
      </c>
      <c r="Z55" s="260">
        <f>"Negocios CIF"&amp;" "&amp;$K$3</f>
        <v/>
      </c>
      <c r="AA55" s="260">
        <f>"Extra Negocios CIF"&amp;" "&amp;$K$3</f>
        <v/>
      </c>
      <c r="AB55" s="260">
        <f>"Empresas"&amp;" "&amp;$K$3</f>
        <v/>
      </c>
      <c r="AC55" s="261">
        <f>"Extra Empresas"&amp;" "&amp;$K$3</f>
        <v/>
      </c>
      <c r="AD55" s="5" t="n"/>
      <c r="AE55" s="5" t="n"/>
      <c r="AF55" s="5" t="n"/>
      <c r="AG55" s="5" t="n"/>
      <c r="AH55" s="125" t="n"/>
      <c r="AI55" s="125" t="n"/>
      <c r="AJ55" s="5" t="n"/>
      <c r="AK55" s="125" t="n"/>
      <c r="AL55" s="125" t="n"/>
    </row>
    <row r="56" ht="26.25" customHeight="1" s="241">
      <c r="L56" s="263" t="n"/>
      <c r="M56" s="253" t="n"/>
      <c r="N56" s="253" t="n"/>
      <c r="O56" s="253" t="n"/>
      <c r="P56" s="253" t="n"/>
      <c r="Q56" s="253" t="n"/>
      <c r="R56" s="253" t="n"/>
      <c r="S56" s="253" t="n"/>
      <c r="T56" s="253" t="n"/>
      <c r="U56" s="253" t="n"/>
      <c r="V56" s="253" t="n"/>
      <c r="W56" s="253" t="n"/>
      <c r="X56" s="256" t="n"/>
      <c r="Y56" s="253" t="n"/>
      <c r="Z56" s="253" t="n"/>
      <c r="AA56" s="253" t="n"/>
      <c r="AB56" s="253" t="n"/>
      <c r="AC56" s="256" t="n"/>
      <c r="AD56" s="5" t="n"/>
      <c r="AE56" s="5" t="n"/>
      <c r="AF56" s="5" t="n"/>
      <c r="AG56" s="5" t="n"/>
      <c r="AH56" s="125" t="n"/>
      <c r="AI56" s="125" t="n"/>
      <c r="AJ56" s="5" t="n"/>
      <c r="AK56" s="125" t="n"/>
      <c r="AL56" s="125" t="n"/>
    </row>
    <row r="57" ht="26.25" customHeight="1" s="241">
      <c r="L57" s="111" t="n">
        <v>1</v>
      </c>
      <c r="M57" s="112" t="n"/>
      <c r="N57" s="112">
        <f>IFERROR(__xludf.DUMMYFUNCTION("IFERROR(IF($I6="""","""",IF($K$8&gt;0,"""",IF(COUNT($I$6:$I$13)&gt;1,0.9,1)*IF(VLOOKUP(LEFT(N$37,SEARCH(""☃"",SUBSTITUTE(N$37,"" "",""☃"",LEN(N$37)-LEN(SUBSTITUTE(N$37,"" "",""""))))-1),Excepciones!$A:$B,2,0)&gt;=0,IFERROR(INDEX(FILTER(Precios!$D:$D,(Precios!$A:$A"&amp;"&lt;=$I6)*(Precios!$B:$B&gt;=$I6)*(Precios!$C:$C=N$37)),1)*(1-$K$6),""No asegurable""),""No asegurable""))),"""")
"),19.35)</f>
        <v/>
      </c>
      <c r="O57" s="112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6)*(Precios!$B:$B&gt;=$I6)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"",""""))))-1),Excepciones!$A:$B,2,0)&gt;=0,IFERROR(INDEX(FILTER"&amp;"(Precios!$D:$D,(Precios!$A:$A&lt;=$I6)*(Precios!$B:$B&gt;=$I6)*(Precios!$C:$C=O$37)),1)*(IF($K$10=""Sí"",0.94,1)),""""),"""")),"""")
"),45.45)</f>
        <v/>
      </c>
      <c r="P57" s="133" t="n"/>
      <c r="Q57" s="112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6)*(Precios!$B:$B&gt;=$I6)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"",""""))))-1),Excepciones!$A:$B,2,0)&gt;=0,IFERROR(INDEX(FILTER"&amp;"(Precios!$D:$D,(Precios!$A:$A&lt;=$I6)*(Precios!$B:$B&gt;=$I6)*(Precios!$C:$C=Q$37)),1)*(IF($K$10=""Sí"",0.94,1)),""""),"""")),"""")
"),55.800000000000004)</f>
        <v/>
      </c>
      <c r="R57" s="112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6)*(Precios!$B:$B&gt;=$I6)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"",""""))))-1),Excepciones!$A:$B,2,0)&gt;=0,IFERROR(INDEX(FILTER"&amp;"(Precios!$D:$D,(Precios!$A:$A&lt;=$I6)*(Precios!$B:$B&gt;=$I6)*(Precios!$C:$C=R$37)),1)*(IF($K$10=""Sí"",0.94,1)),""""),"""")),"""")
"),67.5)</f>
        <v/>
      </c>
      <c r="S57" s="133" t="n"/>
      <c r="T57" s="112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6)*(Precios!$B:$B&gt;=$I6)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"",""""))))-1),Excepciones!$A:$B,2,0)&gt;=0,IFERROR(INDEX(FILTER"&amp;"(Precios!$D:$D,(Precios!$A:$A&lt;=$I6)*(Precios!$B:$B&gt;=$I6)*(Precios!$C:$C=T$37)),1)*(IF($K$10=""Sí"",0.94,1)),""""),"""")),"""")
"),99.0)</f>
        <v/>
      </c>
      <c r="U57" s="112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6)*(Precios!$B:$B&gt;=$I6)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"",""""))))-1),Excepciones!$A:$B,2,0)&gt;=0,IFERROR(INDEX(FILT"&amp;"ER(Precios!$D:$D,(Precios!$A:$A&lt;=$I6)*(Precios!$B:$B&gt;=$I6)*(Precios!$C:$C=U$37)),1)*(IF($K$10=""Sí"",0.94,1)),""""),"""")),"""")
"),"")</f>
        <v/>
      </c>
      <c r="V57" s="112" t="n"/>
      <c r="W57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"",""""))))-1),Excepciones!$A:$B,2,0)&gt;=0,IFERROR(INDEX(filter(Precios!$D:$D,(Precios!$A:$A&lt;=$I6)*(Precios!$B:$B&gt;=$I6)*(Precios!$C:$C=W$"&amp;"37)),1)*1,""""),"""")),"""")"),63.5)</f>
        <v/>
      </c>
      <c r="X57" s="134" t="n"/>
      <c r="Y57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57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/>
      </c>
      <c r="AA57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/>
      </c>
      <c r="AB57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/>
      </c>
      <c r="AC57" s="13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/>
      </c>
      <c r="AD57" s="5" t="n"/>
      <c r="AE57" s="5" t="n"/>
      <c r="AF57" s="5" t="n"/>
      <c r="AG57" s="5" t="n"/>
      <c r="AH57" s="125" t="n"/>
      <c r="AI57" s="125" t="n"/>
      <c r="AJ57" s="5" t="n"/>
      <c r="AK57" s="125" t="n"/>
      <c r="AL57" s="125" t="n"/>
    </row>
    <row r="58" ht="26.25" customHeight="1" s="241">
      <c r="L58" s="116" t="n">
        <v>2</v>
      </c>
      <c r="M58" s="48" t="n"/>
      <c r="N58" s="48">
        <f>IFERROR(__xludf.DUMMYFUNCTION("IFERROR(IF($I7="""","""",IF($K$8&gt;0,"""",IF(COUNT($I$6:$I$13)&gt;1,0.9,1)*IF(VLOOKUP(LEFT(N$37,SEARCH(""☃"",SUBSTITUTE(N$37,"" "",""☃"",LEN(N$37)-LEN(SUBSTITUTE(N$37,"" "",""""))))-1),Excepciones!$A:$B,2,0)&gt;=0,IFERROR(INDEX(FILTER(Precios!$D:$D,(Precios!$A:$A"&amp;"&lt;=$I7)*(Precios!$B:$B&gt;=$I7)*(Precios!$C:$C=N$37)),1)*(1-$K$6),""No asegurable""),""No asegurable""))),"""")
"),19.35)</f>
        <v/>
      </c>
      <c r="O58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7)*(Precios!$B:$B&gt;=$I7)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"",""""))))-1),Excepciones!$A:$B,2,0)&gt;=0,IFERROR(INDEX(FILTER"&amp;"(Precios!$D:$D,(Precios!$A:$A&lt;=$I7)*(Precios!$B:$B&gt;=$I7)*(Precios!$C:$C=O$37)),1)*(IF($K$10=""Sí"",0.94,1)),""""),"""")),"""")
"),45.45)</f>
        <v/>
      </c>
      <c r="P58" s="136" t="n"/>
      <c r="Q58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7)*(Precios!$B:$B&gt;=$I7)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"",""""))))-1),Excepciones!$A:$B,2,0)&gt;=0,IFERROR(INDEX(FILTER"&amp;"(Precios!$D:$D,(Precios!$A:$A&lt;=$I7)*(Precios!$B:$B&gt;=$I7)*(Precios!$C:$C=Q$37)),1)*(IF($K$10=""Sí"",0.94,1)),""""),"""")),"""")
"),55.800000000000004)</f>
        <v/>
      </c>
      <c r="R58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7)*(Precios!$B:$B&gt;=$I7)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"",""""))))-1),Excepciones!$A:$B,2,0)&gt;=0,IFERROR(INDEX(FILTER"&amp;"(Precios!$D:$D,(Precios!$A:$A&lt;=$I7)*(Precios!$B:$B&gt;=$I7)*(Precios!$C:$C=R$37)),1)*(IF($K$10=""Sí"",0.94,1)),""""),"""")),"""")
"),67.5)</f>
        <v/>
      </c>
      <c r="S58" s="136" t="n"/>
      <c r="T58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7)*(Precios!$B:$B&gt;=$I7)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"",""""))))-1),Excepciones!$A:$B,2,0)&gt;=0,IFERROR(INDEX(FILTER"&amp;"(Precios!$D:$D,(Precios!$A:$A&lt;=$I7)*(Precios!$B:$B&gt;=$I7)*(Precios!$C:$C=T$37)),1)*(IF($K$10=""Sí"",0.94,1)),""""),"""")),"""")
"),99.0)</f>
        <v/>
      </c>
      <c r="U58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7)*(Precios!$B:$B&gt;=$I7)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"",""""))))-1),Excepciones!$A:$B,2,0)&gt;=0,IFERROR(INDEX(FILT"&amp;"ER(Precios!$D:$D,(Precios!$A:$A&lt;=$I7)*(Precios!$B:$B&gt;=$I7)*(Precios!$C:$C=U$37)),1)*(IF($K$10=""Sí"",0.94,1)),""""),"""")),"""")
"),"")</f>
        <v/>
      </c>
      <c r="V58" s="48" t="n"/>
      <c r="W58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"",""""))))-1),Excepciones!$A:$B,2,0)&gt;=0,IFERROR(INDEX(filter(Precios!$D:$D,(Precios!$A:$A&lt;=$I7)*(Precios!$B:$B&gt;=$I7)*(Precios!$C:$C=W$"&amp;"37)),1)*1,""""),"""")),"""")"),63.5)</f>
        <v/>
      </c>
      <c r="X58" s="137" t="n"/>
      <c r="Y58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58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/>
      </c>
      <c r="AA58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/>
      </c>
      <c r="AB58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/>
      </c>
      <c r="AC58" s="138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/>
      </c>
      <c r="AD58" s="5" t="n"/>
      <c r="AE58" s="5" t="n"/>
      <c r="AF58" s="5" t="n"/>
      <c r="AG58" s="5" t="n"/>
      <c r="AH58" s="125" t="n"/>
      <c r="AI58" s="125" t="n"/>
      <c r="AJ58" s="5" t="n"/>
      <c r="AK58" s="125" t="n"/>
      <c r="AL58" s="125" t="n"/>
    </row>
    <row r="59" ht="26.25" customHeight="1" s="241">
      <c r="L59" s="116" t="n">
        <v>3</v>
      </c>
      <c r="M59" s="48" t="n"/>
      <c r="N59" s="48">
        <f>IFERROR(__xludf.DUMMYFUNCTION("IFERROR(IF($I8="""","""",IF($K$8&gt;0,"""",IF(COUNT($I$6:$I$13)&gt;1,0.9,1)*IF(VLOOKUP(LEFT(N$37,SEARCH(""☃"",SUBSTITUTE(N$37,"" "",""☃"",LEN(N$37)-LEN(SUBSTITUTE(N$37,"" "",""""))))-1),Excepciones!$A:$B,2,0)&gt;=0,IFERROR(INDEX(FILTER(Precios!$D:$D,(Precios!$A:$A"&amp;"&lt;=$I8)*(Precios!$B:$B&gt;=$I8)*(Precios!$C:$C=N$37)),1)*(1-$K$6),""No asegurable""),""No asegurable""))),"""")
"),35.1)</f>
        <v/>
      </c>
      <c r="O59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8)*(Precios!$B:$B&gt;=$I8)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"",""""))))-1),Excepciones!$A:$B,2,0)&gt;=0,IFERROR(INDEX(FILTER"&amp;"(Precios!$D:$D,(Precios!$A:$A&lt;=$I8)*(Precios!$B:$B&gt;=$I8)*(Precios!$C:$C=O$37)),1)*(IF($K$10=""Sí"",0.94,1)),""""),"""")),"""")
"),85.5)</f>
        <v/>
      </c>
      <c r="P59" s="136" t="n"/>
      <c r="Q59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8)*(Precios!$B:$B&gt;=$I8)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"",""""))))-1),Excepciones!$A:$B,2,0)&gt;=0,IFERROR(INDEX(FILTER"&amp;"(Precios!$D:$D,(Precios!$A:$A&lt;=$I8)*(Precios!$B:$B&gt;=$I8)*(Precios!$C:$C=Q$37)),1)*(IF($K$10=""Sí"",0.94,1)),""""),"""")),"""")
"),96.3)</f>
        <v/>
      </c>
      <c r="R59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8)*(Precios!$B:$B&gt;=$I8)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"",""""))))-1),Excepciones!$A:$B,2,0)&gt;=0,IFERROR(INDEX(FILTER"&amp;"(Precios!$D:$D,(Precios!$A:$A&lt;=$I8)*(Precios!$B:$B&gt;=$I8)*(Precios!$C:$C=R$37)),1)*(IF($K$10=""Sí"",0.94,1)),""""),"""")),"""")
"),139.5)</f>
        <v/>
      </c>
      <c r="S59" s="136" t="n"/>
      <c r="T59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8)*(Precios!$B:$B&gt;=$I8)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"",""""))))-1),Excepciones!$A:$B,2,0)&gt;=0,IFERROR(INDEX(FILTER"&amp;"(Precios!$D:$D,(Precios!$A:$A&lt;=$I8)*(Precios!$B:$B&gt;=$I8)*(Precios!$C:$C=T$37)),1)*(IF($K$10=""Sí"",0.94,1)),""""),"""")),"""")
"),162.0)</f>
        <v/>
      </c>
      <c r="U59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8)*(Precios!$B:$B&gt;=$I8)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"",""""))))-1),Excepciones!$A:$B,2,0)&gt;=0,IFERROR(INDEX(FILT"&amp;"ER(Precios!$D:$D,(Precios!$A:$A&lt;=$I8)*(Precios!$B:$B&gt;=$I8)*(Precios!$C:$C=U$37)),1)*(IF($K$10=""Sí"",0.94,1)),""""),"""")),"""")
"),"")</f>
        <v/>
      </c>
      <c r="V59" s="48" t="n"/>
      <c r="W59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"",""""))))-1),Excepciones!$A:$B,2,0)&gt;=0,IFERROR(INDEX(filter(Precios!$D:$D,(Precios!$A:$A&lt;=$I8)*(Precios!$B:$B&gt;=$I8)*(Precios!$C:$C=W$"&amp;"37)),1)*1,""""),"""")),"""")"),127.0)</f>
        <v/>
      </c>
      <c r="X59" s="137" t="n"/>
      <c r="Y59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59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/>
      </c>
      <c r="AA59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/>
      </c>
      <c r="AB59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/>
      </c>
      <c r="AC59" s="138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/>
      </c>
      <c r="AD59" s="5" t="n"/>
      <c r="AE59" s="5" t="n"/>
      <c r="AF59" s="5" t="n"/>
      <c r="AG59" s="5" t="n"/>
      <c r="AH59" s="125" t="n"/>
      <c r="AI59" s="125" t="n"/>
      <c r="AJ59" s="5" t="n"/>
      <c r="AK59" s="125" t="n"/>
      <c r="AL59" s="125" t="n"/>
    </row>
    <row r="60" ht="26.25" customHeight="1" s="241">
      <c r="L60" s="116" t="n">
        <v>4</v>
      </c>
      <c r="M60" s="48" t="n"/>
      <c r="N60" s="48">
        <f>IFERROR(__xludf.DUMMYFUNCTION("IFERROR(IF($I9="""","""",IF($K$8&gt;0,"""",IF(COUNT($I$6:$I$13)&gt;1,0.9,1)*IF(VLOOKUP(LEFT(N$37,SEARCH(""☃"",SUBSTITUTE(N$37,"" "",""☃"",LEN(N$37)-LEN(SUBSTITUTE(N$37,"" "",""""))))-1),Excepciones!$A:$B,2,0)&gt;=0,IFERROR(INDEX(FILTER(Precios!$D:$D,(Precios!$A:$A"&amp;"&lt;=$I9)*(Precios!$B:$B&gt;=$I9)*(Precios!$C:$C=N$37)),1)*(1-$K$6),""No asegurable""),""No asegurable""))),"""")
"),35.1)</f>
        <v/>
      </c>
      <c r="O60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9)*(Precios!$B:$B&gt;=$I9)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"",""""))))-1),Excepciones!$A:$B,2,0)&gt;=0,IFERROR(INDEX(FILTER"&amp;"(Precios!$D:$D,(Precios!$A:$A&lt;=$I9)*(Precios!$B:$B&gt;=$I9)*(Precios!$C:$C=O$37)),1)*(IF($K$10=""Sí"",0.94,1)),""""),"""")),"""")
"),146.70000000000002)</f>
        <v/>
      </c>
      <c r="P60" s="136" t="n"/>
      <c r="Q60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9)*(Precios!$B:$B&gt;=$I9)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"",""""))))-1),Excepciones!$A:$B,2,0)&gt;=0,IFERROR(INDEX(FILTER"&amp;"(Precios!$D:$D,(Precios!$A:$A&lt;=$I9)*(Precios!$B:$B&gt;=$I9)*(Precios!$C:$C=Q$37)),1)*(IF($K$10=""Sí"",0.94,1)),""""),"""")),"""")
"),150.3)</f>
        <v/>
      </c>
      <c r="R60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9)*(Precios!$B:$B&gt;=$I9)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"",""""))))-1),Excepciones!$A:$B,2,0)&gt;=0,IFERROR(INDEX(FILTER"&amp;"(Precios!$D:$D,(Precios!$A:$A&lt;=$I9)*(Precios!$B:$B&gt;=$I9)*(Precios!$C:$C=R$37)),1)*(IF($K$10=""Sí"",0.94,1)),""""),"""")),"""")
"),229.5)</f>
        <v/>
      </c>
      <c r="S60" s="136" t="n"/>
      <c r="T60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9)*(Precios!$B:$B&gt;=$I9)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"",""""))))-1),Excepciones!$A:$B,2,0)&gt;=0,IFERROR(INDEX(FILTER"&amp;"(Precios!$D:$D,(Precios!$A:$A&lt;=$I9)*(Precios!$B:$B&gt;=$I9)*(Precios!$C:$C=T$37)),1)*(IF($K$10=""Sí"",0.94,1)),""""),"""")),"""")
"),270.90000000000003)</f>
        <v/>
      </c>
      <c r="U60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9)*(Precios!$B:$B&gt;=$I9)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"",""""))))-1),Excepciones!$A:$B,2,0)&gt;=0,IFERROR(INDEX(FILT"&amp;"ER(Precios!$D:$D,(Precios!$A:$A&lt;=$I9)*(Precios!$B:$B&gt;=$I9)*(Precios!$C:$C=U$37)),1)*(IF($K$10=""Sí"",0.94,1)),""""),"""")),"""")
"),"")</f>
        <v/>
      </c>
      <c r="V60" s="48" t="n"/>
      <c r="W60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"",""""))))-1),Excepciones!$A:$B,2,0)&gt;=0,IFERROR(INDEX(filter(Precios!$D:$D,(Precios!$A:$A&lt;=$I9)*(Precios!$B:$B&gt;=$I9)*(Precios!$C:$C=W$"&amp;"37)),1)*1,""""),"""")),"""")"),238.0)</f>
        <v/>
      </c>
      <c r="X60" s="137" t="n"/>
      <c r="Y60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60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/>
      </c>
      <c r="AA60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/>
      </c>
      <c r="AB60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/>
      </c>
      <c r="AC60" s="138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/>
      </c>
      <c r="AD60" s="5" t="n"/>
      <c r="AE60" s="5" t="n"/>
      <c r="AF60" s="5" t="n"/>
      <c r="AG60" s="5" t="n"/>
      <c r="AH60" s="125" t="n"/>
      <c r="AI60" s="125" t="n"/>
      <c r="AJ60" s="5" t="n"/>
      <c r="AK60" s="125" t="n"/>
      <c r="AL60" s="125" t="n"/>
    </row>
    <row r="61" ht="26.25" customHeight="1" s="241">
      <c r="L61" s="116" t="n">
        <v>5</v>
      </c>
      <c r="M61" s="48" t="n"/>
      <c r="N61" s="48">
        <f>IFERROR(__xludf.DUMMYFUNCTION("IFERROR(IF($I10="""","""",IF($K$8&gt;0,"""",IF(COUNT($I$6:$I$13)&gt;1,0.9,1)*IF(VLOOKUP(LEFT(N$37,SEARCH(""☃"",SUBSTITUTE(N$37,"" "",""☃"",LEN(N$37)-LEN(SUBSTITUTE(N$37,"" "",""""))))-1),Excepciones!$A:$B,2,0)&gt;=0,IFERROR(INDEX(FILTER(Precios!$D:$D,(Precios!$A:$"&amp;"A&lt;=$I10)*(Precios!$B:$B&gt;=$I10)*(Precios!$C:$C=N$37)),1)*(1-$K$6),""No asegurable""),""No asegurable""))),"""")
"),"")</f>
        <v/>
      </c>
      <c r="O61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10)*(Precios!$B:$B&gt;=$I10)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"",""""))))-1),Excepciones!$A:$B,2,0)&gt;=0,IFERROR(INDEX(FILT"&amp;"ER(Precios!$D:$D,(Precios!$A:$A&lt;=$I10)*(Precios!$B:$B&gt;=$I10)*(Precios!$C:$C=O$37)),1)*(IF($K$10=""Sí"",0.94,1)),""""),"""")),"""")
"),"")</f>
        <v/>
      </c>
      <c r="P61" s="136" t="n"/>
      <c r="Q61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10)*(Precios!$B:$B&gt;=$I10)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"",""""))))-1),Excepciones!$A:$B,2,0)&gt;=0,IFERROR(INDEX(FILT"&amp;"ER(Precios!$D:$D,(Precios!$A:$A&lt;=$I10)*(Precios!$B:$B&gt;=$I10)*(Precios!$C:$C=Q$37)),1)*(IF($K$10=""Sí"",0.94,1)),""""),"""")),"""")
"),"")</f>
        <v/>
      </c>
      <c r="R61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10)*(Precios!$B:$B&gt;=$I10)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"",""""))))-1),Excepciones!$A:$B,2,0)&gt;=0,IFERROR(INDEX(FILT"&amp;"ER(Precios!$D:$D,(Precios!$A:$A&lt;=$I10)*(Precios!$B:$B&gt;=$I10)*(Precios!$C:$C=R$37)),1)*(IF($K$10=""Sí"",0.94,1)),""""),"""")),"""")
"),"")</f>
        <v/>
      </c>
      <c r="S61" s="136" t="n"/>
      <c r="T61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10)*(Precios!$B:$B&gt;=$I10)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"",""""))))-1),Excepciones!$A:$B,2,0)&gt;=0,IFERROR(INDEX(FILT"&amp;"ER(Precios!$D:$D,(Precios!$A:$A&lt;=$I10)*(Precios!$B:$B&gt;=$I10)*(Precios!$C:$C=T$37)),1)*(IF($K$10=""Sí"",0.94,1)),""""),"""")),"""")
"),"")</f>
        <v/>
      </c>
      <c r="U61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10)*(Precios!$B:$B&gt;=$I10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"",""""))))-1),Excepciones!$A:$B,2,0)&gt;=0,IFERROR(INDEX(FI"&amp;"LTER(Precios!$D:$D,(Precios!$A:$A&lt;=$I10)*(Precios!$B:$B&gt;=$I10)*(Precios!$C:$C=U$37)),1)*(IF($K$10=""Sí"",0.94,1)),""""),"""")),"""")
"),"")</f>
        <v/>
      </c>
      <c r="V61" s="48" t="n"/>
      <c r="W61" s="48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"",""""))))-1),Excepciones!$A:$B,2,0)&gt;=0,IFERROR(INDEX(filter(Precios!$D:$D,(Precios!$A:$A&lt;=$I10)*(Precios!$B:$B&gt;=$I10)*(Precios!$C:$C"&amp;"=W$37)),1)*1,""""),"""")),"""")"),"")</f>
        <v/>
      </c>
      <c r="X61" s="137" t="n"/>
      <c r="Y61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61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61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61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61" s="138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61" s="5" t="n"/>
      <c r="AE61" s="5" t="n"/>
      <c r="AF61" s="5" t="n"/>
      <c r="AG61" s="5" t="n"/>
      <c r="AH61" s="125" t="n"/>
      <c r="AI61" s="125" t="n"/>
      <c r="AJ61" s="5" t="n"/>
      <c r="AK61" s="125" t="n"/>
      <c r="AL61" s="125" t="n"/>
    </row>
    <row r="62" ht="26.25" customHeight="1" s="241">
      <c r="L62" s="116" t="n">
        <v>6</v>
      </c>
      <c r="M62" s="48" t="n"/>
      <c r="N62" s="48">
        <f>IFERROR(__xludf.DUMMYFUNCTION("IFERROR(IF($I11="""","""",IF($K$8&gt;0,"""",IF(COUNT($I$6:$I$13)&gt;1,0.9,1)*IF(VLOOKUP(LEFT(N$37,SEARCH(""☃"",SUBSTITUTE(N$37,"" "",""☃"",LEN(N$37)-LEN(SUBSTITUTE(N$37,"" "",""""))))-1),Excepciones!$A:$B,2,0)&gt;=0,IFERROR(INDEX(FILTER(Precios!$D:$D,(Precios!$A:$"&amp;"A&lt;=$I11)*(Precios!$B:$B&gt;=$I11)*(Precios!$C:$C=N$37)),1)*(1-$K$6),""No asegurable""),""No asegurable""))),"""")
"),"")</f>
        <v/>
      </c>
      <c r="O62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11)*(Precios!$B:$B&gt;=$I11)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"",""""))))-1),Excepciones!$A:$B,2,0)&gt;=0,IFERROR(INDEX(FILT"&amp;"ER(Precios!$D:$D,(Precios!$A:$A&lt;=$I11)*(Precios!$B:$B&gt;=$I11)*(Precios!$C:$C=O$37)),1)*(IF($K$10=""Sí"",0.94,1)),""""),"""")),"""")
"),"")</f>
        <v/>
      </c>
      <c r="P62" s="136" t="n"/>
      <c r="Q62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11)*(Precios!$B:$B&gt;=$I11)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"",""""))))-1),Excepciones!$A:$B,2,0)&gt;=0,IFERROR(INDEX(FILT"&amp;"ER(Precios!$D:$D,(Precios!$A:$A&lt;=$I11)*(Precios!$B:$B&gt;=$I11)*(Precios!$C:$C=Q$37)),1)*(IF($K$10=""Sí"",0.94,1)),""""),"""")),"""")
"),"")</f>
        <v/>
      </c>
      <c r="R62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11)*(Precios!$B:$B&gt;=$I11)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"",""""))))-1),Excepciones!$A:$B,2,0)&gt;=0,IFERROR(INDEX(FILT"&amp;"ER(Precios!$D:$D,(Precios!$A:$A&lt;=$I11)*(Precios!$B:$B&gt;=$I11)*(Precios!$C:$C=R$37)),1)*(IF($K$10=""Sí"",0.94,1)),""""),"""")),"""")
"),"")</f>
        <v/>
      </c>
      <c r="S62" s="136" t="n"/>
      <c r="T62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11)*(Precios!$B:$B&gt;=$I11)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"",""""))))-1),Excepciones!$A:$B,2,0)&gt;=0,IFERROR(INDEX(FILT"&amp;"ER(Precios!$D:$D,(Precios!$A:$A&lt;=$I11)*(Precios!$B:$B&gt;=$I11)*(Precios!$C:$C=T$37)),1)*(IF($K$10=""Sí"",0.94,1)),""""),"""")),"""")
"),"")</f>
        <v/>
      </c>
      <c r="U62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11)*(Precios!$B:$B&gt;=$I11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"",""""))))-1),Excepciones!$A:$B,2,0)&gt;=0,IFERROR(INDEX(FI"&amp;"LTER(Precios!$D:$D,(Precios!$A:$A&lt;=$I11)*(Precios!$B:$B&gt;=$I11)*(Precios!$C:$C=U$37)),1)*(IF($K$10=""Sí"",0.94,1)),""""),"""")),"""")
"),"")</f>
        <v/>
      </c>
      <c r="V62" s="48" t="n"/>
      <c r="W62" s="48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"",""""))))-1),Excepciones!$A:$B,2,0)&gt;=0,IFERROR(INDEX(filter(Precios!$D:$D,(Precios!$A:$A&lt;=$I11)*(Precios!$B:$B&gt;=$I11)*(Precios!$C:$C"&amp;"=W$37)),1)*1,""""),"""")),"""")"),"")</f>
        <v/>
      </c>
      <c r="X62" s="137" t="n"/>
      <c r="Y62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62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62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62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62" s="138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62" s="5" t="n"/>
      <c r="AE62" s="5" t="n"/>
      <c r="AF62" s="5" t="n"/>
      <c r="AG62" s="5" t="n"/>
      <c r="AH62" s="125" t="n"/>
      <c r="AI62" s="125" t="n"/>
      <c r="AJ62" s="5" t="n"/>
      <c r="AK62" s="125" t="n"/>
      <c r="AL62" s="125" t="n"/>
    </row>
    <row r="63" ht="26.25" customHeight="1" s="241">
      <c r="L63" s="116" t="n">
        <v>7</v>
      </c>
      <c r="M63" s="48" t="n"/>
      <c r="N63" s="48">
        <f>IFERROR(__xludf.DUMMYFUNCTION("IFERROR(IF($I12="""","""",IF($K$8&gt;0,"""",IF(COUNT($I$6:$I$13)&gt;1,0.9,1)*IF(VLOOKUP(LEFT(N$37,SEARCH(""☃"",SUBSTITUTE(N$37,"" "",""☃"",LEN(N$37)-LEN(SUBSTITUTE(N$37,"" "",""""))))-1),Excepciones!$A:$B,2,0)&gt;=0,IFERROR(INDEX(FILTER(Precios!$D:$D,(Precios!$A:$"&amp;"A&lt;=$I12)*(Precios!$B:$B&gt;=$I12)*(Precios!$C:$C=N$37)),1)*(1-$K$6),""No asegurable""),""No asegurable""))),"""")
"),"")</f>
        <v/>
      </c>
      <c r="O63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12)*(Precios!$B:$B&gt;=$I12)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"",""""))))-1),Excepciones!$A:$B,2,0)&gt;=0,IFERROR(INDEX(FILT"&amp;"ER(Precios!$D:$D,(Precios!$A:$A&lt;=$I12)*(Precios!$B:$B&gt;=$I12)*(Precios!$C:$C=O$37)),1)*(IF($K$10=""Sí"",0.94,1)),""""),"""")),"""")
"),"")</f>
        <v/>
      </c>
      <c r="P63" s="136" t="n"/>
      <c r="Q63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12)*(Precios!$B:$B&gt;=$I12)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"",""""))))-1),Excepciones!$A:$B,2,0)&gt;=0,IFERROR(INDEX(FILT"&amp;"ER(Precios!$D:$D,(Precios!$A:$A&lt;=$I12)*(Precios!$B:$B&gt;=$I12)*(Precios!$C:$C=Q$37)),1)*(IF($K$10=""Sí"",0.94,1)),""""),"""")),"""")
"),"")</f>
        <v/>
      </c>
      <c r="R63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12)*(Precios!$B:$B&gt;=$I12)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"",""""))))-1),Excepciones!$A:$B,2,0)&gt;=0,IFERROR(INDEX(FILT"&amp;"ER(Precios!$D:$D,(Precios!$A:$A&lt;=$I12)*(Precios!$B:$B&gt;=$I12)*(Precios!$C:$C=R$37)),1)*(IF($K$10=""Sí"",0.94,1)),""""),"""")),"""")
"),"")</f>
        <v/>
      </c>
      <c r="S63" s="136" t="n"/>
      <c r="T63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12)*(Precios!$B:$B&gt;=$I12)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"",""""))))-1),Excepciones!$A:$B,2,0)&gt;=0,IFERROR(INDEX(FILT"&amp;"ER(Precios!$D:$D,(Precios!$A:$A&lt;=$I12)*(Precios!$B:$B&gt;=$I12)*(Precios!$C:$C=T$37)),1)*(IF($K$10=""Sí"",0.94,1)),""""),"""")),"""")
"),"")</f>
        <v/>
      </c>
      <c r="U63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12)*(Precios!$B:$B&gt;=$I12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"",""""))))-1),Excepciones!$A:$B,2,0)&gt;=0,IFERROR(INDEX(FI"&amp;"LTER(Precios!$D:$D,(Precios!$A:$A&lt;=$I12)*(Precios!$B:$B&gt;=$I12)*(Precios!$C:$C=U$37)),1)*(IF($K$10=""Sí"",0.94,1)),""""),"""")),"""")
"),"")</f>
        <v/>
      </c>
      <c r="V63" s="48" t="n"/>
      <c r="W63" s="48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"",""""))))-1),Excepciones!$A:$B,2,0)&gt;=0,IFERROR(INDEX(filter(Precios!$D:$D,(Precios!$A:$A&lt;=$I12)*(Precios!$B:$B&gt;=$I12)*(Precios!$C:$C"&amp;"=W$37)),1)*1,""""),"""")),"""")"),"")</f>
        <v/>
      </c>
      <c r="X63" s="137" t="n"/>
      <c r="Y63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63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63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63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63" s="138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63" s="5" t="n"/>
      <c r="AE63" s="5" t="n"/>
      <c r="AF63" s="5" t="n"/>
      <c r="AG63" s="5" t="n"/>
      <c r="AH63" s="125" t="n"/>
      <c r="AI63" s="125" t="n"/>
      <c r="AJ63" s="5" t="n"/>
      <c r="AK63" s="125" t="n"/>
      <c r="AL63" s="125" t="n"/>
    </row>
    <row r="64" ht="22.5" customHeight="1" s="241">
      <c r="L64" s="116" t="n">
        <v>8</v>
      </c>
      <c r="M64" s="48" t="n"/>
      <c r="N64" s="48">
        <f>IFERROR(__xludf.DUMMYFUNCTION("IFERROR(IF($I13="""","""",IF($K$8&gt;0,"""",IF(COUNT($I$6:$I$13)&gt;1,0.9,1)*IF(VLOOKUP(LEFT(N$37,SEARCH(""☃"",SUBSTITUTE(N$37,"" "",""☃"",LEN(N$37)-LEN(SUBSTITUTE(N$37,"" "",""""))))-1),Excepciones!$A:$B,2,0)&gt;=0,IFERROR(INDEX(FILTER(Precios!$D:$D,(Precios!$A:$"&amp;"A&lt;=$I13)*(Precios!$B:$B&gt;=$I13)*(Precios!$C:$C=N$37)),1)*(1-$K$6),""No asegurable""),""No asegurable""))),"""")
"),"")</f>
        <v/>
      </c>
      <c r="O64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13)*(Precios!$B:$B&gt;=$I13)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"",""""))))-1),Excepciones!$A:$B,2,0)&gt;=0,IFERROR(INDEX(FILT"&amp;"ER(Precios!$D:$D,(Precios!$A:$A&lt;=$I13)*(Precios!$B:$B&gt;=$I13)*(Precios!$C:$C=O$37)),1)*(IF($K$10=""Sí"",0.94,1)),""""),"""")),"""")
"),"")</f>
        <v/>
      </c>
      <c r="P64" s="136" t="n"/>
      <c r="Q64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13)*(Precios!$B:$B&gt;=$I13)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"",""""))))-1),Excepciones!$A:$B,2,0)&gt;=0,IFERROR(INDEX(FILT"&amp;"ER(Precios!$D:$D,(Precios!$A:$A&lt;=$I13)*(Precios!$B:$B&gt;=$I13)*(Precios!$C:$C=Q$37)),1)*(IF($K$10=""Sí"",0.94,1)),""""),"""")),"""")
"),"")</f>
        <v/>
      </c>
      <c r="R64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13)*(Precios!$B:$B&gt;=$I13)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"",""""))))-1),Excepciones!$A:$B,2,0)&gt;=0,IFERROR(INDEX(FILT"&amp;"ER(Precios!$D:$D,(Precios!$A:$A&lt;=$I13)*(Precios!$B:$B&gt;=$I13)*(Precios!$C:$C=R$37)),1)*(IF($K$10=""Sí"",0.94,1)),""""),"""")),"""")
"),"")</f>
        <v/>
      </c>
      <c r="S64" s="136" t="n"/>
      <c r="T64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13)*(Precios!$B:$B&gt;=$I13)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"",""""))))-1),Excepciones!$A:$B,2,0)&gt;=0,IFERROR(INDEX(FILT"&amp;"ER(Precios!$D:$D,(Precios!$A:$A&lt;=$I13)*(Precios!$B:$B&gt;=$I13)*(Precios!$C:$C=T$37)),1)*(IF($K$10=""Sí"",0.94,1)),""""),"""")),"""")
"),"")</f>
        <v/>
      </c>
      <c r="U64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13)*(Precios!$B:$B&gt;=$I13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"",""""))))-1),Excepciones!$A:$B,2,0)&gt;=0,IFERROR(INDEX(FI"&amp;"LTER(Precios!$D:$D,(Precios!$A:$A&lt;=$I13)*(Precios!$B:$B&gt;=$I13)*(Precios!$C:$C=U$37)),1)*(IF($K$10=""Sí"",0.94,1)),""""),"""")),"""")
"),"")</f>
        <v/>
      </c>
      <c r="V64" s="48" t="n"/>
      <c r="W64" s="48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"",""""))))-1),Excepciones!$A:$B,2,0)&gt;=0,IFERROR(INDEX(filter(Precios!$D:$D,(Precios!$A:$A&lt;=$I13)*(Precios!$B:$B&gt;=$I13)*(Precios!$C:$C"&amp;"=W$37)),1)*1,""""),"""")),"""")"),"")</f>
        <v/>
      </c>
      <c r="X64" s="137" t="n"/>
      <c r="Y64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64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64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64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64" s="138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64" s="5" t="n"/>
      <c r="AE64" s="5" t="n"/>
      <c r="AF64" s="5" t="n"/>
      <c r="AG64" s="5" t="n"/>
      <c r="AH64" s="125" t="n"/>
      <c r="AI64" s="125" t="n"/>
      <c r="AJ64" s="5" t="n"/>
      <c r="AK64" s="125" t="n"/>
      <c r="AL64" s="125" t="n"/>
    </row>
    <row r="65" ht="22.5" customHeight="1" s="241">
      <c r="L65" s="116" t="n">
        <v>9</v>
      </c>
      <c r="M65" s="48" t="n"/>
      <c r="N65" s="48">
        <f>IFERROR(__xludf.DUMMYFUNCTION("IFERROR(IF($I14="""","""",IF($K$8&gt;0,"""",IF(COUNT($I$6:$I$13)&gt;1,0.9,1)*IF(VLOOKUP(LEFT(N$37,SEARCH(""☃"",SUBSTITUTE(N$37,"" "",""☃"",LEN(N$37)-LEN(SUBSTITUTE(N$37,"" "",""""))))-1),Excepciones!$A:$B,2,0)&gt;=0,IFERROR(INDEX(FILTER(Precios!$D:$D,(Precios!$A:$"&amp;"A&lt;=$I14)*(Precios!$B:$B&gt;=$I14)*(Precios!$C:$C=N$37)),1)*(1-$K$6),""No asegurable""),""No asegurable""))),"""")
"),"")</f>
        <v/>
      </c>
      <c r="O65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14)*(Precios!$B:$B&gt;=$I14)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"",""""))))-1),Excepciones!$A:$B,2,0)&gt;=0,IFERROR(INDEX(FILT"&amp;"ER(Precios!$D:$D,(Precios!$A:$A&lt;=$I14)*(Precios!$B:$B&gt;=$I14)*(Precios!$C:$C=O$37)),1)*(IF($K$10=""Sí"",0.94,1)),""""),"""")),"""")
"),"")</f>
        <v/>
      </c>
      <c r="P65" s="136" t="n"/>
      <c r="Q65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14)*(Precios!$B:$B&gt;=$I14)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"",""""))))-1),Excepciones!$A:$B,2,0)&gt;=0,IFERROR(INDEX(FILT"&amp;"ER(Precios!$D:$D,(Precios!$A:$A&lt;=$I14)*(Precios!$B:$B&gt;=$I14)*(Precios!$C:$C=Q$37)),1)*(IF($K$10=""Sí"",0.94,1)),""""),"""")),"""")
"),"")</f>
        <v/>
      </c>
      <c r="R65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14)*(Precios!$B:$B&gt;=$I14)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"",""""))))-1),Excepciones!$A:$B,2,0)&gt;=0,IFERROR(INDEX(FILT"&amp;"ER(Precios!$D:$D,(Precios!$A:$A&lt;=$I14)*(Precios!$B:$B&gt;=$I14)*(Precios!$C:$C=R$37)),1)*(IF($K$10=""Sí"",0.94,1)),""""),"""")),"""")
"),"")</f>
        <v/>
      </c>
      <c r="S65" s="136" t="n"/>
      <c r="T65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14)*(Precios!$B:$B&gt;=$I14)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"",""""))))-1),Excepciones!$A:$B,2,0)&gt;=0,IFERROR(INDEX(FILT"&amp;"ER(Precios!$D:$D,(Precios!$A:$A&lt;=$I14)*(Precios!$B:$B&gt;=$I14)*(Precios!$C:$C=T$37)),1)*(IF($K$10=""Sí"",0.94,1)),""""),"""")),"""")
"),"")</f>
        <v/>
      </c>
      <c r="U65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14)*(Precios!$B:$B&gt;=$I14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"",""""))))-1),Excepciones!$A:$B,2,0)&gt;=0,IFERROR(INDEX(FI"&amp;"LTER(Precios!$D:$D,(Precios!$A:$A&lt;=$I14)*(Precios!$B:$B&gt;=$I14)*(Precios!$C:$C=U$37)),1)*(IF($K$10=""Sí"",0.94,1)),""""),"""")),"""")
"),"")</f>
        <v/>
      </c>
      <c r="V65" s="48" t="n"/>
      <c r="W65" s="48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"",""""))))-1),Excepciones!$A:$B,2,0)&gt;=0,IFERROR(INDEX(filter(Precios!$D:$D,(Precios!$A:$A&lt;=$I14)*(Precios!$B:$B&gt;=$I14)*(Precios!$C:$C"&amp;"=W$37)),1)*1,""""),"""")),"""")"),"")</f>
        <v/>
      </c>
      <c r="X65" s="137" t="n"/>
      <c r="Y65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65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65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65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65" s="138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65" s="5" t="n"/>
      <c r="AE65" s="5" t="n"/>
      <c r="AF65" s="5" t="n"/>
      <c r="AG65" s="5" t="n"/>
      <c r="AH65" s="125" t="n"/>
      <c r="AI65" s="125" t="n"/>
      <c r="AJ65" s="5" t="n"/>
      <c r="AK65" s="125" t="n"/>
      <c r="AL65" s="125" t="n"/>
    </row>
    <row r="66" ht="22.5" customHeight="1" s="241">
      <c r="L66" s="116" t="n">
        <v>10</v>
      </c>
      <c r="M66" s="48" t="n"/>
      <c r="N66" s="48">
        <f>IFERROR(__xludf.DUMMYFUNCTION("IFERROR(IF($I15="""","""",IF($K$8&gt;0,"""",IF(COUNT($I$6:$I$13)&gt;1,0.9,1)*IF(VLOOKUP(LEFT(N$37,SEARCH(""☃"",SUBSTITUTE(N$37,"" "",""☃"",LEN(N$37)-LEN(SUBSTITUTE(N$37,"" "",""""))))-1),Excepciones!$A:$B,2,0)&gt;=0,IFERROR(INDEX(FILTER(Precios!$D:$D,(Precios!$A:$"&amp;"A&lt;=$I15)*(Precios!$B:$B&gt;=$I15)*(Precios!$C:$C=N$37)),1)*(1-$K$6),""No asegurable""),""No asegurable""))),"""")
"),"")</f>
        <v/>
      </c>
      <c r="O66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15)*(Precios!$B:$B&gt;=$I15)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"",""""))))-1),Excepciones!$A:$B,2,0)&gt;=0,IFERROR(INDEX(FILT"&amp;"ER(Precios!$D:$D,(Precios!$A:$A&lt;=$I15)*(Precios!$B:$B&gt;=$I15)*(Precios!$C:$C=O$37)),1)*(IF($K$10=""Sí"",0.94,1)),""""),"""")),"""")
"),"")</f>
        <v/>
      </c>
      <c r="P66" s="136" t="n"/>
      <c r="Q66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15)*(Precios!$B:$B&gt;=$I15)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"",""""))))-1),Excepciones!$A:$B,2,0)&gt;=0,IFERROR(INDEX(FILT"&amp;"ER(Precios!$D:$D,(Precios!$A:$A&lt;=$I15)*(Precios!$B:$B&gt;=$I15)*(Precios!$C:$C=Q$37)),1)*(IF($K$10=""Sí"",0.94,1)),""""),"""")),"""")
"),"")</f>
        <v/>
      </c>
      <c r="R66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15)*(Precios!$B:$B&gt;=$I15)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"",""""))))-1),Excepciones!$A:$B,2,0)&gt;=0,IFERROR(INDEX(FILT"&amp;"ER(Precios!$D:$D,(Precios!$A:$A&lt;=$I15)*(Precios!$B:$B&gt;=$I15)*(Precios!$C:$C=R$37)),1)*(IF($K$10=""Sí"",0.94,1)),""""),"""")),"""")
"),"")</f>
        <v/>
      </c>
      <c r="S66" s="136" t="n"/>
      <c r="T66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15)*(Precios!$B:$B&gt;=$I15)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"",""""))))-1),Excepciones!$A:$B,2,0)&gt;=0,IFERROR(INDEX(FILT"&amp;"ER(Precios!$D:$D,(Precios!$A:$A&lt;=$I15)*(Precios!$B:$B&gt;=$I15)*(Precios!$C:$C=T$37)),1)*(IF($K$10=""Sí"",0.94,1)),""""),"""")),"""")
"),"")</f>
        <v/>
      </c>
      <c r="U66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15)*(Precios!$B:$B&gt;=$I15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"",""""))))-1),Excepciones!$A:$B,2,0)&gt;=0,IFERROR(INDEX(FI"&amp;"LTER(Precios!$D:$D,(Precios!$A:$A&lt;=$I15)*(Precios!$B:$B&gt;=$I15)*(Precios!$C:$C=U$37)),1)*(IF($K$10=""Sí"",0.94,1)),""""),"""")),"""")
"),"")</f>
        <v/>
      </c>
      <c r="V66" s="48" t="n"/>
      <c r="W66" s="48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"",""""))))-1),Excepciones!$A:$B,2,0)&gt;=0,IFERROR(INDEX(filter(Precios!$D:$D,(Precios!$A:$A&lt;=$I15)*(Precios!$B:$B&gt;=$I15)*(Precios!$C:$C"&amp;"=W$37)),1)*1,""""),"""")),"""")"),"")</f>
        <v/>
      </c>
      <c r="X66" s="137" t="n"/>
      <c r="Y66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66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66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66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66" s="138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66" s="5" t="n"/>
      <c r="AE66" s="5" t="n"/>
      <c r="AF66" s="5" t="n"/>
      <c r="AG66" s="5" t="n"/>
      <c r="AH66" s="125" t="n"/>
      <c r="AI66" s="125" t="n"/>
      <c r="AJ66" s="5" t="n"/>
      <c r="AK66" s="125" t="n"/>
      <c r="AL66" s="125" t="n"/>
    </row>
    <row r="67" ht="22.5" customHeight="1" s="241">
      <c r="L67" s="116" t="n">
        <v>11</v>
      </c>
      <c r="M67" s="48" t="n"/>
      <c r="N67" s="48">
        <f>IFERROR(__xludf.DUMMYFUNCTION("IFERROR(IF($I16="""","""",IF($K$8&gt;0,"""",IF(COUNT($I$6:$I$13)&gt;1,0.9,1)*IF(VLOOKUP(LEFT(N$37,SEARCH(""☃"",SUBSTITUTE(N$37,"" "",""☃"",LEN(N$37)-LEN(SUBSTITUTE(N$37,"" "",""""))))-1),Excepciones!$A:$B,2,0)&gt;=0,IFERROR(INDEX(FILTER(Precios!$D:$D,(Precios!$A:$"&amp;"A&lt;=$I16)*(Precios!$B:$B&gt;=$I16)*(Precios!$C:$C=N$37)),1)*(1-$K$6),""No asegurable""),""No asegurable""))),"""")
"),"")</f>
        <v/>
      </c>
      <c r="O67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16)*(Precios!$B:$B&gt;=$I16)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"",""""))))-1),Excepciones!$A:$B,2,0)&gt;=0,IFERROR(INDEX(FILT"&amp;"ER(Precios!$D:$D,(Precios!$A:$A&lt;=$I16)*(Precios!$B:$B&gt;=$I16)*(Precios!$C:$C=O$37)),1)*(IF($K$10=""Sí"",0.94,1)),""""),"""")),"""")
"),"")</f>
        <v/>
      </c>
      <c r="P67" s="136" t="n"/>
      <c r="Q67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16)*(Precios!$B:$B&gt;=$I16)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"",""""))))-1),Excepciones!$A:$B,2,0)&gt;=0,IFERROR(INDEX(FILT"&amp;"ER(Precios!$D:$D,(Precios!$A:$A&lt;=$I16)*(Precios!$B:$B&gt;=$I16)*(Precios!$C:$C=Q$37)),1)*(IF($K$10=""Sí"",0.94,1)),""""),"""")),"""")
"),"")</f>
        <v/>
      </c>
      <c r="R67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16)*(Precios!$B:$B&gt;=$I16)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"",""""))))-1),Excepciones!$A:$B,2,0)&gt;=0,IFERROR(INDEX(FILT"&amp;"ER(Precios!$D:$D,(Precios!$A:$A&lt;=$I16)*(Precios!$B:$B&gt;=$I16)*(Precios!$C:$C=R$37)),1)*(IF($K$10=""Sí"",0.94,1)),""""),"""")),"""")
"),"")</f>
        <v/>
      </c>
      <c r="S67" s="136" t="n"/>
      <c r="T67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16)*(Precios!$B:$B&gt;=$I16)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"",""""))))-1),Excepciones!$A:$B,2,0)&gt;=0,IFERROR(INDEX(FILT"&amp;"ER(Precios!$D:$D,(Precios!$A:$A&lt;=$I16)*(Precios!$B:$B&gt;=$I16)*(Precios!$C:$C=T$37)),1)*(IF($K$10=""Sí"",0.94,1)),""""),"""")),"""")
"),"")</f>
        <v/>
      </c>
      <c r="U67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16)*(Precios!$B:$B&gt;=$I16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"",""""))))-1),Excepciones!$A:$B,2,0)&gt;=0,IFERROR(INDEX(FI"&amp;"LTER(Precios!$D:$D,(Precios!$A:$A&lt;=$I16)*(Precios!$B:$B&gt;=$I16)*(Precios!$C:$C=U$37)),1)*(IF($K$10=""Sí"",0.94,1)),""""),"""")),"""")
"),"")</f>
        <v/>
      </c>
      <c r="V67" s="48" t="n"/>
      <c r="W67" s="48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"",""""))))-1),Excepciones!$A:$B,2,0)&gt;=0,IFERROR(INDEX(filter(Precios!$D:$D,(Precios!$A:$A&lt;=$I16)*(Precios!$B:$B&gt;=$I16)*(Precios!$C:$C"&amp;"=W$37)),1)*1,""""),"""")),"""")"),"")</f>
        <v/>
      </c>
      <c r="X67" s="137" t="n"/>
      <c r="Y67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67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67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67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67" s="138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67" s="5" t="n"/>
      <c r="AE67" s="5" t="n"/>
      <c r="AF67" s="5" t="n"/>
      <c r="AG67" s="5" t="n"/>
      <c r="AH67" s="125" t="n"/>
      <c r="AI67" s="125" t="n"/>
      <c r="AJ67" s="5" t="n"/>
      <c r="AK67" s="125" t="n"/>
      <c r="AL67" s="125" t="n"/>
    </row>
    <row r="68" ht="22.5" customHeight="1" s="241">
      <c r="L68" s="116" t="n">
        <v>12</v>
      </c>
      <c r="M68" s="48" t="n"/>
      <c r="N68" s="48">
        <f>IFERROR(__xludf.DUMMYFUNCTION("IFERROR(IF($I17="""","""",IF($K$8&gt;0,"""",IF(COUNT($I$6:$I$13)&gt;1,0.9,1)*IF(VLOOKUP(LEFT(N$37,SEARCH(""☃"",SUBSTITUTE(N$37,"" "",""☃"",LEN(N$37)-LEN(SUBSTITUTE(N$37,"" "",""""))))-1),Excepciones!$A:$B,2,0)&gt;=0,IFERROR(INDEX(FILTER(Precios!$D:$D,(Precios!$A:$"&amp;"A&lt;=$I17)*(Precios!$B:$B&gt;=$I17)*(Precios!$C:$C=N$37)),1)*(1-$K$6),""No asegurable""),""No asegurable""))),"""")
"),"")</f>
        <v/>
      </c>
      <c r="O68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17)*(Precios!$B:$B&gt;=$I17)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"",""""))))-1),Excepciones!$A:$B,2,0)&gt;=0,IFERROR(INDEX(FILT"&amp;"ER(Precios!$D:$D,(Precios!$A:$A&lt;=$I17)*(Precios!$B:$B&gt;=$I17)*(Precios!$C:$C=O$37)),1)*(IF($K$10=""Sí"",0.94,1)),""""),"""")),"""")
"),"")</f>
        <v/>
      </c>
      <c r="P68" s="136" t="n"/>
      <c r="Q68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17)*(Precios!$B:$B&gt;=$I17)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"",""""))))-1),Excepciones!$A:$B,2,0)&gt;=0,IFERROR(INDEX(FILT"&amp;"ER(Precios!$D:$D,(Precios!$A:$A&lt;=$I17)*(Precios!$B:$B&gt;=$I17)*(Precios!$C:$C=Q$37)),1)*(IF($K$10=""Sí"",0.94,1)),""""),"""")),"""")
"),"")</f>
        <v/>
      </c>
      <c r="R68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17)*(Precios!$B:$B&gt;=$I17)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"",""""))))-1),Excepciones!$A:$B,2,0)&gt;=0,IFERROR(INDEX(FILT"&amp;"ER(Precios!$D:$D,(Precios!$A:$A&lt;=$I17)*(Precios!$B:$B&gt;=$I17)*(Precios!$C:$C=R$37)),1)*(IF($K$10=""Sí"",0.94,1)),""""),"""")),"""")
"),"")</f>
        <v/>
      </c>
      <c r="S68" s="136" t="n"/>
      <c r="T68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17)*(Precios!$B:$B&gt;=$I17)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"",""""))))-1),Excepciones!$A:$B,2,0)&gt;=0,IFERROR(INDEX(FILT"&amp;"ER(Precios!$D:$D,(Precios!$A:$A&lt;=$I17)*(Precios!$B:$B&gt;=$I17)*(Precios!$C:$C=T$37)),1)*(IF($K$10=""Sí"",0.94,1)),""""),"""")),"""")
"),"")</f>
        <v/>
      </c>
      <c r="U68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17)*(Precios!$B:$B&gt;=$I17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"",""""))))-1),Excepciones!$A:$B,2,0)&gt;=0,IFERROR(INDEX(FI"&amp;"LTER(Precios!$D:$D,(Precios!$A:$A&lt;=$I17)*(Precios!$B:$B&gt;=$I17)*(Precios!$C:$C=U$37)),1)*(IF($K$10=""Sí"",0.94,1)),""""),"""")),"""")
"),"")</f>
        <v/>
      </c>
      <c r="V68" s="48" t="n"/>
      <c r="W68" s="48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"",""""))))-1),Excepciones!$A:$B,2,0)&gt;=0,IFERROR(INDEX(filter(Precios!$D:$D,(Precios!$A:$A&lt;=$I17)*(Precios!$B:$B&gt;=$I17)*(Precios!$C:$C"&amp;"=W$37)),1)*1,""""),"""")),"""")"),"")</f>
        <v/>
      </c>
      <c r="X68" s="137" t="n"/>
      <c r="Y68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68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68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68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68" s="138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68" s="5" t="n"/>
      <c r="AE68" s="5" t="n"/>
      <c r="AF68" s="5" t="n"/>
      <c r="AG68" s="5" t="n"/>
      <c r="AH68" s="125" t="n"/>
      <c r="AI68" s="125" t="n"/>
      <c r="AJ68" s="5" t="n"/>
      <c r="AK68" s="125" t="n"/>
      <c r="AL68" s="125" t="n"/>
    </row>
    <row r="69" ht="22.5" customHeight="1" s="241">
      <c r="L69" s="116" t="n">
        <v>13</v>
      </c>
      <c r="M69" s="48" t="n"/>
      <c r="N69" s="48">
        <f>IFERROR(__xludf.DUMMYFUNCTION("IFERROR(IF($I18="""","""",IF($K$8&gt;0,"""",IF(COUNT($I$6:$I$13)&gt;1,0.9,1)*IF(VLOOKUP(LEFT(N$37,SEARCH(""☃"",SUBSTITUTE(N$37,"" "",""☃"",LEN(N$37)-LEN(SUBSTITUTE(N$37,"" "",""""))))-1),Excepciones!$A:$B,2,0)&gt;=0,IFERROR(INDEX(FILTER(Precios!$D:$D,(Precios!$A:$"&amp;"A&lt;=$I18)*(Precios!$B:$B&gt;=$I18)*(Precios!$C:$C=N$37)),1)*(1-$K$6),""No asegurable""),""No asegurable""))),"""")
"),"")</f>
        <v/>
      </c>
      <c r="O69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18)*(Precios!$B:$B&gt;=$I18)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"",""""))))-1),Excepciones!$A:$B,2,0)&gt;=0,IFERROR(INDEX(FILT"&amp;"ER(Precios!$D:$D,(Precios!$A:$A&lt;=$I18)*(Precios!$B:$B&gt;=$I18)*(Precios!$C:$C=O$37)),1)*(IF($K$10=""Sí"",0.94,1)),""""),"""")),"""")
"),"")</f>
        <v/>
      </c>
      <c r="P69" s="136" t="n"/>
      <c r="Q69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18)*(Precios!$B:$B&gt;=$I18)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"",""""))))-1),Excepciones!$A:$B,2,0)&gt;=0,IFERROR(INDEX(FILT"&amp;"ER(Precios!$D:$D,(Precios!$A:$A&lt;=$I18)*(Precios!$B:$B&gt;=$I18)*(Precios!$C:$C=Q$37)),1)*(IF($K$10=""Sí"",0.94,1)),""""),"""")),"""")
"),"")</f>
        <v/>
      </c>
      <c r="R69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18)*(Precios!$B:$B&gt;=$I18)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"",""""))))-1),Excepciones!$A:$B,2,0)&gt;=0,IFERROR(INDEX(FILT"&amp;"ER(Precios!$D:$D,(Precios!$A:$A&lt;=$I18)*(Precios!$B:$B&gt;=$I18)*(Precios!$C:$C=R$37)),1)*(IF($K$10=""Sí"",0.94,1)),""""),"""")),"""")
"),"")</f>
        <v/>
      </c>
      <c r="S69" s="136" t="n"/>
      <c r="T69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18)*(Precios!$B:$B&gt;=$I18)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"",""""))))-1),Excepciones!$A:$B,2,0)&gt;=0,IFERROR(INDEX(FILT"&amp;"ER(Precios!$D:$D,(Precios!$A:$A&lt;=$I18)*(Precios!$B:$B&gt;=$I18)*(Precios!$C:$C=T$37)),1)*(IF($K$10=""Sí"",0.94,1)),""""),"""")),"""")
"),"")</f>
        <v/>
      </c>
      <c r="U69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18)*(Precios!$B:$B&gt;=$I18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"",""""))))-1),Excepciones!$A:$B,2,0)&gt;=0,IFERROR(INDEX(FI"&amp;"LTER(Precios!$D:$D,(Precios!$A:$A&lt;=$I18)*(Precios!$B:$B&gt;=$I18)*(Precios!$C:$C=U$37)),1)*(IF($K$10=""Sí"",0.94,1)),""""),"""")),"""")
"),"")</f>
        <v/>
      </c>
      <c r="V69" s="48" t="n"/>
      <c r="W69" s="48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"",""""))))-1),Excepciones!$A:$B,2,0)&gt;=0,IFERROR(INDEX(filter(Precios!$D:$D,(Precios!$A:$A&lt;=$I18)*(Precios!$B:$B&gt;=$I18)*(Precios!$C:$C"&amp;"=W$37)),1)*1,""""),"""")),"""")"),"")</f>
        <v/>
      </c>
      <c r="X69" s="137" t="n"/>
      <c r="Y69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69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69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69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69" s="138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69" s="5" t="n"/>
      <c r="AE69" s="5" t="n"/>
      <c r="AF69" s="5" t="n"/>
      <c r="AG69" s="5" t="n"/>
      <c r="AH69" s="125" t="n"/>
      <c r="AI69" s="125" t="n"/>
      <c r="AJ69" s="5" t="n"/>
      <c r="AK69" s="125" t="n"/>
      <c r="AL69" s="125" t="n"/>
    </row>
    <row r="70" ht="22.5" customHeight="1" s="241">
      <c r="L70" s="116" t="n">
        <v>14</v>
      </c>
      <c r="M70" s="48" t="n"/>
      <c r="N70" s="48">
        <f>IFERROR(__xludf.DUMMYFUNCTION("IFERROR(IF($I19="""","""",IF($K$8&gt;0,"""",IF(COUNT($I$6:$I$13)&gt;1,0.9,1)*IF(VLOOKUP(LEFT(N$37,SEARCH(""☃"",SUBSTITUTE(N$37,"" "",""☃"",LEN(N$37)-LEN(SUBSTITUTE(N$37,"" "",""""))))-1),Excepciones!$A:$B,2,0)&gt;=0,IFERROR(INDEX(FILTER(Precios!$D:$D,(Precios!$A:$"&amp;"A&lt;=$I19)*(Precios!$B:$B&gt;=$I19)*(Precios!$C:$C=N$37)),1)*(1-$K$6),""No asegurable""),""No asegurable""))),"""")
"),"")</f>
        <v/>
      </c>
      <c r="O70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19)*(Precios!$B:$B&gt;=$I19)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"",""""))))-1),Excepciones!$A:$B,2,0)&gt;=0,IFERROR(INDEX(FILT"&amp;"ER(Precios!$D:$D,(Precios!$A:$A&lt;=$I19)*(Precios!$B:$B&gt;=$I19)*(Precios!$C:$C=O$37)),1)*(IF($K$10=""Sí"",0.94,1)),""""),"""")),"""")
"),"")</f>
        <v/>
      </c>
      <c r="P70" s="136" t="n"/>
      <c r="Q70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19)*(Precios!$B:$B&gt;=$I19)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"",""""))))-1),Excepciones!$A:$B,2,0)&gt;=0,IFERROR(INDEX(FILT"&amp;"ER(Precios!$D:$D,(Precios!$A:$A&lt;=$I19)*(Precios!$B:$B&gt;=$I19)*(Precios!$C:$C=Q$37)),1)*(IF($K$10=""Sí"",0.94,1)),""""),"""")),"""")
"),"")</f>
        <v/>
      </c>
      <c r="R70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19)*(Precios!$B:$B&gt;=$I19)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"",""""))))-1),Excepciones!$A:$B,2,0)&gt;=0,IFERROR(INDEX(FILT"&amp;"ER(Precios!$D:$D,(Precios!$A:$A&lt;=$I19)*(Precios!$B:$B&gt;=$I19)*(Precios!$C:$C=R$37)),1)*(IF($K$10=""Sí"",0.94,1)),""""),"""")),"""")
"),"")</f>
        <v/>
      </c>
      <c r="S70" s="136" t="n"/>
      <c r="T70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19)*(Precios!$B:$B&gt;=$I19)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"",""""))))-1),Excepciones!$A:$B,2,0)&gt;=0,IFERROR(INDEX(FILT"&amp;"ER(Precios!$D:$D,(Precios!$A:$A&lt;=$I19)*(Precios!$B:$B&gt;=$I19)*(Precios!$C:$C=T$37)),1)*(IF($K$10=""Sí"",0.94,1)),""""),"""")),"""")
"),"")</f>
        <v/>
      </c>
      <c r="U70" s="4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19)*(Precios!$B:$B&gt;=$I19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"",""""))))-1),Excepciones!$A:$B,2,0)&gt;=0,IFERROR(INDEX(FI"&amp;"LTER(Precios!$D:$D,(Precios!$A:$A&lt;=$I19)*(Precios!$B:$B&gt;=$I19)*(Precios!$C:$C=U$37)),1)*(IF($K$10=""Sí"",0.94,1)),""""),"""")),"""")
"),"")</f>
        <v/>
      </c>
      <c r="V70" s="48" t="n"/>
      <c r="W70" s="48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"",""""))))-1),Excepciones!$A:$B,2,0)&gt;=0,IFERROR(INDEX(filter(Precios!$D:$D,(Precios!$A:$A&lt;=$I19)*(Precios!$B:$B&gt;=$I19)*(Precios!$C:$C"&amp;"=W$37)),1)*1,""""),"""")),"""")"),"")</f>
        <v/>
      </c>
      <c r="X70" s="137" t="n"/>
      <c r="Y70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70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70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70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70" s="138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70" s="5" t="n"/>
      <c r="AE70" s="5" t="n"/>
      <c r="AF70" s="5" t="n"/>
      <c r="AG70" s="5" t="n"/>
      <c r="AH70" s="125" t="n"/>
      <c r="AI70" s="125" t="n"/>
      <c r="AJ70" s="5" t="n"/>
      <c r="AK70" s="125" t="n"/>
      <c r="AL70" s="125" t="n"/>
    </row>
    <row r="71" ht="22.5" customHeight="1" s="241">
      <c r="L71" s="126" t="n">
        <v>15</v>
      </c>
      <c r="M71" s="128" t="n"/>
      <c r="N71" s="128">
        <f>IFERROR(__xludf.DUMMYFUNCTION("IFERROR(IF($I20="""","""",IF($K$8&gt;0,"""",IF(COUNT($I$6:$I$13)&gt;1,0.9,1)*IF(VLOOKUP(LEFT(N$37,SEARCH(""☃"",SUBSTITUTE(N$37,"" "",""☃"",LEN(N$37)-LEN(SUBSTITUTE(N$37,"" "",""""))))-1),Excepciones!$A:$B,2,0)&gt;=0,IFERROR(INDEX(FILTER(Precios!$D:$D,(Precios!$A:$"&amp;"A&lt;=$I20)*(Precios!$B:$B&gt;=$I20)*(Precios!$C:$C=N$37)),1)*(1-$K$6),""No asegurable""),""No asegurable""))),"""")
"),"")</f>
        <v/>
      </c>
      <c r="O71" s="12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20)*(Precios!$B:$B&gt;=$I20)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"",""""))))-1),Excepciones!$A:$B,2,0)&gt;=0,IFERROR(INDEX(FILT"&amp;"ER(Precios!$D:$D,(Precios!$A:$A&lt;=$I20)*(Precios!$B:$B&gt;=$I20)*(Precios!$C:$C=O$37)),1)*(IF($K$10=""Sí"",0.94,1)),""""),"""")),"""")
"),"")</f>
        <v/>
      </c>
      <c r="P71" s="139" t="n"/>
      <c r="Q71" s="12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20)*(Precios!$B:$B&gt;=$I20)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"",""""))))-1),Excepciones!$A:$B,2,0)&gt;=0,IFERROR(INDEX(FILT"&amp;"ER(Precios!$D:$D,(Precios!$A:$A&lt;=$I20)*(Precios!$B:$B&gt;=$I20)*(Precios!$C:$C=Q$37)),1)*(IF($K$10=""Sí"",0.94,1)),""""),"""")),"""")
"),"")</f>
        <v/>
      </c>
      <c r="R71" s="12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20)*(Precios!$B:$B&gt;=$I20)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"",""""))))-1),Excepciones!$A:$B,2,0)&gt;=0,IFERROR(INDEX(FILT"&amp;"ER(Precios!$D:$D,(Precios!$A:$A&lt;=$I20)*(Precios!$B:$B&gt;=$I20)*(Precios!$C:$C=R$37)),1)*(IF($K$10=""Sí"",0.94,1)),""""),"""")),"""")
"),"")</f>
        <v/>
      </c>
      <c r="S71" s="139" t="n"/>
      <c r="T71" s="12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20)*(Precios!$B:$B&gt;=$I20)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"",""""))))-1),Excepciones!$A:$B,2,0)&gt;=0,IFERROR(INDEX(FILT"&amp;"ER(Precios!$D:$D,(Precios!$A:$A&lt;=$I20)*(Precios!$B:$B&gt;=$I20)*(Precios!$C:$C=T$37)),1)*(IF($K$10=""Sí"",0.94,1)),""""),"""")),"""")
"),"")</f>
        <v/>
      </c>
      <c r="U71" s="128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20)*(Precios!$B:$B&gt;=$I20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"",""""))))-1),Excepciones!$A:$B,2,0)&gt;=0,IFERROR(INDEX(FI"&amp;"LTER(Precios!$D:$D,(Precios!$A:$A&lt;=$I20)*(Precios!$B:$B&gt;=$I20)*(Precios!$C:$C=U$37)),1)*(IF($K$10=""Sí"",0.94,1)),""""),"""")),"""")
"),"")</f>
        <v/>
      </c>
      <c r="V71" s="128" t="n"/>
      <c r="W71" s="128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"",""""))))-1),Excepciones!$A:$B,2,0)&gt;=0,IFERROR(INDEX(filter(Precios!$D:$D,(Precios!$A:$A&lt;=$I20)*(Precios!$B:$B&gt;=$I20)*(Precios!$C:$C"&amp;"=W$37)),1)*1,""""),"""")),"""")"),"")</f>
        <v/>
      </c>
      <c r="X71" s="140" t="n"/>
      <c r="Y71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71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71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71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71" s="141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71" s="5" t="n"/>
      <c r="AE71" s="5" t="n"/>
      <c r="AF71" s="5" t="n"/>
      <c r="AG71" s="5" t="n"/>
      <c r="AH71" s="125" t="n"/>
      <c r="AI71" s="125" t="n"/>
      <c r="AJ71" s="5" t="n"/>
      <c r="AK71" s="125" t="n"/>
      <c r="AL71" s="125" t="n"/>
    </row>
    <row r="72" ht="28.5" customHeight="1" s="241"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125" t="n"/>
      <c r="AI72" s="125" t="n"/>
      <c r="AJ72" s="5" t="n"/>
      <c r="AK72" s="125" t="n"/>
      <c r="AL72" s="125" t="n"/>
    </row>
    <row r="73" ht="26.25" customHeight="1" s="241">
      <c r="L73" s="258" t="inlineStr">
        <is>
          <t>SIN DTO
CON DENTAL</t>
        </is>
      </c>
      <c r="M73" s="259" t="n"/>
      <c r="N73" s="260">
        <f>"Go"&amp;" "&amp;$K$3</f>
        <v/>
      </c>
      <c r="O73" s="260">
        <f>"Plena Vital"&amp;" "&amp;$K$3</f>
        <v/>
      </c>
      <c r="P73" s="260">
        <f>"Plena Total vital"&amp;" "&amp;$K$3</f>
        <v/>
      </c>
      <c r="Q73" s="260">
        <f>"Plena"&amp;" "&amp;$K$3</f>
        <v/>
      </c>
      <c r="R73" s="260">
        <f>"Plena Plus"&amp;" "&amp;$K$3</f>
        <v/>
      </c>
      <c r="S73" s="260">
        <f>"Plena Total"&amp;" "&amp;$K$3</f>
        <v/>
      </c>
      <c r="T73" s="260">
        <f>"Plena Extra 150"&amp;" "&amp;$K$3</f>
        <v/>
      </c>
      <c r="U73" s="260">
        <f>"Seniors"&amp;" "&amp;$K$3</f>
        <v/>
      </c>
      <c r="V73" s="260">
        <f>"Seniors total"&amp;" "&amp;$K$3</f>
        <v/>
      </c>
      <c r="W73" s="260">
        <f>"Negocios NIF"&amp;" "&amp;$K$3</f>
        <v/>
      </c>
      <c r="X73" s="261">
        <f>"Pymes TOTAL"&amp;" "&amp;$K$3</f>
        <v/>
      </c>
      <c r="Y73" s="260">
        <f>IF(OR(COUNT(I54:I60)=1,COUNT(I54:I60)=2),"Extra Negocios NIF"&amp;" "&amp;$K$3&amp;" "&amp;COUNT(I54:I60),"Extra Negocios NIF"&amp;" "&amp;$K$3)</f>
        <v/>
      </c>
      <c r="Z73" s="260">
        <f>"Negocios CIF"&amp;" "&amp;$K$3</f>
        <v/>
      </c>
      <c r="AA73" s="260">
        <f>"Extra Negocios CIF"&amp;" "&amp;$K$3</f>
        <v/>
      </c>
      <c r="AB73" s="260">
        <f>"Empresas"&amp;" "&amp;$K$3</f>
        <v/>
      </c>
      <c r="AC73" s="261">
        <f>"Extra Empresas"&amp;" "&amp;$K$3</f>
        <v/>
      </c>
      <c r="AD73" s="5" t="n"/>
      <c r="AE73" s="5" t="n"/>
      <c r="AF73" s="5" t="n"/>
      <c r="AG73" s="5" t="n"/>
      <c r="AH73" s="125" t="n"/>
      <c r="AI73" s="125" t="n"/>
      <c r="AJ73" s="5" t="n"/>
      <c r="AK73" s="125" t="n"/>
      <c r="AL73" s="125" t="n"/>
    </row>
    <row r="74" ht="26.25" customHeight="1" s="241">
      <c r="L74" s="263" t="n"/>
      <c r="M74" s="253" t="n"/>
      <c r="N74" s="253" t="n"/>
      <c r="O74" s="253" t="n"/>
      <c r="P74" s="253" t="n"/>
      <c r="Q74" s="253" t="n"/>
      <c r="R74" s="253" t="n"/>
      <c r="S74" s="253" t="n"/>
      <c r="T74" s="253" t="n"/>
      <c r="U74" s="253" t="n"/>
      <c r="V74" s="253" t="n"/>
      <c r="W74" s="253" t="n"/>
      <c r="X74" s="256" t="n"/>
      <c r="Y74" s="253" t="n"/>
      <c r="Z74" s="253" t="n"/>
      <c r="AA74" s="253" t="n"/>
      <c r="AB74" s="253" t="n"/>
      <c r="AC74" s="256" t="n"/>
      <c r="AD74" s="5" t="n"/>
      <c r="AE74" s="5" t="n"/>
      <c r="AF74" s="5" t="n"/>
      <c r="AG74" s="5" t="n"/>
      <c r="AH74" s="125" t="n"/>
      <c r="AI74" s="125" t="n"/>
      <c r="AJ74" s="5" t="n"/>
      <c r="AK74" s="125" t="n"/>
      <c r="AL74" s="125" t="n"/>
    </row>
    <row r="75" ht="27.75" customHeight="1" s="241">
      <c r="L75" s="111" t="n">
        <v>1</v>
      </c>
      <c r="M75" s="112" t="n"/>
      <c r="N75" s="112">
        <f>IF(OR(N57="",N57=0),"",N57+(VLOOKUP(COUNT($I$6:$I$13),Precios!$F:$H,2,0)))</f>
        <v/>
      </c>
      <c r="O75" s="112">
        <f>IF(OR(O57="",O57=0),"",O57+(VLOOKUP(COUNT($I$6:$I$13),Precios!$F:$H,2,0)))</f>
        <v/>
      </c>
      <c r="P75" s="112">
        <f>IFERROR(__xludf.DUMMYFUNCTION("IFERROR(IF($K$10=""Sí"","""",IF($I6="""","""",IF(VLOOKUP(LEFT(P$37,SEARCH(""☃"",SUBSTITUTE(P$37,"" "",""☃"",LEN(P$37)-LEN(SUBSTITUTE(P$37,"" "",""""))))-1),Excepciones!$A:$B,2,0)&gt;=0,IF(INDEX(FILTER(Precios!$D:$D,(Precios!$A:$A&lt;=$I6)*(Precios!$B:$B&gt;=$I6)*("&amp;"Precios!$C:$C=P$37)),1)*IF(COUNT($I$6:$I$13)&gt;=5,0.85,IF(COUNT($I$6:$I$13)&gt;=4,0.9,IF(COUNT($I$6:$I$13)&gt;=3,0.95,1)))=0,"""",INDEX(FILTER(Precios!$D:$D,(Precios!$A:$A&lt;=$I6)*(Precios!$B:$B&gt;=$I6)*(Precios!$C:$C=P$37)),1)*IF(COUNT($I$6:$I$13)&gt;=5,0.85,IF(COUNT($"&amp;"I$6:$I$13)&gt;=4,0.9,IF(COUNT($I$6:$I$13)&gt;=3,0.95,1)))),""""))), """")
"),54.9)</f>
        <v/>
      </c>
      <c r="Q75" s="112">
        <f>IF(OR(Q57="",Q57=0),"",Q57+(VLOOKUP(COUNT($I$6:$I$13),Precios!$F:$H,2,0)))</f>
        <v/>
      </c>
      <c r="R75" s="112">
        <f>IF(OR(R57="",R57=0),"",R57+(VLOOKUP(COUNT($I$6:$I$13),Precios!$F:$H,2,0)))</f>
        <v/>
      </c>
      <c r="S75" s="112">
        <f>IFERROR(__xludf.DUMMYFUNCTION("IFERROR(IF($K$10=""Sí"","""",IF($I6="""","""",IF(VLOOKUP(LEFT(S$37,SEARCH(""☃"",SUBSTITUTE(S$37,"" "",""☃"",LEN(S$37)-LEN(SUBSTITUTE(S$37,"" "",""""))))-1),Excepciones!$A:$B,2,0)&gt;=0,IF(INDEX(FILTER(Precios!$D:$D,(Precios!$A:$A&lt;=$I6)*(Precios!$B:$B&gt;=$I6)*("&amp;"Precios!$C:$C=S$37)),1)*IF(COUNT($I$6:$I$13)&gt;=5,0.85,IF(COUNT($I$6:$I$13)&gt;=4,0.9,IF(COUNT($I$6:$I$13)&gt;=3,0.95,1)))=0,"""",INDEX(FILTER(Precios!$D:$D,(Precios!$A:$A&lt;=$I6)*(Precios!$B:$B&gt;=$I6)*(Precios!$C:$C=S$37)),1)*IF(COUNT($I$6:$I$13)&gt;=5,0.85,IF(COUNT($"&amp;"I$6:$I$13)&gt;=4,0.9,IF(COUNT($I$6:$I$13)&gt;=3,0.95,1)))),""""))), """")
"),92.7)</f>
        <v/>
      </c>
      <c r="T75" s="112">
        <f>IFERROR(__xludf.DUMMYFUNCTION("IFERROR(IF($I6="""","""",IF(VLOOKUP(LEFT(T$37,SEARCH(""☃"",SUBSTITUTE(T$37,"" "",""☃"",LEN(T$37)-LEN(SUBSTITUTE(T$37,"" "",""""))))-1),Excepciones!$A:$B,2,0)&gt;=0,IFERROR((INDEX(filter(Precios!$D:$D,(Precios!$A:$A&lt;=$I6)*(Precios!$B:$B&gt;=$I6)*(Precios!$C:$C=T"&amp;"$37)),1)+VLOOKUP(COUNT($I$6:$I$13),Precios!$F:$G,2,0)),""""),"""")),"""")"),114.4625)</f>
        <v/>
      </c>
      <c r="U75" s="112">
        <f>IF(OR(U57="",U57=0),"",U57+(VLOOKUP(COUNT($I$6:$I$13),Precios!$F:$H,2,0)))</f>
        <v/>
      </c>
      <c r="V75" s="112">
        <f>IFERROR(__xludf.DUMMYFUNCTION("IFERROR(IF($K$10=""Sí"","""",IF($I6="""","""",IF(VLOOKUP(LEFT(V$37,SEARCH(""☃"",SUBSTITUTE(V$37,"" "",""☃"",LEN(V$37)-LEN(SUBSTITUTE(V$37,"" "",""""))))-1),Excepciones!$A:$B,2,0)&gt;=0,IF(INDEX(FILTER(Precios!$D:$D,(Precios!$A:$A&lt;=$I6)*(Precios!$B:$B&gt;=$I6)*("&amp;"Precios!$C:$C=V$37)),1)*IF(COUNT($I$6:$I$13)&gt;=5,0.85,IF(COUNT($I$6:$I$13)&gt;=4,0.9,IF(COUNT($I$6:$I$13)&gt;=3,0.95,1)))=0,"""",INDEX(FILTER(Precios!$D:$D,(Precios!$A:$A&lt;=$I6)*(Precios!$B:$B&gt;=$I6)*(Precios!$C:$C=V$37)),1)*IF(COUNT($I$6:$I$13)&gt;=5,0.85,IF(COUNT($"&amp;"I$6:$I$13)&gt;=4,0.9,IF(COUNT($I$6:$I$13)&gt;=3,0.95,1)))),""""))), """")
"),"")</f>
        <v/>
      </c>
      <c r="W75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"",""""))))-1),Excepciones!$A:$B,2,0)&gt;=0,IFERROR((INDEX(filter(Precios!$D:$D,(Precios!$A:$A&lt;=$I6)*(Precios!$B:$B&gt;=$I6)*(Precios!$C:$C=W"&amp;"$37)),1)+VLOOKUP(COUNT($I$6:$I$13),Precios!$F:$G,2,0)),""No asegurable""),""No asegurable"")),"""")"),67.9625)</f>
        <v/>
      </c>
      <c r="X75" s="115">
        <f>IFERROR(__xludf.DUMMYFUNCTION("IF($K$10=""Sí"","""",IFERROR(IF($I6="""","""",IF(VLOOKUP(LEFT(X$37,SEARCH(""☃"",SUBSTITUTE(X$37,"" "",""☃"",LEN(X$37)-LEN(SUBSTITUTE(X$37,"" "",""""))))-1),Excepciones!$A:$B,2,0)&gt;=0,IFERROR(INDEX(filter(Precios!$D:$D,(Precios!$A:$A&lt;=$I6)*(Precios!$B:$B&gt;=$"&amp;"I6)*(Precios!$C:$C=X$37)),1),""No asegurable""),""No asegurable"")),""""))"),62.0)</f>
        <v/>
      </c>
      <c r="Y75" s="112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75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/>
      </c>
      <c r="AA75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/>
      </c>
      <c r="AB75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/>
      </c>
      <c r="AC75" s="142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/>
      </c>
      <c r="AD75" s="5" t="n"/>
      <c r="AE75" s="5" t="n"/>
      <c r="AF75" s="5" t="n"/>
      <c r="AG75" s="5" t="n"/>
      <c r="AH75" s="125" t="n"/>
      <c r="AI75" s="125" t="n"/>
      <c r="AJ75" s="5" t="n"/>
      <c r="AK75" s="125" t="n"/>
      <c r="AL75" s="125" t="n"/>
    </row>
    <row r="76" ht="27.75" customHeight="1" s="241">
      <c r="L76" s="116" t="n">
        <v>2</v>
      </c>
      <c r="M76" s="48" t="n"/>
      <c r="N76" s="48">
        <f>IF(OR(N58="",N58=0),"",N58+(VLOOKUP(COUNT($I$6:$I$13),Precios!$F:$H,2,0)))</f>
        <v/>
      </c>
      <c r="O76" s="48">
        <f>IF(OR(O58="",O58=0),"",O58+(VLOOKUP(COUNT($I$6:$I$13),Precios!$F:$H,2,0)))</f>
        <v/>
      </c>
      <c r="P76" s="48">
        <f>IFERROR(__xludf.DUMMYFUNCTION("IFERROR(IF($K$10=""Sí"","""",IF($I7="""","""",IF(VLOOKUP(LEFT(P$37,SEARCH(""☃"",SUBSTITUTE(P$37,"" "",""☃"",LEN(P$37)-LEN(SUBSTITUTE(P$37,"" "",""""))))-1),Excepciones!$A:$B,2,0)&gt;=0,IF(INDEX(FILTER(Precios!$D:$D,(Precios!$A:$A&lt;=$I7)*(Precios!$B:$B&gt;=$I7)*("&amp;"Precios!$C:$C=P$37)),1)*IF(COUNT($I$6:$I$13)&gt;=5,0.85,IF(COUNT($I$6:$I$13)&gt;=4,0.9,IF(COUNT($I$6:$I$13)&gt;=3,0.95,1)))=0,"""",INDEX(FILTER(Precios!$D:$D,(Precios!$A:$A&lt;=$I7)*(Precios!$B:$B&gt;=$I7)*(Precios!$C:$C=P$37)),1)*IF(COUNT($I$6:$I$13)&gt;=5,0.85,IF(COUNT($"&amp;"I$6:$I$13)&gt;=4,0.9,IF(COUNT($I$6:$I$13)&gt;=3,0.95,1)))),""""))), """")
"),54.9)</f>
        <v/>
      </c>
      <c r="Q76" s="48">
        <f>IF(OR(Q58="",Q58=0),"",Q58+(VLOOKUP(COUNT($I$6:$I$13),Precios!$F:$H,2,0)))</f>
        <v/>
      </c>
      <c r="R76" s="48">
        <f>IF(OR(R58="",R58=0),"",R58+(VLOOKUP(COUNT($I$6:$I$13),Precios!$F:$H,2,0)))</f>
        <v/>
      </c>
      <c r="S76" s="48">
        <f>IFERROR(__xludf.DUMMYFUNCTION("IFERROR(IF($K$10=""Sí"","""",IF($I7="""","""",IF(VLOOKUP(LEFT(S$37,SEARCH(""☃"",SUBSTITUTE(S$37,"" "",""☃"",LEN(S$37)-LEN(SUBSTITUTE(S$37,"" "",""""))))-1),Excepciones!$A:$B,2,0)&gt;=0,IF(INDEX(FILTER(Precios!$D:$D,(Precios!$A:$A&lt;=$I7)*(Precios!$B:$B&gt;=$I7)*("&amp;"Precios!$C:$C=S$37)),1)*IF(COUNT($I$6:$I$13)&gt;=5,0.85,IF(COUNT($I$6:$I$13)&gt;=4,0.9,IF(COUNT($I$6:$I$13)&gt;=3,0.95,1)))=0,"""",INDEX(FILTER(Precios!$D:$D,(Precios!$A:$A&lt;=$I7)*(Precios!$B:$B&gt;=$I7)*(Precios!$C:$C=S$37)),1)*IF(COUNT($I$6:$I$13)&gt;=5,0.85,IF(COUNT($"&amp;"I$6:$I$13)&gt;=4,0.9,IF(COUNT($I$6:$I$13)&gt;=3,0.95,1)))),""""))), """")
"),92.7)</f>
        <v/>
      </c>
      <c r="T76" s="48">
        <f>IFERROR(__xludf.DUMMYFUNCTION("IFERROR(IF($I7="""","""",IF(VLOOKUP(LEFT(T$37,SEARCH(""☃"",SUBSTITUTE(T$37,"" "",""☃"",LEN(T$37)-LEN(SUBSTITUTE(T$37,"" "",""""))))-1),Excepciones!$A:$B,2,0)&gt;=0,IFERROR((INDEX(filter(Precios!$D:$D,(Precios!$A:$A&lt;=$I7)*(Precios!$B:$B&gt;=$I7)*(Precios!$C:$C=T"&amp;"$37)),1)+VLOOKUP(COUNT($I$6:$I$13),Precios!$F:$G,2,0)),""""),"""")),"""")"),114.4625)</f>
        <v/>
      </c>
      <c r="U76" s="48">
        <f>IF(OR(U58="",U58=0),"",U58+(VLOOKUP(COUNT($I$6:$I$13),Precios!$F:$H,2,0)))</f>
        <v/>
      </c>
      <c r="V76" s="48">
        <f>IFERROR(__xludf.DUMMYFUNCTION("IFERROR(IF($K$10=""Sí"","""",IF($I7="""","""",IF(VLOOKUP(LEFT(V$37,SEARCH(""☃"",SUBSTITUTE(V$37,"" "",""☃"",LEN(V$37)-LEN(SUBSTITUTE(V$37,"" "",""""))))-1),Excepciones!$A:$B,2,0)&gt;=0,IF(INDEX(FILTER(Precios!$D:$D,(Precios!$A:$A&lt;=$I7)*(Precios!$B:$B&gt;=$I7)*("&amp;"Precios!$C:$C=V$37)),1)*IF(COUNT($I$6:$I$13)&gt;=5,0.85,IF(COUNT($I$6:$I$13)&gt;=4,0.9,IF(COUNT($I$6:$I$13)&gt;=3,0.95,1)))=0,"""",INDEX(FILTER(Precios!$D:$D,(Precios!$A:$A&lt;=$I7)*(Precios!$B:$B&gt;=$I7)*(Precios!$C:$C=V$37)),1)*IF(COUNT($I$6:$I$13)&gt;=5,0.85,IF(COUNT($"&amp;"I$6:$I$13)&gt;=4,0.9,IF(COUNT($I$6:$I$13)&gt;=3,0.95,1)))),""""))), """")
"),"")</f>
        <v/>
      </c>
      <c r="W76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"",""""))))-1),Excepciones!$A:$B,2,0)&gt;=0,IFERROR((INDEX(filter(Precios!$D:$D,(Precios!$A:$A&lt;=$I7)*(Precios!$B:$B&gt;=$I7)*(Precios!$C:$C=W"&amp;"$37)),1)+VLOOKUP(COUNT($I$6:$I$13),Precios!$F:$G,2,0)),""No asegurable""),""No asegurable"")),"""")"),67.9625)</f>
        <v/>
      </c>
      <c r="X76" s="119">
        <f>IFERROR(__xludf.DUMMYFUNCTION("IF($K$10=""Sí"","""",IFERROR(IF($I7="""","""",IF(VLOOKUP(LEFT(X$37,SEARCH(""☃"",SUBSTITUTE(X$37,"" "",""☃"",LEN(X$37)-LEN(SUBSTITUTE(X$37,"" "",""""))))-1),Excepciones!$A:$B,2,0)&gt;=0,IFERROR(INDEX(filter(Precios!$D:$D,(Precios!$A:$A&lt;=$I7)*(Precios!$B:$B&gt;=$"&amp;"I7)*(Precios!$C:$C=X$37)),1),""No asegurable""),""No asegurable"")),""""))"),62.0)</f>
        <v/>
      </c>
      <c r="Y76" s="48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76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/>
      </c>
      <c r="AA76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/>
      </c>
      <c r="AB76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/>
      </c>
      <c r="AC76" s="4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/>
      </c>
      <c r="AD76" s="5" t="n"/>
      <c r="AE76" s="5" t="n"/>
      <c r="AF76" s="5" t="n"/>
      <c r="AG76" s="5" t="n"/>
      <c r="AH76" s="125" t="n"/>
      <c r="AI76" s="125" t="n"/>
      <c r="AJ76" s="5" t="n"/>
      <c r="AK76" s="125" t="n"/>
      <c r="AL76" s="125" t="n"/>
    </row>
    <row r="77" ht="27.75" customHeight="1" s="241">
      <c r="L77" s="116" t="n">
        <v>3</v>
      </c>
      <c r="M77" s="48" t="n"/>
      <c r="N77" s="48">
        <f>IF(OR(N59="",N59=0),"",N59+(VLOOKUP(COUNT($I$6:$I$13),Precios!$F:$H,2,0)))</f>
        <v/>
      </c>
      <c r="O77" s="48">
        <f>IF(OR(O59="",O59=0),"",O59+(VLOOKUP(COUNT($I$6:$I$13),Precios!$F:$H,2,0)))</f>
        <v/>
      </c>
      <c r="P77" s="48">
        <f>IFERROR(__xludf.DUMMYFUNCTION("IFERROR(IF($K$10=""Sí"","""",IF($I8="""","""",IF(VLOOKUP(LEFT(P$37,SEARCH(""☃"",SUBSTITUTE(P$37,"" "",""☃"",LEN(P$37)-LEN(SUBSTITUTE(P$37,"" "",""""))))-1),Excepciones!$A:$B,2,0)&gt;=0,IF(INDEX(FILTER(Precios!$D:$D,(Precios!$A:$A&lt;=$I8)*(Precios!$B:$B&gt;=$I8)*("&amp;"Precios!$C:$C=P$37)),1)*IF(COUNT($I$6:$I$13)&gt;=5,0.85,IF(COUNT($I$6:$I$13)&gt;=4,0.9,IF(COUNT($I$6:$I$13)&gt;=3,0.95,1)))=0,"""",INDEX(FILTER(Precios!$D:$D,(Precios!$A:$A&lt;=$I8)*(Precios!$B:$B&gt;=$I8)*(Precios!$C:$C=P$37)),1)*IF(COUNT($I$6:$I$13)&gt;=5,0.85,IF(COUNT($"&amp;"I$6:$I$13)&gt;=4,0.9,IF(COUNT($I$6:$I$13)&gt;=3,0.95,1)))),""""))), """")
"),100.8)</f>
        <v/>
      </c>
      <c r="Q77" s="48">
        <f>IF(OR(Q59="",Q59=0),"",Q59+(VLOOKUP(COUNT($I$6:$I$13),Precios!$F:$H,2,0)))</f>
        <v/>
      </c>
      <c r="R77" s="48">
        <f>IF(OR(R59="",R59=0),"",R59+(VLOOKUP(COUNT($I$6:$I$13),Precios!$F:$H,2,0)))</f>
        <v/>
      </c>
      <c r="S77" s="48">
        <f>IFERROR(__xludf.DUMMYFUNCTION("IFERROR(IF($K$10=""Sí"","""",IF($I8="""","""",IF(VLOOKUP(LEFT(S$37,SEARCH(""☃"",SUBSTITUTE(S$37,"" "",""☃"",LEN(S$37)-LEN(SUBSTITUTE(S$37,"" "",""""))))-1),Excepciones!$A:$B,2,0)&gt;=0,IF(INDEX(FILTER(Precios!$D:$D,(Precios!$A:$A&lt;=$I8)*(Precios!$B:$B&gt;=$I8)*("&amp;"Precios!$C:$C=S$37)),1)*IF(COUNT($I$6:$I$13)&gt;=5,0.85,IF(COUNT($I$6:$I$13)&gt;=4,0.9,IF(COUNT($I$6:$I$13)&gt;=3,0.95,1)))=0,"""",INDEX(FILTER(Precios!$D:$D,(Precios!$A:$A&lt;=$I8)*(Precios!$B:$B&gt;=$I8)*(Precios!$C:$C=S$37)),1)*IF(COUNT($I$6:$I$13)&gt;=5,0.85,IF(COUNT($"&amp;"I$6:$I$13)&gt;=4,0.9,IF(COUNT($I$6:$I$13)&gt;=3,0.95,1)))),""""))), """")
"),158.4)</f>
        <v/>
      </c>
      <c r="T77" s="48">
        <f>IFERROR(__xludf.DUMMYFUNCTION("IFERROR(IF($I8="""","""",IF(VLOOKUP(LEFT(T$37,SEARCH(""☃"",SUBSTITUTE(T$37,"" "",""☃"",LEN(T$37)-LEN(SUBSTITUTE(T$37,"" "",""""))))-1),Excepciones!$A:$B,2,0)&gt;=0,IFERROR((INDEX(filter(Precios!$D:$D,(Precios!$A:$A&lt;=$I8)*(Precios!$B:$B&gt;=$I8)*(Precios!$C:$C=T"&amp;"$37)),1)+VLOOKUP(COUNT($I$6:$I$13),Precios!$F:$G,2,0)),""""),"""")),"""")"),184.4625)</f>
        <v/>
      </c>
      <c r="U77" s="48">
        <f>IF(OR(U59="",U59=0),"",U59+(VLOOKUP(COUNT($I$6:$I$13),Precios!$F:$H,2,0)))</f>
        <v/>
      </c>
      <c r="V77" s="48">
        <f>IFERROR(__xludf.DUMMYFUNCTION("IFERROR(IF($K$10=""Sí"","""",IF($I8="""","""",IF(VLOOKUP(LEFT(V$37,SEARCH(""☃"",SUBSTITUTE(V$37,"" "",""☃"",LEN(V$37)-LEN(SUBSTITUTE(V$37,"" "",""""))))-1),Excepciones!$A:$B,2,0)&gt;=0,IF(INDEX(FILTER(Precios!$D:$D,(Precios!$A:$A&lt;=$I8)*(Precios!$B:$B&gt;=$I8)*("&amp;"Precios!$C:$C=V$37)),1)*IF(COUNT($I$6:$I$13)&gt;=5,0.85,IF(COUNT($I$6:$I$13)&gt;=4,0.9,IF(COUNT($I$6:$I$13)&gt;=3,0.95,1)))=0,"""",INDEX(FILTER(Precios!$D:$D,(Precios!$A:$A&lt;=$I8)*(Precios!$B:$B&gt;=$I8)*(Precios!$C:$C=V$37)),1)*IF(COUNT($I$6:$I$13)&gt;=5,0.85,IF(COUNT($"&amp;"I$6:$I$13)&gt;=4,0.9,IF(COUNT($I$6:$I$13)&gt;=3,0.95,1)))),""""))), """")
"),"")</f>
        <v/>
      </c>
      <c r="W77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"",""""))))-1),Excepciones!$A:$B,2,0)&gt;=0,IFERROR((INDEX(filter(Precios!$D:$D,(Precios!$A:$A&lt;=$I8)*(Precios!$B:$B&gt;=$I8)*(Precios!$C:$C=W"&amp;"$37)),1)+VLOOKUP(COUNT($I$6:$I$13),Precios!$F:$G,2,0)),""No asegurable""),""No asegurable"")),"""")"),131.4625)</f>
        <v/>
      </c>
      <c r="X77" s="119">
        <f>IFERROR(__xludf.DUMMYFUNCTION("IF($K$10=""Sí"","""",IFERROR(IF($I8="""","""",IF(VLOOKUP(LEFT(X$37,SEARCH(""☃"",SUBSTITUTE(X$37,"" "",""☃"",LEN(X$37)-LEN(SUBSTITUTE(X$37,"" "",""""))))-1),Excepciones!$A:$B,2,0)&gt;=0,IFERROR(INDEX(filter(Precios!$D:$D,(Precios!$A:$A&lt;=$I8)*(Precios!$B:$B&gt;=$"&amp;"I8)*(Precios!$C:$C=X$37)),1),""No asegurable""),""No asegurable"")),""""))"),95.0)</f>
        <v/>
      </c>
      <c r="Y77" s="48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77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/>
      </c>
      <c r="AA77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/>
      </c>
      <c r="AB77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/>
      </c>
      <c r="AC77" s="4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/>
      </c>
      <c r="AD77" s="5" t="n"/>
      <c r="AE77" s="5" t="n"/>
      <c r="AF77" s="5" t="n"/>
      <c r="AG77" s="5" t="n"/>
      <c r="AH77" s="125" t="n"/>
      <c r="AI77" s="125" t="n"/>
      <c r="AJ77" s="5" t="n"/>
      <c r="AK77" s="125" t="n"/>
      <c r="AL77" s="125" t="n"/>
    </row>
    <row r="78" ht="27.75" customHeight="1" s="241">
      <c r="L78" s="116" t="n">
        <v>4</v>
      </c>
      <c r="M78" s="48" t="n"/>
      <c r="N78" s="48">
        <f>IF(OR(N60="",N60=0),"",N60+(VLOOKUP(COUNT($I$6:$I$13),Precios!$F:$H,2,0)))</f>
        <v/>
      </c>
      <c r="O78" s="48">
        <f>IF(OR(O60="",O60=0),"",O60+(VLOOKUP(COUNT($I$6:$I$13),Precios!$F:$H,2,0)))</f>
        <v/>
      </c>
      <c r="P78" s="48">
        <f>IFERROR(__xludf.DUMMYFUNCTION("IFERROR(IF($K$10=""Sí"","""",IF($I9="""","""",IF(VLOOKUP(LEFT(P$37,SEARCH(""☃"",SUBSTITUTE(P$37,"" "",""☃"",LEN(P$37)-LEN(SUBSTITUTE(P$37,"" "",""""))))-1),Excepciones!$A:$B,2,0)&gt;=0,IF(INDEX(FILTER(Precios!$D:$D,(Precios!$A:$A&lt;=$I9)*(Precios!$B:$B&gt;=$I9)*("&amp;"Precios!$C:$C=P$37)),1)*IF(COUNT($I$6:$I$13)&gt;=5,0.85,IF(COUNT($I$6:$I$13)&gt;=4,0.9,IF(COUNT($I$6:$I$13)&gt;=3,0.95,1)))=0,"""",INDEX(FILTER(Precios!$D:$D,(Precios!$A:$A&lt;=$I9)*(Precios!$B:$B&gt;=$I9)*(Precios!$C:$C=P$37)),1)*IF(COUNT($I$6:$I$13)&gt;=5,0.85,IF(COUNT($"&amp;"I$6:$I$13)&gt;=4,0.9,IF(COUNT($I$6:$I$13)&gt;=3,0.95,1)))),""""))), """")
"),180.9)</f>
        <v/>
      </c>
      <c r="Q78" s="48">
        <f>IF(OR(Q60="",Q60=0),"",Q60+(VLOOKUP(COUNT($I$6:$I$13),Precios!$F:$H,2,0)))</f>
        <v/>
      </c>
      <c r="R78" s="48">
        <f>IF(OR(R60="",R60=0),"",R60+(VLOOKUP(COUNT($I$6:$I$13),Precios!$F:$H,2,0)))</f>
        <v/>
      </c>
      <c r="S78" s="48">
        <f>IFERROR(__xludf.DUMMYFUNCTION("IFERROR(IF($K$10=""Sí"","""",IF($I9="""","""",IF(VLOOKUP(LEFT(S$37,SEARCH(""☃"",SUBSTITUTE(S$37,"" "",""☃"",LEN(S$37)-LEN(SUBSTITUTE(S$37,"" "",""""))))-1),Excepciones!$A:$B,2,0)&gt;=0,IF(INDEX(FILTER(Precios!$D:$D,(Precios!$A:$A&lt;=$I9)*(Precios!$B:$B&gt;=$I9)*("&amp;"Precios!$C:$C=S$37)),1)*IF(COUNT($I$6:$I$13)&gt;=5,0.85,IF(COUNT($I$6:$I$13)&gt;=4,0.9,IF(COUNT($I$6:$I$13)&gt;=3,0.95,1)))=0,"""",INDEX(FILTER(Precios!$D:$D,(Precios!$A:$A&lt;=$I9)*(Precios!$B:$B&gt;=$I9)*(Precios!$C:$C=S$37)),1)*IF(COUNT($I$6:$I$13)&gt;=5,0.85,IF(COUNT($"&amp;"I$6:$I$13)&gt;=4,0.9,IF(COUNT($I$6:$I$13)&gt;=3,0.95,1)))),""""))), """")
"),255.6)</f>
        <v/>
      </c>
      <c r="T78" s="48">
        <f>IFERROR(__xludf.DUMMYFUNCTION("IFERROR(IF($I9="""","""",IF(VLOOKUP(LEFT(T$37,SEARCH(""☃"",SUBSTITUTE(T$37,"" "",""☃"",LEN(T$37)-LEN(SUBSTITUTE(T$37,"" "",""""))))-1),Excepciones!$A:$B,2,0)&gt;=0,IFERROR((INDEX(filter(Precios!$D:$D,(Precios!$A:$A&lt;=$I9)*(Precios!$B:$B&gt;=$I9)*(Precios!$C:$C=T"&amp;"$37)),1)+VLOOKUP(COUNT($I$6:$I$13),Precios!$F:$G,2,0)),""""),"""")),"""")"),305.4625)</f>
        <v/>
      </c>
      <c r="U78" s="48">
        <f>IF(OR(U60="",U60=0),"",U60+(VLOOKUP(COUNT($I$6:$I$13),Precios!$F:$H,2,0)))</f>
        <v/>
      </c>
      <c r="V78" s="48">
        <f>IFERROR(__xludf.DUMMYFUNCTION("IFERROR(IF($K$10=""Sí"","""",IF($I9="""","""",IF(VLOOKUP(LEFT(V$37,SEARCH(""☃"",SUBSTITUTE(V$37,"" "",""☃"",LEN(V$37)-LEN(SUBSTITUTE(V$37,"" "",""""))))-1),Excepciones!$A:$B,2,0)&gt;=0,IF(INDEX(FILTER(Precios!$D:$D,(Precios!$A:$A&lt;=$I9)*(Precios!$B:$B&gt;=$I9)*("&amp;"Precios!$C:$C=V$37)),1)*IF(COUNT($I$6:$I$13)&gt;=5,0.85,IF(COUNT($I$6:$I$13)&gt;=4,0.9,IF(COUNT($I$6:$I$13)&gt;=3,0.95,1)))=0,"""",INDEX(FILTER(Precios!$D:$D,(Precios!$A:$A&lt;=$I9)*(Precios!$B:$B&gt;=$I9)*(Precios!$C:$C=V$37)),1)*IF(COUNT($I$6:$I$13)&gt;=5,0.85,IF(COUNT($"&amp;"I$6:$I$13)&gt;=4,0.9,IF(COUNT($I$6:$I$13)&gt;=3,0.95,1)))),""""))), """")
"),"")</f>
        <v/>
      </c>
      <c r="W78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"",""""))))-1),Excepciones!$A:$B,2,0)&gt;=0,IFERROR((INDEX(filter(Precios!$D:$D,(Precios!$A:$A&lt;=$I9)*(Precios!$B:$B&gt;=$I9)*(Precios!$C:$C=W"&amp;"$37)),1)+VLOOKUP(COUNT($I$6:$I$13),Precios!$F:$G,2,0)),""No asegurable""),""No asegurable"")),"""")"),242.4625)</f>
        <v/>
      </c>
      <c r="X78" s="119">
        <f>IFERROR(__xludf.DUMMYFUNCTION("IF($K$10=""Sí"","""",IFERROR(IF($I9="""","""",IF(VLOOKUP(LEFT(X$37,SEARCH(""☃"",SUBSTITUTE(X$37,"" "",""☃"",LEN(X$37)-LEN(SUBSTITUTE(X$37,"" "",""""))))-1),Excepciones!$A:$B,2,0)&gt;=0,IFERROR(INDEX(filter(Precios!$D:$D,(Precios!$A:$A&lt;=$I9)*(Precios!$B:$B&gt;=$"&amp;"I9)*(Precios!$C:$C=X$37)),1),""No asegurable""),""No asegurable"")),""""))"),129.0)</f>
        <v/>
      </c>
      <c r="Y78" s="48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78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/>
      </c>
      <c r="AA78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/>
      </c>
      <c r="AB78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/>
      </c>
      <c r="AC78" s="4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/>
      </c>
      <c r="AD78" s="5" t="n"/>
      <c r="AE78" s="5" t="n"/>
      <c r="AF78" s="5" t="n"/>
      <c r="AG78" s="5" t="n"/>
      <c r="AH78" s="125" t="n"/>
      <c r="AI78" s="125" t="n"/>
      <c r="AJ78" s="5" t="n"/>
      <c r="AK78" s="125" t="n"/>
      <c r="AL78" s="125" t="n"/>
    </row>
    <row r="79" ht="27.75" customHeight="1" s="241">
      <c r="L79" s="116" t="n">
        <v>5</v>
      </c>
      <c r="M79" s="48" t="n"/>
      <c r="N79" s="48">
        <f>IF(OR(N61="",N61=0),"",N61+(VLOOKUP(COUNT($I$6:$I$13),Precios!$F:$H,2,0)))</f>
        <v/>
      </c>
      <c r="O79" s="48">
        <f>IF(OR(O61="",O61=0),"",O61+(VLOOKUP(COUNT($I$6:$I$13),Precios!$F:$H,2,0)))</f>
        <v/>
      </c>
      <c r="P79" s="48">
        <f>IFERROR(__xludf.DUMMYFUNCTION("IFERROR(IF($K$10=""Sí"","""",IF($I10="""","""",IF(VLOOKUP(LEFT(P$37,SEARCH(""☃"",SUBSTITUTE(P$37,"" "",""☃"",LEN(P$37)-LEN(SUBSTITUTE(P$37,"" "",""""))))-1),Excepciones!$A:$B,2,0)&gt;=0,IF(INDEX(FILTER(Precios!$D:$D,(Precios!$A:$A&lt;=$I10)*(Precios!$B:$B&gt;=$I10"&amp;")*(Precios!$C:$C=P$37)),1)*IF(COUNT($I$6:$I$13)&gt;=5,0.85,IF(COUNT($I$6:$I$13)&gt;=4,0.9,IF(COUNT($I$6:$I$13)&gt;=3,0.95,1)))=0,"""",INDEX(FILTER(Precios!$D:$D,(Precios!$A:$A&lt;=$I10)*(Precios!$B:$B&gt;=$I10)*(Precios!$C:$C=P$37)),1)*IF(COUNT($I$6:$I$13)&gt;=5,0.85,IF(CO"&amp;"UNT($I$6:$I$13)&gt;=4,0.9,IF(COUNT($I$6:$I$13)&gt;=3,0.95,1)))),""""))), """")
"),"")</f>
        <v/>
      </c>
      <c r="Q79" s="48">
        <f>IF(OR(Q61="",Q61=0),"",Q61+(VLOOKUP(COUNT($I$6:$I$13),Precios!$F:$H,2,0)))</f>
        <v/>
      </c>
      <c r="R79" s="48">
        <f>IF(OR(R61="",R61=0),"",R61+(VLOOKUP(COUNT($I$6:$I$13),Precios!$F:$H,2,0)))</f>
        <v/>
      </c>
      <c r="S79" s="48">
        <f>IFERROR(__xludf.DUMMYFUNCTION("IFERROR(IF($K$10=""Sí"","""",IF($I10="""","""",IF(VLOOKUP(LEFT(S$37,SEARCH(""☃"",SUBSTITUTE(S$37,"" "",""☃"",LEN(S$37)-LEN(SUBSTITUTE(S$37,"" "",""""))))-1),Excepciones!$A:$B,2,0)&gt;=0,IF(INDEX(FILTER(Precios!$D:$D,(Precios!$A:$A&lt;=$I10)*(Precios!$B:$B&gt;=$I10"&amp;")*(Precios!$C:$C=S$37)),1)*IF(COUNT($I$6:$I$13)&gt;=5,0.85,IF(COUNT($I$6:$I$13)&gt;=4,0.9,IF(COUNT($I$6:$I$13)&gt;=3,0.95,1)))=0,"""",INDEX(FILTER(Precios!$D:$D,(Precios!$A:$A&lt;=$I10)*(Precios!$B:$B&gt;=$I10)*(Precios!$C:$C=S$37)),1)*IF(COUNT($I$6:$I$13)&gt;=5,0.85,IF(CO"&amp;"UNT($I$6:$I$13)&gt;=4,0.9,IF(COUNT($I$6:$I$13)&gt;=3,0.95,1)))),""""))), """")
"),"")</f>
        <v/>
      </c>
      <c r="T79" s="48">
        <f>IFERROR(__xludf.DUMMYFUNCTION("IFERROR(IF($I10="""","""",IF(VLOOKUP(LEFT(T$37,SEARCH(""☃"",SUBSTITUTE(T$37,"" "",""☃"",LEN(T$37)-LEN(SUBSTITUTE(T$37,"" "",""""))))-1),Excepciones!$A:$B,2,0)&gt;=0,IFERROR((INDEX(filter(Precios!$D:$D,(Precios!$A:$A&lt;=$I10)*(Precios!$B:$B&gt;=$I10)*(Precios!$C:$"&amp;"C=T$37)),1)+VLOOKUP(COUNT($I$6:$I$13),Precios!$F:$G,2,0)),""""),"""")),"""")"),"")</f>
        <v/>
      </c>
      <c r="U79" s="48">
        <f>IF(OR(U61="",U61=0),"",U61+(VLOOKUP(COUNT($I$6:$I$13),Precios!$F:$H,2,0)))</f>
        <v/>
      </c>
      <c r="V79" s="48">
        <f>IFERROR(__xludf.DUMMYFUNCTION("IFERROR(IF($K$10=""Sí"","""",IF($I10="""","""",IF(VLOOKUP(LEFT(V$37,SEARCH(""☃"",SUBSTITUTE(V$37,"" "",""☃"",LEN(V$37)-LEN(SUBSTITUTE(V$37,"" "",""""))))-1),Excepciones!$A:$B,2,0)&gt;=0,IF(INDEX(FILTER(Precios!$D:$D,(Precios!$A:$A&lt;=$I10)*(Precios!$B:$B&gt;=$I10"&amp;")*(Precios!$C:$C=V$37)),1)*IF(COUNT($I$6:$I$13)&gt;=5,0.85,IF(COUNT($I$6:$I$13)&gt;=4,0.9,IF(COUNT($I$6:$I$13)&gt;=3,0.95,1)))=0,"""",INDEX(FILTER(Precios!$D:$D,(Precios!$A:$A&lt;=$I10)*(Precios!$B:$B&gt;=$I10)*(Precios!$C:$C=V$37)),1)*IF(COUNT($I$6:$I$13)&gt;=5,0.85,IF(CO"&amp;"UNT($I$6:$I$13)&gt;=4,0.9,IF(COUNT($I$6:$I$13)&gt;=3,0.95,1)))),""""))), """")
"),"")</f>
        <v/>
      </c>
      <c r="W79" s="48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"",""""))))-1),Excepciones!$A:$B,2,0)&gt;=0,IFERROR((INDEX(filter(Precios!$D:$D,(Precios!$A:$A&lt;=$I10)*(Precios!$B:$B&gt;=$I10)*(Precios!$C:$"&amp;"C=W$37)),1)+VLOOKUP(COUNT($I$6:$I$13),Precios!$F:$G,2,0)),""No asegurable""),""No asegurable"")),"""")"),"")</f>
        <v/>
      </c>
      <c r="X79" s="119">
        <f>IFERROR(__xludf.DUMMYFUNCTION("IF($K$10=""Sí"","""",IFERROR(IF($I10="""","""",IF(VLOOKUP(LEFT(X$37,SEARCH(""☃"",SUBSTITUTE(X$37,"" "",""☃"",LEN(X$37)-LEN(SUBSTITUTE(X$37,"" "",""""))))-1),Excepciones!$A:$B,2,0)&gt;=0,IFERROR(INDEX(filter(Precios!$D:$D,(Precios!$A:$A&lt;=$I10)*(Precios!$B:$B&gt;"&amp;"=$I10)*(Precios!$C:$C=X$37)),1),""No asegurable""),""No asegurable"")),""""))"),"")</f>
        <v/>
      </c>
      <c r="Y79" s="48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79" s="48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79" s="48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79" s="48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79" s="49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79" s="5" t="n"/>
      <c r="AE79" s="5" t="n"/>
      <c r="AF79" s="5" t="n"/>
      <c r="AG79" s="5" t="n"/>
      <c r="AH79" s="125" t="n"/>
      <c r="AI79" s="125" t="n"/>
      <c r="AJ79" s="5" t="n"/>
      <c r="AK79" s="125" t="n"/>
      <c r="AL79" s="125" t="n"/>
    </row>
    <row r="80" ht="27.75" customHeight="1" s="241">
      <c r="L80" s="116" t="n">
        <v>6</v>
      </c>
      <c r="M80" s="48" t="n"/>
      <c r="N80" s="48">
        <f>IF(OR(N62="",N62=0),"",N62+(VLOOKUP(COUNT($I$6:$I$13),Precios!$F:$H,2,0)))</f>
        <v/>
      </c>
      <c r="O80" s="48">
        <f>IF(OR(O62="",O62=0),"",O62+(VLOOKUP(COUNT($I$6:$I$13),Precios!$F:$H,2,0)))</f>
        <v/>
      </c>
      <c r="P80" s="48">
        <f>IFERROR(__xludf.DUMMYFUNCTION("IFERROR(IF($K$10=""Sí"","""",IF($I11="""","""",IF(VLOOKUP(LEFT(P$37,SEARCH(""☃"",SUBSTITUTE(P$37,"" "",""☃"",LEN(P$37)-LEN(SUBSTITUTE(P$37,"" "",""""))))-1),Excepciones!$A:$B,2,0)&gt;=0,IF(INDEX(FILTER(Precios!$D:$D,(Precios!$A:$A&lt;=$I11)*(Precios!$B:$B&gt;=$I11"&amp;")*(Precios!$C:$C=P$37)),1)*IF(COUNT($I$6:$I$13)&gt;=5,0.85,IF(COUNT($I$6:$I$13)&gt;=4,0.9,IF(COUNT($I$6:$I$13)&gt;=3,0.95,1)))=0,"""",INDEX(FILTER(Precios!$D:$D,(Precios!$A:$A&lt;=$I11)*(Precios!$B:$B&gt;=$I11)*(Precios!$C:$C=P$37)),1)*IF(COUNT($I$6:$I$13)&gt;=5,0.85,IF(CO"&amp;"UNT($I$6:$I$13)&gt;=4,0.9,IF(COUNT($I$6:$I$13)&gt;=3,0.95,1)))),""""))), """")
"),"")</f>
        <v/>
      </c>
      <c r="Q80" s="48">
        <f>IF(OR(Q62="",Q62=0),"",Q62+(VLOOKUP(COUNT($I$6:$I$13),Precios!$F:$H,2,0)))</f>
        <v/>
      </c>
      <c r="R80" s="48">
        <f>IF(OR(R62="",R62=0),"",R62+(VLOOKUP(COUNT($I$6:$I$13),Precios!$F:$H,2,0)))</f>
        <v/>
      </c>
      <c r="S80" s="48">
        <f>IFERROR(__xludf.DUMMYFUNCTION("IFERROR(IF($K$10=""Sí"","""",IF($I11="""","""",IF(VLOOKUP(LEFT(S$37,SEARCH(""☃"",SUBSTITUTE(S$37,"" "",""☃"",LEN(S$37)-LEN(SUBSTITUTE(S$37,"" "",""""))))-1),Excepciones!$A:$B,2,0)&gt;=0,IF(INDEX(FILTER(Precios!$D:$D,(Precios!$A:$A&lt;=$I11)*(Precios!$B:$B&gt;=$I11"&amp;")*(Precios!$C:$C=S$37)),1)*IF(COUNT($I$6:$I$13)&gt;=5,0.85,IF(COUNT($I$6:$I$13)&gt;=4,0.9,IF(COUNT($I$6:$I$13)&gt;=3,0.95,1)))=0,"""",INDEX(FILTER(Precios!$D:$D,(Precios!$A:$A&lt;=$I11)*(Precios!$B:$B&gt;=$I11)*(Precios!$C:$C=S$37)),1)*IF(COUNT($I$6:$I$13)&gt;=5,0.85,IF(CO"&amp;"UNT($I$6:$I$13)&gt;=4,0.9,IF(COUNT($I$6:$I$13)&gt;=3,0.95,1)))),""""))), """")
"),"")</f>
        <v/>
      </c>
      <c r="T80" s="48">
        <f>IFERROR(__xludf.DUMMYFUNCTION("IFERROR(IF($I11="""","""",IF(VLOOKUP(LEFT(T$37,SEARCH(""☃"",SUBSTITUTE(T$37,"" "",""☃"",LEN(T$37)-LEN(SUBSTITUTE(T$37,"" "",""""))))-1),Excepciones!$A:$B,2,0)&gt;=0,IFERROR((INDEX(filter(Precios!$D:$D,(Precios!$A:$A&lt;=$I11)*(Precios!$B:$B&gt;=$I11)*(Precios!$C:$"&amp;"C=T$37)),1)+VLOOKUP(COUNT($I$6:$I$13),Precios!$F:$G,2,0)),""""),"""")),"""")"),"")</f>
        <v/>
      </c>
      <c r="U80" s="48">
        <f>IF(OR(U62="",U62=0),"",U62+(VLOOKUP(COUNT($I$6:$I$13),Precios!$F:$H,2,0)))</f>
        <v/>
      </c>
      <c r="V80" s="48">
        <f>IFERROR(__xludf.DUMMYFUNCTION("IFERROR(IF($K$10=""Sí"","""",IF($I11="""","""",IF(VLOOKUP(LEFT(V$37,SEARCH(""☃"",SUBSTITUTE(V$37,"" "",""☃"",LEN(V$37)-LEN(SUBSTITUTE(V$37,"" "",""""))))-1),Excepciones!$A:$B,2,0)&gt;=0,IF(INDEX(FILTER(Precios!$D:$D,(Precios!$A:$A&lt;=$I11)*(Precios!$B:$B&gt;=$I11"&amp;")*(Precios!$C:$C=V$37)),1)*IF(COUNT($I$6:$I$13)&gt;=5,0.85,IF(COUNT($I$6:$I$13)&gt;=4,0.9,IF(COUNT($I$6:$I$13)&gt;=3,0.95,1)))=0,"""",INDEX(FILTER(Precios!$D:$D,(Precios!$A:$A&lt;=$I11)*(Precios!$B:$B&gt;=$I11)*(Precios!$C:$C=V$37)),1)*IF(COUNT($I$6:$I$13)&gt;=5,0.85,IF(CO"&amp;"UNT($I$6:$I$13)&gt;=4,0.9,IF(COUNT($I$6:$I$13)&gt;=3,0.95,1)))),""""))), """")
"),"")</f>
        <v/>
      </c>
      <c r="W80" s="48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"",""""))))-1),Excepciones!$A:$B,2,0)&gt;=0,IFERROR((INDEX(filter(Precios!$D:$D,(Precios!$A:$A&lt;=$I11)*(Precios!$B:$B&gt;=$I11)*(Precios!$C:$"&amp;"C=W$37)),1)+VLOOKUP(COUNT($I$6:$I$13),Precios!$F:$G,2,0)),""No asegurable""),""No asegurable"")),"""")"),"")</f>
        <v/>
      </c>
      <c r="X80" s="119">
        <f>IFERROR(__xludf.DUMMYFUNCTION("IF($K$10=""Sí"","""",IFERROR(IF($I11="""","""",IF(VLOOKUP(LEFT(X$37,SEARCH(""☃"",SUBSTITUTE(X$37,"" "",""☃"",LEN(X$37)-LEN(SUBSTITUTE(X$37,"" "",""""))))-1),Excepciones!$A:$B,2,0)&gt;=0,IFERROR(INDEX(filter(Precios!$D:$D,(Precios!$A:$A&lt;=$I11)*(Precios!$B:$B&gt;"&amp;"=$I11)*(Precios!$C:$C=X$37)),1),""No asegurable""),""No asegurable"")),""""))"),"")</f>
        <v/>
      </c>
      <c r="Y80" s="48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80" s="48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80" s="48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80" s="48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80" s="49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80" s="5" t="n"/>
      <c r="AE80" s="5" t="n"/>
      <c r="AF80" s="5" t="n"/>
      <c r="AG80" s="5" t="n"/>
      <c r="AH80" s="125" t="n"/>
      <c r="AI80" s="125" t="n"/>
      <c r="AJ80" s="5" t="n"/>
      <c r="AK80" s="125" t="n"/>
      <c r="AL80" s="125" t="n"/>
    </row>
    <row r="81" ht="27.75" customHeight="1" s="241">
      <c r="L81" s="116" t="n">
        <v>7</v>
      </c>
      <c r="M81" s="48" t="n"/>
      <c r="N81" s="48">
        <f>IF(OR(N63="",N63=0),"",N63+(VLOOKUP(COUNT($I$6:$I$13),Precios!$F:$H,2,0)))</f>
        <v/>
      </c>
      <c r="O81" s="48">
        <f>IF(OR(O63="",O63=0),"",O63+(VLOOKUP(COUNT($I$6:$I$13),Precios!$F:$H,2,0)))</f>
        <v/>
      </c>
      <c r="P81" s="48">
        <f>IFERROR(__xludf.DUMMYFUNCTION("IFERROR(IF($K$10=""Sí"","""",IF($I12="""","""",IF(VLOOKUP(LEFT(P$37,SEARCH(""☃"",SUBSTITUTE(P$37,"" "",""☃"",LEN(P$37)-LEN(SUBSTITUTE(P$37,"" "",""""))))-1),Excepciones!$A:$B,2,0)&gt;=0,IF(INDEX(FILTER(Precios!$D:$D,(Precios!$A:$A&lt;=$I12)*(Precios!$B:$B&gt;=$I12"&amp;")*(Precios!$C:$C=P$37)),1)*IF(COUNT($I$6:$I$13)&gt;=5,0.85,IF(COUNT($I$6:$I$13)&gt;=4,0.9,IF(COUNT($I$6:$I$13)&gt;=3,0.95,1)))=0,"""",INDEX(FILTER(Precios!$D:$D,(Precios!$A:$A&lt;=$I12)*(Precios!$B:$B&gt;=$I12)*(Precios!$C:$C=P$37)),1)*IF(COUNT($I$6:$I$13)&gt;=5,0.85,IF(CO"&amp;"UNT($I$6:$I$13)&gt;=4,0.9,IF(COUNT($I$6:$I$13)&gt;=3,0.95,1)))),""""))), """")
"),"")</f>
        <v/>
      </c>
      <c r="Q81" s="48">
        <f>IF(OR(Q63="",Q63=0),"",Q63+(VLOOKUP(COUNT($I$6:$I$13),Precios!$F:$H,2,0)))</f>
        <v/>
      </c>
      <c r="R81" s="48">
        <f>IF(OR(R63="",R63=0),"",R63+(VLOOKUP(COUNT($I$6:$I$13),Precios!$F:$H,2,0)))</f>
        <v/>
      </c>
      <c r="S81" s="48">
        <f>IFERROR(__xludf.DUMMYFUNCTION("IFERROR(IF($K$10=""Sí"","""",IF($I12="""","""",IF(VLOOKUP(LEFT(S$37,SEARCH(""☃"",SUBSTITUTE(S$37,"" "",""☃"",LEN(S$37)-LEN(SUBSTITUTE(S$37,"" "",""""))))-1),Excepciones!$A:$B,2,0)&gt;=0,IF(INDEX(FILTER(Precios!$D:$D,(Precios!$A:$A&lt;=$I12)*(Precios!$B:$B&gt;=$I12"&amp;")*(Precios!$C:$C=S$37)),1)*IF(COUNT($I$6:$I$13)&gt;=5,0.85,IF(COUNT($I$6:$I$13)&gt;=4,0.9,IF(COUNT($I$6:$I$13)&gt;=3,0.95,1)))=0,"""",INDEX(FILTER(Precios!$D:$D,(Precios!$A:$A&lt;=$I12)*(Precios!$B:$B&gt;=$I12)*(Precios!$C:$C=S$37)),1)*IF(COUNT($I$6:$I$13)&gt;=5,0.85,IF(CO"&amp;"UNT($I$6:$I$13)&gt;=4,0.9,IF(COUNT($I$6:$I$13)&gt;=3,0.95,1)))),""""))), """")
"),"")</f>
        <v/>
      </c>
      <c r="T81" s="48">
        <f>IFERROR(__xludf.DUMMYFUNCTION("IFERROR(IF($I12="""","""",IF(VLOOKUP(LEFT(T$37,SEARCH(""☃"",SUBSTITUTE(T$37,"" "",""☃"",LEN(T$37)-LEN(SUBSTITUTE(T$37,"" "",""""))))-1),Excepciones!$A:$B,2,0)&gt;=0,IFERROR((INDEX(filter(Precios!$D:$D,(Precios!$A:$A&lt;=$I12)*(Precios!$B:$B&gt;=$I12)*(Precios!$C:$"&amp;"C=T$37)),1)+VLOOKUP(COUNT($I$6:$I$13),Precios!$F:$G,2,0)),""""),"""")),"""")"),"")</f>
        <v/>
      </c>
      <c r="U81" s="48">
        <f>IF(OR(U63="",U63=0),"",U63+(VLOOKUP(COUNT($I$6:$I$13),Precios!$F:$H,2,0)))</f>
        <v/>
      </c>
      <c r="V81" s="48">
        <f>IFERROR(__xludf.DUMMYFUNCTION("IFERROR(IF($K$10=""Sí"","""",IF($I12="""","""",IF(VLOOKUP(LEFT(V$37,SEARCH(""☃"",SUBSTITUTE(V$37,"" "",""☃"",LEN(V$37)-LEN(SUBSTITUTE(V$37,"" "",""""))))-1),Excepciones!$A:$B,2,0)&gt;=0,IF(INDEX(FILTER(Precios!$D:$D,(Precios!$A:$A&lt;=$I12)*(Precios!$B:$B&gt;=$I12"&amp;")*(Precios!$C:$C=V$37)),1)*IF(COUNT($I$6:$I$13)&gt;=5,0.85,IF(COUNT($I$6:$I$13)&gt;=4,0.9,IF(COUNT($I$6:$I$13)&gt;=3,0.95,1)))=0,"""",INDEX(FILTER(Precios!$D:$D,(Precios!$A:$A&lt;=$I12)*(Precios!$B:$B&gt;=$I12)*(Precios!$C:$C=V$37)),1)*IF(COUNT($I$6:$I$13)&gt;=5,0.85,IF(CO"&amp;"UNT($I$6:$I$13)&gt;=4,0.9,IF(COUNT($I$6:$I$13)&gt;=3,0.95,1)))),""""))), """")
"),"")</f>
        <v/>
      </c>
      <c r="W81" s="48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"",""""))))-1),Excepciones!$A:$B,2,0)&gt;=0,IFERROR((INDEX(filter(Precios!$D:$D,(Precios!$A:$A&lt;=$I12)*(Precios!$B:$B&gt;=$I12)*(Precios!$C:$"&amp;"C=W$37)),1)+VLOOKUP(COUNT($I$6:$I$13),Precios!$F:$G,2,0)),""No asegurable""),""No asegurable"")),"""")"),"")</f>
        <v/>
      </c>
      <c r="X81" s="119">
        <f>IFERROR(__xludf.DUMMYFUNCTION("IF($K$10=""Sí"","""",IFERROR(IF($I12="""","""",IF(VLOOKUP(LEFT(X$37,SEARCH(""☃"",SUBSTITUTE(X$37,"" "",""☃"",LEN(X$37)-LEN(SUBSTITUTE(X$37,"" "",""""))))-1),Excepciones!$A:$B,2,0)&gt;=0,IFERROR(INDEX(filter(Precios!$D:$D,(Precios!$A:$A&lt;=$I12)*(Precios!$B:$B&gt;"&amp;"=$I12)*(Precios!$C:$C=X$37)),1),""No asegurable""),""No asegurable"")),""""))"),"")</f>
        <v/>
      </c>
      <c r="Y81" s="48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81" s="48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81" s="48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81" s="48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81" s="49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81" s="5" t="n"/>
      <c r="AE81" s="5" t="n"/>
      <c r="AF81" s="5" t="n"/>
      <c r="AG81" s="5" t="n"/>
      <c r="AH81" s="125" t="n"/>
      <c r="AI81" s="125" t="n"/>
      <c r="AJ81" s="5" t="n"/>
      <c r="AK81" s="125" t="n"/>
      <c r="AL81" s="125" t="n"/>
    </row>
    <row r="82" ht="27.75" customHeight="1" s="241">
      <c r="L82" s="116" t="n">
        <v>8</v>
      </c>
      <c r="M82" s="48" t="n"/>
      <c r="N82" s="48">
        <f>IF(OR(N64="",N64=0),"",N64+(VLOOKUP(COUNT($I$6:$I$13),Precios!$F:$H,2,0)))</f>
        <v/>
      </c>
      <c r="O82" s="48">
        <f>IF(OR(O64="",O64=0),"",O64+(VLOOKUP(COUNT($I$6:$I$13),Precios!$F:$H,2,0)))</f>
        <v/>
      </c>
      <c r="P82" s="48">
        <f>IFERROR(__xludf.DUMMYFUNCTION("IFERROR(IF($K$10=""Sí"","""",IF($I13="""","""",IF(VLOOKUP(LEFT(P$37,SEARCH(""☃"",SUBSTITUTE(P$37,"" "",""☃"",LEN(P$37)-LEN(SUBSTITUTE(P$37,"" "",""""))))-1),Excepciones!$A:$B,2,0)&gt;=0,IF(INDEX(FILTER(Precios!$D:$D,(Precios!$A:$A&lt;=$I13)*(Precios!$B:$B&gt;=$I13"&amp;")*(Precios!$C:$C=P$37)),1)*IF(COUNT($I$6:$I$13)&gt;=5,0.85,IF(COUNT($I$6:$I$13)&gt;=4,0.9,IF(COUNT($I$6:$I$13)&gt;=3,0.95,1)))=0,"""",INDEX(FILTER(Precios!$D:$D,(Precios!$A:$A&lt;=$I13)*(Precios!$B:$B&gt;=$I13)*(Precios!$C:$C=P$37)),1)*IF(COUNT($I$6:$I$13)&gt;=5,0.85,IF(CO"&amp;"UNT($I$6:$I$13)&gt;=4,0.9,IF(COUNT($I$6:$I$13)&gt;=3,0.95,1)))),""""))), """")
"),"")</f>
        <v/>
      </c>
      <c r="Q82" s="48">
        <f>IF(OR(Q64="",Q64=0),"",Q64+(VLOOKUP(COUNT($I$6:$I$13),Precios!$F:$H,2,0)))</f>
        <v/>
      </c>
      <c r="R82" s="48">
        <f>IF(OR(R64="",R64=0),"",R64+(VLOOKUP(COUNT($I$6:$I$13),Precios!$F:$H,2,0)))</f>
        <v/>
      </c>
      <c r="S82" s="48">
        <f>IFERROR(__xludf.DUMMYFUNCTION("IFERROR(IF($K$10=""Sí"","""",IF($I13="""","""",IF(VLOOKUP(LEFT(S$37,SEARCH(""☃"",SUBSTITUTE(S$37,"" "",""☃"",LEN(S$37)-LEN(SUBSTITUTE(S$37,"" "",""""))))-1),Excepciones!$A:$B,2,0)&gt;=0,IF(INDEX(FILTER(Precios!$D:$D,(Precios!$A:$A&lt;=$I13)*(Precios!$B:$B&gt;=$I13"&amp;")*(Precios!$C:$C=S$37)),1)*IF(COUNT($I$6:$I$13)&gt;=5,0.85,IF(COUNT($I$6:$I$13)&gt;=4,0.9,IF(COUNT($I$6:$I$13)&gt;=3,0.95,1)))=0,"""",INDEX(FILTER(Precios!$D:$D,(Precios!$A:$A&lt;=$I13)*(Precios!$B:$B&gt;=$I13)*(Precios!$C:$C=S$37)),1)*IF(COUNT($I$6:$I$13)&gt;=5,0.85,IF(CO"&amp;"UNT($I$6:$I$13)&gt;=4,0.9,IF(COUNT($I$6:$I$13)&gt;=3,0.95,1)))),""""))), """")
"),"")</f>
        <v/>
      </c>
      <c r="T82" s="48">
        <f>IFERROR(__xludf.DUMMYFUNCTION("IFERROR(IF($I13="""","""",IF(VLOOKUP(LEFT(T$37,SEARCH(""☃"",SUBSTITUTE(T$37,"" "",""☃"",LEN(T$37)-LEN(SUBSTITUTE(T$37,"" "",""""))))-1),Excepciones!$A:$B,2,0)&gt;=0,IFERROR((INDEX(filter(Precios!$D:$D,(Precios!$A:$A&lt;=$I13)*(Precios!$B:$B&gt;=$I13)*(Precios!$C:$"&amp;"C=T$37)),1)+VLOOKUP(COUNT($I$6:$I$13),Precios!$F:$G,2,0)),""""),"""")),"""")"),"")</f>
        <v/>
      </c>
      <c r="U82" s="48">
        <f>IF(OR(U64="",U64=0),"",U64+(VLOOKUP(COUNT($I$6:$I$13),Precios!$F:$H,2,0)))</f>
        <v/>
      </c>
      <c r="V82" s="48">
        <f>IFERROR(__xludf.DUMMYFUNCTION("IFERROR(IF($K$10=""Sí"","""",IF($I13="""","""",IF(VLOOKUP(LEFT(V$37,SEARCH(""☃"",SUBSTITUTE(V$37,"" "",""☃"",LEN(V$37)-LEN(SUBSTITUTE(V$37,"" "",""""))))-1),Excepciones!$A:$B,2,0)&gt;=0,IF(INDEX(FILTER(Precios!$D:$D,(Precios!$A:$A&lt;=$I13)*(Precios!$B:$B&gt;=$I13"&amp;")*(Precios!$C:$C=V$37)),1)*IF(COUNT($I$6:$I$13)&gt;=5,0.85,IF(COUNT($I$6:$I$13)&gt;=4,0.9,IF(COUNT($I$6:$I$13)&gt;=3,0.95,1)))=0,"""",INDEX(FILTER(Precios!$D:$D,(Precios!$A:$A&lt;=$I13)*(Precios!$B:$B&gt;=$I13)*(Precios!$C:$C=V$37)),1)*IF(COUNT($I$6:$I$13)&gt;=5,0.85,IF(CO"&amp;"UNT($I$6:$I$13)&gt;=4,0.9,IF(COUNT($I$6:$I$13)&gt;=3,0.95,1)))),""""))), """")
"),"")</f>
        <v/>
      </c>
      <c r="W82" s="48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"",""""))))-1),Excepciones!$A:$B,2,0)&gt;=0,IFERROR((INDEX(filter(Precios!$D:$D,(Precios!$A:$A&lt;=$I13)*(Precios!$B:$B&gt;=$I13)*(Precios!$C:$"&amp;"C=W$37)),1)+VLOOKUP(COUNT($I$6:$I$13),Precios!$F:$G,2,0)),""No asegurable""),""No asegurable"")),"""")"),"")</f>
        <v/>
      </c>
      <c r="X82" s="119">
        <f>IFERROR(__xludf.DUMMYFUNCTION("IF($K$10=""Sí"","""",IFERROR(IF($I13="""","""",IF(VLOOKUP(LEFT(X$37,SEARCH(""☃"",SUBSTITUTE(X$37,"" "",""☃"",LEN(X$37)-LEN(SUBSTITUTE(X$37,"" "",""""))))-1),Excepciones!$A:$B,2,0)&gt;=0,IFERROR(INDEX(filter(Precios!$D:$D,(Precios!$A:$A&lt;=$I13)*(Precios!$B:$B&gt;"&amp;"=$I13)*(Precios!$C:$C=X$37)),1),""No asegurable""),""No asegurable"")),""""))"),"")</f>
        <v/>
      </c>
      <c r="Y82" s="48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82" s="48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82" s="48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82" s="48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82" s="49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82" s="5" t="n"/>
      <c r="AE82" s="5" t="n"/>
      <c r="AF82" s="5" t="n"/>
      <c r="AG82" s="5" t="n"/>
      <c r="AH82" s="125" t="n"/>
      <c r="AI82" s="125" t="n"/>
      <c r="AJ82" s="5" t="n"/>
      <c r="AK82" s="125" t="n"/>
      <c r="AL82" s="125" t="n"/>
    </row>
    <row r="83" ht="27.75" customHeight="1" s="241">
      <c r="L83" s="116" t="n">
        <v>9</v>
      </c>
      <c r="M83" s="5" t="n"/>
      <c r="N83" s="48">
        <f>IF(OR(N65="",N65=0),"",N65+(VLOOKUP(COUNT($I$6:$I$13),Precios!$F:$H,2,0)))</f>
        <v/>
      </c>
      <c r="O83" s="48">
        <f>IF(OR(O65="",O65=0),"",O65+(VLOOKUP(COUNT($I$6:$I$13),Precios!$F:$H,2,0)))</f>
        <v/>
      </c>
      <c r="P83" s="48">
        <f>IFERROR(__xludf.DUMMYFUNCTION("IFERROR(IF($K$10=""Sí"","""",IF($I14="""","""",IF(VLOOKUP(LEFT(P$37,SEARCH(""☃"",SUBSTITUTE(P$37,"" "",""☃"",LEN(P$37)-LEN(SUBSTITUTE(P$37,"" "",""""))))-1),Excepciones!$A:$B,2,0)&gt;=0,IF(INDEX(FILTER(Precios!$D:$D,(Precios!$A:$A&lt;=$I14)*(Precios!$B:$B&gt;=$I14"&amp;")*(Precios!$C:$C=P$37)),1)*IF(COUNT($I$6:$I$13)&gt;=5,0.85,IF(COUNT($I$6:$I$13)&gt;=4,0.9,IF(COUNT($I$6:$I$13)&gt;=3,0.95,1)))=0,"""",INDEX(FILTER(Precios!$D:$D,(Precios!$A:$A&lt;=$I14)*(Precios!$B:$B&gt;=$I14)*(Precios!$C:$C=P$37)),1)*IF(COUNT($I$6:$I$13)&gt;=5,0.85,IF(CO"&amp;"UNT($I$6:$I$13)&gt;=4,0.9,IF(COUNT($I$6:$I$13)&gt;=3,0.95,1)))),""""))), """")
"),"")</f>
        <v/>
      </c>
      <c r="Q83" s="48">
        <f>IF(OR(Q65="",Q65=0),"",Q65+(VLOOKUP(COUNT($I$6:$I$13),Precios!$F:$H,2,0)))</f>
        <v/>
      </c>
      <c r="R83" s="48">
        <f>IF(OR(R65="",R65=0),"",R65+(VLOOKUP(COUNT($I$6:$I$13),Precios!$F:$H,2,0)))</f>
        <v/>
      </c>
      <c r="S83" s="48">
        <f>IFERROR(__xludf.DUMMYFUNCTION("IFERROR(IF($K$10=""Sí"","""",IF($I14="""","""",IF(VLOOKUP(LEFT(S$37,SEARCH(""☃"",SUBSTITUTE(S$37,"" "",""☃"",LEN(S$37)-LEN(SUBSTITUTE(S$37,"" "",""""))))-1),Excepciones!$A:$B,2,0)&gt;=0,IF(INDEX(FILTER(Precios!$D:$D,(Precios!$A:$A&lt;=$I14)*(Precios!$B:$B&gt;=$I14"&amp;")*(Precios!$C:$C=S$37)),1)*IF(COUNT($I$6:$I$13)&gt;=5,0.85,IF(COUNT($I$6:$I$13)&gt;=4,0.9,IF(COUNT($I$6:$I$13)&gt;=3,0.95,1)))=0,"""",INDEX(FILTER(Precios!$D:$D,(Precios!$A:$A&lt;=$I14)*(Precios!$B:$B&gt;=$I14)*(Precios!$C:$C=S$37)),1)*IF(COUNT($I$6:$I$13)&gt;=5,0.85,IF(CO"&amp;"UNT($I$6:$I$13)&gt;=4,0.9,IF(COUNT($I$6:$I$13)&gt;=3,0.95,1)))),""""))), """")
"),"")</f>
        <v/>
      </c>
      <c r="T83" s="48">
        <f>IFERROR(__xludf.DUMMYFUNCTION("IFERROR(IF($I14="""","""",IF(VLOOKUP(LEFT(T$37,SEARCH(""☃"",SUBSTITUTE(T$37,"" "",""☃"",LEN(T$37)-LEN(SUBSTITUTE(T$37,"" "",""""))))-1),Excepciones!$A:$B,2,0)&gt;=0,IFERROR((INDEX(filter(Precios!$D:$D,(Precios!$A:$A&lt;=$I14)*(Precios!$B:$B&gt;=$I14)*(Precios!$C:$"&amp;"C=T$37)),1)+VLOOKUP(COUNT($I$6:$I$13),Precios!$F:$G,2,0)),""""),"""")),"""")"),"")</f>
        <v/>
      </c>
      <c r="U83" s="48">
        <f>IF(OR(U65="",U65=0),"",U65+(VLOOKUP(COUNT($I$6:$I$13),Precios!$F:$H,2,0)))</f>
        <v/>
      </c>
      <c r="V83" s="48">
        <f>IFERROR(__xludf.DUMMYFUNCTION("IFERROR(IF($K$10=""Sí"","""",IF($I14="""","""",IF(VLOOKUP(LEFT(V$37,SEARCH(""☃"",SUBSTITUTE(V$37,"" "",""☃"",LEN(V$37)-LEN(SUBSTITUTE(V$37,"" "",""""))))-1),Excepciones!$A:$B,2,0)&gt;=0,IF(INDEX(FILTER(Precios!$D:$D,(Precios!$A:$A&lt;=$I14)*(Precios!$B:$B&gt;=$I14"&amp;")*(Precios!$C:$C=V$37)),1)*IF(COUNT($I$6:$I$13)&gt;=5,0.85,IF(COUNT($I$6:$I$13)&gt;=4,0.9,IF(COUNT($I$6:$I$13)&gt;=3,0.95,1)))=0,"""",INDEX(FILTER(Precios!$D:$D,(Precios!$A:$A&lt;=$I14)*(Precios!$B:$B&gt;=$I14)*(Precios!$C:$C=V$37)),1)*IF(COUNT($I$6:$I$13)&gt;=5,0.85,IF(CO"&amp;"UNT($I$6:$I$13)&gt;=4,0.9,IF(COUNT($I$6:$I$13)&gt;=3,0.95,1)))),""""))), """")
"),"")</f>
        <v/>
      </c>
      <c r="W83" s="48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"",""""))))-1),Excepciones!$A:$B,2,0)&gt;=0,IFERROR((INDEX(filter(Precios!$D:$D,(Precios!$A:$A&lt;=$I14)*(Precios!$B:$B&gt;=$I14)*(Precios!$C:$"&amp;"C=W$37)),1)+VLOOKUP(COUNT($I$6:$I$13),Precios!$F:$G,2,0)),""No asegurable""),""No asegurable"")),"""")"),"")</f>
        <v/>
      </c>
      <c r="X83" s="119">
        <f>IFERROR(__xludf.DUMMYFUNCTION("IF($K$10=""Sí"","""",IFERROR(IF($I14="""","""",IF(VLOOKUP(LEFT(X$37,SEARCH(""☃"",SUBSTITUTE(X$37,"" "",""☃"",LEN(X$37)-LEN(SUBSTITUTE(X$37,"" "",""""))))-1),Excepciones!$A:$B,2,0)&gt;=0,IFERROR(INDEX(filter(Precios!$D:$D,(Precios!$A:$A&lt;=$I14)*(Precios!$B:$B&gt;"&amp;"=$I14)*(Precios!$C:$C=X$37)),1),""No asegurable""),""No asegurable"")),""""))"),"")</f>
        <v/>
      </c>
      <c r="Y83" s="48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83" s="48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83" s="48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83" s="48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83" s="49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83" s="5" t="n"/>
      <c r="AE83" s="5" t="n"/>
      <c r="AF83" s="5" t="n"/>
      <c r="AG83" s="5" t="n"/>
      <c r="AH83" s="125" t="n"/>
      <c r="AI83" s="125" t="n"/>
      <c r="AJ83" s="5" t="n"/>
      <c r="AK83" s="125" t="n"/>
      <c r="AL83" s="125" t="n"/>
    </row>
    <row r="84" ht="27.75" customHeight="1" s="241">
      <c r="L84" s="116" t="n">
        <v>10</v>
      </c>
      <c r="N84" s="48">
        <f>IF(OR(N66="",N66=0),"",N66+(VLOOKUP(COUNT($I$6:$I$13),Precios!$F:$H,2,0)))</f>
        <v/>
      </c>
      <c r="O84" s="48">
        <f>IF(OR(O66="",O66=0),"",O66+(VLOOKUP(COUNT($I$6:$I$13),Precios!$F:$H,2,0)))</f>
        <v/>
      </c>
      <c r="P84" s="48">
        <f>IFERROR(__xludf.DUMMYFUNCTION("IFERROR(IF($K$10=""Sí"","""",IF($I15="""","""",IF(VLOOKUP(LEFT(P$37,SEARCH(""☃"",SUBSTITUTE(P$37,"" "",""☃"",LEN(P$37)-LEN(SUBSTITUTE(P$37,"" "",""""))))-1),Excepciones!$A:$B,2,0)&gt;=0,IF(INDEX(FILTER(Precios!$D:$D,(Precios!$A:$A&lt;=$I15)*(Precios!$B:$B&gt;=$I15"&amp;")*(Precios!$C:$C=P$37)),1)*IF(COUNT($I$6:$I$13)&gt;=5,0.85,IF(COUNT($I$6:$I$13)&gt;=4,0.9,IF(COUNT($I$6:$I$13)&gt;=3,0.95,1)))=0,"""",INDEX(FILTER(Precios!$D:$D,(Precios!$A:$A&lt;=$I15)*(Precios!$B:$B&gt;=$I15)*(Precios!$C:$C=P$37)),1)*IF(COUNT($I$6:$I$13)&gt;=5,0.85,IF(CO"&amp;"UNT($I$6:$I$13)&gt;=4,0.9,IF(COUNT($I$6:$I$13)&gt;=3,0.95,1)))),""""))), """")
"),"")</f>
        <v/>
      </c>
      <c r="Q84" s="48">
        <f>IF(OR(Q66="",Q66=0),"",Q66+(VLOOKUP(COUNT($I$6:$I$13),Precios!$F:$H,2,0)))</f>
        <v/>
      </c>
      <c r="R84" s="48">
        <f>IF(OR(R66="",R66=0),"",R66+(VLOOKUP(COUNT($I$6:$I$13),Precios!$F:$H,2,0)))</f>
        <v/>
      </c>
      <c r="S84" s="48">
        <f>IFERROR(__xludf.DUMMYFUNCTION("IFERROR(IF($K$10=""Sí"","""",IF($I15="""","""",IF(VLOOKUP(LEFT(S$37,SEARCH(""☃"",SUBSTITUTE(S$37,"" "",""☃"",LEN(S$37)-LEN(SUBSTITUTE(S$37,"" "",""""))))-1),Excepciones!$A:$B,2,0)&gt;=0,IF(INDEX(FILTER(Precios!$D:$D,(Precios!$A:$A&lt;=$I15)*(Precios!$B:$B&gt;=$I15"&amp;")*(Precios!$C:$C=S$37)),1)*IF(COUNT($I$6:$I$13)&gt;=5,0.85,IF(COUNT($I$6:$I$13)&gt;=4,0.9,IF(COUNT($I$6:$I$13)&gt;=3,0.95,1)))=0,"""",INDEX(FILTER(Precios!$D:$D,(Precios!$A:$A&lt;=$I15)*(Precios!$B:$B&gt;=$I15)*(Precios!$C:$C=S$37)),1)*IF(COUNT($I$6:$I$13)&gt;=5,0.85,IF(CO"&amp;"UNT($I$6:$I$13)&gt;=4,0.9,IF(COUNT($I$6:$I$13)&gt;=3,0.95,1)))),""""))), """")
"),"")</f>
        <v/>
      </c>
      <c r="T84" s="48">
        <f>IFERROR(__xludf.DUMMYFUNCTION("IFERROR(IF($I15="""","""",IF(VLOOKUP(LEFT(T$37,SEARCH(""☃"",SUBSTITUTE(T$37,"" "",""☃"",LEN(T$37)-LEN(SUBSTITUTE(T$37,"" "",""""))))-1),Excepciones!$A:$B,2,0)&gt;=0,IFERROR((INDEX(filter(Precios!$D:$D,(Precios!$A:$A&lt;=$I15)*(Precios!$B:$B&gt;=$I15)*(Precios!$C:$"&amp;"C=T$37)),1)+VLOOKUP(COUNT($I$6:$I$13),Precios!$F:$G,2,0)),""""),"""")),"""")"),"")</f>
        <v/>
      </c>
      <c r="U84" s="48">
        <f>IF(OR(U66="",U66=0),"",U66+(VLOOKUP(COUNT($I$6:$I$13),Precios!$F:$H,2,0)))</f>
        <v/>
      </c>
      <c r="V84" s="48">
        <f>IFERROR(__xludf.DUMMYFUNCTION("IFERROR(IF($K$10=""Sí"","""",IF($I15="""","""",IF(VLOOKUP(LEFT(V$37,SEARCH(""☃"",SUBSTITUTE(V$37,"" "",""☃"",LEN(V$37)-LEN(SUBSTITUTE(V$37,"" "",""""))))-1),Excepciones!$A:$B,2,0)&gt;=0,IF(INDEX(FILTER(Precios!$D:$D,(Precios!$A:$A&lt;=$I15)*(Precios!$B:$B&gt;=$I15"&amp;")*(Precios!$C:$C=V$37)),1)*IF(COUNT($I$6:$I$13)&gt;=5,0.85,IF(COUNT($I$6:$I$13)&gt;=4,0.9,IF(COUNT($I$6:$I$13)&gt;=3,0.95,1)))=0,"""",INDEX(FILTER(Precios!$D:$D,(Precios!$A:$A&lt;=$I15)*(Precios!$B:$B&gt;=$I15)*(Precios!$C:$C=V$37)),1)*IF(COUNT($I$6:$I$13)&gt;=5,0.85,IF(CO"&amp;"UNT($I$6:$I$13)&gt;=4,0.9,IF(COUNT($I$6:$I$13)&gt;=3,0.95,1)))),""""))), """")
"),"")</f>
        <v/>
      </c>
      <c r="W84" s="48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"",""""))))-1),Excepciones!$A:$B,2,0)&gt;=0,IFERROR((INDEX(filter(Precios!$D:$D,(Precios!$A:$A&lt;=$I15)*(Precios!$B:$B&gt;=$I15)*(Precios!$C:$"&amp;"C=W$37)),1)+VLOOKUP(COUNT($I$6:$I$13),Precios!$F:$G,2,0)),""No asegurable""),""No asegurable"")),"""")"),"")</f>
        <v/>
      </c>
      <c r="X84" s="119">
        <f>IFERROR(__xludf.DUMMYFUNCTION("IF($K$10=""Sí"","""",IFERROR(IF($I15="""","""",IF(VLOOKUP(LEFT(X$37,SEARCH(""☃"",SUBSTITUTE(X$37,"" "",""☃"",LEN(X$37)-LEN(SUBSTITUTE(X$37,"" "",""""))))-1),Excepciones!$A:$B,2,0)&gt;=0,IFERROR(INDEX(filter(Precios!$D:$D,(Precios!$A:$A&lt;=$I15)*(Precios!$B:$B&gt;"&amp;"=$I15)*(Precios!$C:$C=X$37)),1),""No asegurable""),""No asegurable"")),""""))"),"")</f>
        <v/>
      </c>
      <c r="Y84" s="48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84" s="48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84" s="48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84" s="48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84" s="49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84" s="5" t="n"/>
      <c r="AE84" s="5" t="n"/>
      <c r="AF84" s="5" t="n"/>
      <c r="AG84" s="5" t="n"/>
      <c r="AH84" s="125" t="n"/>
      <c r="AI84" s="125" t="n"/>
      <c r="AJ84" s="5" t="n"/>
      <c r="AK84" s="125" t="n"/>
      <c r="AL84" s="125" t="n"/>
    </row>
    <row r="85" ht="27.75" customHeight="1" s="241">
      <c r="L85" s="116" t="n">
        <v>11</v>
      </c>
      <c r="N85" s="48">
        <f>IF(OR(N67="",N67=0),"",N67+(VLOOKUP(COUNT($I$6:$I$13),Precios!$F:$H,2,0)))</f>
        <v/>
      </c>
      <c r="O85" s="48">
        <f>IF(OR(O67="",O67=0),"",O67+(VLOOKUP(COUNT($I$6:$I$13),Precios!$F:$H,2,0)))</f>
        <v/>
      </c>
      <c r="P85" s="48">
        <f>IFERROR(__xludf.DUMMYFUNCTION("IFERROR(IF($K$10=""Sí"","""",IF($I16="""","""",IF(VLOOKUP(LEFT(P$37,SEARCH(""☃"",SUBSTITUTE(P$37,"" "",""☃"",LEN(P$37)-LEN(SUBSTITUTE(P$37,"" "",""""))))-1),Excepciones!$A:$B,2,0)&gt;=0,IF(INDEX(FILTER(Precios!$D:$D,(Precios!$A:$A&lt;=$I16)*(Precios!$B:$B&gt;=$I16"&amp;")*(Precios!$C:$C=P$37)),1)*IF(COUNT($I$6:$I$13)&gt;=5,0.85,IF(COUNT($I$6:$I$13)&gt;=4,0.9,IF(COUNT($I$6:$I$13)&gt;=3,0.95,1)))=0,"""",INDEX(FILTER(Precios!$D:$D,(Precios!$A:$A&lt;=$I16)*(Precios!$B:$B&gt;=$I16)*(Precios!$C:$C=P$37)),1)*IF(COUNT($I$6:$I$13)&gt;=5,0.85,IF(CO"&amp;"UNT($I$6:$I$13)&gt;=4,0.9,IF(COUNT($I$6:$I$13)&gt;=3,0.95,1)))),""""))), """")
"),"")</f>
        <v/>
      </c>
      <c r="Q85" s="48">
        <f>IF(OR(Q67="",Q67=0),"",Q67+(VLOOKUP(COUNT($I$6:$I$13),Precios!$F:$H,2,0)))</f>
        <v/>
      </c>
      <c r="R85" s="48">
        <f>IF(OR(R67="",R67=0),"",R67+(VLOOKUP(COUNT($I$6:$I$13),Precios!$F:$H,2,0)))</f>
        <v/>
      </c>
      <c r="S85" s="48">
        <f>IFERROR(__xludf.DUMMYFUNCTION("IFERROR(IF($K$10=""Sí"","""",IF($I16="""","""",IF(VLOOKUP(LEFT(S$37,SEARCH(""☃"",SUBSTITUTE(S$37,"" "",""☃"",LEN(S$37)-LEN(SUBSTITUTE(S$37,"" "",""""))))-1),Excepciones!$A:$B,2,0)&gt;=0,IF(INDEX(FILTER(Precios!$D:$D,(Precios!$A:$A&lt;=$I16)*(Precios!$B:$B&gt;=$I16"&amp;")*(Precios!$C:$C=S$37)),1)*IF(COUNT($I$6:$I$13)&gt;=5,0.85,IF(COUNT($I$6:$I$13)&gt;=4,0.9,IF(COUNT($I$6:$I$13)&gt;=3,0.95,1)))=0,"""",INDEX(FILTER(Precios!$D:$D,(Precios!$A:$A&lt;=$I16)*(Precios!$B:$B&gt;=$I16)*(Precios!$C:$C=S$37)),1)*IF(COUNT($I$6:$I$13)&gt;=5,0.85,IF(CO"&amp;"UNT($I$6:$I$13)&gt;=4,0.9,IF(COUNT($I$6:$I$13)&gt;=3,0.95,1)))),""""))), """")
"),"")</f>
        <v/>
      </c>
      <c r="T85" s="48">
        <f>IFERROR(__xludf.DUMMYFUNCTION("IFERROR(IF($I16="""","""",IF(VLOOKUP(LEFT(T$37,SEARCH(""☃"",SUBSTITUTE(T$37,"" "",""☃"",LEN(T$37)-LEN(SUBSTITUTE(T$37,"" "",""""))))-1),Excepciones!$A:$B,2,0)&gt;=0,IFERROR((INDEX(filter(Precios!$D:$D,(Precios!$A:$A&lt;=$I16)*(Precios!$B:$B&gt;=$I16)*(Precios!$C:$"&amp;"C=T$37)),1)+VLOOKUP(COUNT($I$6:$I$13),Precios!$F:$G,2,0)),""""),"""")),"""")"),"")</f>
        <v/>
      </c>
      <c r="U85" s="48">
        <f>IF(OR(U67="",U67=0),"",U67+(VLOOKUP(COUNT($I$6:$I$13),Precios!$F:$H,2,0)))</f>
        <v/>
      </c>
      <c r="V85" s="48">
        <f>IFERROR(__xludf.DUMMYFUNCTION("IFERROR(IF($K$10=""Sí"","""",IF($I16="""","""",IF(VLOOKUP(LEFT(V$37,SEARCH(""☃"",SUBSTITUTE(V$37,"" "",""☃"",LEN(V$37)-LEN(SUBSTITUTE(V$37,"" "",""""))))-1),Excepciones!$A:$B,2,0)&gt;=0,IF(INDEX(FILTER(Precios!$D:$D,(Precios!$A:$A&lt;=$I16)*(Precios!$B:$B&gt;=$I16"&amp;")*(Precios!$C:$C=V$37)),1)*IF(COUNT($I$6:$I$13)&gt;=5,0.85,IF(COUNT($I$6:$I$13)&gt;=4,0.9,IF(COUNT($I$6:$I$13)&gt;=3,0.95,1)))=0,"""",INDEX(FILTER(Precios!$D:$D,(Precios!$A:$A&lt;=$I16)*(Precios!$B:$B&gt;=$I16)*(Precios!$C:$C=V$37)),1)*IF(COUNT($I$6:$I$13)&gt;=5,0.85,IF(CO"&amp;"UNT($I$6:$I$13)&gt;=4,0.9,IF(COUNT($I$6:$I$13)&gt;=3,0.95,1)))),""""))), """")
"),"")</f>
        <v/>
      </c>
      <c r="W85" s="48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"",""""))))-1),Excepciones!$A:$B,2,0)&gt;=0,IFERROR((INDEX(filter(Precios!$D:$D,(Precios!$A:$A&lt;=$I16)*(Precios!$B:$B&gt;=$I16)*(Precios!$C:$"&amp;"C=W$37)),1)+VLOOKUP(COUNT($I$6:$I$13),Precios!$F:$G,2,0)),""No asegurable""),""No asegurable"")),"""")"),"")</f>
        <v/>
      </c>
      <c r="X85" s="119">
        <f>IFERROR(__xludf.DUMMYFUNCTION("IF($K$10=""Sí"","""",IFERROR(IF($I16="""","""",IF(VLOOKUP(LEFT(X$37,SEARCH(""☃"",SUBSTITUTE(X$37,"" "",""☃"",LEN(X$37)-LEN(SUBSTITUTE(X$37,"" "",""""))))-1),Excepciones!$A:$B,2,0)&gt;=0,IFERROR(INDEX(filter(Precios!$D:$D,(Precios!$A:$A&lt;=$I16)*(Precios!$B:$B&gt;"&amp;"=$I16)*(Precios!$C:$C=X$37)),1),""No asegurable""),""No asegurable"")),""""))"),"")</f>
        <v/>
      </c>
      <c r="Y85" s="48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85" s="48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85" s="48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85" s="48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85" s="49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85" s="5" t="n"/>
      <c r="AE85" s="5" t="n"/>
      <c r="AF85" s="5" t="n"/>
      <c r="AG85" s="5" t="n"/>
      <c r="AH85" s="125" t="n"/>
      <c r="AI85" s="125" t="n"/>
      <c r="AJ85" s="5" t="n"/>
      <c r="AK85" s="125" t="n"/>
      <c r="AL85" s="125" t="n"/>
    </row>
    <row r="86" ht="27.75" customHeight="1" s="241">
      <c r="L86" s="116" t="n">
        <v>12</v>
      </c>
      <c r="N86" s="48">
        <f>IF(OR(N68="",N68=0),"",N68+(VLOOKUP(COUNT($I$6:$I$13),Precios!$F:$H,2,0)))</f>
        <v/>
      </c>
      <c r="O86" s="48">
        <f>IF(OR(O68="",O68=0),"",O68+(VLOOKUP(COUNT($I$6:$I$13),Precios!$F:$H,2,0)))</f>
        <v/>
      </c>
      <c r="P86" s="48">
        <f>IFERROR(__xludf.DUMMYFUNCTION("IFERROR(IF($K$10=""Sí"","""",IF($I17="""","""",IF(VLOOKUP(LEFT(P$37,SEARCH(""☃"",SUBSTITUTE(P$37,"" "",""☃"",LEN(P$37)-LEN(SUBSTITUTE(P$37,"" "",""""))))-1),Excepciones!$A:$B,2,0)&gt;=0,IF(INDEX(FILTER(Precios!$D:$D,(Precios!$A:$A&lt;=$I17)*(Precios!$B:$B&gt;=$I17"&amp;")*(Precios!$C:$C=P$37)),1)*IF(COUNT($I$6:$I$13)&gt;=5,0.85,IF(COUNT($I$6:$I$13)&gt;=4,0.9,IF(COUNT($I$6:$I$13)&gt;=3,0.95,1)))=0,"""",INDEX(FILTER(Precios!$D:$D,(Precios!$A:$A&lt;=$I17)*(Precios!$B:$B&gt;=$I17)*(Precios!$C:$C=P$37)),1)*IF(COUNT($I$6:$I$13)&gt;=5,0.85,IF(CO"&amp;"UNT($I$6:$I$13)&gt;=4,0.9,IF(COUNT($I$6:$I$13)&gt;=3,0.95,1)))),""""))), """")
"),"")</f>
        <v/>
      </c>
      <c r="Q86" s="48">
        <f>IF(OR(Q68="",Q68=0),"",Q68+(VLOOKUP(COUNT($I$6:$I$13),Precios!$F:$H,2,0)))</f>
        <v/>
      </c>
      <c r="R86" s="48">
        <f>IF(OR(R68="",R68=0),"",R68+(VLOOKUP(COUNT($I$6:$I$13),Precios!$F:$H,2,0)))</f>
        <v/>
      </c>
      <c r="S86" s="48">
        <f>IFERROR(__xludf.DUMMYFUNCTION("IFERROR(IF($K$10=""Sí"","""",IF($I17="""","""",IF(VLOOKUP(LEFT(S$37,SEARCH(""☃"",SUBSTITUTE(S$37,"" "",""☃"",LEN(S$37)-LEN(SUBSTITUTE(S$37,"" "",""""))))-1),Excepciones!$A:$B,2,0)&gt;=0,IF(INDEX(FILTER(Precios!$D:$D,(Precios!$A:$A&lt;=$I17)*(Precios!$B:$B&gt;=$I17"&amp;")*(Precios!$C:$C=S$37)),1)*IF(COUNT($I$6:$I$13)&gt;=5,0.85,IF(COUNT($I$6:$I$13)&gt;=4,0.9,IF(COUNT($I$6:$I$13)&gt;=3,0.95,1)))=0,"""",INDEX(FILTER(Precios!$D:$D,(Precios!$A:$A&lt;=$I17)*(Precios!$B:$B&gt;=$I17)*(Precios!$C:$C=S$37)),1)*IF(COUNT($I$6:$I$13)&gt;=5,0.85,IF(CO"&amp;"UNT($I$6:$I$13)&gt;=4,0.9,IF(COUNT($I$6:$I$13)&gt;=3,0.95,1)))),""""))), """")
"),"")</f>
        <v/>
      </c>
      <c r="T86" s="48">
        <f>IFERROR(__xludf.DUMMYFUNCTION("IFERROR(IF($I17="""","""",IF(VLOOKUP(LEFT(T$37,SEARCH(""☃"",SUBSTITUTE(T$37,"" "",""☃"",LEN(T$37)-LEN(SUBSTITUTE(T$37,"" "",""""))))-1),Excepciones!$A:$B,2,0)&gt;=0,IFERROR((INDEX(filter(Precios!$D:$D,(Precios!$A:$A&lt;=$I17)*(Precios!$B:$B&gt;=$I17)*(Precios!$C:$"&amp;"C=T$37)),1)+VLOOKUP(COUNT($I$6:$I$13),Precios!$F:$G,2,0)),""""),"""")),"""")"),"")</f>
        <v/>
      </c>
      <c r="U86" s="48">
        <f>IF(OR(U68="",U68=0),"",U68+(VLOOKUP(COUNT($I$6:$I$13),Precios!$F:$H,2,0)))</f>
        <v/>
      </c>
      <c r="V86" s="48">
        <f>IFERROR(__xludf.DUMMYFUNCTION("IFERROR(IF($K$10=""Sí"","""",IF($I17="""","""",IF(VLOOKUP(LEFT(V$37,SEARCH(""☃"",SUBSTITUTE(V$37,"" "",""☃"",LEN(V$37)-LEN(SUBSTITUTE(V$37,"" "",""""))))-1),Excepciones!$A:$B,2,0)&gt;=0,IF(INDEX(FILTER(Precios!$D:$D,(Precios!$A:$A&lt;=$I17)*(Precios!$B:$B&gt;=$I17"&amp;")*(Precios!$C:$C=V$37)),1)*IF(COUNT($I$6:$I$13)&gt;=5,0.85,IF(COUNT($I$6:$I$13)&gt;=4,0.9,IF(COUNT($I$6:$I$13)&gt;=3,0.95,1)))=0,"""",INDEX(FILTER(Precios!$D:$D,(Precios!$A:$A&lt;=$I17)*(Precios!$B:$B&gt;=$I17)*(Precios!$C:$C=V$37)),1)*IF(COUNT($I$6:$I$13)&gt;=5,0.85,IF(CO"&amp;"UNT($I$6:$I$13)&gt;=4,0.9,IF(COUNT($I$6:$I$13)&gt;=3,0.95,1)))),""""))), """")
"),"")</f>
        <v/>
      </c>
      <c r="W86" s="48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"",""""))))-1),Excepciones!$A:$B,2,0)&gt;=0,IFERROR((INDEX(filter(Precios!$D:$D,(Precios!$A:$A&lt;=$I17)*(Precios!$B:$B&gt;=$I17)*(Precios!$C:$"&amp;"C=W$37)),1)+VLOOKUP(COUNT($I$6:$I$13),Precios!$F:$G,2,0)),""No asegurable""),""No asegurable"")),"""")"),"")</f>
        <v/>
      </c>
      <c r="X86" s="119">
        <f>IFERROR(__xludf.DUMMYFUNCTION("IF($K$10=""Sí"","""",IFERROR(IF($I17="""","""",IF(VLOOKUP(LEFT(X$37,SEARCH(""☃"",SUBSTITUTE(X$37,"" "",""☃"",LEN(X$37)-LEN(SUBSTITUTE(X$37,"" "",""""))))-1),Excepciones!$A:$B,2,0)&gt;=0,IFERROR(INDEX(filter(Precios!$D:$D,(Precios!$A:$A&lt;=$I17)*(Precios!$B:$B&gt;"&amp;"=$I17)*(Precios!$C:$C=X$37)),1),""No asegurable""),""No asegurable"")),""""))"),"")</f>
        <v/>
      </c>
      <c r="Y86" s="48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86" s="48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86" s="48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86" s="48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86" s="49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86" s="5" t="n"/>
      <c r="AE86" s="5" t="n"/>
      <c r="AF86" s="5" t="n"/>
      <c r="AG86" s="5" t="n"/>
      <c r="AH86" s="125" t="n"/>
      <c r="AI86" s="125" t="n"/>
      <c r="AJ86" s="5" t="n"/>
      <c r="AK86" s="125" t="n"/>
      <c r="AL86" s="125" t="n"/>
    </row>
    <row r="87" ht="27.75" customHeight="1" s="241">
      <c r="L87" s="116" t="n">
        <v>13</v>
      </c>
      <c r="N87" s="48">
        <f>IF(OR(N69="",N69=0),"",N69+(VLOOKUP(COUNT($I$6:$I$13),Precios!$F:$H,2,0)))</f>
        <v/>
      </c>
      <c r="O87" s="48">
        <f>IF(OR(O69="",O69=0),"",O69+(VLOOKUP(COUNT($I$6:$I$13),Precios!$F:$H,2,0)))</f>
        <v/>
      </c>
      <c r="P87" s="48">
        <f>IFERROR(__xludf.DUMMYFUNCTION("IFERROR(IF($K$10=""Sí"","""",IF($I18="""","""",IF(VLOOKUP(LEFT(P$37,SEARCH(""☃"",SUBSTITUTE(P$37,"" "",""☃"",LEN(P$37)-LEN(SUBSTITUTE(P$37,"" "",""""))))-1),Excepciones!$A:$B,2,0)&gt;=0,IF(INDEX(FILTER(Precios!$D:$D,(Precios!$A:$A&lt;=$I18)*(Precios!$B:$B&gt;=$I18"&amp;")*(Precios!$C:$C=P$37)),1)*IF(COUNT($I$6:$I$13)&gt;=5,0.85,IF(COUNT($I$6:$I$13)&gt;=4,0.9,IF(COUNT($I$6:$I$13)&gt;=3,0.95,1)))=0,"""",INDEX(FILTER(Precios!$D:$D,(Precios!$A:$A&lt;=$I18)*(Precios!$B:$B&gt;=$I18)*(Precios!$C:$C=P$37)),1)*IF(COUNT($I$6:$I$13)&gt;=5,0.85,IF(CO"&amp;"UNT($I$6:$I$13)&gt;=4,0.9,IF(COUNT($I$6:$I$13)&gt;=3,0.95,1)))),""""))), """")
"),"")</f>
        <v/>
      </c>
      <c r="Q87" s="48">
        <f>IF(OR(Q69="",Q69=0),"",Q69+(VLOOKUP(COUNT($I$6:$I$13),Precios!$F:$H,2,0)))</f>
        <v/>
      </c>
      <c r="R87" s="48">
        <f>IF(OR(R69="",R69=0),"",R69+(VLOOKUP(COUNT($I$6:$I$13),Precios!$F:$H,2,0)))</f>
        <v/>
      </c>
      <c r="S87" s="48">
        <f>IFERROR(__xludf.DUMMYFUNCTION("IFERROR(IF($K$10=""Sí"","""",IF($I18="""","""",IF(VLOOKUP(LEFT(S$37,SEARCH(""☃"",SUBSTITUTE(S$37,"" "",""☃"",LEN(S$37)-LEN(SUBSTITUTE(S$37,"" "",""""))))-1),Excepciones!$A:$B,2,0)&gt;=0,IF(INDEX(FILTER(Precios!$D:$D,(Precios!$A:$A&lt;=$I18)*(Precios!$B:$B&gt;=$I18"&amp;")*(Precios!$C:$C=S$37)),1)*IF(COUNT($I$6:$I$13)&gt;=5,0.85,IF(COUNT($I$6:$I$13)&gt;=4,0.9,IF(COUNT($I$6:$I$13)&gt;=3,0.95,1)))=0,"""",INDEX(FILTER(Precios!$D:$D,(Precios!$A:$A&lt;=$I18)*(Precios!$B:$B&gt;=$I18)*(Precios!$C:$C=S$37)),1)*IF(COUNT($I$6:$I$13)&gt;=5,0.85,IF(CO"&amp;"UNT($I$6:$I$13)&gt;=4,0.9,IF(COUNT($I$6:$I$13)&gt;=3,0.95,1)))),""""))), """")
"),"")</f>
        <v/>
      </c>
      <c r="T87" s="48">
        <f>IFERROR(__xludf.DUMMYFUNCTION("IFERROR(IF($I18="""","""",IF(VLOOKUP(LEFT(T$37,SEARCH(""☃"",SUBSTITUTE(T$37,"" "",""☃"",LEN(T$37)-LEN(SUBSTITUTE(T$37,"" "",""""))))-1),Excepciones!$A:$B,2,0)&gt;=0,IFERROR((INDEX(filter(Precios!$D:$D,(Precios!$A:$A&lt;=$I18)*(Precios!$B:$B&gt;=$I18)*(Precios!$C:$"&amp;"C=T$37)),1)+VLOOKUP(COUNT($I$6:$I$13),Precios!$F:$G,2,0)),""""),"""")),"""")"),"")</f>
        <v/>
      </c>
      <c r="U87" s="48">
        <f>IF(OR(U69="",U69=0),"",U69+(VLOOKUP(COUNT($I$6:$I$13),Precios!$F:$H,2,0)))</f>
        <v/>
      </c>
      <c r="V87" s="48">
        <f>IFERROR(__xludf.DUMMYFUNCTION("IFERROR(IF($K$10=""Sí"","""",IF($I18="""","""",IF(VLOOKUP(LEFT(V$37,SEARCH(""☃"",SUBSTITUTE(V$37,"" "",""☃"",LEN(V$37)-LEN(SUBSTITUTE(V$37,"" "",""""))))-1),Excepciones!$A:$B,2,0)&gt;=0,IF(INDEX(FILTER(Precios!$D:$D,(Precios!$A:$A&lt;=$I18)*(Precios!$B:$B&gt;=$I18"&amp;")*(Precios!$C:$C=V$37)),1)*IF(COUNT($I$6:$I$13)&gt;=5,0.85,IF(COUNT($I$6:$I$13)&gt;=4,0.9,IF(COUNT($I$6:$I$13)&gt;=3,0.95,1)))=0,"""",INDEX(FILTER(Precios!$D:$D,(Precios!$A:$A&lt;=$I18)*(Precios!$B:$B&gt;=$I18)*(Precios!$C:$C=V$37)),1)*IF(COUNT($I$6:$I$13)&gt;=5,0.85,IF(CO"&amp;"UNT($I$6:$I$13)&gt;=4,0.9,IF(COUNT($I$6:$I$13)&gt;=3,0.95,1)))),""""))), """")
"),"")</f>
        <v/>
      </c>
      <c r="W87" s="48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"",""""))))-1),Excepciones!$A:$B,2,0)&gt;=0,IFERROR((INDEX(filter(Precios!$D:$D,(Precios!$A:$A&lt;=$I18)*(Precios!$B:$B&gt;=$I18)*(Precios!$C:$"&amp;"C=W$37)),1)+VLOOKUP(COUNT($I$6:$I$13),Precios!$F:$G,2,0)),""No asegurable""),""No asegurable"")),"""")"),"")</f>
        <v/>
      </c>
      <c r="X87" s="119">
        <f>IFERROR(__xludf.DUMMYFUNCTION("IF($K$10=""Sí"","""",IFERROR(IF($I18="""","""",IF(VLOOKUP(LEFT(X$37,SEARCH(""☃"",SUBSTITUTE(X$37,"" "",""☃"",LEN(X$37)-LEN(SUBSTITUTE(X$37,"" "",""""))))-1),Excepciones!$A:$B,2,0)&gt;=0,IFERROR(INDEX(filter(Precios!$D:$D,(Precios!$A:$A&lt;=$I18)*(Precios!$B:$B&gt;"&amp;"=$I18)*(Precios!$C:$C=X$37)),1),""No asegurable""),""No asegurable"")),""""))"),"")</f>
        <v/>
      </c>
      <c r="Y87" s="48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87" s="48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87" s="48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87" s="48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87" s="49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87" s="5" t="n"/>
      <c r="AE87" s="5" t="n"/>
      <c r="AF87" s="5" t="n"/>
      <c r="AG87" s="5" t="n"/>
      <c r="AH87" s="125" t="n"/>
      <c r="AI87" s="125" t="n"/>
      <c r="AJ87" s="5" t="n"/>
      <c r="AK87" s="125" t="n"/>
      <c r="AL87" s="125" t="n"/>
    </row>
    <row r="88" ht="27.75" customHeight="1" s="241">
      <c r="L88" s="116" t="n">
        <v>14</v>
      </c>
      <c r="N88" s="48">
        <f>IF(OR(N70="",N70=0),"",N70+(VLOOKUP(COUNT($I$6:$I$13),Precios!$F:$H,2,0)))</f>
        <v/>
      </c>
      <c r="O88" s="48">
        <f>IF(OR(O70="",O70=0),"",O70+(VLOOKUP(COUNT($I$6:$I$13),Precios!$F:$H,2,0)))</f>
        <v/>
      </c>
      <c r="P88" s="48">
        <f>IFERROR(__xludf.DUMMYFUNCTION("IFERROR(IF($K$10=""Sí"","""",IF($I19="""","""",IF(VLOOKUP(LEFT(P$37,SEARCH(""☃"",SUBSTITUTE(P$37,"" "",""☃"",LEN(P$37)-LEN(SUBSTITUTE(P$37,"" "",""""))))-1),Excepciones!$A:$B,2,0)&gt;=0,IF(INDEX(FILTER(Precios!$D:$D,(Precios!$A:$A&lt;=$I19)*(Precios!$B:$B&gt;=$I19"&amp;")*(Precios!$C:$C=P$37)),1)*IF(COUNT($I$6:$I$13)&gt;=5,0.85,IF(COUNT($I$6:$I$13)&gt;=4,0.9,IF(COUNT($I$6:$I$13)&gt;=3,0.95,1)))=0,"""",INDEX(FILTER(Precios!$D:$D,(Precios!$A:$A&lt;=$I19)*(Precios!$B:$B&gt;=$I19)*(Precios!$C:$C=P$37)),1)*IF(COUNT($I$6:$I$13)&gt;=5,0.85,IF(CO"&amp;"UNT($I$6:$I$13)&gt;=4,0.9,IF(COUNT($I$6:$I$13)&gt;=3,0.95,1)))),""""))), """")
"),"")</f>
        <v/>
      </c>
      <c r="Q88" s="48">
        <f>IF(OR(Q70="",Q70=0),"",Q70+(VLOOKUP(COUNT($I$6:$I$13),Precios!$F:$H,2,0)))</f>
        <v/>
      </c>
      <c r="R88" s="48">
        <f>IF(OR(R70="",R70=0),"",R70+(VLOOKUP(COUNT($I$6:$I$13),Precios!$F:$H,2,0)))</f>
        <v/>
      </c>
      <c r="S88" s="48">
        <f>IFERROR(__xludf.DUMMYFUNCTION("IFERROR(IF($K$10=""Sí"","""",IF($I19="""","""",IF(VLOOKUP(LEFT(S$37,SEARCH(""☃"",SUBSTITUTE(S$37,"" "",""☃"",LEN(S$37)-LEN(SUBSTITUTE(S$37,"" "",""""))))-1),Excepciones!$A:$B,2,0)&gt;=0,IF(INDEX(FILTER(Precios!$D:$D,(Precios!$A:$A&lt;=$I19)*(Precios!$B:$B&gt;=$I19"&amp;")*(Precios!$C:$C=S$37)),1)*IF(COUNT($I$6:$I$13)&gt;=5,0.85,IF(COUNT($I$6:$I$13)&gt;=4,0.9,IF(COUNT($I$6:$I$13)&gt;=3,0.95,1)))=0,"""",INDEX(FILTER(Precios!$D:$D,(Precios!$A:$A&lt;=$I19)*(Precios!$B:$B&gt;=$I19)*(Precios!$C:$C=S$37)),1)*IF(COUNT($I$6:$I$13)&gt;=5,0.85,IF(CO"&amp;"UNT($I$6:$I$13)&gt;=4,0.9,IF(COUNT($I$6:$I$13)&gt;=3,0.95,1)))),""""))), """")
"),"")</f>
        <v/>
      </c>
      <c r="T88" s="48">
        <f>IFERROR(__xludf.DUMMYFUNCTION("IFERROR(IF($I19="""","""",IF(VLOOKUP(LEFT(T$37,SEARCH(""☃"",SUBSTITUTE(T$37,"" "",""☃"",LEN(T$37)-LEN(SUBSTITUTE(T$37,"" "",""""))))-1),Excepciones!$A:$B,2,0)&gt;=0,IFERROR((INDEX(filter(Precios!$D:$D,(Precios!$A:$A&lt;=$I19)*(Precios!$B:$B&gt;=$I19)*(Precios!$C:$"&amp;"C=T$37)),1)+VLOOKUP(COUNT($I$6:$I$13),Precios!$F:$G,2,0)),""""),"""")),"""")"),"")</f>
        <v/>
      </c>
      <c r="U88" s="48">
        <f>IF(OR(U70="",U70=0),"",U70+(VLOOKUP(COUNT($I$6:$I$13),Precios!$F:$H,2,0)))</f>
        <v/>
      </c>
      <c r="V88" s="48">
        <f>IFERROR(__xludf.DUMMYFUNCTION("IFERROR(IF($K$10=""Sí"","""",IF($I19="""","""",IF(VLOOKUP(LEFT(V$37,SEARCH(""☃"",SUBSTITUTE(V$37,"" "",""☃"",LEN(V$37)-LEN(SUBSTITUTE(V$37,"" "",""""))))-1),Excepciones!$A:$B,2,0)&gt;=0,IF(INDEX(FILTER(Precios!$D:$D,(Precios!$A:$A&lt;=$I19)*(Precios!$B:$B&gt;=$I19"&amp;")*(Precios!$C:$C=V$37)),1)*IF(COUNT($I$6:$I$13)&gt;=5,0.85,IF(COUNT($I$6:$I$13)&gt;=4,0.9,IF(COUNT($I$6:$I$13)&gt;=3,0.95,1)))=0,"""",INDEX(FILTER(Precios!$D:$D,(Precios!$A:$A&lt;=$I19)*(Precios!$B:$B&gt;=$I19)*(Precios!$C:$C=V$37)),1)*IF(COUNT($I$6:$I$13)&gt;=5,0.85,IF(CO"&amp;"UNT($I$6:$I$13)&gt;=4,0.9,IF(COUNT($I$6:$I$13)&gt;=3,0.95,1)))),""""))), """")
"),"")</f>
        <v/>
      </c>
      <c r="W88" s="48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"",""""))))-1),Excepciones!$A:$B,2,0)&gt;=0,IFERROR((INDEX(filter(Precios!$D:$D,(Precios!$A:$A&lt;=$I19)*(Precios!$B:$B&gt;=$I19)*(Precios!$C:$"&amp;"C=W$37)),1)+VLOOKUP(COUNT($I$6:$I$13),Precios!$F:$G,2,0)),""No asegurable""),""No asegurable"")),"""")"),"")</f>
        <v/>
      </c>
      <c r="X88" s="119">
        <f>IFERROR(__xludf.DUMMYFUNCTION("IF($K$10=""Sí"","""",IFERROR(IF($I19="""","""",IF(VLOOKUP(LEFT(X$37,SEARCH(""☃"",SUBSTITUTE(X$37,"" "",""☃"",LEN(X$37)-LEN(SUBSTITUTE(X$37,"" "",""""))))-1),Excepciones!$A:$B,2,0)&gt;=0,IFERROR(INDEX(filter(Precios!$D:$D,(Precios!$A:$A&lt;=$I19)*(Precios!$B:$B&gt;"&amp;"=$I19)*(Precios!$C:$C=X$37)),1),""No asegurable""),""No asegurable"")),""""))"),"")</f>
        <v/>
      </c>
      <c r="Y88" s="48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88" s="48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88" s="48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88" s="48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88" s="49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88" s="5" t="n"/>
      <c r="AE88" s="5" t="n"/>
      <c r="AF88" s="5" t="n"/>
      <c r="AG88" s="5" t="n"/>
      <c r="AH88" s="125" t="n"/>
      <c r="AI88" s="125" t="n"/>
      <c r="AJ88" s="5" t="n"/>
      <c r="AK88" s="125" t="n"/>
      <c r="AL88" s="125" t="n"/>
    </row>
    <row r="89" ht="27.75" customHeight="1" s="241">
      <c r="L89" s="126" t="n">
        <v>15</v>
      </c>
      <c r="M89" s="127" t="n"/>
      <c r="N89" s="128">
        <f>IF(OR(N71="",N71=0),"",N71+(VLOOKUP(COUNT($I$6:$I$13),Precios!$F:$H,2,0)))</f>
        <v/>
      </c>
      <c r="O89" s="128">
        <f>IF(OR(O71="",O71=0),"",O71+(VLOOKUP(COUNT($I$6:$I$13),Precios!$F:$H,2,0)))</f>
        <v/>
      </c>
      <c r="P89" s="128">
        <f>IFERROR(__xludf.DUMMYFUNCTION("IFERROR(IF($K$10=""Sí"","""",IF($I20="""","""",IF(VLOOKUP(LEFT(P$37,SEARCH(""☃"",SUBSTITUTE(P$37,"" "",""☃"",LEN(P$37)-LEN(SUBSTITUTE(P$37,"" "",""""))))-1),Excepciones!$A:$B,2,0)&gt;=0,IF(INDEX(FILTER(Precios!$D:$D,(Precios!$A:$A&lt;=$I20)*(Precios!$B:$B&gt;=$I20"&amp;")*(Precios!$C:$C=P$37)),1)*IF(COUNT($I$6:$I$13)&gt;=5,0.85,IF(COUNT($I$6:$I$13)&gt;=4,0.9,IF(COUNT($I$6:$I$13)&gt;=3,0.95,1)))=0,"""",INDEX(FILTER(Precios!$D:$D,(Precios!$A:$A&lt;=$I20)*(Precios!$B:$B&gt;=$I20)*(Precios!$C:$C=P$37)),1)*IF(COUNT($I$6:$I$13)&gt;=5,0.85,IF(CO"&amp;"UNT($I$6:$I$13)&gt;=4,0.9,IF(COUNT($I$6:$I$13)&gt;=3,0.95,1)))),""""))), """")
"),"")</f>
        <v/>
      </c>
      <c r="Q89" s="128">
        <f>IF(OR(Q71="",Q71=0),"",Q71+(VLOOKUP(COUNT($I$6:$I$13),Precios!$F:$H,2,0)))</f>
        <v/>
      </c>
      <c r="R89" s="128">
        <f>IF(OR(R71="",R71=0),"",R71+(VLOOKUP(COUNT($I$6:$I$13),Precios!$F:$H,2,0)))</f>
        <v/>
      </c>
      <c r="S89" s="128">
        <f>IFERROR(__xludf.DUMMYFUNCTION("IFERROR(IF($K$10=""Sí"","""",IF($I20="""","""",IF(VLOOKUP(LEFT(S$37,SEARCH(""☃"",SUBSTITUTE(S$37,"" "",""☃"",LEN(S$37)-LEN(SUBSTITUTE(S$37,"" "",""""))))-1),Excepciones!$A:$B,2,0)&gt;=0,IF(INDEX(FILTER(Precios!$D:$D,(Precios!$A:$A&lt;=$I20)*(Precios!$B:$B&gt;=$I20"&amp;")*(Precios!$C:$C=S$37)),1)*IF(COUNT($I$6:$I$13)&gt;=5,0.85,IF(COUNT($I$6:$I$13)&gt;=4,0.9,IF(COUNT($I$6:$I$13)&gt;=3,0.95,1)))=0,"""",INDEX(FILTER(Precios!$D:$D,(Precios!$A:$A&lt;=$I20)*(Precios!$B:$B&gt;=$I20)*(Precios!$C:$C=S$37)),1)*IF(COUNT($I$6:$I$13)&gt;=5,0.85,IF(CO"&amp;"UNT($I$6:$I$13)&gt;=4,0.9,IF(COUNT($I$6:$I$13)&gt;=3,0.95,1)))),""""))), """")
"),"")</f>
        <v/>
      </c>
      <c r="T89" s="128">
        <f>IFERROR(__xludf.DUMMYFUNCTION("IFERROR(IF($I20="""","""",IF(VLOOKUP(LEFT(T$37,SEARCH(""☃"",SUBSTITUTE(T$37,"" "",""☃"",LEN(T$37)-LEN(SUBSTITUTE(T$37,"" "",""""))))-1),Excepciones!$A:$B,2,0)&gt;=0,IFERROR((INDEX(filter(Precios!$D:$D,(Precios!$A:$A&lt;=$I20)*(Precios!$B:$B&gt;=$I20)*(Precios!$C:$"&amp;"C=T$37)),1)+VLOOKUP(COUNT($I$6:$I$13),Precios!$F:$G,2,0)),""""),"""")),"""")"),"")</f>
        <v/>
      </c>
      <c r="U89" s="128">
        <f>IF(OR(U71="",U71=0),"",U71+(VLOOKUP(COUNT($I$6:$I$13),Precios!$F:$H,2,0)))</f>
        <v/>
      </c>
      <c r="V89" s="128">
        <f>IFERROR(__xludf.DUMMYFUNCTION("IFERROR(IF($K$10=""Sí"","""",IF($I20="""","""",IF(VLOOKUP(LEFT(V$37,SEARCH(""☃"",SUBSTITUTE(V$37,"" "",""☃"",LEN(V$37)-LEN(SUBSTITUTE(V$37,"" "",""""))))-1),Excepciones!$A:$B,2,0)&gt;=0,IF(INDEX(FILTER(Precios!$D:$D,(Precios!$A:$A&lt;=$I20)*(Precios!$B:$B&gt;=$I20"&amp;")*(Precios!$C:$C=V$37)),1)*IF(COUNT($I$6:$I$13)&gt;=5,0.85,IF(COUNT($I$6:$I$13)&gt;=4,0.9,IF(COUNT($I$6:$I$13)&gt;=3,0.95,1)))=0,"""",INDEX(FILTER(Precios!$D:$D,(Precios!$A:$A&lt;=$I20)*(Precios!$B:$B&gt;=$I20)*(Precios!$C:$C=V$37)),1)*IF(COUNT($I$6:$I$13)&gt;=5,0.85,IF(CO"&amp;"UNT($I$6:$I$13)&gt;=4,0.9,IF(COUNT($I$6:$I$13)&gt;=3,0.95,1)))),""""))), """")
"),"")</f>
        <v/>
      </c>
      <c r="W89" s="128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"",""""))))-1),Excepciones!$A:$B,2,0)&gt;=0,IFERROR((INDEX(filter(Precios!$D:$D,(Precios!$A:$A&lt;=$I20)*(Precios!$B:$B&gt;=$I20)*(Precios!$C:$"&amp;"C=W$37)),1)+VLOOKUP(COUNT($I$6:$I$13),Precios!$F:$G,2,0)),""No asegurable""),""No asegurable"")),"""")"),"")</f>
        <v/>
      </c>
      <c r="X89" s="131">
        <f>IFERROR(__xludf.DUMMYFUNCTION("IF($K$10=""Sí"","""",IFERROR(IF($I20="""","""",IF(VLOOKUP(LEFT(X$37,SEARCH(""☃"",SUBSTITUTE(X$37,"" "",""☃"",LEN(X$37)-LEN(SUBSTITUTE(X$37,"" "",""""))))-1),Excepciones!$A:$B,2,0)&gt;=0,IFERROR(INDEX(filter(Precios!$D:$D,(Precios!$A:$A&lt;=$I20)*(Precios!$B:$B&gt;"&amp;"=$I20)*(Precios!$C:$C=X$37)),1),""No asegurable""),""No asegurable"")),""""))"),"")</f>
        <v/>
      </c>
      <c r="Y89" s="128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89" s="128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89" s="128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89" s="128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89" s="143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89" s="5" t="n"/>
      <c r="AE89" s="5" t="n"/>
      <c r="AF89" s="5" t="n"/>
      <c r="AG89" s="5" t="n"/>
      <c r="AH89" s="125" t="n"/>
      <c r="AI89" s="125" t="n"/>
      <c r="AJ89" s="5" t="n"/>
      <c r="AK89" s="125" t="n"/>
      <c r="AL89" s="125" t="n"/>
    </row>
    <row r="90" hidden="1" s="241">
      <c r="AD90" s="5" t="n"/>
      <c r="AE90" s="5" t="n"/>
      <c r="AF90" s="5" t="n"/>
      <c r="AG90" s="5" t="n"/>
      <c r="AH90" s="125" t="n"/>
      <c r="AI90" s="125" t="n"/>
      <c r="AJ90" s="5" t="n"/>
      <c r="AK90" s="125" t="n"/>
      <c r="AL90" s="125" t="n"/>
    </row>
    <row r="91" hidden="1" s="241">
      <c r="AD91" s="5" t="n"/>
      <c r="AE91" s="5" t="n"/>
      <c r="AF91" s="5" t="n"/>
      <c r="AG91" s="5" t="n"/>
      <c r="AH91" s="125" t="n"/>
      <c r="AI91" s="125" t="n"/>
      <c r="AJ91" s="5" t="n"/>
      <c r="AK91" s="125" t="n"/>
      <c r="AL91" s="125" t="n"/>
    </row>
    <row r="92" hidden="1" s="241"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125" t="n"/>
      <c r="AI92" s="125" t="n"/>
      <c r="AJ92" s="5" t="n"/>
      <c r="AK92" s="125" t="n"/>
      <c r="AL92" s="125" t="n"/>
    </row>
    <row r="93" hidden="1" s="241"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125" t="n"/>
      <c r="AI93" s="125" t="n"/>
      <c r="AJ93" s="5" t="n"/>
      <c r="AK93" s="125" t="n"/>
      <c r="AL93" s="125" t="n"/>
    </row>
    <row r="94" hidden="1" s="241"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125" t="n"/>
      <c r="AI94" s="125" t="n"/>
      <c r="AJ94" s="5" t="n"/>
      <c r="AK94" s="125" t="n"/>
      <c r="AL94" s="125" t="n"/>
    </row>
    <row r="95" hidden="1" s="241"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125" t="n"/>
      <c r="AI95" s="125" t="n"/>
      <c r="AJ95" s="5" t="n"/>
      <c r="AK95" s="125" t="n"/>
      <c r="AL95" s="125" t="n"/>
    </row>
    <row r="96" hidden="1" s="241"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125" t="n"/>
      <c r="AI96" s="125" t="n"/>
      <c r="AJ96" s="5" t="n"/>
      <c r="AK96" s="125" t="n"/>
      <c r="AL96" s="125" t="n"/>
    </row>
    <row r="97" hidden="1" s="241"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125" t="n"/>
      <c r="AI97" s="125" t="n"/>
      <c r="AJ97" s="5" t="n"/>
      <c r="AK97" s="125" t="n"/>
      <c r="AL97" s="125" t="n"/>
    </row>
    <row r="98" hidden="1" s="241"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125" t="n"/>
      <c r="AI98" s="125" t="n"/>
      <c r="AJ98" s="5" t="n"/>
      <c r="AK98" s="125" t="n"/>
      <c r="AL98" s="125" t="n"/>
    </row>
    <row r="99" hidden="1" s="241"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125" t="n"/>
      <c r="AI99" s="125" t="n"/>
      <c r="AJ99" s="5" t="n"/>
      <c r="AK99" s="125" t="n"/>
      <c r="AL99" s="125" t="n"/>
    </row>
    <row r="100" hidden="1" s="241"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125" t="n"/>
      <c r="AI100" s="125" t="n"/>
      <c r="AJ100" s="5" t="n"/>
      <c r="AK100" s="125" t="n"/>
      <c r="AL100" s="125" t="n"/>
    </row>
    <row r="101" hidden="1" s="241"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125" t="n"/>
      <c r="AI101" s="125" t="n"/>
      <c r="AJ101" s="5" t="n"/>
      <c r="AK101" s="125" t="n"/>
      <c r="AL101" s="125" t="n"/>
    </row>
    <row r="102" hidden="1" s="241"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125" t="n"/>
      <c r="AI102" s="125" t="n"/>
      <c r="AJ102" s="5" t="n"/>
      <c r="AK102" s="125" t="n"/>
      <c r="AL102" s="125" t="n"/>
    </row>
    <row r="103" hidden="1" s="241"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125" t="n"/>
      <c r="AI103" s="125" t="n"/>
      <c r="AJ103" s="5" t="n"/>
      <c r="AK103" s="125" t="n"/>
      <c r="AL103" s="125" t="n"/>
    </row>
    <row r="104" hidden="1" s="241"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125" t="n"/>
      <c r="AI104" s="125" t="n"/>
      <c r="AJ104" s="5" t="n"/>
      <c r="AK104" s="125" t="n"/>
      <c r="AL104" s="125" t="n"/>
    </row>
    <row r="105" hidden="1" s="241"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125" t="n"/>
      <c r="AI105" s="125" t="n"/>
      <c r="AJ105" s="5" t="n"/>
      <c r="AK105" s="125" t="n"/>
      <c r="AL105" s="125" t="n"/>
    </row>
    <row r="106" hidden="1" s="241"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125" t="n"/>
      <c r="AI106" s="125" t="n"/>
      <c r="AJ106" s="5" t="n"/>
      <c r="AK106" s="125" t="n"/>
      <c r="AL106" s="125" t="n"/>
    </row>
    <row r="107" hidden="1" s="241"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125" t="n"/>
      <c r="AI107" s="125" t="n"/>
      <c r="AJ107" s="5" t="n"/>
      <c r="AK107" s="125" t="n"/>
      <c r="AL107" s="125" t="n"/>
    </row>
    <row r="108" hidden="1" s="241"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125" t="n"/>
      <c r="AI108" s="125" t="n"/>
      <c r="AJ108" s="5" t="n"/>
      <c r="AK108" s="125" t="n"/>
      <c r="AL108" s="125" t="n"/>
    </row>
    <row r="109" hidden="1" s="241"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125" t="n"/>
      <c r="AI109" s="125" t="n"/>
      <c r="AJ109" s="5" t="n"/>
      <c r="AK109" s="125" t="n"/>
      <c r="AL109" s="125" t="n"/>
    </row>
    <row r="110" hidden="1" s="241"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125" t="n"/>
      <c r="AI110" s="125" t="n"/>
      <c r="AJ110" s="5" t="n"/>
      <c r="AK110" s="125" t="n"/>
      <c r="AL110" s="125" t="n"/>
    </row>
    <row r="111" hidden="1" s="241"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125" t="n"/>
      <c r="AI111" s="125" t="n"/>
      <c r="AJ111" s="5" t="n"/>
      <c r="AK111" s="125" t="n"/>
      <c r="AL111" s="125" t="n"/>
    </row>
    <row r="112" hidden="1" s="241"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125" t="n"/>
      <c r="AI112" s="125" t="n"/>
      <c r="AJ112" s="5" t="n"/>
      <c r="AK112" s="125" t="n"/>
      <c r="AL112" s="125" t="n"/>
    </row>
    <row r="113" hidden="1" s="241"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125" t="n"/>
      <c r="AI113" s="125" t="n"/>
      <c r="AJ113" s="5" t="n"/>
      <c r="AK113" s="125" t="n"/>
      <c r="AL113" s="125" t="n"/>
    </row>
    <row r="114" hidden="1" s="241"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125" t="n"/>
      <c r="AI114" s="125" t="n"/>
      <c r="AJ114" s="5" t="n"/>
      <c r="AK114" s="125" t="n"/>
      <c r="AL114" s="125" t="n"/>
    </row>
    <row r="115" hidden="1" s="241"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125" t="n"/>
      <c r="AI115" s="125" t="n"/>
      <c r="AJ115" s="5" t="n"/>
      <c r="AK115" s="125" t="n"/>
      <c r="AL115" s="125" t="n"/>
    </row>
    <row r="116" hidden="1" s="241"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125" t="n"/>
      <c r="AI116" s="125" t="n"/>
      <c r="AJ116" s="5" t="n"/>
      <c r="AK116" s="125" t="n"/>
      <c r="AL116" s="125" t="n"/>
    </row>
    <row r="117" hidden="1" s="241"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125" t="n"/>
      <c r="AI117" s="125" t="n"/>
      <c r="AJ117" s="5" t="n"/>
      <c r="AK117" s="125" t="n"/>
      <c r="AL117" s="125" t="n"/>
    </row>
    <row r="118" hidden="1" s="241"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125" t="n"/>
      <c r="AI118" s="125" t="n"/>
      <c r="AJ118" s="5" t="n"/>
      <c r="AK118" s="125" t="n"/>
      <c r="AL118" s="125" t="n"/>
    </row>
    <row r="119" hidden="1" s="241"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125" t="n"/>
      <c r="AI119" s="125" t="n"/>
      <c r="AJ119" s="5" t="n"/>
      <c r="AK119" s="125" t="n"/>
      <c r="AL119" s="125" t="n"/>
    </row>
    <row r="120" hidden="1" s="241"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125" t="n"/>
      <c r="AI120" s="125" t="n"/>
      <c r="AJ120" s="5" t="n"/>
      <c r="AK120" s="125" t="n"/>
      <c r="AL120" s="125" t="n"/>
    </row>
    <row r="121" hidden="1" s="241"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125" t="n"/>
      <c r="AI121" s="125" t="n"/>
      <c r="AJ121" s="5" t="n"/>
      <c r="AK121" s="125" t="n"/>
      <c r="AL121" s="125" t="n"/>
    </row>
    <row r="122" hidden="1" s="241"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125" t="n"/>
      <c r="AI122" s="125" t="n"/>
      <c r="AJ122" s="5" t="n"/>
      <c r="AK122" s="125" t="n"/>
      <c r="AL122" s="125" t="n"/>
    </row>
    <row r="123" hidden="1" s="241"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125" t="n"/>
      <c r="AI123" s="125" t="n"/>
      <c r="AJ123" s="5" t="n"/>
      <c r="AK123" s="125" t="n"/>
      <c r="AL123" s="125" t="n"/>
    </row>
    <row r="124" hidden="1" s="241"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125" t="n"/>
      <c r="AI124" s="125" t="n"/>
      <c r="AJ124" s="5" t="n"/>
      <c r="AK124" s="125" t="n"/>
      <c r="AL124" s="125" t="n"/>
    </row>
    <row r="125" hidden="1" s="241"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125" t="n"/>
      <c r="AI125" s="125" t="n"/>
      <c r="AJ125" s="5" t="n"/>
      <c r="AK125" s="125" t="n"/>
      <c r="AL125" s="125" t="n"/>
    </row>
    <row r="126" hidden="1" s="241"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125" t="n"/>
      <c r="AI126" s="125" t="n"/>
      <c r="AJ126" s="5" t="n"/>
      <c r="AK126" s="125" t="n"/>
      <c r="AL126" s="125" t="n"/>
    </row>
    <row r="127" hidden="1" s="241"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125" t="n"/>
      <c r="AI127" s="125" t="n"/>
      <c r="AJ127" s="5" t="n"/>
      <c r="AK127" s="125" t="n"/>
      <c r="AL127" s="125" t="n"/>
    </row>
    <row r="128" hidden="1" s="241"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125" t="n"/>
      <c r="AI128" s="125" t="n"/>
      <c r="AJ128" s="5" t="n"/>
      <c r="AK128" s="125" t="n"/>
      <c r="AL128" s="125" t="n"/>
    </row>
    <row r="129" hidden="1" s="241"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125" t="n"/>
      <c r="AI129" s="125" t="n"/>
      <c r="AJ129" s="5" t="n"/>
      <c r="AK129" s="125" t="n"/>
      <c r="AL129" s="125" t="n"/>
    </row>
    <row r="130" hidden="1" s="241"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125" t="n"/>
      <c r="AI130" s="125" t="n"/>
      <c r="AJ130" s="5" t="n"/>
      <c r="AK130" s="125" t="n"/>
      <c r="AL130" s="125" t="n"/>
    </row>
    <row r="131" hidden="1" s="241"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125" t="n"/>
      <c r="AI131" s="125" t="n"/>
      <c r="AJ131" s="5" t="n"/>
      <c r="AK131" s="125" t="n"/>
      <c r="AL131" s="125" t="n"/>
    </row>
    <row r="132" hidden="1" s="241"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125" t="n"/>
      <c r="AI132" s="125" t="n"/>
      <c r="AJ132" s="5" t="n"/>
      <c r="AK132" s="125" t="n"/>
      <c r="AL132" s="125" t="n"/>
    </row>
    <row r="133" hidden="1" s="241"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125" t="n"/>
      <c r="AI133" s="125" t="n"/>
      <c r="AJ133" s="5" t="n"/>
      <c r="AK133" s="125" t="n"/>
      <c r="AL133" s="125" t="n"/>
    </row>
    <row r="134" hidden="1" s="241"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125" t="n"/>
      <c r="AI134" s="125" t="n"/>
      <c r="AJ134" s="5" t="n"/>
      <c r="AK134" s="125" t="n"/>
      <c r="AL134" s="125" t="n"/>
    </row>
    <row r="135" hidden="1" s="241"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125" t="n"/>
      <c r="AI135" s="125" t="n"/>
      <c r="AJ135" s="5" t="n"/>
      <c r="AK135" s="125" t="n"/>
      <c r="AL135" s="125" t="n"/>
    </row>
    <row r="136" hidden="1" s="241"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125" t="n"/>
      <c r="AI136" s="125" t="n"/>
      <c r="AJ136" s="5" t="n"/>
      <c r="AK136" s="125" t="n"/>
      <c r="AL136" s="125" t="n"/>
    </row>
    <row r="137" hidden="1" s="241"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125" t="n"/>
      <c r="AI137" s="125" t="n"/>
      <c r="AJ137" s="5" t="n"/>
      <c r="AK137" s="125" t="n"/>
      <c r="AL137" s="125" t="n"/>
    </row>
    <row r="138" hidden="1" s="241"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125" t="n"/>
      <c r="AI138" s="125" t="n"/>
      <c r="AJ138" s="5" t="n"/>
      <c r="AK138" s="125" t="n"/>
      <c r="AL138" s="125" t="n"/>
    </row>
    <row r="139" hidden="1" s="241"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125" t="n"/>
      <c r="AI139" s="125" t="n"/>
      <c r="AJ139" s="5" t="n"/>
      <c r="AK139" s="125" t="n"/>
      <c r="AL139" s="125" t="n"/>
    </row>
    <row r="140" hidden="1" s="241"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125" t="n"/>
      <c r="AI140" s="125" t="n"/>
      <c r="AJ140" s="5" t="n"/>
      <c r="AK140" s="125" t="n"/>
      <c r="AL140" s="125" t="n"/>
    </row>
    <row r="141" hidden="1" s="241"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125" t="n"/>
      <c r="AI141" s="125" t="n"/>
      <c r="AJ141" s="5" t="n"/>
      <c r="AK141" s="125" t="n"/>
      <c r="AL141" s="125" t="n"/>
    </row>
    <row r="142" hidden="1" s="241"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125" t="n"/>
      <c r="AI142" s="125" t="n"/>
      <c r="AJ142" s="5" t="n"/>
      <c r="AK142" s="125" t="n"/>
      <c r="AL142" s="125" t="n"/>
    </row>
    <row r="143" hidden="1" s="241"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125" t="n"/>
      <c r="AI143" s="125" t="n"/>
      <c r="AJ143" s="5" t="n"/>
      <c r="AK143" s="125" t="n"/>
      <c r="AL143" s="125" t="n"/>
    </row>
    <row r="144" hidden="1" s="241"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125" t="n"/>
      <c r="AI144" s="125" t="n"/>
      <c r="AJ144" s="5" t="n"/>
      <c r="AK144" s="125" t="n"/>
      <c r="AL144" s="125" t="n"/>
    </row>
    <row r="145" hidden="1" s="241"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125" t="n"/>
      <c r="AI145" s="125" t="n"/>
      <c r="AJ145" s="5" t="n"/>
      <c r="AK145" s="125" t="n"/>
      <c r="AL145" s="125" t="n"/>
    </row>
    <row r="146" hidden="1" s="241"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125" t="n"/>
      <c r="AI146" s="125" t="n"/>
      <c r="AJ146" s="5" t="n"/>
      <c r="AK146" s="125" t="n"/>
      <c r="AL146" s="125" t="n"/>
    </row>
    <row r="147" hidden="1" s="241"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125" t="n"/>
      <c r="AI147" s="125" t="n"/>
      <c r="AJ147" s="5" t="n"/>
      <c r="AK147" s="125" t="n"/>
      <c r="AL147" s="125" t="n"/>
    </row>
    <row r="148" hidden="1" s="241"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125" t="n"/>
      <c r="AI148" s="125" t="n"/>
      <c r="AJ148" s="5" t="n"/>
      <c r="AK148" s="125" t="n"/>
      <c r="AL148" s="125" t="n"/>
    </row>
    <row r="149" hidden="1" s="241"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125" t="n"/>
      <c r="AI149" s="125" t="n"/>
      <c r="AJ149" s="5" t="n"/>
      <c r="AK149" s="125" t="n"/>
      <c r="AL149" s="125" t="n"/>
    </row>
    <row r="150" hidden="1" s="241"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125" t="n"/>
      <c r="AI150" s="125" t="n"/>
      <c r="AJ150" s="5" t="n"/>
      <c r="AK150" s="125" t="n"/>
      <c r="AL150" s="125" t="n"/>
    </row>
    <row r="151" hidden="1" s="241"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125" t="n"/>
      <c r="AI151" s="125" t="n"/>
      <c r="AJ151" s="5" t="n"/>
      <c r="AK151" s="125" t="n"/>
      <c r="AL151" s="125" t="n"/>
    </row>
    <row r="152" hidden="1" s="241"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125" t="n"/>
      <c r="AI152" s="125" t="n"/>
      <c r="AJ152" s="5" t="n"/>
      <c r="AK152" s="125" t="n"/>
      <c r="AL152" s="125" t="n"/>
    </row>
    <row r="153" hidden="1" s="241"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125" t="n"/>
      <c r="AI153" s="125" t="n"/>
      <c r="AJ153" s="5" t="n"/>
      <c r="AK153" s="125" t="n"/>
      <c r="AL153" s="125" t="n"/>
    </row>
    <row r="154" hidden="1" s="241"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125" t="n"/>
      <c r="AI154" s="125" t="n"/>
      <c r="AJ154" s="5" t="n"/>
      <c r="AK154" s="125" t="n"/>
      <c r="AL154" s="125" t="n"/>
    </row>
    <row r="155" hidden="1" s="241"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125" t="n"/>
      <c r="AI155" s="125" t="n"/>
      <c r="AJ155" s="5" t="n"/>
      <c r="AK155" s="125" t="n"/>
      <c r="AL155" s="125" t="n"/>
    </row>
    <row r="156" hidden="1" s="241"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125" t="n"/>
      <c r="AI156" s="125" t="n"/>
      <c r="AJ156" s="5" t="n"/>
      <c r="AK156" s="125" t="n"/>
      <c r="AL156" s="125" t="n"/>
    </row>
    <row r="157" hidden="1" s="241"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125" t="n"/>
      <c r="AI157" s="125" t="n"/>
      <c r="AJ157" s="5" t="n"/>
      <c r="AK157" s="125" t="n"/>
      <c r="AL157" s="125" t="n"/>
    </row>
    <row r="158" hidden="1" s="241"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125" t="n"/>
      <c r="AI158" s="125" t="n"/>
      <c r="AJ158" s="5" t="n"/>
      <c r="AK158" s="125" t="n"/>
      <c r="AL158" s="125" t="n"/>
    </row>
    <row r="159" hidden="1" s="241"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125" t="n"/>
      <c r="AI159" s="125" t="n"/>
      <c r="AJ159" s="5" t="n"/>
      <c r="AK159" s="125" t="n"/>
      <c r="AL159" s="125" t="n"/>
    </row>
    <row r="160" hidden="1" s="241"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125" t="n"/>
      <c r="AI160" s="125" t="n"/>
      <c r="AJ160" s="5" t="n"/>
      <c r="AK160" s="125" t="n"/>
      <c r="AL160" s="125" t="n"/>
    </row>
    <row r="161" hidden="1" s="241"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125" t="n"/>
      <c r="AI161" s="125" t="n"/>
      <c r="AJ161" s="5" t="n"/>
      <c r="AK161" s="125" t="n"/>
      <c r="AL161" s="125" t="n"/>
    </row>
    <row r="162" hidden="1" s="241"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125" t="n"/>
      <c r="AI162" s="125" t="n"/>
      <c r="AJ162" s="5" t="n"/>
      <c r="AK162" s="125" t="n"/>
      <c r="AL162" s="125" t="n"/>
    </row>
    <row r="163" hidden="1" s="241"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125" t="n"/>
      <c r="AI163" s="125" t="n"/>
      <c r="AJ163" s="5" t="n"/>
      <c r="AK163" s="125" t="n"/>
      <c r="AL163" s="125" t="n"/>
    </row>
    <row r="164" hidden="1" s="241"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125" t="n"/>
      <c r="AI164" s="125" t="n"/>
      <c r="AJ164" s="5" t="n"/>
      <c r="AK164" s="125" t="n"/>
      <c r="AL164" s="125" t="n"/>
    </row>
    <row r="165" hidden="1" s="241"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125" t="n"/>
      <c r="AI165" s="125" t="n"/>
      <c r="AJ165" s="5" t="n"/>
      <c r="AK165" s="125" t="n"/>
      <c r="AL165" s="125" t="n"/>
    </row>
    <row r="166" hidden="1" s="241"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125" t="n"/>
      <c r="AI166" s="125" t="n"/>
      <c r="AJ166" s="5" t="n"/>
      <c r="AK166" s="125" t="n"/>
      <c r="AL166" s="125" t="n"/>
    </row>
    <row r="167" hidden="1" s="241"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125" t="n"/>
      <c r="AI167" s="125" t="n"/>
      <c r="AJ167" s="5" t="n"/>
      <c r="AK167" s="125" t="n"/>
      <c r="AL167" s="125" t="n"/>
    </row>
    <row r="168" hidden="1" s="241"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125" t="n"/>
      <c r="AI168" s="125" t="n"/>
      <c r="AJ168" s="5" t="n"/>
      <c r="AK168" s="125" t="n"/>
      <c r="AL168" s="125" t="n"/>
    </row>
    <row r="169" hidden="1" s="241"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125" t="n"/>
      <c r="AI169" s="125" t="n"/>
      <c r="AJ169" s="5" t="n"/>
      <c r="AK169" s="125" t="n"/>
      <c r="AL169" s="125" t="n"/>
    </row>
    <row r="170" hidden="1" s="241"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125" t="n"/>
      <c r="AI170" s="125" t="n"/>
      <c r="AJ170" s="5" t="n"/>
      <c r="AK170" s="125" t="n"/>
      <c r="AL170" s="125" t="n"/>
    </row>
    <row r="171" hidden="1" s="241"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125" t="n"/>
      <c r="AI171" s="125" t="n"/>
      <c r="AJ171" s="5" t="n"/>
      <c r="AK171" s="125" t="n"/>
      <c r="AL171" s="125" t="n"/>
    </row>
    <row r="172" hidden="1" s="241"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125" t="n"/>
      <c r="AI172" s="125" t="n"/>
      <c r="AJ172" s="5" t="n"/>
      <c r="AK172" s="125" t="n"/>
      <c r="AL172" s="125" t="n"/>
    </row>
    <row r="173" hidden="1" s="241"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125" t="n"/>
      <c r="AI173" s="125" t="n"/>
      <c r="AJ173" s="5" t="n"/>
      <c r="AK173" s="125" t="n"/>
      <c r="AL173" s="125" t="n"/>
    </row>
    <row r="174" hidden="1" s="241"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125" t="n"/>
      <c r="AI174" s="125" t="n"/>
      <c r="AJ174" s="5" t="n"/>
      <c r="AK174" s="125" t="n"/>
      <c r="AL174" s="125" t="n"/>
    </row>
    <row r="175" hidden="1" s="241"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125" t="n"/>
      <c r="AI175" s="125" t="n"/>
      <c r="AJ175" s="5" t="n"/>
      <c r="AK175" s="125" t="n"/>
      <c r="AL175" s="125" t="n"/>
    </row>
    <row r="176" hidden="1" s="241"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125" t="n"/>
      <c r="AI176" s="125" t="n"/>
      <c r="AJ176" s="5" t="n"/>
      <c r="AK176" s="125" t="n"/>
      <c r="AL176" s="125" t="n"/>
    </row>
    <row r="177" hidden="1" s="241"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125" t="n"/>
      <c r="AI177" s="125" t="n"/>
      <c r="AJ177" s="5" t="n"/>
      <c r="AK177" s="125" t="n"/>
      <c r="AL177" s="125" t="n"/>
    </row>
    <row r="178" hidden="1" s="241"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125" t="n"/>
      <c r="AI178" s="125" t="n"/>
      <c r="AJ178" s="5" t="n"/>
      <c r="AK178" s="125" t="n"/>
      <c r="AL178" s="125" t="n"/>
    </row>
    <row r="179" hidden="1" s="241"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125" t="n"/>
      <c r="AI179" s="125" t="n"/>
      <c r="AJ179" s="5" t="n"/>
      <c r="AK179" s="125" t="n"/>
      <c r="AL179" s="125" t="n"/>
    </row>
    <row r="180" hidden="1" s="241"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125" t="n"/>
      <c r="AI180" s="125" t="n"/>
      <c r="AJ180" s="5" t="n"/>
      <c r="AK180" s="125" t="n"/>
      <c r="AL180" s="125" t="n"/>
    </row>
    <row r="181" hidden="1" s="241"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125" t="n"/>
      <c r="AI181" s="125" t="n"/>
      <c r="AJ181" s="5" t="n"/>
      <c r="AK181" s="125" t="n"/>
      <c r="AL181" s="125" t="n"/>
    </row>
    <row r="182" hidden="1" s="241"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125" t="n"/>
      <c r="AI182" s="125" t="n"/>
      <c r="AJ182" s="5" t="n"/>
      <c r="AK182" s="125" t="n"/>
      <c r="AL182" s="125" t="n"/>
    </row>
    <row r="183" hidden="1" s="241"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125" t="n"/>
      <c r="AI183" s="125" t="n"/>
      <c r="AJ183" s="5" t="n"/>
      <c r="AK183" s="125" t="n"/>
      <c r="AL183" s="125" t="n"/>
    </row>
    <row r="184" hidden="1" s="241"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125" t="n"/>
      <c r="AI184" s="125" t="n"/>
      <c r="AJ184" s="5" t="n"/>
      <c r="AK184" s="125" t="n"/>
      <c r="AL184" s="125" t="n"/>
    </row>
    <row r="185" hidden="1" s="241"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125" t="n"/>
      <c r="AI185" s="125" t="n"/>
      <c r="AJ185" s="5" t="n"/>
      <c r="AK185" s="125" t="n"/>
      <c r="AL185" s="125" t="n"/>
    </row>
    <row r="186" hidden="1" s="241"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125" t="n"/>
      <c r="AI186" s="125" t="n"/>
      <c r="AJ186" s="5" t="n"/>
      <c r="AK186" s="125" t="n"/>
      <c r="AL186" s="125" t="n"/>
    </row>
    <row r="187" hidden="1" s="241"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125" t="n"/>
      <c r="AI187" s="125" t="n"/>
      <c r="AJ187" s="5" t="n"/>
      <c r="AK187" s="125" t="n"/>
      <c r="AL187" s="125" t="n"/>
    </row>
    <row r="188" hidden="1" s="241"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125" t="n"/>
      <c r="AI188" s="125" t="n"/>
      <c r="AJ188" s="5" t="n"/>
      <c r="AK188" s="125" t="n"/>
      <c r="AL188" s="125" t="n"/>
    </row>
    <row r="189" hidden="1" s="241"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125" t="n"/>
      <c r="AI189" s="125" t="n"/>
      <c r="AJ189" s="5" t="n"/>
      <c r="AK189" s="125" t="n"/>
      <c r="AL189" s="125" t="n"/>
    </row>
    <row r="190" hidden="1" s="241"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125" t="n"/>
      <c r="AI190" s="125" t="n"/>
      <c r="AJ190" s="5" t="n"/>
      <c r="AK190" s="125" t="n"/>
      <c r="AL190" s="125" t="n"/>
    </row>
    <row r="191" hidden="1" s="241"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125" t="n"/>
      <c r="AI191" s="125" t="n"/>
      <c r="AJ191" s="5" t="n"/>
      <c r="AK191" s="125" t="n"/>
      <c r="AL191" s="125" t="n"/>
    </row>
    <row r="192" hidden="1" s="241"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125" t="n"/>
      <c r="AI192" s="125" t="n"/>
      <c r="AJ192" s="5" t="n"/>
      <c r="AK192" s="125" t="n"/>
      <c r="AL192" s="125" t="n"/>
    </row>
    <row r="193" hidden="1" s="241"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125" t="n"/>
      <c r="AI193" s="125" t="n"/>
      <c r="AJ193" s="5" t="n"/>
      <c r="AK193" s="125" t="n"/>
      <c r="AL193" s="125" t="n"/>
    </row>
    <row r="194" hidden="1" s="241"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125" t="n"/>
      <c r="AI194" s="125" t="n"/>
      <c r="AJ194" s="5" t="n"/>
      <c r="AK194" s="125" t="n"/>
      <c r="AL194" s="125" t="n"/>
    </row>
    <row r="195" hidden="1" s="241"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125" t="n"/>
      <c r="AI195" s="125" t="n"/>
      <c r="AJ195" s="5" t="n"/>
      <c r="AK195" s="125" t="n"/>
      <c r="AL195" s="125" t="n"/>
    </row>
    <row r="196" hidden="1" s="241"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125" t="n"/>
      <c r="AI196" s="125" t="n"/>
      <c r="AJ196" s="5" t="n"/>
      <c r="AK196" s="125" t="n"/>
      <c r="AL196" s="125" t="n"/>
    </row>
    <row r="197" hidden="1" s="241"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125" t="n"/>
      <c r="AI197" s="125" t="n"/>
      <c r="AJ197" s="5" t="n"/>
      <c r="AK197" s="125" t="n"/>
      <c r="AL197" s="125" t="n"/>
    </row>
    <row r="198" hidden="1" s="241"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125" t="n"/>
      <c r="AI198" s="125" t="n"/>
      <c r="AJ198" s="5" t="n"/>
      <c r="AK198" s="125" t="n"/>
      <c r="AL198" s="125" t="n"/>
    </row>
    <row r="199" hidden="1" s="241"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125" t="n"/>
      <c r="AI199" s="125" t="n"/>
      <c r="AJ199" s="5" t="n"/>
      <c r="AK199" s="125" t="n"/>
      <c r="AL199" s="125" t="n"/>
    </row>
    <row r="200" hidden="1" s="241"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125" t="n"/>
      <c r="AI200" s="125" t="n"/>
      <c r="AJ200" s="5" t="n"/>
      <c r="AK200" s="125" t="n"/>
      <c r="AL200" s="125" t="n"/>
    </row>
    <row r="201" hidden="1" s="241"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125" t="n"/>
      <c r="AI201" s="125" t="n"/>
      <c r="AJ201" s="5" t="n"/>
      <c r="AK201" s="125" t="n"/>
      <c r="AL201" s="125" t="n"/>
    </row>
    <row r="202" hidden="1" s="241"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125" t="n"/>
      <c r="AI202" s="125" t="n"/>
      <c r="AJ202" s="5" t="n"/>
      <c r="AK202" s="125" t="n"/>
      <c r="AL202" s="125" t="n"/>
    </row>
    <row r="203" hidden="1" s="241"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125" t="n"/>
      <c r="AI203" s="125" t="n"/>
      <c r="AJ203" s="5" t="n"/>
      <c r="AK203" s="125" t="n"/>
      <c r="AL203" s="125" t="n"/>
    </row>
    <row r="204" hidden="1" s="241"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125" t="n"/>
      <c r="AI204" s="125" t="n"/>
      <c r="AJ204" s="5" t="n"/>
      <c r="AK204" s="125" t="n"/>
      <c r="AL204" s="125" t="n"/>
    </row>
    <row r="205" hidden="1" s="241"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125" t="n"/>
      <c r="AI205" s="125" t="n"/>
      <c r="AJ205" s="5" t="n"/>
      <c r="AK205" s="125" t="n"/>
      <c r="AL205" s="125" t="n"/>
    </row>
    <row r="206" hidden="1" s="241"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125" t="n"/>
      <c r="AI206" s="125" t="n"/>
      <c r="AJ206" s="5" t="n"/>
      <c r="AK206" s="125" t="n"/>
      <c r="AL206" s="125" t="n"/>
    </row>
    <row r="207" hidden="1" s="241"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125" t="n"/>
      <c r="AI207" s="125" t="n"/>
      <c r="AJ207" s="5" t="n"/>
      <c r="AK207" s="125" t="n"/>
      <c r="AL207" s="125" t="n"/>
    </row>
    <row r="208" hidden="1" s="241"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125" t="n"/>
      <c r="AI208" s="125" t="n"/>
      <c r="AJ208" s="5" t="n"/>
      <c r="AK208" s="125" t="n"/>
      <c r="AL208" s="125" t="n"/>
    </row>
    <row r="209" hidden="1" s="241"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125" t="n"/>
      <c r="AI209" s="125" t="n"/>
      <c r="AJ209" s="5" t="n"/>
      <c r="AK209" s="125" t="n"/>
      <c r="AL209" s="125" t="n"/>
    </row>
    <row r="210" hidden="1" s="241"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125" t="n"/>
      <c r="AI210" s="125" t="n"/>
      <c r="AJ210" s="5" t="n"/>
      <c r="AK210" s="125" t="n"/>
      <c r="AL210" s="125" t="n"/>
    </row>
    <row r="211" hidden="1" s="241"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125" t="n"/>
      <c r="AI211" s="125" t="n"/>
      <c r="AJ211" s="5" t="n"/>
      <c r="AK211" s="125" t="n"/>
      <c r="AL211" s="125" t="n"/>
    </row>
    <row r="212" hidden="1" s="241"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125" t="n"/>
      <c r="AI212" s="125" t="n"/>
      <c r="AJ212" s="5" t="n"/>
      <c r="AK212" s="125" t="n"/>
      <c r="AL212" s="125" t="n"/>
    </row>
    <row r="213" hidden="1" s="241"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125" t="n"/>
      <c r="AI213" s="125" t="n"/>
      <c r="AJ213" s="5" t="n"/>
      <c r="AK213" s="125" t="n"/>
      <c r="AL213" s="125" t="n"/>
    </row>
    <row r="214" hidden="1" s="241"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125" t="n"/>
      <c r="AI214" s="125" t="n"/>
      <c r="AJ214" s="5" t="n"/>
      <c r="AK214" s="125" t="n"/>
      <c r="AL214" s="125" t="n"/>
    </row>
    <row r="215" hidden="1" s="241"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125" t="n"/>
      <c r="AI215" s="125" t="n"/>
      <c r="AJ215" s="5" t="n"/>
      <c r="AK215" s="125" t="n"/>
      <c r="AL215" s="125" t="n"/>
    </row>
    <row r="216" hidden="1" s="241"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125" t="n"/>
      <c r="AI216" s="125" t="n"/>
      <c r="AJ216" s="5" t="n"/>
      <c r="AK216" s="125" t="n"/>
      <c r="AL216" s="125" t="n"/>
    </row>
    <row r="217" hidden="1" s="241"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125" t="n"/>
      <c r="AI217" s="125" t="n"/>
      <c r="AJ217" s="5" t="n"/>
      <c r="AK217" s="125" t="n"/>
      <c r="AL217" s="125" t="n"/>
    </row>
    <row r="218" hidden="1" s="241"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125" t="n"/>
      <c r="AI218" s="125" t="n"/>
      <c r="AJ218" s="5" t="n"/>
      <c r="AK218" s="125" t="n"/>
      <c r="AL218" s="125" t="n"/>
    </row>
    <row r="219" hidden="1" s="241"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125" t="n"/>
      <c r="AI219" s="125" t="n"/>
      <c r="AJ219" s="5" t="n"/>
      <c r="AK219" s="125" t="n"/>
      <c r="AL219" s="125" t="n"/>
    </row>
    <row r="220" hidden="1" s="241"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125" t="n"/>
      <c r="AI220" s="125" t="n"/>
      <c r="AJ220" s="5" t="n"/>
      <c r="AK220" s="125" t="n"/>
      <c r="AL220" s="125" t="n"/>
    </row>
    <row r="221" hidden="1" s="241"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125" t="n"/>
      <c r="AI221" s="125" t="n"/>
      <c r="AJ221" s="5" t="n"/>
      <c r="AK221" s="125" t="n"/>
      <c r="AL221" s="125" t="n"/>
    </row>
    <row r="222" hidden="1" s="241"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125" t="n"/>
      <c r="AI222" s="125" t="n"/>
      <c r="AJ222" s="5" t="n"/>
      <c r="AK222" s="125" t="n"/>
      <c r="AL222" s="125" t="n"/>
    </row>
    <row r="223" hidden="1" s="241"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125" t="n"/>
      <c r="AI223" s="125" t="n"/>
      <c r="AJ223" s="5" t="n"/>
      <c r="AK223" s="125" t="n"/>
      <c r="AL223" s="125" t="n"/>
    </row>
    <row r="224" hidden="1" s="241"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125" t="n"/>
      <c r="AI224" s="125" t="n"/>
      <c r="AJ224" s="5" t="n"/>
      <c r="AK224" s="125" t="n"/>
      <c r="AL224" s="125" t="n"/>
    </row>
    <row r="225" hidden="1" s="241"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125" t="n"/>
      <c r="AI225" s="125" t="n"/>
      <c r="AJ225" s="5" t="n"/>
      <c r="AK225" s="125" t="n"/>
      <c r="AL225" s="125" t="n"/>
    </row>
    <row r="226" hidden="1" s="241"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125" t="n"/>
      <c r="AI226" s="125" t="n"/>
      <c r="AJ226" s="5" t="n"/>
      <c r="AK226" s="125" t="n"/>
      <c r="AL226" s="125" t="n"/>
    </row>
    <row r="227" hidden="1" s="241"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125" t="n"/>
      <c r="AI227" s="125" t="n"/>
      <c r="AJ227" s="5" t="n"/>
      <c r="AK227" s="125" t="n"/>
      <c r="AL227" s="125" t="n"/>
    </row>
    <row r="228" hidden="1" s="241"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125" t="n"/>
      <c r="AI228" s="125" t="n"/>
      <c r="AJ228" s="5" t="n"/>
      <c r="AK228" s="125" t="n"/>
      <c r="AL228" s="125" t="n"/>
    </row>
    <row r="229" hidden="1" s="241"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125" t="n"/>
      <c r="AI229" s="125" t="n"/>
      <c r="AJ229" s="5" t="n"/>
      <c r="AK229" s="125" t="n"/>
      <c r="AL229" s="125" t="n"/>
    </row>
    <row r="230" hidden="1" s="241"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125" t="n"/>
      <c r="AI230" s="125" t="n"/>
      <c r="AJ230" s="5" t="n"/>
      <c r="AK230" s="125" t="n"/>
      <c r="AL230" s="125" t="n"/>
    </row>
    <row r="231" hidden="1" s="241"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125" t="n"/>
      <c r="AI231" s="125" t="n"/>
      <c r="AJ231" s="5" t="n"/>
      <c r="AK231" s="125" t="n"/>
      <c r="AL231" s="125" t="n"/>
    </row>
    <row r="232" hidden="1" s="241"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125" t="n"/>
      <c r="AI232" s="125" t="n"/>
      <c r="AJ232" s="5" t="n"/>
      <c r="AK232" s="125" t="n"/>
      <c r="AL232" s="125" t="n"/>
    </row>
    <row r="233" hidden="1" s="241"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125" t="n"/>
      <c r="AI233" s="125" t="n"/>
      <c r="AJ233" s="5" t="n"/>
      <c r="AK233" s="125" t="n"/>
      <c r="AL233" s="125" t="n"/>
    </row>
    <row r="234" hidden="1" s="241"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125" t="n"/>
      <c r="AI234" s="125" t="n"/>
      <c r="AJ234" s="5" t="n"/>
      <c r="AK234" s="125" t="n"/>
      <c r="AL234" s="125" t="n"/>
    </row>
    <row r="235" hidden="1" s="241"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125" t="n"/>
      <c r="AI235" s="125" t="n"/>
      <c r="AJ235" s="5" t="n"/>
      <c r="AK235" s="125" t="n"/>
      <c r="AL235" s="125" t="n"/>
    </row>
    <row r="236" hidden="1" s="241"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125" t="n"/>
      <c r="AI236" s="125" t="n"/>
      <c r="AJ236" s="5" t="n"/>
      <c r="AK236" s="125" t="n"/>
      <c r="AL236" s="125" t="n"/>
    </row>
    <row r="237" hidden="1" s="241"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125" t="n"/>
      <c r="AI237" s="125" t="n"/>
      <c r="AJ237" s="5" t="n"/>
      <c r="AK237" s="125" t="n"/>
      <c r="AL237" s="125" t="n"/>
    </row>
    <row r="238" hidden="1" s="241"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125" t="n"/>
      <c r="AI238" s="125" t="n"/>
      <c r="AJ238" s="5" t="n"/>
      <c r="AK238" s="125" t="n"/>
      <c r="AL238" s="125" t="n"/>
    </row>
    <row r="239" hidden="1" s="241"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125" t="n"/>
      <c r="AI239" s="125" t="n"/>
      <c r="AJ239" s="5" t="n"/>
      <c r="AK239" s="125" t="n"/>
      <c r="AL239" s="125" t="n"/>
    </row>
    <row r="240" hidden="1" s="241"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125" t="n"/>
      <c r="AI240" s="125" t="n"/>
      <c r="AJ240" s="5" t="n"/>
      <c r="AK240" s="125" t="n"/>
      <c r="AL240" s="125" t="n"/>
    </row>
    <row r="241" hidden="1" s="241"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125" t="n"/>
      <c r="AI241" s="125" t="n"/>
      <c r="AJ241" s="5" t="n"/>
      <c r="AK241" s="125" t="n"/>
      <c r="AL241" s="125" t="n"/>
    </row>
    <row r="242" hidden="1" s="241"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125" t="n"/>
      <c r="AI242" s="125" t="n"/>
      <c r="AJ242" s="5" t="n"/>
      <c r="AK242" s="125" t="n"/>
      <c r="AL242" s="125" t="n"/>
    </row>
    <row r="243" hidden="1" s="241"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125" t="n"/>
      <c r="AI243" s="125" t="n"/>
      <c r="AJ243" s="5" t="n"/>
      <c r="AK243" s="125" t="n"/>
      <c r="AL243" s="125" t="n"/>
    </row>
    <row r="244" hidden="1" s="241"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125" t="n"/>
      <c r="AI244" s="125" t="n"/>
      <c r="AJ244" s="5" t="n"/>
      <c r="AK244" s="125" t="n"/>
      <c r="AL244" s="125" t="n"/>
    </row>
    <row r="245" hidden="1" s="241"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125" t="n"/>
      <c r="AI245" s="125" t="n"/>
      <c r="AJ245" s="5" t="n"/>
      <c r="AK245" s="125" t="n"/>
      <c r="AL245" s="125" t="n"/>
    </row>
    <row r="246" hidden="1" s="241"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125" t="n"/>
      <c r="AI246" s="125" t="n"/>
      <c r="AJ246" s="5" t="n"/>
      <c r="AK246" s="125" t="n"/>
      <c r="AL246" s="125" t="n"/>
    </row>
    <row r="247" hidden="1" s="241"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125" t="n"/>
      <c r="AI247" s="125" t="n"/>
      <c r="AJ247" s="5" t="n"/>
      <c r="AK247" s="125" t="n"/>
      <c r="AL247" s="125" t="n"/>
    </row>
    <row r="248" hidden="1" s="241"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125" t="n"/>
      <c r="AI248" s="125" t="n"/>
      <c r="AJ248" s="5" t="n"/>
      <c r="AK248" s="125" t="n"/>
      <c r="AL248" s="125" t="n"/>
    </row>
    <row r="249" hidden="1" s="241"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125" t="n"/>
      <c r="AI249" s="125" t="n"/>
      <c r="AJ249" s="5" t="n"/>
      <c r="AK249" s="125" t="n"/>
      <c r="AL249" s="125" t="n"/>
    </row>
    <row r="250" hidden="1" s="241"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125" t="n"/>
      <c r="AI250" s="125" t="n"/>
      <c r="AJ250" s="5" t="n"/>
      <c r="AK250" s="125" t="n"/>
      <c r="AL250" s="125" t="n"/>
    </row>
    <row r="251" hidden="1" s="241"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125" t="n"/>
      <c r="AI251" s="125" t="n"/>
      <c r="AJ251" s="5" t="n"/>
      <c r="AK251" s="125" t="n"/>
      <c r="AL251" s="125" t="n"/>
    </row>
    <row r="252" hidden="1" s="241"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125" t="n"/>
      <c r="AI252" s="125" t="n"/>
      <c r="AJ252" s="5" t="n"/>
      <c r="AK252" s="125" t="n"/>
      <c r="AL252" s="125" t="n"/>
    </row>
    <row r="253" hidden="1" s="241"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125" t="n"/>
      <c r="AI253" s="125" t="n"/>
      <c r="AJ253" s="5" t="n"/>
      <c r="AK253" s="125" t="n"/>
      <c r="AL253" s="125" t="n"/>
    </row>
    <row r="254" hidden="1" s="241"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125" t="n"/>
      <c r="AI254" s="125" t="n"/>
      <c r="AJ254" s="5" t="n"/>
      <c r="AK254" s="125" t="n"/>
      <c r="AL254" s="125" t="n"/>
    </row>
    <row r="255" hidden="1" s="241"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125" t="n"/>
      <c r="AI255" s="125" t="n"/>
      <c r="AJ255" s="5" t="n"/>
      <c r="AK255" s="125" t="n"/>
      <c r="AL255" s="125" t="n"/>
    </row>
    <row r="256" hidden="1" s="241"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125" t="n"/>
      <c r="AI256" s="125" t="n"/>
      <c r="AJ256" s="5" t="n"/>
      <c r="AK256" s="125" t="n"/>
      <c r="AL256" s="125" t="n"/>
    </row>
    <row r="257" hidden="1" s="241"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125" t="n"/>
      <c r="AI257" s="125" t="n"/>
      <c r="AJ257" s="5" t="n"/>
      <c r="AK257" s="125" t="n"/>
      <c r="AL257" s="125" t="n"/>
    </row>
    <row r="258" hidden="1" s="241"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125" t="n"/>
      <c r="AI258" s="125" t="n"/>
      <c r="AJ258" s="5" t="n"/>
      <c r="AK258" s="125" t="n"/>
      <c r="AL258" s="125" t="n"/>
    </row>
    <row r="259" hidden="1" s="241"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125" t="n"/>
      <c r="AI259" s="125" t="n"/>
      <c r="AJ259" s="5" t="n"/>
      <c r="AK259" s="125" t="n"/>
      <c r="AL259" s="125" t="n"/>
    </row>
    <row r="260" hidden="1" s="241"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125" t="n"/>
      <c r="AI260" s="125" t="n"/>
      <c r="AJ260" s="5" t="n"/>
      <c r="AK260" s="125" t="n"/>
      <c r="AL260" s="125" t="n"/>
    </row>
    <row r="261" hidden="1" s="241"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125" t="n"/>
      <c r="AI261" s="125" t="n"/>
      <c r="AJ261" s="5" t="n"/>
      <c r="AK261" s="125" t="n"/>
      <c r="AL261" s="125" t="n"/>
    </row>
    <row r="262" hidden="1" s="241"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125" t="n"/>
      <c r="AI262" s="125" t="n"/>
      <c r="AJ262" s="5" t="n"/>
      <c r="AK262" s="125" t="n"/>
      <c r="AL262" s="125" t="n"/>
    </row>
    <row r="263" hidden="1" s="241"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125" t="n"/>
      <c r="AI263" s="125" t="n"/>
      <c r="AJ263" s="5" t="n"/>
      <c r="AK263" s="125" t="n"/>
      <c r="AL263" s="125" t="n"/>
    </row>
    <row r="264" hidden="1" s="241"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125" t="n"/>
      <c r="AI264" s="125" t="n"/>
      <c r="AJ264" s="5" t="n"/>
      <c r="AK264" s="125" t="n"/>
      <c r="AL264" s="125" t="n"/>
    </row>
    <row r="265" hidden="1" s="241"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125" t="n"/>
      <c r="AI265" s="125" t="n"/>
      <c r="AJ265" s="5" t="n"/>
      <c r="AK265" s="125" t="n"/>
      <c r="AL265" s="125" t="n"/>
    </row>
    <row r="266" hidden="1" s="241"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125" t="n"/>
      <c r="AI266" s="125" t="n"/>
      <c r="AJ266" s="5" t="n"/>
      <c r="AK266" s="125" t="n"/>
      <c r="AL266" s="125" t="n"/>
    </row>
    <row r="267" hidden="1" s="241"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125" t="n"/>
      <c r="AI267" s="125" t="n"/>
      <c r="AJ267" s="5" t="n"/>
      <c r="AK267" s="125" t="n"/>
      <c r="AL267" s="125" t="n"/>
    </row>
    <row r="268" hidden="1" s="241"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125" t="n"/>
      <c r="AI268" s="125" t="n"/>
      <c r="AJ268" s="5" t="n"/>
      <c r="AK268" s="125" t="n"/>
      <c r="AL268" s="125" t="n"/>
    </row>
    <row r="269" hidden="1" s="241"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125" t="n"/>
      <c r="AI269" s="125" t="n"/>
      <c r="AJ269" s="5" t="n"/>
      <c r="AK269" s="125" t="n"/>
      <c r="AL269" s="125" t="n"/>
    </row>
    <row r="270" hidden="1" s="241"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125" t="n"/>
      <c r="AI270" s="125" t="n"/>
      <c r="AJ270" s="5" t="n"/>
      <c r="AK270" s="125" t="n"/>
      <c r="AL270" s="125" t="n"/>
    </row>
    <row r="271" hidden="1" s="241"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125" t="n"/>
      <c r="AI271" s="125" t="n"/>
      <c r="AJ271" s="5" t="n"/>
      <c r="AK271" s="125" t="n"/>
      <c r="AL271" s="125" t="n"/>
    </row>
    <row r="272" hidden="1" s="241"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125" t="n"/>
      <c r="AI272" s="125" t="n"/>
      <c r="AJ272" s="5" t="n"/>
      <c r="AK272" s="125" t="n"/>
      <c r="AL272" s="125" t="n"/>
    </row>
    <row r="273" hidden="1" s="241"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125" t="n"/>
      <c r="AI273" s="125" t="n"/>
      <c r="AJ273" s="5" t="n"/>
      <c r="AK273" s="125" t="n"/>
      <c r="AL273" s="125" t="n"/>
    </row>
    <row r="274" hidden="1" s="241"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125" t="n"/>
      <c r="AI274" s="125" t="n"/>
      <c r="AJ274" s="5" t="n"/>
      <c r="AK274" s="125" t="n"/>
      <c r="AL274" s="125" t="n"/>
    </row>
    <row r="275" hidden="1" s="241"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125" t="n"/>
      <c r="AI275" s="125" t="n"/>
      <c r="AJ275" s="5" t="n"/>
      <c r="AK275" s="125" t="n"/>
      <c r="AL275" s="125" t="n"/>
    </row>
    <row r="276" hidden="1" s="241"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125" t="n"/>
      <c r="AI276" s="125" t="n"/>
      <c r="AJ276" s="5" t="n"/>
      <c r="AK276" s="125" t="n"/>
      <c r="AL276" s="125" t="n"/>
    </row>
    <row r="277" hidden="1" s="241"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125" t="n"/>
      <c r="AI277" s="125" t="n"/>
      <c r="AJ277" s="5" t="n"/>
      <c r="AK277" s="125" t="n"/>
      <c r="AL277" s="125" t="n"/>
    </row>
    <row r="278" hidden="1" s="241"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125" t="n"/>
      <c r="AI278" s="125" t="n"/>
      <c r="AJ278" s="5" t="n"/>
      <c r="AK278" s="125" t="n"/>
      <c r="AL278" s="125" t="n"/>
    </row>
    <row r="279" hidden="1" s="241"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125" t="n"/>
      <c r="AI279" s="125" t="n"/>
      <c r="AJ279" s="5" t="n"/>
      <c r="AK279" s="125" t="n"/>
      <c r="AL279" s="125" t="n"/>
    </row>
    <row r="280" hidden="1" s="241"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125" t="n"/>
      <c r="AI280" s="125" t="n"/>
      <c r="AJ280" s="5" t="n"/>
      <c r="AK280" s="125" t="n"/>
      <c r="AL280" s="125" t="n"/>
    </row>
    <row r="281" hidden="1" s="241"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125" t="n"/>
      <c r="AI281" s="125" t="n"/>
      <c r="AJ281" s="5" t="n"/>
      <c r="AK281" s="125" t="n"/>
      <c r="AL281" s="125" t="n"/>
    </row>
    <row r="282" hidden="1" s="241"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125" t="n"/>
      <c r="AI282" s="125" t="n"/>
      <c r="AJ282" s="5" t="n"/>
      <c r="AK282" s="125" t="n"/>
      <c r="AL282" s="125" t="n"/>
    </row>
    <row r="283" hidden="1" s="241"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125" t="n"/>
      <c r="AI283" s="125" t="n"/>
      <c r="AJ283" s="5" t="n"/>
      <c r="AK283" s="125" t="n"/>
      <c r="AL283" s="125" t="n"/>
    </row>
    <row r="284" hidden="1" s="241"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125" t="n"/>
      <c r="AI284" s="125" t="n"/>
      <c r="AJ284" s="5" t="n"/>
      <c r="AK284" s="125" t="n"/>
      <c r="AL284" s="125" t="n"/>
    </row>
    <row r="285" hidden="1" s="241"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125" t="n"/>
      <c r="AI285" s="125" t="n"/>
      <c r="AJ285" s="5" t="n"/>
      <c r="AK285" s="125" t="n"/>
      <c r="AL285" s="125" t="n"/>
    </row>
    <row r="286" hidden="1" s="241"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125" t="n"/>
      <c r="AI286" s="125" t="n"/>
      <c r="AJ286" s="5" t="n"/>
      <c r="AK286" s="125" t="n"/>
      <c r="AL286" s="125" t="n"/>
    </row>
    <row r="287" hidden="1" s="241"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125" t="n"/>
      <c r="AI287" s="125" t="n"/>
      <c r="AJ287" s="5" t="n"/>
      <c r="AK287" s="125" t="n"/>
      <c r="AL287" s="125" t="n"/>
    </row>
    <row r="288" hidden="1" s="241"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125" t="n"/>
      <c r="AI288" s="125" t="n"/>
      <c r="AJ288" s="5" t="n"/>
      <c r="AK288" s="125" t="n"/>
      <c r="AL288" s="125" t="n"/>
    </row>
    <row r="289" hidden="1" s="241"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125" t="n"/>
      <c r="AI289" s="125" t="n"/>
      <c r="AJ289" s="5" t="n"/>
      <c r="AK289" s="125" t="n"/>
      <c r="AL289" s="125" t="n"/>
    </row>
    <row r="290" hidden="1" s="241"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125" t="n"/>
      <c r="AI290" s="125" t="n"/>
      <c r="AJ290" s="5" t="n"/>
      <c r="AK290" s="125" t="n"/>
      <c r="AL290" s="125" t="n"/>
    </row>
    <row r="291" hidden="1" s="241"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125" t="n"/>
      <c r="AI291" s="125" t="n"/>
      <c r="AJ291" s="5" t="n"/>
      <c r="AK291" s="125" t="n"/>
      <c r="AL291" s="125" t="n"/>
    </row>
    <row r="292" hidden="1" s="241"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125" t="n"/>
      <c r="AI292" s="125" t="n"/>
      <c r="AJ292" s="5" t="n"/>
      <c r="AK292" s="125" t="n"/>
      <c r="AL292" s="125" t="n"/>
    </row>
    <row r="293" hidden="1" s="241"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125" t="n"/>
      <c r="AI293" s="125" t="n"/>
      <c r="AJ293" s="5" t="n"/>
      <c r="AK293" s="125" t="n"/>
      <c r="AL293" s="125" t="n"/>
    </row>
    <row r="294" hidden="1" s="241"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125" t="n"/>
      <c r="AI294" s="125" t="n"/>
      <c r="AJ294" s="5" t="n"/>
      <c r="AK294" s="125" t="n"/>
      <c r="AL294" s="125" t="n"/>
    </row>
    <row r="295" hidden="1" s="241"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125" t="n"/>
      <c r="AI295" s="125" t="n"/>
      <c r="AJ295" s="5" t="n"/>
      <c r="AK295" s="125" t="n"/>
      <c r="AL295" s="125" t="n"/>
    </row>
    <row r="296" hidden="1" s="241"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125" t="n"/>
      <c r="AI296" s="125" t="n"/>
      <c r="AJ296" s="5" t="n"/>
      <c r="AK296" s="125" t="n"/>
      <c r="AL296" s="125" t="n"/>
    </row>
    <row r="297" hidden="1" s="241"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125" t="n"/>
      <c r="AI297" s="125" t="n"/>
      <c r="AJ297" s="5" t="n"/>
      <c r="AK297" s="125" t="n"/>
      <c r="AL297" s="125" t="n"/>
    </row>
    <row r="298" hidden="1" s="241"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125" t="n"/>
      <c r="AI298" s="125" t="n"/>
      <c r="AJ298" s="5" t="n"/>
      <c r="AK298" s="125" t="n"/>
      <c r="AL298" s="125" t="n"/>
    </row>
    <row r="299" hidden="1" s="241"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125" t="n"/>
      <c r="AI299" s="125" t="n"/>
      <c r="AJ299" s="5" t="n"/>
      <c r="AK299" s="125" t="n"/>
      <c r="AL299" s="125" t="n"/>
    </row>
    <row r="300" hidden="1" s="241"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125" t="n"/>
      <c r="AI300" s="125" t="n"/>
      <c r="AJ300" s="5" t="n"/>
      <c r="AK300" s="125" t="n"/>
      <c r="AL300" s="125" t="n"/>
    </row>
    <row r="301" hidden="1" s="241"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125" t="n"/>
      <c r="AI301" s="125" t="n"/>
      <c r="AJ301" s="5" t="n"/>
      <c r="AK301" s="125" t="n"/>
      <c r="AL301" s="125" t="n"/>
    </row>
    <row r="302" hidden="1" s="241"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125" t="n"/>
      <c r="AI302" s="125" t="n"/>
      <c r="AJ302" s="5" t="n"/>
      <c r="AK302" s="125" t="n"/>
      <c r="AL302" s="125" t="n"/>
    </row>
    <row r="303" hidden="1" s="241"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125" t="n"/>
      <c r="AI303" s="125" t="n"/>
      <c r="AJ303" s="5" t="n"/>
      <c r="AK303" s="125" t="n"/>
      <c r="AL303" s="125" t="n"/>
    </row>
    <row r="304" hidden="1" s="241"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125" t="n"/>
      <c r="AI304" s="125" t="n"/>
      <c r="AJ304" s="5" t="n"/>
      <c r="AK304" s="125" t="n"/>
      <c r="AL304" s="125" t="n"/>
    </row>
    <row r="305" hidden="1" s="241"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125" t="n"/>
      <c r="AI305" s="125" t="n"/>
      <c r="AJ305" s="5" t="n"/>
      <c r="AK305" s="125" t="n"/>
      <c r="AL305" s="125" t="n"/>
    </row>
    <row r="306" hidden="1" s="241"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125" t="n"/>
      <c r="AI306" s="125" t="n"/>
      <c r="AJ306" s="5" t="n"/>
      <c r="AK306" s="125" t="n"/>
      <c r="AL306" s="125" t="n"/>
    </row>
    <row r="307" hidden="1" s="241"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125" t="n"/>
      <c r="AI307" s="125" t="n"/>
      <c r="AJ307" s="5" t="n"/>
      <c r="AK307" s="125" t="n"/>
      <c r="AL307" s="125" t="n"/>
    </row>
    <row r="308" hidden="1" s="241"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125" t="n"/>
      <c r="AI308" s="125" t="n"/>
      <c r="AJ308" s="5" t="n"/>
      <c r="AK308" s="125" t="n"/>
      <c r="AL308" s="125" t="n"/>
    </row>
    <row r="309" hidden="1" s="241"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125" t="n"/>
      <c r="AI309" s="125" t="n"/>
      <c r="AJ309" s="5" t="n"/>
      <c r="AK309" s="125" t="n"/>
      <c r="AL309" s="125" t="n"/>
    </row>
    <row r="310" hidden="1" s="241"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125" t="n"/>
      <c r="AI310" s="125" t="n"/>
      <c r="AJ310" s="5" t="n"/>
      <c r="AK310" s="125" t="n"/>
      <c r="AL310" s="125" t="n"/>
    </row>
    <row r="311" hidden="1" s="241"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125" t="n"/>
      <c r="AI311" s="125" t="n"/>
      <c r="AJ311" s="5" t="n"/>
      <c r="AK311" s="125" t="n"/>
      <c r="AL311" s="125" t="n"/>
    </row>
    <row r="312" hidden="1" s="241"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125" t="n"/>
      <c r="AI312" s="125" t="n"/>
      <c r="AJ312" s="5" t="n"/>
      <c r="AK312" s="125" t="n"/>
      <c r="AL312" s="125" t="n"/>
    </row>
    <row r="313" hidden="1" s="241"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125" t="n"/>
      <c r="AI313" s="125" t="n"/>
      <c r="AJ313" s="5" t="n"/>
      <c r="AK313" s="125" t="n"/>
      <c r="AL313" s="125" t="n"/>
    </row>
    <row r="314" hidden="1" s="241"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125" t="n"/>
      <c r="AI314" s="125" t="n"/>
      <c r="AJ314" s="5" t="n"/>
      <c r="AK314" s="125" t="n"/>
      <c r="AL314" s="125" t="n"/>
    </row>
    <row r="315" hidden="1" s="241"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125" t="n"/>
      <c r="AI315" s="125" t="n"/>
      <c r="AJ315" s="5" t="n"/>
      <c r="AK315" s="125" t="n"/>
      <c r="AL315" s="125" t="n"/>
    </row>
    <row r="316" hidden="1" s="241"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125" t="n"/>
      <c r="AI316" s="125" t="n"/>
      <c r="AJ316" s="5" t="n"/>
      <c r="AK316" s="125" t="n"/>
      <c r="AL316" s="125" t="n"/>
    </row>
    <row r="317" hidden="1" s="241"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125" t="n"/>
      <c r="AI317" s="125" t="n"/>
      <c r="AJ317" s="5" t="n"/>
      <c r="AK317" s="125" t="n"/>
      <c r="AL317" s="125" t="n"/>
    </row>
    <row r="318" hidden="1" s="241"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125" t="n"/>
      <c r="AI318" s="125" t="n"/>
      <c r="AJ318" s="5" t="n"/>
      <c r="AK318" s="125" t="n"/>
      <c r="AL318" s="125" t="n"/>
    </row>
    <row r="319" hidden="1" s="241"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125" t="n"/>
      <c r="AI319" s="125" t="n"/>
      <c r="AJ319" s="5" t="n"/>
      <c r="AK319" s="125" t="n"/>
      <c r="AL319" s="125" t="n"/>
    </row>
    <row r="320" hidden="1" s="241"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125" t="n"/>
      <c r="AI320" s="125" t="n"/>
      <c r="AJ320" s="5" t="n"/>
      <c r="AK320" s="125" t="n"/>
      <c r="AL320" s="125" t="n"/>
    </row>
    <row r="321" hidden="1" s="241"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125" t="n"/>
      <c r="AI321" s="125" t="n"/>
      <c r="AJ321" s="5" t="n"/>
      <c r="AK321" s="125" t="n"/>
      <c r="AL321" s="125" t="n"/>
    </row>
    <row r="322" hidden="1" s="241"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125" t="n"/>
      <c r="AI322" s="125" t="n"/>
      <c r="AJ322" s="5" t="n"/>
      <c r="AK322" s="125" t="n"/>
      <c r="AL322" s="125" t="n"/>
    </row>
    <row r="323" hidden="1" s="241"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125" t="n"/>
      <c r="AI323" s="125" t="n"/>
      <c r="AJ323" s="5" t="n"/>
      <c r="AK323" s="125" t="n"/>
      <c r="AL323" s="125" t="n"/>
    </row>
    <row r="324" hidden="1" s="241"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125" t="n"/>
      <c r="AI324" s="125" t="n"/>
      <c r="AJ324" s="5" t="n"/>
      <c r="AK324" s="125" t="n"/>
      <c r="AL324" s="125" t="n"/>
    </row>
    <row r="325" hidden="1" s="241"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125" t="n"/>
      <c r="AI325" s="125" t="n"/>
      <c r="AJ325" s="5" t="n"/>
      <c r="AK325" s="125" t="n"/>
      <c r="AL325" s="125" t="n"/>
    </row>
    <row r="326" hidden="1" s="241"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125" t="n"/>
      <c r="AI326" s="125" t="n"/>
      <c r="AJ326" s="5" t="n"/>
      <c r="AK326" s="125" t="n"/>
      <c r="AL326" s="125" t="n"/>
    </row>
    <row r="327" hidden="1" s="241"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125" t="n"/>
      <c r="AI327" s="125" t="n"/>
      <c r="AJ327" s="5" t="n"/>
      <c r="AK327" s="125" t="n"/>
      <c r="AL327" s="125" t="n"/>
    </row>
    <row r="328" hidden="1" s="241"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125" t="n"/>
      <c r="AI328" s="125" t="n"/>
      <c r="AJ328" s="5" t="n"/>
      <c r="AK328" s="125" t="n"/>
      <c r="AL328" s="125" t="n"/>
    </row>
    <row r="329" hidden="1" s="241"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125" t="n"/>
      <c r="AI329" s="125" t="n"/>
      <c r="AJ329" s="5" t="n"/>
      <c r="AK329" s="125" t="n"/>
      <c r="AL329" s="125" t="n"/>
    </row>
    <row r="330" hidden="1" s="241"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125" t="n"/>
      <c r="AI330" s="125" t="n"/>
      <c r="AJ330" s="5" t="n"/>
      <c r="AK330" s="125" t="n"/>
      <c r="AL330" s="125" t="n"/>
    </row>
    <row r="331" hidden="1" s="241"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125" t="n"/>
      <c r="AI331" s="125" t="n"/>
      <c r="AJ331" s="5" t="n"/>
      <c r="AK331" s="125" t="n"/>
      <c r="AL331" s="125" t="n"/>
    </row>
    <row r="332" hidden="1" s="241"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125" t="n"/>
      <c r="AI332" s="125" t="n"/>
      <c r="AJ332" s="5" t="n"/>
      <c r="AK332" s="125" t="n"/>
      <c r="AL332" s="125" t="n"/>
    </row>
    <row r="333" hidden="1" s="241"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125" t="n"/>
      <c r="AI333" s="125" t="n"/>
      <c r="AJ333" s="5" t="n"/>
      <c r="AK333" s="125" t="n"/>
      <c r="AL333" s="125" t="n"/>
    </row>
    <row r="334" hidden="1" s="241"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125" t="n"/>
      <c r="AI334" s="125" t="n"/>
      <c r="AJ334" s="5" t="n"/>
      <c r="AK334" s="125" t="n"/>
      <c r="AL334" s="125" t="n"/>
    </row>
    <row r="335" hidden="1" s="241"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125" t="n"/>
      <c r="AI335" s="125" t="n"/>
      <c r="AJ335" s="5" t="n"/>
      <c r="AK335" s="125" t="n"/>
      <c r="AL335" s="125" t="n"/>
    </row>
    <row r="336" hidden="1" s="241"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125" t="n"/>
      <c r="AI336" s="125" t="n"/>
      <c r="AJ336" s="5" t="n"/>
      <c r="AK336" s="125" t="n"/>
      <c r="AL336" s="125" t="n"/>
    </row>
    <row r="337" hidden="1" s="241"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125" t="n"/>
      <c r="AI337" s="125" t="n"/>
      <c r="AJ337" s="5" t="n"/>
      <c r="AK337" s="125" t="n"/>
      <c r="AL337" s="125" t="n"/>
    </row>
    <row r="338" hidden="1" s="241"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125" t="n"/>
      <c r="AI338" s="125" t="n"/>
      <c r="AJ338" s="5" t="n"/>
      <c r="AK338" s="125" t="n"/>
      <c r="AL338" s="125" t="n"/>
    </row>
    <row r="339" hidden="1" s="241"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125" t="n"/>
      <c r="AI339" s="125" t="n"/>
      <c r="AJ339" s="5" t="n"/>
      <c r="AK339" s="125" t="n"/>
      <c r="AL339" s="125" t="n"/>
    </row>
    <row r="340" hidden="1" s="241"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125" t="n"/>
      <c r="AI340" s="125" t="n"/>
      <c r="AJ340" s="5" t="n"/>
      <c r="AK340" s="125" t="n"/>
      <c r="AL340" s="125" t="n"/>
    </row>
    <row r="341" hidden="1" s="241"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125" t="n"/>
      <c r="AI341" s="125" t="n"/>
      <c r="AJ341" s="5" t="n"/>
      <c r="AK341" s="125" t="n"/>
      <c r="AL341" s="125" t="n"/>
    </row>
    <row r="342" hidden="1" s="241"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125" t="n"/>
      <c r="AI342" s="125" t="n"/>
      <c r="AJ342" s="5" t="n"/>
      <c r="AK342" s="125" t="n"/>
      <c r="AL342" s="125" t="n"/>
    </row>
    <row r="343" hidden="1" s="241"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125" t="n"/>
      <c r="AI343" s="125" t="n"/>
      <c r="AJ343" s="5" t="n"/>
      <c r="AK343" s="125" t="n"/>
      <c r="AL343" s="125" t="n"/>
    </row>
    <row r="344" hidden="1" s="241"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125" t="n"/>
      <c r="AI344" s="125" t="n"/>
      <c r="AJ344" s="5" t="n"/>
      <c r="AK344" s="125" t="n"/>
      <c r="AL344" s="125" t="n"/>
    </row>
    <row r="345" hidden="1" s="241"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125" t="n"/>
      <c r="AI345" s="125" t="n"/>
      <c r="AJ345" s="5" t="n"/>
      <c r="AK345" s="125" t="n"/>
      <c r="AL345" s="125" t="n"/>
    </row>
    <row r="346" hidden="1" s="241"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125" t="n"/>
      <c r="AI346" s="125" t="n"/>
      <c r="AJ346" s="5" t="n"/>
      <c r="AK346" s="125" t="n"/>
      <c r="AL346" s="125" t="n"/>
    </row>
    <row r="347" hidden="1" s="241"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125" t="n"/>
      <c r="AI347" s="125" t="n"/>
      <c r="AJ347" s="5" t="n"/>
      <c r="AK347" s="125" t="n"/>
      <c r="AL347" s="125" t="n"/>
    </row>
    <row r="348" hidden="1" s="241"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125" t="n"/>
      <c r="AI348" s="125" t="n"/>
      <c r="AJ348" s="5" t="n"/>
      <c r="AK348" s="125" t="n"/>
      <c r="AL348" s="125" t="n"/>
    </row>
    <row r="349" hidden="1" s="241"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125" t="n"/>
      <c r="AI349" s="125" t="n"/>
      <c r="AJ349" s="5" t="n"/>
      <c r="AK349" s="125" t="n"/>
      <c r="AL349" s="125" t="n"/>
    </row>
    <row r="350" hidden="1" s="241"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125" t="n"/>
      <c r="AI350" s="125" t="n"/>
      <c r="AJ350" s="5" t="n"/>
      <c r="AK350" s="125" t="n"/>
      <c r="AL350" s="125" t="n"/>
    </row>
    <row r="351" hidden="1" s="241"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125" t="n"/>
      <c r="AI351" s="125" t="n"/>
      <c r="AJ351" s="5" t="n"/>
      <c r="AK351" s="125" t="n"/>
      <c r="AL351" s="125" t="n"/>
    </row>
    <row r="352" hidden="1" s="241"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125" t="n"/>
      <c r="AI352" s="125" t="n"/>
      <c r="AJ352" s="5" t="n"/>
      <c r="AK352" s="125" t="n"/>
      <c r="AL352" s="125" t="n"/>
    </row>
    <row r="353" hidden="1" s="241"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125" t="n"/>
      <c r="AI353" s="125" t="n"/>
      <c r="AJ353" s="5" t="n"/>
      <c r="AK353" s="125" t="n"/>
      <c r="AL353" s="125" t="n"/>
    </row>
    <row r="354" hidden="1" s="241"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125" t="n"/>
      <c r="AI354" s="125" t="n"/>
      <c r="AJ354" s="5" t="n"/>
      <c r="AK354" s="125" t="n"/>
      <c r="AL354" s="125" t="n"/>
    </row>
    <row r="355" hidden="1" s="241"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125" t="n"/>
      <c r="AI355" s="125" t="n"/>
      <c r="AJ355" s="5" t="n"/>
      <c r="AK355" s="125" t="n"/>
      <c r="AL355" s="125" t="n"/>
    </row>
    <row r="356" hidden="1" s="241"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125" t="n"/>
      <c r="AI356" s="125" t="n"/>
      <c r="AJ356" s="5" t="n"/>
      <c r="AK356" s="125" t="n"/>
      <c r="AL356" s="125" t="n"/>
    </row>
    <row r="357" hidden="1" s="241"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125" t="n"/>
      <c r="AI357" s="125" t="n"/>
      <c r="AJ357" s="5" t="n"/>
      <c r="AK357" s="125" t="n"/>
      <c r="AL357" s="125" t="n"/>
    </row>
    <row r="358" hidden="1" s="241"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125" t="n"/>
      <c r="AI358" s="125" t="n"/>
      <c r="AJ358" s="5" t="n"/>
      <c r="AK358" s="125" t="n"/>
      <c r="AL358" s="125" t="n"/>
    </row>
    <row r="359" hidden="1" s="241"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125" t="n"/>
      <c r="AI359" s="125" t="n"/>
      <c r="AJ359" s="5" t="n"/>
      <c r="AK359" s="125" t="n"/>
      <c r="AL359" s="125" t="n"/>
    </row>
    <row r="360" hidden="1" s="241"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125" t="n"/>
      <c r="AI360" s="125" t="n"/>
      <c r="AJ360" s="5" t="n"/>
      <c r="AK360" s="125" t="n"/>
      <c r="AL360" s="125" t="n"/>
    </row>
    <row r="361" hidden="1" s="241"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125" t="n"/>
      <c r="AI361" s="125" t="n"/>
      <c r="AJ361" s="5" t="n"/>
      <c r="AK361" s="125" t="n"/>
      <c r="AL361" s="125" t="n"/>
    </row>
    <row r="362" hidden="1" s="241"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125" t="n"/>
      <c r="AI362" s="125" t="n"/>
      <c r="AJ362" s="5" t="n"/>
      <c r="AK362" s="125" t="n"/>
      <c r="AL362" s="125" t="n"/>
    </row>
    <row r="363" hidden="1" s="241"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125" t="n"/>
      <c r="AI363" s="125" t="n"/>
      <c r="AJ363" s="5" t="n"/>
      <c r="AK363" s="125" t="n"/>
      <c r="AL363" s="125" t="n"/>
    </row>
    <row r="364" hidden="1" s="241"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125" t="n"/>
      <c r="AI364" s="125" t="n"/>
      <c r="AJ364" s="5" t="n"/>
      <c r="AK364" s="125" t="n"/>
      <c r="AL364" s="125" t="n"/>
    </row>
    <row r="365" hidden="1" s="241"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125" t="n"/>
      <c r="AI365" s="125" t="n"/>
      <c r="AJ365" s="5" t="n"/>
      <c r="AK365" s="125" t="n"/>
      <c r="AL365" s="125" t="n"/>
    </row>
    <row r="366" hidden="1" s="241"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125" t="n"/>
      <c r="AI366" s="125" t="n"/>
      <c r="AJ366" s="5" t="n"/>
      <c r="AK366" s="125" t="n"/>
      <c r="AL366" s="125" t="n"/>
    </row>
    <row r="367" hidden="1" s="241"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125" t="n"/>
      <c r="AI367" s="125" t="n"/>
      <c r="AJ367" s="5" t="n"/>
      <c r="AK367" s="125" t="n"/>
      <c r="AL367" s="125" t="n"/>
    </row>
    <row r="368" hidden="1" s="241"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125" t="n"/>
      <c r="AI368" s="125" t="n"/>
      <c r="AJ368" s="5" t="n"/>
      <c r="AK368" s="125" t="n"/>
      <c r="AL368" s="125" t="n"/>
    </row>
    <row r="369" hidden="1" s="241"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125" t="n"/>
      <c r="AI369" s="125" t="n"/>
      <c r="AJ369" s="5" t="n"/>
      <c r="AK369" s="125" t="n"/>
      <c r="AL369" s="125" t="n"/>
    </row>
    <row r="370" hidden="1" s="241"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125" t="n"/>
      <c r="AI370" s="125" t="n"/>
      <c r="AJ370" s="5" t="n"/>
      <c r="AK370" s="125" t="n"/>
      <c r="AL370" s="125" t="n"/>
    </row>
    <row r="371" hidden="1" s="241"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125" t="n"/>
      <c r="AI371" s="125" t="n"/>
      <c r="AJ371" s="5" t="n"/>
      <c r="AK371" s="125" t="n"/>
      <c r="AL371" s="125" t="n"/>
    </row>
    <row r="372" hidden="1" s="241"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125" t="n"/>
      <c r="AI372" s="125" t="n"/>
      <c r="AJ372" s="5" t="n"/>
      <c r="AK372" s="125" t="n"/>
      <c r="AL372" s="125" t="n"/>
    </row>
    <row r="373" hidden="1" s="241"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125" t="n"/>
      <c r="AI373" s="125" t="n"/>
      <c r="AJ373" s="5" t="n"/>
      <c r="AK373" s="125" t="n"/>
      <c r="AL373" s="125" t="n"/>
    </row>
    <row r="374" hidden="1" s="241"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125" t="n"/>
      <c r="AI374" s="125" t="n"/>
      <c r="AJ374" s="5" t="n"/>
      <c r="AK374" s="125" t="n"/>
      <c r="AL374" s="125" t="n"/>
    </row>
    <row r="375" hidden="1" s="241"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125" t="n"/>
      <c r="AI375" s="125" t="n"/>
      <c r="AJ375" s="5" t="n"/>
      <c r="AK375" s="125" t="n"/>
      <c r="AL375" s="125" t="n"/>
    </row>
    <row r="376" hidden="1" s="241"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125" t="n"/>
      <c r="AI376" s="125" t="n"/>
      <c r="AJ376" s="5" t="n"/>
      <c r="AK376" s="125" t="n"/>
      <c r="AL376" s="125" t="n"/>
    </row>
    <row r="377" hidden="1" s="241"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125" t="n"/>
      <c r="AI377" s="125" t="n"/>
      <c r="AJ377" s="5" t="n"/>
      <c r="AK377" s="125" t="n"/>
      <c r="AL377" s="125" t="n"/>
    </row>
    <row r="378" hidden="1" s="241"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125" t="n"/>
      <c r="AI378" s="125" t="n"/>
      <c r="AJ378" s="5" t="n"/>
      <c r="AK378" s="125" t="n"/>
      <c r="AL378" s="125" t="n"/>
    </row>
    <row r="379" hidden="1" s="241"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125" t="n"/>
      <c r="AI379" s="125" t="n"/>
      <c r="AJ379" s="5" t="n"/>
      <c r="AK379" s="125" t="n"/>
      <c r="AL379" s="125" t="n"/>
    </row>
    <row r="380" hidden="1" s="241"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125" t="n"/>
      <c r="AI380" s="125" t="n"/>
      <c r="AJ380" s="5" t="n"/>
      <c r="AK380" s="125" t="n"/>
      <c r="AL380" s="125" t="n"/>
    </row>
    <row r="381" hidden="1" s="241"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125" t="n"/>
      <c r="AI381" s="125" t="n"/>
      <c r="AJ381" s="5" t="n"/>
      <c r="AK381" s="125" t="n"/>
      <c r="AL381" s="125" t="n"/>
    </row>
    <row r="382" hidden="1" s="241"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125" t="n"/>
      <c r="AI382" s="125" t="n"/>
      <c r="AJ382" s="5" t="n"/>
      <c r="AK382" s="125" t="n"/>
      <c r="AL382" s="125" t="n"/>
    </row>
    <row r="383" hidden="1" s="241"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125" t="n"/>
      <c r="AI383" s="125" t="n"/>
      <c r="AJ383" s="5" t="n"/>
      <c r="AK383" s="125" t="n"/>
      <c r="AL383" s="125" t="n"/>
    </row>
    <row r="384" hidden="1" s="241"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125" t="n"/>
      <c r="AI384" s="125" t="n"/>
      <c r="AJ384" s="5" t="n"/>
      <c r="AK384" s="125" t="n"/>
      <c r="AL384" s="125" t="n"/>
    </row>
    <row r="385" hidden="1" s="241"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125" t="n"/>
      <c r="AI385" s="125" t="n"/>
      <c r="AJ385" s="5" t="n"/>
      <c r="AK385" s="125" t="n"/>
      <c r="AL385" s="125" t="n"/>
    </row>
    <row r="386" hidden="1" s="241"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125" t="n"/>
      <c r="AI386" s="125" t="n"/>
      <c r="AJ386" s="5" t="n"/>
      <c r="AK386" s="125" t="n"/>
      <c r="AL386" s="125" t="n"/>
    </row>
    <row r="387" hidden="1" s="241"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125" t="n"/>
      <c r="AI387" s="125" t="n"/>
      <c r="AJ387" s="5" t="n"/>
      <c r="AK387" s="125" t="n"/>
      <c r="AL387" s="125" t="n"/>
    </row>
    <row r="388" hidden="1" s="241"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125" t="n"/>
      <c r="AI388" s="125" t="n"/>
      <c r="AJ388" s="5" t="n"/>
      <c r="AK388" s="125" t="n"/>
      <c r="AL388" s="125" t="n"/>
    </row>
    <row r="389" hidden="1" s="241"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125" t="n"/>
      <c r="AI389" s="125" t="n"/>
      <c r="AJ389" s="5" t="n"/>
      <c r="AK389" s="125" t="n"/>
      <c r="AL389" s="125" t="n"/>
    </row>
    <row r="390" hidden="1" s="241"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125" t="n"/>
      <c r="AI390" s="125" t="n"/>
      <c r="AJ390" s="5" t="n"/>
      <c r="AK390" s="125" t="n"/>
      <c r="AL390" s="125" t="n"/>
    </row>
    <row r="391" hidden="1" s="241"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125" t="n"/>
      <c r="AI391" s="125" t="n"/>
      <c r="AJ391" s="5" t="n"/>
      <c r="AK391" s="125" t="n"/>
      <c r="AL391" s="125" t="n"/>
    </row>
    <row r="392" hidden="1" s="241"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125" t="n"/>
      <c r="AI392" s="125" t="n"/>
      <c r="AJ392" s="5" t="n"/>
      <c r="AK392" s="125" t="n"/>
      <c r="AL392" s="125" t="n"/>
    </row>
    <row r="393" hidden="1" s="241"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125" t="n"/>
      <c r="AI393" s="125" t="n"/>
      <c r="AJ393" s="5" t="n"/>
      <c r="AK393" s="125" t="n"/>
      <c r="AL393" s="125" t="n"/>
    </row>
    <row r="394" hidden="1" s="241"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125" t="n"/>
      <c r="AI394" s="125" t="n"/>
      <c r="AJ394" s="5" t="n"/>
      <c r="AK394" s="125" t="n"/>
      <c r="AL394" s="125" t="n"/>
    </row>
    <row r="395" hidden="1" s="241"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125" t="n"/>
      <c r="AI395" s="125" t="n"/>
      <c r="AJ395" s="5" t="n"/>
      <c r="AK395" s="125" t="n"/>
      <c r="AL395" s="125" t="n"/>
    </row>
    <row r="396" hidden="1" s="241"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125" t="n"/>
      <c r="AI396" s="125" t="n"/>
      <c r="AJ396" s="5" t="n"/>
      <c r="AK396" s="125" t="n"/>
      <c r="AL396" s="125" t="n"/>
    </row>
    <row r="397" hidden="1" s="241"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125" t="n"/>
      <c r="AI397" s="125" t="n"/>
      <c r="AJ397" s="5" t="n"/>
      <c r="AK397" s="125" t="n"/>
      <c r="AL397" s="125" t="n"/>
    </row>
    <row r="398" hidden="1" s="241"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125" t="n"/>
      <c r="AI398" s="125" t="n"/>
      <c r="AJ398" s="5" t="n"/>
      <c r="AK398" s="125" t="n"/>
      <c r="AL398" s="125" t="n"/>
    </row>
    <row r="399" hidden="1" s="241"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125" t="n"/>
      <c r="AI399" s="125" t="n"/>
      <c r="AJ399" s="5" t="n"/>
      <c r="AK399" s="125" t="n"/>
      <c r="AL399" s="125" t="n"/>
    </row>
    <row r="400" hidden="1" s="241"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125" t="n"/>
      <c r="AI400" s="125" t="n"/>
      <c r="AJ400" s="5" t="n"/>
      <c r="AK400" s="125" t="n"/>
      <c r="AL400" s="125" t="n"/>
    </row>
    <row r="401" hidden="1" s="241"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125" t="n"/>
      <c r="AI401" s="125" t="n"/>
      <c r="AJ401" s="5" t="n"/>
      <c r="AK401" s="125" t="n"/>
      <c r="AL401" s="125" t="n"/>
    </row>
    <row r="402" hidden="1" s="241"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125" t="n"/>
      <c r="AI402" s="125" t="n"/>
      <c r="AJ402" s="5" t="n"/>
      <c r="AK402" s="125" t="n"/>
      <c r="AL402" s="125" t="n"/>
    </row>
    <row r="403" hidden="1" s="241"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125" t="n"/>
      <c r="AI403" s="125" t="n"/>
      <c r="AJ403" s="5" t="n"/>
      <c r="AK403" s="125" t="n"/>
      <c r="AL403" s="125" t="n"/>
    </row>
    <row r="404" hidden="1" s="241"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125" t="n"/>
      <c r="AI404" s="125" t="n"/>
      <c r="AJ404" s="5" t="n"/>
      <c r="AK404" s="125" t="n"/>
      <c r="AL404" s="125" t="n"/>
    </row>
    <row r="405" hidden="1" s="241"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125" t="n"/>
      <c r="AI405" s="125" t="n"/>
      <c r="AJ405" s="5" t="n"/>
      <c r="AK405" s="125" t="n"/>
      <c r="AL405" s="125" t="n"/>
    </row>
    <row r="406" hidden="1" s="241"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125" t="n"/>
      <c r="AI406" s="125" t="n"/>
      <c r="AJ406" s="5" t="n"/>
      <c r="AK406" s="125" t="n"/>
      <c r="AL406" s="125" t="n"/>
    </row>
    <row r="407" hidden="1" s="241"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125" t="n"/>
      <c r="AI407" s="125" t="n"/>
      <c r="AJ407" s="5" t="n"/>
      <c r="AK407" s="125" t="n"/>
      <c r="AL407" s="125" t="n"/>
    </row>
    <row r="408" hidden="1" s="241"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125" t="n"/>
      <c r="AI408" s="125" t="n"/>
      <c r="AJ408" s="5" t="n"/>
      <c r="AK408" s="125" t="n"/>
      <c r="AL408" s="125" t="n"/>
    </row>
    <row r="409" hidden="1" s="241"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125" t="n"/>
      <c r="AI409" s="125" t="n"/>
      <c r="AJ409" s="5" t="n"/>
      <c r="AK409" s="125" t="n"/>
      <c r="AL409" s="125" t="n"/>
    </row>
    <row r="410" hidden="1" s="241"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125" t="n"/>
      <c r="AI410" s="125" t="n"/>
      <c r="AJ410" s="5" t="n"/>
      <c r="AK410" s="125" t="n"/>
      <c r="AL410" s="125" t="n"/>
    </row>
    <row r="411" hidden="1" s="241"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125" t="n"/>
      <c r="AI411" s="125" t="n"/>
      <c r="AJ411" s="5" t="n"/>
      <c r="AK411" s="125" t="n"/>
      <c r="AL411" s="125" t="n"/>
    </row>
    <row r="412" hidden="1" s="241"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125" t="n"/>
      <c r="AI412" s="125" t="n"/>
      <c r="AJ412" s="5" t="n"/>
      <c r="AK412" s="125" t="n"/>
      <c r="AL412" s="125" t="n"/>
    </row>
    <row r="413" hidden="1" s="241"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125" t="n"/>
      <c r="AI413" s="125" t="n"/>
      <c r="AJ413" s="5" t="n"/>
      <c r="AK413" s="125" t="n"/>
      <c r="AL413" s="125" t="n"/>
    </row>
    <row r="414" hidden="1" s="241"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125" t="n"/>
      <c r="AI414" s="125" t="n"/>
      <c r="AJ414" s="5" t="n"/>
      <c r="AK414" s="125" t="n"/>
      <c r="AL414" s="125" t="n"/>
    </row>
    <row r="415" hidden="1" s="241"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125" t="n"/>
      <c r="AI415" s="125" t="n"/>
      <c r="AJ415" s="5" t="n"/>
      <c r="AK415" s="125" t="n"/>
      <c r="AL415" s="125" t="n"/>
    </row>
    <row r="416" hidden="1" s="241"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125" t="n"/>
      <c r="AI416" s="125" t="n"/>
      <c r="AJ416" s="5" t="n"/>
      <c r="AK416" s="125" t="n"/>
      <c r="AL416" s="125" t="n"/>
    </row>
    <row r="417" hidden="1" s="241"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125" t="n"/>
      <c r="AI417" s="125" t="n"/>
      <c r="AJ417" s="5" t="n"/>
      <c r="AK417" s="125" t="n"/>
      <c r="AL417" s="125" t="n"/>
    </row>
    <row r="418" hidden="1" s="241"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125" t="n"/>
      <c r="AI418" s="125" t="n"/>
      <c r="AJ418" s="5" t="n"/>
      <c r="AK418" s="125" t="n"/>
      <c r="AL418" s="125" t="n"/>
    </row>
    <row r="419" hidden="1" s="241"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125" t="n"/>
      <c r="AI419" s="125" t="n"/>
      <c r="AJ419" s="5" t="n"/>
      <c r="AK419" s="125" t="n"/>
      <c r="AL419" s="125" t="n"/>
    </row>
    <row r="420" hidden="1" s="241"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125" t="n"/>
      <c r="AI420" s="125" t="n"/>
      <c r="AJ420" s="5" t="n"/>
      <c r="AK420" s="125" t="n"/>
      <c r="AL420" s="125" t="n"/>
    </row>
    <row r="421" hidden="1" s="241"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125" t="n"/>
      <c r="AI421" s="125" t="n"/>
      <c r="AJ421" s="5" t="n"/>
      <c r="AK421" s="125" t="n"/>
      <c r="AL421" s="125" t="n"/>
    </row>
    <row r="422" hidden="1" s="241"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125" t="n"/>
      <c r="AI422" s="125" t="n"/>
      <c r="AJ422" s="5" t="n"/>
      <c r="AK422" s="125" t="n"/>
      <c r="AL422" s="125" t="n"/>
    </row>
    <row r="423" hidden="1" s="241"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125" t="n"/>
      <c r="AI423" s="125" t="n"/>
      <c r="AJ423" s="5" t="n"/>
      <c r="AK423" s="125" t="n"/>
      <c r="AL423" s="125" t="n"/>
    </row>
    <row r="424" hidden="1" s="241"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125" t="n"/>
      <c r="AI424" s="125" t="n"/>
      <c r="AJ424" s="5" t="n"/>
      <c r="AK424" s="125" t="n"/>
      <c r="AL424" s="125" t="n"/>
    </row>
    <row r="425" hidden="1" s="241"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125" t="n"/>
      <c r="AI425" s="125" t="n"/>
      <c r="AJ425" s="5" t="n"/>
      <c r="AK425" s="125" t="n"/>
      <c r="AL425" s="125" t="n"/>
    </row>
    <row r="426" hidden="1" s="241"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125" t="n"/>
      <c r="AI426" s="125" t="n"/>
      <c r="AJ426" s="5" t="n"/>
      <c r="AK426" s="125" t="n"/>
      <c r="AL426" s="125" t="n"/>
    </row>
    <row r="427" hidden="1" s="241"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125" t="n"/>
      <c r="AI427" s="125" t="n"/>
      <c r="AJ427" s="5" t="n"/>
      <c r="AK427" s="125" t="n"/>
      <c r="AL427" s="125" t="n"/>
    </row>
    <row r="428" hidden="1" s="241"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125" t="n"/>
      <c r="AI428" s="125" t="n"/>
      <c r="AJ428" s="5" t="n"/>
      <c r="AK428" s="125" t="n"/>
      <c r="AL428" s="125" t="n"/>
    </row>
    <row r="429" hidden="1" s="241"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125" t="n"/>
      <c r="AI429" s="125" t="n"/>
      <c r="AJ429" s="5" t="n"/>
      <c r="AK429" s="125" t="n"/>
      <c r="AL429" s="125" t="n"/>
    </row>
    <row r="430" hidden="1" s="241"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125" t="n"/>
      <c r="AI430" s="125" t="n"/>
      <c r="AJ430" s="5" t="n"/>
      <c r="AK430" s="125" t="n"/>
      <c r="AL430" s="125" t="n"/>
    </row>
    <row r="431" hidden="1" s="241"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125" t="n"/>
      <c r="AI431" s="125" t="n"/>
      <c r="AJ431" s="5" t="n"/>
      <c r="AK431" s="125" t="n"/>
      <c r="AL431" s="125" t="n"/>
    </row>
    <row r="432" hidden="1" s="241"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125" t="n"/>
      <c r="AI432" s="125" t="n"/>
      <c r="AJ432" s="5" t="n"/>
      <c r="AK432" s="125" t="n"/>
      <c r="AL432" s="125" t="n"/>
    </row>
    <row r="433" hidden="1" s="241"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125" t="n"/>
      <c r="AI433" s="125" t="n"/>
      <c r="AJ433" s="5" t="n"/>
      <c r="AK433" s="125" t="n"/>
      <c r="AL433" s="125" t="n"/>
    </row>
    <row r="434" hidden="1" s="241"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125" t="n"/>
      <c r="AI434" s="125" t="n"/>
      <c r="AJ434" s="5" t="n"/>
      <c r="AK434" s="125" t="n"/>
      <c r="AL434" s="125" t="n"/>
    </row>
    <row r="435" hidden="1" s="241"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125" t="n"/>
      <c r="AI435" s="125" t="n"/>
      <c r="AJ435" s="5" t="n"/>
      <c r="AK435" s="125" t="n"/>
      <c r="AL435" s="125" t="n"/>
    </row>
    <row r="436" hidden="1" s="241"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125" t="n"/>
      <c r="AI436" s="125" t="n"/>
      <c r="AJ436" s="5" t="n"/>
      <c r="AK436" s="125" t="n"/>
      <c r="AL436" s="125" t="n"/>
    </row>
    <row r="437" hidden="1" s="241"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125" t="n"/>
      <c r="AI437" s="125" t="n"/>
      <c r="AJ437" s="5" t="n"/>
      <c r="AK437" s="125" t="n"/>
      <c r="AL437" s="125" t="n"/>
    </row>
    <row r="438" hidden="1" s="241"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125" t="n"/>
      <c r="AI438" s="125" t="n"/>
      <c r="AJ438" s="5" t="n"/>
      <c r="AK438" s="125" t="n"/>
      <c r="AL438" s="125" t="n"/>
    </row>
    <row r="439" hidden="1" s="241"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125" t="n"/>
      <c r="AI439" s="125" t="n"/>
      <c r="AJ439" s="5" t="n"/>
      <c r="AK439" s="125" t="n"/>
      <c r="AL439" s="125" t="n"/>
    </row>
    <row r="440" hidden="1" s="241"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125" t="n"/>
      <c r="AI440" s="125" t="n"/>
      <c r="AJ440" s="5" t="n"/>
      <c r="AK440" s="125" t="n"/>
      <c r="AL440" s="125" t="n"/>
    </row>
    <row r="441" hidden="1" s="241"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125" t="n"/>
      <c r="AI441" s="125" t="n"/>
      <c r="AJ441" s="5" t="n"/>
      <c r="AK441" s="125" t="n"/>
      <c r="AL441" s="125" t="n"/>
    </row>
    <row r="442" hidden="1" s="241"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125" t="n"/>
      <c r="AI442" s="125" t="n"/>
      <c r="AJ442" s="5" t="n"/>
      <c r="AK442" s="125" t="n"/>
      <c r="AL442" s="125" t="n"/>
    </row>
    <row r="443" hidden="1" s="241"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125" t="n"/>
      <c r="AI443" s="125" t="n"/>
      <c r="AJ443" s="5" t="n"/>
      <c r="AK443" s="125" t="n"/>
      <c r="AL443" s="125" t="n"/>
    </row>
    <row r="444" hidden="1" s="241"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125" t="n"/>
      <c r="AI444" s="125" t="n"/>
      <c r="AJ444" s="5" t="n"/>
      <c r="AK444" s="125" t="n"/>
      <c r="AL444" s="125" t="n"/>
    </row>
    <row r="445" hidden="1" s="241"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125" t="n"/>
      <c r="AI445" s="125" t="n"/>
      <c r="AJ445" s="5" t="n"/>
      <c r="AK445" s="125" t="n"/>
      <c r="AL445" s="125" t="n"/>
    </row>
    <row r="446" hidden="1" s="241"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125" t="n"/>
      <c r="AI446" s="125" t="n"/>
      <c r="AJ446" s="5" t="n"/>
      <c r="AK446" s="125" t="n"/>
      <c r="AL446" s="125" t="n"/>
    </row>
    <row r="447" hidden="1" s="241"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125" t="n"/>
      <c r="AI447" s="125" t="n"/>
      <c r="AJ447" s="5" t="n"/>
      <c r="AK447" s="125" t="n"/>
      <c r="AL447" s="125" t="n"/>
    </row>
    <row r="448" hidden="1" s="241"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125" t="n"/>
      <c r="AI448" s="125" t="n"/>
      <c r="AJ448" s="5" t="n"/>
      <c r="AK448" s="125" t="n"/>
      <c r="AL448" s="125" t="n"/>
    </row>
    <row r="449" hidden="1" s="241"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125" t="n"/>
      <c r="AI449" s="125" t="n"/>
      <c r="AJ449" s="5" t="n"/>
      <c r="AK449" s="125" t="n"/>
      <c r="AL449" s="125" t="n"/>
    </row>
    <row r="450" hidden="1" s="241"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125" t="n"/>
      <c r="AI450" s="125" t="n"/>
      <c r="AJ450" s="5" t="n"/>
      <c r="AK450" s="125" t="n"/>
      <c r="AL450" s="125" t="n"/>
    </row>
    <row r="451" hidden="1" s="241"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125" t="n"/>
      <c r="AI451" s="125" t="n"/>
      <c r="AJ451" s="5" t="n"/>
      <c r="AK451" s="125" t="n"/>
      <c r="AL451" s="125" t="n"/>
    </row>
    <row r="452" hidden="1" s="241"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125" t="n"/>
      <c r="AI452" s="125" t="n"/>
      <c r="AJ452" s="5" t="n"/>
      <c r="AK452" s="125" t="n"/>
      <c r="AL452" s="125" t="n"/>
    </row>
    <row r="453" hidden="1" s="241"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125" t="n"/>
      <c r="AI453" s="125" t="n"/>
      <c r="AJ453" s="5" t="n"/>
      <c r="AK453" s="125" t="n"/>
      <c r="AL453" s="125" t="n"/>
    </row>
    <row r="454" hidden="1" s="241"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125" t="n"/>
      <c r="AI454" s="125" t="n"/>
      <c r="AJ454" s="5" t="n"/>
      <c r="AK454" s="125" t="n"/>
      <c r="AL454" s="125" t="n"/>
    </row>
    <row r="455" hidden="1" s="241"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125" t="n"/>
      <c r="AI455" s="125" t="n"/>
      <c r="AJ455" s="5" t="n"/>
      <c r="AK455" s="125" t="n"/>
      <c r="AL455" s="125" t="n"/>
    </row>
    <row r="456" hidden="1" s="241"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125" t="n"/>
      <c r="AI456" s="125" t="n"/>
      <c r="AJ456" s="5" t="n"/>
      <c r="AK456" s="125" t="n"/>
      <c r="AL456" s="125" t="n"/>
    </row>
    <row r="457" hidden="1" s="241"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125" t="n"/>
      <c r="AI457" s="125" t="n"/>
      <c r="AJ457" s="5" t="n"/>
      <c r="AK457" s="125" t="n"/>
      <c r="AL457" s="125" t="n"/>
    </row>
    <row r="458" hidden="1" s="241"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125" t="n"/>
      <c r="AI458" s="125" t="n"/>
      <c r="AJ458" s="5" t="n"/>
      <c r="AK458" s="125" t="n"/>
      <c r="AL458" s="125" t="n"/>
    </row>
    <row r="459" hidden="1" s="241"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125" t="n"/>
      <c r="AI459" s="125" t="n"/>
      <c r="AJ459" s="5" t="n"/>
      <c r="AK459" s="125" t="n"/>
      <c r="AL459" s="125" t="n"/>
    </row>
    <row r="460" hidden="1" s="241"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125" t="n"/>
      <c r="AI460" s="125" t="n"/>
      <c r="AJ460" s="5" t="n"/>
      <c r="AK460" s="125" t="n"/>
      <c r="AL460" s="125" t="n"/>
    </row>
    <row r="461" hidden="1" s="241"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125" t="n"/>
      <c r="AI461" s="125" t="n"/>
      <c r="AJ461" s="5" t="n"/>
      <c r="AK461" s="125" t="n"/>
      <c r="AL461" s="125" t="n"/>
    </row>
    <row r="462" hidden="1" s="241"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125" t="n"/>
      <c r="AI462" s="125" t="n"/>
      <c r="AJ462" s="5" t="n"/>
      <c r="AK462" s="125" t="n"/>
      <c r="AL462" s="125" t="n"/>
    </row>
    <row r="463" hidden="1" s="241"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125" t="n"/>
      <c r="AI463" s="125" t="n"/>
      <c r="AJ463" s="5" t="n"/>
      <c r="AK463" s="125" t="n"/>
      <c r="AL463" s="125" t="n"/>
    </row>
    <row r="464" hidden="1" s="241"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125" t="n"/>
      <c r="AI464" s="125" t="n"/>
      <c r="AJ464" s="5" t="n"/>
      <c r="AK464" s="125" t="n"/>
      <c r="AL464" s="125" t="n"/>
    </row>
    <row r="465" hidden="1" s="241"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125" t="n"/>
      <c r="AI465" s="125" t="n"/>
      <c r="AJ465" s="5" t="n"/>
      <c r="AK465" s="125" t="n"/>
      <c r="AL465" s="125" t="n"/>
    </row>
    <row r="466" hidden="1" s="241"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125" t="n"/>
      <c r="AI466" s="125" t="n"/>
      <c r="AJ466" s="5" t="n"/>
      <c r="AK466" s="125" t="n"/>
      <c r="AL466" s="125" t="n"/>
    </row>
    <row r="467" hidden="1" s="241"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125" t="n"/>
      <c r="AI467" s="125" t="n"/>
      <c r="AJ467" s="5" t="n"/>
      <c r="AK467" s="125" t="n"/>
      <c r="AL467" s="125" t="n"/>
    </row>
    <row r="468" hidden="1" s="241"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125" t="n"/>
      <c r="AI468" s="125" t="n"/>
      <c r="AJ468" s="5" t="n"/>
      <c r="AK468" s="125" t="n"/>
      <c r="AL468" s="125" t="n"/>
    </row>
    <row r="469" hidden="1" s="241"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125" t="n"/>
      <c r="AI469" s="125" t="n"/>
      <c r="AJ469" s="5" t="n"/>
      <c r="AK469" s="125" t="n"/>
      <c r="AL469" s="125" t="n"/>
    </row>
    <row r="470" hidden="1" s="241"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125" t="n"/>
      <c r="AI470" s="125" t="n"/>
      <c r="AJ470" s="5" t="n"/>
      <c r="AK470" s="125" t="n"/>
      <c r="AL470" s="125" t="n"/>
    </row>
    <row r="471" hidden="1" s="241"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125" t="n"/>
      <c r="AI471" s="125" t="n"/>
      <c r="AJ471" s="5" t="n"/>
      <c r="AK471" s="125" t="n"/>
      <c r="AL471" s="125" t="n"/>
    </row>
    <row r="472" hidden="1" s="241"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125" t="n"/>
      <c r="AI472" s="125" t="n"/>
      <c r="AJ472" s="5" t="n"/>
      <c r="AK472" s="125" t="n"/>
      <c r="AL472" s="125" t="n"/>
    </row>
    <row r="473" hidden="1" s="241"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125" t="n"/>
      <c r="AI473" s="125" t="n"/>
      <c r="AJ473" s="5" t="n"/>
      <c r="AK473" s="125" t="n"/>
      <c r="AL473" s="125" t="n"/>
    </row>
    <row r="474" hidden="1" s="241"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125" t="n"/>
      <c r="AI474" s="125" t="n"/>
      <c r="AJ474" s="5" t="n"/>
      <c r="AK474" s="125" t="n"/>
      <c r="AL474" s="125" t="n"/>
    </row>
    <row r="475" hidden="1" s="241"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125" t="n"/>
      <c r="AI475" s="125" t="n"/>
      <c r="AJ475" s="5" t="n"/>
      <c r="AK475" s="125" t="n"/>
      <c r="AL475" s="125" t="n"/>
    </row>
    <row r="476" hidden="1" s="241"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125" t="n"/>
      <c r="AI476" s="125" t="n"/>
      <c r="AJ476" s="5" t="n"/>
      <c r="AK476" s="125" t="n"/>
      <c r="AL476" s="125" t="n"/>
    </row>
    <row r="477" hidden="1" s="241"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125" t="n"/>
      <c r="AI477" s="125" t="n"/>
      <c r="AJ477" s="5" t="n"/>
      <c r="AK477" s="125" t="n"/>
      <c r="AL477" s="125" t="n"/>
    </row>
    <row r="478" hidden="1" s="241"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125" t="n"/>
      <c r="AI478" s="125" t="n"/>
      <c r="AJ478" s="5" t="n"/>
      <c r="AK478" s="125" t="n"/>
      <c r="AL478" s="125" t="n"/>
    </row>
    <row r="479" hidden="1" s="241"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125" t="n"/>
      <c r="AI479" s="125" t="n"/>
      <c r="AJ479" s="5" t="n"/>
      <c r="AK479" s="125" t="n"/>
      <c r="AL479" s="125" t="n"/>
    </row>
    <row r="480" hidden="1" s="241"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125" t="n"/>
      <c r="AI480" s="125" t="n"/>
      <c r="AJ480" s="5" t="n"/>
      <c r="AK480" s="125" t="n"/>
      <c r="AL480" s="125" t="n"/>
    </row>
    <row r="481" hidden="1" s="241"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125" t="n"/>
      <c r="AI481" s="125" t="n"/>
      <c r="AJ481" s="5" t="n"/>
      <c r="AK481" s="125" t="n"/>
      <c r="AL481" s="125" t="n"/>
    </row>
    <row r="482" hidden="1" s="241"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125" t="n"/>
      <c r="AI482" s="125" t="n"/>
      <c r="AJ482" s="5" t="n"/>
      <c r="AK482" s="125" t="n"/>
      <c r="AL482" s="125" t="n"/>
    </row>
    <row r="483" hidden="1" s="241"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125" t="n"/>
      <c r="AI483" s="125" t="n"/>
      <c r="AJ483" s="5" t="n"/>
      <c r="AK483" s="125" t="n"/>
      <c r="AL483" s="125" t="n"/>
    </row>
    <row r="484" hidden="1" s="241"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125" t="n"/>
      <c r="AI484" s="125" t="n"/>
      <c r="AJ484" s="5" t="n"/>
      <c r="AK484" s="125" t="n"/>
      <c r="AL484" s="125" t="n"/>
    </row>
    <row r="485" hidden="1" s="241"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125" t="n"/>
      <c r="AI485" s="125" t="n"/>
      <c r="AJ485" s="5" t="n"/>
      <c r="AK485" s="125" t="n"/>
      <c r="AL485" s="125" t="n"/>
    </row>
    <row r="486" hidden="1" s="241"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125" t="n"/>
      <c r="AI486" s="125" t="n"/>
      <c r="AJ486" s="5" t="n"/>
      <c r="AK486" s="125" t="n"/>
      <c r="AL486" s="125" t="n"/>
    </row>
    <row r="487" hidden="1" s="241"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125" t="n"/>
      <c r="AI487" s="125" t="n"/>
      <c r="AJ487" s="5" t="n"/>
      <c r="AK487" s="125" t="n"/>
      <c r="AL487" s="125" t="n"/>
    </row>
    <row r="488" hidden="1" s="241"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125" t="n"/>
      <c r="AI488" s="125" t="n"/>
      <c r="AJ488" s="5" t="n"/>
      <c r="AK488" s="125" t="n"/>
      <c r="AL488" s="125" t="n"/>
    </row>
    <row r="489" hidden="1" s="241"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125" t="n"/>
      <c r="AI489" s="125" t="n"/>
      <c r="AJ489" s="5" t="n"/>
      <c r="AK489" s="125" t="n"/>
      <c r="AL489" s="125" t="n"/>
    </row>
    <row r="490" hidden="1" s="241"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125" t="n"/>
      <c r="AI490" s="125" t="n"/>
      <c r="AJ490" s="5" t="n"/>
      <c r="AK490" s="125" t="n"/>
      <c r="AL490" s="125" t="n"/>
    </row>
    <row r="491" hidden="1" s="241"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125" t="n"/>
      <c r="AI491" s="125" t="n"/>
      <c r="AJ491" s="5" t="n"/>
      <c r="AK491" s="125" t="n"/>
      <c r="AL491" s="125" t="n"/>
    </row>
    <row r="492" hidden="1" s="241"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125" t="n"/>
      <c r="AI492" s="125" t="n"/>
      <c r="AJ492" s="5" t="n"/>
      <c r="AK492" s="125" t="n"/>
      <c r="AL492" s="125" t="n"/>
    </row>
    <row r="493" hidden="1" s="241"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125" t="n"/>
      <c r="AI493" s="125" t="n"/>
      <c r="AJ493" s="5" t="n"/>
      <c r="AK493" s="125" t="n"/>
      <c r="AL493" s="125" t="n"/>
    </row>
    <row r="494" hidden="1" s="241"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125" t="n"/>
      <c r="AI494" s="125" t="n"/>
      <c r="AJ494" s="5" t="n"/>
      <c r="AK494" s="125" t="n"/>
      <c r="AL494" s="125" t="n"/>
    </row>
    <row r="495" hidden="1" s="241"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125" t="n"/>
      <c r="AI495" s="125" t="n"/>
      <c r="AJ495" s="5" t="n"/>
      <c r="AK495" s="125" t="n"/>
      <c r="AL495" s="125" t="n"/>
    </row>
    <row r="496" hidden="1" s="241"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125" t="n"/>
      <c r="AI496" s="125" t="n"/>
      <c r="AJ496" s="5" t="n"/>
      <c r="AK496" s="125" t="n"/>
      <c r="AL496" s="125" t="n"/>
    </row>
    <row r="497" hidden="1" s="241"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125" t="n"/>
      <c r="AI497" s="125" t="n"/>
      <c r="AJ497" s="5" t="n"/>
      <c r="AK497" s="125" t="n"/>
      <c r="AL497" s="125" t="n"/>
    </row>
    <row r="498" hidden="1" s="241"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125" t="n"/>
      <c r="AI498" s="125" t="n"/>
      <c r="AJ498" s="5" t="n"/>
      <c r="AK498" s="125" t="n"/>
      <c r="AL498" s="125" t="n"/>
    </row>
    <row r="499" hidden="1" s="241"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125" t="n"/>
      <c r="AI499" s="125" t="n"/>
      <c r="AJ499" s="5" t="n"/>
      <c r="AK499" s="125" t="n"/>
      <c r="AL499" s="125" t="n"/>
    </row>
    <row r="500" hidden="1" s="241"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125" t="n"/>
      <c r="AI500" s="125" t="n"/>
      <c r="AJ500" s="5" t="n"/>
      <c r="AK500" s="125" t="n"/>
      <c r="AL500" s="125" t="n"/>
    </row>
    <row r="501" hidden="1" s="241"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125" t="n"/>
      <c r="AI501" s="125" t="n"/>
      <c r="AJ501" s="5" t="n"/>
      <c r="AK501" s="125" t="n"/>
      <c r="AL501" s="125" t="n"/>
    </row>
    <row r="502" hidden="1" s="241"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125" t="n"/>
      <c r="AI502" s="125" t="n"/>
      <c r="AJ502" s="5" t="n"/>
      <c r="AK502" s="125" t="n"/>
      <c r="AL502" s="125" t="n"/>
    </row>
    <row r="503" hidden="1" s="241"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125" t="n"/>
      <c r="AI503" s="125" t="n"/>
      <c r="AJ503" s="5" t="n"/>
      <c r="AK503" s="125" t="n"/>
      <c r="AL503" s="125" t="n"/>
    </row>
    <row r="504" hidden="1" s="241"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125" t="n"/>
      <c r="AI504" s="125" t="n"/>
      <c r="AJ504" s="5" t="n"/>
      <c r="AK504" s="125" t="n"/>
      <c r="AL504" s="125" t="n"/>
    </row>
    <row r="505" hidden="1" s="241"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125" t="n"/>
      <c r="AI505" s="125" t="n"/>
      <c r="AJ505" s="5" t="n"/>
      <c r="AK505" s="125" t="n"/>
      <c r="AL505" s="125" t="n"/>
    </row>
    <row r="506" hidden="1" s="241"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125" t="n"/>
      <c r="AI506" s="125" t="n"/>
      <c r="AJ506" s="5" t="n"/>
      <c r="AK506" s="125" t="n"/>
      <c r="AL506" s="125" t="n"/>
    </row>
    <row r="507" hidden="1" s="241"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125" t="n"/>
      <c r="AI507" s="125" t="n"/>
      <c r="AJ507" s="5" t="n"/>
      <c r="AK507" s="125" t="n"/>
      <c r="AL507" s="125" t="n"/>
    </row>
    <row r="508" hidden="1" s="241"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125" t="n"/>
      <c r="AI508" s="125" t="n"/>
      <c r="AJ508" s="5" t="n"/>
      <c r="AK508" s="125" t="n"/>
      <c r="AL508" s="125" t="n"/>
    </row>
    <row r="509" hidden="1" s="241"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125" t="n"/>
      <c r="AI509" s="125" t="n"/>
      <c r="AJ509" s="5" t="n"/>
      <c r="AK509" s="125" t="n"/>
      <c r="AL509" s="125" t="n"/>
    </row>
    <row r="510" hidden="1" s="241"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125" t="n"/>
      <c r="AI510" s="125" t="n"/>
      <c r="AJ510" s="5" t="n"/>
      <c r="AK510" s="125" t="n"/>
      <c r="AL510" s="125" t="n"/>
    </row>
    <row r="511" hidden="1" s="241"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125" t="n"/>
      <c r="AI511" s="125" t="n"/>
      <c r="AJ511" s="5" t="n"/>
      <c r="AK511" s="125" t="n"/>
      <c r="AL511" s="125" t="n"/>
    </row>
    <row r="512" hidden="1" s="241"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125" t="n"/>
      <c r="AI512" s="125" t="n"/>
      <c r="AJ512" s="5" t="n"/>
      <c r="AK512" s="125" t="n"/>
      <c r="AL512" s="125" t="n"/>
    </row>
    <row r="513" hidden="1" s="241"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125" t="n"/>
      <c r="AI513" s="125" t="n"/>
      <c r="AJ513" s="5" t="n"/>
      <c r="AK513" s="125" t="n"/>
      <c r="AL513" s="125" t="n"/>
    </row>
    <row r="514" hidden="1" s="241"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125" t="n"/>
      <c r="AI514" s="125" t="n"/>
      <c r="AJ514" s="5" t="n"/>
      <c r="AK514" s="125" t="n"/>
      <c r="AL514" s="125" t="n"/>
    </row>
    <row r="515" hidden="1" s="241"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125" t="n"/>
      <c r="AI515" s="125" t="n"/>
      <c r="AJ515" s="5" t="n"/>
      <c r="AK515" s="125" t="n"/>
      <c r="AL515" s="125" t="n"/>
    </row>
    <row r="516" hidden="1" s="241"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125" t="n"/>
      <c r="AI516" s="125" t="n"/>
      <c r="AJ516" s="5" t="n"/>
      <c r="AK516" s="125" t="n"/>
      <c r="AL516" s="125" t="n"/>
    </row>
    <row r="517" hidden="1" s="241"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125" t="n"/>
      <c r="AI517" s="125" t="n"/>
      <c r="AJ517" s="5" t="n"/>
      <c r="AK517" s="125" t="n"/>
      <c r="AL517" s="125" t="n"/>
    </row>
    <row r="518" hidden="1" s="241"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125" t="n"/>
      <c r="AI518" s="125" t="n"/>
      <c r="AJ518" s="5" t="n"/>
      <c r="AK518" s="125" t="n"/>
      <c r="AL518" s="125" t="n"/>
    </row>
    <row r="519" hidden="1" s="241"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125" t="n"/>
      <c r="AI519" s="125" t="n"/>
      <c r="AJ519" s="5" t="n"/>
      <c r="AK519" s="125" t="n"/>
      <c r="AL519" s="125" t="n"/>
    </row>
    <row r="520" hidden="1" s="241"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125" t="n"/>
      <c r="AI520" s="125" t="n"/>
      <c r="AJ520" s="5" t="n"/>
      <c r="AK520" s="125" t="n"/>
      <c r="AL520" s="125" t="n"/>
    </row>
    <row r="521" hidden="1" s="241"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125" t="n"/>
      <c r="AI521" s="125" t="n"/>
      <c r="AJ521" s="5" t="n"/>
      <c r="AK521" s="125" t="n"/>
      <c r="AL521" s="125" t="n"/>
    </row>
    <row r="522" hidden="1" s="241"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125" t="n"/>
      <c r="AI522" s="125" t="n"/>
      <c r="AJ522" s="5" t="n"/>
      <c r="AK522" s="125" t="n"/>
      <c r="AL522" s="125" t="n"/>
    </row>
    <row r="523" hidden="1" s="241"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125" t="n"/>
      <c r="AI523" s="125" t="n"/>
      <c r="AJ523" s="5" t="n"/>
      <c r="AK523" s="125" t="n"/>
      <c r="AL523" s="125" t="n"/>
    </row>
    <row r="524" hidden="1" s="241"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125" t="n"/>
      <c r="AI524" s="125" t="n"/>
      <c r="AJ524" s="5" t="n"/>
      <c r="AK524" s="125" t="n"/>
      <c r="AL524" s="125" t="n"/>
    </row>
    <row r="525" hidden="1" s="241"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125" t="n"/>
      <c r="AI525" s="125" t="n"/>
      <c r="AJ525" s="5" t="n"/>
      <c r="AK525" s="125" t="n"/>
      <c r="AL525" s="125" t="n"/>
    </row>
    <row r="526" hidden="1" s="241"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125" t="n"/>
      <c r="AI526" s="125" t="n"/>
      <c r="AJ526" s="5" t="n"/>
      <c r="AK526" s="125" t="n"/>
      <c r="AL526" s="125" t="n"/>
    </row>
    <row r="527" hidden="1" s="241"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125" t="n"/>
      <c r="AI527" s="125" t="n"/>
      <c r="AJ527" s="5" t="n"/>
      <c r="AK527" s="125" t="n"/>
      <c r="AL527" s="125" t="n"/>
    </row>
    <row r="528" hidden="1" s="241"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125" t="n"/>
      <c r="AI528" s="125" t="n"/>
      <c r="AJ528" s="5" t="n"/>
      <c r="AK528" s="125" t="n"/>
      <c r="AL528" s="125" t="n"/>
    </row>
    <row r="529" hidden="1" s="241"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125" t="n"/>
      <c r="AI529" s="125" t="n"/>
      <c r="AJ529" s="5" t="n"/>
      <c r="AK529" s="125" t="n"/>
      <c r="AL529" s="125" t="n"/>
    </row>
    <row r="530" hidden="1" s="241"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125" t="n"/>
      <c r="AI530" s="125" t="n"/>
      <c r="AJ530" s="5" t="n"/>
      <c r="AK530" s="125" t="n"/>
      <c r="AL530" s="125" t="n"/>
    </row>
    <row r="531" hidden="1" s="241"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125" t="n"/>
      <c r="AI531" s="125" t="n"/>
      <c r="AJ531" s="5" t="n"/>
      <c r="AK531" s="125" t="n"/>
      <c r="AL531" s="125" t="n"/>
    </row>
    <row r="532" hidden="1" s="241"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125" t="n"/>
      <c r="AI532" s="125" t="n"/>
      <c r="AJ532" s="5" t="n"/>
      <c r="AK532" s="125" t="n"/>
      <c r="AL532" s="125" t="n"/>
    </row>
    <row r="533" hidden="1" s="241"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125" t="n"/>
      <c r="AI533" s="125" t="n"/>
      <c r="AJ533" s="5" t="n"/>
      <c r="AK533" s="125" t="n"/>
      <c r="AL533" s="125" t="n"/>
    </row>
    <row r="534" hidden="1" s="241"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125" t="n"/>
      <c r="AI534" s="125" t="n"/>
      <c r="AJ534" s="5" t="n"/>
      <c r="AK534" s="125" t="n"/>
      <c r="AL534" s="125" t="n"/>
    </row>
    <row r="535" hidden="1" s="241"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125" t="n"/>
      <c r="AI535" s="125" t="n"/>
      <c r="AJ535" s="5" t="n"/>
      <c r="AK535" s="125" t="n"/>
      <c r="AL535" s="125" t="n"/>
    </row>
    <row r="536" hidden="1" s="241"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125" t="n"/>
      <c r="AI536" s="125" t="n"/>
      <c r="AJ536" s="5" t="n"/>
      <c r="AK536" s="125" t="n"/>
      <c r="AL536" s="125" t="n"/>
    </row>
    <row r="537" hidden="1" s="241"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125" t="n"/>
      <c r="AI537" s="125" t="n"/>
      <c r="AJ537" s="5" t="n"/>
      <c r="AK537" s="125" t="n"/>
      <c r="AL537" s="125" t="n"/>
    </row>
    <row r="538" hidden="1" s="241"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125" t="n"/>
      <c r="AI538" s="125" t="n"/>
      <c r="AJ538" s="5" t="n"/>
      <c r="AK538" s="125" t="n"/>
      <c r="AL538" s="125" t="n"/>
    </row>
    <row r="539" hidden="1" s="241"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125" t="n"/>
      <c r="AI539" s="125" t="n"/>
      <c r="AJ539" s="5" t="n"/>
      <c r="AK539" s="125" t="n"/>
      <c r="AL539" s="125" t="n"/>
    </row>
    <row r="540" hidden="1" s="241"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125" t="n"/>
      <c r="AI540" s="125" t="n"/>
      <c r="AJ540" s="5" t="n"/>
      <c r="AK540" s="125" t="n"/>
      <c r="AL540" s="125" t="n"/>
    </row>
    <row r="541" hidden="1" s="241"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125" t="n"/>
      <c r="AI541" s="125" t="n"/>
      <c r="AJ541" s="5" t="n"/>
      <c r="AK541" s="125" t="n"/>
      <c r="AL541" s="125" t="n"/>
    </row>
    <row r="542" hidden="1" s="241"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125" t="n"/>
      <c r="AI542" s="125" t="n"/>
      <c r="AJ542" s="5" t="n"/>
      <c r="AK542" s="125" t="n"/>
      <c r="AL542" s="125" t="n"/>
    </row>
    <row r="543" hidden="1" s="241"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125" t="n"/>
      <c r="AI543" s="125" t="n"/>
      <c r="AJ543" s="5" t="n"/>
      <c r="AK543" s="125" t="n"/>
      <c r="AL543" s="125" t="n"/>
    </row>
    <row r="544" hidden="1" s="241"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125" t="n"/>
      <c r="AI544" s="125" t="n"/>
      <c r="AJ544" s="5" t="n"/>
      <c r="AK544" s="125" t="n"/>
      <c r="AL544" s="125" t="n"/>
    </row>
    <row r="545" hidden="1" s="241"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125" t="n"/>
      <c r="AI545" s="125" t="n"/>
      <c r="AJ545" s="5" t="n"/>
      <c r="AK545" s="125" t="n"/>
      <c r="AL545" s="125" t="n"/>
    </row>
    <row r="546" hidden="1" s="241"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125" t="n"/>
      <c r="AI546" s="125" t="n"/>
      <c r="AJ546" s="5" t="n"/>
      <c r="AK546" s="125" t="n"/>
      <c r="AL546" s="125" t="n"/>
    </row>
    <row r="547" hidden="1" s="241"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125" t="n"/>
      <c r="AI547" s="125" t="n"/>
      <c r="AJ547" s="5" t="n"/>
      <c r="AK547" s="125" t="n"/>
      <c r="AL547" s="125" t="n"/>
    </row>
    <row r="548" hidden="1" s="241"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125" t="n"/>
      <c r="AI548" s="125" t="n"/>
      <c r="AJ548" s="5" t="n"/>
      <c r="AK548" s="125" t="n"/>
      <c r="AL548" s="125" t="n"/>
    </row>
    <row r="549" hidden="1" s="241"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125" t="n"/>
      <c r="AI549" s="125" t="n"/>
      <c r="AJ549" s="5" t="n"/>
      <c r="AK549" s="125" t="n"/>
      <c r="AL549" s="125" t="n"/>
    </row>
    <row r="550" hidden="1" s="241"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125" t="n"/>
      <c r="AI550" s="125" t="n"/>
      <c r="AJ550" s="5" t="n"/>
      <c r="AK550" s="125" t="n"/>
      <c r="AL550" s="125" t="n"/>
    </row>
    <row r="551" hidden="1" s="241"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125" t="n"/>
      <c r="AI551" s="125" t="n"/>
      <c r="AJ551" s="5" t="n"/>
      <c r="AK551" s="125" t="n"/>
      <c r="AL551" s="125" t="n"/>
    </row>
    <row r="552" hidden="1" s="241"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125" t="n"/>
      <c r="AI552" s="125" t="n"/>
      <c r="AJ552" s="5" t="n"/>
      <c r="AK552" s="125" t="n"/>
      <c r="AL552" s="125" t="n"/>
    </row>
    <row r="553" hidden="1" s="241"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125" t="n"/>
      <c r="AI553" s="125" t="n"/>
      <c r="AJ553" s="5" t="n"/>
      <c r="AK553" s="125" t="n"/>
      <c r="AL553" s="125" t="n"/>
    </row>
    <row r="554" hidden="1" s="241"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125" t="n"/>
      <c r="AI554" s="125" t="n"/>
      <c r="AJ554" s="5" t="n"/>
      <c r="AK554" s="125" t="n"/>
      <c r="AL554" s="125" t="n"/>
    </row>
    <row r="555" hidden="1" s="241"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125" t="n"/>
      <c r="AI555" s="125" t="n"/>
      <c r="AJ555" s="5" t="n"/>
      <c r="AK555" s="125" t="n"/>
      <c r="AL555" s="125" t="n"/>
    </row>
    <row r="556" hidden="1" s="241"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125" t="n"/>
      <c r="AI556" s="125" t="n"/>
      <c r="AJ556" s="5" t="n"/>
      <c r="AK556" s="125" t="n"/>
      <c r="AL556" s="125" t="n"/>
    </row>
    <row r="557" hidden="1" s="241"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125" t="n"/>
      <c r="AI557" s="125" t="n"/>
      <c r="AJ557" s="5" t="n"/>
      <c r="AK557" s="125" t="n"/>
      <c r="AL557" s="125" t="n"/>
    </row>
    <row r="558" hidden="1" s="241"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125" t="n"/>
      <c r="AI558" s="125" t="n"/>
      <c r="AJ558" s="5" t="n"/>
      <c r="AK558" s="125" t="n"/>
      <c r="AL558" s="125" t="n"/>
    </row>
    <row r="559" hidden="1" s="241"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125" t="n"/>
      <c r="AI559" s="125" t="n"/>
      <c r="AJ559" s="5" t="n"/>
      <c r="AK559" s="125" t="n"/>
      <c r="AL559" s="125" t="n"/>
    </row>
    <row r="560" hidden="1" s="241"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125" t="n"/>
      <c r="AI560" s="125" t="n"/>
      <c r="AJ560" s="5" t="n"/>
      <c r="AK560" s="125" t="n"/>
      <c r="AL560" s="125" t="n"/>
    </row>
    <row r="561" hidden="1" s="241"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125" t="n"/>
      <c r="AI561" s="125" t="n"/>
      <c r="AJ561" s="5" t="n"/>
      <c r="AK561" s="125" t="n"/>
      <c r="AL561" s="125" t="n"/>
    </row>
    <row r="562" hidden="1" s="241"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125" t="n"/>
      <c r="AI562" s="125" t="n"/>
      <c r="AJ562" s="5" t="n"/>
      <c r="AK562" s="125" t="n"/>
      <c r="AL562" s="125" t="n"/>
    </row>
    <row r="563" hidden="1" s="241"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125" t="n"/>
      <c r="AI563" s="125" t="n"/>
      <c r="AJ563" s="5" t="n"/>
      <c r="AK563" s="125" t="n"/>
      <c r="AL563" s="125" t="n"/>
    </row>
    <row r="564" hidden="1" s="241"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125" t="n"/>
      <c r="AI564" s="125" t="n"/>
      <c r="AJ564" s="5" t="n"/>
      <c r="AK564" s="125" t="n"/>
      <c r="AL564" s="125" t="n"/>
    </row>
    <row r="565" hidden="1" s="241"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125" t="n"/>
      <c r="AI565" s="125" t="n"/>
      <c r="AJ565" s="5" t="n"/>
      <c r="AK565" s="125" t="n"/>
      <c r="AL565" s="125" t="n"/>
    </row>
    <row r="566" hidden="1" s="241"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125" t="n"/>
      <c r="AI566" s="125" t="n"/>
      <c r="AJ566" s="5" t="n"/>
      <c r="AK566" s="125" t="n"/>
      <c r="AL566" s="125" t="n"/>
    </row>
    <row r="567" hidden="1" s="241"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125" t="n"/>
      <c r="AI567" s="125" t="n"/>
      <c r="AJ567" s="5" t="n"/>
      <c r="AK567" s="125" t="n"/>
      <c r="AL567" s="125" t="n"/>
    </row>
    <row r="568" hidden="1" s="241"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125" t="n"/>
      <c r="AI568" s="125" t="n"/>
      <c r="AJ568" s="5" t="n"/>
      <c r="AK568" s="125" t="n"/>
      <c r="AL568" s="125" t="n"/>
    </row>
    <row r="569" hidden="1" s="241"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125" t="n"/>
      <c r="AI569" s="125" t="n"/>
      <c r="AJ569" s="5" t="n"/>
      <c r="AK569" s="125" t="n"/>
      <c r="AL569" s="125" t="n"/>
    </row>
    <row r="570" hidden="1" s="241"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125" t="n"/>
      <c r="AI570" s="125" t="n"/>
      <c r="AJ570" s="5" t="n"/>
      <c r="AK570" s="125" t="n"/>
      <c r="AL570" s="125" t="n"/>
    </row>
    <row r="571" hidden="1" s="241"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125" t="n"/>
      <c r="AI571" s="125" t="n"/>
      <c r="AJ571" s="5" t="n"/>
      <c r="AK571" s="125" t="n"/>
      <c r="AL571" s="125" t="n"/>
    </row>
    <row r="572" hidden="1" s="241"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125" t="n"/>
      <c r="AI572" s="125" t="n"/>
      <c r="AJ572" s="5" t="n"/>
      <c r="AK572" s="125" t="n"/>
      <c r="AL572" s="125" t="n"/>
    </row>
    <row r="573" hidden="1" s="241"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125" t="n"/>
      <c r="AI573" s="125" t="n"/>
      <c r="AJ573" s="5" t="n"/>
      <c r="AK573" s="125" t="n"/>
      <c r="AL573" s="125" t="n"/>
    </row>
    <row r="574" hidden="1" s="241"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125" t="n"/>
      <c r="AI574" s="125" t="n"/>
      <c r="AJ574" s="5" t="n"/>
      <c r="AK574" s="125" t="n"/>
      <c r="AL574" s="125" t="n"/>
    </row>
    <row r="575" hidden="1" s="241"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125" t="n"/>
      <c r="AI575" s="125" t="n"/>
      <c r="AJ575" s="5" t="n"/>
      <c r="AK575" s="125" t="n"/>
      <c r="AL575" s="125" t="n"/>
    </row>
    <row r="576" hidden="1" s="241"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125" t="n"/>
      <c r="AI576" s="125" t="n"/>
      <c r="AJ576" s="5" t="n"/>
      <c r="AK576" s="125" t="n"/>
      <c r="AL576" s="125" t="n"/>
    </row>
    <row r="577" hidden="1" s="241"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125" t="n"/>
      <c r="AI577" s="125" t="n"/>
      <c r="AJ577" s="5" t="n"/>
      <c r="AK577" s="125" t="n"/>
      <c r="AL577" s="125" t="n"/>
    </row>
    <row r="578" hidden="1" s="241"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125" t="n"/>
      <c r="AI578" s="125" t="n"/>
      <c r="AJ578" s="5" t="n"/>
      <c r="AK578" s="125" t="n"/>
      <c r="AL578" s="125" t="n"/>
    </row>
    <row r="579" hidden="1" s="241"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125" t="n"/>
      <c r="AI579" s="125" t="n"/>
      <c r="AJ579" s="5" t="n"/>
      <c r="AK579" s="125" t="n"/>
      <c r="AL579" s="125" t="n"/>
    </row>
    <row r="580" hidden="1" s="241"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125" t="n"/>
      <c r="AI580" s="125" t="n"/>
      <c r="AJ580" s="5" t="n"/>
      <c r="AK580" s="125" t="n"/>
      <c r="AL580" s="125" t="n"/>
    </row>
    <row r="581" hidden="1" s="241"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125" t="n"/>
      <c r="AI581" s="125" t="n"/>
      <c r="AJ581" s="5" t="n"/>
      <c r="AK581" s="125" t="n"/>
      <c r="AL581" s="125" t="n"/>
    </row>
    <row r="582" hidden="1" s="241"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125" t="n"/>
      <c r="AI582" s="125" t="n"/>
      <c r="AJ582" s="5" t="n"/>
      <c r="AK582" s="125" t="n"/>
      <c r="AL582" s="125" t="n"/>
    </row>
    <row r="583" hidden="1" s="241"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125" t="n"/>
      <c r="AI583" s="125" t="n"/>
      <c r="AJ583" s="5" t="n"/>
      <c r="AK583" s="125" t="n"/>
      <c r="AL583" s="125" t="n"/>
    </row>
    <row r="584" hidden="1" s="241"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125" t="n"/>
      <c r="AI584" s="125" t="n"/>
      <c r="AJ584" s="5" t="n"/>
      <c r="AK584" s="125" t="n"/>
      <c r="AL584" s="125" t="n"/>
    </row>
    <row r="585" hidden="1" s="241"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125" t="n"/>
      <c r="AI585" s="125" t="n"/>
      <c r="AJ585" s="5" t="n"/>
      <c r="AK585" s="125" t="n"/>
      <c r="AL585" s="125" t="n"/>
    </row>
    <row r="586" hidden="1" s="241"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125" t="n"/>
      <c r="AI586" s="125" t="n"/>
      <c r="AJ586" s="5" t="n"/>
      <c r="AK586" s="125" t="n"/>
      <c r="AL586" s="125" t="n"/>
    </row>
    <row r="587" hidden="1" s="241"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125" t="n"/>
      <c r="AI587" s="125" t="n"/>
      <c r="AJ587" s="5" t="n"/>
      <c r="AK587" s="125" t="n"/>
      <c r="AL587" s="125" t="n"/>
    </row>
    <row r="588" hidden="1" s="241"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125" t="n"/>
      <c r="AI588" s="125" t="n"/>
      <c r="AJ588" s="5" t="n"/>
      <c r="AK588" s="125" t="n"/>
      <c r="AL588" s="125" t="n"/>
    </row>
    <row r="589" hidden="1" s="241"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125" t="n"/>
      <c r="AI589" s="125" t="n"/>
      <c r="AJ589" s="5" t="n"/>
      <c r="AK589" s="125" t="n"/>
      <c r="AL589" s="125" t="n"/>
    </row>
    <row r="590" hidden="1" s="241"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125" t="n"/>
      <c r="AI590" s="125" t="n"/>
      <c r="AJ590" s="5" t="n"/>
      <c r="AK590" s="125" t="n"/>
      <c r="AL590" s="125" t="n"/>
    </row>
    <row r="591" hidden="1" s="241"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125" t="n"/>
      <c r="AI591" s="125" t="n"/>
      <c r="AJ591" s="5" t="n"/>
      <c r="AK591" s="125" t="n"/>
      <c r="AL591" s="125" t="n"/>
    </row>
    <row r="592" hidden="1" s="241"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125" t="n"/>
      <c r="AI592" s="125" t="n"/>
      <c r="AJ592" s="5" t="n"/>
      <c r="AK592" s="125" t="n"/>
      <c r="AL592" s="125" t="n"/>
    </row>
    <row r="593" hidden="1" s="241"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125" t="n"/>
      <c r="AI593" s="125" t="n"/>
      <c r="AJ593" s="5" t="n"/>
      <c r="AK593" s="125" t="n"/>
      <c r="AL593" s="125" t="n"/>
    </row>
    <row r="594" hidden="1" s="241"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125" t="n"/>
      <c r="AI594" s="125" t="n"/>
      <c r="AJ594" s="5" t="n"/>
      <c r="AK594" s="125" t="n"/>
      <c r="AL594" s="125" t="n"/>
    </row>
    <row r="595" hidden="1" s="241"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125" t="n"/>
      <c r="AI595" s="125" t="n"/>
      <c r="AJ595" s="5" t="n"/>
      <c r="AK595" s="125" t="n"/>
      <c r="AL595" s="125" t="n"/>
    </row>
    <row r="596" hidden="1" s="241"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125" t="n"/>
      <c r="AI596" s="125" t="n"/>
      <c r="AJ596" s="5" t="n"/>
      <c r="AK596" s="125" t="n"/>
      <c r="AL596" s="125" t="n"/>
    </row>
    <row r="597" hidden="1" s="241"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125" t="n"/>
      <c r="AI597" s="125" t="n"/>
      <c r="AJ597" s="5" t="n"/>
      <c r="AK597" s="125" t="n"/>
      <c r="AL597" s="125" t="n"/>
    </row>
    <row r="598" hidden="1" s="241"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125" t="n"/>
      <c r="AI598" s="125" t="n"/>
      <c r="AJ598" s="5" t="n"/>
      <c r="AK598" s="125" t="n"/>
      <c r="AL598" s="125" t="n"/>
    </row>
    <row r="599" hidden="1" s="241"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125" t="n"/>
      <c r="AI599" s="125" t="n"/>
      <c r="AJ599" s="5" t="n"/>
      <c r="AK599" s="125" t="n"/>
      <c r="AL599" s="125" t="n"/>
    </row>
    <row r="600" hidden="1" s="241"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125" t="n"/>
      <c r="AI600" s="125" t="n"/>
      <c r="AJ600" s="5" t="n"/>
      <c r="AK600" s="125" t="n"/>
      <c r="AL600" s="125" t="n"/>
    </row>
    <row r="601" hidden="1" s="241"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125" t="n"/>
      <c r="AI601" s="125" t="n"/>
      <c r="AJ601" s="5" t="n"/>
      <c r="AK601" s="125" t="n"/>
      <c r="AL601" s="125" t="n"/>
    </row>
    <row r="602" hidden="1" s="241"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125" t="n"/>
      <c r="AI602" s="125" t="n"/>
      <c r="AJ602" s="5" t="n"/>
      <c r="AK602" s="125" t="n"/>
      <c r="AL602" s="125" t="n"/>
    </row>
    <row r="603" hidden="1" s="241"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125" t="n"/>
      <c r="AI603" s="125" t="n"/>
      <c r="AJ603" s="5" t="n"/>
      <c r="AK603" s="125" t="n"/>
      <c r="AL603" s="125" t="n"/>
    </row>
    <row r="604" hidden="1" s="241"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125" t="n"/>
      <c r="AI604" s="125" t="n"/>
      <c r="AJ604" s="5" t="n"/>
      <c r="AK604" s="125" t="n"/>
      <c r="AL604" s="125" t="n"/>
    </row>
    <row r="605" hidden="1" s="241"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125" t="n"/>
      <c r="AI605" s="125" t="n"/>
      <c r="AJ605" s="5" t="n"/>
      <c r="AK605" s="125" t="n"/>
      <c r="AL605" s="125" t="n"/>
    </row>
    <row r="606" hidden="1" s="241"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125" t="n"/>
      <c r="AI606" s="125" t="n"/>
      <c r="AJ606" s="5" t="n"/>
      <c r="AK606" s="125" t="n"/>
      <c r="AL606" s="125" t="n"/>
    </row>
    <row r="607" hidden="1" s="241"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125" t="n"/>
      <c r="AI607" s="125" t="n"/>
      <c r="AJ607" s="5" t="n"/>
      <c r="AK607" s="125" t="n"/>
      <c r="AL607" s="125" t="n"/>
    </row>
    <row r="608" hidden="1" s="241"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125" t="n"/>
      <c r="AI608" s="125" t="n"/>
      <c r="AJ608" s="5" t="n"/>
      <c r="AK608" s="125" t="n"/>
      <c r="AL608" s="125" t="n"/>
    </row>
    <row r="609" hidden="1" s="241"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125" t="n"/>
      <c r="AI609" s="125" t="n"/>
      <c r="AJ609" s="5" t="n"/>
      <c r="AK609" s="125" t="n"/>
      <c r="AL609" s="125" t="n"/>
    </row>
    <row r="610" hidden="1" s="241"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125" t="n"/>
      <c r="AI610" s="125" t="n"/>
      <c r="AJ610" s="5" t="n"/>
      <c r="AK610" s="125" t="n"/>
      <c r="AL610" s="125" t="n"/>
    </row>
    <row r="611" hidden="1" s="241"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125" t="n"/>
      <c r="AI611" s="125" t="n"/>
      <c r="AJ611" s="5" t="n"/>
      <c r="AK611" s="125" t="n"/>
      <c r="AL611" s="125" t="n"/>
    </row>
    <row r="612" hidden="1" s="241"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125" t="n"/>
      <c r="AI612" s="125" t="n"/>
      <c r="AJ612" s="5" t="n"/>
      <c r="AK612" s="125" t="n"/>
      <c r="AL612" s="125" t="n"/>
    </row>
    <row r="613" hidden="1" s="241"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125" t="n"/>
      <c r="AI613" s="125" t="n"/>
      <c r="AJ613" s="5" t="n"/>
      <c r="AK613" s="125" t="n"/>
      <c r="AL613" s="125" t="n"/>
    </row>
    <row r="614" hidden="1" s="241"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125" t="n"/>
      <c r="AI614" s="125" t="n"/>
      <c r="AJ614" s="5" t="n"/>
      <c r="AK614" s="125" t="n"/>
      <c r="AL614" s="125" t="n"/>
    </row>
    <row r="615" hidden="1" s="241"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125" t="n"/>
      <c r="AI615" s="125" t="n"/>
      <c r="AJ615" s="5" t="n"/>
      <c r="AK615" s="125" t="n"/>
      <c r="AL615" s="125" t="n"/>
    </row>
    <row r="616" hidden="1" s="241"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125" t="n"/>
      <c r="AI616" s="125" t="n"/>
      <c r="AJ616" s="5" t="n"/>
      <c r="AK616" s="125" t="n"/>
      <c r="AL616" s="125" t="n"/>
    </row>
    <row r="617" hidden="1" s="241"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125" t="n"/>
      <c r="AI617" s="125" t="n"/>
      <c r="AJ617" s="5" t="n"/>
      <c r="AK617" s="125" t="n"/>
      <c r="AL617" s="125" t="n"/>
    </row>
    <row r="618" hidden="1" s="241"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125" t="n"/>
      <c r="AI618" s="125" t="n"/>
      <c r="AJ618" s="5" t="n"/>
      <c r="AK618" s="125" t="n"/>
      <c r="AL618" s="125" t="n"/>
    </row>
    <row r="619" hidden="1" s="241"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125" t="n"/>
      <c r="AI619" s="125" t="n"/>
      <c r="AJ619" s="5" t="n"/>
      <c r="AK619" s="125" t="n"/>
      <c r="AL619" s="125" t="n"/>
    </row>
    <row r="620" hidden="1" s="241"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125" t="n"/>
      <c r="AI620" s="125" t="n"/>
      <c r="AJ620" s="5" t="n"/>
      <c r="AK620" s="125" t="n"/>
      <c r="AL620" s="125" t="n"/>
    </row>
    <row r="621" hidden="1" s="241"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125" t="n"/>
      <c r="AI621" s="125" t="n"/>
      <c r="AJ621" s="5" t="n"/>
      <c r="AK621" s="125" t="n"/>
      <c r="AL621" s="125" t="n"/>
    </row>
    <row r="622" hidden="1" s="241"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125" t="n"/>
      <c r="AI622" s="125" t="n"/>
      <c r="AJ622" s="5" t="n"/>
      <c r="AK622" s="125" t="n"/>
      <c r="AL622" s="125" t="n"/>
    </row>
    <row r="623" hidden="1" s="241"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125" t="n"/>
      <c r="AI623" s="125" t="n"/>
      <c r="AJ623" s="5" t="n"/>
      <c r="AK623" s="125" t="n"/>
      <c r="AL623" s="125" t="n"/>
    </row>
    <row r="624" hidden="1" s="241"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125" t="n"/>
      <c r="AI624" s="125" t="n"/>
      <c r="AJ624" s="5" t="n"/>
      <c r="AK624" s="125" t="n"/>
      <c r="AL624" s="125" t="n"/>
    </row>
    <row r="625" hidden="1" s="241"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125" t="n"/>
      <c r="AI625" s="125" t="n"/>
      <c r="AJ625" s="5" t="n"/>
      <c r="AK625" s="125" t="n"/>
      <c r="AL625" s="125" t="n"/>
    </row>
    <row r="626" hidden="1" s="241"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125" t="n"/>
      <c r="AI626" s="125" t="n"/>
      <c r="AJ626" s="5" t="n"/>
      <c r="AK626" s="125" t="n"/>
      <c r="AL626" s="125" t="n"/>
    </row>
    <row r="627" hidden="1" s="241"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125" t="n"/>
      <c r="AI627" s="125" t="n"/>
      <c r="AJ627" s="5" t="n"/>
      <c r="AK627" s="125" t="n"/>
      <c r="AL627" s="125" t="n"/>
    </row>
    <row r="628" hidden="1" s="241"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125" t="n"/>
      <c r="AI628" s="125" t="n"/>
      <c r="AJ628" s="5" t="n"/>
      <c r="AK628" s="125" t="n"/>
      <c r="AL628" s="125" t="n"/>
    </row>
    <row r="629" hidden="1" s="241"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125" t="n"/>
      <c r="AI629" s="125" t="n"/>
      <c r="AJ629" s="5" t="n"/>
      <c r="AK629" s="125" t="n"/>
      <c r="AL629" s="125" t="n"/>
    </row>
    <row r="630" hidden="1" s="241"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125" t="n"/>
      <c r="AI630" s="125" t="n"/>
      <c r="AJ630" s="5" t="n"/>
      <c r="AK630" s="125" t="n"/>
      <c r="AL630" s="125" t="n"/>
    </row>
    <row r="631" hidden="1" s="241"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125" t="n"/>
      <c r="AI631" s="125" t="n"/>
      <c r="AJ631" s="5" t="n"/>
      <c r="AK631" s="125" t="n"/>
      <c r="AL631" s="125" t="n"/>
    </row>
    <row r="632" hidden="1" s="241"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125" t="n"/>
      <c r="AI632" s="125" t="n"/>
      <c r="AJ632" s="5" t="n"/>
      <c r="AK632" s="125" t="n"/>
      <c r="AL632" s="125" t="n"/>
    </row>
    <row r="633" hidden="1" s="241"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125" t="n"/>
      <c r="AI633" s="125" t="n"/>
      <c r="AJ633" s="5" t="n"/>
      <c r="AK633" s="125" t="n"/>
      <c r="AL633" s="125" t="n"/>
    </row>
    <row r="634" hidden="1" s="241"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125" t="n"/>
      <c r="AI634" s="125" t="n"/>
      <c r="AJ634" s="5" t="n"/>
      <c r="AK634" s="125" t="n"/>
      <c r="AL634" s="125" t="n"/>
    </row>
    <row r="635" hidden="1" s="241"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125" t="n"/>
      <c r="AI635" s="125" t="n"/>
      <c r="AJ635" s="5" t="n"/>
      <c r="AK635" s="125" t="n"/>
      <c r="AL635" s="125" t="n"/>
    </row>
    <row r="636" hidden="1" s="241"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125" t="n"/>
      <c r="AI636" s="125" t="n"/>
      <c r="AJ636" s="5" t="n"/>
      <c r="AK636" s="125" t="n"/>
      <c r="AL636" s="125" t="n"/>
    </row>
    <row r="637" hidden="1" s="241"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125" t="n"/>
      <c r="AI637" s="125" t="n"/>
      <c r="AJ637" s="5" t="n"/>
      <c r="AK637" s="125" t="n"/>
      <c r="AL637" s="125" t="n"/>
    </row>
    <row r="638" hidden="1" s="241"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125" t="n"/>
      <c r="AI638" s="125" t="n"/>
      <c r="AJ638" s="5" t="n"/>
      <c r="AK638" s="125" t="n"/>
      <c r="AL638" s="125" t="n"/>
    </row>
    <row r="639" hidden="1" s="241"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125" t="n"/>
      <c r="AI639" s="125" t="n"/>
      <c r="AJ639" s="5" t="n"/>
      <c r="AK639" s="125" t="n"/>
      <c r="AL639" s="125" t="n"/>
    </row>
    <row r="640" hidden="1" s="241"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125" t="n"/>
      <c r="AI640" s="125" t="n"/>
      <c r="AJ640" s="5" t="n"/>
      <c r="AK640" s="125" t="n"/>
      <c r="AL640" s="125" t="n"/>
    </row>
    <row r="641" hidden="1" s="241"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125" t="n"/>
      <c r="AI641" s="125" t="n"/>
      <c r="AJ641" s="5" t="n"/>
      <c r="AK641" s="125" t="n"/>
      <c r="AL641" s="125" t="n"/>
    </row>
    <row r="642" hidden="1" s="241"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125" t="n"/>
      <c r="AI642" s="125" t="n"/>
      <c r="AJ642" s="5" t="n"/>
      <c r="AK642" s="125" t="n"/>
      <c r="AL642" s="125" t="n"/>
    </row>
    <row r="643" hidden="1" s="241"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125" t="n"/>
      <c r="AI643" s="125" t="n"/>
      <c r="AJ643" s="5" t="n"/>
      <c r="AK643" s="125" t="n"/>
      <c r="AL643" s="125" t="n"/>
    </row>
    <row r="644" hidden="1" s="241"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125" t="n"/>
      <c r="AI644" s="125" t="n"/>
      <c r="AJ644" s="5" t="n"/>
      <c r="AK644" s="125" t="n"/>
      <c r="AL644" s="125" t="n"/>
    </row>
    <row r="645" hidden="1" s="241"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125" t="n"/>
      <c r="AI645" s="125" t="n"/>
      <c r="AJ645" s="5" t="n"/>
      <c r="AK645" s="125" t="n"/>
      <c r="AL645" s="125" t="n"/>
    </row>
    <row r="646" hidden="1" s="241"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125" t="n"/>
      <c r="AI646" s="125" t="n"/>
      <c r="AJ646" s="5" t="n"/>
      <c r="AK646" s="125" t="n"/>
      <c r="AL646" s="125" t="n"/>
    </row>
    <row r="647" hidden="1" s="241"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125" t="n"/>
      <c r="AI647" s="125" t="n"/>
      <c r="AJ647" s="5" t="n"/>
      <c r="AK647" s="125" t="n"/>
      <c r="AL647" s="125" t="n"/>
    </row>
    <row r="648" hidden="1" s="241"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125" t="n"/>
      <c r="AI648" s="125" t="n"/>
      <c r="AJ648" s="5" t="n"/>
      <c r="AK648" s="125" t="n"/>
      <c r="AL648" s="125" t="n"/>
    </row>
    <row r="649" hidden="1" s="241"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125" t="n"/>
      <c r="AI649" s="125" t="n"/>
      <c r="AJ649" s="5" t="n"/>
      <c r="AK649" s="125" t="n"/>
      <c r="AL649" s="125" t="n"/>
    </row>
    <row r="650" hidden="1" s="241"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125" t="n"/>
      <c r="AI650" s="125" t="n"/>
      <c r="AJ650" s="5" t="n"/>
      <c r="AK650" s="125" t="n"/>
      <c r="AL650" s="125" t="n"/>
    </row>
    <row r="651" hidden="1" s="241"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125" t="n"/>
      <c r="AI651" s="125" t="n"/>
      <c r="AJ651" s="5" t="n"/>
      <c r="AK651" s="125" t="n"/>
      <c r="AL651" s="125" t="n"/>
    </row>
    <row r="652" hidden="1" s="241"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125" t="n"/>
      <c r="AI652" s="125" t="n"/>
      <c r="AJ652" s="5" t="n"/>
      <c r="AK652" s="125" t="n"/>
      <c r="AL652" s="125" t="n"/>
    </row>
    <row r="653" hidden="1" s="241"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125" t="n"/>
      <c r="AI653" s="125" t="n"/>
      <c r="AJ653" s="5" t="n"/>
      <c r="AK653" s="125" t="n"/>
      <c r="AL653" s="125" t="n"/>
    </row>
    <row r="654" hidden="1" s="241"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125" t="n"/>
      <c r="AI654" s="125" t="n"/>
      <c r="AJ654" s="5" t="n"/>
      <c r="AK654" s="125" t="n"/>
      <c r="AL654" s="125" t="n"/>
    </row>
    <row r="655" hidden="1" s="241"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125" t="n"/>
      <c r="AI655" s="125" t="n"/>
      <c r="AJ655" s="5" t="n"/>
      <c r="AK655" s="125" t="n"/>
      <c r="AL655" s="125" t="n"/>
    </row>
    <row r="656" hidden="1" s="241"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125" t="n"/>
      <c r="AI656" s="125" t="n"/>
      <c r="AJ656" s="5" t="n"/>
      <c r="AK656" s="125" t="n"/>
      <c r="AL656" s="125" t="n"/>
    </row>
    <row r="657" hidden="1" s="241"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125" t="n"/>
      <c r="AI657" s="125" t="n"/>
      <c r="AJ657" s="5" t="n"/>
      <c r="AK657" s="125" t="n"/>
      <c r="AL657" s="125" t="n"/>
    </row>
    <row r="658" hidden="1" s="241"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125" t="n"/>
      <c r="AI658" s="125" t="n"/>
      <c r="AJ658" s="5" t="n"/>
      <c r="AK658" s="125" t="n"/>
      <c r="AL658" s="125" t="n"/>
    </row>
    <row r="659" hidden="1" s="241"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125" t="n"/>
      <c r="AI659" s="125" t="n"/>
      <c r="AJ659" s="5" t="n"/>
      <c r="AK659" s="125" t="n"/>
      <c r="AL659" s="125" t="n"/>
    </row>
    <row r="660" hidden="1" s="241"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125" t="n"/>
      <c r="AI660" s="125" t="n"/>
      <c r="AJ660" s="5" t="n"/>
      <c r="AK660" s="125" t="n"/>
      <c r="AL660" s="125" t="n"/>
    </row>
    <row r="661" hidden="1" s="241"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125" t="n"/>
      <c r="AI661" s="125" t="n"/>
      <c r="AJ661" s="5" t="n"/>
      <c r="AK661" s="125" t="n"/>
      <c r="AL661" s="125" t="n"/>
    </row>
    <row r="662" hidden="1" s="241"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125" t="n"/>
      <c r="AI662" s="125" t="n"/>
      <c r="AJ662" s="5" t="n"/>
      <c r="AK662" s="125" t="n"/>
      <c r="AL662" s="125" t="n"/>
    </row>
    <row r="663" hidden="1" s="241"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125" t="n"/>
      <c r="AI663" s="125" t="n"/>
      <c r="AJ663" s="5" t="n"/>
      <c r="AK663" s="125" t="n"/>
      <c r="AL663" s="125" t="n"/>
    </row>
    <row r="664" hidden="1" s="241"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125" t="n"/>
      <c r="AI664" s="125" t="n"/>
      <c r="AJ664" s="5" t="n"/>
      <c r="AK664" s="125" t="n"/>
      <c r="AL664" s="125" t="n"/>
    </row>
    <row r="665" hidden="1" s="241"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125" t="n"/>
      <c r="AI665" s="125" t="n"/>
      <c r="AJ665" s="5" t="n"/>
      <c r="AK665" s="125" t="n"/>
      <c r="AL665" s="125" t="n"/>
    </row>
    <row r="666" hidden="1" s="241"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125" t="n"/>
      <c r="AI666" s="125" t="n"/>
      <c r="AJ666" s="5" t="n"/>
      <c r="AK666" s="125" t="n"/>
      <c r="AL666" s="125" t="n"/>
    </row>
    <row r="667" hidden="1" s="241"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125" t="n"/>
      <c r="AI667" s="125" t="n"/>
      <c r="AJ667" s="5" t="n"/>
      <c r="AK667" s="125" t="n"/>
      <c r="AL667" s="125" t="n"/>
    </row>
    <row r="668" hidden="1" s="241"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125" t="n"/>
      <c r="AI668" s="125" t="n"/>
      <c r="AJ668" s="5" t="n"/>
      <c r="AK668" s="125" t="n"/>
      <c r="AL668" s="125" t="n"/>
    </row>
    <row r="669" hidden="1" s="241"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125" t="n"/>
      <c r="AI669" s="125" t="n"/>
      <c r="AJ669" s="5" t="n"/>
      <c r="AK669" s="125" t="n"/>
      <c r="AL669" s="125" t="n"/>
    </row>
    <row r="670" hidden="1" s="241"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125" t="n"/>
      <c r="AI670" s="125" t="n"/>
      <c r="AJ670" s="5" t="n"/>
      <c r="AK670" s="125" t="n"/>
      <c r="AL670" s="125" t="n"/>
    </row>
    <row r="671" hidden="1" s="241"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125" t="n"/>
      <c r="AI671" s="125" t="n"/>
      <c r="AJ671" s="5" t="n"/>
      <c r="AK671" s="125" t="n"/>
      <c r="AL671" s="125" t="n"/>
    </row>
    <row r="672" hidden="1" s="241"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125" t="n"/>
      <c r="AI672" s="125" t="n"/>
      <c r="AJ672" s="5" t="n"/>
      <c r="AK672" s="125" t="n"/>
      <c r="AL672" s="125" t="n"/>
    </row>
    <row r="673" hidden="1" s="241"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125" t="n"/>
      <c r="AI673" s="125" t="n"/>
      <c r="AJ673" s="5" t="n"/>
      <c r="AK673" s="125" t="n"/>
      <c r="AL673" s="125" t="n"/>
    </row>
    <row r="674" hidden="1" s="241"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125" t="n"/>
      <c r="AI674" s="125" t="n"/>
      <c r="AJ674" s="5" t="n"/>
      <c r="AK674" s="125" t="n"/>
      <c r="AL674" s="125" t="n"/>
    </row>
    <row r="675" hidden="1" s="241"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125" t="n"/>
      <c r="AI675" s="125" t="n"/>
      <c r="AJ675" s="5" t="n"/>
      <c r="AK675" s="125" t="n"/>
      <c r="AL675" s="125" t="n"/>
    </row>
    <row r="676" hidden="1" s="241"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125" t="n"/>
      <c r="AI676" s="125" t="n"/>
      <c r="AJ676" s="5" t="n"/>
      <c r="AK676" s="125" t="n"/>
      <c r="AL676" s="125" t="n"/>
    </row>
    <row r="677" hidden="1" s="241"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125" t="n"/>
      <c r="AI677" s="125" t="n"/>
      <c r="AJ677" s="5" t="n"/>
      <c r="AK677" s="125" t="n"/>
      <c r="AL677" s="125" t="n"/>
    </row>
    <row r="678" hidden="1" s="241"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125" t="n"/>
      <c r="AI678" s="125" t="n"/>
      <c r="AJ678" s="5" t="n"/>
      <c r="AK678" s="125" t="n"/>
      <c r="AL678" s="125" t="n"/>
    </row>
    <row r="679" hidden="1" s="241"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125" t="n"/>
      <c r="AI679" s="125" t="n"/>
      <c r="AJ679" s="5" t="n"/>
      <c r="AK679" s="125" t="n"/>
      <c r="AL679" s="125" t="n"/>
    </row>
    <row r="680" hidden="1" s="241"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125" t="n"/>
      <c r="AI680" s="125" t="n"/>
      <c r="AJ680" s="5" t="n"/>
      <c r="AK680" s="125" t="n"/>
      <c r="AL680" s="125" t="n"/>
    </row>
    <row r="681" hidden="1" s="241"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125" t="n"/>
      <c r="AI681" s="125" t="n"/>
      <c r="AJ681" s="5" t="n"/>
      <c r="AK681" s="125" t="n"/>
      <c r="AL681" s="125" t="n"/>
    </row>
    <row r="682" hidden="1" s="241"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125" t="n"/>
      <c r="AI682" s="125" t="n"/>
      <c r="AJ682" s="5" t="n"/>
      <c r="AK682" s="125" t="n"/>
      <c r="AL682" s="125" t="n"/>
    </row>
    <row r="683" hidden="1" s="241"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125" t="n"/>
      <c r="AI683" s="125" t="n"/>
      <c r="AJ683" s="5" t="n"/>
      <c r="AK683" s="125" t="n"/>
      <c r="AL683" s="125" t="n"/>
    </row>
    <row r="684" hidden="1" s="241"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125" t="n"/>
      <c r="AI684" s="125" t="n"/>
      <c r="AJ684" s="5" t="n"/>
      <c r="AK684" s="125" t="n"/>
      <c r="AL684" s="125" t="n"/>
    </row>
    <row r="685" hidden="1" s="241"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125" t="n"/>
      <c r="AI685" s="125" t="n"/>
      <c r="AJ685" s="5" t="n"/>
      <c r="AK685" s="125" t="n"/>
      <c r="AL685" s="125" t="n"/>
    </row>
    <row r="686" hidden="1" s="241"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125" t="n"/>
      <c r="AI686" s="125" t="n"/>
      <c r="AJ686" s="5" t="n"/>
      <c r="AK686" s="125" t="n"/>
      <c r="AL686" s="125" t="n"/>
    </row>
    <row r="687" hidden="1" s="241"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125" t="n"/>
      <c r="AI687" s="125" t="n"/>
      <c r="AJ687" s="5" t="n"/>
      <c r="AK687" s="125" t="n"/>
      <c r="AL687" s="125" t="n"/>
    </row>
    <row r="688" hidden="1" s="241"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125" t="n"/>
      <c r="AI688" s="125" t="n"/>
      <c r="AJ688" s="5" t="n"/>
      <c r="AK688" s="125" t="n"/>
      <c r="AL688" s="125" t="n"/>
    </row>
    <row r="689" hidden="1" s="241"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125" t="n"/>
      <c r="AI689" s="125" t="n"/>
      <c r="AJ689" s="5" t="n"/>
      <c r="AK689" s="125" t="n"/>
      <c r="AL689" s="125" t="n"/>
    </row>
    <row r="690" hidden="1" s="241"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125" t="n"/>
      <c r="AI690" s="125" t="n"/>
      <c r="AJ690" s="5" t="n"/>
      <c r="AK690" s="125" t="n"/>
      <c r="AL690" s="125" t="n"/>
    </row>
    <row r="691" hidden="1" s="241"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125" t="n"/>
      <c r="AI691" s="125" t="n"/>
      <c r="AJ691" s="5" t="n"/>
      <c r="AK691" s="125" t="n"/>
      <c r="AL691" s="125" t="n"/>
    </row>
    <row r="692" hidden="1" s="241"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125" t="n"/>
      <c r="AI692" s="125" t="n"/>
      <c r="AJ692" s="5" t="n"/>
      <c r="AK692" s="125" t="n"/>
      <c r="AL692" s="125" t="n"/>
    </row>
    <row r="693" hidden="1" s="241"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125" t="n"/>
      <c r="AI693" s="125" t="n"/>
      <c r="AJ693" s="5" t="n"/>
      <c r="AK693" s="125" t="n"/>
      <c r="AL693" s="125" t="n"/>
    </row>
    <row r="694" hidden="1" s="241"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125" t="n"/>
      <c r="AI694" s="125" t="n"/>
      <c r="AJ694" s="5" t="n"/>
      <c r="AK694" s="125" t="n"/>
      <c r="AL694" s="125" t="n"/>
    </row>
    <row r="695" hidden="1" s="241"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125" t="n"/>
      <c r="AI695" s="125" t="n"/>
      <c r="AJ695" s="5" t="n"/>
      <c r="AK695" s="125" t="n"/>
      <c r="AL695" s="125" t="n"/>
    </row>
    <row r="696" hidden="1" s="241"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125" t="n"/>
      <c r="AI696" s="125" t="n"/>
      <c r="AJ696" s="5" t="n"/>
      <c r="AK696" s="125" t="n"/>
      <c r="AL696" s="125" t="n"/>
    </row>
    <row r="697" hidden="1" s="241"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125" t="n"/>
      <c r="AI697" s="125" t="n"/>
      <c r="AJ697" s="5" t="n"/>
      <c r="AK697" s="125" t="n"/>
      <c r="AL697" s="125" t="n"/>
    </row>
    <row r="698" hidden="1" s="241"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125" t="n"/>
      <c r="AI698" s="125" t="n"/>
      <c r="AJ698" s="5" t="n"/>
      <c r="AK698" s="125" t="n"/>
      <c r="AL698" s="125" t="n"/>
    </row>
    <row r="699" hidden="1" s="241"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125" t="n"/>
      <c r="AI699" s="125" t="n"/>
      <c r="AJ699" s="5" t="n"/>
      <c r="AK699" s="125" t="n"/>
      <c r="AL699" s="125" t="n"/>
    </row>
    <row r="700" hidden="1" s="241"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125" t="n"/>
      <c r="AI700" s="125" t="n"/>
      <c r="AJ700" s="5" t="n"/>
      <c r="AK700" s="125" t="n"/>
      <c r="AL700" s="125" t="n"/>
    </row>
    <row r="701" hidden="1" s="241"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125" t="n"/>
      <c r="AI701" s="125" t="n"/>
      <c r="AJ701" s="5" t="n"/>
      <c r="AK701" s="125" t="n"/>
      <c r="AL701" s="125" t="n"/>
    </row>
    <row r="702" hidden="1" s="241"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125" t="n"/>
      <c r="AI702" s="125" t="n"/>
      <c r="AJ702" s="5" t="n"/>
      <c r="AK702" s="125" t="n"/>
      <c r="AL702" s="125" t="n"/>
    </row>
    <row r="703" hidden="1" s="241"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125" t="n"/>
      <c r="AI703" s="125" t="n"/>
      <c r="AJ703" s="5" t="n"/>
      <c r="AK703" s="125" t="n"/>
      <c r="AL703" s="125" t="n"/>
    </row>
    <row r="704" hidden="1" s="241"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125" t="n"/>
      <c r="AI704" s="125" t="n"/>
      <c r="AJ704" s="5" t="n"/>
      <c r="AK704" s="125" t="n"/>
      <c r="AL704" s="125" t="n"/>
    </row>
    <row r="705" hidden="1" s="241"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125" t="n"/>
      <c r="AI705" s="125" t="n"/>
      <c r="AJ705" s="5" t="n"/>
      <c r="AK705" s="125" t="n"/>
      <c r="AL705" s="125" t="n"/>
    </row>
    <row r="706" hidden="1" s="241"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125" t="n"/>
      <c r="AI706" s="125" t="n"/>
      <c r="AJ706" s="5" t="n"/>
      <c r="AK706" s="125" t="n"/>
      <c r="AL706" s="125" t="n"/>
    </row>
    <row r="707" hidden="1" s="241"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125" t="n"/>
      <c r="AI707" s="125" t="n"/>
      <c r="AJ707" s="5" t="n"/>
      <c r="AK707" s="125" t="n"/>
      <c r="AL707" s="125" t="n"/>
    </row>
    <row r="708" hidden="1" s="241"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125" t="n"/>
      <c r="AI708" s="125" t="n"/>
      <c r="AJ708" s="5" t="n"/>
      <c r="AK708" s="125" t="n"/>
      <c r="AL708" s="125" t="n"/>
    </row>
    <row r="709" hidden="1" s="241"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125" t="n"/>
      <c r="AI709" s="125" t="n"/>
      <c r="AJ709" s="5" t="n"/>
      <c r="AK709" s="125" t="n"/>
      <c r="AL709" s="125" t="n"/>
    </row>
    <row r="710" hidden="1" s="241"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125" t="n"/>
      <c r="AI710" s="125" t="n"/>
      <c r="AJ710" s="5" t="n"/>
      <c r="AK710" s="125" t="n"/>
      <c r="AL710" s="125" t="n"/>
    </row>
    <row r="711" hidden="1" s="241"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125" t="n"/>
      <c r="AI711" s="125" t="n"/>
      <c r="AJ711" s="5" t="n"/>
      <c r="AK711" s="125" t="n"/>
      <c r="AL711" s="125" t="n"/>
    </row>
    <row r="712" hidden="1" s="241"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125" t="n"/>
      <c r="AI712" s="125" t="n"/>
      <c r="AJ712" s="5" t="n"/>
      <c r="AK712" s="125" t="n"/>
      <c r="AL712" s="125" t="n"/>
    </row>
    <row r="713" hidden="1" s="241"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125" t="n"/>
      <c r="AI713" s="125" t="n"/>
      <c r="AJ713" s="5" t="n"/>
      <c r="AK713" s="125" t="n"/>
      <c r="AL713" s="125" t="n"/>
    </row>
    <row r="714" hidden="1" s="241"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125" t="n"/>
      <c r="AI714" s="125" t="n"/>
      <c r="AJ714" s="5" t="n"/>
      <c r="AK714" s="125" t="n"/>
      <c r="AL714" s="125" t="n"/>
    </row>
    <row r="715" hidden="1" s="241"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125" t="n"/>
      <c r="AI715" s="125" t="n"/>
      <c r="AJ715" s="5" t="n"/>
      <c r="AK715" s="125" t="n"/>
      <c r="AL715" s="125" t="n"/>
    </row>
    <row r="716" hidden="1" s="241"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125" t="n"/>
      <c r="AI716" s="125" t="n"/>
      <c r="AJ716" s="5" t="n"/>
      <c r="AK716" s="125" t="n"/>
      <c r="AL716" s="125" t="n"/>
    </row>
    <row r="717" hidden="1" s="241"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125" t="n"/>
      <c r="AI717" s="125" t="n"/>
      <c r="AJ717" s="5" t="n"/>
      <c r="AK717" s="125" t="n"/>
      <c r="AL717" s="125" t="n"/>
    </row>
    <row r="718" hidden="1" s="241"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125" t="n"/>
      <c r="AI718" s="125" t="n"/>
      <c r="AJ718" s="5" t="n"/>
      <c r="AK718" s="125" t="n"/>
      <c r="AL718" s="125" t="n"/>
    </row>
    <row r="719" hidden="1" s="241"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125" t="n"/>
      <c r="AI719" s="125" t="n"/>
      <c r="AJ719" s="5" t="n"/>
      <c r="AK719" s="125" t="n"/>
      <c r="AL719" s="125" t="n"/>
    </row>
    <row r="720" hidden="1" s="241"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125" t="n"/>
      <c r="AI720" s="125" t="n"/>
      <c r="AJ720" s="5" t="n"/>
      <c r="AK720" s="125" t="n"/>
      <c r="AL720" s="125" t="n"/>
    </row>
    <row r="721" hidden="1" s="241"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125" t="n"/>
      <c r="AI721" s="125" t="n"/>
      <c r="AJ721" s="5" t="n"/>
      <c r="AK721" s="125" t="n"/>
      <c r="AL721" s="125" t="n"/>
    </row>
    <row r="722" hidden="1" s="241"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125" t="n"/>
      <c r="AI722" s="125" t="n"/>
      <c r="AJ722" s="5" t="n"/>
      <c r="AK722" s="125" t="n"/>
      <c r="AL722" s="125" t="n"/>
    </row>
    <row r="723" hidden="1" s="241"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125" t="n"/>
      <c r="AI723" s="125" t="n"/>
      <c r="AJ723" s="5" t="n"/>
      <c r="AK723" s="125" t="n"/>
      <c r="AL723" s="125" t="n"/>
    </row>
    <row r="724" hidden="1" s="241"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125" t="n"/>
      <c r="AI724" s="125" t="n"/>
      <c r="AJ724" s="5" t="n"/>
      <c r="AK724" s="125" t="n"/>
      <c r="AL724" s="125" t="n"/>
    </row>
    <row r="725" hidden="1" s="241"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125" t="n"/>
      <c r="AI725" s="125" t="n"/>
      <c r="AJ725" s="5" t="n"/>
      <c r="AK725" s="125" t="n"/>
      <c r="AL725" s="125" t="n"/>
    </row>
    <row r="726" hidden="1" s="241"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125" t="n"/>
      <c r="AI726" s="125" t="n"/>
      <c r="AJ726" s="5" t="n"/>
      <c r="AK726" s="125" t="n"/>
      <c r="AL726" s="125" t="n"/>
    </row>
    <row r="727" hidden="1" s="241"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125" t="n"/>
      <c r="AI727" s="125" t="n"/>
      <c r="AJ727" s="5" t="n"/>
      <c r="AK727" s="125" t="n"/>
      <c r="AL727" s="125" t="n"/>
    </row>
    <row r="728" hidden="1" s="241"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125" t="n"/>
      <c r="AI728" s="125" t="n"/>
      <c r="AJ728" s="5" t="n"/>
      <c r="AK728" s="125" t="n"/>
      <c r="AL728" s="125" t="n"/>
    </row>
    <row r="729" hidden="1" s="241"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125" t="n"/>
      <c r="AI729" s="125" t="n"/>
      <c r="AJ729" s="5" t="n"/>
      <c r="AK729" s="125" t="n"/>
      <c r="AL729" s="125" t="n"/>
    </row>
    <row r="730" hidden="1" s="241"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125" t="n"/>
      <c r="AI730" s="125" t="n"/>
      <c r="AJ730" s="5" t="n"/>
      <c r="AK730" s="125" t="n"/>
      <c r="AL730" s="125" t="n"/>
    </row>
    <row r="731" hidden="1" s="241"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125" t="n"/>
      <c r="AI731" s="125" t="n"/>
      <c r="AJ731" s="5" t="n"/>
      <c r="AK731" s="125" t="n"/>
      <c r="AL731" s="125" t="n"/>
    </row>
    <row r="732" hidden="1" s="241"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125" t="n"/>
      <c r="AI732" s="125" t="n"/>
      <c r="AJ732" s="5" t="n"/>
      <c r="AK732" s="125" t="n"/>
      <c r="AL732" s="125" t="n"/>
    </row>
    <row r="733" hidden="1" s="241"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125" t="n"/>
      <c r="AI733" s="125" t="n"/>
      <c r="AJ733" s="5" t="n"/>
      <c r="AK733" s="125" t="n"/>
      <c r="AL733" s="125" t="n"/>
    </row>
    <row r="734" hidden="1" s="241"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125" t="n"/>
      <c r="AI734" s="125" t="n"/>
      <c r="AJ734" s="5" t="n"/>
      <c r="AK734" s="125" t="n"/>
      <c r="AL734" s="125" t="n"/>
    </row>
    <row r="735" hidden="1" s="241"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125" t="n"/>
      <c r="AI735" s="125" t="n"/>
      <c r="AJ735" s="5" t="n"/>
      <c r="AK735" s="125" t="n"/>
      <c r="AL735" s="125" t="n"/>
    </row>
    <row r="736" hidden="1" s="241"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125" t="n"/>
      <c r="AI736" s="125" t="n"/>
      <c r="AJ736" s="5" t="n"/>
      <c r="AK736" s="125" t="n"/>
      <c r="AL736" s="125" t="n"/>
    </row>
    <row r="737" hidden="1" s="241"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125" t="n"/>
      <c r="AI737" s="125" t="n"/>
      <c r="AJ737" s="5" t="n"/>
      <c r="AK737" s="125" t="n"/>
      <c r="AL737" s="125" t="n"/>
    </row>
    <row r="738" hidden="1" s="241"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125" t="n"/>
      <c r="AI738" s="125" t="n"/>
      <c r="AJ738" s="5" t="n"/>
      <c r="AK738" s="125" t="n"/>
      <c r="AL738" s="125" t="n"/>
    </row>
    <row r="739" hidden="1" s="241"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125" t="n"/>
      <c r="AI739" s="125" t="n"/>
      <c r="AJ739" s="5" t="n"/>
      <c r="AK739" s="125" t="n"/>
      <c r="AL739" s="125" t="n"/>
    </row>
    <row r="740" hidden="1" s="241"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125" t="n"/>
      <c r="AI740" s="125" t="n"/>
      <c r="AJ740" s="5" t="n"/>
      <c r="AK740" s="125" t="n"/>
      <c r="AL740" s="125" t="n"/>
    </row>
    <row r="741" hidden="1" s="241"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125" t="n"/>
      <c r="AI741" s="125" t="n"/>
      <c r="AJ741" s="5" t="n"/>
      <c r="AK741" s="125" t="n"/>
      <c r="AL741" s="125" t="n"/>
    </row>
    <row r="742" hidden="1" s="241"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125" t="n"/>
      <c r="AI742" s="125" t="n"/>
      <c r="AJ742" s="5" t="n"/>
      <c r="AK742" s="125" t="n"/>
      <c r="AL742" s="125" t="n"/>
    </row>
    <row r="743" hidden="1" s="241"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125" t="n"/>
      <c r="AI743" s="125" t="n"/>
      <c r="AJ743" s="5" t="n"/>
      <c r="AK743" s="125" t="n"/>
      <c r="AL743" s="125" t="n"/>
    </row>
    <row r="744" hidden="1" s="241"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125" t="n"/>
      <c r="AI744" s="125" t="n"/>
      <c r="AJ744" s="5" t="n"/>
      <c r="AK744" s="125" t="n"/>
      <c r="AL744" s="125" t="n"/>
    </row>
    <row r="745" hidden="1" s="241"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125" t="n"/>
      <c r="AI745" s="125" t="n"/>
      <c r="AJ745" s="5" t="n"/>
      <c r="AK745" s="125" t="n"/>
      <c r="AL745" s="125" t="n"/>
    </row>
    <row r="746" hidden="1" s="241"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125" t="n"/>
      <c r="AI746" s="125" t="n"/>
      <c r="AJ746" s="5" t="n"/>
      <c r="AK746" s="125" t="n"/>
      <c r="AL746" s="125" t="n"/>
    </row>
    <row r="747" hidden="1" s="241"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125" t="n"/>
      <c r="AI747" s="125" t="n"/>
      <c r="AJ747" s="5" t="n"/>
      <c r="AK747" s="125" t="n"/>
      <c r="AL747" s="125" t="n"/>
    </row>
    <row r="748" hidden="1" s="241"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125" t="n"/>
      <c r="AI748" s="125" t="n"/>
      <c r="AJ748" s="5" t="n"/>
      <c r="AK748" s="125" t="n"/>
      <c r="AL748" s="125" t="n"/>
    </row>
    <row r="749" hidden="1" s="241"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125" t="n"/>
      <c r="AI749" s="125" t="n"/>
      <c r="AJ749" s="5" t="n"/>
      <c r="AK749" s="125" t="n"/>
      <c r="AL749" s="125" t="n"/>
    </row>
    <row r="750" hidden="1" s="241"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125" t="n"/>
      <c r="AI750" s="125" t="n"/>
      <c r="AJ750" s="5" t="n"/>
      <c r="AK750" s="125" t="n"/>
      <c r="AL750" s="125" t="n"/>
    </row>
    <row r="751" hidden="1" s="241"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125" t="n"/>
      <c r="AI751" s="125" t="n"/>
      <c r="AJ751" s="5" t="n"/>
      <c r="AK751" s="125" t="n"/>
      <c r="AL751" s="125" t="n"/>
    </row>
    <row r="752" hidden="1" s="241"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125" t="n"/>
      <c r="AI752" s="125" t="n"/>
      <c r="AJ752" s="5" t="n"/>
      <c r="AK752" s="125" t="n"/>
      <c r="AL752" s="125" t="n"/>
    </row>
    <row r="753" hidden="1" s="241"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125" t="n"/>
      <c r="AI753" s="125" t="n"/>
      <c r="AJ753" s="5" t="n"/>
      <c r="AK753" s="125" t="n"/>
      <c r="AL753" s="125" t="n"/>
    </row>
    <row r="754" hidden="1" s="241"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125" t="n"/>
      <c r="AI754" s="125" t="n"/>
      <c r="AJ754" s="5" t="n"/>
      <c r="AK754" s="125" t="n"/>
      <c r="AL754" s="125" t="n"/>
    </row>
    <row r="755" hidden="1" s="241"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125" t="n"/>
      <c r="AI755" s="125" t="n"/>
      <c r="AJ755" s="5" t="n"/>
      <c r="AK755" s="125" t="n"/>
      <c r="AL755" s="125" t="n"/>
    </row>
    <row r="756" hidden="1" s="241"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125" t="n"/>
      <c r="AI756" s="125" t="n"/>
      <c r="AJ756" s="5" t="n"/>
      <c r="AK756" s="125" t="n"/>
      <c r="AL756" s="125" t="n"/>
    </row>
    <row r="757" hidden="1" s="241"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125" t="n"/>
      <c r="AI757" s="125" t="n"/>
      <c r="AJ757" s="5" t="n"/>
      <c r="AK757" s="125" t="n"/>
      <c r="AL757" s="125" t="n"/>
    </row>
    <row r="758" hidden="1" s="241"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125" t="n"/>
      <c r="AI758" s="125" t="n"/>
      <c r="AJ758" s="5" t="n"/>
      <c r="AK758" s="125" t="n"/>
      <c r="AL758" s="125" t="n"/>
    </row>
    <row r="759" hidden="1" s="241"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125" t="n"/>
      <c r="AI759" s="125" t="n"/>
      <c r="AJ759" s="5" t="n"/>
      <c r="AK759" s="125" t="n"/>
      <c r="AL759" s="125" t="n"/>
    </row>
    <row r="760" hidden="1" s="241"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125" t="n"/>
      <c r="AI760" s="125" t="n"/>
      <c r="AJ760" s="5" t="n"/>
      <c r="AK760" s="125" t="n"/>
      <c r="AL760" s="125" t="n"/>
    </row>
    <row r="761" hidden="1" s="241"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125" t="n"/>
      <c r="AI761" s="125" t="n"/>
      <c r="AJ761" s="5" t="n"/>
      <c r="AK761" s="125" t="n"/>
      <c r="AL761" s="125" t="n"/>
    </row>
    <row r="762" hidden="1" s="241"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125" t="n"/>
      <c r="AI762" s="125" t="n"/>
      <c r="AJ762" s="5" t="n"/>
      <c r="AK762" s="125" t="n"/>
      <c r="AL762" s="125" t="n"/>
    </row>
    <row r="763" hidden="1" s="241"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125" t="n"/>
      <c r="AI763" s="125" t="n"/>
      <c r="AJ763" s="5" t="n"/>
      <c r="AK763" s="125" t="n"/>
      <c r="AL763" s="125" t="n"/>
    </row>
    <row r="764" hidden="1" s="241"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125" t="n"/>
      <c r="AI764" s="125" t="n"/>
      <c r="AJ764" s="5" t="n"/>
      <c r="AK764" s="125" t="n"/>
      <c r="AL764" s="125" t="n"/>
    </row>
    <row r="765" hidden="1" s="241"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125" t="n"/>
      <c r="AI765" s="125" t="n"/>
      <c r="AJ765" s="5" t="n"/>
      <c r="AK765" s="125" t="n"/>
      <c r="AL765" s="125" t="n"/>
    </row>
    <row r="766" hidden="1" s="241"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125" t="n"/>
      <c r="AI766" s="125" t="n"/>
      <c r="AJ766" s="5" t="n"/>
      <c r="AK766" s="125" t="n"/>
      <c r="AL766" s="125" t="n"/>
    </row>
    <row r="767" hidden="1" s="241"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125" t="n"/>
      <c r="AI767" s="125" t="n"/>
      <c r="AJ767" s="5" t="n"/>
      <c r="AK767" s="125" t="n"/>
      <c r="AL767" s="125" t="n"/>
    </row>
    <row r="768" hidden="1" s="241"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125" t="n"/>
      <c r="AI768" s="125" t="n"/>
      <c r="AJ768" s="5" t="n"/>
      <c r="AK768" s="125" t="n"/>
      <c r="AL768" s="125" t="n"/>
    </row>
    <row r="769" hidden="1" s="241"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125" t="n"/>
      <c r="AI769" s="125" t="n"/>
      <c r="AJ769" s="5" t="n"/>
      <c r="AK769" s="125" t="n"/>
      <c r="AL769" s="125" t="n"/>
    </row>
    <row r="770" hidden="1" s="241"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125" t="n"/>
      <c r="AI770" s="125" t="n"/>
      <c r="AJ770" s="5" t="n"/>
      <c r="AK770" s="125" t="n"/>
      <c r="AL770" s="125" t="n"/>
    </row>
    <row r="771" hidden="1" s="241"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125" t="n"/>
      <c r="AI771" s="125" t="n"/>
      <c r="AJ771" s="5" t="n"/>
      <c r="AK771" s="125" t="n"/>
      <c r="AL771" s="125" t="n"/>
    </row>
    <row r="772" hidden="1" s="241"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125" t="n"/>
      <c r="AI772" s="125" t="n"/>
      <c r="AJ772" s="5" t="n"/>
      <c r="AK772" s="125" t="n"/>
      <c r="AL772" s="125" t="n"/>
    </row>
    <row r="773" hidden="1" s="241"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125" t="n"/>
      <c r="AI773" s="125" t="n"/>
      <c r="AJ773" s="5" t="n"/>
      <c r="AK773" s="125" t="n"/>
      <c r="AL773" s="125" t="n"/>
    </row>
    <row r="774" hidden="1" s="241"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125" t="n"/>
      <c r="AI774" s="125" t="n"/>
      <c r="AJ774" s="5" t="n"/>
      <c r="AK774" s="125" t="n"/>
      <c r="AL774" s="125" t="n"/>
    </row>
    <row r="775" hidden="1" s="241"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125" t="n"/>
      <c r="AI775" s="125" t="n"/>
      <c r="AJ775" s="5" t="n"/>
      <c r="AK775" s="125" t="n"/>
      <c r="AL775" s="125" t="n"/>
    </row>
    <row r="776" hidden="1" s="241"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125" t="n"/>
      <c r="AI776" s="125" t="n"/>
      <c r="AJ776" s="5" t="n"/>
      <c r="AK776" s="125" t="n"/>
      <c r="AL776" s="125" t="n"/>
    </row>
    <row r="777" hidden="1" s="241"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125" t="n"/>
      <c r="AI777" s="125" t="n"/>
      <c r="AJ777" s="5" t="n"/>
      <c r="AK777" s="125" t="n"/>
      <c r="AL777" s="125" t="n"/>
    </row>
    <row r="778" hidden="1" s="241"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125" t="n"/>
      <c r="AI778" s="125" t="n"/>
      <c r="AJ778" s="5" t="n"/>
      <c r="AK778" s="125" t="n"/>
      <c r="AL778" s="125" t="n"/>
    </row>
    <row r="779" hidden="1" s="241"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125" t="n"/>
      <c r="AI779" s="125" t="n"/>
      <c r="AJ779" s="5" t="n"/>
      <c r="AK779" s="125" t="n"/>
      <c r="AL779" s="125" t="n"/>
    </row>
    <row r="780" hidden="1" s="241"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125" t="n"/>
      <c r="AI780" s="125" t="n"/>
      <c r="AJ780" s="5" t="n"/>
      <c r="AK780" s="125" t="n"/>
      <c r="AL780" s="125" t="n"/>
    </row>
    <row r="781" hidden="1" s="241"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125" t="n"/>
      <c r="AI781" s="125" t="n"/>
      <c r="AJ781" s="5" t="n"/>
      <c r="AK781" s="125" t="n"/>
      <c r="AL781" s="125" t="n"/>
    </row>
    <row r="782" hidden="1" s="241"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125" t="n"/>
      <c r="AI782" s="125" t="n"/>
      <c r="AJ782" s="5" t="n"/>
      <c r="AK782" s="125" t="n"/>
      <c r="AL782" s="125" t="n"/>
    </row>
    <row r="783" hidden="1" s="241"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125" t="n"/>
      <c r="AI783" s="125" t="n"/>
      <c r="AJ783" s="5" t="n"/>
      <c r="AK783" s="125" t="n"/>
      <c r="AL783" s="125" t="n"/>
    </row>
    <row r="784" hidden="1" s="241"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125" t="n"/>
      <c r="AI784" s="125" t="n"/>
      <c r="AJ784" s="5" t="n"/>
      <c r="AK784" s="125" t="n"/>
      <c r="AL784" s="125" t="n"/>
    </row>
    <row r="785" hidden="1" s="241"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125" t="n"/>
      <c r="AI785" s="125" t="n"/>
      <c r="AJ785" s="5" t="n"/>
      <c r="AK785" s="125" t="n"/>
      <c r="AL785" s="125" t="n"/>
    </row>
    <row r="786" hidden="1" s="241"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125" t="n"/>
      <c r="AI786" s="125" t="n"/>
      <c r="AJ786" s="5" t="n"/>
      <c r="AK786" s="125" t="n"/>
      <c r="AL786" s="125" t="n"/>
    </row>
    <row r="787" hidden="1" s="241"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125" t="n"/>
      <c r="AI787" s="125" t="n"/>
      <c r="AJ787" s="5" t="n"/>
      <c r="AK787" s="125" t="n"/>
      <c r="AL787" s="125" t="n"/>
    </row>
    <row r="788" hidden="1" s="241"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125" t="n"/>
      <c r="AI788" s="125" t="n"/>
      <c r="AJ788" s="5" t="n"/>
      <c r="AK788" s="125" t="n"/>
      <c r="AL788" s="125" t="n"/>
    </row>
    <row r="789" hidden="1" s="241"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125" t="n"/>
      <c r="AI789" s="125" t="n"/>
      <c r="AJ789" s="5" t="n"/>
      <c r="AK789" s="125" t="n"/>
      <c r="AL789" s="125" t="n"/>
    </row>
    <row r="790" hidden="1" s="241"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125" t="n"/>
      <c r="AI790" s="125" t="n"/>
      <c r="AJ790" s="5" t="n"/>
      <c r="AK790" s="125" t="n"/>
      <c r="AL790" s="125" t="n"/>
    </row>
    <row r="791" hidden="1" s="241"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125" t="n"/>
      <c r="AI791" s="125" t="n"/>
      <c r="AJ791" s="5" t="n"/>
      <c r="AK791" s="125" t="n"/>
      <c r="AL791" s="125" t="n"/>
    </row>
    <row r="792" hidden="1" s="241"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125" t="n"/>
      <c r="AI792" s="125" t="n"/>
      <c r="AJ792" s="5" t="n"/>
      <c r="AK792" s="125" t="n"/>
      <c r="AL792" s="125" t="n"/>
    </row>
    <row r="793" hidden="1" s="241"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125" t="n"/>
      <c r="AI793" s="125" t="n"/>
      <c r="AJ793" s="5" t="n"/>
      <c r="AK793" s="125" t="n"/>
      <c r="AL793" s="125" t="n"/>
    </row>
    <row r="794" hidden="1" s="241"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125" t="n"/>
      <c r="AI794" s="125" t="n"/>
      <c r="AJ794" s="5" t="n"/>
      <c r="AK794" s="125" t="n"/>
      <c r="AL794" s="125" t="n"/>
    </row>
    <row r="795" hidden="1" s="241"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125" t="n"/>
      <c r="AI795" s="125" t="n"/>
      <c r="AJ795" s="5" t="n"/>
      <c r="AK795" s="125" t="n"/>
      <c r="AL795" s="125" t="n"/>
    </row>
    <row r="796" hidden="1" s="241"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125" t="n"/>
      <c r="AI796" s="125" t="n"/>
      <c r="AJ796" s="5" t="n"/>
      <c r="AK796" s="125" t="n"/>
      <c r="AL796" s="125" t="n"/>
    </row>
    <row r="797" hidden="1" s="241"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125" t="n"/>
      <c r="AI797" s="125" t="n"/>
      <c r="AJ797" s="5" t="n"/>
      <c r="AK797" s="125" t="n"/>
      <c r="AL797" s="125" t="n"/>
    </row>
    <row r="798" hidden="1" s="241"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125" t="n"/>
      <c r="AI798" s="125" t="n"/>
      <c r="AJ798" s="5" t="n"/>
      <c r="AK798" s="125" t="n"/>
      <c r="AL798" s="125" t="n"/>
    </row>
    <row r="799" hidden="1" s="241"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125" t="n"/>
      <c r="AI799" s="125" t="n"/>
      <c r="AJ799" s="5" t="n"/>
      <c r="AK799" s="125" t="n"/>
      <c r="AL799" s="125" t="n"/>
    </row>
    <row r="800" hidden="1" s="241"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125" t="n"/>
      <c r="AI800" s="125" t="n"/>
      <c r="AJ800" s="5" t="n"/>
      <c r="AK800" s="125" t="n"/>
      <c r="AL800" s="125" t="n"/>
    </row>
    <row r="801" hidden="1" s="241"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125" t="n"/>
      <c r="AI801" s="125" t="n"/>
      <c r="AJ801" s="5" t="n"/>
      <c r="AK801" s="125" t="n"/>
      <c r="AL801" s="125" t="n"/>
    </row>
    <row r="802" hidden="1" s="241"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125" t="n"/>
      <c r="AI802" s="125" t="n"/>
      <c r="AJ802" s="5" t="n"/>
      <c r="AK802" s="125" t="n"/>
      <c r="AL802" s="125" t="n"/>
    </row>
    <row r="803" hidden="1" s="241"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125" t="n"/>
      <c r="AI803" s="125" t="n"/>
      <c r="AJ803" s="5" t="n"/>
      <c r="AK803" s="125" t="n"/>
      <c r="AL803" s="125" t="n"/>
    </row>
    <row r="804" hidden="1" s="241"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125" t="n"/>
      <c r="AI804" s="125" t="n"/>
      <c r="AJ804" s="5" t="n"/>
      <c r="AK804" s="125" t="n"/>
      <c r="AL804" s="125" t="n"/>
    </row>
    <row r="805" hidden="1" s="241"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125" t="n"/>
      <c r="AI805" s="125" t="n"/>
      <c r="AJ805" s="5" t="n"/>
      <c r="AK805" s="125" t="n"/>
      <c r="AL805" s="125" t="n"/>
    </row>
    <row r="806" hidden="1" s="241"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125" t="n"/>
      <c r="AI806" s="125" t="n"/>
      <c r="AJ806" s="5" t="n"/>
      <c r="AK806" s="125" t="n"/>
      <c r="AL806" s="125" t="n"/>
    </row>
    <row r="807" hidden="1" s="241"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125" t="n"/>
      <c r="AI807" s="125" t="n"/>
      <c r="AJ807" s="5" t="n"/>
      <c r="AK807" s="125" t="n"/>
      <c r="AL807" s="125" t="n"/>
    </row>
    <row r="808" hidden="1" s="241"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125" t="n"/>
      <c r="AI808" s="125" t="n"/>
      <c r="AJ808" s="5" t="n"/>
      <c r="AK808" s="125" t="n"/>
      <c r="AL808" s="125" t="n"/>
    </row>
    <row r="809" hidden="1" s="241"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125" t="n"/>
      <c r="AI809" s="125" t="n"/>
      <c r="AJ809" s="5" t="n"/>
      <c r="AK809" s="125" t="n"/>
      <c r="AL809" s="125" t="n"/>
    </row>
    <row r="810" hidden="1" s="241"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125" t="n"/>
      <c r="AI810" s="125" t="n"/>
      <c r="AJ810" s="5" t="n"/>
      <c r="AK810" s="125" t="n"/>
      <c r="AL810" s="125" t="n"/>
    </row>
    <row r="811" hidden="1" s="241"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125" t="n"/>
      <c r="AI811" s="125" t="n"/>
      <c r="AJ811" s="5" t="n"/>
      <c r="AK811" s="125" t="n"/>
      <c r="AL811" s="125" t="n"/>
    </row>
    <row r="812" hidden="1" s="241"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125" t="n"/>
      <c r="AI812" s="125" t="n"/>
      <c r="AJ812" s="5" t="n"/>
      <c r="AK812" s="125" t="n"/>
      <c r="AL812" s="125" t="n"/>
    </row>
    <row r="813" hidden="1" s="241"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125" t="n"/>
      <c r="AI813" s="125" t="n"/>
      <c r="AJ813" s="5" t="n"/>
      <c r="AK813" s="125" t="n"/>
      <c r="AL813" s="125" t="n"/>
    </row>
    <row r="814" hidden="1" s="241"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125" t="n"/>
      <c r="AI814" s="125" t="n"/>
      <c r="AJ814" s="5" t="n"/>
      <c r="AK814" s="125" t="n"/>
      <c r="AL814" s="125" t="n"/>
    </row>
    <row r="815" hidden="1" s="241"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125" t="n"/>
      <c r="AI815" s="125" t="n"/>
      <c r="AJ815" s="5" t="n"/>
      <c r="AK815" s="125" t="n"/>
      <c r="AL815" s="125" t="n"/>
    </row>
    <row r="816" hidden="1" s="241"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125" t="n"/>
      <c r="AI816" s="125" t="n"/>
      <c r="AJ816" s="5" t="n"/>
      <c r="AK816" s="125" t="n"/>
      <c r="AL816" s="125" t="n"/>
    </row>
    <row r="817" hidden="1" s="241"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125" t="n"/>
      <c r="AI817" s="125" t="n"/>
      <c r="AJ817" s="5" t="n"/>
      <c r="AK817" s="125" t="n"/>
      <c r="AL817" s="125" t="n"/>
    </row>
    <row r="818" hidden="1" s="241"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125" t="n"/>
      <c r="AI818" s="125" t="n"/>
      <c r="AJ818" s="5" t="n"/>
      <c r="AK818" s="125" t="n"/>
      <c r="AL818" s="125" t="n"/>
    </row>
    <row r="819" hidden="1" s="241"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125" t="n"/>
      <c r="AI819" s="125" t="n"/>
      <c r="AJ819" s="5" t="n"/>
      <c r="AK819" s="125" t="n"/>
      <c r="AL819" s="125" t="n"/>
    </row>
    <row r="820" hidden="1" s="241"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125" t="n"/>
      <c r="AI820" s="125" t="n"/>
      <c r="AJ820" s="5" t="n"/>
      <c r="AK820" s="125" t="n"/>
      <c r="AL820" s="125" t="n"/>
    </row>
    <row r="821" hidden="1" s="241"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125" t="n"/>
      <c r="AI821" s="125" t="n"/>
      <c r="AJ821" s="5" t="n"/>
      <c r="AK821" s="125" t="n"/>
      <c r="AL821" s="125" t="n"/>
    </row>
    <row r="822" hidden="1" s="241"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125" t="n"/>
      <c r="AI822" s="125" t="n"/>
      <c r="AJ822" s="5" t="n"/>
      <c r="AK822" s="125" t="n"/>
      <c r="AL822" s="125" t="n"/>
    </row>
    <row r="823" hidden="1" s="241"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125" t="n"/>
      <c r="AI823" s="125" t="n"/>
      <c r="AJ823" s="5" t="n"/>
      <c r="AK823" s="125" t="n"/>
      <c r="AL823" s="125" t="n"/>
    </row>
    <row r="824" hidden="1" s="241"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125" t="n"/>
      <c r="AI824" s="125" t="n"/>
      <c r="AJ824" s="5" t="n"/>
      <c r="AK824" s="125" t="n"/>
      <c r="AL824" s="125" t="n"/>
    </row>
    <row r="825" hidden="1" s="241"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125" t="n"/>
      <c r="AI825" s="125" t="n"/>
      <c r="AJ825" s="5" t="n"/>
      <c r="AK825" s="125" t="n"/>
      <c r="AL825" s="125" t="n"/>
    </row>
    <row r="826" hidden="1" s="241"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125" t="n"/>
      <c r="AI826" s="125" t="n"/>
      <c r="AJ826" s="5" t="n"/>
      <c r="AK826" s="125" t="n"/>
      <c r="AL826" s="125" t="n"/>
    </row>
    <row r="827" hidden="1" s="241"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125" t="n"/>
      <c r="AI827" s="125" t="n"/>
      <c r="AJ827" s="5" t="n"/>
      <c r="AK827" s="125" t="n"/>
      <c r="AL827" s="125" t="n"/>
    </row>
    <row r="828" hidden="1" s="241"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125" t="n"/>
      <c r="AI828" s="125" t="n"/>
      <c r="AJ828" s="5" t="n"/>
      <c r="AK828" s="125" t="n"/>
      <c r="AL828" s="125" t="n"/>
    </row>
    <row r="829" hidden="1" s="241"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125" t="n"/>
      <c r="AI829" s="125" t="n"/>
      <c r="AJ829" s="5" t="n"/>
      <c r="AK829" s="125" t="n"/>
      <c r="AL829" s="125" t="n"/>
    </row>
    <row r="830" hidden="1" s="241"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125" t="n"/>
      <c r="AI830" s="125" t="n"/>
      <c r="AJ830" s="5" t="n"/>
      <c r="AK830" s="125" t="n"/>
      <c r="AL830" s="125" t="n"/>
    </row>
    <row r="831" hidden="1" s="241"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125" t="n"/>
      <c r="AI831" s="125" t="n"/>
      <c r="AJ831" s="5" t="n"/>
      <c r="AK831" s="125" t="n"/>
      <c r="AL831" s="125" t="n"/>
    </row>
    <row r="832" hidden="1" s="241"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125" t="n"/>
      <c r="AI832" s="125" t="n"/>
      <c r="AJ832" s="5" t="n"/>
      <c r="AK832" s="125" t="n"/>
      <c r="AL832" s="125" t="n"/>
    </row>
    <row r="833" hidden="1" s="241"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125" t="n"/>
      <c r="AI833" s="125" t="n"/>
      <c r="AJ833" s="5" t="n"/>
      <c r="AK833" s="125" t="n"/>
      <c r="AL833" s="125" t="n"/>
    </row>
    <row r="834" hidden="1" s="241"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125" t="n"/>
      <c r="AI834" s="125" t="n"/>
      <c r="AJ834" s="5" t="n"/>
      <c r="AK834" s="125" t="n"/>
      <c r="AL834" s="125" t="n"/>
    </row>
    <row r="835" hidden="1" s="241"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125" t="n"/>
      <c r="AI835" s="125" t="n"/>
      <c r="AJ835" s="5" t="n"/>
      <c r="AK835" s="125" t="n"/>
      <c r="AL835" s="125" t="n"/>
    </row>
    <row r="836" hidden="1" s="241"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125" t="n"/>
      <c r="AI836" s="125" t="n"/>
      <c r="AJ836" s="5" t="n"/>
      <c r="AK836" s="125" t="n"/>
      <c r="AL836" s="125" t="n"/>
    </row>
    <row r="837" hidden="1" s="241"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125" t="n"/>
      <c r="AI837" s="125" t="n"/>
      <c r="AJ837" s="5" t="n"/>
      <c r="AK837" s="125" t="n"/>
      <c r="AL837" s="125" t="n"/>
    </row>
    <row r="838" hidden="1" s="241"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125" t="n"/>
      <c r="AI838" s="125" t="n"/>
      <c r="AJ838" s="5" t="n"/>
      <c r="AK838" s="125" t="n"/>
      <c r="AL838" s="125" t="n"/>
    </row>
    <row r="839" hidden="1" s="241"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125" t="n"/>
      <c r="AI839" s="125" t="n"/>
      <c r="AJ839" s="5" t="n"/>
      <c r="AK839" s="125" t="n"/>
      <c r="AL839" s="125" t="n"/>
    </row>
    <row r="840" hidden="1" s="241"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125" t="n"/>
      <c r="AI840" s="125" t="n"/>
      <c r="AJ840" s="5" t="n"/>
      <c r="AK840" s="125" t="n"/>
      <c r="AL840" s="125" t="n"/>
    </row>
    <row r="841" hidden="1" s="241"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125" t="n"/>
      <c r="AI841" s="125" t="n"/>
      <c r="AJ841" s="5" t="n"/>
      <c r="AK841" s="125" t="n"/>
      <c r="AL841" s="125" t="n"/>
    </row>
    <row r="842" hidden="1" s="241"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125" t="n"/>
      <c r="AI842" s="125" t="n"/>
      <c r="AJ842" s="5" t="n"/>
      <c r="AK842" s="125" t="n"/>
      <c r="AL842" s="125" t="n"/>
    </row>
    <row r="843" hidden="1" s="241"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125" t="n"/>
      <c r="AI843" s="125" t="n"/>
      <c r="AJ843" s="5" t="n"/>
      <c r="AK843" s="125" t="n"/>
      <c r="AL843" s="125" t="n"/>
    </row>
    <row r="844" hidden="1" s="241"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125" t="n"/>
      <c r="AI844" s="125" t="n"/>
      <c r="AJ844" s="5" t="n"/>
      <c r="AK844" s="125" t="n"/>
      <c r="AL844" s="125" t="n"/>
    </row>
    <row r="845" hidden="1" s="241"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125" t="n"/>
      <c r="AI845" s="125" t="n"/>
      <c r="AJ845" s="5" t="n"/>
      <c r="AK845" s="125" t="n"/>
      <c r="AL845" s="125" t="n"/>
    </row>
    <row r="846" hidden="1" s="241"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125" t="n"/>
      <c r="AI846" s="125" t="n"/>
      <c r="AJ846" s="5" t="n"/>
      <c r="AK846" s="125" t="n"/>
      <c r="AL846" s="125" t="n"/>
    </row>
    <row r="847" hidden="1" s="241"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125" t="n"/>
      <c r="AI847" s="125" t="n"/>
      <c r="AJ847" s="5" t="n"/>
      <c r="AK847" s="125" t="n"/>
      <c r="AL847" s="125" t="n"/>
    </row>
    <row r="848" hidden="1" s="241"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125" t="n"/>
      <c r="AI848" s="125" t="n"/>
      <c r="AJ848" s="5" t="n"/>
      <c r="AK848" s="125" t="n"/>
      <c r="AL848" s="125" t="n"/>
    </row>
    <row r="849" hidden="1" s="241"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125" t="n"/>
      <c r="AI849" s="125" t="n"/>
      <c r="AJ849" s="5" t="n"/>
      <c r="AK849" s="125" t="n"/>
      <c r="AL849" s="125" t="n"/>
    </row>
    <row r="850" hidden="1" s="241"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125" t="n"/>
      <c r="AI850" s="125" t="n"/>
      <c r="AJ850" s="5" t="n"/>
      <c r="AK850" s="125" t="n"/>
      <c r="AL850" s="125" t="n"/>
    </row>
    <row r="851" hidden="1" s="241"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125" t="n"/>
      <c r="AI851" s="125" t="n"/>
      <c r="AJ851" s="5" t="n"/>
      <c r="AK851" s="125" t="n"/>
      <c r="AL851" s="125" t="n"/>
    </row>
    <row r="852" hidden="1" s="241"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125" t="n"/>
      <c r="AI852" s="125" t="n"/>
      <c r="AJ852" s="5" t="n"/>
      <c r="AK852" s="125" t="n"/>
      <c r="AL852" s="125" t="n"/>
    </row>
    <row r="853" hidden="1" s="241"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125" t="n"/>
      <c r="AI853" s="125" t="n"/>
      <c r="AJ853" s="5" t="n"/>
      <c r="AK853" s="125" t="n"/>
      <c r="AL853" s="125" t="n"/>
    </row>
    <row r="854" hidden="1" s="241"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125" t="n"/>
      <c r="AI854" s="125" t="n"/>
      <c r="AJ854" s="5" t="n"/>
      <c r="AK854" s="125" t="n"/>
      <c r="AL854" s="125" t="n"/>
    </row>
    <row r="855" hidden="1" s="241"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125" t="n"/>
      <c r="AI855" s="125" t="n"/>
      <c r="AJ855" s="5" t="n"/>
      <c r="AK855" s="125" t="n"/>
      <c r="AL855" s="125" t="n"/>
    </row>
    <row r="856" hidden="1" s="241"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125" t="n"/>
      <c r="AI856" s="125" t="n"/>
      <c r="AJ856" s="5" t="n"/>
      <c r="AK856" s="125" t="n"/>
      <c r="AL856" s="125" t="n"/>
    </row>
    <row r="857" hidden="1" s="241"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125" t="n"/>
      <c r="AI857" s="125" t="n"/>
      <c r="AJ857" s="5" t="n"/>
      <c r="AK857" s="125" t="n"/>
      <c r="AL857" s="125" t="n"/>
    </row>
    <row r="858" hidden="1" s="241"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125" t="n"/>
      <c r="AI858" s="125" t="n"/>
      <c r="AJ858" s="5" t="n"/>
      <c r="AK858" s="125" t="n"/>
      <c r="AL858" s="125" t="n"/>
    </row>
    <row r="859" hidden="1" s="241"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125" t="n"/>
      <c r="AI859" s="125" t="n"/>
      <c r="AJ859" s="5" t="n"/>
      <c r="AK859" s="125" t="n"/>
      <c r="AL859" s="125" t="n"/>
    </row>
    <row r="860" hidden="1" s="241"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125" t="n"/>
      <c r="AI860" s="125" t="n"/>
      <c r="AJ860" s="5" t="n"/>
      <c r="AK860" s="125" t="n"/>
      <c r="AL860" s="125" t="n"/>
    </row>
    <row r="861" hidden="1" s="241"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125" t="n"/>
      <c r="AI861" s="125" t="n"/>
      <c r="AJ861" s="5" t="n"/>
      <c r="AK861" s="125" t="n"/>
      <c r="AL861" s="125" t="n"/>
    </row>
    <row r="862" hidden="1" s="241"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125" t="n"/>
      <c r="AI862" s="125" t="n"/>
      <c r="AJ862" s="5" t="n"/>
      <c r="AK862" s="125" t="n"/>
      <c r="AL862" s="125" t="n"/>
    </row>
    <row r="863" hidden="1" s="241"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125" t="n"/>
      <c r="AI863" s="125" t="n"/>
      <c r="AJ863" s="5" t="n"/>
      <c r="AK863" s="125" t="n"/>
      <c r="AL863" s="125" t="n"/>
    </row>
    <row r="864" hidden="1" s="241"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125" t="n"/>
      <c r="AI864" s="125" t="n"/>
      <c r="AJ864" s="5" t="n"/>
      <c r="AK864" s="125" t="n"/>
      <c r="AL864" s="125" t="n"/>
    </row>
    <row r="865" hidden="1" s="241"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125" t="n"/>
      <c r="AI865" s="125" t="n"/>
      <c r="AJ865" s="5" t="n"/>
      <c r="AK865" s="125" t="n"/>
      <c r="AL865" s="125" t="n"/>
    </row>
    <row r="866" hidden="1" s="241"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125" t="n"/>
      <c r="AI866" s="125" t="n"/>
      <c r="AJ866" s="5" t="n"/>
      <c r="AK866" s="125" t="n"/>
      <c r="AL866" s="125" t="n"/>
    </row>
    <row r="867" hidden="1" s="241"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125" t="n"/>
      <c r="AI867" s="125" t="n"/>
      <c r="AJ867" s="5" t="n"/>
      <c r="AK867" s="125" t="n"/>
      <c r="AL867" s="125" t="n"/>
    </row>
    <row r="868" hidden="1" s="241"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125" t="n"/>
      <c r="AI868" s="125" t="n"/>
      <c r="AJ868" s="5" t="n"/>
      <c r="AK868" s="125" t="n"/>
      <c r="AL868" s="125" t="n"/>
    </row>
    <row r="869" hidden="1" s="241"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125" t="n"/>
      <c r="AI869" s="125" t="n"/>
      <c r="AJ869" s="5" t="n"/>
      <c r="AK869" s="125" t="n"/>
      <c r="AL869" s="125" t="n"/>
    </row>
    <row r="870" hidden="1" s="241"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125" t="n"/>
      <c r="AI870" s="125" t="n"/>
      <c r="AJ870" s="5" t="n"/>
      <c r="AK870" s="125" t="n"/>
      <c r="AL870" s="125" t="n"/>
    </row>
    <row r="871" hidden="1" s="241"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125" t="n"/>
      <c r="AI871" s="125" t="n"/>
      <c r="AJ871" s="5" t="n"/>
      <c r="AK871" s="125" t="n"/>
      <c r="AL871" s="125" t="n"/>
    </row>
    <row r="872" hidden="1" s="241"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125" t="n"/>
      <c r="AI872" s="125" t="n"/>
      <c r="AJ872" s="5" t="n"/>
      <c r="AK872" s="125" t="n"/>
      <c r="AL872" s="125" t="n"/>
    </row>
    <row r="873" hidden="1" s="241"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125" t="n"/>
      <c r="AI873" s="125" t="n"/>
      <c r="AJ873" s="5" t="n"/>
      <c r="AK873" s="125" t="n"/>
      <c r="AL873" s="125" t="n"/>
    </row>
    <row r="874" hidden="1" s="241"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125" t="n"/>
      <c r="AI874" s="125" t="n"/>
      <c r="AJ874" s="5" t="n"/>
      <c r="AK874" s="125" t="n"/>
      <c r="AL874" s="125" t="n"/>
    </row>
    <row r="875" hidden="1" s="241"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125" t="n"/>
      <c r="AI875" s="125" t="n"/>
      <c r="AJ875" s="5" t="n"/>
      <c r="AK875" s="125" t="n"/>
      <c r="AL875" s="125" t="n"/>
    </row>
    <row r="876" hidden="1" s="241"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125" t="n"/>
      <c r="AI876" s="125" t="n"/>
      <c r="AJ876" s="5" t="n"/>
      <c r="AK876" s="125" t="n"/>
      <c r="AL876" s="125" t="n"/>
    </row>
    <row r="877" hidden="1" s="241"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125" t="n"/>
      <c r="AI877" s="125" t="n"/>
      <c r="AJ877" s="5" t="n"/>
      <c r="AK877" s="125" t="n"/>
      <c r="AL877" s="125" t="n"/>
    </row>
    <row r="878" hidden="1" s="241"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125" t="n"/>
      <c r="AI878" s="125" t="n"/>
      <c r="AJ878" s="5" t="n"/>
      <c r="AK878" s="125" t="n"/>
      <c r="AL878" s="125" t="n"/>
    </row>
    <row r="879" hidden="1" s="241"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125" t="n"/>
      <c r="AI879" s="125" t="n"/>
      <c r="AJ879" s="5" t="n"/>
      <c r="AK879" s="125" t="n"/>
      <c r="AL879" s="125" t="n"/>
    </row>
    <row r="880" hidden="1" s="241"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125" t="n"/>
      <c r="AI880" s="125" t="n"/>
      <c r="AJ880" s="5" t="n"/>
      <c r="AK880" s="125" t="n"/>
      <c r="AL880" s="125" t="n"/>
    </row>
    <row r="881" hidden="1" s="241"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125" t="n"/>
      <c r="AI881" s="125" t="n"/>
      <c r="AJ881" s="5" t="n"/>
      <c r="AK881" s="125" t="n"/>
      <c r="AL881" s="125" t="n"/>
    </row>
    <row r="882" hidden="1" s="241"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125" t="n"/>
      <c r="AI882" s="125" t="n"/>
      <c r="AJ882" s="5" t="n"/>
      <c r="AK882" s="125" t="n"/>
      <c r="AL882" s="125" t="n"/>
    </row>
    <row r="883" hidden="1" s="241"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125" t="n"/>
      <c r="AI883" s="125" t="n"/>
      <c r="AJ883" s="5" t="n"/>
      <c r="AK883" s="125" t="n"/>
      <c r="AL883" s="125" t="n"/>
    </row>
    <row r="884" hidden="1" s="241"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125" t="n"/>
      <c r="AI884" s="125" t="n"/>
      <c r="AJ884" s="5" t="n"/>
      <c r="AK884" s="125" t="n"/>
      <c r="AL884" s="125" t="n"/>
    </row>
    <row r="885" hidden="1" s="241"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125" t="n"/>
      <c r="AI885" s="125" t="n"/>
      <c r="AJ885" s="5" t="n"/>
      <c r="AK885" s="125" t="n"/>
      <c r="AL885" s="125" t="n"/>
    </row>
    <row r="886" hidden="1" s="241"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125" t="n"/>
      <c r="AI886" s="125" t="n"/>
      <c r="AJ886" s="5" t="n"/>
      <c r="AK886" s="125" t="n"/>
      <c r="AL886" s="125" t="n"/>
    </row>
    <row r="887" hidden="1" s="241"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125" t="n"/>
      <c r="AI887" s="125" t="n"/>
      <c r="AJ887" s="5" t="n"/>
      <c r="AK887" s="125" t="n"/>
      <c r="AL887" s="125" t="n"/>
    </row>
    <row r="888" hidden="1" s="241"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125" t="n"/>
      <c r="AI888" s="125" t="n"/>
      <c r="AJ888" s="5" t="n"/>
      <c r="AK888" s="125" t="n"/>
      <c r="AL888" s="125" t="n"/>
    </row>
    <row r="889" hidden="1" s="241"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125" t="n"/>
      <c r="AI889" s="125" t="n"/>
      <c r="AJ889" s="5" t="n"/>
      <c r="AK889" s="125" t="n"/>
      <c r="AL889" s="125" t="n"/>
    </row>
    <row r="890" hidden="1" s="241"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125" t="n"/>
      <c r="AI890" s="125" t="n"/>
      <c r="AJ890" s="5" t="n"/>
      <c r="AK890" s="125" t="n"/>
      <c r="AL890" s="125" t="n"/>
    </row>
    <row r="891" hidden="1" s="241"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125" t="n"/>
      <c r="AI891" s="125" t="n"/>
      <c r="AJ891" s="5" t="n"/>
      <c r="AK891" s="125" t="n"/>
      <c r="AL891" s="125" t="n"/>
    </row>
    <row r="892" hidden="1" s="241"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125" t="n"/>
      <c r="AI892" s="125" t="n"/>
      <c r="AJ892" s="5" t="n"/>
      <c r="AK892" s="125" t="n"/>
      <c r="AL892" s="125" t="n"/>
    </row>
    <row r="893" hidden="1" s="241"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125" t="n"/>
      <c r="AI893" s="125" t="n"/>
      <c r="AJ893" s="5" t="n"/>
      <c r="AK893" s="125" t="n"/>
      <c r="AL893" s="125" t="n"/>
    </row>
    <row r="894" hidden="1" s="241"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125" t="n"/>
      <c r="AI894" s="125" t="n"/>
      <c r="AJ894" s="5" t="n"/>
      <c r="AK894" s="125" t="n"/>
      <c r="AL894" s="125" t="n"/>
    </row>
    <row r="895" hidden="1" s="241"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125" t="n"/>
      <c r="AI895" s="125" t="n"/>
      <c r="AJ895" s="5" t="n"/>
      <c r="AK895" s="125" t="n"/>
      <c r="AL895" s="125" t="n"/>
    </row>
    <row r="896" hidden="1" s="241"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125" t="n"/>
      <c r="AI896" s="125" t="n"/>
      <c r="AJ896" s="5" t="n"/>
      <c r="AK896" s="125" t="n"/>
      <c r="AL896" s="125" t="n"/>
    </row>
    <row r="897" hidden="1" s="241"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125" t="n"/>
      <c r="AI897" s="125" t="n"/>
      <c r="AJ897" s="5" t="n"/>
      <c r="AK897" s="125" t="n"/>
      <c r="AL897" s="125" t="n"/>
    </row>
    <row r="898" hidden="1" s="241"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125" t="n"/>
      <c r="AI898" s="125" t="n"/>
      <c r="AJ898" s="5" t="n"/>
      <c r="AK898" s="125" t="n"/>
      <c r="AL898" s="125" t="n"/>
    </row>
    <row r="899" hidden="1" s="241"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125" t="n"/>
      <c r="AI899" s="125" t="n"/>
      <c r="AJ899" s="5" t="n"/>
      <c r="AK899" s="125" t="n"/>
      <c r="AL899" s="125" t="n"/>
    </row>
    <row r="900" hidden="1" s="241"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125" t="n"/>
      <c r="AI900" s="125" t="n"/>
      <c r="AJ900" s="5" t="n"/>
      <c r="AK900" s="125" t="n"/>
      <c r="AL900" s="125" t="n"/>
    </row>
    <row r="901" hidden="1" s="241"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125" t="n"/>
      <c r="AI901" s="125" t="n"/>
      <c r="AJ901" s="5" t="n"/>
      <c r="AK901" s="125" t="n"/>
      <c r="AL901" s="125" t="n"/>
    </row>
    <row r="902" hidden="1" s="241"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125" t="n"/>
      <c r="AI902" s="125" t="n"/>
      <c r="AJ902" s="5" t="n"/>
      <c r="AK902" s="125" t="n"/>
      <c r="AL902" s="125" t="n"/>
    </row>
    <row r="903" hidden="1" s="241"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125" t="n"/>
      <c r="AI903" s="125" t="n"/>
      <c r="AJ903" s="5" t="n"/>
      <c r="AK903" s="125" t="n"/>
      <c r="AL903" s="125" t="n"/>
    </row>
    <row r="904" hidden="1" s="241"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125" t="n"/>
      <c r="AI904" s="125" t="n"/>
      <c r="AJ904" s="5" t="n"/>
      <c r="AK904" s="125" t="n"/>
      <c r="AL904" s="125" t="n"/>
    </row>
    <row r="905" hidden="1" s="241"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125" t="n"/>
      <c r="AI905" s="125" t="n"/>
      <c r="AJ905" s="5" t="n"/>
      <c r="AK905" s="125" t="n"/>
      <c r="AL905" s="125" t="n"/>
    </row>
    <row r="906" hidden="1" s="241"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125" t="n"/>
      <c r="AI906" s="125" t="n"/>
      <c r="AJ906" s="5" t="n"/>
      <c r="AK906" s="125" t="n"/>
      <c r="AL906" s="125" t="n"/>
    </row>
    <row r="907" hidden="1" s="241"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125" t="n"/>
      <c r="AI907" s="125" t="n"/>
      <c r="AJ907" s="5" t="n"/>
      <c r="AK907" s="125" t="n"/>
      <c r="AL907" s="125" t="n"/>
    </row>
    <row r="908" hidden="1" s="241"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125" t="n"/>
      <c r="AI908" s="125" t="n"/>
      <c r="AJ908" s="5" t="n"/>
      <c r="AK908" s="125" t="n"/>
      <c r="AL908" s="125" t="n"/>
    </row>
    <row r="909" hidden="1" s="241"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125" t="n"/>
      <c r="AI909" s="125" t="n"/>
      <c r="AJ909" s="5" t="n"/>
      <c r="AK909" s="125" t="n"/>
      <c r="AL909" s="125" t="n"/>
    </row>
    <row r="910" hidden="1" s="241"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125" t="n"/>
      <c r="AI910" s="125" t="n"/>
      <c r="AJ910" s="5" t="n"/>
      <c r="AK910" s="125" t="n"/>
      <c r="AL910" s="125" t="n"/>
    </row>
    <row r="911" hidden="1" s="241"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125" t="n"/>
      <c r="AI911" s="125" t="n"/>
      <c r="AJ911" s="5" t="n"/>
      <c r="AK911" s="125" t="n"/>
      <c r="AL911" s="125" t="n"/>
    </row>
    <row r="912" hidden="1" s="241"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125" t="n"/>
      <c r="AI912" s="125" t="n"/>
      <c r="AJ912" s="5" t="n"/>
      <c r="AK912" s="125" t="n"/>
      <c r="AL912" s="125" t="n"/>
    </row>
    <row r="913" hidden="1" s="241"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125" t="n"/>
      <c r="AI913" s="125" t="n"/>
      <c r="AJ913" s="5" t="n"/>
      <c r="AK913" s="125" t="n"/>
      <c r="AL913" s="125" t="n"/>
    </row>
    <row r="914" hidden="1" s="241"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125" t="n"/>
      <c r="AI914" s="125" t="n"/>
      <c r="AJ914" s="5" t="n"/>
      <c r="AK914" s="125" t="n"/>
      <c r="AL914" s="125" t="n"/>
    </row>
    <row r="915" hidden="1" s="241"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125" t="n"/>
      <c r="AI915" s="125" t="n"/>
      <c r="AJ915" s="5" t="n"/>
      <c r="AK915" s="125" t="n"/>
      <c r="AL915" s="125" t="n"/>
    </row>
    <row r="916" hidden="1" s="241"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125" t="n"/>
      <c r="AI916" s="125" t="n"/>
      <c r="AJ916" s="5" t="n"/>
      <c r="AK916" s="125" t="n"/>
      <c r="AL916" s="125" t="n"/>
    </row>
    <row r="917" hidden="1" s="241"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125" t="n"/>
      <c r="AI917" s="125" t="n"/>
      <c r="AJ917" s="5" t="n"/>
      <c r="AK917" s="125" t="n"/>
      <c r="AL917" s="125" t="n"/>
    </row>
    <row r="918" hidden="1" s="241"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125" t="n"/>
      <c r="AI918" s="125" t="n"/>
      <c r="AJ918" s="5" t="n"/>
      <c r="AK918" s="125" t="n"/>
      <c r="AL918" s="125" t="n"/>
    </row>
    <row r="919" hidden="1" s="241"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125" t="n"/>
      <c r="AI919" s="125" t="n"/>
      <c r="AJ919" s="5" t="n"/>
      <c r="AK919" s="125" t="n"/>
      <c r="AL919" s="125" t="n"/>
    </row>
    <row r="920" hidden="1" s="241"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125" t="n"/>
      <c r="AI920" s="125" t="n"/>
      <c r="AJ920" s="5" t="n"/>
      <c r="AK920" s="125" t="n"/>
      <c r="AL920" s="125" t="n"/>
    </row>
    <row r="921" hidden="1" s="241"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125" t="n"/>
      <c r="AI921" s="125" t="n"/>
      <c r="AJ921" s="5" t="n"/>
      <c r="AK921" s="125" t="n"/>
      <c r="AL921" s="125" t="n"/>
    </row>
    <row r="922" hidden="1" s="241"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125" t="n"/>
      <c r="AI922" s="125" t="n"/>
      <c r="AJ922" s="5" t="n"/>
      <c r="AK922" s="125" t="n"/>
      <c r="AL922" s="125" t="n"/>
    </row>
    <row r="923" hidden="1" s="241"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125" t="n"/>
      <c r="AI923" s="125" t="n"/>
      <c r="AJ923" s="5" t="n"/>
      <c r="AK923" s="125" t="n"/>
      <c r="AL923" s="125" t="n"/>
    </row>
    <row r="924" hidden="1" s="241"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125" t="n"/>
      <c r="AI924" s="125" t="n"/>
      <c r="AJ924" s="5" t="n"/>
      <c r="AK924" s="125" t="n"/>
      <c r="AL924" s="125" t="n"/>
    </row>
    <row r="925" hidden="1" s="241"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125" t="n"/>
      <c r="AI925" s="125" t="n"/>
      <c r="AJ925" s="5" t="n"/>
      <c r="AK925" s="125" t="n"/>
      <c r="AL925" s="125" t="n"/>
    </row>
    <row r="926" hidden="1" s="241"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125" t="n"/>
      <c r="AI926" s="125" t="n"/>
      <c r="AJ926" s="5" t="n"/>
      <c r="AK926" s="125" t="n"/>
      <c r="AL926" s="125" t="n"/>
    </row>
    <row r="927" hidden="1" s="241"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125" t="n"/>
      <c r="AI927" s="125" t="n"/>
      <c r="AJ927" s="5" t="n"/>
      <c r="AK927" s="125" t="n"/>
      <c r="AL927" s="125" t="n"/>
    </row>
    <row r="928" hidden="1" s="241"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125" t="n"/>
      <c r="AI928" s="125" t="n"/>
      <c r="AJ928" s="5" t="n"/>
      <c r="AK928" s="125" t="n"/>
      <c r="AL928" s="125" t="n"/>
    </row>
    <row r="929" hidden="1" s="241"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125" t="n"/>
      <c r="AI929" s="125" t="n"/>
      <c r="AJ929" s="5" t="n"/>
      <c r="AK929" s="125" t="n"/>
      <c r="AL929" s="125" t="n"/>
    </row>
    <row r="930" hidden="1" s="241"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125" t="n"/>
      <c r="AI930" s="125" t="n"/>
      <c r="AJ930" s="5" t="n"/>
      <c r="AK930" s="125" t="n"/>
      <c r="AL930" s="125" t="n"/>
    </row>
    <row r="931" hidden="1" s="241"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125" t="n"/>
      <c r="AI931" s="125" t="n"/>
      <c r="AJ931" s="5" t="n"/>
      <c r="AK931" s="125" t="n"/>
      <c r="AL931" s="125" t="n"/>
    </row>
    <row r="932" hidden="1" s="241"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125" t="n"/>
      <c r="AI932" s="125" t="n"/>
      <c r="AJ932" s="5" t="n"/>
      <c r="AK932" s="125" t="n"/>
      <c r="AL932" s="125" t="n"/>
    </row>
    <row r="933" hidden="1" s="241"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125" t="n"/>
      <c r="AI933" s="125" t="n"/>
      <c r="AJ933" s="5" t="n"/>
      <c r="AK933" s="125" t="n"/>
      <c r="AL933" s="125" t="n"/>
    </row>
    <row r="934" hidden="1" s="241"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125" t="n"/>
      <c r="AI934" s="125" t="n"/>
      <c r="AJ934" s="5" t="n"/>
      <c r="AK934" s="125" t="n"/>
      <c r="AL934" s="125" t="n"/>
    </row>
    <row r="935" hidden="1" s="241"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125" t="n"/>
      <c r="AI935" s="125" t="n"/>
      <c r="AJ935" s="5" t="n"/>
      <c r="AK935" s="125" t="n"/>
      <c r="AL935" s="125" t="n"/>
    </row>
    <row r="936" hidden="1" s="241"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125" t="n"/>
      <c r="AI936" s="125" t="n"/>
      <c r="AJ936" s="5" t="n"/>
      <c r="AK936" s="125" t="n"/>
      <c r="AL936" s="125" t="n"/>
    </row>
    <row r="937" hidden="1" s="241"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125" t="n"/>
      <c r="AI937" s="125" t="n"/>
      <c r="AJ937" s="5" t="n"/>
      <c r="AK937" s="125" t="n"/>
      <c r="AL937" s="125" t="n"/>
    </row>
    <row r="938" hidden="1" s="241"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125" t="n"/>
      <c r="AI938" s="125" t="n"/>
      <c r="AJ938" s="5" t="n"/>
      <c r="AK938" s="125" t="n"/>
      <c r="AL938" s="125" t="n"/>
    </row>
    <row r="939" hidden="1" s="241"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125" t="n"/>
      <c r="AI939" s="125" t="n"/>
      <c r="AJ939" s="5" t="n"/>
      <c r="AK939" s="125" t="n"/>
      <c r="AL939" s="125" t="n"/>
    </row>
    <row r="940" hidden="1" s="241"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125" t="n"/>
      <c r="AI940" s="125" t="n"/>
      <c r="AJ940" s="5" t="n"/>
      <c r="AK940" s="125" t="n"/>
      <c r="AL940" s="125" t="n"/>
    </row>
    <row r="941" hidden="1" s="241"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125" t="n"/>
      <c r="AI941" s="125" t="n"/>
      <c r="AJ941" s="5" t="n"/>
      <c r="AK941" s="125" t="n"/>
      <c r="AL941" s="125" t="n"/>
    </row>
    <row r="942" hidden="1" s="241"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125" t="n"/>
      <c r="AI942" s="125" t="n"/>
      <c r="AJ942" s="5" t="n"/>
      <c r="AK942" s="125" t="n"/>
      <c r="AL942" s="125" t="n"/>
    </row>
    <row r="943" hidden="1" s="241"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125" t="n"/>
      <c r="AI943" s="125" t="n"/>
      <c r="AJ943" s="5" t="n"/>
      <c r="AK943" s="125" t="n"/>
      <c r="AL943" s="125" t="n"/>
    </row>
    <row r="944" hidden="1" s="241"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125" t="n"/>
      <c r="AI944" s="125" t="n"/>
      <c r="AJ944" s="5" t="n"/>
      <c r="AK944" s="125" t="n"/>
      <c r="AL944" s="125" t="n"/>
    </row>
    <row r="945" hidden="1" s="241"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125" t="n"/>
      <c r="AI945" s="125" t="n"/>
      <c r="AJ945" s="5" t="n"/>
      <c r="AK945" s="125" t="n"/>
      <c r="AL945" s="125" t="n"/>
    </row>
    <row r="946" hidden="1" s="241"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125" t="n"/>
      <c r="AI946" s="125" t="n"/>
      <c r="AJ946" s="5" t="n"/>
      <c r="AK946" s="125" t="n"/>
      <c r="AL946" s="125" t="n"/>
    </row>
    <row r="947" hidden="1" s="241"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125" t="n"/>
      <c r="AI947" s="125" t="n"/>
      <c r="AJ947" s="5" t="n"/>
      <c r="AK947" s="125" t="n"/>
      <c r="AL947" s="125" t="n"/>
    </row>
    <row r="948" hidden="1" s="241"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125" t="n"/>
      <c r="AI948" s="125" t="n"/>
      <c r="AJ948" s="5" t="n"/>
      <c r="AK948" s="125" t="n"/>
      <c r="AL948" s="125" t="n"/>
    </row>
    <row r="949" hidden="1" s="241"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125" t="n"/>
      <c r="AI949" s="125" t="n"/>
      <c r="AJ949" s="5" t="n"/>
      <c r="AK949" s="125" t="n"/>
      <c r="AL949" s="125" t="n"/>
    </row>
    <row r="950" hidden="1" s="241"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125" t="n"/>
      <c r="AI950" s="125" t="n"/>
      <c r="AJ950" s="5" t="n"/>
      <c r="AK950" s="125" t="n"/>
      <c r="AL950" s="125" t="n"/>
    </row>
    <row r="951" hidden="1" s="241"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125" t="n"/>
      <c r="AI951" s="125" t="n"/>
      <c r="AJ951" s="5" t="n"/>
      <c r="AK951" s="125" t="n"/>
      <c r="AL951" s="125" t="n"/>
    </row>
    <row r="952" hidden="1" s="241"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125" t="n"/>
      <c r="AI952" s="125" t="n"/>
      <c r="AJ952" s="5" t="n"/>
      <c r="AK952" s="125" t="n"/>
      <c r="AL952" s="125" t="n"/>
    </row>
    <row r="953" hidden="1" s="241"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125" t="n"/>
      <c r="AI953" s="125" t="n"/>
      <c r="AJ953" s="5" t="n"/>
      <c r="AK953" s="125" t="n"/>
      <c r="AL953" s="125" t="n"/>
    </row>
    <row r="954" hidden="1" s="241"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125" t="n"/>
      <c r="AI954" s="125" t="n"/>
      <c r="AJ954" s="5" t="n"/>
      <c r="AK954" s="125" t="n"/>
      <c r="AL954" s="125" t="n"/>
    </row>
    <row r="955" hidden="1" s="241"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125" t="n"/>
      <c r="AI955" s="125" t="n"/>
      <c r="AJ955" s="5" t="n"/>
      <c r="AK955" s="125" t="n"/>
      <c r="AL955" s="125" t="n"/>
    </row>
    <row r="956" hidden="1" s="241"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125" t="n"/>
      <c r="AI956" s="125" t="n"/>
      <c r="AJ956" s="5" t="n"/>
      <c r="AK956" s="125" t="n"/>
      <c r="AL956" s="125" t="n"/>
    </row>
    <row r="957" hidden="1" s="241"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125" t="n"/>
      <c r="AI957" s="125" t="n"/>
      <c r="AJ957" s="5" t="n"/>
      <c r="AK957" s="125" t="n"/>
      <c r="AL957" s="125" t="n"/>
    </row>
    <row r="958" hidden="1" s="241"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125" t="n"/>
      <c r="AI958" s="125" t="n"/>
      <c r="AJ958" s="5" t="n"/>
      <c r="AK958" s="125" t="n"/>
      <c r="AL958" s="125" t="n"/>
    </row>
    <row r="959" hidden="1" s="241"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125" t="n"/>
      <c r="AI959" s="125" t="n"/>
      <c r="AJ959" s="5" t="n"/>
      <c r="AK959" s="125" t="n"/>
      <c r="AL959" s="125" t="n"/>
    </row>
    <row r="960" hidden="1" s="241"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125" t="n"/>
      <c r="AI960" s="125" t="n"/>
      <c r="AJ960" s="5" t="n"/>
      <c r="AK960" s="125" t="n"/>
      <c r="AL960" s="125" t="n"/>
    </row>
    <row r="961" hidden="1" s="241"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125" t="n"/>
      <c r="AI961" s="125" t="n"/>
      <c r="AJ961" s="5" t="n"/>
      <c r="AK961" s="125" t="n"/>
      <c r="AL961" s="125" t="n"/>
    </row>
    <row r="962" hidden="1" s="241"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125" t="n"/>
      <c r="AI962" s="125" t="n"/>
      <c r="AJ962" s="5" t="n"/>
      <c r="AK962" s="125" t="n"/>
      <c r="AL962" s="125" t="n"/>
    </row>
    <row r="963" hidden="1" s="241"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125" t="n"/>
      <c r="AI963" s="125" t="n"/>
      <c r="AJ963" s="5" t="n"/>
      <c r="AK963" s="125" t="n"/>
      <c r="AL963" s="125" t="n"/>
    </row>
    <row r="964" hidden="1" s="241"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125" t="n"/>
      <c r="AI964" s="125" t="n"/>
      <c r="AJ964" s="5" t="n"/>
      <c r="AK964" s="125" t="n"/>
      <c r="AL964" s="125" t="n"/>
    </row>
    <row r="965" hidden="1" s="241"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125" t="n"/>
      <c r="AI965" s="125" t="n"/>
      <c r="AJ965" s="5" t="n"/>
      <c r="AK965" s="125" t="n"/>
      <c r="AL965" s="125" t="n"/>
    </row>
    <row r="966" hidden="1" s="241"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125" t="n"/>
      <c r="AI966" s="125" t="n"/>
      <c r="AJ966" s="5" t="n"/>
      <c r="AK966" s="125" t="n"/>
      <c r="AL966" s="125" t="n"/>
    </row>
    <row r="967" hidden="1" s="241"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125" t="n"/>
      <c r="AI967" s="125" t="n"/>
      <c r="AJ967" s="5" t="n"/>
      <c r="AK967" s="125" t="n"/>
      <c r="AL967" s="125" t="n"/>
    </row>
    <row r="968" hidden="1" s="241"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125" t="n"/>
      <c r="AI968" s="125" t="n"/>
      <c r="AJ968" s="5" t="n"/>
      <c r="AK968" s="125" t="n"/>
      <c r="AL968" s="125" t="n"/>
    </row>
    <row r="969" hidden="1" s="241"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125" t="n"/>
      <c r="AI969" s="125" t="n"/>
      <c r="AJ969" s="5" t="n"/>
      <c r="AK969" s="125" t="n"/>
      <c r="AL969" s="125" t="n"/>
    </row>
    <row r="970" hidden="1" s="241"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125" t="n"/>
      <c r="AI970" s="125" t="n"/>
      <c r="AJ970" s="5" t="n"/>
      <c r="AK970" s="125" t="n"/>
      <c r="AL970" s="125" t="n"/>
    </row>
    <row r="971" hidden="1" s="241"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125" t="n"/>
      <c r="AI971" s="125" t="n"/>
      <c r="AJ971" s="5" t="n"/>
      <c r="AK971" s="125" t="n"/>
      <c r="AL971" s="125" t="n"/>
    </row>
    <row r="972" hidden="1" s="241"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125" t="n"/>
      <c r="AI972" s="125" t="n"/>
      <c r="AJ972" s="5" t="n"/>
      <c r="AK972" s="125" t="n"/>
      <c r="AL972" s="125" t="n"/>
    </row>
    <row r="973" hidden="1" s="241"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125" t="n"/>
      <c r="AI973" s="125" t="n"/>
      <c r="AJ973" s="5" t="n"/>
      <c r="AK973" s="125" t="n"/>
      <c r="AL973" s="125" t="n"/>
    </row>
    <row r="974" hidden="1" s="241"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125" t="n"/>
      <c r="AI974" s="125" t="n"/>
      <c r="AJ974" s="5" t="n"/>
      <c r="AK974" s="125" t="n"/>
      <c r="AL974" s="125" t="n"/>
    </row>
    <row r="975" hidden="1" s="241"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125" t="n"/>
      <c r="AI975" s="125" t="n"/>
      <c r="AJ975" s="5" t="n"/>
      <c r="AK975" s="125" t="n"/>
      <c r="AL975" s="125" t="n"/>
    </row>
    <row r="976" hidden="1" s="241"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125" t="n"/>
      <c r="AI976" s="125" t="n"/>
      <c r="AJ976" s="5" t="n"/>
      <c r="AK976" s="125" t="n"/>
      <c r="AL976" s="125" t="n"/>
    </row>
    <row r="977" hidden="1" s="241"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125" t="n"/>
      <c r="AI977" s="125" t="n"/>
      <c r="AJ977" s="5" t="n"/>
      <c r="AK977" s="125" t="n"/>
      <c r="AL977" s="125" t="n"/>
    </row>
    <row r="978" hidden="1" s="241"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125" t="n"/>
      <c r="AI978" s="125" t="n"/>
      <c r="AJ978" s="5" t="n"/>
      <c r="AK978" s="125" t="n"/>
      <c r="AL978" s="125" t="n"/>
    </row>
    <row r="979" hidden="1" s="241"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125" t="n"/>
      <c r="AI979" s="125" t="n"/>
      <c r="AJ979" s="5" t="n"/>
      <c r="AK979" s="125" t="n"/>
      <c r="AL979" s="125" t="n"/>
    </row>
    <row r="980" hidden="1" s="241"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125" t="n"/>
      <c r="AI980" s="125" t="n"/>
      <c r="AJ980" s="5" t="n"/>
      <c r="AK980" s="125" t="n"/>
      <c r="AL980" s="125" t="n"/>
    </row>
    <row r="981" hidden="1" s="241"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125" t="n"/>
      <c r="AI981" s="125" t="n"/>
      <c r="AJ981" s="5" t="n"/>
      <c r="AK981" s="125" t="n"/>
      <c r="AL981" s="125" t="n"/>
    </row>
    <row r="982" hidden="1" s="241"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125" t="n"/>
      <c r="AI982" s="125" t="n"/>
      <c r="AJ982" s="5" t="n"/>
      <c r="AK982" s="125" t="n"/>
      <c r="AL982" s="125" t="n"/>
    </row>
    <row r="983" hidden="1" s="241"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125" t="n"/>
      <c r="AI983" s="125" t="n"/>
      <c r="AJ983" s="5" t="n"/>
      <c r="AK983" s="125" t="n"/>
      <c r="AL983" s="125" t="n"/>
    </row>
    <row r="984" hidden="1" s="241"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125" t="n"/>
      <c r="AI984" s="125" t="n"/>
      <c r="AJ984" s="5" t="n"/>
      <c r="AK984" s="125" t="n"/>
      <c r="AL984" s="125" t="n"/>
    </row>
    <row r="985" hidden="1" s="241"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125" t="n"/>
      <c r="AI985" s="125" t="n"/>
      <c r="AJ985" s="5" t="n"/>
      <c r="AK985" s="125" t="n"/>
      <c r="AL985" s="125" t="n"/>
    </row>
    <row r="986" hidden="1" s="241"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125" t="n"/>
      <c r="AI986" s="125" t="n"/>
      <c r="AJ986" s="5" t="n"/>
      <c r="AK986" s="125" t="n"/>
      <c r="AL986" s="125" t="n"/>
    </row>
    <row r="987" hidden="1" s="241"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125" t="n"/>
      <c r="AI987" s="125" t="n"/>
      <c r="AJ987" s="5" t="n"/>
      <c r="AK987" s="125" t="n"/>
      <c r="AL987" s="125" t="n"/>
    </row>
    <row r="988" hidden="1" s="241"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125" t="n"/>
      <c r="AI988" s="125" t="n"/>
      <c r="AJ988" s="5" t="n"/>
      <c r="AK988" s="125" t="n"/>
      <c r="AL988" s="125" t="n"/>
    </row>
    <row r="989" hidden="1" s="241"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125" t="n"/>
      <c r="AI989" s="125" t="n"/>
      <c r="AJ989" s="5" t="n"/>
      <c r="AK989" s="125" t="n"/>
      <c r="AL989" s="125" t="n"/>
    </row>
    <row r="990" hidden="1" s="241"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125" t="n"/>
      <c r="AI990" s="125" t="n"/>
      <c r="AJ990" s="5" t="n"/>
      <c r="AK990" s="125" t="n"/>
      <c r="AL990" s="125" t="n"/>
    </row>
    <row r="991" hidden="1" s="241"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125" t="n"/>
      <c r="AI991" s="125" t="n"/>
      <c r="AJ991" s="5" t="n"/>
      <c r="AK991" s="125" t="n"/>
      <c r="AL991" s="125" t="n"/>
    </row>
    <row r="992" hidden="1" s="241"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125" t="n"/>
      <c r="AI992" s="125" t="n"/>
      <c r="AJ992" s="5" t="n"/>
      <c r="AK992" s="125" t="n"/>
      <c r="AL992" s="125" t="n"/>
    </row>
    <row r="993" hidden="1" s="241"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125" t="n"/>
      <c r="AI993" s="125" t="n"/>
      <c r="AJ993" s="5" t="n"/>
      <c r="AK993" s="125" t="n"/>
      <c r="AL993" s="125" t="n"/>
    </row>
    <row r="994" hidden="1" s="241"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125" t="n"/>
      <c r="AI994" s="125" t="n"/>
      <c r="AJ994" s="5" t="n"/>
      <c r="AK994" s="125" t="n"/>
      <c r="AL994" s="125" t="n"/>
    </row>
    <row r="995" hidden="1" s="241"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125" t="n"/>
      <c r="AI995" s="125" t="n"/>
      <c r="AJ995" s="5" t="n"/>
      <c r="AK995" s="125" t="n"/>
      <c r="AL995" s="125" t="n"/>
    </row>
    <row r="996" hidden="1" s="241"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125" t="n"/>
      <c r="AI996" s="125" t="n"/>
      <c r="AJ996" s="5" t="n"/>
      <c r="AK996" s="125" t="n"/>
      <c r="AL996" s="125" t="n"/>
    </row>
    <row r="997" hidden="1" s="241"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125" t="n"/>
      <c r="AI997" s="125" t="n"/>
      <c r="AJ997" s="5" t="n"/>
      <c r="AK997" s="125" t="n"/>
      <c r="AL997" s="125" t="n"/>
    </row>
    <row r="998" hidden="1" s="241"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125" t="n"/>
      <c r="AI998" s="125" t="n"/>
      <c r="AJ998" s="5" t="n"/>
      <c r="AK998" s="125" t="n"/>
      <c r="AL998" s="125" t="n"/>
    </row>
    <row r="999" hidden="1" s="241"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125" t="n"/>
      <c r="AI999" s="125" t="n"/>
      <c r="AJ999" s="5" t="n"/>
      <c r="AK999" s="125" t="n"/>
      <c r="AL999" s="125" t="n"/>
    </row>
    <row r="1000" hidden="1" s="241"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125" t="n"/>
      <c r="AI1000" s="125" t="n"/>
      <c r="AJ1000" s="5" t="n"/>
      <c r="AK1000" s="125" t="n"/>
      <c r="AL1000" s="125" t="n"/>
    </row>
    <row r="1001" hidden="1" s="241"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125" t="n"/>
      <c r="AI1001" s="125" t="n"/>
      <c r="AJ1001" s="5" t="n"/>
      <c r="AK1001" s="125" t="n"/>
      <c r="AL1001" s="125" t="n"/>
    </row>
    <row r="1002" hidden="1" s="241"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125" t="n"/>
      <c r="AI1002" s="125" t="n"/>
      <c r="AJ1002" s="5" t="n"/>
      <c r="AK1002" s="125" t="n"/>
      <c r="AL1002" s="125" t="n"/>
    </row>
    <row r="1003" hidden="1" s="241"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125" t="n"/>
      <c r="AI1003" s="125" t="n"/>
      <c r="AJ1003" s="5" t="n"/>
      <c r="AK1003" s="125" t="n"/>
      <c r="AL1003" s="125" t="n"/>
    </row>
    <row r="1004" hidden="1" s="241"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125" t="n"/>
      <c r="AI1004" s="125" t="n"/>
      <c r="AJ1004" s="5" t="n"/>
      <c r="AK1004" s="125" t="n"/>
      <c r="AL1004" s="125" t="n"/>
    </row>
    <row r="1005" hidden="1" s="241"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125" t="n"/>
      <c r="AI1005" s="125" t="n"/>
      <c r="AJ1005" s="5" t="n"/>
      <c r="AK1005" s="125" t="n"/>
      <c r="AL1005" s="125" t="n"/>
    </row>
    <row r="1006" hidden="1" s="241"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125" t="n"/>
      <c r="AI1006" s="125" t="n"/>
      <c r="AJ1006" s="5" t="n"/>
      <c r="AK1006" s="125" t="n"/>
      <c r="AL1006" s="125" t="n"/>
    </row>
    <row r="1007" hidden="1" s="241"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125" t="n"/>
      <c r="AI1007" s="125" t="n"/>
      <c r="AJ1007" s="5" t="n"/>
      <c r="AK1007" s="125" t="n"/>
      <c r="AL1007" s="125" t="n"/>
    </row>
    <row r="1008" hidden="1" s="241"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125" t="n"/>
      <c r="AI1008" s="125" t="n"/>
      <c r="AJ1008" s="5" t="n"/>
      <c r="AK1008" s="125" t="n"/>
      <c r="AL1008" s="125" t="n"/>
    </row>
    <row r="1009" hidden="1" s="241"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125" t="n"/>
      <c r="AI1009" s="125" t="n"/>
      <c r="AJ1009" s="5" t="n"/>
      <c r="AK1009" s="125" t="n"/>
      <c r="AL1009" s="125" t="n"/>
    </row>
    <row r="1010" hidden="1" s="241"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125" t="n"/>
      <c r="AI1010" s="125" t="n"/>
      <c r="AJ1010" s="5" t="n"/>
      <c r="AK1010" s="125" t="n"/>
      <c r="AL1010" s="125" t="n"/>
    </row>
    <row r="1011" hidden="1" s="241"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125" t="n"/>
      <c r="AI1011" s="125" t="n"/>
      <c r="AJ1011" s="5" t="n"/>
      <c r="AK1011" s="125" t="n"/>
      <c r="AL1011" s="125" t="n"/>
    </row>
    <row r="1012" hidden="1" s="241"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125" t="n"/>
      <c r="AI1012" s="125" t="n"/>
      <c r="AJ1012" s="5" t="n"/>
      <c r="AK1012" s="125" t="n"/>
      <c r="AL1012" s="125" t="n"/>
    </row>
    <row r="1013" hidden="1" s="241"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125" t="n"/>
      <c r="AI1013" s="125" t="n"/>
      <c r="AJ1013" s="5" t="n"/>
      <c r="AK1013" s="125" t="n"/>
      <c r="AL1013" s="125" t="n"/>
    </row>
    <row r="1014" hidden="1" s="241"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125" t="n"/>
      <c r="AI1014" s="125" t="n"/>
      <c r="AJ1014" s="5" t="n"/>
      <c r="AK1014" s="125" t="n"/>
      <c r="AL1014" s="125" t="n"/>
    </row>
    <row r="1015" hidden="1" s="241"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125" t="n"/>
      <c r="AI1015" s="125" t="n"/>
      <c r="AJ1015" s="5" t="n"/>
      <c r="AK1015" s="125" t="n"/>
      <c r="AL1015" s="125" t="n"/>
    </row>
    <row r="1016" hidden="1" s="241"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125" t="n"/>
      <c r="AI1016" s="125" t="n"/>
      <c r="AJ1016" s="5" t="n"/>
      <c r="AK1016" s="125" t="n"/>
      <c r="AL1016" s="125" t="n"/>
    </row>
    <row r="1017" hidden="1" s="241"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125" t="n"/>
      <c r="AI1017" s="125" t="n"/>
      <c r="AJ1017" s="5" t="n"/>
      <c r="AK1017" s="125" t="n"/>
      <c r="AL1017" s="125" t="n"/>
    </row>
    <row r="1018" hidden="1" s="241"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125" t="n"/>
      <c r="AI1018" s="125" t="n"/>
      <c r="AJ1018" s="5" t="n"/>
      <c r="AK1018" s="125" t="n"/>
      <c r="AL1018" s="125" t="n"/>
    </row>
    <row r="1019" hidden="1" s="241"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125" t="n"/>
      <c r="AI1019" s="125" t="n"/>
      <c r="AJ1019" s="5" t="n"/>
      <c r="AK1019" s="125" t="n"/>
      <c r="AL1019" s="125" t="n"/>
    </row>
    <row r="1020" hidden="1" s="241"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125" t="n"/>
      <c r="AI1020" s="125" t="n"/>
      <c r="AJ1020" s="5" t="n"/>
      <c r="AK1020" s="125" t="n"/>
      <c r="AL1020" s="125" t="n"/>
    </row>
    <row r="1021" hidden="1" s="241"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125" t="n"/>
      <c r="AI1021" s="125" t="n"/>
      <c r="AJ1021" s="5" t="n"/>
      <c r="AK1021" s="125" t="n"/>
      <c r="AL1021" s="125" t="n"/>
    </row>
    <row r="1022" hidden="1" s="241"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125" t="n"/>
      <c r="AI1022" s="125" t="n"/>
      <c r="AJ1022" s="5" t="n"/>
      <c r="AK1022" s="125" t="n"/>
      <c r="AL1022" s="125" t="n"/>
    </row>
    <row r="1023" hidden="1" s="241"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125" t="n"/>
      <c r="AI1023" s="125" t="n"/>
      <c r="AJ1023" s="5" t="n"/>
      <c r="AK1023" s="125" t="n"/>
      <c r="AL1023" s="125" t="n"/>
    </row>
    <row r="1024" hidden="1" s="241"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125" t="n"/>
      <c r="AI1024" s="125" t="n"/>
      <c r="AJ1024" s="5" t="n"/>
      <c r="AK1024" s="125" t="n"/>
      <c r="AL1024" s="125" t="n"/>
    </row>
    <row r="1025" hidden="1" s="241"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125" t="n"/>
      <c r="AI1025" s="125" t="n"/>
      <c r="AJ1025" s="5" t="n"/>
      <c r="AK1025" s="125" t="n"/>
      <c r="AL1025" s="125" t="n"/>
    </row>
    <row r="1026" hidden="1" s="241"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125" t="n"/>
      <c r="AI1026" s="125" t="n"/>
      <c r="AJ1026" s="5" t="n"/>
      <c r="AK1026" s="125" t="n"/>
      <c r="AL1026" s="125" t="n"/>
    </row>
    <row r="1027" hidden="1" s="241"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125" t="n"/>
      <c r="AI1027" s="125" t="n"/>
      <c r="AJ1027" s="5" t="n"/>
      <c r="AK1027" s="125" t="n"/>
      <c r="AL1027" s="125" t="n"/>
    </row>
    <row r="1028" hidden="1" s="241"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125" t="n"/>
      <c r="AI1028" s="125" t="n"/>
      <c r="AJ1028" s="5" t="n"/>
      <c r="AK1028" s="125" t="n"/>
      <c r="AL1028" s="125" t="n"/>
    </row>
    <row r="1029" hidden="1" s="241"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125" t="n"/>
      <c r="AI1029" s="125" t="n"/>
      <c r="AJ1029" s="5" t="n"/>
      <c r="AK1029" s="125" t="n"/>
      <c r="AL1029" s="125" t="n"/>
    </row>
    <row r="1030" hidden="1" s="241"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125" t="n"/>
      <c r="AI1030" s="125" t="n"/>
      <c r="AJ1030" s="5" t="n"/>
      <c r="AK1030" s="125" t="n"/>
      <c r="AL1030" s="125" t="n"/>
    </row>
    <row r="1031" hidden="1" s="241"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125" t="n"/>
      <c r="AI1031" s="125" t="n"/>
      <c r="AJ1031" s="5" t="n"/>
      <c r="AK1031" s="125" t="n"/>
      <c r="AL1031" s="125" t="n"/>
    </row>
    <row r="1032" hidden="1" s="241"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125" t="n"/>
      <c r="AI1032" s="125" t="n"/>
      <c r="AJ1032" s="5" t="n"/>
      <c r="AK1032" s="125" t="n"/>
      <c r="AL1032" s="125" t="n"/>
    </row>
  </sheetData>
  <mergeCells count="93">
    <mergeCell ref="AB4:AB5"/>
    <mergeCell ref="Q73:Q74"/>
    <mergeCell ref="S73:S74"/>
    <mergeCell ref="I26:J26"/>
    <mergeCell ref="Y19:Y20"/>
    <mergeCell ref="T73:T74"/>
    <mergeCell ref="Z37:Z38"/>
    <mergeCell ref="X55:X56"/>
    <mergeCell ref="B4:D4"/>
    <mergeCell ref="AB37:AB38"/>
    <mergeCell ref="O19:O20"/>
    <mergeCell ref="L37:M38"/>
    <mergeCell ref="M9:X9"/>
    <mergeCell ref="V73:V74"/>
    <mergeCell ref="R19:R20"/>
    <mergeCell ref="AA19:AA20"/>
    <mergeCell ref="Y55:Y56"/>
    <mergeCell ref="O4:O5"/>
    <mergeCell ref="Q55:Q56"/>
    <mergeCell ref="AA37:AA38"/>
    <mergeCell ref="Y73:Y74"/>
    <mergeCell ref="AC37:AC38"/>
    <mergeCell ref="X19:X20"/>
    <mergeCell ref="AA73:AA74"/>
    <mergeCell ref="B2:C2"/>
    <mergeCell ref="R55:R56"/>
    <mergeCell ref="T55:T56"/>
    <mergeCell ref="S37:S38"/>
    <mergeCell ref="U37:U38"/>
    <mergeCell ref="X4:X5"/>
    <mergeCell ref="Z4:Z5"/>
    <mergeCell ref="O73:O74"/>
    <mergeCell ref="P37:P38"/>
    <mergeCell ref="U19:U20"/>
    <mergeCell ref="W19:W20"/>
    <mergeCell ref="Z55:Z56"/>
    <mergeCell ref="T37:T38"/>
    <mergeCell ref="AB55:AB56"/>
    <mergeCell ref="P73:P74"/>
    <mergeCell ref="V37:V38"/>
    <mergeCell ref="R73:R74"/>
    <mergeCell ref="AB73:AB74"/>
    <mergeCell ref="L55:M56"/>
    <mergeCell ref="L73:M74"/>
    <mergeCell ref="W55:W56"/>
    <mergeCell ref="X37:X38"/>
    <mergeCell ref="Q4:Q5"/>
    <mergeCell ref="AA4:AA5"/>
    <mergeCell ref="AC55:AC56"/>
    <mergeCell ref="AC4:AC5"/>
    <mergeCell ref="Q19:Q20"/>
    <mergeCell ref="M3:X3"/>
    <mergeCell ref="O55:O56"/>
    <mergeCell ref="N19:N20"/>
    <mergeCell ref="P19:P20"/>
    <mergeCell ref="Z19:Z20"/>
    <mergeCell ref="X73:X74"/>
    <mergeCell ref="AB19:AB20"/>
    <mergeCell ref="K4:K5"/>
    <mergeCell ref="U73:U74"/>
    <mergeCell ref="Y37:Y38"/>
    <mergeCell ref="T19:T20"/>
    <mergeCell ref="L19:M20"/>
    <mergeCell ref="W73:W74"/>
    <mergeCell ref="V55:V56"/>
    <mergeCell ref="N55:N56"/>
    <mergeCell ref="N4:N5"/>
    <mergeCell ref="P55:P56"/>
    <mergeCell ref="P4:P5"/>
    <mergeCell ref="R4:R5"/>
    <mergeCell ref="T4:T5"/>
    <mergeCell ref="V4:V5"/>
    <mergeCell ref="I27:J27"/>
    <mergeCell ref="V19:V20"/>
    <mergeCell ref="I36:J36"/>
    <mergeCell ref="N37:N38"/>
    <mergeCell ref="S19:S20"/>
    <mergeCell ref="AC73:AC74"/>
    <mergeCell ref="R37:R38"/>
    <mergeCell ref="N73:N74"/>
    <mergeCell ref="I28:J28"/>
    <mergeCell ref="Z73:Z74"/>
    <mergeCell ref="AC19:AC20"/>
    <mergeCell ref="AA55:AA56"/>
    <mergeCell ref="S55:S56"/>
    <mergeCell ref="S4:S5"/>
    <mergeCell ref="U55:U56"/>
    <mergeCell ref="U4:U5"/>
    <mergeCell ref="W4:W5"/>
    <mergeCell ref="Y4:Y5"/>
    <mergeCell ref="W37:W38"/>
    <mergeCell ref="O37:O38"/>
    <mergeCell ref="Q37:Q38"/>
  </mergeCells>
  <conditionalFormatting sqref="AA8:AD8">
    <cfRule type="cellIs" priority="1" operator="equal" dxfId="0">
      <formula>0</formula>
    </cfRule>
  </conditionalFormatting>
  <conditionalFormatting sqref="I6:I25">
    <cfRule type="cellIs" priority="2" operator="greaterThan" dxfId="1">
      <formula>0</formula>
    </cfRule>
  </conditionalFormatting>
  <conditionalFormatting sqref="W4:W5 W8 W10 Y6:AB6 Z13:AC13">
    <cfRule type="expression" priority="3" dxfId="2">
      <formula>$G$12&gt;=3</formula>
    </cfRule>
  </conditionalFormatting>
  <conditionalFormatting sqref="O2:R2">
    <cfRule type="expression" priority="4" dxfId="3">
      <formula>P2="No asegurable"</formula>
    </cfRule>
  </conditionalFormatting>
  <dataValidations count="2">
    <dataValidation sqref="K8" showDropDown="0" showInputMessage="0" showErrorMessage="1" allowBlank="1" type="list">
      <formula1>"0%,1%,2%,3%,4%,5%"</formula1>
    </dataValidation>
    <dataValidation sqref="K10" showDropDown="0" showInputMessage="0" showErrorMessage="1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/>
  </sheetPr>
  <dimension ref="A1:B69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241" min="1" max="1"/>
  </cols>
  <sheetData>
    <row r="1">
      <c r="A1" s="2" t="inlineStr">
        <is>
          <t>Producto</t>
        </is>
      </c>
      <c r="B1" s="144" t="inlineStr">
        <is>
          <t>Excepcion</t>
        </is>
      </c>
    </row>
    <row r="2">
      <c r="A2" s="2" t="inlineStr">
        <is>
          <t>Go</t>
        </is>
      </c>
      <c r="B2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3">
      <c r="A3" s="2" t="inlineStr">
        <is>
          <t>Plena Vital</t>
        </is>
      </c>
      <c r="B3" s="144">
        <f>IF(COUNTIF(Cotizador!$I$6:$I$13,"&gt;70")&gt;0,IF(COUNTIF(Cotizador!$I$6:$I$13,"&lt;60")&lt;3*COUNTIF(Cotizador!$I$6:$I$13,"&gt;70"),-1,1),1)</f>
        <v/>
      </c>
    </row>
    <row r="4">
      <c r="A4" s="2" t="inlineStr">
        <is>
          <t>Plena</t>
        </is>
      </c>
      <c r="B4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5">
      <c r="A5" s="2" t="inlineStr">
        <is>
          <t>Plena Plus</t>
        </is>
      </c>
      <c r="B5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/>
      </c>
    </row>
    <row r="6">
      <c r="A6" s="2" t="inlineStr">
        <is>
          <t>Plena Total</t>
        </is>
      </c>
      <c r="B6" s="144">
        <f>IFERROR(IF(Cotizador!I6&gt;62,-3,IF(Cotizador!I6&gt;59,0,1)),0)+IFERROR(IF(Cotizador!I7&gt;62,-3,IF(Cotizador!I7&gt;59,0,1)),0)+IFERROR(IF(Cotizador!I8&gt;62,-3,IF(Cotizador!I8&gt;59,0,1)),0)++IFERROR(IF(Cotizador!I9&gt;62,-3,IF(Cotizador!I9&gt;59,0,1)),0)+IFERROR(IF(Cotizador!I10&gt;62,-3,IF(Cotizador!I10&gt;59,0,1)),0)+IFERROR(IF(Cotizador!I11&gt;62,-3,IF(Cotizador!I11&gt;59,0,1)),0)+IFERROR(IF(Cotizador!I12&gt;62,-3,IF(Cotizador!I12&gt;59,0,1)),0)+IFERROR(IF(Cotizador!I13&gt;62,-3,IF(Cotizador!I13&gt;59,0,1)),0)</f>
        <v/>
      </c>
    </row>
    <row r="7">
      <c r="A7" s="2" t="inlineStr">
        <is>
          <t>Negocios CIF</t>
        </is>
      </c>
      <c r="B7" s="144">
        <f>IF(COUNTIF(Cotizador!$I$6:$I$13,"&gt;67")&gt;0,IF(COUNTIF(Cotizador!$I$6:$I$13,"&lt;60")&lt;3*COUNTIF(Cotizador!$I$6:$I$13,"&gt;67"),-1,1),1)</f>
        <v/>
      </c>
    </row>
    <row r="8">
      <c r="A8" s="2" t="inlineStr">
        <is>
          <t>Extra Negocios CIF</t>
        </is>
      </c>
      <c r="B8" s="144">
        <f>IF(COUNT(Cotizador!I6:I13)&gt;4,-1,1)</f>
        <v/>
      </c>
    </row>
    <row r="9">
      <c r="A9" s="2" t="inlineStr">
        <is>
          <t>Empresas</t>
        </is>
      </c>
      <c r="B9" s="144">
        <f>IF(COUNTIF(Cotizador!$I$6:$I$13,"&gt;67")&gt;0,IF(COUNTIF(Cotizador!$I$6:$I$13,"&lt;60")&lt;3*COUNTIF(Cotizador!$I$6:$I$13,"&gt;67"),-1,1),1)</f>
        <v/>
      </c>
    </row>
    <row r="10">
      <c r="A10" s="2" t="inlineStr">
        <is>
          <t>Extra Empresas</t>
        </is>
      </c>
      <c r="B10" s="144">
        <f>IF(COUNTIF(Cotizador!$I$6:$I$13,"&gt;67")&gt;0,IF(COUNTIF(Cotizador!$I$6:$I$13,"&lt;60")&lt;3*COUNTIF(Cotizador!$I$6:$I$13,"&gt;67"),-1,1),1)</f>
        <v/>
      </c>
    </row>
    <row r="11">
      <c r="A11" s="2" t="inlineStr">
        <is>
          <t>Seniors</t>
        </is>
      </c>
      <c r="B11" s="144">
        <f>IF(AND(COUNTIF(Cotizador!$I$6:$I$13,"&gt;=50")-COUNTIF(Cotizador!$I$6:$I$13,"&gt;54")&gt;0, COUNTIF(Cotizador!$I$6:$I$13,"&gt;=55")&gt;0), 1, IF(COUNTIF(Cotizador!$I$6:$I$13,"&lt;55")&gt;0, -1, 1))</f>
        <v/>
      </c>
    </row>
    <row r="12">
      <c r="A12" s="2" t="inlineStr">
        <is>
          <t>Seniors total</t>
        </is>
      </c>
      <c r="B12" s="144">
        <f>IF(COUNTIF(Cotizador!$I$6:$I$13,"&gt;84")&gt;0,-1,  
    IF(AND(AND(COUNTIF(Cotizador!$I$6:$I$13,"&gt;=60"),COUNTIF(Cotizador!$I$6:$I$13,"&lt;=62"))&gt;0,COUNTIF(Cotizador!$I$6:$I$13,"&gt;=63")&gt;0,COUNTIF(Cotizador!$I$6:$I$13,"&lt;60")=0),1,  
        -1))
</f>
        <v/>
      </c>
    </row>
    <row r="13">
      <c r="A13" s="2" t="inlineStr">
        <is>
          <t>Pymes Total</t>
        </is>
      </c>
      <c r="B13" s="144">
        <f>IFERROR(IF(Cotizador!I6&gt;67,-3,IF(Cotizador!I6&gt;59,0,1)),0)+IFERROR(IF(Cotizador!I7&gt;67,-3,IF(Cotizador!I7&gt;59,0,1)),0)+IFERROR(IF(Cotizador!I8&gt;67,-3,IF(Cotizador!I8&gt;59,0,1)),0)++IFERROR(IF(Cotizador!I9&gt;67,-3,IF(Cotizador!I9&gt;59,0,1)),0)+IFERROR(IF(Cotizador!I10&gt;67,-3,IF(Cotizador!I10&gt;59,0,1)),0)+IFERROR(IF(Cotizador!I11&gt;67,-3,IF(Cotizador!I11&gt;59,0,1)),0)+IFERROR(IF(Cotizador!I12&gt;67,-3,IF(Cotizador!I12&gt;59,0,1)),0)+IFERROR(IF(Cotizador!I13&gt;67,-3,IF(Cotizador!I13&gt;59,0,1)),0)</f>
        <v/>
      </c>
    </row>
    <row r="14">
      <c r="A14" s="2" t="inlineStr">
        <is>
          <t>Negocios NIF</t>
        </is>
      </c>
      <c r="B14" s="144">
        <f>IF(COUNTIF(Cotizador!$I$6:$I$13,"&gt;70")&gt;0,IF(COUNTIF(Cotizador!$I$6:$I$13,"&lt;=60")&lt;3*COUNTIF(Cotizador!$I$6:$I$13,"&gt;=70"),-1,1),1)</f>
        <v/>
      </c>
    </row>
    <row r="15">
      <c r="A15" s="2" t="inlineStr">
        <is>
          <t>Extra Negocios NIF &lt;3</t>
        </is>
      </c>
      <c r="B15" s="144">
        <f>IF(COUNTIF(Cotizador!$I$6:$I$13,"&gt;69")&gt;0,IF(COUNTIF(Cotizador!$I$6:$I$13,"&lt;60")&lt;3*COUNTIF(Cotizador!$I$6:$I$13,"&gt;69"),-1,1),1)</f>
        <v/>
      </c>
    </row>
    <row r="16">
      <c r="A16" s="2" t="inlineStr">
        <is>
          <t>Extra Negocios NIF &gt;3</t>
        </is>
      </c>
      <c r="B16" s="144">
        <f>IF(COUNTIF(Cotizador!$I$6:$I$13,"&gt;69")&gt;0,IF(COUNTIF(Cotizador!$I$6:$I$13,"&lt;60")&lt;3*COUNTIF(Cotizador!$I$6:$I$13,"&gt;69"),-1,1),1)</f>
        <v/>
      </c>
    </row>
    <row r="17">
      <c r="A17" s="2" t="inlineStr">
        <is>
          <t>Plena Extra 150</t>
        </is>
      </c>
      <c r="B17" s="144">
        <f>IF(COUNTIF(Cotizador!$I$6:$I$13,"&gt;64")&gt;0,IF(COUNTIF(Cotizador!$I$6:$I$13,"&lt;60")&lt;3*COUNTIF(Cotizador!$I$6:$I$13,"&gt;64"),-1,1),1)</f>
        <v/>
      </c>
    </row>
    <row r="18">
      <c r="A18" s="2" t="inlineStr">
        <is>
          <t>Plena Total Vital</t>
        </is>
      </c>
      <c r="B18" s="144">
        <f>IF(COUNTIF(Cotizador!$I$6:$I$13,"&gt;62")&gt;0,IF(COUNTIF(Cotizador!$I$6:$I$13,"&lt;60")&lt;3*COUNTIF(Cotizador!$I$6:$I$13,"&gt;62"),-1,1),1)</f>
        <v/>
      </c>
    </row>
    <row r="19">
      <c r="A19" s="5" t="n"/>
    </row>
    <row r="20">
      <c r="A20" s="5" t="n"/>
    </row>
    <row r="21">
      <c r="A21" s="5" t="n"/>
    </row>
    <row r="23">
      <c r="A23" s="5" t="n"/>
    </row>
    <row r="24">
      <c r="A24" s="5" t="n"/>
    </row>
    <row r="25">
      <c r="A25" s="5" t="n"/>
    </row>
    <row r="27">
      <c r="A27" s="5" t="n"/>
    </row>
    <row r="28">
      <c r="A28" s="5" t="n"/>
    </row>
    <row r="29">
      <c r="A29" s="5" t="n"/>
    </row>
    <row r="31">
      <c r="A31" s="5" t="n"/>
    </row>
    <row r="32">
      <c r="A32" s="5" t="n"/>
    </row>
    <row r="33">
      <c r="A33" s="5" t="n"/>
    </row>
    <row r="35">
      <c r="A35" s="5" t="n"/>
    </row>
    <row r="36">
      <c r="A36" s="5" t="n"/>
    </row>
    <row r="37">
      <c r="A37" s="5" t="n"/>
    </row>
    <row r="39">
      <c r="A39" s="5" t="n"/>
    </row>
    <row r="40">
      <c r="A40" s="5" t="n"/>
    </row>
    <row r="41">
      <c r="A41" s="5" t="n"/>
    </row>
    <row r="43">
      <c r="A43" s="5" t="n"/>
    </row>
    <row r="44">
      <c r="A44" s="5" t="n"/>
    </row>
    <row r="45">
      <c r="A45" s="5" t="n"/>
    </row>
    <row r="61">
      <c r="A61" s="5" t="n"/>
    </row>
    <row r="64">
      <c r="A64" s="5" t="n"/>
    </row>
    <row r="65">
      <c r="A65" s="5" t="n"/>
    </row>
    <row r="67">
      <c r="A67" s="5" t="n"/>
    </row>
    <row r="68">
      <c r="A68" s="5" t="n"/>
    </row>
    <row r="69">
      <c r="A6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DM12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13" customWidth="1" style="241" min="1" max="2"/>
    <col width="19.25" customWidth="1" style="241" min="3" max="3"/>
    <col width="11.13" customWidth="1" style="241" min="4" max="10"/>
    <col width="12" customWidth="1" style="241" min="11" max="11"/>
    <col width="11" customWidth="1" style="241" min="12" max="14"/>
    <col width="2.88" customWidth="1" style="241" min="15" max="15"/>
    <col width="17.13" customWidth="1" style="241" min="16" max="20"/>
    <col width="2.88" customWidth="1" style="241" min="21" max="21"/>
    <col width="12.13" customWidth="1" style="241" min="22" max="22"/>
    <col width="13.88" customWidth="1" style="241" min="23" max="26"/>
    <col width="2.88" customWidth="1" style="241" min="27" max="27"/>
    <col width="12.13" customWidth="1" style="241" min="28" max="28"/>
    <col width="15.38" customWidth="1" style="241" min="29" max="32"/>
    <col width="2.88" customWidth="1" style="241" min="33" max="33"/>
    <col width="12.13" customWidth="1" style="241" min="34" max="34"/>
    <col width="15.63" customWidth="1" style="241" min="35" max="38"/>
    <col width="2.38" customWidth="1" style="241" min="39" max="39"/>
    <col width="18.88" customWidth="1" style="241" min="40" max="40"/>
    <col width="19" customWidth="1" style="241" min="41" max="44"/>
    <col width="3.88" customWidth="1" style="241" min="45" max="45"/>
    <col width="16.88" customWidth="1" style="241" min="47" max="47"/>
    <col width="15.75" customWidth="1" style="241" min="65" max="68"/>
    <col width="3.88" customWidth="1" style="241" min="69" max="69"/>
    <col width="17.13" customWidth="1" style="241" min="70" max="74"/>
    <col width="5.63" customWidth="1" style="241" min="75" max="75"/>
    <col width="17.13" customWidth="1" style="241" min="76" max="76"/>
    <col width="13.63" customWidth="1" style="241" min="77" max="77"/>
    <col width="4.25" customWidth="1" style="241" min="79" max="79"/>
    <col width="18.88" customWidth="1" style="241" min="80" max="80"/>
    <col width="19" customWidth="1" style="241" min="81" max="84"/>
    <col width="3.75" customWidth="1" style="241" min="85" max="85"/>
    <col width="19.25" customWidth="1" style="241" min="92" max="92"/>
    <col width="23.25" customWidth="1" style="241" min="94" max="94"/>
    <col width="19.38" customWidth="1" style="241" min="98" max="98"/>
    <col width="23.25" customWidth="1" style="241" min="100" max="100"/>
    <col width="24.5" customWidth="1" style="241" min="105" max="105"/>
    <col width="3.38" customWidth="1" style="241" min="106" max="106"/>
    <col width="24.5" customWidth="1" style="241" min="108" max="111"/>
    <col width="3.75" customWidth="1" style="241" min="112" max="112"/>
    <col width="24.5" customWidth="1" style="241" min="114" max="117"/>
  </cols>
  <sheetData>
    <row r="1">
      <c r="A1" s="171" t="inlineStr">
        <is>
          <t>Edad minima</t>
        </is>
      </c>
      <c r="B1" s="171" t="inlineStr">
        <is>
          <t>Edad maxima</t>
        </is>
      </c>
      <c r="C1" s="171" t="inlineStr">
        <is>
          <t>Producto</t>
        </is>
      </c>
      <c r="D1" s="170" t="inlineStr">
        <is>
          <t>Precio</t>
        </is>
      </c>
      <c r="E1" s="5" t="n"/>
      <c r="F1" s="144" t="inlineStr">
        <is>
          <t>Nº Asegurados</t>
        </is>
      </c>
      <c r="G1" s="5" t="inlineStr">
        <is>
          <t>DENTAL</t>
        </is>
      </c>
      <c r="H1" s="5" t="inlineStr">
        <is>
          <t>TOTAL</t>
        </is>
      </c>
      <c r="I1" s="5" t="n"/>
      <c r="J1" s="147" t="inlineStr">
        <is>
          <t>Tramo edad</t>
        </is>
      </c>
      <c r="K1" s="147" t="inlineStr">
        <is>
          <t>Adeslas Go 1</t>
        </is>
      </c>
      <c r="L1" s="147" t="inlineStr">
        <is>
          <t>Adeslas Go 2</t>
        </is>
      </c>
      <c r="M1" s="147" t="inlineStr">
        <is>
          <t>Adeslas Go 3</t>
        </is>
      </c>
      <c r="N1" s="147" t="inlineStr">
        <is>
          <t>Adeslas Go 4</t>
        </is>
      </c>
      <c r="O1" s="5" t="n"/>
      <c r="P1" s="147" t="inlineStr">
        <is>
          <t>Tramo edad</t>
        </is>
      </c>
      <c r="Q1" s="147" t="inlineStr">
        <is>
          <t>Adeslas Plena Vital 1</t>
        </is>
      </c>
      <c r="R1" s="147" t="inlineStr">
        <is>
          <t>Adeslas Plena Vital 2</t>
        </is>
      </c>
      <c r="S1" s="147" t="inlineStr">
        <is>
          <t>Adeslas Plena Vital 3</t>
        </is>
      </c>
      <c r="T1" s="147" t="inlineStr">
        <is>
          <t>Adeslas Plena Vital 4</t>
        </is>
      </c>
      <c r="U1" s="5" t="n"/>
      <c r="V1" s="147" t="inlineStr">
        <is>
          <t>Tramo edad</t>
        </is>
      </c>
      <c r="W1" s="147" t="inlineStr">
        <is>
          <t>Adeslas Plena 1</t>
        </is>
      </c>
      <c r="X1" s="147" t="inlineStr">
        <is>
          <t>Adeslas Plena 2</t>
        </is>
      </c>
      <c r="Y1" s="147" t="inlineStr">
        <is>
          <t>Adeslas Plena 3</t>
        </is>
      </c>
      <c r="Z1" s="147" t="inlineStr">
        <is>
          <t>Adeslas Plena 4</t>
        </is>
      </c>
      <c r="AA1" s="5" t="n"/>
      <c r="AB1" s="147" t="inlineStr">
        <is>
          <t>Tramo edad</t>
        </is>
      </c>
      <c r="AC1" s="147" t="inlineStr">
        <is>
          <t>Adeslas Plena Plus 1</t>
        </is>
      </c>
      <c r="AD1" s="147" t="inlineStr">
        <is>
          <t>Adeslas Plena Plus 2</t>
        </is>
      </c>
      <c r="AE1" s="147" t="inlineStr">
        <is>
          <t>Adeslas Plena Plus 3</t>
        </is>
      </c>
      <c r="AF1" s="147" t="inlineStr">
        <is>
          <t>Adeslas Plena Plus 4</t>
        </is>
      </c>
      <c r="AG1" s="5" t="n"/>
      <c r="AH1" s="147" t="inlineStr">
        <is>
          <t>Tramo edad</t>
        </is>
      </c>
      <c r="AI1" s="147" t="inlineStr">
        <is>
          <t>Adeslas Plena Total 1</t>
        </is>
      </c>
      <c r="AJ1" s="147" t="inlineStr">
        <is>
          <t>Adeslas Plena Total 2</t>
        </is>
      </c>
      <c r="AK1" s="147" t="inlineStr">
        <is>
          <t>Adeslas Plena Total 3</t>
        </is>
      </c>
      <c r="AL1" s="147" t="inlineStr">
        <is>
          <t>Adeslas Plena Total 4</t>
        </is>
      </c>
      <c r="AM1" s="5" t="n"/>
      <c r="AN1" s="147" t="inlineStr">
        <is>
          <t>Tramo edad (1 a 4 aseg)</t>
        </is>
      </c>
      <c r="AO1" s="147" t="inlineStr">
        <is>
          <t>Adeslas Negocios CIF 1</t>
        </is>
      </c>
      <c r="AP1" s="147" t="inlineStr">
        <is>
          <t>Adeslas Negocios CIF 2</t>
        </is>
      </c>
      <c r="AQ1" s="147" t="inlineStr">
        <is>
          <t>Adeslas Negocios CIF 3</t>
        </is>
      </c>
      <c r="AR1" s="147" t="inlineStr">
        <is>
          <t>Adeslas Negocios CIF 4</t>
        </is>
      </c>
      <c r="AS1" s="5" t="n"/>
      <c r="AT1" s="147" t="inlineStr">
        <is>
          <t>Tramo edad (1 a 4 aseg)</t>
        </is>
      </c>
      <c r="AU1" s="147" t="inlineStr">
        <is>
          <t>Adeslas Extra Negocios CIF 1</t>
        </is>
      </c>
      <c r="AV1" s="147" t="inlineStr">
        <is>
          <t>Adeslas Extra Negocios CIF 2</t>
        </is>
      </c>
      <c r="AW1" s="147" t="inlineStr">
        <is>
          <t>Adeslas Extra Negocios CIF 3</t>
        </is>
      </c>
      <c r="AX1" s="147" t="inlineStr">
        <is>
          <t>Adeslas Extra Negocios CIF 4</t>
        </is>
      </c>
      <c r="AY1" s="148" t="n"/>
      <c r="AZ1" s="147" t="inlineStr">
        <is>
          <t>Tramo edad (5 o + aseg)</t>
        </is>
      </c>
      <c r="BA1" s="147" t="inlineStr">
        <is>
          <t>Adeslas Empresas 1</t>
        </is>
      </c>
      <c r="BB1" s="147" t="inlineStr">
        <is>
          <t>Adeslas Empresas 2</t>
        </is>
      </c>
      <c r="BC1" s="147" t="inlineStr">
        <is>
          <t>Adeslas Empresas 3</t>
        </is>
      </c>
      <c r="BD1" s="147" t="inlineStr">
        <is>
          <t>Adeslas Empresas 4</t>
        </is>
      </c>
      <c r="BE1" s="148" t="n"/>
      <c r="BF1" s="147" t="inlineStr">
        <is>
          <t>Tramo edad (5 o + aseg)</t>
        </is>
      </c>
      <c r="BG1" s="147" t="inlineStr">
        <is>
          <t>Adeslas Extra Empresas 1</t>
        </is>
      </c>
      <c r="BH1" s="147" t="inlineStr">
        <is>
          <t>Adeslas Extra Empresas 2</t>
        </is>
      </c>
      <c r="BI1" s="147" t="inlineStr">
        <is>
          <t>Adeslas Extra Empresas 3</t>
        </is>
      </c>
      <c r="BJ1" s="147" t="inlineStr">
        <is>
          <t>Adeslas Extra Empresas 4</t>
        </is>
      </c>
      <c r="BK1" s="148" t="n"/>
      <c r="BL1" s="147" t="inlineStr">
        <is>
          <t>Tramo edad</t>
        </is>
      </c>
      <c r="BM1" s="147" t="inlineStr">
        <is>
          <t>Adeslas Seniors 1</t>
        </is>
      </c>
      <c r="BN1" s="147" t="inlineStr">
        <is>
          <t>Adeslas Seniors 2</t>
        </is>
      </c>
      <c r="BO1" s="147" t="inlineStr">
        <is>
          <t>Adeslas Seniors 3</t>
        </is>
      </c>
      <c r="BP1" s="147" t="inlineStr">
        <is>
          <t>Adeslas Seniors 4</t>
        </is>
      </c>
      <c r="BQ1" s="5" t="n"/>
      <c r="BR1" s="147" t="inlineStr">
        <is>
          <t>Tramo edad</t>
        </is>
      </c>
      <c r="BS1" s="147" t="inlineStr">
        <is>
          <t>Adeslas Plena Total Seniors 1</t>
        </is>
      </c>
      <c r="BT1" s="147" t="inlineStr">
        <is>
          <t>Adeslas Plena Total Seniors 2</t>
        </is>
      </c>
      <c r="BU1" s="147" t="inlineStr">
        <is>
          <t>Adeslas Plena Total Seniors 3</t>
        </is>
      </c>
      <c r="BV1" s="147" t="inlineStr">
        <is>
          <t>Adeslas Plena Total Seniors 4</t>
        </is>
      </c>
      <c r="BW1" s="5" t="n"/>
      <c r="BX1" s="147" t="inlineStr">
        <is>
          <t>Nº Asegurados</t>
        </is>
      </c>
      <c r="BY1" s="147" t="inlineStr">
        <is>
          <t>DENTAL</t>
        </is>
      </c>
      <c r="BZ1" s="147" t="inlineStr">
        <is>
          <t>TOTAL</t>
        </is>
      </c>
      <c r="CA1" s="5" t="n"/>
      <c r="CB1" s="147" t="inlineStr">
        <is>
          <t>Tramo edad</t>
        </is>
      </c>
      <c r="CC1" s="147" t="inlineStr">
        <is>
          <t>Adeslas Pymes Total 1</t>
        </is>
      </c>
      <c r="CD1" s="147" t="inlineStr">
        <is>
          <t>Adeslas Pymes Total 2</t>
        </is>
      </c>
      <c r="CE1" s="147" t="inlineStr">
        <is>
          <t>Adeslas Pymes Total 3</t>
        </is>
      </c>
      <c r="CF1" s="147" t="inlineStr">
        <is>
          <t>Adeslas Pymes Total 4</t>
        </is>
      </c>
      <c r="CH1" s="147" t="inlineStr">
        <is>
          <t>Tramo edad</t>
        </is>
      </c>
      <c r="CI1" s="147" t="inlineStr">
        <is>
          <t>Adeslas Negocios NIF 1</t>
        </is>
      </c>
      <c r="CJ1" s="147" t="inlineStr">
        <is>
          <t>Adeslas Negocios NIF 2</t>
        </is>
      </c>
      <c r="CK1" s="147" t="inlineStr">
        <is>
          <t>Adeslas Negocios NIF 3</t>
        </is>
      </c>
      <c r="CL1" s="147" t="inlineStr">
        <is>
          <t>Adeslas Negocios NIF 4</t>
        </is>
      </c>
      <c r="CM1" s="148" t="n"/>
      <c r="CN1" s="147" t="inlineStr">
        <is>
          <t>Tramo edad (1 o 2 aseg)</t>
        </is>
      </c>
      <c r="CO1" s="147" t="inlineStr">
        <is>
          <t>Adeslas Extra Negocios NIF 1</t>
        </is>
      </c>
      <c r="CP1" s="147" t="inlineStr">
        <is>
          <t>Adeslas Extra Negocios NIF 2</t>
        </is>
      </c>
      <c r="CQ1" s="147" t="inlineStr">
        <is>
          <t>Adeslas Extra Negocios NIF 3</t>
        </is>
      </c>
      <c r="CR1" s="147" t="inlineStr">
        <is>
          <t>Adeslas Extra Negocios NIF 4</t>
        </is>
      </c>
      <c r="CS1" s="148" t="n"/>
      <c r="CT1" s="147" t="inlineStr">
        <is>
          <t>Tramo edad (3 o + aseg)</t>
        </is>
      </c>
      <c r="CU1" s="147" t="inlineStr">
        <is>
          <t>Adeslas Extra Negocios NIF 1</t>
        </is>
      </c>
      <c r="CV1" s="147" t="inlineStr">
        <is>
          <t>Adeslas Extra Negocios NIF 2</t>
        </is>
      </c>
      <c r="CW1" s="147" t="inlineStr">
        <is>
          <t>Adeslas Extra Negocios NIF 3</t>
        </is>
      </c>
      <c r="CX1" s="147" t="inlineStr">
        <is>
          <t>Adeslas Extra Negocios NIF 4</t>
        </is>
      </c>
      <c r="CY1" s="148" t="n"/>
      <c r="CZ1" s="149" t="n"/>
      <c r="DA1" s="149" t="n"/>
      <c r="DC1" s="147" t="inlineStr">
        <is>
          <t>Tramo edad</t>
        </is>
      </c>
      <c r="DD1" s="147" t="inlineStr">
        <is>
          <t>Adeslas Plena Extra 150 1</t>
        </is>
      </c>
      <c r="DE1" s="147" t="inlineStr">
        <is>
          <t>Adeslas Plena Extra 150 2</t>
        </is>
      </c>
      <c r="DF1" s="147" t="inlineStr">
        <is>
          <t>Adeslas Plena Extra 150 3</t>
        </is>
      </c>
      <c r="DG1" s="147" t="inlineStr">
        <is>
          <t>Adeslas Plena Extra 150 4</t>
        </is>
      </c>
      <c r="DI1" s="147" t="inlineStr">
        <is>
          <t>Tramo edad</t>
        </is>
      </c>
      <c r="DJ1" s="147" t="inlineStr">
        <is>
          <t>Adeslas Plena Total Vital 1</t>
        </is>
      </c>
      <c r="DK1" s="147" t="inlineStr">
        <is>
          <t>Adeslas Plena Total Vital 2</t>
        </is>
      </c>
      <c r="DL1" s="147" t="inlineStr">
        <is>
          <t>Adeslas Plena Total Vital 3</t>
        </is>
      </c>
      <c r="DM1" s="147" t="inlineStr">
        <is>
          <t>Adeslas Plena Total Vital 4</t>
        </is>
      </c>
    </row>
    <row r="2" ht="16.5" customHeight="1" s="241">
      <c r="A2" s="171" t="n">
        <v>0</v>
      </c>
      <c r="B2" s="171" t="n">
        <v>54</v>
      </c>
      <c r="C2" s="171" t="inlineStr">
        <is>
          <t>Go 1</t>
        </is>
      </c>
      <c r="D2" s="170" t="n">
        <v>21</v>
      </c>
      <c r="E2" s="5" t="n"/>
      <c r="F2" s="5" t="n">
        <v>1</v>
      </c>
      <c r="G2" s="150" t="n">
        <v>8.93</v>
      </c>
      <c r="H2" s="150" t="n">
        <v>8.93</v>
      </c>
      <c r="I2" s="5" t="n"/>
      <c r="J2" s="151" t="n">
        <v>0</v>
      </c>
      <c r="K2" s="152" t="n">
        <v>20</v>
      </c>
      <c r="L2" s="152" t="n">
        <v>21</v>
      </c>
      <c r="M2" s="152" t="n">
        <v>21</v>
      </c>
      <c r="N2" s="152" t="n">
        <v>22</v>
      </c>
      <c r="O2" s="5" t="n"/>
      <c r="P2" s="153" t="n">
        <v>0</v>
      </c>
      <c r="Q2" s="152" t="n">
        <v>37</v>
      </c>
      <c r="R2" s="152" t="n">
        <v>38</v>
      </c>
      <c r="S2" s="152" t="n">
        <v>39</v>
      </c>
      <c r="T2" s="152" t="n">
        <v>40</v>
      </c>
      <c r="U2" s="5" t="n"/>
      <c r="V2" s="153" t="n">
        <v>0</v>
      </c>
      <c r="W2" s="152" t="n">
        <v>49</v>
      </c>
      <c r="X2" s="152" t="n">
        <v>50</v>
      </c>
      <c r="Y2" s="152" t="n">
        <v>51</v>
      </c>
      <c r="Z2" s="152" t="n">
        <v>52</v>
      </c>
      <c r="AA2" s="5" t="n"/>
      <c r="AB2" s="153" t="n">
        <v>0</v>
      </c>
      <c r="AC2" s="152" t="n">
        <v>59</v>
      </c>
      <c r="AD2" s="152" t="n">
        <v>61</v>
      </c>
      <c r="AE2" s="152" t="n">
        <v>63</v>
      </c>
      <c r="AF2" s="152" t="n">
        <v>64</v>
      </c>
      <c r="AG2" s="5" t="n"/>
      <c r="AH2" s="153" t="n">
        <v>0</v>
      </c>
      <c r="AI2" s="152" t="n">
        <v>80</v>
      </c>
      <c r="AJ2" s="152" t="n">
        <v>81</v>
      </c>
      <c r="AK2" s="152" t="n">
        <v>83</v>
      </c>
      <c r="AL2" s="152" t="n">
        <v>84</v>
      </c>
      <c r="AM2" s="5" t="n"/>
      <c r="AN2" s="153" t="n">
        <v>0</v>
      </c>
      <c r="AO2" s="154" t="n">
        <v>49</v>
      </c>
      <c r="AP2" s="154" t="n">
        <v>50</v>
      </c>
      <c r="AQ2" s="154" t="n">
        <v>52</v>
      </c>
      <c r="AR2" s="154" t="n">
        <v>53</v>
      </c>
      <c r="AS2" s="5" t="n"/>
      <c r="AT2" s="153" t="n">
        <v>0</v>
      </c>
      <c r="AU2" s="154" t="n">
        <v>72</v>
      </c>
      <c r="AV2" s="154" t="n">
        <v>73</v>
      </c>
      <c r="AW2" s="154" t="n">
        <v>76</v>
      </c>
      <c r="AX2" s="154" t="n">
        <v>77</v>
      </c>
      <c r="AY2" s="5" t="n"/>
      <c r="AZ2" s="153" t="n">
        <v>0</v>
      </c>
      <c r="BA2" s="154" t="n">
        <v>53.5</v>
      </c>
      <c r="BB2" s="154" t="n">
        <v>55.5</v>
      </c>
      <c r="BC2" s="154" t="n">
        <v>57</v>
      </c>
      <c r="BD2" s="154" t="n">
        <v>58</v>
      </c>
      <c r="BE2" s="5" t="n"/>
      <c r="BF2" s="153" t="n">
        <v>0</v>
      </c>
      <c r="BG2" s="154" t="n">
        <v>75.5</v>
      </c>
      <c r="BH2" s="154" t="n">
        <v>77.5</v>
      </c>
      <c r="BI2" s="154" t="n">
        <v>80.5</v>
      </c>
      <c r="BJ2" s="154" t="n">
        <v>82</v>
      </c>
      <c r="BK2" s="5" t="n"/>
      <c r="BL2" s="155" t="n">
        <v>0</v>
      </c>
      <c r="BM2" s="156" t="inlineStr">
        <is>
          <t>No asegurable</t>
        </is>
      </c>
      <c r="BN2" s="156" t="inlineStr">
        <is>
          <t>No asegurable</t>
        </is>
      </c>
      <c r="BO2" s="156" t="inlineStr">
        <is>
          <t>No asegurable</t>
        </is>
      </c>
      <c r="BP2" s="156" t="inlineStr">
        <is>
          <t>No asegurable</t>
        </is>
      </c>
      <c r="BQ2" s="5" t="n"/>
      <c r="BR2" s="155" t="n">
        <v>0</v>
      </c>
      <c r="BS2" s="152" t="inlineStr">
        <is>
          <t>No asegurable</t>
        </is>
      </c>
      <c r="BT2" s="152" t="inlineStr">
        <is>
          <t>No asegurable</t>
        </is>
      </c>
      <c r="BU2" s="152" t="inlineStr">
        <is>
          <t>No asegurable</t>
        </is>
      </c>
      <c r="BV2" s="152" t="inlineStr">
        <is>
          <t>No asegurable</t>
        </is>
      </c>
      <c r="BW2" s="5" t="n"/>
      <c r="BX2" s="155" t="n">
        <v>1</v>
      </c>
      <c r="BY2" s="157" t="n">
        <v>8.93</v>
      </c>
      <c r="BZ2" s="157">
        <f>BY2*BX2</f>
        <v/>
      </c>
      <c r="CA2" s="5" t="n"/>
      <c r="CB2" s="153" t="n">
        <v>0</v>
      </c>
      <c r="CC2" s="152" t="n">
        <v>58</v>
      </c>
      <c r="CD2" s="152" t="n">
        <v>60</v>
      </c>
      <c r="CE2" s="152" t="n">
        <v>62</v>
      </c>
      <c r="CF2" s="152" t="n">
        <v>63</v>
      </c>
      <c r="CH2" s="153" t="n">
        <v>0</v>
      </c>
      <c r="CI2" s="154" t="n">
        <v>53.5</v>
      </c>
      <c r="CJ2" s="154" t="n">
        <v>54.5</v>
      </c>
      <c r="CK2" s="154" t="n">
        <v>56.5</v>
      </c>
      <c r="CL2" s="154" t="n">
        <v>58</v>
      </c>
      <c r="CM2" s="158" t="n"/>
      <c r="CN2" s="153" t="n">
        <v>0</v>
      </c>
      <c r="CO2" s="152" t="n">
        <v>87</v>
      </c>
      <c r="CP2" s="152" t="n">
        <v>90</v>
      </c>
      <c r="CQ2" s="152" t="n">
        <v>98</v>
      </c>
      <c r="CR2" s="152" t="n">
        <v>98</v>
      </c>
      <c r="CS2" s="158" t="n"/>
      <c r="CT2" s="153" t="n">
        <v>0</v>
      </c>
      <c r="CU2" s="154" t="n">
        <v>78.3</v>
      </c>
      <c r="CV2" s="154" t="n">
        <v>81</v>
      </c>
      <c r="CW2" s="154" t="n">
        <v>88.2</v>
      </c>
      <c r="CX2" s="154" t="n">
        <v>88.2</v>
      </c>
      <c r="CY2" s="158" t="n"/>
      <c r="CZ2" s="159" t="n"/>
      <c r="DA2" s="160" t="n"/>
      <c r="DC2" s="153" t="n">
        <v>0</v>
      </c>
      <c r="DD2" s="152" t="n">
        <v>87</v>
      </c>
      <c r="DE2" s="152" t="n">
        <v>90</v>
      </c>
      <c r="DF2" s="152" t="n">
        <v>98</v>
      </c>
      <c r="DG2" s="152" t="n">
        <v>98</v>
      </c>
      <c r="DI2" s="153" t="n">
        <v>0</v>
      </c>
      <c r="DJ2" s="152" t="n">
        <v>47</v>
      </c>
      <c r="DK2" s="152" t="n">
        <v>48</v>
      </c>
      <c r="DL2" s="152" t="n">
        <v>49</v>
      </c>
      <c r="DM2" s="152" t="n">
        <v>50</v>
      </c>
    </row>
    <row r="3" ht="16.5" customHeight="1" s="241">
      <c r="A3" s="171" t="n">
        <v>55</v>
      </c>
      <c r="B3" s="171" t="n">
        <v>69</v>
      </c>
      <c r="C3" s="171" t="inlineStr">
        <is>
          <t>Go 1</t>
        </is>
      </c>
      <c r="D3" s="170" t="n">
        <v>37.5</v>
      </c>
      <c r="E3" s="5" t="n"/>
      <c r="F3" s="5" t="n">
        <v>2</v>
      </c>
      <c r="G3" s="150" t="n">
        <v>6.37</v>
      </c>
      <c r="H3" s="150" t="n">
        <v>12.74</v>
      </c>
      <c r="I3" s="5" t="n"/>
      <c r="J3" s="153" t="n">
        <v>55</v>
      </c>
      <c r="K3" s="152" t="n">
        <v>37</v>
      </c>
      <c r="L3" s="152" t="n">
        <v>37</v>
      </c>
      <c r="M3" s="152" t="n">
        <v>38</v>
      </c>
      <c r="N3" s="152" t="n">
        <v>38</v>
      </c>
      <c r="O3" s="5" t="n"/>
      <c r="P3" s="153" t="n">
        <v>25</v>
      </c>
      <c r="Q3" s="152" t="n">
        <v>48</v>
      </c>
      <c r="R3" s="152" t="n">
        <v>49</v>
      </c>
      <c r="S3" s="152" t="n">
        <v>50</v>
      </c>
      <c r="T3" s="152" t="n">
        <v>51</v>
      </c>
      <c r="U3" s="5" t="n"/>
      <c r="V3" s="153" t="n">
        <v>25</v>
      </c>
      <c r="W3" s="152" t="n">
        <v>58</v>
      </c>
      <c r="X3" s="152" t="n">
        <v>59</v>
      </c>
      <c r="Y3" s="152" t="n">
        <v>61</v>
      </c>
      <c r="Z3" s="152" t="n">
        <v>62</v>
      </c>
      <c r="AA3" s="5" t="n"/>
      <c r="AB3" s="153" t="n">
        <v>25</v>
      </c>
      <c r="AC3" s="152" t="n">
        <v>69</v>
      </c>
      <c r="AD3" s="152" t="n">
        <v>71</v>
      </c>
      <c r="AE3" s="152" t="n">
        <v>73</v>
      </c>
      <c r="AF3" s="152" t="n">
        <v>75</v>
      </c>
      <c r="AG3" s="5" t="n"/>
      <c r="AH3" s="153" t="n">
        <v>25</v>
      </c>
      <c r="AI3" s="152" t="n">
        <v>95</v>
      </c>
      <c r="AJ3" s="152" t="n">
        <v>98</v>
      </c>
      <c r="AK3" s="152" t="n">
        <v>100</v>
      </c>
      <c r="AL3" s="152" t="n">
        <v>103</v>
      </c>
      <c r="AM3" s="5" t="n"/>
      <c r="AN3" s="153" t="n">
        <v>45</v>
      </c>
      <c r="AO3" s="154" t="n">
        <v>56.5</v>
      </c>
      <c r="AP3" s="154" t="n">
        <v>58.5</v>
      </c>
      <c r="AQ3" s="154" t="n">
        <v>60.5</v>
      </c>
      <c r="AR3" s="154" t="n">
        <v>61.5</v>
      </c>
      <c r="AS3" s="5" t="n"/>
      <c r="AT3" s="153" t="n">
        <v>45</v>
      </c>
      <c r="AU3" s="154" t="n">
        <v>73.5</v>
      </c>
      <c r="AV3" s="154" t="n">
        <v>75.5</v>
      </c>
      <c r="AW3" s="154" t="n">
        <v>78.5</v>
      </c>
      <c r="AX3" s="154" t="n">
        <v>79.5</v>
      </c>
      <c r="AY3" s="5" t="n"/>
      <c r="AZ3" s="153" t="n">
        <v>66</v>
      </c>
      <c r="BA3" s="154" t="n">
        <v>82</v>
      </c>
      <c r="BB3" s="154" t="n">
        <v>84</v>
      </c>
      <c r="BC3" s="154" t="n">
        <v>87</v>
      </c>
      <c r="BD3" s="154" t="n">
        <v>89</v>
      </c>
      <c r="BE3" s="5" t="n"/>
      <c r="BF3" s="153" t="n">
        <v>66</v>
      </c>
      <c r="BG3" s="154" t="n">
        <v>97</v>
      </c>
      <c r="BH3" s="154" t="n">
        <v>100</v>
      </c>
      <c r="BI3" s="154" t="n">
        <v>103</v>
      </c>
      <c r="BJ3" s="154" t="n">
        <v>105</v>
      </c>
      <c r="BK3" s="5" t="n"/>
      <c r="BL3" s="155" t="n">
        <v>50</v>
      </c>
      <c r="BM3" s="152" t="n">
        <v>65</v>
      </c>
      <c r="BN3" s="152" t="n">
        <v>67</v>
      </c>
      <c r="BO3" s="152" t="n">
        <v>69</v>
      </c>
      <c r="BP3" s="152" t="n">
        <v>70</v>
      </c>
      <c r="BQ3" s="5" t="n"/>
      <c r="BR3" s="155" t="n">
        <v>60</v>
      </c>
      <c r="BS3" s="152" t="n">
        <v>99</v>
      </c>
      <c r="BT3" s="152" t="n">
        <v>100</v>
      </c>
      <c r="BU3" s="152" t="n">
        <v>107</v>
      </c>
      <c r="BV3" s="152" t="n">
        <v>109</v>
      </c>
      <c r="BW3" s="5" t="n"/>
      <c r="BX3" s="155" t="n">
        <v>2</v>
      </c>
      <c r="BY3" s="157" t="n">
        <v>6.37</v>
      </c>
      <c r="BZ3" s="157">
        <f>BY3*BX3</f>
        <v/>
      </c>
      <c r="CA3" s="5" t="n"/>
      <c r="CB3" s="153" t="n">
        <v>45</v>
      </c>
      <c r="CC3" s="152" t="n">
        <v>69</v>
      </c>
      <c r="CD3" s="152" t="n">
        <v>71</v>
      </c>
      <c r="CE3" s="152" t="n">
        <v>74</v>
      </c>
      <c r="CF3" s="152" t="n">
        <v>75</v>
      </c>
      <c r="CH3" s="153" t="n">
        <v>25</v>
      </c>
      <c r="CI3" s="154" t="n">
        <v>58.5</v>
      </c>
      <c r="CJ3" s="154" t="n">
        <v>60.5</v>
      </c>
      <c r="CK3" s="154" t="n">
        <v>62.5</v>
      </c>
      <c r="CL3" s="154" t="n">
        <v>63.5</v>
      </c>
      <c r="CM3" s="158" t="n"/>
      <c r="CN3" s="153" t="n">
        <v>25</v>
      </c>
      <c r="CO3" s="152" t="n">
        <v>103</v>
      </c>
      <c r="CP3" s="152" t="n">
        <v>105</v>
      </c>
      <c r="CQ3" s="152" t="n">
        <v>115</v>
      </c>
      <c r="CR3" s="152" t="n">
        <v>115</v>
      </c>
      <c r="CS3" s="158" t="n"/>
      <c r="CT3" s="153" t="n">
        <v>25</v>
      </c>
      <c r="CU3" s="154" t="n">
        <v>92.7</v>
      </c>
      <c r="CV3" s="154" t="n">
        <v>94.5</v>
      </c>
      <c r="CW3" s="154" t="n">
        <v>103.5</v>
      </c>
      <c r="CX3" s="154" t="n">
        <v>103.5</v>
      </c>
      <c r="CY3" s="158" t="n"/>
      <c r="CZ3" s="159" t="n"/>
      <c r="DA3" s="160" t="n"/>
      <c r="DC3" s="153" t="n">
        <v>25</v>
      </c>
      <c r="DD3" s="152" t="n">
        <v>103</v>
      </c>
      <c r="DE3" s="152" t="n">
        <v>105</v>
      </c>
      <c r="DF3" s="152" t="n">
        <v>115</v>
      </c>
      <c r="DG3" s="152" t="n">
        <v>115</v>
      </c>
      <c r="DI3" s="153" t="n">
        <v>25</v>
      </c>
      <c r="DJ3" s="152" t="n">
        <v>58</v>
      </c>
      <c r="DK3" s="152" t="n">
        <v>59</v>
      </c>
      <c r="DL3" s="152" t="n">
        <v>60</v>
      </c>
      <c r="DM3" s="152" t="n">
        <v>61</v>
      </c>
    </row>
    <row r="4" ht="16.5" customHeight="1" s="241">
      <c r="A4" s="171" t="n">
        <v>70</v>
      </c>
      <c r="B4" s="171" t="n">
        <v>120</v>
      </c>
      <c r="C4" s="171" t="inlineStr">
        <is>
          <t>Go 1</t>
        </is>
      </c>
      <c r="D4" s="170" t="n">
        <v>50</v>
      </c>
      <c r="E4" s="5" t="n"/>
      <c r="F4" s="5" t="n">
        <v>3</v>
      </c>
      <c r="G4" s="150" t="n">
        <v>5.95</v>
      </c>
      <c r="H4" s="150" t="n">
        <v>17.85</v>
      </c>
      <c r="I4" s="5" t="n"/>
      <c r="J4" s="153" t="n">
        <v>70</v>
      </c>
      <c r="K4" s="152" t="n">
        <v>45</v>
      </c>
      <c r="L4" s="152" t="n">
        <v>45</v>
      </c>
      <c r="M4" s="152" t="n">
        <v>45</v>
      </c>
      <c r="N4" s="152" t="n">
        <v>45</v>
      </c>
      <c r="O4" s="5" t="n"/>
      <c r="P4" s="153" t="n">
        <v>45</v>
      </c>
      <c r="Q4" s="152" t="n">
        <v>59</v>
      </c>
      <c r="R4" s="152" t="n">
        <v>60</v>
      </c>
      <c r="S4" s="152" t="n">
        <v>61</v>
      </c>
      <c r="T4" s="152" t="n">
        <v>62</v>
      </c>
      <c r="U4" s="5" t="n"/>
      <c r="V4" s="153" t="n">
        <v>45</v>
      </c>
      <c r="W4" s="152" t="n">
        <v>69</v>
      </c>
      <c r="X4" s="152" t="n">
        <v>70</v>
      </c>
      <c r="Y4" s="152" t="n">
        <v>72</v>
      </c>
      <c r="Z4" s="152" t="n">
        <v>74</v>
      </c>
      <c r="AA4" s="5" t="n"/>
      <c r="AB4" s="153" t="n">
        <v>45</v>
      </c>
      <c r="AC4" s="152" t="n">
        <v>88</v>
      </c>
      <c r="AD4" s="152" t="n">
        <v>89</v>
      </c>
      <c r="AE4" s="152" t="n">
        <v>93</v>
      </c>
      <c r="AF4" s="152" t="n">
        <v>94</v>
      </c>
      <c r="AG4" s="5" t="n"/>
      <c r="AH4" s="153" t="n">
        <v>45</v>
      </c>
      <c r="AI4" s="152" t="n">
        <v>114</v>
      </c>
      <c r="AJ4" s="152" t="n">
        <v>117</v>
      </c>
      <c r="AK4" s="152" t="n">
        <v>122</v>
      </c>
      <c r="AL4" s="152" t="n">
        <v>125</v>
      </c>
      <c r="AM4" s="5" t="n"/>
      <c r="AN4" s="153" t="n">
        <v>55</v>
      </c>
      <c r="AO4" s="154" t="n">
        <v>71.5</v>
      </c>
      <c r="AP4" s="154" t="n">
        <v>74.5</v>
      </c>
      <c r="AQ4" s="154" t="n">
        <v>76.5</v>
      </c>
      <c r="AR4" s="154" t="n">
        <v>79.5</v>
      </c>
      <c r="AS4" s="5" t="n"/>
      <c r="AT4" s="153" t="n">
        <v>55</v>
      </c>
      <c r="AU4" s="154" t="n">
        <v>102</v>
      </c>
      <c r="AV4" s="154" t="n">
        <v>106</v>
      </c>
      <c r="AW4" s="154" t="n">
        <v>109</v>
      </c>
      <c r="AX4" s="154" t="n">
        <v>111</v>
      </c>
      <c r="AY4" s="5" t="n"/>
      <c r="AZ4" s="153" t="n">
        <v>68</v>
      </c>
      <c r="BA4" s="154" t="n">
        <v>153</v>
      </c>
      <c r="BB4" s="154" t="n">
        <v>159</v>
      </c>
      <c r="BC4" s="154" t="n">
        <v>166</v>
      </c>
      <c r="BD4" s="154" t="n">
        <v>170</v>
      </c>
      <c r="BE4" s="5" t="n"/>
      <c r="BF4" s="153" t="n">
        <v>68</v>
      </c>
      <c r="BG4" s="154" t="n">
        <v>182</v>
      </c>
      <c r="BH4" s="154" t="n">
        <v>190</v>
      </c>
      <c r="BI4" s="154" t="n">
        <v>197</v>
      </c>
      <c r="BJ4" s="154" t="n">
        <v>200</v>
      </c>
      <c r="BK4" s="5" t="n"/>
      <c r="BL4" s="155" t="n">
        <v>55</v>
      </c>
      <c r="BM4" s="152" t="n">
        <v>65</v>
      </c>
      <c r="BN4" s="152" t="n">
        <v>67</v>
      </c>
      <c r="BO4" s="152" t="n">
        <v>69</v>
      </c>
      <c r="BP4" s="152" t="n">
        <v>70</v>
      </c>
      <c r="BQ4" s="5" t="n"/>
      <c r="BR4" s="155" t="n">
        <v>63</v>
      </c>
      <c r="BS4" s="152" t="n">
        <v>99</v>
      </c>
      <c r="BT4" s="152" t="n">
        <v>100</v>
      </c>
      <c r="BU4" s="152" t="n">
        <v>107</v>
      </c>
      <c r="BV4" s="152" t="n">
        <v>109</v>
      </c>
      <c r="BW4" s="5" t="n"/>
      <c r="BX4" s="155" t="n">
        <v>3</v>
      </c>
      <c r="BY4" s="157">
        <f>17.85/3</f>
        <v/>
      </c>
      <c r="BZ4" s="157">
        <f>BY4*BX4</f>
        <v/>
      </c>
      <c r="CA4" s="5" t="n"/>
      <c r="CB4" s="153" t="n">
        <v>55</v>
      </c>
      <c r="CC4" s="152" t="n">
        <v>88</v>
      </c>
      <c r="CD4" s="152" t="n">
        <v>89</v>
      </c>
      <c r="CE4" s="152" t="n">
        <v>94</v>
      </c>
      <c r="CF4" s="152" t="n">
        <v>96</v>
      </c>
      <c r="CH4" s="153" t="n">
        <v>45</v>
      </c>
      <c r="CI4" s="152" t="n">
        <v>75</v>
      </c>
      <c r="CJ4" s="152" t="n">
        <v>77</v>
      </c>
      <c r="CK4" s="152" t="n">
        <v>80</v>
      </c>
      <c r="CL4" s="152" t="n">
        <v>81</v>
      </c>
      <c r="CM4" s="158" t="n"/>
      <c r="CN4" s="153" t="n">
        <v>45</v>
      </c>
      <c r="CO4" s="152" t="n">
        <v>108</v>
      </c>
      <c r="CP4" s="152" t="n">
        <v>112</v>
      </c>
      <c r="CQ4" s="152" t="n">
        <v>122</v>
      </c>
      <c r="CR4" s="152" t="n">
        <v>122</v>
      </c>
      <c r="CS4" s="158" t="n"/>
      <c r="CT4" s="153" t="n">
        <v>45</v>
      </c>
      <c r="CU4" s="154" t="n">
        <v>97.2</v>
      </c>
      <c r="CV4" s="154" t="n">
        <v>100.8</v>
      </c>
      <c r="CW4" s="154" t="n">
        <v>109.8</v>
      </c>
      <c r="CX4" s="154" t="n">
        <v>109.8</v>
      </c>
      <c r="CY4" s="158" t="n"/>
      <c r="CZ4" s="159" t="n"/>
      <c r="DA4" s="160" t="n"/>
      <c r="DC4" s="153" t="n">
        <v>45</v>
      </c>
      <c r="DD4" s="152" t="n">
        <v>108</v>
      </c>
      <c r="DE4" s="152" t="n">
        <v>112</v>
      </c>
      <c r="DF4" s="152" t="n">
        <v>122</v>
      </c>
      <c r="DG4" s="152" t="n">
        <v>122</v>
      </c>
      <c r="DI4" s="153" t="n">
        <v>45</v>
      </c>
      <c r="DJ4" s="152" t="n">
        <v>69</v>
      </c>
      <c r="DK4" s="152" t="n">
        <v>70</v>
      </c>
      <c r="DL4" s="152" t="n">
        <v>71</v>
      </c>
      <c r="DM4" s="152" t="n">
        <v>72</v>
      </c>
    </row>
    <row r="5" ht="16.5" customHeight="1" s="241">
      <c r="A5" s="171" t="n">
        <v>0</v>
      </c>
      <c r="B5" s="171" t="n">
        <v>54</v>
      </c>
      <c r="C5" s="171" t="inlineStr">
        <is>
          <t>Go 2</t>
        </is>
      </c>
      <c r="D5" s="170" t="n">
        <v>21.5</v>
      </c>
      <c r="E5" s="5" t="n"/>
      <c r="F5" s="5" t="n">
        <v>4</v>
      </c>
      <c r="G5" s="150" t="n">
        <v>4.4625</v>
      </c>
      <c r="H5" s="150" t="n">
        <v>17.85</v>
      </c>
      <c r="I5" s="5" t="n"/>
      <c r="J5" s="5" t="n"/>
      <c r="K5" s="5" t="n"/>
      <c r="L5" s="5" t="n"/>
      <c r="M5" s="5" t="n"/>
      <c r="N5" s="5" t="n"/>
      <c r="O5" s="5" t="n"/>
      <c r="P5" s="153" t="n">
        <v>55</v>
      </c>
      <c r="Q5" s="152" t="n">
        <v>90</v>
      </c>
      <c r="R5" s="152" t="n">
        <v>91</v>
      </c>
      <c r="S5" s="152" t="n">
        <v>93</v>
      </c>
      <c r="T5" s="152" t="n">
        <v>94</v>
      </c>
      <c r="U5" s="5" t="n"/>
      <c r="V5" s="153" t="n">
        <v>55</v>
      </c>
      <c r="W5" s="152" t="n">
        <v>100</v>
      </c>
      <c r="X5" s="152" t="n">
        <v>102</v>
      </c>
      <c r="Y5" s="152" t="n">
        <v>103</v>
      </c>
      <c r="Z5" s="152" t="n">
        <v>105</v>
      </c>
      <c r="AA5" s="5" t="n"/>
      <c r="AB5" s="153" t="n">
        <v>55</v>
      </c>
      <c r="AC5" s="152" t="n">
        <v>141</v>
      </c>
      <c r="AD5" s="152" t="n">
        <v>145</v>
      </c>
      <c r="AE5" s="152" t="n">
        <v>150</v>
      </c>
      <c r="AF5" s="152" t="n">
        <v>151</v>
      </c>
      <c r="AG5" s="5" t="n"/>
      <c r="AH5" s="153" t="n">
        <v>55</v>
      </c>
      <c r="AI5" s="152" t="n">
        <v>155</v>
      </c>
      <c r="AJ5" s="152" t="n">
        <v>160</v>
      </c>
      <c r="AK5" s="152" t="n">
        <v>165</v>
      </c>
      <c r="AL5" s="152" t="n">
        <v>170</v>
      </c>
      <c r="AM5" s="5" t="n"/>
      <c r="AN5" s="153" t="n">
        <v>60</v>
      </c>
      <c r="AO5" s="154" t="n">
        <v>90.5</v>
      </c>
      <c r="AP5" s="154" t="n">
        <v>94.5</v>
      </c>
      <c r="AQ5" s="154" t="n">
        <v>97.5</v>
      </c>
      <c r="AR5" s="154" t="n">
        <v>99.5</v>
      </c>
      <c r="AS5" s="5" t="n"/>
      <c r="AT5" s="153" t="n">
        <v>60</v>
      </c>
      <c r="AU5" s="154" t="n">
        <v>122</v>
      </c>
      <c r="AV5" s="154" t="n">
        <v>127</v>
      </c>
      <c r="AW5" s="154" t="n">
        <v>131</v>
      </c>
      <c r="AX5" s="154" t="n">
        <v>133</v>
      </c>
      <c r="AY5" s="5" t="n"/>
      <c r="AZ5" s="161" t="n"/>
      <c r="BA5" s="162" t="n"/>
      <c r="BB5" s="162" t="n"/>
      <c r="BC5" s="162" t="n"/>
      <c r="BD5" s="162" t="n"/>
      <c r="BE5" s="5" t="n"/>
      <c r="BF5" s="5" t="n"/>
      <c r="BG5" s="5" t="n"/>
      <c r="BH5" s="5" t="n"/>
      <c r="BI5" s="5" t="n"/>
      <c r="BJ5" s="5" t="n"/>
      <c r="BK5" s="5" t="n"/>
      <c r="BL5" s="155" t="n">
        <v>60</v>
      </c>
      <c r="BM5" s="152" t="n">
        <v>82</v>
      </c>
      <c r="BN5" s="152" t="n">
        <v>85</v>
      </c>
      <c r="BO5" s="152" t="n">
        <v>88</v>
      </c>
      <c r="BP5" s="152" t="n">
        <v>89</v>
      </c>
      <c r="BQ5" s="5" t="n"/>
      <c r="BR5" s="155" t="n">
        <v>65</v>
      </c>
      <c r="BS5" s="152" t="n">
        <v>134</v>
      </c>
      <c r="BT5" s="152" t="n">
        <v>137</v>
      </c>
      <c r="BU5" s="152" t="n">
        <v>139</v>
      </c>
      <c r="BV5" s="152" t="n">
        <v>146</v>
      </c>
      <c r="BW5" s="5" t="n"/>
      <c r="BX5" s="155" t="n">
        <v>4</v>
      </c>
      <c r="BY5" s="157">
        <f>17.85/4</f>
        <v/>
      </c>
      <c r="BZ5" s="157">
        <f>BY5*BX5</f>
        <v/>
      </c>
      <c r="CA5" s="5" t="n"/>
      <c r="CB5" s="153" t="n">
        <v>60</v>
      </c>
      <c r="CC5" s="152" t="n">
        <v>112</v>
      </c>
      <c r="CD5" s="152" t="n">
        <v>116</v>
      </c>
      <c r="CE5" s="152" t="n">
        <v>121</v>
      </c>
      <c r="CF5" s="152" t="n">
        <v>125</v>
      </c>
      <c r="CH5" s="153" t="n">
        <v>55</v>
      </c>
      <c r="CI5" s="152" t="n">
        <v>115</v>
      </c>
      <c r="CJ5" s="152" t="n">
        <v>118</v>
      </c>
      <c r="CK5" s="152" t="n">
        <v>123</v>
      </c>
      <c r="CL5" s="152" t="n">
        <v>126</v>
      </c>
      <c r="CM5" s="158" t="n"/>
      <c r="CN5" s="153" t="n">
        <v>55</v>
      </c>
      <c r="CO5" s="152" t="n">
        <v>159</v>
      </c>
      <c r="CP5" s="152" t="n">
        <v>164</v>
      </c>
      <c r="CQ5" s="152" t="n">
        <v>179</v>
      </c>
      <c r="CR5" s="152" t="n">
        <v>179</v>
      </c>
      <c r="CS5" s="158" t="n"/>
      <c r="CT5" s="153" t="n">
        <v>55</v>
      </c>
      <c r="CU5" s="154" t="n">
        <v>143.1</v>
      </c>
      <c r="CV5" s="154" t="n">
        <v>147.6</v>
      </c>
      <c r="CW5" s="154" t="n">
        <v>161.1</v>
      </c>
      <c r="CX5" s="154" t="n">
        <v>161.1</v>
      </c>
      <c r="CY5" s="158" t="n"/>
      <c r="CZ5" s="159" t="n"/>
      <c r="DA5" s="160" t="n"/>
      <c r="DC5" s="153" t="n">
        <v>55</v>
      </c>
      <c r="DD5" s="152" t="n">
        <v>159</v>
      </c>
      <c r="DE5" s="152" t="n">
        <v>164</v>
      </c>
      <c r="DF5" s="152" t="n">
        <v>179</v>
      </c>
      <c r="DG5" s="152" t="n">
        <v>179</v>
      </c>
      <c r="DI5" s="153" t="n">
        <v>55</v>
      </c>
      <c r="DJ5" s="152" t="n">
        <v>100</v>
      </c>
      <c r="DK5" s="152" t="n">
        <v>101</v>
      </c>
      <c r="DL5" s="152" t="n">
        <v>103</v>
      </c>
      <c r="DM5" s="152" t="n">
        <v>104</v>
      </c>
    </row>
    <row r="6" ht="16.5" customHeight="1" s="241">
      <c r="A6" s="171" t="n">
        <v>55</v>
      </c>
      <c r="B6" s="171" t="n">
        <v>69</v>
      </c>
      <c r="C6" s="171" t="inlineStr">
        <is>
          <t>Go 2</t>
        </is>
      </c>
      <c r="D6" s="170" t="n">
        <v>39</v>
      </c>
      <c r="E6" s="5" t="n"/>
      <c r="F6" s="5" t="n">
        <v>5</v>
      </c>
      <c r="G6" s="150" t="n">
        <v>4.25</v>
      </c>
      <c r="H6" s="150" t="n">
        <v>21.25</v>
      </c>
      <c r="I6" s="5" t="n"/>
      <c r="J6" s="5" t="n"/>
      <c r="K6" s="5" t="n"/>
      <c r="L6" s="5" t="n"/>
      <c r="M6" s="5" t="n"/>
      <c r="N6" s="5" t="n"/>
      <c r="O6" s="5" t="n"/>
      <c r="P6" s="153" t="n">
        <v>60</v>
      </c>
      <c r="Q6" s="152" t="n">
        <v>110</v>
      </c>
      <c r="R6" s="152" t="n">
        <v>111</v>
      </c>
      <c r="S6" s="152" t="n">
        <v>113</v>
      </c>
      <c r="T6" s="152" t="n">
        <v>114</v>
      </c>
      <c r="U6" s="5" t="n"/>
      <c r="V6" s="153" t="n">
        <v>60</v>
      </c>
      <c r="W6" s="152" t="n">
        <v>120</v>
      </c>
      <c r="X6" s="152" t="n">
        <v>122</v>
      </c>
      <c r="Y6" s="152" t="n">
        <v>124</v>
      </c>
      <c r="Z6" s="152" t="n">
        <v>126</v>
      </c>
      <c r="AA6" s="5" t="n"/>
      <c r="AB6" s="153" t="n">
        <v>60</v>
      </c>
      <c r="AC6" s="152" t="n">
        <v>163</v>
      </c>
      <c r="AD6" s="152" t="n">
        <v>167</v>
      </c>
      <c r="AE6" s="152" t="n">
        <v>179</v>
      </c>
      <c r="AF6" s="152" t="n">
        <v>181</v>
      </c>
      <c r="AG6" s="5" t="n"/>
      <c r="AH6" s="153" t="n">
        <v>60</v>
      </c>
      <c r="AI6" s="152" t="n">
        <v>190</v>
      </c>
      <c r="AJ6" s="152" t="n">
        <v>200</v>
      </c>
      <c r="AK6" s="152" t="n">
        <v>210</v>
      </c>
      <c r="AL6" s="152" t="n">
        <v>220</v>
      </c>
      <c r="AM6" s="5" t="n"/>
      <c r="AN6" s="153" t="n">
        <v>68</v>
      </c>
      <c r="AO6" s="154" t="n">
        <v>147</v>
      </c>
      <c r="AP6" s="154" t="n">
        <v>154</v>
      </c>
      <c r="AQ6" s="154" t="n">
        <v>160</v>
      </c>
      <c r="AR6" s="154" t="n">
        <v>166</v>
      </c>
      <c r="AS6" s="5" t="n"/>
      <c r="AT6" s="153" t="n">
        <v>68</v>
      </c>
      <c r="AU6" s="154" t="n">
        <v>187</v>
      </c>
      <c r="AV6" s="154" t="n">
        <v>196</v>
      </c>
      <c r="AW6" s="154" t="n">
        <v>203</v>
      </c>
      <c r="AX6" s="154" t="n">
        <v>207</v>
      </c>
      <c r="AY6" s="5" t="n"/>
      <c r="AZ6" s="161" t="n"/>
      <c r="BA6" s="162" t="n"/>
      <c r="BB6" s="162" t="n"/>
      <c r="BC6" s="162" t="n"/>
      <c r="BD6" s="162" t="n"/>
      <c r="BE6" s="5" t="n"/>
      <c r="BF6" s="5" t="n"/>
      <c r="BG6" s="5" t="n"/>
      <c r="BH6" s="5" t="n"/>
      <c r="BI6" s="5" t="n"/>
      <c r="BJ6" s="5" t="n"/>
      <c r="BK6" s="5" t="n"/>
      <c r="BL6" s="155" t="n">
        <v>65</v>
      </c>
      <c r="BM6" s="152" t="n">
        <v>98</v>
      </c>
      <c r="BN6" s="152" t="n">
        <v>101</v>
      </c>
      <c r="BO6" s="152" t="n">
        <v>105</v>
      </c>
      <c r="BP6" s="152" t="n">
        <v>107</v>
      </c>
      <c r="BQ6" s="5" t="n"/>
      <c r="BR6" s="155" t="n">
        <v>70</v>
      </c>
      <c r="BS6" s="152" t="n">
        <v>164</v>
      </c>
      <c r="BT6" s="152" t="n">
        <v>169</v>
      </c>
      <c r="BU6" s="152" t="n">
        <v>177</v>
      </c>
      <c r="BV6" s="152" t="n">
        <v>179</v>
      </c>
      <c r="BW6" s="5" t="n"/>
      <c r="BX6" s="155" t="n">
        <v>5</v>
      </c>
      <c r="BY6" s="157">
        <f>21.25/5</f>
        <v/>
      </c>
      <c r="BZ6" s="157">
        <f>BY6*BX6</f>
        <v/>
      </c>
      <c r="CA6" s="5" t="n"/>
      <c r="CB6" s="153" t="n">
        <v>68</v>
      </c>
      <c r="CC6" s="152" t="n">
        <v>167</v>
      </c>
      <c r="CD6" s="152" t="n">
        <v>175</v>
      </c>
      <c r="CE6" s="152" t="n">
        <v>185</v>
      </c>
      <c r="CF6" s="152" t="n">
        <v>187</v>
      </c>
      <c r="CH6" s="153" t="n">
        <v>60</v>
      </c>
      <c r="CI6" s="152" t="n">
        <v>140</v>
      </c>
      <c r="CJ6" s="152" t="n">
        <v>147</v>
      </c>
      <c r="CK6" s="152" t="n">
        <v>159</v>
      </c>
      <c r="CL6" s="152" t="n">
        <v>159</v>
      </c>
      <c r="CM6" s="158" t="n"/>
      <c r="CN6" s="153" t="n">
        <v>60</v>
      </c>
      <c r="CO6" s="152" t="n">
        <v>185</v>
      </c>
      <c r="CP6" s="152" t="n">
        <v>190</v>
      </c>
      <c r="CQ6" s="152" t="n">
        <v>205</v>
      </c>
      <c r="CR6" s="152" t="n">
        <v>205</v>
      </c>
      <c r="CS6" s="158" t="n"/>
      <c r="CT6" s="153" t="n">
        <v>60</v>
      </c>
      <c r="CU6" s="154" t="n">
        <v>166.5</v>
      </c>
      <c r="CV6" s="154" t="n">
        <v>171</v>
      </c>
      <c r="CW6" s="154" t="n">
        <v>184.5</v>
      </c>
      <c r="CX6" s="154" t="n">
        <v>184.5</v>
      </c>
      <c r="CY6" s="158" t="n"/>
      <c r="CZ6" s="159" t="n"/>
      <c r="DA6" s="160" t="n"/>
      <c r="DC6" s="153" t="n">
        <v>60</v>
      </c>
      <c r="DD6" s="152" t="n">
        <v>185</v>
      </c>
      <c r="DE6" s="152" t="n">
        <v>190</v>
      </c>
      <c r="DF6" s="152" t="n">
        <v>205</v>
      </c>
      <c r="DG6" s="152" t="n">
        <v>205</v>
      </c>
      <c r="DI6" s="153" t="n">
        <v>60</v>
      </c>
      <c r="DJ6" s="152" t="n">
        <v>120</v>
      </c>
      <c r="DK6" s="152" t="n">
        <v>121</v>
      </c>
      <c r="DL6" s="152" t="n">
        <v>123</v>
      </c>
      <c r="DM6" s="152" t="n">
        <v>124</v>
      </c>
    </row>
    <row r="7" ht="16.5" customHeight="1" s="241">
      <c r="A7" s="171" t="n">
        <v>70</v>
      </c>
      <c r="B7" s="171" t="n">
        <v>120</v>
      </c>
      <c r="C7" s="171" t="inlineStr">
        <is>
          <t>Go 2</t>
        </is>
      </c>
      <c r="D7" s="170" t="n">
        <v>52</v>
      </c>
      <c r="E7" s="5" t="n"/>
      <c r="F7" s="5" t="n">
        <v>6</v>
      </c>
      <c r="G7" s="150" t="n">
        <v>3.541666666666667</v>
      </c>
      <c r="H7" s="150" t="n">
        <v>21.25</v>
      </c>
      <c r="I7" s="5" t="n"/>
      <c r="J7" s="5" t="n"/>
      <c r="K7" s="5" t="n"/>
      <c r="L7" s="5" t="n"/>
      <c r="M7" s="5" t="n"/>
      <c r="N7" s="5" t="n"/>
      <c r="O7" s="5" t="n"/>
      <c r="P7" s="153" t="n">
        <v>65</v>
      </c>
      <c r="Q7" s="152" t="n">
        <v>146</v>
      </c>
      <c r="R7" s="152" t="n">
        <v>148</v>
      </c>
      <c r="S7" s="152" t="n">
        <v>149</v>
      </c>
      <c r="T7" s="152" t="n">
        <v>150</v>
      </c>
      <c r="U7" s="5" t="n"/>
      <c r="V7" s="153" t="n">
        <v>65</v>
      </c>
      <c r="W7" s="152" t="n">
        <v>156</v>
      </c>
      <c r="X7" s="152" t="n">
        <v>158</v>
      </c>
      <c r="Y7" s="152" t="n">
        <v>160</v>
      </c>
      <c r="Z7" s="152" t="n">
        <v>162</v>
      </c>
      <c r="AA7" s="5" t="n"/>
      <c r="AB7" s="153" t="n">
        <v>65</v>
      </c>
      <c r="AC7" s="152" t="n">
        <v>224</v>
      </c>
      <c r="AD7" s="152" t="n">
        <v>236</v>
      </c>
      <c r="AE7" s="152" t="n">
        <v>253</v>
      </c>
      <c r="AF7" s="152" t="n">
        <v>255</v>
      </c>
      <c r="AG7" s="5" t="n"/>
      <c r="AH7" s="153" t="n">
        <v>63</v>
      </c>
      <c r="AI7" s="152" t="n">
        <v>250</v>
      </c>
      <c r="AJ7" s="152" t="n">
        <v>260</v>
      </c>
      <c r="AK7" s="152" t="n">
        <v>270</v>
      </c>
      <c r="AL7" s="152" t="n">
        <v>285</v>
      </c>
      <c r="AM7" s="5" t="n"/>
      <c r="AN7" s="161" t="n"/>
      <c r="AO7" s="163" t="n"/>
      <c r="AP7" s="163" t="n"/>
      <c r="AQ7" s="163" t="n"/>
      <c r="AR7" s="163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155" t="n">
        <v>70</v>
      </c>
      <c r="BM7" s="152" t="n">
        <v>129</v>
      </c>
      <c r="BN7" s="152" t="n">
        <v>132</v>
      </c>
      <c r="BO7" s="152" t="n">
        <v>137</v>
      </c>
      <c r="BP7" s="152" t="n">
        <v>140</v>
      </c>
      <c r="BQ7" s="5" t="n"/>
      <c r="BR7" s="155" t="n">
        <v>75</v>
      </c>
      <c r="BS7" s="152" t="n">
        <v>220</v>
      </c>
      <c r="BT7" s="152" t="n">
        <v>229</v>
      </c>
      <c r="BU7" s="152" t="n">
        <v>237</v>
      </c>
      <c r="BV7" s="152" t="n">
        <v>239</v>
      </c>
      <c r="BW7" s="5" t="n"/>
      <c r="BX7" s="155" t="n">
        <v>6</v>
      </c>
      <c r="BY7" s="157">
        <f>21.25/6</f>
        <v/>
      </c>
      <c r="BZ7" s="157">
        <f>BY7*BX7</f>
        <v/>
      </c>
      <c r="CA7" s="5" t="n"/>
      <c r="CB7" s="161" t="n"/>
      <c r="CC7" s="162" t="n"/>
      <c r="CD7" s="162" t="n"/>
      <c r="CE7" s="162" t="n"/>
      <c r="CF7" s="162" t="n"/>
      <c r="CH7" s="164" t="n">
        <v>65</v>
      </c>
      <c r="CI7" s="152" t="n">
        <v>215</v>
      </c>
      <c r="CJ7" s="152" t="n">
        <v>221</v>
      </c>
      <c r="CK7" s="152" t="n">
        <v>234</v>
      </c>
      <c r="CL7" s="152" t="n">
        <v>234</v>
      </c>
      <c r="CM7" s="158" t="n"/>
      <c r="CN7" s="164" t="n">
        <v>65</v>
      </c>
      <c r="CO7" s="152" t="n">
        <v>265</v>
      </c>
      <c r="CP7" s="152" t="n">
        <v>272</v>
      </c>
      <c r="CQ7" s="152" t="n">
        <v>289</v>
      </c>
      <c r="CR7" s="152" t="n">
        <v>289</v>
      </c>
      <c r="CS7" s="158" t="n"/>
      <c r="CT7" s="164" t="n">
        <v>65</v>
      </c>
      <c r="CU7" s="154" t="n">
        <v>238.5</v>
      </c>
      <c r="CV7" s="154" t="n">
        <v>244.8</v>
      </c>
      <c r="CW7" s="154" t="n">
        <v>260.1</v>
      </c>
      <c r="CX7" s="154" t="n">
        <v>260.1</v>
      </c>
      <c r="CY7" s="158" t="n"/>
      <c r="CZ7" s="159" t="n"/>
      <c r="DA7" s="160" t="n"/>
      <c r="DC7" s="153" t="n">
        <v>65</v>
      </c>
      <c r="DD7" s="152" t="n">
        <v>265</v>
      </c>
      <c r="DE7" s="152" t="n">
        <v>272</v>
      </c>
      <c r="DF7" s="152" t="n">
        <v>289</v>
      </c>
      <c r="DG7" s="152" t="n">
        <v>289</v>
      </c>
      <c r="DI7" s="153" t="n">
        <v>63</v>
      </c>
      <c r="DJ7" s="152" t="n">
        <v>180</v>
      </c>
      <c r="DK7" s="152" t="n">
        <v>185</v>
      </c>
      <c r="DL7" s="152" t="n">
        <v>190</v>
      </c>
      <c r="DM7" s="152" t="n">
        <v>200</v>
      </c>
    </row>
    <row r="8" ht="16.5" customHeight="1" s="241">
      <c r="A8" s="171" t="n">
        <v>0</v>
      </c>
      <c r="B8" s="171" t="n">
        <v>54</v>
      </c>
      <c r="C8" s="171" t="inlineStr">
        <is>
          <t>Go 3</t>
        </is>
      </c>
      <c r="D8" s="170" t="n">
        <v>22</v>
      </c>
      <c r="E8" s="5" t="n"/>
      <c r="F8" s="5" t="n">
        <v>7</v>
      </c>
      <c r="G8" s="150" t="n">
        <v>3.541666666666667</v>
      </c>
      <c r="H8" s="150" t="n">
        <v>24.79166666666666</v>
      </c>
      <c r="I8" s="5" t="n"/>
      <c r="J8" s="5" t="n"/>
      <c r="K8" s="5" t="n"/>
      <c r="L8" s="5" t="n"/>
      <c r="M8" s="5" t="n"/>
      <c r="N8" s="5" t="n"/>
      <c r="O8" s="5" t="n"/>
      <c r="P8" s="153" t="n">
        <v>70</v>
      </c>
      <c r="Q8" s="152" t="n">
        <v>156</v>
      </c>
      <c r="R8" s="152" t="n">
        <v>158</v>
      </c>
      <c r="S8" s="152" t="n">
        <v>159</v>
      </c>
      <c r="T8" s="152" t="n">
        <v>161</v>
      </c>
      <c r="U8" s="5" t="n"/>
      <c r="V8" s="153" t="n">
        <v>70</v>
      </c>
      <c r="W8" s="152" t="n">
        <v>211</v>
      </c>
      <c r="X8" s="152" t="n">
        <v>213</v>
      </c>
      <c r="Y8" s="152" t="n">
        <v>215</v>
      </c>
      <c r="Z8" s="152" t="n">
        <v>217</v>
      </c>
      <c r="AA8" s="5" t="n"/>
      <c r="AB8" s="153" t="n">
        <v>70</v>
      </c>
      <c r="AC8" s="152" t="n">
        <v>235</v>
      </c>
      <c r="AD8" s="152" t="n">
        <v>245</v>
      </c>
      <c r="AE8" s="152" t="n">
        <v>259</v>
      </c>
      <c r="AF8" s="152" t="n">
        <v>260</v>
      </c>
      <c r="AG8" s="5" t="n"/>
      <c r="AH8" s="5" t="n"/>
      <c r="AI8" s="5" t="n"/>
      <c r="AJ8" s="5" t="n"/>
      <c r="AK8" s="5" t="n"/>
      <c r="AL8" s="5" t="n"/>
      <c r="AM8" s="5" t="n"/>
      <c r="AN8" s="161" t="n"/>
      <c r="AO8" s="163" t="n"/>
      <c r="AP8" s="163" t="n"/>
      <c r="AQ8" s="163" t="n"/>
      <c r="AR8" s="163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155" t="n">
        <v>75</v>
      </c>
      <c r="BM8" s="152" t="n">
        <v>155</v>
      </c>
      <c r="BN8" s="152" t="n">
        <v>159</v>
      </c>
      <c r="BO8" s="152" t="n">
        <v>165</v>
      </c>
      <c r="BP8" s="152" t="n">
        <v>168</v>
      </c>
      <c r="BQ8" s="5" t="n"/>
      <c r="BR8" s="155" t="n">
        <v>85</v>
      </c>
      <c r="BS8" s="152" t="inlineStr">
        <is>
          <t>No asegurable</t>
        </is>
      </c>
      <c r="BT8" s="152" t="inlineStr">
        <is>
          <t>No asegurable</t>
        </is>
      </c>
      <c r="BU8" s="152" t="inlineStr">
        <is>
          <t>No asegurable</t>
        </is>
      </c>
      <c r="BV8" s="152" t="inlineStr">
        <is>
          <t>No asegurable</t>
        </is>
      </c>
      <c r="BW8" s="5" t="n"/>
      <c r="BX8" s="155" t="n">
        <v>7</v>
      </c>
      <c r="BY8" s="157">
        <f>21.25/6</f>
        <v/>
      </c>
      <c r="BZ8" s="157">
        <f>BY8*BX8</f>
        <v/>
      </c>
      <c r="CA8" s="5" t="n"/>
      <c r="CB8" s="161" t="n"/>
      <c r="CC8" s="162" t="n"/>
      <c r="CD8" s="162" t="n"/>
      <c r="CE8" s="162" t="n"/>
      <c r="CF8" s="162" t="n"/>
      <c r="CH8" s="164" t="n">
        <v>70</v>
      </c>
      <c r="CI8" s="152" t="n">
        <v>220</v>
      </c>
      <c r="CJ8" s="152" t="n">
        <v>229</v>
      </c>
      <c r="CK8" s="152" t="n">
        <v>241</v>
      </c>
      <c r="CL8" s="152" t="n">
        <v>242</v>
      </c>
      <c r="CN8" s="164" t="n">
        <v>70</v>
      </c>
      <c r="CO8" s="152" t="n">
        <v>275</v>
      </c>
      <c r="CP8" s="152" t="n">
        <v>282</v>
      </c>
      <c r="CQ8" s="152" t="n">
        <v>299</v>
      </c>
      <c r="CR8" s="152" t="n">
        <v>299</v>
      </c>
      <c r="CT8" s="164" t="n">
        <v>70</v>
      </c>
      <c r="CU8" s="154" t="n">
        <v>247.5</v>
      </c>
      <c r="CV8" s="154" t="n">
        <v>253.8</v>
      </c>
      <c r="CW8" s="154" t="n">
        <v>269.1</v>
      </c>
      <c r="CX8" s="154" t="n">
        <v>269.1</v>
      </c>
      <c r="DC8" s="153" t="n">
        <v>70</v>
      </c>
      <c r="DD8" s="152" t="n">
        <v>275</v>
      </c>
      <c r="DE8" s="152" t="n">
        <v>282</v>
      </c>
      <c r="DF8" s="152" t="n">
        <v>299</v>
      </c>
      <c r="DG8" s="152" t="n">
        <v>299</v>
      </c>
      <c r="DI8" s="153" t="n"/>
      <c r="DJ8" s="152" t="n"/>
      <c r="DK8" s="152" t="n"/>
      <c r="DL8" s="152" t="n"/>
      <c r="DM8" s="152" t="n"/>
    </row>
    <row r="9" ht="16.5" customHeight="1" s="241">
      <c r="A9" s="171" t="n">
        <v>55</v>
      </c>
      <c r="B9" s="171" t="n">
        <v>69</v>
      </c>
      <c r="C9" s="171" t="inlineStr">
        <is>
          <t>Go 3</t>
        </is>
      </c>
      <c r="D9" s="170" t="n">
        <v>39.5</v>
      </c>
      <c r="E9" s="5" t="n"/>
      <c r="F9" s="5" t="n">
        <v>8</v>
      </c>
      <c r="G9" s="150" t="n">
        <v>3.541666666666667</v>
      </c>
      <c r="H9" s="150" t="n">
        <v>28.33333333333333</v>
      </c>
      <c r="I9" s="5" t="n"/>
      <c r="N9" s="5" t="n"/>
      <c r="O9" s="5" t="n"/>
      <c r="P9" s="5" t="n"/>
      <c r="U9" s="5" t="n"/>
      <c r="V9" s="5" t="n"/>
      <c r="AA9" s="5" t="n"/>
      <c r="AB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163" t="n"/>
      <c r="AP9" s="163" t="n"/>
      <c r="AQ9" s="163" t="n"/>
      <c r="AR9" s="163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155" t="n">
        <v>80</v>
      </c>
      <c r="BM9" s="152" t="n">
        <v>160</v>
      </c>
      <c r="BN9" s="152" t="n">
        <v>165</v>
      </c>
      <c r="BO9" s="152" t="n">
        <v>171</v>
      </c>
      <c r="BP9" s="152" t="n">
        <v>174</v>
      </c>
      <c r="BQ9" s="5" t="n"/>
      <c r="BR9" s="5" t="n"/>
      <c r="BS9" s="5" t="n"/>
      <c r="BT9" s="5" t="n"/>
      <c r="BU9" s="5" t="n"/>
      <c r="BV9" s="5" t="n"/>
      <c r="BW9" s="5" t="n"/>
      <c r="BX9" s="155" t="n">
        <v>8</v>
      </c>
      <c r="BY9" s="157">
        <f>21.25/6</f>
        <v/>
      </c>
      <c r="BZ9" s="157">
        <f>BY9*BX9</f>
        <v/>
      </c>
      <c r="CA9" s="5" t="n"/>
      <c r="CB9" s="5" t="inlineStr">
        <is>
          <t>PRECIO NUEVO CON 10% DTO</t>
        </is>
      </c>
      <c r="CD9" s="163" t="n"/>
      <c r="CE9" s="163" t="n"/>
      <c r="CF9" s="163" t="n"/>
    </row>
    <row r="10" ht="16.5" customHeight="1" s="241">
      <c r="A10" s="171" t="n">
        <v>70</v>
      </c>
      <c r="B10" s="171" t="n">
        <v>120</v>
      </c>
      <c r="C10" s="171" t="inlineStr">
        <is>
          <t>Go 3</t>
        </is>
      </c>
      <c r="D10" s="170" t="n">
        <v>53</v>
      </c>
      <c r="E10" s="5" t="n"/>
      <c r="F10" s="5" t="n"/>
      <c r="G10" s="5" t="n"/>
      <c r="H10" s="5" t="n"/>
      <c r="I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147" t="inlineStr">
        <is>
          <t>Tramo edad (1 a 4 aseg)</t>
        </is>
      </c>
      <c r="AO10" s="147" t="inlineStr">
        <is>
          <t>Adeslas Negocios CIF y Dental 1</t>
        </is>
      </c>
      <c r="AP10" s="147" t="inlineStr">
        <is>
          <t>Adeslas Negocios CIF y Dental 2</t>
        </is>
      </c>
      <c r="AQ10" s="147" t="inlineStr">
        <is>
          <t>Adeslas Negocios CIF y Dental 3</t>
        </is>
      </c>
      <c r="AR10" s="147" t="inlineStr">
        <is>
          <t>Adeslas Negocios CIF y Dental 4</t>
        </is>
      </c>
      <c r="AS10" s="5" t="n"/>
      <c r="AT10" s="147" t="inlineStr">
        <is>
          <t>Tramo edad (1 a 4 aseg)</t>
        </is>
      </c>
      <c r="AU10" s="147" t="inlineStr">
        <is>
          <t>Adeslas Extra Negocios CIF y dental 1</t>
        </is>
      </c>
      <c r="AV10" s="147" t="inlineStr">
        <is>
          <t>Adeslas Extra Negocios CIF y dental 2</t>
        </is>
      </c>
      <c r="AW10" s="147" t="inlineStr">
        <is>
          <t>Adeslas Extra Negocios CIF y dental 3</t>
        </is>
      </c>
      <c r="AX10" s="147" t="inlineStr">
        <is>
          <t>Adeslas Extra Negocios CIF y dental 4</t>
        </is>
      </c>
      <c r="AY10" s="5" t="n"/>
      <c r="AZ10" s="147" t="inlineStr">
        <is>
          <t>Tramo edad (5 o + aseg)</t>
        </is>
      </c>
      <c r="BA10" s="147" t="inlineStr">
        <is>
          <t>Adeslas Empresas  y dental 1</t>
        </is>
      </c>
      <c r="BB10" s="147" t="inlineStr">
        <is>
          <t>Adeslas Empresas  y dental 2</t>
        </is>
      </c>
      <c r="BC10" s="147" t="inlineStr">
        <is>
          <t>Adeslas Empresas  y dental 3</t>
        </is>
      </c>
      <c r="BD10" s="147" t="inlineStr">
        <is>
          <t>Adeslas Empresas  y dental 4</t>
        </is>
      </c>
      <c r="BE10" s="5" t="n"/>
      <c r="BF10" s="147" t="inlineStr">
        <is>
          <t>Tramo edad (5 o + aseg)</t>
        </is>
      </c>
      <c r="BG10" s="147" t="inlineStr">
        <is>
          <t>Adeslas Extra Empresas  y dental 1</t>
        </is>
      </c>
      <c r="BH10" s="147" t="inlineStr">
        <is>
          <t>Adeslas Extra Empresas  y dental 2</t>
        </is>
      </c>
      <c r="BI10" s="147" t="inlineStr">
        <is>
          <t>Adeslas Extra Empresas  y dental 3</t>
        </is>
      </c>
      <c r="BJ10" s="147" t="inlineStr">
        <is>
          <t>Adeslas Extra Empresas  y dental 4</t>
        </is>
      </c>
      <c r="BK10" s="5" t="n"/>
      <c r="BL10" s="155" t="n">
        <v>85</v>
      </c>
      <c r="BM10" s="156" t="inlineStr">
        <is>
          <t>No asegurable</t>
        </is>
      </c>
      <c r="BN10" s="156" t="inlineStr">
        <is>
          <t>No asegurable</t>
        </is>
      </c>
      <c r="BO10" s="156" t="inlineStr">
        <is>
          <t>No asegurable</t>
        </is>
      </c>
      <c r="BP10" s="156" t="inlineStr">
        <is>
          <t>No asegurable</t>
        </is>
      </c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inlineStr">
        <is>
          <t>Tramo edad</t>
        </is>
      </c>
      <c r="CC10" s="165" t="inlineStr">
        <is>
          <t>Adeslas Pymes Total 1</t>
        </is>
      </c>
      <c r="CD10" s="165" t="inlineStr">
        <is>
          <t>Adeslas Pymes Total 2</t>
        </is>
      </c>
      <c r="CE10" s="165" t="inlineStr">
        <is>
          <t>Adeslas Pymes Total 3</t>
        </is>
      </c>
      <c r="CF10" s="165" t="inlineStr">
        <is>
          <t>Adeslas Pymes Total 4</t>
        </is>
      </c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149" t="n"/>
      <c r="DA10" s="149" t="n"/>
    </row>
    <row r="11" ht="16.5" customHeight="1" s="241">
      <c r="A11" s="171" t="n">
        <v>0</v>
      </c>
      <c r="B11" s="171" t="n">
        <v>54</v>
      </c>
      <c r="C11" s="171" t="inlineStr">
        <is>
          <t>Go 4</t>
        </is>
      </c>
      <c r="D11" s="170" t="n">
        <v>22.5</v>
      </c>
      <c r="E11" s="5" t="n"/>
      <c r="F11" s="5" t="n"/>
      <c r="G11" s="5" t="n"/>
      <c r="H11" s="5" t="n"/>
      <c r="I11" s="5" t="n"/>
      <c r="N11" s="5" t="n"/>
      <c r="O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166" t="n"/>
      <c r="AL11" s="5" t="n"/>
      <c r="AM11" s="5" t="n"/>
      <c r="AN11" s="153" t="n">
        <v>0</v>
      </c>
      <c r="AO11" s="154" t="n">
        <v>53.5</v>
      </c>
      <c r="AP11" s="154" t="n">
        <v>54.5</v>
      </c>
      <c r="AQ11" s="154" t="n">
        <v>56.5</v>
      </c>
      <c r="AR11" s="154" t="n">
        <v>57.5</v>
      </c>
      <c r="AS11" s="5" t="n"/>
      <c r="AT11" s="153" t="n">
        <v>0</v>
      </c>
      <c r="AU11" s="154" t="n">
        <v>76.5</v>
      </c>
      <c r="AV11" s="154" t="n">
        <v>77.5</v>
      </c>
      <c r="AW11" s="154" t="n">
        <v>80.5</v>
      </c>
      <c r="AX11" s="154" t="n">
        <v>81.5</v>
      </c>
      <c r="AY11" s="5" t="n"/>
      <c r="AZ11" s="153" t="n">
        <v>0</v>
      </c>
      <c r="BA11" s="154" t="n">
        <v>58</v>
      </c>
      <c r="BB11" s="154" t="n">
        <v>60</v>
      </c>
      <c r="BC11" s="154" t="n">
        <v>61.5</v>
      </c>
      <c r="BD11" s="154" t="n">
        <v>62.5</v>
      </c>
      <c r="BE11" s="5" t="n"/>
      <c r="BF11" s="153" t="n">
        <v>0</v>
      </c>
      <c r="BG11" s="154" t="n">
        <v>80</v>
      </c>
      <c r="BH11" s="154" t="n">
        <v>82</v>
      </c>
      <c r="BI11" s="154" t="n">
        <v>85</v>
      </c>
      <c r="BJ11" s="154" t="n">
        <v>86.5</v>
      </c>
      <c r="BK11" s="5" t="n"/>
      <c r="BL11" s="5" t="n"/>
      <c r="BM11" s="163" t="n"/>
      <c r="BN11" s="163" t="n"/>
      <c r="BO11" s="163" t="n"/>
      <c r="BP11" s="163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>
        <v>0</v>
      </c>
      <c r="CC11" s="162">
        <f>CC2*0.9</f>
        <v/>
      </c>
      <c r="CD11" s="162">
        <f>CD2*0.9</f>
        <v/>
      </c>
      <c r="CE11" s="162">
        <f>CE2*0.9</f>
        <v/>
      </c>
      <c r="CF11" s="162">
        <f>CF2*0.9</f>
        <v/>
      </c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8" t="n"/>
      <c r="CR11" s="158" t="n"/>
      <c r="CS11" s="158" t="n"/>
      <c r="CT11" s="158" t="n"/>
      <c r="CU11" s="158" t="n"/>
      <c r="CV11" s="158" t="n"/>
      <c r="CW11" s="158" t="n"/>
      <c r="CX11" s="158" t="n"/>
      <c r="CY11" s="158" t="n"/>
      <c r="CZ11" s="159" t="n"/>
      <c r="DA11" s="167" t="n"/>
    </row>
    <row r="12" ht="16.5" customHeight="1" s="241">
      <c r="A12" s="171" t="n">
        <v>55</v>
      </c>
      <c r="B12" s="171" t="n">
        <v>69</v>
      </c>
      <c r="C12" s="171" t="inlineStr">
        <is>
          <t>Go 4</t>
        </is>
      </c>
      <c r="D12" s="170" t="n">
        <v>40</v>
      </c>
      <c r="E12" s="5" t="n"/>
      <c r="F12" s="5" t="n"/>
      <c r="G12" s="5" t="n"/>
      <c r="H12" s="5" t="n"/>
      <c r="I12" s="5" t="n"/>
      <c r="N12" s="5" t="n"/>
      <c r="O12" s="5" t="n"/>
      <c r="S12" s="5" t="n"/>
      <c r="T12" s="5" t="n"/>
      <c r="U12" s="5" t="n"/>
      <c r="V12" s="5" t="n"/>
      <c r="W12" s="5" t="n"/>
      <c r="X12" s="5" t="n"/>
      <c r="Y12" s="166" t="n"/>
      <c r="Z12" s="5" t="n"/>
      <c r="AA12" s="5" t="n"/>
      <c r="AF12" s="5" t="n"/>
      <c r="AG12" s="5" t="n"/>
      <c r="AH12" s="5" t="n"/>
      <c r="AI12" s="5" t="n"/>
      <c r="AJ12" s="5" t="n"/>
      <c r="AK12" s="166" t="n"/>
      <c r="AL12" s="5" t="n"/>
      <c r="AM12" s="5" t="n"/>
      <c r="AN12" s="153" t="n">
        <v>45</v>
      </c>
      <c r="AO12" s="154" t="n">
        <v>61</v>
      </c>
      <c r="AP12" s="154" t="n">
        <v>63</v>
      </c>
      <c r="AQ12" s="154" t="n">
        <v>65</v>
      </c>
      <c r="AR12" s="154" t="n">
        <v>66</v>
      </c>
      <c r="AS12" s="5" t="n"/>
      <c r="AT12" s="153" t="n">
        <v>45</v>
      </c>
      <c r="AU12" s="154" t="n">
        <v>78</v>
      </c>
      <c r="AV12" s="154" t="n">
        <v>80</v>
      </c>
      <c r="AW12" s="154" t="n">
        <v>83</v>
      </c>
      <c r="AX12" s="154" t="n">
        <v>84</v>
      </c>
      <c r="AY12" s="5" t="n"/>
      <c r="AZ12" s="153" t="n">
        <v>66</v>
      </c>
      <c r="BA12" s="154" t="n">
        <v>86.5</v>
      </c>
      <c r="BB12" s="154" t="n">
        <v>88.5</v>
      </c>
      <c r="BC12" s="154" t="n">
        <v>92.5</v>
      </c>
      <c r="BD12" s="154" t="n">
        <v>93.5</v>
      </c>
      <c r="BE12" s="5" t="n"/>
      <c r="BF12" s="153" t="n">
        <v>66</v>
      </c>
      <c r="BG12" s="154" t="n">
        <v>101.5</v>
      </c>
      <c r="BH12" s="154" t="n">
        <v>104.5</v>
      </c>
      <c r="BI12" s="154" t="n">
        <v>107.5</v>
      </c>
      <c r="BJ12" s="154" t="n">
        <v>109.5</v>
      </c>
      <c r="BK12" s="5" t="n"/>
      <c r="BL12" s="5" t="n"/>
      <c r="BM12" s="163" t="n"/>
      <c r="BN12" s="163" t="n"/>
      <c r="BO12" s="163" t="n"/>
      <c r="BP12" s="163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>
        <v>45</v>
      </c>
      <c r="CC12" s="162">
        <f>CC3*0.9</f>
        <v/>
      </c>
      <c r="CD12" s="162">
        <f>CD3*0.9</f>
        <v/>
      </c>
      <c r="CE12" s="162">
        <f>CE3*0.9</f>
        <v/>
      </c>
      <c r="CF12" s="162">
        <f>CF3*0.9</f>
        <v/>
      </c>
      <c r="CL12" s="158" t="n"/>
      <c r="CM12" s="158" t="n"/>
      <c r="CR12" s="158" t="n"/>
      <c r="CS12" s="158" t="n"/>
      <c r="CX12" s="158" t="n"/>
      <c r="CY12" s="158" t="n"/>
      <c r="CZ12" s="159" t="n"/>
      <c r="DA12" s="167" t="n"/>
    </row>
    <row r="13" ht="16.5" customHeight="1" s="241">
      <c r="A13" s="171" t="n">
        <v>70</v>
      </c>
      <c r="B13" s="171" t="n">
        <v>120</v>
      </c>
      <c r="C13" s="171" t="inlineStr">
        <is>
          <t>Go 4</t>
        </is>
      </c>
      <c r="D13" s="170" t="n">
        <v>53.5</v>
      </c>
      <c r="E13" s="5" t="n"/>
      <c r="F13" s="5" t="n"/>
      <c r="G13" s="5" t="n"/>
      <c r="H13" s="5" t="n"/>
      <c r="I13" s="5" t="n"/>
      <c r="N13" s="5" t="n"/>
      <c r="O13" s="5" t="n"/>
      <c r="S13" s="5" t="n"/>
      <c r="T13" s="5" t="n"/>
      <c r="U13" s="5" t="n"/>
      <c r="V13" s="5" t="n"/>
      <c r="W13" s="5" t="n"/>
      <c r="X13" s="5" t="n"/>
      <c r="Y13" s="166" t="n"/>
      <c r="Z13" s="5" t="n"/>
      <c r="AA13" s="5" t="n"/>
      <c r="AF13" s="5" t="n"/>
      <c r="AG13" s="5" t="n"/>
      <c r="AH13" s="5" t="n"/>
      <c r="AI13" s="5" t="n"/>
      <c r="AJ13" s="5" t="n"/>
      <c r="AK13" s="166" t="n"/>
      <c r="AL13" s="5" t="n"/>
      <c r="AM13" s="5" t="n"/>
      <c r="AN13" s="153" t="n">
        <v>55</v>
      </c>
      <c r="AO13" s="154" t="n">
        <v>76</v>
      </c>
      <c r="AP13" s="154" t="n">
        <v>79</v>
      </c>
      <c r="AQ13" s="154" t="n">
        <v>81</v>
      </c>
      <c r="AR13" s="154" t="n">
        <v>84</v>
      </c>
      <c r="AS13" s="5" t="n"/>
      <c r="AT13" s="153" t="n">
        <v>55</v>
      </c>
      <c r="AU13" s="154" t="n">
        <v>106.5</v>
      </c>
      <c r="AV13" s="154" t="n">
        <v>110.5</v>
      </c>
      <c r="AW13" s="154" t="n">
        <v>113.5</v>
      </c>
      <c r="AX13" s="154" t="n">
        <v>115.5</v>
      </c>
      <c r="AY13" s="5" t="n"/>
      <c r="AZ13" s="153" t="n">
        <v>68</v>
      </c>
      <c r="BA13" s="154" t="n">
        <v>157.5</v>
      </c>
      <c r="BB13" s="154" t="n">
        <v>163.5</v>
      </c>
      <c r="BC13" s="154" t="n">
        <v>170.5</v>
      </c>
      <c r="BD13" s="154" t="n">
        <v>174.5</v>
      </c>
      <c r="BE13" s="5" t="n"/>
      <c r="BF13" s="153" t="n">
        <v>68</v>
      </c>
      <c r="BG13" s="154" t="n">
        <v>186.5</v>
      </c>
      <c r="BH13" s="154" t="n">
        <v>194.5</v>
      </c>
      <c r="BI13" s="154" t="n">
        <v>201.5</v>
      </c>
      <c r="BJ13" s="154" t="n">
        <v>204.5</v>
      </c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>
        <v>55</v>
      </c>
      <c r="CC13" s="162">
        <f>CC4*0.9</f>
        <v/>
      </c>
      <c r="CD13" s="162">
        <f>CD4*0.9</f>
        <v/>
      </c>
      <c r="CE13" s="162">
        <f>CE4*0.9</f>
        <v/>
      </c>
      <c r="CF13" s="162">
        <f>CF4*0.9</f>
        <v/>
      </c>
      <c r="CL13" s="158" t="n"/>
      <c r="CM13" s="158" t="n"/>
      <c r="CR13" s="158" t="n"/>
      <c r="CS13" s="158" t="n"/>
      <c r="CX13" s="158" t="n"/>
      <c r="CY13" s="158" t="n"/>
      <c r="CZ13" s="159" t="n"/>
      <c r="DA13" s="167" t="n"/>
    </row>
    <row r="14" ht="16.5" customHeight="1" s="241">
      <c r="A14" s="171" t="n">
        <v>0</v>
      </c>
      <c r="B14" s="171" t="n">
        <v>54</v>
      </c>
      <c r="C14" s="171" t="inlineStr">
        <is>
          <t>Go 5</t>
        </is>
      </c>
      <c r="D14" s="170" t="n">
        <v>23</v>
      </c>
      <c r="E14" s="5" t="n"/>
      <c r="F14" s="5" t="n"/>
      <c r="G14" s="5" t="n"/>
      <c r="H14" s="5" t="n"/>
      <c r="I14" s="5" t="n"/>
      <c r="N14" s="5" t="n"/>
      <c r="O14" s="5" t="n"/>
      <c r="S14" s="5" t="n"/>
      <c r="T14" s="5" t="n"/>
      <c r="U14" s="5" t="n"/>
      <c r="V14" s="5" t="n"/>
      <c r="W14" s="5" t="n"/>
      <c r="X14" s="5" t="n"/>
      <c r="Y14" s="166" t="n"/>
      <c r="Z14" s="5" t="n"/>
      <c r="AA14" s="5" t="n"/>
      <c r="AF14" s="5" t="n"/>
      <c r="AG14" s="5" t="n"/>
      <c r="AH14" s="5" t="n"/>
      <c r="AI14" s="5" t="n"/>
      <c r="AJ14" s="5" t="n"/>
      <c r="AK14" s="166" t="n"/>
      <c r="AL14" s="5" t="n"/>
      <c r="AM14" s="5" t="n"/>
      <c r="AN14" s="153" t="n"/>
      <c r="AO14" s="154" t="n"/>
      <c r="AP14" s="154" t="n"/>
      <c r="AQ14" s="154" t="n"/>
      <c r="AR14" s="154" t="n"/>
      <c r="AS14" s="5" t="n"/>
      <c r="AT14" s="153" t="n"/>
      <c r="AU14" s="154" t="n"/>
      <c r="AV14" s="154" t="n"/>
      <c r="AW14" s="154" t="n"/>
      <c r="AX14" s="154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162" t="n"/>
      <c r="CD14" s="162" t="n"/>
      <c r="CE14" s="162" t="n"/>
      <c r="CF14" s="162" t="n"/>
      <c r="CL14" s="158" t="n"/>
      <c r="CM14" s="158" t="n"/>
      <c r="CR14" s="158" t="n"/>
      <c r="CS14" s="158" t="n"/>
      <c r="CX14" s="158" t="n"/>
      <c r="CY14" s="158" t="n"/>
      <c r="CZ14" s="159" t="n"/>
      <c r="DA14" s="167" t="n"/>
    </row>
    <row r="15" ht="16.5" customHeight="1" s="241">
      <c r="A15" s="171" t="n">
        <v>55</v>
      </c>
      <c r="B15" s="171" t="n">
        <v>69</v>
      </c>
      <c r="C15" s="171" t="inlineStr">
        <is>
          <t>Go 5</t>
        </is>
      </c>
      <c r="D15" s="170" t="n">
        <v>41</v>
      </c>
      <c r="E15" s="5" t="n"/>
      <c r="F15" s="5" t="n"/>
      <c r="G15" s="5" t="n"/>
      <c r="H15" s="5" t="n"/>
      <c r="I15" s="5" t="n"/>
      <c r="N15" s="5" t="n"/>
      <c r="O15" s="5" t="n"/>
      <c r="S15" s="5" t="n"/>
      <c r="T15" s="5" t="n"/>
      <c r="U15" s="5" t="n"/>
      <c r="V15" s="5" t="n"/>
      <c r="W15" s="5" t="n"/>
      <c r="X15" s="5" t="n"/>
      <c r="Y15" s="166" t="n"/>
      <c r="Z15" s="5" t="n"/>
      <c r="AA15" s="5" t="n"/>
      <c r="AF15" s="5" t="n"/>
      <c r="AG15" s="5" t="n"/>
      <c r="AH15" s="5" t="n"/>
      <c r="AI15" s="5" t="n"/>
      <c r="AJ15" s="5" t="n"/>
      <c r="AK15" s="166" t="n"/>
      <c r="AL15" s="5" t="n"/>
      <c r="AM15" s="5" t="n"/>
      <c r="AN15" s="153" t="n"/>
      <c r="AO15" s="154" t="n"/>
      <c r="AP15" s="154" t="n"/>
      <c r="AQ15" s="154" t="n"/>
      <c r="AR15" s="154" t="n"/>
      <c r="AS15" s="5" t="n"/>
      <c r="AT15" s="153" t="n"/>
      <c r="AU15" s="154" t="n"/>
      <c r="AV15" s="154" t="n"/>
      <c r="AW15" s="154" t="n"/>
      <c r="AX15" s="154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162" t="n"/>
      <c r="CD15" s="162" t="n"/>
      <c r="CE15" s="162" t="n"/>
      <c r="CF15" s="162" t="n"/>
      <c r="CL15" s="158" t="n"/>
      <c r="CM15" s="158" t="n"/>
      <c r="CR15" s="158" t="n"/>
      <c r="CS15" s="158" t="n"/>
      <c r="CX15" s="158" t="n"/>
      <c r="CY15" s="158" t="n"/>
      <c r="CZ15" s="159" t="n"/>
      <c r="DA15" s="167" t="n"/>
    </row>
    <row r="16" ht="16.5" customHeight="1" s="241">
      <c r="A16" s="171" t="n">
        <v>70</v>
      </c>
      <c r="B16" s="171" t="n">
        <v>120</v>
      </c>
      <c r="C16" s="171" t="inlineStr">
        <is>
          <t>Go 5</t>
        </is>
      </c>
      <c r="D16" s="170" t="n">
        <v>54</v>
      </c>
      <c r="E16" s="5" t="n"/>
      <c r="F16" s="5" t="n"/>
      <c r="G16" s="5" t="n"/>
      <c r="H16" s="5" t="n"/>
      <c r="I16" s="5" t="n"/>
      <c r="N16" s="5" t="n"/>
      <c r="O16" s="5" t="n"/>
      <c r="S16" s="5" t="n"/>
      <c r="T16" s="5" t="n"/>
      <c r="U16" s="5" t="n"/>
      <c r="V16" s="5" t="n"/>
      <c r="W16" s="5" t="n"/>
      <c r="X16" s="5" t="n"/>
      <c r="Y16" s="166" t="n"/>
      <c r="Z16" s="5" t="n"/>
      <c r="AA16" s="5" t="n"/>
      <c r="AF16" s="5" t="n"/>
      <c r="AG16" s="5" t="n"/>
      <c r="AH16" s="5" t="n"/>
      <c r="AI16" s="5" t="n"/>
      <c r="AJ16" s="5" t="n"/>
      <c r="AK16" s="166" t="n"/>
      <c r="AL16" s="5" t="n"/>
      <c r="AM16" s="5" t="n"/>
      <c r="AN16" s="153" t="n"/>
      <c r="AO16" s="154" t="n"/>
      <c r="AP16" s="154" t="n"/>
      <c r="AQ16" s="154" t="n"/>
      <c r="AR16" s="154" t="n"/>
      <c r="AS16" s="5" t="n"/>
      <c r="AT16" s="153" t="n"/>
      <c r="AU16" s="154" t="n"/>
      <c r="AV16" s="154" t="n"/>
      <c r="AW16" s="154" t="n"/>
      <c r="AX16" s="154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162" t="n"/>
      <c r="CD16" s="162" t="n"/>
      <c r="CE16" s="162" t="n"/>
      <c r="CF16" s="162" t="n"/>
      <c r="CL16" s="158" t="n"/>
      <c r="CM16" s="158" t="n"/>
      <c r="CR16" s="158" t="n"/>
      <c r="CS16" s="158" t="n"/>
      <c r="CX16" s="158" t="n"/>
      <c r="CY16" s="158" t="n"/>
      <c r="CZ16" s="159" t="n"/>
      <c r="DA16" s="167" t="n"/>
    </row>
    <row r="17" ht="16.5" customHeight="1" s="241">
      <c r="A17" s="171" t="n">
        <v>0</v>
      </c>
      <c r="B17" s="171" t="n">
        <v>54</v>
      </c>
      <c r="C17" s="171" t="inlineStr">
        <is>
          <t>Go 6</t>
        </is>
      </c>
      <c r="D17" s="170" t="n">
        <v>23.5</v>
      </c>
      <c r="E17" s="5" t="n"/>
      <c r="F17" s="5" t="n"/>
      <c r="G17" s="5" t="n"/>
      <c r="H17" s="5" t="n"/>
      <c r="I17" s="5" t="n"/>
      <c r="N17" s="5" t="n"/>
      <c r="O17" s="5" t="n"/>
      <c r="S17" s="5" t="n"/>
      <c r="T17" s="5" t="n"/>
      <c r="U17" s="5" t="n"/>
      <c r="V17" s="5" t="n"/>
      <c r="W17" s="5" t="n"/>
      <c r="X17" s="5" t="n"/>
      <c r="Y17" s="166" t="n"/>
      <c r="Z17" s="5" t="n"/>
      <c r="AA17" s="5" t="n"/>
      <c r="AF17" s="5" t="n"/>
      <c r="AG17" s="5" t="n"/>
      <c r="AH17" s="5" t="n"/>
      <c r="AI17" s="5" t="n"/>
      <c r="AJ17" s="5" t="n"/>
      <c r="AK17" s="166" t="n"/>
      <c r="AL17" s="5" t="n"/>
      <c r="AM17" s="5" t="n"/>
      <c r="AN17" s="153" t="n"/>
      <c r="AO17" s="154" t="n"/>
      <c r="AP17" s="154" t="n"/>
      <c r="AQ17" s="154" t="n"/>
      <c r="AR17" s="154" t="n"/>
      <c r="AS17" s="5" t="n"/>
      <c r="AT17" s="153" t="n"/>
      <c r="AU17" s="154" t="n"/>
      <c r="AV17" s="154" t="n"/>
      <c r="AW17" s="154" t="n"/>
      <c r="AX17" s="154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162" t="n"/>
      <c r="CD17" s="162" t="n"/>
      <c r="CE17" s="162" t="n"/>
      <c r="CF17" s="162" t="n"/>
      <c r="CL17" s="158" t="n"/>
      <c r="CM17" s="158" t="n"/>
      <c r="CR17" s="158" t="n"/>
      <c r="CS17" s="158" t="n"/>
      <c r="CX17" s="158" t="n"/>
      <c r="CY17" s="158" t="n"/>
      <c r="CZ17" s="159" t="n"/>
      <c r="DA17" s="167" t="n"/>
    </row>
    <row r="18" ht="16.5" customHeight="1" s="241">
      <c r="A18" s="171" t="n">
        <v>55</v>
      </c>
      <c r="B18" s="171" t="n">
        <v>69</v>
      </c>
      <c r="C18" s="171" t="inlineStr">
        <is>
          <t>Go 6</t>
        </is>
      </c>
      <c r="D18" s="170" t="n">
        <v>41.5</v>
      </c>
      <c r="E18" s="5" t="n"/>
      <c r="F18" s="5" t="n"/>
      <c r="G18" s="5" t="n"/>
      <c r="H18" s="5" t="n"/>
      <c r="I18" s="5" t="n"/>
      <c r="N18" s="5" t="n"/>
      <c r="O18" s="5" t="n"/>
      <c r="S18" s="5" t="n"/>
      <c r="T18" s="5" t="n"/>
      <c r="U18" s="5" t="n"/>
      <c r="V18" s="5" t="n"/>
      <c r="W18" s="5" t="n"/>
      <c r="X18" s="5" t="n"/>
      <c r="Y18" s="166" t="n"/>
      <c r="Z18" s="5" t="n"/>
      <c r="AA18" s="5" t="n"/>
      <c r="AF18" s="5" t="n"/>
      <c r="AG18" s="5" t="n"/>
      <c r="AH18" s="5" t="n"/>
      <c r="AI18" s="5" t="n"/>
      <c r="AJ18" s="5" t="n"/>
      <c r="AK18" s="166" t="n"/>
      <c r="AL18" s="5" t="n"/>
      <c r="AM18" s="5" t="n"/>
      <c r="AN18" s="153" t="n"/>
      <c r="AO18" s="154" t="n"/>
      <c r="AP18" s="154" t="n"/>
      <c r="AQ18" s="154" t="n"/>
      <c r="AR18" s="154" t="n"/>
      <c r="AS18" s="5" t="n"/>
      <c r="AT18" s="153" t="n"/>
      <c r="AU18" s="154" t="n"/>
      <c r="AV18" s="154" t="n"/>
      <c r="AW18" s="154" t="n"/>
      <c r="AX18" s="154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162" t="n"/>
      <c r="CD18" s="162" t="n"/>
      <c r="CE18" s="162" t="n"/>
      <c r="CF18" s="162" t="n"/>
      <c r="CL18" s="158" t="n"/>
      <c r="CM18" s="158" t="n"/>
      <c r="CR18" s="158" t="n"/>
      <c r="CS18" s="158" t="n"/>
      <c r="CX18" s="158" t="n"/>
      <c r="CY18" s="158" t="n"/>
      <c r="CZ18" s="159" t="n"/>
      <c r="DA18" s="167" t="n"/>
    </row>
    <row r="19" ht="16.5" customHeight="1" s="241">
      <c r="A19" s="171" t="n">
        <v>70</v>
      </c>
      <c r="B19" s="171" t="n">
        <v>120</v>
      </c>
      <c r="C19" s="171" t="inlineStr">
        <is>
          <t>Go 6</t>
        </is>
      </c>
      <c r="D19" s="170" t="n">
        <v>54.5</v>
      </c>
      <c r="E19" s="5" t="n"/>
      <c r="F19" s="5" t="n"/>
      <c r="G19" s="5" t="n"/>
      <c r="H19" s="5" t="n"/>
      <c r="I19" s="5" t="n"/>
      <c r="N19" s="5" t="n"/>
      <c r="O19" s="5" t="n"/>
      <c r="S19" s="5" t="n"/>
      <c r="T19" s="5" t="n"/>
      <c r="U19" s="5" t="n"/>
      <c r="V19" s="5" t="n"/>
      <c r="W19" s="5" t="n"/>
      <c r="X19" s="5" t="n"/>
      <c r="Y19" s="166" t="n"/>
      <c r="Z19" s="5" t="n"/>
      <c r="AA19" s="5" t="n"/>
      <c r="AF19" s="5" t="n"/>
      <c r="AG19" s="5" t="n"/>
      <c r="AH19" s="5" t="n"/>
      <c r="AI19" s="5" t="n"/>
      <c r="AJ19" s="5" t="n"/>
      <c r="AK19" s="166" t="n"/>
      <c r="AL19" s="5" t="n"/>
      <c r="AM19" s="5" t="n"/>
      <c r="AN19" s="153" t="n"/>
      <c r="AO19" s="154" t="n"/>
      <c r="AP19" s="154" t="n"/>
      <c r="AQ19" s="154" t="n"/>
      <c r="AR19" s="154" t="n"/>
      <c r="AS19" s="5" t="n"/>
      <c r="AT19" s="153" t="n"/>
      <c r="AU19" s="154" t="n"/>
      <c r="AV19" s="154" t="n"/>
      <c r="AW19" s="154" t="n"/>
      <c r="AX19" s="154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162" t="n"/>
      <c r="CD19" s="162" t="n"/>
      <c r="CE19" s="162" t="n"/>
      <c r="CF19" s="162" t="n"/>
      <c r="CL19" s="158" t="n"/>
      <c r="CM19" s="158" t="n"/>
      <c r="CR19" s="158" t="n"/>
      <c r="CS19" s="158" t="n"/>
      <c r="CX19" s="158" t="n"/>
      <c r="CY19" s="158" t="n"/>
      <c r="CZ19" s="159" t="n"/>
      <c r="DA19" s="167" t="n"/>
    </row>
    <row r="20" ht="16.5" customHeight="1" s="241">
      <c r="A20" s="171" t="n">
        <v>0</v>
      </c>
      <c r="B20" s="171" t="n">
        <v>24</v>
      </c>
      <c r="C20" s="171" t="inlineStr">
        <is>
          <t>Plena Vital 1</t>
        </is>
      </c>
      <c r="D20" s="170" t="n">
        <v>38</v>
      </c>
      <c r="E20" s="5" t="n"/>
      <c r="F20" s="5" t="n"/>
      <c r="G20" s="5" t="n"/>
      <c r="H20" s="5" t="n"/>
      <c r="I20" s="5" t="n"/>
      <c r="N20" s="5" t="n"/>
      <c r="O20" s="5" t="n"/>
      <c r="S20" s="5" t="n"/>
      <c r="T20" s="5" t="n"/>
      <c r="U20" s="5" t="n"/>
      <c r="V20" s="5" t="n"/>
      <c r="W20" s="5" t="n"/>
      <c r="X20" s="5" t="n"/>
      <c r="Y20" s="166" t="n"/>
      <c r="Z20" s="5" t="n"/>
      <c r="AA20" s="5" t="n"/>
      <c r="AF20" s="5" t="n"/>
      <c r="AG20" s="5" t="n"/>
      <c r="AH20" s="5" t="n"/>
      <c r="AI20" s="5" t="n"/>
      <c r="AJ20" s="5" t="n"/>
      <c r="AK20" s="166" t="n"/>
      <c r="AL20" s="5" t="n"/>
      <c r="AM20" s="5" t="n"/>
      <c r="AN20" s="153" t="n">
        <v>60</v>
      </c>
      <c r="AO20" s="154" t="n">
        <v>95</v>
      </c>
      <c r="AP20" s="154" t="n">
        <v>99</v>
      </c>
      <c r="AQ20" s="154" t="n">
        <v>102</v>
      </c>
      <c r="AR20" s="154" t="n">
        <v>104</v>
      </c>
      <c r="AS20" s="5" t="n"/>
      <c r="AT20" s="153" t="n">
        <v>60</v>
      </c>
      <c r="AU20" s="154" t="n">
        <v>126.5</v>
      </c>
      <c r="AV20" s="154" t="n">
        <v>131.5</v>
      </c>
      <c r="AW20" s="154" t="n">
        <v>135.5</v>
      </c>
      <c r="AX20" s="154" t="n">
        <v>137.5</v>
      </c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>
        <v>60</v>
      </c>
      <c r="CC20" s="162">
        <f>CC5*0.9</f>
        <v/>
      </c>
      <c r="CD20" s="162">
        <f>CD5*0.9</f>
        <v/>
      </c>
      <c r="CE20" s="162">
        <f>CE5*0.9</f>
        <v/>
      </c>
      <c r="CF20" s="162">
        <f>CF5*0.9</f>
        <v/>
      </c>
      <c r="CL20" s="158" t="n"/>
      <c r="CM20" s="158" t="n"/>
      <c r="CR20" s="158" t="n"/>
      <c r="CS20" s="158" t="n"/>
      <c r="CX20" s="158" t="n"/>
      <c r="CY20" s="158" t="n"/>
      <c r="CZ20" s="159" t="n"/>
      <c r="DA20" s="167" t="n"/>
    </row>
    <row r="21" ht="16.5" customHeight="1" s="241">
      <c r="A21" s="171" t="n">
        <v>25</v>
      </c>
      <c r="B21" s="171" t="n">
        <v>44</v>
      </c>
      <c r="C21" s="171" t="inlineStr">
        <is>
          <t>Plena Vital 1</t>
        </is>
      </c>
      <c r="D21" s="170" t="n">
        <v>50</v>
      </c>
      <c r="E21" s="5" t="n"/>
      <c r="F21" s="5" t="n"/>
      <c r="G21" s="5" t="n"/>
      <c r="H21" s="5" t="n"/>
      <c r="I21" s="5" t="n"/>
      <c r="N21" s="5" t="n"/>
      <c r="O21" s="5" t="n"/>
      <c r="S21" s="5" t="n"/>
      <c r="T21" s="5" t="n"/>
      <c r="U21" s="5" t="n"/>
      <c r="V21" s="5" t="n"/>
      <c r="W21" s="5" t="n"/>
      <c r="X21" s="5" t="n"/>
      <c r="Y21" s="166" t="n"/>
      <c r="Z21" s="5" t="n"/>
      <c r="AA21" s="5" t="n"/>
      <c r="AF21" s="5" t="n"/>
      <c r="AG21" s="5" t="n"/>
      <c r="AH21" s="5" t="n"/>
      <c r="AI21" s="5" t="n"/>
      <c r="AJ21" s="5" t="n"/>
      <c r="AK21" s="166" t="n"/>
      <c r="AL21" s="5" t="n"/>
      <c r="AM21" s="5" t="n"/>
      <c r="AN21" s="153" t="n">
        <v>68</v>
      </c>
      <c r="AO21" s="154" t="n">
        <v>151.5</v>
      </c>
      <c r="AP21" s="154" t="n">
        <v>158.5</v>
      </c>
      <c r="AQ21" s="154" t="n">
        <v>164.5</v>
      </c>
      <c r="AR21" s="154" t="n">
        <v>170.5</v>
      </c>
      <c r="AS21" s="5" t="n"/>
      <c r="AT21" s="153" t="n">
        <v>68</v>
      </c>
      <c r="AU21" s="154" t="n">
        <v>191.5</v>
      </c>
      <c r="AV21" s="154" t="n">
        <v>200.5</v>
      </c>
      <c r="AW21" s="154" t="n">
        <v>207.5</v>
      </c>
      <c r="AX21" s="154" t="n">
        <v>211.5</v>
      </c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P21" s="5" t="n"/>
      <c r="BQ21" s="5" t="n"/>
      <c r="BV21" s="5" t="n"/>
      <c r="BW21" s="5" t="n"/>
      <c r="BX21" s="5" t="n"/>
      <c r="BY21" s="5" t="n"/>
      <c r="BZ21" s="5" t="n"/>
      <c r="CA21" s="5" t="n"/>
      <c r="CB21" s="5" t="n">
        <v>68</v>
      </c>
      <c r="CC21" s="162">
        <f>CC6*0.9</f>
        <v/>
      </c>
      <c r="CD21" s="162">
        <f>CD6*0.9</f>
        <v/>
      </c>
      <c r="CE21" s="162">
        <f>CE6*0.9</f>
        <v/>
      </c>
      <c r="CF21" s="162">
        <f>CF6*0.9</f>
        <v/>
      </c>
      <c r="CL21" s="158" t="n"/>
      <c r="CM21" s="158" t="n"/>
      <c r="CR21" s="158" t="n"/>
      <c r="CS21" s="158" t="n"/>
      <c r="CX21" s="158" t="n"/>
      <c r="CY21" s="158" t="n"/>
      <c r="CZ21" s="159" t="n"/>
      <c r="DA21" s="167" t="n"/>
    </row>
    <row r="22" ht="16.5" customHeight="1" s="241">
      <c r="A22" s="171" t="n">
        <v>45</v>
      </c>
      <c r="B22" s="171" t="n">
        <v>54</v>
      </c>
      <c r="C22" s="171" t="inlineStr">
        <is>
          <t>Plena Vital 1</t>
        </is>
      </c>
      <c r="D22" s="170" t="n">
        <v>61.5</v>
      </c>
      <c r="E22" s="5" t="n"/>
      <c r="F22" s="5" t="n"/>
      <c r="G22" s="5" t="n"/>
      <c r="H22" s="5" t="n"/>
      <c r="I22" s="5" t="n"/>
      <c r="N22" s="5" t="n"/>
      <c r="O22" s="5" t="n"/>
      <c r="S22" s="5" t="n"/>
      <c r="T22" s="5" t="n"/>
      <c r="U22" s="5" t="n"/>
      <c r="V22" s="5" t="n"/>
      <c r="W22" s="5" t="n"/>
      <c r="X22" s="5" t="n"/>
      <c r="Y22" s="166" t="n"/>
      <c r="Z22" s="5" t="n"/>
      <c r="AA22" s="5" t="n"/>
      <c r="AF22" s="5" t="n"/>
      <c r="AG22" s="5" t="n"/>
      <c r="AH22" s="5" t="n"/>
      <c r="AI22" s="5" t="n"/>
      <c r="AJ22" s="5" t="n"/>
      <c r="AK22" s="166" t="n"/>
      <c r="AL22" s="5" t="n"/>
      <c r="AM22" s="5" t="n"/>
      <c r="AN22" s="161" t="n"/>
      <c r="AO22" s="162" t="n"/>
      <c r="AP22" s="162" t="n"/>
      <c r="AQ22" s="162" t="n"/>
      <c r="AR22" s="162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P22" s="5" t="n"/>
      <c r="BQ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L22" s="158" t="n"/>
      <c r="CM22" s="158" t="n"/>
      <c r="CR22" s="158" t="n"/>
      <c r="CS22" s="158" t="n"/>
      <c r="CX22" s="158" t="n"/>
      <c r="CY22" s="158" t="n"/>
      <c r="CZ22" s="159" t="n"/>
      <c r="DA22" s="167" t="n"/>
    </row>
    <row r="23" ht="16.5" customHeight="1" s="241">
      <c r="A23" s="171" t="n">
        <v>55</v>
      </c>
      <c r="B23" s="171" t="n">
        <v>59</v>
      </c>
      <c r="C23" s="171" t="inlineStr">
        <is>
          <t>Plena Vital 1</t>
        </is>
      </c>
      <c r="D23" s="170" t="n">
        <v>94</v>
      </c>
      <c r="E23" s="5" t="n"/>
      <c r="F23" s="5" t="n"/>
      <c r="G23" s="5" t="n"/>
      <c r="H23" s="5" t="n"/>
      <c r="I23" s="5" t="n"/>
      <c r="N23" s="5" t="n"/>
      <c r="O23" s="5" t="n"/>
      <c r="S23" s="5" t="n"/>
      <c r="T23" s="5" t="n"/>
      <c r="U23" s="5" t="n"/>
      <c r="V23" s="5" t="n"/>
      <c r="W23" s="5" t="n"/>
      <c r="X23" s="5" t="n"/>
      <c r="Y23" s="166" t="n"/>
      <c r="Z23" s="5" t="n"/>
      <c r="AA23" s="5" t="n"/>
      <c r="AF23" s="5" t="n"/>
      <c r="AG23" s="5" t="n"/>
      <c r="AH23" s="5" t="n"/>
      <c r="AI23" s="5" t="n"/>
      <c r="AJ23" s="5" t="n"/>
      <c r="AK23" s="166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P23" s="5" t="n"/>
      <c r="BQ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</row>
    <row r="24" ht="16.5" customHeight="1" s="241">
      <c r="A24" s="171" t="n">
        <v>60</v>
      </c>
      <c r="B24" s="171" t="n">
        <v>64</v>
      </c>
      <c r="C24" s="171" t="inlineStr">
        <is>
          <t>Plena Vital 1</t>
        </is>
      </c>
      <c r="D24" s="170" t="n">
        <v>117</v>
      </c>
      <c r="E24" s="5" t="n"/>
      <c r="F24" s="5" t="n"/>
      <c r="G24" s="5" t="n"/>
      <c r="H24" s="5" t="n"/>
      <c r="I24" s="5" t="n"/>
      <c r="N24" s="5" t="n"/>
      <c r="O24" s="5" t="n"/>
      <c r="S24" s="5" t="n"/>
      <c r="T24" s="5" t="n"/>
      <c r="U24" s="5" t="n"/>
      <c r="V24" s="5" t="n"/>
      <c r="W24" s="5" t="n"/>
      <c r="X24" s="5" t="n"/>
      <c r="Y24" s="166" t="n"/>
      <c r="Z24" s="5" t="n"/>
      <c r="AA24" s="5" t="n"/>
      <c r="AF24" s="5" t="n"/>
      <c r="AG24" s="5" t="n"/>
      <c r="AH24" s="5" t="n"/>
      <c r="AI24" s="5" t="n"/>
      <c r="AJ24" s="5" t="n"/>
      <c r="AK24" s="166" t="n"/>
      <c r="AL24" s="5" t="n"/>
      <c r="AM24" s="5" t="n"/>
      <c r="AR24" s="5" t="n"/>
      <c r="AS24" s="5" t="n"/>
      <c r="AX24" s="5" t="n"/>
      <c r="AY24" s="5" t="n"/>
      <c r="BD24" s="5" t="n"/>
      <c r="BE24" s="5" t="n"/>
      <c r="BJ24" s="5" t="n"/>
      <c r="BK24" s="5" t="n"/>
      <c r="BP24" s="5" t="n"/>
      <c r="BQ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</row>
    <row r="25" ht="16.5" customHeight="1" s="241">
      <c r="A25" s="171" t="n">
        <v>65</v>
      </c>
      <c r="B25" s="171" t="n">
        <v>69</v>
      </c>
      <c r="C25" s="171" t="inlineStr">
        <is>
          <t>Plena Vital 1</t>
        </is>
      </c>
      <c r="D25" s="170" t="n">
        <v>156</v>
      </c>
      <c r="E25" s="5" t="n"/>
      <c r="F25" s="5" t="n"/>
      <c r="G25" s="5" t="n"/>
      <c r="H25" s="5" t="n"/>
      <c r="I25" s="5" t="n"/>
      <c r="N25" s="5" t="n"/>
      <c r="O25" s="5" t="n"/>
      <c r="S25" s="5" t="n"/>
      <c r="T25" s="5" t="n"/>
      <c r="U25" s="5" t="n"/>
      <c r="V25" s="5" t="n"/>
      <c r="W25" s="5" t="n"/>
      <c r="X25" s="5" t="n"/>
      <c r="Y25" s="166" t="n"/>
      <c r="Z25" s="5" t="n"/>
      <c r="AA25" s="5" t="n"/>
      <c r="AF25" s="5" t="n"/>
      <c r="AG25" s="5" t="n"/>
      <c r="AH25" s="5" t="n"/>
      <c r="AI25" s="5" t="n"/>
      <c r="AJ25" s="5" t="n"/>
      <c r="AK25" s="166" t="n"/>
      <c r="AL25" s="5" t="n"/>
      <c r="AM25" s="5" t="n"/>
      <c r="AR25" s="5" t="n"/>
      <c r="AS25" s="5" t="n"/>
      <c r="AX25" s="5" t="n"/>
      <c r="AY25" s="5" t="n"/>
      <c r="BD25" s="5" t="n"/>
      <c r="BE25" s="5" t="n"/>
      <c r="BJ25" s="5" t="n"/>
      <c r="BK25" s="5" t="n"/>
      <c r="BP25" s="5" t="n"/>
      <c r="BQ25" s="5" t="n"/>
      <c r="BV25" s="5" t="n"/>
      <c r="BW25" s="5" t="n"/>
      <c r="BX25" s="5" t="n"/>
      <c r="BY25" s="5" t="n"/>
      <c r="BZ25" s="5" t="n"/>
      <c r="CA25" s="5" t="n"/>
      <c r="CF25" s="5" t="n"/>
    </row>
    <row r="26" ht="16.5" customHeight="1" s="241">
      <c r="A26" s="171" t="n">
        <v>70</v>
      </c>
      <c r="B26" s="171" t="n">
        <v>120</v>
      </c>
      <c r="C26" s="171" t="inlineStr">
        <is>
          <t>Plena Vital 1</t>
        </is>
      </c>
      <c r="D26" s="170" t="n">
        <v>168</v>
      </c>
      <c r="E26" s="5" t="n"/>
      <c r="F26" s="5" t="n"/>
      <c r="G26" s="5" t="n"/>
      <c r="H26" s="5" t="n"/>
      <c r="I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166" t="n"/>
      <c r="Z26" s="5" t="n"/>
      <c r="AA26" s="5" t="n"/>
      <c r="AF26" s="5" t="n"/>
      <c r="AG26" s="5" t="n"/>
      <c r="AH26" s="5" t="n"/>
      <c r="AI26" s="5" t="n"/>
      <c r="AJ26" s="5" t="n"/>
      <c r="AK26" s="166" t="n"/>
      <c r="AL26" s="5" t="n"/>
      <c r="AM26" s="5" t="n"/>
      <c r="AR26" s="5" t="n"/>
      <c r="AS26" s="5" t="n"/>
      <c r="AX26" s="5" t="n"/>
      <c r="AY26" s="5" t="n"/>
      <c r="BD26" s="5" t="n"/>
      <c r="BE26" s="5" t="n"/>
      <c r="BJ26" s="5" t="n"/>
      <c r="BK26" s="5" t="n"/>
      <c r="BP26" s="5" t="n"/>
      <c r="BQ26" s="5" t="n"/>
      <c r="BV26" s="5" t="n"/>
      <c r="BW26" s="5" t="n"/>
      <c r="BX26" s="5" t="n"/>
      <c r="BY26" s="5" t="n"/>
      <c r="BZ26" s="5" t="n"/>
      <c r="CA26" s="5" t="n"/>
      <c r="CF26" s="5" t="n"/>
    </row>
    <row r="27" ht="16.5" customHeight="1" s="241">
      <c r="A27" s="171" t="n">
        <v>0</v>
      </c>
      <c r="B27" s="171" t="n">
        <v>24</v>
      </c>
      <c r="C27" s="171" t="inlineStr">
        <is>
          <t>Plena Vital 2</t>
        </is>
      </c>
      <c r="D27" s="170" t="n">
        <v>39</v>
      </c>
      <c r="E27" s="5" t="n"/>
      <c r="F27" s="5" t="n"/>
      <c r="G27" s="5" t="n"/>
      <c r="H27" s="5" t="n"/>
      <c r="I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166" t="n"/>
      <c r="Z27" s="5" t="n"/>
      <c r="AA27" s="5" t="n"/>
      <c r="AF27" s="5" t="n"/>
      <c r="AG27" s="5" t="n"/>
      <c r="AH27" s="5" t="n"/>
      <c r="AI27" s="5" t="n"/>
      <c r="AJ27" s="5" t="n"/>
      <c r="AK27" s="166" t="n"/>
      <c r="AL27" s="5" t="n"/>
      <c r="AM27" s="5" t="n"/>
      <c r="AR27" s="5" t="n"/>
      <c r="AS27" s="5" t="n"/>
      <c r="AX27" s="5" t="n"/>
      <c r="AY27" s="5" t="n"/>
      <c r="BD27" s="5" t="n"/>
      <c r="BE27" s="5" t="n"/>
      <c r="BJ27" s="5" t="n"/>
      <c r="BK27" s="5" t="n"/>
      <c r="BP27" s="5" t="n"/>
      <c r="BQ27" s="5" t="n"/>
      <c r="BV27" s="5" t="n"/>
      <c r="BW27" s="5" t="n"/>
      <c r="BX27" s="5" t="n"/>
      <c r="BY27" s="5" t="n"/>
      <c r="BZ27" s="5" t="n"/>
      <c r="CA27" s="5" t="n"/>
      <c r="CF27" s="5" t="n"/>
    </row>
    <row r="28" ht="16.5" customHeight="1" s="241">
      <c r="A28" s="171" t="n">
        <v>25</v>
      </c>
      <c r="B28" s="171" t="n">
        <v>44</v>
      </c>
      <c r="C28" s="171" t="inlineStr">
        <is>
          <t>Plena Vital 2</t>
        </is>
      </c>
      <c r="D28" s="170" t="n">
        <v>50.5</v>
      </c>
      <c r="E28" s="5" t="n"/>
      <c r="F28" s="5" t="n"/>
      <c r="G28" s="5" t="n"/>
      <c r="H28" s="5" t="n"/>
      <c r="I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166" t="n"/>
      <c r="Z28" s="5" t="n"/>
      <c r="AA28" s="5" t="n"/>
      <c r="AF28" s="5" t="n"/>
      <c r="AG28" s="5" t="n"/>
      <c r="AH28" s="5" t="n"/>
      <c r="AI28" s="5" t="n"/>
      <c r="AJ28" s="5" t="n"/>
      <c r="AK28" s="166" t="n"/>
      <c r="AL28" s="5" t="n"/>
      <c r="AM28" s="5" t="n"/>
      <c r="AR28" s="5" t="n"/>
      <c r="AS28" s="5" t="n"/>
      <c r="AX28" s="5" t="n"/>
      <c r="AY28" s="5" t="n"/>
      <c r="BD28" s="5" t="n"/>
      <c r="BE28" s="5" t="n"/>
      <c r="BJ28" s="5" t="n"/>
      <c r="BK28" s="5" t="n"/>
      <c r="BP28" s="5" t="n"/>
      <c r="BQ28" s="5" t="n"/>
      <c r="BV28" s="5" t="n"/>
      <c r="BW28" s="5" t="n"/>
      <c r="BX28" s="5" t="n"/>
      <c r="BY28" s="5" t="n"/>
      <c r="BZ28" s="5" t="n"/>
      <c r="CA28" s="5" t="n"/>
      <c r="CF28" s="168" t="n"/>
    </row>
    <row r="29" ht="16.5" customHeight="1" s="241">
      <c r="A29" s="171" t="n">
        <v>45</v>
      </c>
      <c r="B29" s="171" t="n">
        <v>54</v>
      </c>
      <c r="C29" s="171" t="inlineStr">
        <is>
          <t>Plena Vital 2</t>
        </is>
      </c>
      <c r="D29" s="170" t="n">
        <v>62</v>
      </c>
      <c r="E29" s="5" t="n"/>
      <c r="F29" s="5" t="n"/>
      <c r="G29" s="5" t="n"/>
      <c r="H29" s="5" t="n"/>
      <c r="I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166" t="n"/>
      <c r="Z29" s="5" t="n"/>
      <c r="AA29" s="5" t="n"/>
      <c r="AF29" s="5" t="n"/>
      <c r="AG29" s="5" t="n"/>
      <c r="AH29" s="5" t="n"/>
      <c r="AI29" s="5" t="n"/>
      <c r="AJ29" s="5" t="n"/>
      <c r="AK29" s="166" t="n"/>
      <c r="AL29" s="5" t="n"/>
      <c r="AM29" s="5" t="n"/>
      <c r="AR29" s="5" t="n"/>
      <c r="AS29" s="5" t="n"/>
      <c r="AX29" s="5" t="n"/>
      <c r="AY29" s="5" t="n"/>
      <c r="BD29" s="5" t="n"/>
      <c r="BE29" s="5" t="n"/>
      <c r="BJ29" s="5" t="n"/>
      <c r="BK29" s="5" t="n"/>
      <c r="BP29" s="5" t="n"/>
      <c r="BQ29" s="5" t="n"/>
      <c r="BV29" s="5" t="n"/>
      <c r="BW29" s="5" t="n"/>
      <c r="BX29" s="5" t="n"/>
      <c r="BY29" s="5" t="n"/>
      <c r="BZ29" s="5" t="n"/>
      <c r="CA29" s="5" t="n"/>
      <c r="CF29" s="168" t="n"/>
    </row>
    <row r="30" ht="16.5" customHeight="1" s="241">
      <c r="A30" s="171" t="n">
        <v>55</v>
      </c>
      <c r="B30" s="171" t="n">
        <v>59</v>
      </c>
      <c r="C30" s="171" t="inlineStr">
        <is>
          <t>Plena Vital 2</t>
        </is>
      </c>
      <c r="D30" s="170" t="n">
        <v>95</v>
      </c>
      <c r="E30" s="5" t="n"/>
      <c r="F30" s="5" t="n"/>
      <c r="G30" s="5" t="n"/>
      <c r="H30" s="5" t="n"/>
      <c r="I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166" t="n"/>
      <c r="Z30" s="5" t="n"/>
      <c r="AA30" s="5" t="n"/>
      <c r="AF30" s="5" t="n"/>
      <c r="AG30" s="5" t="n"/>
      <c r="AH30" s="5" t="n"/>
      <c r="AI30" s="5" t="n"/>
      <c r="AJ30" s="5" t="n"/>
      <c r="AK30" s="166" t="n"/>
      <c r="AL30" s="5" t="n"/>
      <c r="AM30" s="5" t="n"/>
      <c r="AR30" s="5" t="n"/>
      <c r="AS30" s="5" t="n"/>
      <c r="AX30" s="5" t="n"/>
      <c r="AY30" s="5" t="n"/>
      <c r="BD30" s="5" t="n"/>
      <c r="BE30" s="5" t="n"/>
      <c r="BJ30" s="5" t="n"/>
      <c r="BK30" s="5" t="n"/>
      <c r="BP30" s="5" t="n"/>
      <c r="BQ30" s="5" t="n"/>
      <c r="BV30" s="5" t="n"/>
      <c r="BW30" s="5" t="n"/>
      <c r="BX30" s="5" t="n"/>
      <c r="BY30" s="5" t="n"/>
      <c r="BZ30" s="5" t="n"/>
      <c r="CA30" s="5" t="n"/>
      <c r="CF30" s="168" t="n"/>
    </row>
    <row r="31" ht="16.5" customHeight="1" s="241">
      <c r="A31" s="171" t="n">
        <v>60</v>
      </c>
      <c r="B31" s="171" t="n">
        <v>64</v>
      </c>
      <c r="C31" s="171" t="inlineStr">
        <is>
          <t>Plena Vital 2</t>
        </is>
      </c>
      <c r="D31" s="170" t="n">
        <v>121</v>
      </c>
      <c r="E31" s="5" t="n"/>
      <c r="F31" s="5" t="n"/>
      <c r="G31" s="5" t="n"/>
      <c r="H31" s="5" t="n"/>
      <c r="I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166" t="n"/>
      <c r="Z31" s="5" t="n"/>
      <c r="AA31" s="5" t="n"/>
      <c r="AF31" s="5" t="n"/>
      <c r="AG31" s="5" t="n"/>
      <c r="AH31" s="5" t="n"/>
      <c r="AI31" s="5" t="n"/>
      <c r="AJ31" s="5" t="n"/>
      <c r="AK31" s="166" t="n"/>
      <c r="AL31" s="5" t="n"/>
      <c r="AM31" s="5" t="n"/>
      <c r="AR31" s="5" t="n"/>
      <c r="AS31" s="5" t="n"/>
      <c r="AX31" s="5" t="n"/>
      <c r="AY31" s="5" t="n"/>
      <c r="BD31" s="5" t="n"/>
      <c r="BE31" s="5" t="n"/>
      <c r="BJ31" s="5" t="n"/>
      <c r="BK31" s="5" t="n"/>
      <c r="BP31" s="5" t="n"/>
      <c r="BQ31" s="5" t="n"/>
      <c r="BV31" s="5" t="n"/>
      <c r="BW31" s="5" t="n"/>
      <c r="BX31" s="5" t="n"/>
      <c r="BY31" s="5" t="n"/>
      <c r="BZ31" s="5" t="n"/>
      <c r="CA31" s="5" t="n"/>
      <c r="CF31" s="168" t="n"/>
    </row>
    <row r="32" ht="16.5" customHeight="1" s="241">
      <c r="A32" s="171" t="n">
        <v>65</v>
      </c>
      <c r="B32" s="171" t="n">
        <v>69</v>
      </c>
      <c r="C32" s="171" t="inlineStr">
        <is>
          <t>Plena Vital 2</t>
        </is>
      </c>
      <c r="D32" s="170" t="n">
        <v>163</v>
      </c>
      <c r="E32" s="5" t="n"/>
      <c r="F32" s="5" t="n"/>
      <c r="G32" s="5" t="n"/>
      <c r="H32" s="5" t="n"/>
      <c r="I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166" t="n"/>
      <c r="Z32" s="5" t="n"/>
      <c r="AA32" s="5" t="n"/>
      <c r="AF32" s="5" t="n"/>
      <c r="AG32" s="5" t="n"/>
      <c r="AH32" s="5" t="n"/>
      <c r="AI32" s="5" t="n"/>
      <c r="AJ32" s="5" t="n"/>
      <c r="AK32" s="166" t="n"/>
      <c r="AL32" s="5" t="n"/>
      <c r="AM32" s="5" t="n"/>
      <c r="AR32" s="5" t="n"/>
      <c r="AS32" s="5" t="n"/>
      <c r="AX32" s="5" t="n"/>
      <c r="AY32" s="5" t="n"/>
      <c r="BD32" s="5" t="n"/>
      <c r="BE32" s="5" t="n"/>
      <c r="BJ32" s="5" t="n"/>
      <c r="BK32" s="5" t="n"/>
      <c r="BP32" s="5" t="n"/>
      <c r="BQ32" s="5" t="n"/>
      <c r="BV32" s="5" t="n"/>
      <c r="BW32" s="5" t="n"/>
      <c r="BX32" s="5" t="n"/>
      <c r="BY32" s="5" t="n"/>
      <c r="BZ32" s="5" t="n"/>
      <c r="CA32" s="5" t="n"/>
      <c r="CF32" s="168" t="n"/>
    </row>
    <row r="33" ht="16.5" customHeight="1" s="241">
      <c r="A33" s="171" t="n">
        <v>70</v>
      </c>
      <c r="B33" s="171" t="n">
        <v>120</v>
      </c>
      <c r="C33" s="171" t="inlineStr">
        <is>
          <t>Plena Vital 2</t>
        </is>
      </c>
      <c r="D33" s="170" t="n">
        <v>176</v>
      </c>
      <c r="E33" s="5" t="n"/>
      <c r="F33" s="5" t="n"/>
      <c r="G33" s="5" t="n"/>
      <c r="H33" s="5" t="n"/>
      <c r="I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166" t="n"/>
      <c r="Z33" s="5" t="n"/>
      <c r="AA33" s="5" t="n"/>
      <c r="AF33" s="5" t="n"/>
      <c r="AG33" s="5" t="n"/>
      <c r="AH33" s="5" t="n"/>
      <c r="AI33" s="5" t="n"/>
      <c r="AJ33" s="5" t="n"/>
      <c r="AK33" s="166" t="n"/>
      <c r="AL33" s="5" t="n"/>
      <c r="AM33" s="5" t="n"/>
      <c r="AR33" s="5" t="n"/>
      <c r="AS33" s="5" t="n"/>
      <c r="AX33" s="5" t="n"/>
      <c r="AY33" s="5" t="n"/>
      <c r="BD33" s="5" t="n"/>
      <c r="BE33" s="5" t="n"/>
      <c r="BJ33" s="5" t="n"/>
      <c r="BK33" s="5" t="n"/>
      <c r="BP33" s="5" t="n"/>
      <c r="BQ33" s="5" t="n"/>
      <c r="BV33" s="5" t="n"/>
      <c r="BW33" s="5" t="n"/>
      <c r="BX33" s="5" t="n"/>
      <c r="BY33" s="5" t="n"/>
      <c r="BZ33" s="5" t="n"/>
      <c r="CA33" s="5" t="n"/>
      <c r="CF33" s="5" t="n"/>
    </row>
    <row r="34" ht="16.5" customHeight="1" s="241">
      <c r="A34" s="171" t="n">
        <v>0</v>
      </c>
      <c r="B34" s="171" t="n">
        <v>24</v>
      </c>
      <c r="C34" s="171" t="inlineStr">
        <is>
          <t>Plena Vital 3</t>
        </is>
      </c>
      <c r="D34" s="170" t="n">
        <v>39.5</v>
      </c>
      <c r="E34" s="5" t="n"/>
      <c r="F34" s="5" t="n"/>
      <c r="G34" s="5" t="n"/>
      <c r="H34" s="5" t="n"/>
      <c r="I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166" t="n"/>
      <c r="Z34" s="5" t="n"/>
      <c r="AA34" s="5" t="n"/>
      <c r="AF34" s="5" t="n"/>
      <c r="AG34" s="5" t="n"/>
      <c r="AH34" s="5" t="n"/>
      <c r="AI34" s="5" t="n"/>
      <c r="AJ34" s="5" t="n"/>
      <c r="AK34" s="166" t="n"/>
      <c r="AL34" s="5" t="n"/>
      <c r="AM34" s="5" t="n"/>
      <c r="AR34" s="5" t="n"/>
      <c r="AS34" s="5" t="n"/>
      <c r="AX34" s="5" t="n"/>
      <c r="AY34" s="5" t="n"/>
      <c r="BD34" s="5" t="n"/>
      <c r="BE34" s="5" t="n"/>
      <c r="BJ34" s="5" t="n"/>
      <c r="BK34" s="5" t="n"/>
      <c r="BP34" s="5" t="n"/>
      <c r="BQ34" s="5" t="n"/>
      <c r="BV34" s="5" t="n"/>
      <c r="BW34" s="5" t="n"/>
      <c r="BX34" s="5" t="n"/>
      <c r="BY34" s="5" t="n"/>
      <c r="BZ34" s="5" t="n"/>
      <c r="CA34" s="5" t="n"/>
      <c r="CF34" s="5" t="n"/>
    </row>
    <row r="35" ht="16.5" customHeight="1" s="241">
      <c r="A35" s="171" t="n">
        <v>25</v>
      </c>
      <c r="B35" s="171" t="n">
        <v>44</v>
      </c>
      <c r="C35" s="171" t="inlineStr">
        <is>
          <t>Plena Vital 3</t>
        </is>
      </c>
      <c r="D35" s="170" t="n">
        <v>51</v>
      </c>
      <c r="E35" s="5" t="n"/>
      <c r="F35" s="5" t="n"/>
      <c r="G35" s="5" t="n"/>
      <c r="H35" s="5" t="n"/>
      <c r="I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166" t="n"/>
      <c r="Z35" s="5" t="n"/>
      <c r="AA35" s="5" t="n"/>
      <c r="AF35" s="5" t="n"/>
      <c r="AG35" s="5" t="n"/>
      <c r="AH35" s="5" t="n"/>
      <c r="AI35" s="5" t="n"/>
      <c r="AJ35" s="5" t="n"/>
      <c r="AK35" s="166" t="n"/>
      <c r="AL35" s="5" t="n"/>
      <c r="AM35" s="5" t="n"/>
      <c r="AR35" s="5" t="n"/>
      <c r="AS35" s="5" t="n"/>
      <c r="AX35" s="5" t="n"/>
      <c r="AY35" s="5" t="n"/>
      <c r="BD35" s="5" t="n"/>
      <c r="BE35" s="5" t="n"/>
      <c r="BJ35" s="5" t="n"/>
      <c r="BK35" s="5" t="n"/>
      <c r="BP35" s="5" t="n"/>
      <c r="BQ35" s="5" t="n"/>
      <c r="BV35" s="5" t="n"/>
      <c r="BW35" s="5" t="n"/>
      <c r="BX35" s="5" t="n"/>
      <c r="BY35" s="5" t="n"/>
      <c r="BZ35" s="5" t="n"/>
      <c r="CA35" s="5" t="n"/>
      <c r="CF35" s="5" t="n"/>
    </row>
    <row r="36" ht="16.5" customHeight="1" s="241">
      <c r="A36" s="171" t="n">
        <v>45</v>
      </c>
      <c r="B36" s="171" t="n">
        <v>54</v>
      </c>
      <c r="C36" s="171" t="inlineStr">
        <is>
          <t>Plena Vital 3</t>
        </is>
      </c>
      <c r="D36" s="170" t="n">
        <v>63</v>
      </c>
      <c r="E36" s="5" t="n"/>
      <c r="F36" s="5" t="n"/>
      <c r="G36" s="5" t="n"/>
      <c r="H36" s="5" t="n"/>
      <c r="I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166" t="n"/>
      <c r="Z36" s="5" t="n"/>
      <c r="AA36" s="5" t="n"/>
      <c r="AF36" s="5" t="n"/>
      <c r="AG36" s="5" t="n"/>
      <c r="AH36" s="5" t="n"/>
      <c r="AI36" s="5" t="n"/>
      <c r="AJ36" s="5" t="n"/>
      <c r="AK36" s="166" t="n"/>
      <c r="AL36" s="5" t="n"/>
      <c r="AM36" s="5" t="n"/>
      <c r="AR36" s="5" t="n"/>
      <c r="AS36" s="5" t="n"/>
      <c r="AX36" s="5" t="n"/>
      <c r="AY36" s="5" t="n"/>
      <c r="BD36" s="5" t="n"/>
      <c r="BE36" s="5" t="n"/>
      <c r="BJ36" s="5" t="n"/>
      <c r="BK36" s="5" t="n"/>
      <c r="BP36" s="5" t="n"/>
      <c r="BQ36" s="5" t="n"/>
      <c r="BV36" s="5" t="n"/>
      <c r="BW36" s="5" t="n"/>
      <c r="BX36" s="5" t="n"/>
      <c r="BY36" s="5" t="n"/>
      <c r="BZ36" s="5" t="n"/>
      <c r="CA36" s="5" t="n"/>
      <c r="CF36" s="5" t="n"/>
    </row>
    <row r="37" ht="16.5" customHeight="1" s="241">
      <c r="A37" s="171" t="n">
        <v>55</v>
      </c>
      <c r="B37" s="171" t="n">
        <v>59</v>
      </c>
      <c r="C37" s="171" t="inlineStr">
        <is>
          <t>Plena Vital 3</t>
        </is>
      </c>
      <c r="D37" s="170" t="n">
        <v>96.5</v>
      </c>
      <c r="E37" s="5" t="n"/>
      <c r="F37" s="5" t="n"/>
      <c r="G37" s="5" t="n"/>
      <c r="H37" s="5" t="n"/>
      <c r="I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166" t="n"/>
      <c r="Z37" s="5" t="n"/>
      <c r="AA37" s="5" t="n"/>
      <c r="AF37" s="5" t="n"/>
      <c r="AG37" s="5" t="n"/>
      <c r="AH37" s="5" t="n"/>
      <c r="AI37" s="5" t="n"/>
      <c r="AJ37" s="5" t="n"/>
      <c r="AK37" s="166" t="n"/>
      <c r="AL37" s="5" t="n"/>
      <c r="AM37" s="5" t="n"/>
      <c r="AR37" s="5" t="n"/>
      <c r="AS37" s="5" t="n"/>
      <c r="AX37" s="5" t="n"/>
      <c r="AY37" s="5" t="n"/>
      <c r="BD37" s="5" t="n"/>
      <c r="BE37" s="5" t="n"/>
      <c r="BJ37" s="5" t="n"/>
      <c r="BK37" s="5" t="n"/>
      <c r="BP37" s="5" t="n"/>
      <c r="BQ37" s="5" t="n"/>
      <c r="BV37" s="5" t="n"/>
      <c r="BW37" s="5" t="n"/>
      <c r="BX37" s="5" t="n"/>
      <c r="BY37" s="5" t="n"/>
      <c r="BZ37" s="5" t="n"/>
      <c r="CA37" s="5" t="n"/>
      <c r="CF37" s="5" t="n"/>
    </row>
    <row r="38" ht="16.5" customHeight="1" s="241">
      <c r="A38" s="171" t="n">
        <v>60</v>
      </c>
      <c r="B38" s="171" t="n">
        <v>64</v>
      </c>
      <c r="C38" s="171" t="inlineStr">
        <is>
          <t>Plena Vital 3</t>
        </is>
      </c>
      <c r="D38" s="170" t="n">
        <v>124</v>
      </c>
      <c r="E38" s="5" t="n"/>
      <c r="F38" s="5" t="n"/>
      <c r="G38" s="5" t="n"/>
      <c r="H38" s="5" t="n"/>
      <c r="I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166" t="n"/>
      <c r="Z38" s="5" t="n"/>
      <c r="AA38" s="5" t="n"/>
      <c r="AF38" s="5" t="n"/>
      <c r="AG38" s="5" t="n"/>
      <c r="AH38" s="5" t="n"/>
      <c r="AI38" s="5" t="n"/>
      <c r="AJ38" s="5" t="n"/>
      <c r="AK38" s="166" t="n"/>
      <c r="AL38" s="5" t="n"/>
      <c r="AM38" s="5" t="n"/>
      <c r="AR38" s="5" t="n"/>
      <c r="AS38" s="5" t="n"/>
      <c r="AX38" s="5" t="n"/>
      <c r="AY38" s="5" t="n"/>
      <c r="BD38" s="5" t="n"/>
      <c r="BE38" s="5" t="n"/>
      <c r="BJ38" s="5" t="n"/>
      <c r="BK38" s="5" t="n"/>
      <c r="BP38" s="5" t="n"/>
      <c r="BQ38" s="5" t="n"/>
      <c r="BV38" s="5" t="n"/>
      <c r="BW38" s="5" t="n"/>
      <c r="BX38" s="5" t="n"/>
      <c r="BY38" s="5" t="n"/>
      <c r="BZ38" s="5" t="n"/>
      <c r="CA38" s="5" t="n"/>
      <c r="CF38" s="5" t="n"/>
    </row>
    <row r="39" ht="16.5" customHeight="1" s="241">
      <c r="A39" s="171" t="n">
        <v>65</v>
      </c>
      <c r="B39" s="171" t="n">
        <v>69</v>
      </c>
      <c r="C39" s="171" t="inlineStr">
        <is>
          <t>Plena Vital 3</t>
        </is>
      </c>
      <c r="D39" s="170" t="n">
        <v>167</v>
      </c>
      <c r="E39" s="5" t="n"/>
      <c r="F39" s="5" t="n"/>
      <c r="G39" s="5" t="n"/>
      <c r="H39" s="5" t="n"/>
      <c r="I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166" t="n"/>
      <c r="Z39" s="5" t="n"/>
      <c r="AA39" s="5" t="n"/>
      <c r="AF39" s="5" t="n"/>
      <c r="AG39" s="5" t="n"/>
      <c r="AH39" s="5" t="n"/>
      <c r="AI39" s="5" t="n"/>
      <c r="AJ39" s="5" t="n"/>
      <c r="AK39" s="166" t="n"/>
      <c r="AL39" s="5" t="n"/>
      <c r="AM39" s="5" t="n"/>
      <c r="AR39" s="5" t="n"/>
      <c r="AS39" s="5" t="n"/>
      <c r="AX39" s="5" t="n"/>
      <c r="AY39" s="5" t="n"/>
      <c r="BD39" s="5" t="n"/>
      <c r="BE39" s="5" t="n"/>
      <c r="BJ39" s="5" t="n"/>
      <c r="BK39" s="5" t="n"/>
      <c r="BP39" s="5" t="n"/>
      <c r="BQ39" s="5" t="n"/>
      <c r="BV39" s="5" t="n"/>
      <c r="BW39" s="5" t="n"/>
      <c r="BX39" s="5" t="n"/>
      <c r="BY39" s="5" t="n"/>
      <c r="BZ39" s="5" t="n"/>
      <c r="CA39" s="5" t="n"/>
      <c r="CF39" s="5" t="n"/>
    </row>
    <row r="40" ht="16.5" customHeight="1" s="241">
      <c r="A40" s="171" t="n">
        <v>70</v>
      </c>
      <c r="B40" s="171" t="n">
        <v>120</v>
      </c>
      <c r="C40" s="171" t="inlineStr">
        <is>
          <t>Plena Vital 3</t>
        </is>
      </c>
      <c r="D40" s="170" t="n">
        <v>179</v>
      </c>
      <c r="E40" s="5" t="n"/>
      <c r="F40" s="5" t="n"/>
      <c r="G40" s="5" t="n"/>
      <c r="H40" s="5" t="n"/>
      <c r="I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166" t="n"/>
      <c r="Z40" s="5" t="n"/>
      <c r="AA40" s="5" t="n"/>
      <c r="AF40" s="5" t="n"/>
      <c r="AG40" s="5" t="n"/>
      <c r="AH40" s="5" t="n"/>
      <c r="AI40" s="5" t="n"/>
      <c r="AJ40" s="5" t="n"/>
      <c r="AK40" s="166" t="n"/>
      <c r="AL40" s="5" t="n"/>
      <c r="AM40" s="5" t="n"/>
      <c r="AR40" s="5" t="n"/>
      <c r="AS40" s="5" t="n"/>
      <c r="AX40" s="5" t="n"/>
      <c r="AY40" s="5" t="n"/>
      <c r="BD40" s="5" t="n"/>
      <c r="BE40" s="5" t="n"/>
      <c r="BJ40" s="5" t="n"/>
      <c r="BK40" s="5" t="n"/>
      <c r="BP40" s="5" t="n"/>
      <c r="BQ40" s="5" t="n"/>
      <c r="BV40" s="5" t="n"/>
      <c r="BW40" s="5" t="n"/>
      <c r="BX40" s="5" t="n"/>
      <c r="BY40" s="5" t="n"/>
      <c r="BZ40" s="5" t="n"/>
      <c r="CA40" s="5" t="n"/>
      <c r="CF40" s="5" t="n"/>
    </row>
    <row r="41" ht="16.5" customHeight="1" s="241">
      <c r="A41" s="171" t="n">
        <v>0</v>
      </c>
      <c r="B41" s="171" t="n">
        <v>24</v>
      </c>
      <c r="C41" s="171" t="inlineStr">
        <is>
          <t>Plena Vital 4</t>
        </is>
      </c>
      <c r="D41" s="170" t="n">
        <v>40</v>
      </c>
      <c r="E41" s="5" t="n"/>
      <c r="F41" s="5" t="n"/>
      <c r="G41" s="5" t="n"/>
      <c r="H41" s="5" t="n"/>
      <c r="I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166" t="n"/>
      <c r="Z41" s="5" t="n"/>
      <c r="AA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R41" s="5" t="n"/>
      <c r="AS41" s="5" t="n"/>
      <c r="AX41" s="5" t="n"/>
      <c r="AY41" s="5" t="n"/>
      <c r="BD41" s="5" t="n"/>
      <c r="BE41" s="5" t="n"/>
      <c r="BJ41" s="5" t="n"/>
      <c r="BK41" s="5" t="n"/>
      <c r="BP41" s="5" t="n"/>
      <c r="BQ41" s="5" t="n"/>
      <c r="BV41" s="5" t="n"/>
      <c r="BW41" s="5" t="n"/>
      <c r="BX41" s="5" t="n"/>
      <c r="BY41" s="5" t="n"/>
      <c r="BZ41" s="5" t="n"/>
      <c r="CA41" s="5" t="n"/>
      <c r="CF41" s="5" t="n"/>
    </row>
    <row r="42" ht="16.5" customHeight="1" s="241">
      <c r="A42" s="171" t="n">
        <v>25</v>
      </c>
      <c r="B42" s="171" t="n">
        <v>44</v>
      </c>
      <c r="C42" s="171" t="inlineStr">
        <is>
          <t>Plena Vital 4</t>
        </is>
      </c>
      <c r="D42" s="170" t="n">
        <v>52</v>
      </c>
      <c r="E42" s="5" t="n"/>
      <c r="F42" s="5" t="n"/>
      <c r="G42" s="5" t="n"/>
      <c r="H42" s="5" t="n"/>
      <c r="I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166" t="n"/>
      <c r="Z42" s="5" t="n"/>
      <c r="AA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R42" s="5" t="n"/>
      <c r="AS42" s="5" t="n"/>
      <c r="AX42" s="5" t="n"/>
      <c r="AY42" s="5" t="n"/>
      <c r="BD42" s="5" t="n"/>
      <c r="BE42" s="5" t="n"/>
      <c r="BJ42" s="5" t="n"/>
      <c r="BK42" s="5" t="n"/>
      <c r="BP42" s="5" t="n"/>
      <c r="BQ42" s="5" t="n"/>
      <c r="BV42" s="5" t="n"/>
      <c r="BW42" s="5" t="n"/>
      <c r="BX42" s="5" t="n"/>
      <c r="BY42" s="5" t="n"/>
      <c r="BZ42" s="5" t="n"/>
      <c r="CA42" s="5" t="n"/>
      <c r="CF42" s="5" t="n"/>
    </row>
    <row r="43" ht="16.5" customHeight="1" s="241">
      <c r="A43" s="171" t="n">
        <v>45</v>
      </c>
      <c r="B43" s="171" t="n">
        <v>54</v>
      </c>
      <c r="C43" s="171" t="inlineStr">
        <is>
          <t>Plena Vital 4</t>
        </is>
      </c>
      <c r="D43" s="170" t="n">
        <v>64</v>
      </c>
      <c r="E43" s="5" t="n"/>
      <c r="F43" s="5" t="n"/>
      <c r="G43" s="5" t="n"/>
      <c r="H43" s="5" t="n"/>
      <c r="I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166" t="n"/>
      <c r="Z43" s="5" t="n"/>
      <c r="AA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R43" s="5" t="n"/>
      <c r="AS43" s="5" t="n"/>
      <c r="AX43" s="5" t="n"/>
      <c r="AY43" s="5" t="n"/>
      <c r="BD43" s="5" t="n"/>
      <c r="BE43" s="5" t="n"/>
      <c r="BJ43" s="5" t="n"/>
      <c r="BK43" s="5" t="n"/>
      <c r="BP43" s="5" t="n"/>
      <c r="BQ43" s="5" t="n"/>
      <c r="BV43" s="5" t="n"/>
      <c r="BW43" s="5" t="n"/>
      <c r="BX43" s="5" t="n"/>
      <c r="BY43" s="5" t="n"/>
      <c r="BZ43" s="5" t="n"/>
      <c r="CA43" s="5" t="n"/>
      <c r="CF43" s="5" t="n"/>
    </row>
    <row r="44" ht="16.5" customHeight="1" s="241">
      <c r="A44" s="171" t="n">
        <v>55</v>
      </c>
      <c r="B44" s="171" t="n">
        <v>59</v>
      </c>
      <c r="C44" s="171" t="inlineStr">
        <is>
          <t>Plena Vital 4</t>
        </is>
      </c>
      <c r="D44" s="170" t="n">
        <v>99</v>
      </c>
      <c r="E44" s="5" t="n"/>
      <c r="F44" s="5" t="n"/>
      <c r="G44" s="5" t="n"/>
      <c r="H44" s="5" t="n"/>
      <c r="I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166" t="n"/>
      <c r="Z44" s="5" t="n"/>
      <c r="AA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BD44" s="5" t="n"/>
      <c r="BE44" s="5" t="n"/>
      <c r="BJ44" s="5" t="n"/>
      <c r="BK44" s="5" t="n"/>
      <c r="BP44" s="5" t="n"/>
      <c r="BQ44" s="5" t="n"/>
      <c r="BV44" s="5" t="n"/>
      <c r="BW44" s="5" t="n"/>
      <c r="BX44" s="5" t="n"/>
      <c r="BY44" s="5" t="n"/>
      <c r="BZ44" s="5" t="n"/>
      <c r="CA44" s="5" t="n"/>
      <c r="CF44" s="5" t="n"/>
    </row>
    <row r="45" ht="16.5" customHeight="1" s="241">
      <c r="A45" s="171" t="n">
        <v>60</v>
      </c>
      <c r="B45" s="171" t="n">
        <v>64</v>
      </c>
      <c r="C45" s="171" t="inlineStr">
        <is>
          <t>Plena Vital 4</t>
        </is>
      </c>
      <c r="D45" s="170" t="n">
        <v>125.5</v>
      </c>
      <c r="E45" s="5" t="n"/>
      <c r="F45" s="5" t="n"/>
      <c r="G45" s="5" t="n"/>
      <c r="H45" s="5" t="n"/>
      <c r="I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166" t="n"/>
      <c r="Z45" s="5" t="n"/>
      <c r="AA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BD45" s="5" t="n"/>
      <c r="BE45" s="5" t="n"/>
      <c r="BJ45" s="5" t="n"/>
      <c r="BK45" s="5" t="n"/>
      <c r="BP45" s="5" t="n"/>
      <c r="BQ45" s="5" t="n"/>
      <c r="BV45" s="5" t="n"/>
      <c r="BW45" s="5" t="n"/>
      <c r="BX45" s="5" t="n"/>
      <c r="BY45" s="5" t="n"/>
      <c r="BZ45" s="5" t="n"/>
      <c r="CA45" s="5" t="n"/>
      <c r="CF45" s="5" t="n"/>
    </row>
    <row r="46" ht="16.5" customHeight="1" s="241">
      <c r="A46" s="171" t="n">
        <v>65</v>
      </c>
      <c r="B46" s="171" t="n">
        <v>69</v>
      </c>
      <c r="C46" s="171" t="inlineStr">
        <is>
          <t>Plena Vital 4</t>
        </is>
      </c>
      <c r="D46" s="170" t="n">
        <v>167.5</v>
      </c>
      <c r="E46" s="5" t="n"/>
      <c r="F46" s="5" t="n"/>
      <c r="G46" s="5" t="n"/>
      <c r="H46" s="5" t="n"/>
      <c r="I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BD46" s="5" t="n"/>
      <c r="BE46" s="5" t="n"/>
      <c r="BJ46" s="5" t="n"/>
      <c r="BK46" s="5" t="n"/>
      <c r="BP46" s="5" t="n"/>
      <c r="BQ46" s="5" t="n"/>
      <c r="BV46" s="5" t="n"/>
      <c r="BW46" s="5" t="n"/>
      <c r="BX46" s="5" t="n"/>
      <c r="BY46" s="5" t="n"/>
      <c r="BZ46" s="5" t="n"/>
      <c r="CA46" s="5" t="n"/>
      <c r="CF46" s="5" t="n"/>
    </row>
    <row r="47" ht="16.5" customHeight="1" s="241">
      <c r="A47" s="171" t="n">
        <v>70</v>
      </c>
      <c r="B47" s="171" t="n">
        <v>120</v>
      </c>
      <c r="C47" s="171" t="inlineStr">
        <is>
          <t>Plena Vital 4</t>
        </is>
      </c>
      <c r="D47" s="170" t="n">
        <v>180</v>
      </c>
      <c r="E47" s="5" t="n"/>
      <c r="F47" s="5" t="n"/>
      <c r="G47" s="5" t="n"/>
      <c r="H47" s="5" t="n"/>
      <c r="I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BD47" s="5" t="n"/>
      <c r="BE47" s="5" t="n"/>
      <c r="BJ47" s="5" t="n"/>
      <c r="BK47" s="5" t="n"/>
      <c r="BP47" s="5" t="n"/>
      <c r="BQ47" s="5" t="n"/>
      <c r="BV47" s="5" t="n"/>
      <c r="BW47" s="5" t="n"/>
      <c r="BX47" s="5" t="n"/>
      <c r="BY47" s="5" t="n"/>
      <c r="BZ47" s="5" t="n"/>
      <c r="CA47" s="5" t="n"/>
      <c r="CF47" s="5" t="n"/>
    </row>
    <row r="48" ht="16.5" customHeight="1" s="241">
      <c r="A48" s="171" t="n">
        <v>0</v>
      </c>
      <c r="B48" s="171" t="n">
        <v>24</v>
      </c>
      <c r="C48" s="171" t="inlineStr">
        <is>
          <t>Plena Vital 5</t>
        </is>
      </c>
      <c r="D48" s="170" t="n">
        <v>41</v>
      </c>
      <c r="E48" s="5" t="n"/>
      <c r="F48" s="5" t="n"/>
      <c r="G48" s="5" t="n"/>
      <c r="H48" s="5" t="n"/>
      <c r="I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BD48" s="5" t="n"/>
      <c r="BE48" s="5" t="n"/>
      <c r="BJ48" s="5" t="n"/>
      <c r="BK48" s="5" t="n"/>
      <c r="BP48" s="5" t="n"/>
      <c r="BQ48" s="5" t="n"/>
      <c r="BV48" s="5" t="n"/>
      <c r="BW48" s="5" t="n"/>
      <c r="BX48" s="5" t="n"/>
      <c r="BY48" s="5" t="n"/>
      <c r="BZ48" s="5" t="n"/>
      <c r="CA48" s="5" t="n"/>
      <c r="CF48" s="5" t="n"/>
    </row>
    <row r="49" ht="16.5" customHeight="1" s="241">
      <c r="A49" s="171" t="n">
        <v>25</v>
      </c>
      <c r="B49" s="171" t="n">
        <v>44</v>
      </c>
      <c r="C49" s="171" t="inlineStr">
        <is>
          <t>Plena Vital 5</t>
        </is>
      </c>
      <c r="D49" s="170" t="n">
        <v>53.5</v>
      </c>
      <c r="E49" s="5" t="n"/>
      <c r="F49" s="5" t="n"/>
      <c r="G49" s="5" t="n"/>
      <c r="H49" s="5" t="n"/>
      <c r="I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BD49" s="5" t="n"/>
      <c r="BE49" s="5" t="n"/>
      <c r="BJ49" s="5" t="n"/>
      <c r="BK49" s="5" t="n"/>
      <c r="BP49" s="5" t="n"/>
      <c r="BQ49" s="5" t="n"/>
      <c r="BV49" s="5" t="n"/>
      <c r="BW49" s="5" t="n"/>
      <c r="BX49" s="5" t="n"/>
      <c r="BY49" s="5" t="n"/>
      <c r="BZ49" s="5" t="n"/>
      <c r="CA49" s="5" t="n"/>
      <c r="CF49" s="5" t="n"/>
    </row>
    <row r="50" ht="16.5" customHeight="1" s="241">
      <c r="A50" s="171" t="n">
        <v>45</v>
      </c>
      <c r="B50" s="171" t="n">
        <v>54</v>
      </c>
      <c r="C50" s="171" t="inlineStr">
        <is>
          <t>Plena Vital 5</t>
        </is>
      </c>
      <c r="D50" s="170" t="n">
        <v>66</v>
      </c>
      <c r="E50" s="5" t="n"/>
      <c r="F50" s="5" t="n"/>
      <c r="G50" s="5" t="n"/>
      <c r="H50" s="5" t="n"/>
      <c r="I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BD50" s="5" t="n"/>
      <c r="BE50" s="5" t="n"/>
      <c r="BJ50" s="5" t="n"/>
      <c r="BK50" s="5" t="n"/>
      <c r="BP50" s="5" t="n"/>
      <c r="BQ50" s="5" t="n"/>
      <c r="BV50" s="5" t="n"/>
      <c r="BW50" s="5" t="n"/>
      <c r="BX50" s="5" t="n"/>
      <c r="BY50" s="5" t="n"/>
      <c r="BZ50" s="5" t="n"/>
      <c r="CA50" s="5" t="n"/>
      <c r="CF50" s="5" t="n"/>
    </row>
    <row r="51" ht="16.5" customHeight="1" s="241">
      <c r="A51" s="171" t="n">
        <v>55</v>
      </c>
      <c r="B51" s="171" t="n">
        <v>59</v>
      </c>
      <c r="C51" s="171" t="inlineStr">
        <is>
          <t>Plena Vital 5</t>
        </is>
      </c>
      <c r="D51" s="170" t="n">
        <v>101</v>
      </c>
      <c r="E51" s="5" t="n"/>
      <c r="F51" s="5" t="n"/>
      <c r="G51" s="5" t="n"/>
      <c r="H51" s="5" t="n"/>
      <c r="I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BD51" s="5" t="n"/>
      <c r="BE51" s="5" t="n"/>
      <c r="BJ51" s="5" t="n"/>
      <c r="BK51" s="5" t="n"/>
      <c r="BP51" s="5" t="n"/>
      <c r="BQ51" s="5" t="n"/>
      <c r="BV51" s="5" t="n"/>
      <c r="BW51" s="5" t="n"/>
      <c r="BX51" s="5" t="n"/>
      <c r="BY51" s="5" t="n"/>
      <c r="BZ51" s="5" t="n"/>
      <c r="CA51" s="5" t="n"/>
      <c r="CF51" s="5" t="n"/>
    </row>
    <row r="52" ht="16.5" customHeight="1" s="241">
      <c r="A52" s="171" t="n">
        <v>60</v>
      </c>
      <c r="B52" s="171" t="n">
        <v>64</v>
      </c>
      <c r="C52" s="171" t="inlineStr">
        <is>
          <t>Plena Vital 5</t>
        </is>
      </c>
      <c r="D52" s="170" t="n">
        <v>126</v>
      </c>
      <c r="E52" s="5" t="n"/>
      <c r="F52" s="5" t="n"/>
      <c r="G52" s="5" t="n"/>
      <c r="H52" s="5" t="n"/>
      <c r="I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BD52" s="5" t="n"/>
      <c r="BE52" s="5" t="n"/>
      <c r="BJ52" s="5" t="n"/>
      <c r="BK52" s="5" t="n"/>
      <c r="BP52" s="5" t="n"/>
      <c r="BQ52" s="5" t="n"/>
      <c r="BV52" s="5" t="n"/>
      <c r="BW52" s="5" t="n"/>
      <c r="BX52" s="5" t="n"/>
      <c r="BY52" s="5" t="n"/>
      <c r="BZ52" s="5" t="n"/>
      <c r="CA52" s="5" t="n"/>
      <c r="CF52" s="5" t="n"/>
    </row>
    <row r="53" ht="16.5" customHeight="1" s="241">
      <c r="A53" s="171" t="n">
        <v>65</v>
      </c>
      <c r="B53" s="171" t="n">
        <v>69</v>
      </c>
      <c r="C53" s="171" t="inlineStr">
        <is>
          <t>Plena Vital 5</t>
        </is>
      </c>
      <c r="D53" s="170" t="n">
        <v>168</v>
      </c>
      <c r="E53" s="5" t="n"/>
      <c r="F53" s="5" t="n"/>
      <c r="G53" s="5" t="n"/>
      <c r="H53" s="5" t="n"/>
      <c r="I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BD53" s="5" t="n"/>
      <c r="BE53" s="5" t="n"/>
      <c r="BJ53" s="5" t="n"/>
      <c r="BK53" s="5" t="n"/>
      <c r="BP53" s="5" t="n"/>
      <c r="BQ53" s="5" t="n"/>
      <c r="BV53" s="5" t="n"/>
      <c r="BW53" s="5" t="n"/>
      <c r="BX53" s="5" t="n"/>
      <c r="BY53" s="5" t="n"/>
      <c r="BZ53" s="5" t="n"/>
      <c r="CA53" s="5" t="n"/>
      <c r="CF53" s="5" t="n"/>
    </row>
    <row r="54" ht="16.5" customHeight="1" s="241">
      <c r="A54" s="171" t="n">
        <v>70</v>
      </c>
      <c r="B54" s="171" t="n">
        <v>120</v>
      </c>
      <c r="C54" s="171" t="inlineStr">
        <is>
          <t>Plena Vital 5</t>
        </is>
      </c>
      <c r="D54" s="170" t="n">
        <v>181</v>
      </c>
      <c r="E54" s="5" t="n"/>
      <c r="F54" s="5" t="n"/>
      <c r="G54" s="5" t="n"/>
      <c r="H54" s="5" t="n"/>
      <c r="I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BD54" s="5" t="n"/>
      <c r="BE54" s="5" t="n"/>
      <c r="BJ54" s="5" t="n"/>
      <c r="BK54" s="5" t="n"/>
      <c r="BP54" s="5" t="n"/>
      <c r="BQ54" s="5" t="n"/>
      <c r="BV54" s="5" t="n"/>
      <c r="BW54" s="5" t="n"/>
      <c r="BX54" s="5" t="n"/>
      <c r="BY54" s="5" t="n"/>
      <c r="BZ54" s="5" t="n"/>
      <c r="CA54" s="5" t="n"/>
      <c r="CF54" s="5" t="n"/>
    </row>
    <row r="55" ht="16.5" customHeight="1" s="241">
      <c r="A55" s="171" t="n">
        <v>0</v>
      </c>
      <c r="B55" s="171" t="n">
        <v>24</v>
      </c>
      <c r="C55" s="171" t="inlineStr">
        <is>
          <t>Plena Vital 6</t>
        </is>
      </c>
      <c r="D55" s="170" t="n">
        <v>42.5</v>
      </c>
      <c r="E55" s="5" t="n"/>
      <c r="F55" s="5" t="n"/>
      <c r="G55" s="5" t="n"/>
      <c r="H55" s="5" t="n"/>
      <c r="I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BD55" s="5" t="n"/>
      <c r="BE55" s="5" t="n"/>
      <c r="BJ55" s="5" t="n"/>
      <c r="BK55" s="5" t="n"/>
      <c r="BP55" s="5" t="n"/>
      <c r="BQ55" s="5" t="n"/>
      <c r="BV55" s="5" t="n"/>
      <c r="BW55" s="5" t="n"/>
      <c r="BX55" s="5" t="n"/>
      <c r="BY55" s="5" t="n"/>
      <c r="BZ55" s="5" t="n"/>
      <c r="CA55" s="5" t="n"/>
      <c r="CF55" s="5" t="n"/>
    </row>
    <row r="56" ht="16.5" customHeight="1" s="241">
      <c r="A56" s="171" t="n">
        <v>25</v>
      </c>
      <c r="B56" s="171" t="n">
        <v>44</v>
      </c>
      <c r="C56" s="171" t="inlineStr">
        <is>
          <t>Plena Vital 6</t>
        </is>
      </c>
      <c r="D56" s="170" t="n">
        <v>54</v>
      </c>
      <c r="E56" s="5" t="n"/>
      <c r="F56" s="5" t="n"/>
      <c r="G56" s="5" t="n"/>
      <c r="H56" s="5" t="n"/>
      <c r="I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BD56" s="5" t="n"/>
      <c r="BE56" s="5" t="n"/>
      <c r="BJ56" s="5" t="n"/>
      <c r="BK56" s="5" t="n"/>
      <c r="BP56" s="5" t="n"/>
      <c r="BQ56" s="5" t="n"/>
      <c r="BV56" s="5" t="n"/>
      <c r="BW56" s="5" t="n"/>
      <c r="BX56" s="5" t="n"/>
      <c r="BY56" s="5" t="n"/>
      <c r="BZ56" s="5" t="n"/>
      <c r="CA56" s="5" t="n"/>
      <c r="CF56" s="5" t="n"/>
    </row>
    <row r="57" ht="16.5" customHeight="1" s="241">
      <c r="A57" s="171" t="n">
        <v>45</v>
      </c>
      <c r="B57" s="171" t="n">
        <v>54</v>
      </c>
      <c r="C57" s="171" t="inlineStr">
        <is>
          <t>Plena Vital 6</t>
        </is>
      </c>
      <c r="D57" s="170" t="n">
        <v>66.5</v>
      </c>
      <c r="E57" s="5" t="n"/>
      <c r="F57" s="5" t="n"/>
      <c r="G57" s="5" t="n"/>
      <c r="H57" s="5" t="n"/>
      <c r="I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BD57" s="5" t="n"/>
      <c r="BE57" s="5" t="n"/>
      <c r="BJ57" s="5" t="n"/>
      <c r="BK57" s="5" t="n"/>
      <c r="BP57" s="5" t="n"/>
      <c r="BQ57" s="5" t="n"/>
      <c r="BV57" s="5" t="n"/>
      <c r="BW57" s="5" t="n"/>
      <c r="BX57" s="5" t="n"/>
      <c r="BY57" s="5" t="n"/>
      <c r="BZ57" s="5" t="n"/>
      <c r="CA57" s="5" t="n"/>
      <c r="CF57" s="5" t="n"/>
    </row>
    <row r="58" ht="16.5" customHeight="1" s="241">
      <c r="A58" s="171" t="n">
        <v>55</v>
      </c>
      <c r="B58" s="171" t="n">
        <v>59</v>
      </c>
      <c r="C58" s="171" t="inlineStr">
        <is>
          <t>Plena Vital 6</t>
        </is>
      </c>
      <c r="D58" s="170" t="n">
        <v>103</v>
      </c>
      <c r="E58" s="5" t="n"/>
      <c r="F58" s="5" t="n"/>
      <c r="G58" s="5" t="n"/>
      <c r="H58" s="5" t="n"/>
      <c r="I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BD58" s="5" t="n"/>
      <c r="BE58" s="5" t="n"/>
      <c r="BJ58" s="5" t="n"/>
      <c r="BK58" s="5" t="n"/>
      <c r="BP58" s="5" t="n"/>
      <c r="BQ58" s="5" t="n"/>
      <c r="BV58" s="5" t="n"/>
      <c r="BW58" s="5" t="n"/>
      <c r="BX58" s="5" t="n"/>
      <c r="BY58" s="5" t="n"/>
      <c r="BZ58" s="5" t="n"/>
      <c r="CA58" s="5" t="n"/>
      <c r="CF58" s="5" t="n"/>
    </row>
    <row r="59" ht="16.5" customHeight="1" s="241">
      <c r="A59" s="171" t="n">
        <v>60</v>
      </c>
      <c r="B59" s="171" t="n">
        <v>64</v>
      </c>
      <c r="C59" s="171" t="inlineStr">
        <is>
          <t>Plena Vital 6</t>
        </is>
      </c>
      <c r="D59" s="170" t="n">
        <v>127</v>
      </c>
      <c r="E59" s="5" t="n"/>
      <c r="F59" s="5" t="n"/>
      <c r="G59" s="5" t="n"/>
      <c r="H59" s="5" t="n"/>
      <c r="I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BD59" s="5" t="n"/>
      <c r="BE59" s="5" t="n"/>
      <c r="BJ59" s="5" t="n"/>
      <c r="BK59" s="5" t="n"/>
      <c r="BP59" s="5" t="n"/>
      <c r="BQ59" s="5" t="n"/>
      <c r="BV59" s="5" t="n"/>
      <c r="BW59" s="5" t="n"/>
      <c r="BX59" s="5" t="n"/>
      <c r="BY59" s="5" t="n"/>
      <c r="BZ59" s="5" t="n"/>
      <c r="CA59" s="5" t="n"/>
      <c r="CF59" s="5" t="n"/>
    </row>
    <row r="60" ht="16.5" customHeight="1" s="241">
      <c r="A60" s="171" t="n">
        <v>65</v>
      </c>
      <c r="B60" s="171" t="n">
        <v>69</v>
      </c>
      <c r="C60" s="171" t="inlineStr">
        <is>
          <t>Plena Vital 6</t>
        </is>
      </c>
      <c r="D60" s="170" t="n">
        <v>169</v>
      </c>
      <c r="E60" s="5" t="n"/>
      <c r="F60" s="5" t="n"/>
      <c r="G60" s="5" t="n"/>
      <c r="H60" s="5" t="n"/>
      <c r="I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BD60" s="5" t="n"/>
      <c r="BE60" s="5" t="n"/>
      <c r="BJ60" s="5" t="n"/>
      <c r="BK60" s="5" t="n"/>
      <c r="BP60" s="5" t="n"/>
      <c r="BQ60" s="5" t="n"/>
      <c r="BV60" s="5" t="n"/>
      <c r="BW60" s="5" t="n"/>
      <c r="BX60" s="5" t="n"/>
      <c r="BY60" s="5" t="n"/>
      <c r="BZ60" s="5" t="n"/>
      <c r="CA60" s="5" t="n"/>
      <c r="CF60" s="5" t="n"/>
    </row>
    <row r="61" ht="16.5" customHeight="1" s="241">
      <c r="A61" s="171" t="n">
        <v>70</v>
      </c>
      <c r="B61" s="171" t="n">
        <v>120</v>
      </c>
      <c r="C61" s="171" t="inlineStr">
        <is>
          <t>Plena Vital 6</t>
        </is>
      </c>
      <c r="D61" s="170" t="n">
        <v>182</v>
      </c>
      <c r="E61" s="5" t="n"/>
      <c r="F61" s="5" t="n"/>
      <c r="G61" s="5" t="n"/>
      <c r="H61" s="5" t="n"/>
      <c r="I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BD61" s="5" t="n"/>
      <c r="BE61" s="5" t="n"/>
      <c r="BJ61" s="5" t="n"/>
      <c r="BK61" s="5" t="n"/>
      <c r="BP61" s="5" t="n"/>
      <c r="BQ61" s="5" t="n"/>
      <c r="BV61" s="5" t="n"/>
      <c r="BW61" s="5" t="n"/>
      <c r="BX61" s="5" t="n"/>
      <c r="BY61" s="5" t="n"/>
      <c r="BZ61" s="5" t="n"/>
      <c r="CA61" s="5" t="n"/>
      <c r="CF61" s="5" t="n"/>
    </row>
    <row r="62" ht="16.5" customHeight="1" s="241">
      <c r="A62" s="171" t="n">
        <v>0</v>
      </c>
      <c r="B62" s="171" t="n">
        <v>24</v>
      </c>
      <c r="C62" s="171" t="inlineStr">
        <is>
          <t>Plena 1</t>
        </is>
      </c>
      <c r="D62" s="170" t="n">
        <v>50</v>
      </c>
      <c r="E62" s="5" t="n"/>
      <c r="F62" s="5" t="n"/>
      <c r="G62" s="5" t="n"/>
      <c r="H62" s="5" t="n"/>
      <c r="I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BD62" s="5" t="n"/>
      <c r="BE62" s="5" t="n"/>
      <c r="BJ62" s="5" t="n"/>
      <c r="BK62" s="5" t="n"/>
      <c r="BP62" s="5" t="n"/>
      <c r="BQ62" s="5" t="n"/>
      <c r="BV62" s="5" t="n"/>
      <c r="BW62" s="5" t="n"/>
      <c r="BX62" s="5" t="n"/>
      <c r="BY62" s="5" t="n"/>
      <c r="BZ62" s="5" t="n"/>
      <c r="CA62" s="5" t="n"/>
      <c r="CF62" s="5" t="n"/>
    </row>
    <row r="63" ht="16.5" customHeight="1" s="241">
      <c r="A63" s="171" t="n">
        <v>25</v>
      </c>
      <c r="B63" s="171" t="n">
        <v>44</v>
      </c>
      <c r="C63" s="171" t="inlineStr">
        <is>
          <t>Plena 1</t>
        </is>
      </c>
      <c r="D63" s="170" t="n">
        <v>60</v>
      </c>
      <c r="E63" s="5" t="n"/>
      <c r="F63" s="5" t="n"/>
      <c r="G63" s="5" t="n"/>
      <c r="H63" s="5" t="n"/>
      <c r="I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BD63" s="5" t="n"/>
      <c r="BE63" s="5" t="n"/>
      <c r="BJ63" s="5" t="n"/>
      <c r="BK63" s="5" t="n"/>
      <c r="BP63" s="5" t="n"/>
      <c r="BQ63" s="5" t="n"/>
      <c r="BV63" s="5" t="n"/>
      <c r="BW63" s="5" t="n"/>
      <c r="BX63" s="5" t="n"/>
      <c r="BY63" s="5" t="n"/>
      <c r="BZ63" s="5" t="n"/>
      <c r="CA63" s="5" t="n"/>
      <c r="CF63" s="5" t="n"/>
    </row>
    <row r="64" ht="16.5" customHeight="1" s="241">
      <c r="A64" s="171" t="n">
        <v>45</v>
      </c>
      <c r="B64" s="171" t="n">
        <v>54</v>
      </c>
      <c r="C64" s="171" t="inlineStr">
        <is>
          <t>Plena 1</t>
        </is>
      </c>
      <c r="D64" s="170" t="n">
        <v>72</v>
      </c>
      <c r="E64" s="5" t="n"/>
      <c r="F64" s="5" t="n"/>
      <c r="G64" s="5" t="n"/>
      <c r="H64" s="5" t="n"/>
      <c r="I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BD64" s="5" t="n"/>
      <c r="BE64" s="5" t="n"/>
      <c r="BJ64" s="5" t="n"/>
      <c r="BK64" s="5" t="n"/>
      <c r="BP64" s="5" t="n"/>
      <c r="BQ64" s="5" t="n"/>
      <c r="BV64" s="5" t="n"/>
      <c r="BW64" s="5" t="n"/>
      <c r="BX64" s="5" t="n"/>
      <c r="BY64" s="5" t="n"/>
      <c r="BZ64" s="5" t="n"/>
      <c r="CA64" s="5" t="n"/>
      <c r="CF64" s="5" t="n"/>
    </row>
    <row r="65" ht="16.5" customHeight="1" s="241">
      <c r="A65" s="171" t="n">
        <v>55</v>
      </c>
      <c r="B65" s="171" t="n">
        <v>59</v>
      </c>
      <c r="C65" s="171" t="inlineStr">
        <is>
          <t>Plena 1</t>
        </is>
      </c>
      <c r="D65" s="170" t="n">
        <v>105</v>
      </c>
      <c r="E65" s="5" t="n"/>
      <c r="F65" s="5" t="n"/>
      <c r="G65" s="5" t="n"/>
      <c r="H65" s="5" t="n"/>
      <c r="I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BD65" s="5" t="n"/>
      <c r="BE65" s="5" t="n"/>
      <c r="BJ65" s="5" t="n"/>
      <c r="BK65" s="5" t="n"/>
      <c r="BP65" s="5" t="n"/>
      <c r="BQ65" s="5" t="n"/>
      <c r="BV65" s="5" t="n"/>
      <c r="BW65" s="5" t="n"/>
      <c r="BX65" s="5" t="n"/>
      <c r="BY65" s="5" t="n"/>
      <c r="BZ65" s="5" t="n"/>
      <c r="CA65" s="5" t="n"/>
      <c r="CF65" s="5" t="n"/>
    </row>
    <row r="66" ht="16.5" customHeight="1" s="241">
      <c r="A66" s="171" t="n">
        <v>60</v>
      </c>
      <c r="B66" s="171" t="n">
        <v>64</v>
      </c>
      <c r="C66" s="171" t="inlineStr">
        <is>
          <t>Plena 1</t>
        </is>
      </c>
      <c r="D66" s="170" t="n">
        <v>128</v>
      </c>
      <c r="E66" s="5" t="n"/>
      <c r="F66" s="5" t="n"/>
      <c r="G66" s="5" t="n"/>
      <c r="H66" s="5" t="n"/>
      <c r="I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BD66" s="5" t="n"/>
      <c r="BE66" s="5" t="n"/>
      <c r="BJ66" s="5" t="n"/>
      <c r="BK66" s="5" t="n"/>
      <c r="BP66" s="5" t="n"/>
      <c r="BQ66" s="5" t="n"/>
      <c r="BV66" s="5" t="n"/>
      <c r="BW66" s="5" t="n"/>
      <c r="BX66" s="5" t="n"/>
      <c r="BY66" s="5" t="n"/>
      <c r="BZ66" s="5" t="n"/>
      <c r="CA66" s="5" t="n"/>
      <c r="CF66" s="5" t="n"/>
    </row>
    <row r="67" ht="16.5" customHeight="1" s="241">
      <c r="A67" s="171" t="n">
        <v>65</v>
      </c>
      <c r="B67" s="171" t="n">
        <v>69</v>
      </c>
      <c r="C67" s="171" t="inlineStr">
        <is>
          <t>Plena 1</t>
        </is>
      </c>
      <c r="D67" s="170" t="n">
        <v>166</v>
      </c>
      <c r="E67" s="5" t="n"/>
      <c r="F67" s="5" t="n"/>
      <c r="G67" s="5" t="n"/>
      <c r="H67" s="5" t="n"/>
      <c r="I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BD67" s="5" t="n"/>
      <c r="BE67" s="5" t="n"/>
      <c r="BJ67" s="5" t="n"/>
      <c r="BK67" s="5" t="n"/>
      <c r="BP67" s="5" t="n"/>
      <c r="BQ67" s="5" t="n"/>
      <c r="BV67" s="5" t="n"/>
      <c r="BW67" s="5" t="n"/>
      <c r="BX67" s="5" t="n"/>
      <c r="BY67" s="5" t="n"/>
      <c r="BZ67" s="5" t="n"/>
      <c r="CA67" s="5" t="n"/>
      <c r="CF67" s="5" t="n"/>
    </row>
    <row r="68" ht="16.5" customHeight="1" s="241">
      <c r="A68" s="171" t="n">
        <v>70</v>
      </c>
      <c r="B68" s="171" t="n">
        <v>120</v>
      </c>
      <c r="C68" s="171" t="inlineStr">
        <is>
          <t>Plena 1</t>
        </is>
      </c>
      <c r="D68" s="170" t="n">
        <v>225</v>
      </c>
      <c r="E68" s="5" t="n"/>
      <c r="F68" s="5" t="n"/>
      <c r="G68" s="5" t="n"/>
      <c r="H68" s="5" t="n"/>
      <c r="I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BD68" s="5" t="n"/>
      <c r="BE68" s="5" t="n"/>
      <c r="BJ68" s="5" t="n"/>
      <c r="BK68" s="5" t="n"/>
      <c r="BP68" s="5" t="n"/>
      <c r="BQ68" s="5" t="n"/>
      <c r="BV68" s="5" t="n"/>
      <c r="BW68" s="5" t="n"/>
      <c r="BX68" s="5" t="n"/>
      <c r="BY68" s="5" t="n"/>
      <c r="BZ68" s="5" t="n"/>
      <c r="CA68" s="5" t="n"/>
      <c r="CF68" s="5" t="n"/>
    </row>
    <row r="69" ht="16.5" customHeight="1" s="241">
      <c r="A69" s="171" t="n">
        <v>0</v>
      </c>
      <c r="B69" s="171" t="n">
        <v>24</v>
      </c>
      <c r="C69" s="171" t="inlineStr">
        <is>
          <t>Plena 2</t>
        </is>
      </c>
      <c r="D69" s="170" t="n">
        <v>51</v>
      </c>
      <c r="E69" s="5" t="n"/>
      <c r="F69" s="5" t="n"/>
      <c r="G69" s="5" t="n"/>
      <c r="H69" s="5" t="n"/>
      <c r="I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BD69" s="5" t="n"/>
      <c r="BE69" s="5" t="n"/>
      <c r="BJ69" s="5" t="n"/>
      <c r="BK69" s="5" t="n"/>
      <c r="BP69" s="5" t="n"/>
      <c r="BQ69" s="5" t="n"/>
      <c r="BV69" s="5" t="n"/>
      <c r="BW69" s="5" t="n"/>
      <c r="BX69" s="5" t="n"/>
      <c r="BY69" s="5" t="n"/>
      <c r="BZ69" s="5" t="n"/>
      <c r="CA69" s="5" t="n"/>
      <c r="CF69" s="5" t="n"/>
    </row>
    <row r="70" ht="16.5" customHeight="1" s="241">
      <c r="A70" s="171" t="n">
        <v>25</v>
      </c>
      <c r="B70" s="171" t="n">
        <v>44</v>
      </c>
      <c r="C70" s="171" t="inlineStr">
        <is>
          <t>Plena 2</t>
        </is>
      </c>
      <c r="D70" s="170" t="n">
        <v>62</v>
      </c>
      <c r="E70" s="5" t="n"/>
      <c r="F70" s="5" t="n"/>
      <c r="G70" s="5" t="n"/>
      <c r="H70" s="5" t="n"/>
      <c r="I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BD70" s="5" t="n"/>
      <c r="BE70" s="5" t="n"/>
      <c r="BJ70" s="5" t="n"/>
      <c r="BK70" s="5" t="n"/>
      <c r="BP70" s="5" t="n"/>
      <c r="BQ70" s="5" t="n"/>
      <c r="BV70" s="5" t="n"/>
      <c r="BW70" s="5" t="n"/>
      <c r="BX70" s="5" t="n"/>
      <c r="BY70" s="5" t="n"/>
      <c r="BZ70" s="5" t="n"/>
      <c r="CA70" s="5" t="n"/>
      <c r="CF70" s="5" t="n"/>
    </row>
    <row r="71" ht="16.5" customHeight="1" s="241">
      <c r="A71" s="171" t="n">
        <v>45</v>
      </c>
      <c r="B71" s="171" t="n">
        <v>54</v>
      </c>
      <c r="C71" s="171" t="inlineStr">
        <is>
          <t>Plena 2</t>
        </is>
      </c>
      <c r="D71" s="170" t="n">
        <v>73</v>
      </c>
      <c r="E71" s="5" t="n"/>
      <c r="F71" s="5" t="n"/>
      <c r="G71" s="5" t="n"/>
      <c r="H71" s="5" t="n"/>
      <c r="I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BD71" s="5" t="n"/>
      <c r="BE71" s="5" t="n"/>
      <c r="BJ71" s="5" t="n"/>
      <c r="BK71" s="5" t="n"/>
      <c r="BP71" s="5" t="n"/>
      <c r="BQ71" s="5" t="n"/>
      <c r="BV71" s="5" t="n"/>
      <c r="BW71" s="5" t="n"/>
      <c r="BX71" s="5" t="n"/>
      <c r="BY71" s="5" t="n"/>
      <c r="BZ71" s="5" t="n"/>
      <c r="CA71" s="5" t="n"/>
      <c r="CF71" s="5" t="n"/>
    </row>
    <row r="72" ht="16.5" customHeight="1" s="241">
      <c r="A72" s="171" t="n">
        <v>55</v>
      </c>
      <c r="B72" s="171" t="n">
        <v>59</v>
      </c>
      <c r="C72" s="171" t="inlineStr">
        <is>
          <t>Plena 2</t>
        </is>
      </c>
      <c r="D72" s="170" t="n">
        <v>107</v>
      </c>
      <c r="E72" s="5" t="n"/>
      <c r="F72" s="5" t="n"/>
      <c r="G72" s="5" t="n"/>
      <c r="H72" s="5" t="n"/>
      <c r="I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BD72" s="5" t="n"/>
      <c r="BE72" s="5" t="n"/>
      <c r="BJ72" s="5" t="n"/>
      <c r="BK72" s="5" t="n"/>
      <c r="BP72" s="5" t="n"/>
      <c r="BQ72" s="5" t="n"/>
      <c r="BV72" s="5" t="n"/>
      <c r="BW72" s="5" t="n"/>
      <c r="BX72" s="5" t="n"/>
      <c r="BY72" s="5" t="n"/>
      <c r="BZ72" s="5" t="n"/>
      <c r="CA72" s="5" t="n"/>
      <c r="CF72" s="5" t="n"/>
    </row>
    <row r="73" ht="16.5" customHeight="1" s="241">
      <c r="A73" s="171" t="n">
        <v>60</v>
      </c>
      <c r="B73" s="171" t="n">
        <v>64</v>
      </c>
      <c r="C73" s="171" t="inlineStr">
        <is>
          <t>Plena 2</t>
        </is>
      </c>
      <c r="D73" s="170" t="n">
        <v>130</v>
      </c>
      <c r="E73" s="5" t="n"/>
      <c r="F73" s="5" t="n"/>
      <c r="G73" s="5" t="n"/>
      <c r="H73" s="5" t="n"/>
      <c r="I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BD73" s="5" t="n"/>
      <c r="BE73" s="5" t="n"/>
      <c r="BJ73" s="5" t="n"/>
      <c r="BK73" s="5" t="n"/>
      <c r="BP73" s="5" t="n"/>
      <c r="BQ73" s="5" t="n"/>
      <c r="BV73" s="5" t="n"/>
      <c r="BW73" s="5" t="n"/>
      <c r="BX73" s="5" t="n"/>
      <c r="BY73" s="5" t="n"/>
      <c r="BZ73" s="5" t="n"/>
      <c r="CA73" s="5" t="n"/>
      <c r="CF73" s="5" t="n"/>
    </row>
    <row r="74" ht="16.5" customHeight="1" s="241">
      <c r="A74" s="171" t="n">
        <v>65</v>
      </c>
      <c r="B74" s="171" t="n">
        <v>69</v>
      </c>
      <c r="C74" s="171" t="inlineStr">
        <is>
          <t>Plena 2</t>
        </is>
      </c>
      <c r="D74" s="170" t="n">
        <v>167</v>
      </c>
      <c r="E74" s="5" t="n"/>
      <c r="F74" s="5" t="n"/>
      <c r="G74" s="5" t="n"/>
      <c r="H74" s="5" t="n"/>
      <c r="I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BD74" s="5" t="n"/>
      <c r="BE74" s="5" t="n"/>
      <c r="BJ74" s="5" t="n"/>
      <c r="BK74" s="5" t="n"/>
      <c r="BP74" s="5" t="n"/>
      <c r="BQ74" s="5" t="n"/>
      <c r="BV74" s="5" t="n"/>
      <c r="BW74" s="5" t="n"/>
      <c r="BX74" s="5" t="n"/>
      <c r="BY74" s="5" t="n"/>
      <c r="BZ74" s="5" t="n"/>
      <c r="CA74" s="5" t="n"/>
      <c r="CF74" s="5" t="n"/>
    </row>
    <row r="75" ht="16.5" customHeight="1" s="241">
      <c r="A75" s="171" t="n">
        <v>70</v>
      </c>
      <c r="B75" s="171" t="n">
        <v>120</v>
      </c>
      <c r="C75" s="171" t="inlineStr">
        <is>
          <t>Plena 2</t>
        </is>
      </c>
      <c r="D75" s="170" t="n">
        <v>227</v>
      </c>
      <c r="E75" s="5" t="n"/>
      <c r="F75" s="5" t="n"/>
      <c r="G75" s="5" t="n"/>
      <c r="H75" s="5" t="n"/>
      <c r="I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BD75" s="5" t="n"/>
      <c r="BE75" s="5" t="n"/>
      <c r="BJ75" s="5" t="n"/>
      <c r="BK75" s="5" t="n"/>
      <c r="BP75" s="5" t="n"/>
      <c r="BQ75" s="5" t="n"/>
      <c r="BV75" s="5" t="n"/>
      <c r="BW75" s="5" t="n"/>
      <c r="BX75" s="5" t="n"/>
      <c r="BY75" s="5" t="n"/>
      <c r="BZ75" s="5" t="n"/>
      <c r="CA75" s="5" t="n"/>
      <c r="CF75" s="5" t="n"/>
    </row>
    <row r="76" ht="16.5" customHeight="1" s="241">
      <c r="A76" s="171" t="n">
        <v>0</v>
      </c>
      <c r="B76" s="171" t="n">
        <v>24</v>
      </c>
      <c r="C76" s="171" t="inlineStr">
        <is>
          <t>Plena 3</t>
        </is>
      </c>
      <c r="D76" s="170" t="n">
        <v>52</v>
      </c>
      <c r="E76" s="5" t="n"/>
      <c r="F76" s="5" t="n"/>
      <c r="G76" s="5" t="n"/>
      <c r="H76" s="5" t="n"/>
      <c r="I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BD76" s="5" t="n"/>
      <c r="BE76" s="5" t="n"/>
      <c r="BJ76" s="5" t="n"/>
      <c r="BK76" s="5" t="n"/>
      <c r="BP76" s="5" t="n"/>
      <c r="BQ76" s="5" t="n"/>
      <c r="BV76" s="5" t="n"/>
      <c r="BW76" s="5" t="n"/>
      <c r="BX76" s="5" t="n"/>
      <c r="BY76" s="5" t="n"/>
      <c r="BZ76" s="5" t="n"/>
      <c r="CA76" s="5" t="n"/>
      <c r="CF76" s="5" t="n"/>
    </row>
    <row r="77" ht="16.5" customHeight="1" s="241">
      <c r="A77" s="171" t="n">
        <v>25</v>
      </c>
      <c r="B77" s="171" t="n">
        <v>44</v>
      </c>
      <c r="C77" s="171" t="inlineStr">
        <is>
          <t>Plena 3</t>
        </is>
      </c>
      <c r="D77" s="170" t="n">
        <v>63</v>
      </c>
      <c r="E77" s="5" t="n"/>
      <c r="F77" s="5" t="n"/>
      <c r="G77" s="5" t="n"/>
      <c r="H77" s="5" t="n"/>
      <c r="I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BD77" s="5" t="n"/>
      <c r="BE77" s="5" t="n"/>
      <c r="BJ77" s="5" t="n"/>
      <c r="BK77" s="5" t="n"/>
      <c r="BP77" s="5" t="n"/>
      <c r="BQ77" s="5" t="n"/>
      <c r="BV77" s="5" t="n"/>
      <c r="BW77" s="5" t="n"/>
      <c r="BX77" s="5" t="n"/>
      <c r="BY77" s="5" t="n"/>
      <c r="BZ77" s="5" t="n"/>
      <c r="CA77" s="5" t="n"/>
      <c r="CF77" s="5" t="n"/>
    </row>
    <row r="78" ht="16.5" customHeight="1" s="241">
      <c r="A78" s="171" t="n">
        <v>45</v>
      </c>
      <c r="B78" s="171" t="n">
        <v>54</v>
      </c>
      <c r="C78" s="171" t="inlineStr">
        <is>
          <t>Plena 3</t>
        </is>
      </c>
      <c r="D78" s="170" t="n">
        <v>74</v>
      </c>
      <c r="E78" s="5" t="n"/>
      <c r="F78" s="5" t="n"/>
      <c r="G78" s="5" t="n"/>
      <c r="H78" s="5" t="n"/>
      <c r="I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BD78" s="5" t="n"/>
      <c r="BE78" s="5" t="n"/>
      <c r="BJ78" s="5" t="n"/>
      <c r="BK78" s="5" t="n"/>
      <c r="BP78" s="5" t="n"/>
      <c r="BQ78" s="5" t="n"/>
      <c r="BV78" s="5" t="n"/>
      <c r="BW78" s="5" t="n"/>
      <c r="BX78" s="5" t="n"/>
      <c r="BY78" s="5" t="n"/>
      <c r="BZ78" s="5" t="n"/>
      <c r="CA78" s="5" t="n"/>
      <c r="CF78" s="5" t="n"/>
    </row>
    <row r="79" ht="16.5" customHeight="1" s="241">
      <c r="A79" s="171" t="n">
        <v>55</v>
      </c>
      <c r="B79" s="171" t="n">
        <v>59</v>
      </c>
      <c r="C79" s="171" t="inlineStr">
        <is>
          <t>Plena 3</t>
        </is>
      </c>
      <c r="D79" s="170" t="n">
        <v>109</v>
      </c>
      <c r="E79" s="5" t="n"/>
      <c r="F79" s="5" t="n"/>
      <c r="G79" s="5" t="n"/>
      <c r="H79" s="5" t="n"/>
      <c r="I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BD79" s="5" t="n"/>
      <c r="BE79" s="5" t="n"/>
      <c r="BJ79" s="5" t="n"/>
      <c r="BK79" s="5" t="n"/>
      <c r="BP79" s="5" t="n"/>
      <c r="BQ79" s="5" t="n"/>
      <c r="BV79" s="5" t="n"/>
      <c r="BW79" s="5" t="n"/>
      <c r="BX79" s="5" t="n"/>
      <c r="BY79" s="5" t="n"/>
      <c r="BZ79" s="5" t="n"/>
      <c r="CA79" s="5" t="n"/>
      <c r="CF79" s="5" t="n"/>
    </row>
    <row r="80" ht="16.5" customHeight="1" s="241">
      <c r="A80" s="171" t="n">
        <v>60</v>
      </c>
      <c r="B80" s="171" t="n">
        <v>64</v>
      </c>
      <c r="C80" s="171" t="inlineStr">
        <is>
          <t>Plena 3</t>
        </is>
      </c>
      <c r="D80" s="170" t="n">
        <v>131</v>
      </c>
      <c r="E80" s="5" t="n"/>
      <c r="F80" s="5" t="n"/>
      <c r="G80" s="5" t="n"/>
      <c r="H80" s="5" t="n"/>
      <c r="I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BD80" s="5" t="n"/>
      <c r="BE80" s="5" t="n"/>
      <c r="BJ80" s="5" t="n"/>
      <c r="BK80" s="5" t="n"/>
      <c r="BP80" s="5" t="n"/>
      <c r="BQ80" s="5" t="n"/>
      <c r="BV80" s="5" t="n"/>
      <c r="BW80" s="5" t="n"/>
      <c r="BX80" s="5" t="n"/>
      <c r="BY80" s="5" t="n"/>
      <c r="BZ80" s="5" t="n"/>
      <c r="CA80" s="5" t="n"/>
      <c r="CF80" s="5" t="n"/>
    </row>
    <row r="81" ht="16.5" customHeight="1" s="241">
      <c r="A81" s="171" t="n">
        <v>65</v>
      </c>
      <c r="B81" s="171" t="n">
        <v>69</v>
      </c>
      <c r="C81" s="171" t="inlineStr">
        <is>
          <t>Plena 3</t>
        </is>
      </c>
      <c r="D81" s="170" t="n">
        <v>169</v>
      </c>
      <c r="E81" s="5" t="n"/>
      <c r="F81" s="5" t="n"/>
      <c r="G81" s="5" t="n"/>
      <c r="H81" s="5" t="n"/>
      <c r="I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BD81" s="5" t="n"/>
      <c r="BE81" s="5" t="n"/>
      <c r="BJ81" s="5" t="n"/>
      <c r="BK81" s="5" t="n"/>
      <c r="BP81" s="5" t="n"/>
      <c r="BQ81" s="5" t="n"/>
      <c r="BV81" s="5" t="n"/>
      <c r="BW81" s="5" t="n"/>
      <c r="BX81" s="5" t="n"/>
      <c r="BY81" s="5" t="n"/>
      <c r="BZ81" s="5" t="n"/>
      <c r="CA81" s="5" t="n"/>
      <c r="CF81" s="5" t="n"/>
    </row>
    <row r="82" ht="16.5" customHeight="1" s="241">
      <c r="A82" s="171" t="n">
        <v>70</v>
      </c>
      <c r="B82" s="171" t="n">
        <v>120</v>
      </c>
      <c r="C82" s="171" t="inlineStr">
        <is>
          <t>Plena 3</t>
        </is>
      </c>
      <c r="D82" s="170" t="n">
        <v>229</v>
      </c>
      <c r="E82" s="5" t="n"/>
      <c r="F82" s="5" t="n"/>
      <c r="G82" s="5" t="n"/>
      <c r="H82" s="5" t="n"/>
      <c r="I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BD82" s="5" t="n"/>
      <c r="BE82" s="5" t="n"/>
      <c r="BJ82" s="5" t="n"/>
      <c r="BK82" s="5" t="n"/>
      <c r="BP82" s="5" t="n"/>
      <c r="BQ82" s="5" t="n"/>
      <c r="BV82" s="5" t="n"/>
      <c r="BW82" s="5" t="n"/>
      <c r="BX82" s="5" t="n"/>
      <c r="BY82" s="5" t="n"/>
      <c r="BZ82" s="5" t="n"/>
      <c r="CA82" s="5" t="n"/>
      <c r="CF82" s="5" t="n"/>
    </row>
    <row r="83" ht="16.5" customHeight="1" s="241">
      <c r="A83" s="171" t="n">
        <v>0</v>
      </c>
      <c r="B83" s="171" t="n">
        <v>24</v>
      </c>
      <c r="C83" s="171" t="inlineStr">
        <is>
          <t>Plena 4</t>
        </is>
      </c>
      <c r="D83" s="170" t="n">
        <v>53</v>
      </c>
      <c r="E83" s="5" t="n"/>
      <c r="F83" s="5" t="n"/>
      <c r="G83" s="5" t="n"/>
      <c r="H83" s="5" t="n"/>
      <c r="I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BD83" s="5" t="n"/>
      <c r="BE83" s="5" t="n"/>
      <c r="BJ83" s="5" t="n"/>
      <c r="BK83" s="5" t="n"/>
      <c r="BP83" s="5" t="n"/>
      <c r="BQ83" s="5" t="n"/>
      <c r="BV83" s="5" t="n"/>
      <c r="BW83" s="5" t="n"/>
      <c r="BX83" s="5" t="n"/>
      <c r="BY83" s="5" t="n"/>
      <c r="BZ83" s="5" t="n"/>
      <c r="CA83" s="5" t="n"/>
      <c r="CF83" s="5" t="n"/>
    </row>
    <row r="84" ht="16.5" customHeight="1" s="241">
      <c r="A84" s="171" t="n">
        <v>25</v>
      </c>
      <c r="B84" s="171" t="n">
        <v>44</v>
      </c>
      <c r="C84" s="171" t="inlineStr">
        <is>
          <t>Plena 4</t>
        </is>
      </c>
      <c r="D84" s="170" t="n">
        <v>64</v>
      </c>
      <c r="E84" s="5" t="n"/>
      <c r="F84" s="5" t="n"/>
      <c r="G84" s="5" t="n"/>
      <c r="H84" s="5" t="n"/>
      <c r="I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BD84" s="5" t="n"/>
      <c r="BE84" s="5" t="n"/>
      <c r="BJ84" s="5" t="n"/>
      <c r="BK84" s="5" t="n"/>
      <c r="BP84" s="5" t="n"/>
      <c r="BQ84" s="5" t="n"/>
      <c r="BV84" s="5" t="n"/>
      <c r="BW84" s="5" t="n"/>
      <c r="BX84" s="5" t="n"/>
      <c r="BY84" s="5" t="n"/>
      <c r="BZ84" s="5" t="n"/>
      <c r="CA84" s="5" t="n"/>
      <c r="CF84" s="5" t="n"/>
    </row>
    <row r="85" ht="16.5" customHeight="1" s="241">
      <c r="A85" s="171" t="n">
        <v>45</v>
      </c>
      <c r="B85" s="171" t="n">
        <v>54</v>
      </c>
      <c r="C85" s="171" t="inlineStr">
        <is>
          <t>Plena 4</t>
        </is>
      </c>
      <c r="D85" s="170" t="n">
        <v>75</v>
      </c>
      <c r="E85" s="5" t="n"/>
      <c r="F85" s="5" t="n"/>
      <c r="G85" s="5" t="n"/>
      <c r="H85" s="5" t="n"/>
      <c r="I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BD85" s="5" t="n"/>
      <c r="BE85" s="5" t="n"/>
      <c r="BJ85" s="5" t="n"/>
      <c r="BK85" s="5" t="n"/>
      <c r="BP85" s="5" t="n"/>
      <c r="BQ85" s="5" t="n"/>
      <c r="BV85" s="5" t="n"/>
      <c r="BW85" s="5" t="n"/>
      <c r="BX85" s="5" t="n"/>
      <c r="BY85" s="5" t="n"/>
      <c r="BZ85" s="5" t="n"/>
      <c r="CA85" s="5" t="n"/>
      <c r="CF85" s="5" t="n"/>
    </row>
    <row r="86" ht="16.5" customHeight="1" s="241">
      <c r="A86" s="171" t="n">
        <v>55</v>
      </c>
      <c r="B86" s="171" t="n">
        <v>59</v>
      </c>
      <c r="C86" s="171" t="inlineStr">
        <is>
          <t>Plena 4</t>
        </is>
      </c>
      <c r="D86" s="170" t="n">
        <v>110</v>
      </c>
      <c r="E86" s="5" t="n"/>
      <c r="F86" s="5" t="n"/>
      <c r="G86" s="5" t="n"/>
      <c r="H86" s="5" t="n"/>
      <c r="I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BD86" s="5" t="n"/>
      <c r="BE86" s="5" t="n"/>
      <c r="BJ86" s="5" t="n"/>
      <c r="BK86" s="5" t="n"/>
      <c r="BP86" s="5" t="n"/>
      <c r="BQ86" s="5" t="n"/>
      <c r="BV86" s="5" t="n"/>
      <c r="BW86" s="5" t="n"/>
      <c r="BX86" s="5" t="n"/>
      <c r="BY86" s="5" t="n"/>
      <c r="BZ86" s="5" t="n"/>
      <c r="CA86" s="5" t="n"/>
      <c r="CF86" s="5" t="n"/>
    </row>
    <row r="87" ht="16.5" customHeight="1" s="241">
      <c r="A87" s="171" t="n">
        <v>60</v>
      </c>
      <c r="B87" s="171" t="n">
        <v>64</v>
      </c>
      <c r="C87" s="171" t="inlineStr">
        <is>
          <t>Plena 4</t>
        </is>
      </c>
      <c r="D87" s="170" t="n">
        <v>135</v>
      </c>
      <c r="E87" s="5" t="n"/>
      <c r="F87" s="5" t="n"/>
      <c r="G87" s="5" t="n"/>
      <c r="H87" s="5" t="n"/>
      <c r="I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BD87" s="5" t="n"/>
      <c r="BE87" s="5" t="n"/>
      <c r="BJ87" s="5" t="n"/>
      <c r="BK87" s="5" t="n"/>
      <c r="BP87" s="5" t="n"/>
      <c r="BQ87" s="5" t="n"/>
      <c r="BV87" s="5" t="n"/>
      <c r="BW87" s="5" t="n"/>
      <c r="BX87" s="5" t="n"/>
      <c r="BY87" s="5" t="n"/>
      <c r="BZ87" s="5" t="n"/>
      <c r="CA87" s="5" t="n"/>
      <c r="CF87" s="5" t="n"/>
    </row>
    <row r="88" ht="16.5" customHeight="1" s="241">
      <c r="A88" s="171" t="n">
        <v>65</v>
      </c>
      <c r="B88" s="171" t="n">
        <v>69</v>
      </c>
      <c r="C88" s="171" t="inlineStr">
        <is>
          <t>Plena 4</t>
        </is>
      </c>
      <c r="D88" s="170" t="n">
        <v>172</v>
      </c>
      <c r="E88" s="5" t="n"/>
      <c r="F88" s="5" t="n"/>
      <c r="G88" s="5" t="n"/>
      <c r="H88" s="5" t="n"/>
      <c r="I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BD88" s="5" t="n"/>
      <c r="BE88" s="5" t="n"/>
      <c r="BJ88" s="5" t="n"/>
      <c r="BK88" s="5" t="n"/>
      <c r="BP88" s="5" t="n"/>
      <c r="BQ88" s="5" t="n"/>
      <c r="BV88" s="5" t="n"/>
      <c r="BW88" s="5" t="n"/>
      <c r="BX88" s="5" t="n"/>
      <c r="BY88" s="5" t="n"/>
      <c r="BZ88" s="5" t="n"/>
      <c r="CA88" s="5" t="n"/>
      <c r="CF88" s="5" t="n"/>
    </row>
    <row r="89" ht="16.5" customHeight="1" s="241">
      <c r="A89" s="171" t="n">
        <v>70</v>
      </c>
      <c r="B89" s="171" t="n">
        <v>120</v>
      </c>
      <c r="C89" s="171" t="inlineStr">
        <is>
          <t>Plena 4</t>
        </is>
      </c>
      <c r="D89" s="170" t="n">
        <v>235</v>
      </c>
      <c r="E89" s="5" t="n"/>
      <c r="F89" s="5" t="n"/>
      <c r="G89" s="5" t="n"/>
      <c r="H89" s="5" t="n"/>
      <c r="I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BD89" s="5" t="n"/>
      <c r="BE89" s="5" t="n"/>
      <c r="BJ89" s="5" t="n"/>
      <c r="BK89" s="5" t="n"/>
      <c r="BP89" s="5" t="n"/>
      <c r="BQ89" s="5" t="n"/>
      <c r="BV89" s="5" t="n"/>
      <c r="BW89" s="5" t="n"/>
      <c r="BX89" s="5" t="n"/>
      <c r="BY89" s="5" t="n"/>
      <c r="BZ89" s="5" t="n"/>
      <c r="CA89" s="5" t="n"/>
      <c r="CF89" s="5" t="n"/>
    </row>
    <row r="90" ht="16.5" customHeight="1" s="241">
      <c r="A90" s="171" t="n">
        <v>0</v>
      </c>
      <c r="B90" s="171" t="n">
        <v>24</v>
      </c>
      <c r="C90" s="171" t="inlineStr">
        <is>
          <t>Plena 5</t>
        </is>
      </c>
      <c r="D90" s="170" t="n">
        <v>54</v>
      </c>
      <c r="E90" s="5" t="n"/>
      <c r="F90" s="5" t="n"/>
      <c r="G90" s="5" t="n"/>
      <c r="H90" s="5" t="n"/>
      <c r="I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BD90" s="5" t="n"/>
      <c r="BE90" s="5" t="n"/>
      <c r="BJ90" s="5" t="n"/>
      <c r="BK90" s="5" t="n"/>
      <c r="BP90" s="5" t="n"/>
      <c r="BQ90" s="5" t="n"/>
      <c r="BV90" s="5" t="n"/>
      <c r="BW90" s="5" t="n"/>
      <c r="BX90" s="5" t="n"/>
      <c r="BY90" s="5" t="n"/>
      <c r="BZ90" s="5" t="n"/>
      <c r="CA90" s="5" t="n"/>
      <c r="CF90" s="5" t="n"/>
    </row>
    <row r="91" ht="16.5" customHeight="1" s="241">
      <c r="A91" s="171" t="n">
        <v>25</v>
      </c>
      <c r="B91" s="171" t="n">
        <v>44</v>
      </c>
      <c r="C91" s="171" t="inlineStr">
        <is>
          <t>Plena 5</t>
        </is>
      </c>
      <c r="D91" s="170" t="n">
        <v>65</v>
      </c>
      <c r="E91" s="5" t="n"/>
      <c r="F91" s="5" t="n"/>
      <c r="G91" s="5" t="n"/>
      <c r="H91" s="5" t="n"/>
      <c r="I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BD91" s="5" t="n"/>
      <c r="BE91" s="5" t="n"/>
      <c r="BJ91" s="5" t="n"/>
      <c r="BK91" s="5" t="n"/>
      <c r="BP91" s="5" t="n"/>
      <c r="BQ91" s="5" t="n"/>
      <c r="BV91" s="5" t="n"/>
      <c r="BW91" s="5" t="n"/>
      <c r="BX91" s="5" t="n"/>
      <c r="BY91" s="5" t="n"/>
      <c r="BZ91" s="5" t="n"/>
      <c r="CA91" s="5" t="n"/>
      <c r="CF91" s="5" t="n"/>
    </row>
    <row r="92" ht="16.5" customHeight="1" s="241">
      <c r="A92" s="171" t="n">
        <v>45</v>
      </c>
      <c r="B92" s="171" t="n">
        <v>54</v>
      </c>
      <c r="C92" s="171" t="inlineStr">
        <is>
          <t>Plena 5</t>
        </is>
      </c>
      <c r="D92" s="170" t="n">
        <v>78</v>
      </c>
      <c r="E92" s="5" t="n"/>
      <c r="F92" s="5" t="n"/>
      <c r="G92" s="5" t="n"/>
      <c r="H92" s="5" t="n"/>
      <c r="I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BD92" s="5" t="n"/>
      <c r="BE92" s="5" t="n"/>
      <c r="BJ92" s="5" t="n"/>
      <c r="BK92" s="5" t="n"/>
      <c r="BP92" s="5" t="n"/>
      <c r="BQ92" s="5" t="n"/>
      <c r="BV92" s="5" t="n"/>
      <c r="BW92" s="5" t="n"/>
      <c r="BX92" s="5" t="n"/>
      <c r="BY92" s="5" t="n"/>
      <c r="BZ92" s="5" t="n"/>
      <c r="CA92" s="5" t="n"/>
      <c r="CF92" s="5" t="n"/>
    </row>
    <row r="93" ht="16.5" customHeight="1" s="241">
      <c r="A93" s="171" t="n">
        <v>55</v>
      </c>
      <c r="B93" s="171" t="n">
        <v>59</v>
      </c>
      <c r="C93" s="171" t="inlineStr">
        <is>
          <t>Plena 5</t>
        </is>
      </c>
      <c r="D93" s="170" t="n">
        <v>112</v>
      </c>
      <c r="E93" s="5" t="n"/>
      <c r="F93" s="5" t="n"/>
      <c r="G93" s="5" t="n"/>
      <c r="H93" s="5" t="n"/>
      <c r="I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BD93" s="5" t="n"/>
      <c r="BE93" s="5" t="n"/>
      <c r="BJ93" s="5" t="n"/>
      <c r="BK93" s="5" t="n"/>
      <c r="BP93" s="5" t="n"/>
      <c r="BQ93" s="5" t="n"/>
      <c r="BV93" s="5" t="n"/>
      <c r="BW93" s="5" t="n"/>
      <c r="BX93" s="5" t="n"/>
      <c r="BY93" s="5" t="n"/>
      <c r="BZ93" s="5" t="n"/>
      <c r="CA93" s="5" t="n"/>
      <c r="CF93" s="5" t="n"/>
    </row>
    <row r="94" ht="16.5" customHeight="1" s="241">
      <c r="A94" s="171" t="n">
        <v>60</v>
      </c>
      <c r="B94" s="171" t="n">
        <v>64</v>
      </c>
      <c r="C94" s="171" t="inlineStr">
        <is>
          <t>Plena 5</t>
        </is>
      </c>
      <c r="D94" s="170" t="n">
        <v>139</v>
      </c>
      <c r="E94" s="5" t="n"/>
      <c r="F94" s="5" t="n"/>
      <c r="G94" s="5" t="n"/>
      <c r="H94" s="5" t="n"/>
      <c r="I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BD94" s="5" t="n"/>
      <c r="BE94" s="5" t="n"/>
      <c r="BJ94" s="5" t="n"/>
      <c r="BK94" s="5" t="n"/>
      <c r="BP94" s="5" t="n"/>
      <c r="BQ94" s="5" t="n"/>
      <c r="BV94" s="5" t="n"/>
      <c r="BW94" s="5" t="n"/>
      <c r="BX94" s="5" t="n"/>
      <c r="BY94" s="5" t="n"/>
      <c r="BZ94" s="5" t="n"/>
      <c r="CA94" s="5" t="n"/>
      <c r="CF94" s="5" t="n"/>
    </row>
    <row r="95" ht="16.5" customHeight="1" s="241">
      <c r="A95" s="171" t="n">
        <v>65</v>
      </c>
      <c r="B95" s="171" t="n">
        <v>69</v>
      </c>
      <c r="C95" s="171" t="inlineStr">
        <is>
          <t>Plena 5</t>
        </is>
      </c>
      <c r="D95" s="170" t="n">
        <v>175</v>
      </c>
      <c r="E95" s="5" t="n"/>
      <c r="F95" s="5" t="n"/>
      <c r="G95" s="5" t="n"/>
      <c r="H95" s="5" t="n"/>
      <c r="I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BD95" s="5" t="n"/>
      <c r="BE95" s="5" t="n"/>
      <c r="BJ95" s="5" t="n"/>
      <c r="BK95" s="5" t="n"/>
      <c r="BP95" s="5" t="n"/>
      <c r="BQ95" s="5" t="n"/>
      <c r="BV95" s="5" t="n"/>
      <c r="BW95" s="5" t="n"/>
      <c r="BX95" s="5" t="n"/>
      <c r="BY95" s="5" t="n"/>
      <c r="BZ95" s="5" t="n"/>
      <c r="CA95" s="5" t="n"/>
      <c r="CF95" s="5" t="n"/>
    </row>
    <row r="96" ht="16.5" customHeight="1" s="241">
      <c r="A96" s="171" t="n">
        <v>70</v>
      </c>
      <c r="B96" s="171" t="n">
        <v>120</v>
      </c>
      <c r="C96" s="171" t="inlineStr">
        <is>
          <t>Plena 5</t>
        </is>
      </c>
      <c r="D96" s="170" t="n">
        <v>239</v>
      </c>
      <c r="E96" s="5" t="n"/>
      <c r="F96" s="5" t="n"/>
      <c r="G96" s="5" t="n"/>
      <c r="H96" s="5" t="n"/>
      <c r="I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BD96" s="5" t="n"/>
      <c r="BE96" s="5" t="n"/>
      <c r="BJ96" s="5" t="n"/>
      <c r="BK96" s="5" t="n"/>
      <c r="BP96" s="5" t="n"/>
      <c r="BQ96" s="5" t="n"/>
      <c r="BV96" s="5" t="n"/>
      <c r="BW96" s="5" t="n"/>
      <c r="BX96" s="5" t="n"/>
      <c r="BY96" s="5" t="n"/>
      <c r="BZ96" s="5" t="n"/>
      <c r="CA96" s="5" t="n"/>
      <c r="CF96" s="5" t="n"/>
    </row>
    <row r="97" ht="16.5" customHeight="1" s="241">
      <c r="A97" s="171" t="n">
        <v>0</v>
      </c>
      <c r="B97" s="171" t="n">
        <v>24</v>
      </c>
      <c r="C97" s="171" t="inlineStr">
        <is>
          <t>Plena 6</t>
        </is>
      </c>
      <c r="D97" s="170" t="n">
        <v>55</v>
      </c>
      <c r="E97" s="5" t="n"/>
      <c r="F97" s="5" t="n"/>
      <c r="G97" s="5" t="n"/>
      <c r="H97" s="5" t="n"/>
      <c r="I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BD97" s="5" t="n"/>
      <c r="BE97" s="5" t="n"/>
      <c r="BJ97" s="5" t="n"/>
      <c r="BK97" s="5" t="n"/>
      <c r="BP97" s="5" t="n"/>
      <c r="BQ97" s="5" t="n"/>
      <c r="BV97" s="5" t="n"/>
      <c r="BW97" s="5" t="n"/>
      <c r="BX97" s="5" t="n"/>
      <c r="BY97" s="5" t="n"/>
      <c r="BZ97" s="5" t="n"/>
      <c r="CA97" s="5" t="n"/>
      <c r="CF97" s="5" t="n"/>
    </row>
    <row r="98" ht="16.5" customHeight="1" s="241">
      <c r="A98" s="171" t="n">
        <v>25</v>
      </c>
      <c r="B98" s="171" t="n">
        <v>44</v>
      </c>
      <c r="C98" s="171" t="inlineStr">
        <is>
          <t>Plena 6</t>
        </is>
      </c>
      <c r="D98" s="170" t="n">
        <v>66</v>
      </c>
      <c r="E98" s="5" t="n"/>
      <c r="F98" s="5" t="n"/>
      <c r="G98" s="5" t="n"/>
      <c r="H98" s="5" t="n"/>
      <c r="I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BD98" s="5" t="n"/>
      <c r="BE98" s="5" t="n"/>
      <c r="BJ98" s="5" t="n"/>
      <c r="BK98" s="5" t="n"/>
      <c r="BP98" s="5" t="n"/>
      <c r="BQ98" s="5" t="n"/>
      <c r="BV98" s="5" t="n"/>
      <c r="BW98" s="5" t="n"/>
      <c r="BX98" s="5" t="n"/>
      <c r="BY98" s="5" t="n"/>
      <c r="BZ98" s="5" t="n"/>
      <c r="CA98" s="5" t="n"/>
      <c r="CF98" s="5" t="n"/>
    </row>
    <row r="99" ht="16.5" customHeight="1" s="241">
      <c r="A99" s="171" t="n">
        <v>45</v>
      </c>
      <c r="B99" s="171" t="n">
        <v>54</v>
      </c>
      <c r="C99" s="171" t="inlineStr">
        <is>
          <t>Plena 6</t>
        </is>
      </c>
      <c r="D99" s="170" t="n">
        <v>79</v>
      </c>
      <c r="E99" s="5" t="n"/>
      <c r="F99" s="5" t="n"/>
      <c r="G99" s="5" t="n"/>
      <c r="H99" s="5" t="n"/>
      <c r="I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BD99" s="5" t="n"/>
      <c r="BE99" s="5" t="n"/>
      <c r="BJ99" s="5" t="n"/>
      <c r="BK99" s="5" t="n"/>
      <c r="BP99" s="5" t="n"/>
      <c r="BQ99" s="5" t="n"/>
      <c r="BV99" s="5" t="n"/>
      <c r="BW99" s="5" t="n"/>
      <c r="BX99" s="5" t="n"/>
      <c r="BY99" s="5" t="n"/>
      <c r="BZ99" s="5" t="n"/>
      <c r="CA99" s="5" t="n"/>
      <c r="CF99" s="5" t="n"/>
    </row>
    <row r="100" ht="16.5" customHeight="1" s="241">
      <c r="A100" s="171" t="n">
        <v>55</v>
      </c>
      <c r="B100" s="171" t="n">
        <v>59</v>
      </c>
      <c r="C100" s="171" t="inlineStr">
        <is>
          <t>Plena 6</t>
        </is>
      </c>
      <c r="D100" s="170" t="n">
        <v>114</v>
      </c>
      <c r="E100" s="5" t="n"/>
      <c r="F100" s="5" t="n"/>
      <c r="G100" s="5" t="n"/>
      <c r="H100" s="5" t="n"/>
      <c r="I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BD100" s="5" t="n"/>
      <c r="BE100" s="5" t="n"/>
      <c r="BJ100" s="5" t="n"/>
      <c r="BK100" s="5" t="n"/>
      <c r="BP100" s="5" t="n"/>
      <c r="BQ100" s="5" t="n"/>
      <c r="BV100" s="5" t="n"/>
      <c r="BW100" s="5" t="n"/>
      <c r="BX100" s="5" t="n"/>
      <c r="BY100" s="5" t="n"/>
      <c r="BZ100" s="5" t="n"/>
      <c r="CA100" s="5" t="n"/>
      <c r="CF100" s="5" t="n"/>
    </row>
    <row r="101" ht="16.5" customHeight="1" s="241">
      <c r="A101" s="171" t="n">
        <v>60</v>
      </c>
      <c r="B101" s="171" t="n">
        <v>64</v>
      </c>
      <c r="C101" s="171" t="inlineStr">
        <is>
          <t>Plena 6</t>
        </is>
      </c>
      <c r="D101" s="170" t="n">
        <v>140</v>
      </c>
      <c r="E101" s="5" t="n"/>
      <c r="F101" s="5" t="n"/>
      <c r="G101" s="5" t="n"/>
      <c r="H101" s="5" t="n"/>
      <c r="I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BD101" s="5" t="n"/>
      <c r="BE101" s="5" t="n"/>
      <c r="BJ101" s="5" t="n"/>
      <c r="BK101" s="5" t="n"/>
      <c r="BP101" s="5" t="n"/>
      <c r="BQ101" s="5" t="n"/>
      <c r="BV101" s="5" t="n"/>
      <c r="BW101" s="5" t="n"/>
      <c r="BX101" s="5" t="n"/>
      <c r="BY101" s="5" t="n"/>
      <c r="BZ101" s="5" t="n"/>
      <c r="CA101" s="5" t="n"/>
      <c r="CF101" s="5" t="n"/>
    </row>
    <row r="102" ht="16.5" customHeight="1" s="241">
      <c r="A102" s="171" t="n">
        <v>65</v>
      </c>
      <c r="B102" s="171" t="n">
        <v>69</v>
      </c>
      <c r="C102" s="171" t="inlineStr">
        <is>
          <t>Plena 6</t>
        </is>
      </c>
      <c r="D102" s="170" t="n">
        <v>179</v>
      </c>
      <c r="E102" s="5" t="n"/>
      <c r="F102" s="5" t="n"/>
      <c r="G102" s="5" t="n"/>
      <c r="H102" s="5" t="n"/>
      <c r="I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BD102" s="5" t="n"/>
      <c r="BE102" s="5" t="n"/>
      <c r="BJ102" s="5" t="n"/>
      <c r="BK102" s="5" t="n"/>
      <c r="BP102" s="5" t="n"/>
      <c r="BQ102" s="5" t="n"/>
      <c r="BV102" s="5" t="n"/>
      <c r="BW102" s="5" t="n"/>
      <c r="BX102" s="5" t="n"/>
      <c r="BY102" s="5" t="n"/>
      <c r="BZ102" s="5" t="n"/>
      <c r="CA102" s="5" t="n"/>
      <c r="CF102" s="5" t="n"/>
    </row>
    <row r="103" ht="16.5" customHeight="1" s="241">
      <c r="A103" s="171" t="n">
        <v>70</v>
      </c>
      <c r="B103" s="171" t="n">
        <v>120</v>
      </c>
      <c r="C103" s="171" t="inlineStr">
        <is>
          <t>Plena 6</t>
        </is>
      </c>
      <c r="D103" s="170" t="n">
        <v>240</v>
      </c>
      <c r="E103" s="5" t="n"/>
      <c r="F103" s="5" t="n"/>
      <c r="G103" s="5" t="n"/>
      <c r="H103" s="5" t="n"/>
      <c r="I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BD103" s="5" t="n"/>
      <c r="BE103" s="5" t="n"/>
      <c r="BJ103" s="5" t="n"/>
      <c r="BK103" s="5" t="n"/>
      <c r="BP103" s="5" t="n"/>
      <c r="BQ103" s="5" t="n"/>
      <c r="BV103" s="5" t="n"/>
      <c r="BW103" s="5" t="n"/>
      <c r="BX103" s="5" t="n"/>
      <c r="BY103" s="5" t="n"/>
      <c r="BZ103" s="5" t="n"/>
      <c r="CA103" s="5" t="n"/>
      <c r="CF103" s="5" t="n"/>
    </row>
    <row r="104" ht="16.5" customHeight="1" s="241">
      <c r="A104" s="171" t="n">
        <v>0</v>
      </c>
      <c r="B104" s="171" t="n">
        <v>24</v>
      </c>
      <c r="C104" s="171" t="inlineStr">
        <is>
          <t>Plena Plus 1</t>
        </is>
      </c>
      <c r="D104" s="170" t="n">
        <v>62</v>
      </c>
      <c r="E104" s="5" t="n"/>
      <c r="F104" s="5" t="n"/>
      <c r="G104" s="5" t="n"/>
      <c r="H104" s="5" t="n"/>
      <c r="I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BD104" s="5" t="n"/>
      <c r="BE104" s="5" t="n"/>
      <c r="BJ104" s="5" t="n"/>
      <c r="BK104" s="5" t="n"/>
      <c r="BP104" s="5" t="n"/>
      <c r="BQ104" s="5" t="n"/>
      <c r="BV104" s="5" t="n"/>
      <c r="BW104" s="5" t="n"/>
      <c r="BX104" s="5" t="n"/>
      <c r="BY104" s="5" t="n"/>
      <c r="BZ104" s="5" t="n"/>
      <c r="CA104" s="5" t="n"/>
      <c r="CF104" s="5" t="n"/>
    </row>
    <row r="105" ht="16.5" customHeight="1" s="241">
      <c r="A105" s="171" t="n">
        <v>25</v>
      </c>
      <c r="B105" s="171" t="n">
        <v>44</v>
      </c>
      <c r="C105" s="171" t="inlineStr">
        <is>
          <t>Plena Plus 1</t>
        </is>
      </c>
      <c r="D105" s="170" t="n">
        <v>72</v>
      </c>
      <c r="E105" s="5" t="n"/>
      <c r="F105" s="5" t="n"/>
      <c r="G105" s="5" t="n"/>
      <c r="H105" s="5" t="n"/>
      <c r="I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BD105" s="5" t="n"/>
      <c r="BE105" s="5" t="n"/>
      <c r="BJ105" s="5" t="n"/>
      <c r="BK105" s="5" t="n"/>
      <c r="BP105" s="5" t="n"/>
      <c r="BQ105" s="5" t="n"/>
      <c r="BV105" s="5" t="n"/>
      <c r="BW105" s="5" t="n"/>
      <c r="BX105" s="5" t="n"/>
      <c r="BY105" s="5" t="n"/>
      <c r="BZ105" s="5" t="n"/>
      <c r="CA105" s="5" t="n"/>
      <c r="CF105" s="5" t="n"/>
    </row>
    <row r="106" ht="16.5" customHeight="1" s="241">
      <c r="A106" s="171" t="n">
        <v>45</v>
      </c>
      <c r="B106" s="171" t="n">
        <v>54</v>
      </c>
      <c r="C106" s="171" t="inlineStr">
        <is>
          <t>Plena Plus 1</t>
        </is>
      </c>
      <c r="D106" s="170" t="n">
        <v>92</v>
      </c>
      <c r="E106" s="5" t="n"/>
      <c r="F106" s="5" t="n"/>
      <c r="G106" s="5" t="n"/>
      <c r="H106" s="5" t="n"/>
      <c r="I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BD106" s="5" t="n"/>
      <c r="BE106" s="5" t="n"/>
      <c r="BJ106" s="5" t="n"/>
      <c r="BK106" s="5" t="n"/>
      <c r="BP106" s="5" t="n"/>
      <c r="BQ106" s="5" t="n"/>
      <c r="BV106" s="5" t="n"/>
      <c r="BW106" s="5" t="n"/>
      <c r="BX106" s="5" t="n"/>
      <c r="BY106" s="5" t="n"/>
      <c r="BZ106" s="5" t="n"/>
      <c r="CA106" s="5" t="n"/>
      <c r="CF106" s="5" t="n"/>
    </row>
    <row r="107" ht="16.5" customHeight="1" s="241">
      <c r="A107" s="171" t="n">
        <v>55</v>
      </c>
      <c r="B107" s="171" t="n">
        <v>59</v>
      </c>
      <c r="C107" s="171" t="inlineStr">
        <is>
          <t>Plena Plus 1</t>
        </is>
      </c>
      <c r="D107" s="170" t="n">
        <v>149</v>
      </c>
      <c r="E107" s="5" t="n"/>
      <c r="F107" s="5" t="n"/>
      <c r="G107" s="5" t="n"/>
      <c r="H107" s="5" t="n"/>
      <c r="I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BD107" s="5" t="n"/>
      <c r="BE107" s="5" t="n"/>
      <c r="BJ107" s="5" t="n"/>
      <c r="BK107" s="5" t="n"/>
      <c r="BP107" s="5" t="n"/>
      <c r="BQ107" s="5" t="n"/>
      <c r="BV107" s="5" t="n"/>
      <c r="BW107" s="5" t="n"/>
      <c r="BX107" s="5" t="n"/>
      <c r="BY107" s="5" t="n"/>
      <c r="BZ107" s="5" t="n"/>
      <c r="CA107" s="5" t="n"/>
      <c r="CF107" s="5" t="n"/>
    </row>
    <row r="108" ht="16.5" customHeight="1" s="241">
      <c r="A108" s="171" t="n">
        <v>60</v>
      </c>
      <c r="B108" s="171" t="n">
        <v>64</v>
      </c>
      <c r="C108" s="171" t="inlineStr">
        <is>
          <t>Plena Plus 1</t>
        </is>
      </c>
      <c r="D108" s="170" t="n">
        <v>175</v>
      </c>
      <c r="E108" s="5" t="n"/>
      <c r="F108" s="5" t="n"/>
      <c r="G108" s="5" t="n"/>
      <c r="H108" s="5" t="n"/>
      <c r="I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BD108" s="5" t="n"/>
      <c r="BE108" s="5" t="n"/>
      <c r="BJ108" s="5" t="n"/>
      <c r="BK108" s="5" t="n"/>
      <c r="BP108" s="5" t="n"/>
      <c r="BQ108" s="5" t="n"/>
      <c r="BV108" s="5" t="n"/>
      <c r="BW108" s="5" t="n"/>
      <c r="BX108" s="5" t="n"/>
      <c r="BY108" s="5" t="n"/>
      <c r="BZ108" s="5" t="n"/>
      <c r="CA108" s="5" t="n"/>
      <c r="CF108" s="5" t="n"/>
    </row>
    <row r="109" ht="16.5" customHeight="1" s="241">
      <c r="A109" s="171" t="n">
        <v>65</v>
      </c>
      <c r="B109" s="171" t="n">
        <v>69</v>
      </c>
      <c r="C109" s="171" t="inlineStr">
        <is>
          <t>Plena Plus 1</t>
        </is>
      </c>
      <c r="D109" s="170" t="n">
        <v>239</v>
      </c>
      <c r="E109" s="5" t="n"/>
      <c r="F109" s="5" t="n"/>
      <c r="G109" s="5" t="n"/>
      <c r="H109" s="5" t="n"/>
      <c r="I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BD109" s="5" t="n"/>
      <c r="BE109" s="5" t="n"/>
      <c r="BJ109" s="5" t="n"/>
      <c r="BK109" s="5" t="n"/>
      <c r="BP109" s="5" t="n"/>
      <c r="BQ109" s="5" t="n"/>
      <c r="BV109" s="5" t="n"/>
      <c r="BW109" s="5" t="n"/>
      <c r="BX109" s="5" t="n"/>
      <c r="BY109" s="5" t="n"/>
      <c r="BZ109" s="5" t="n"/>
      <c r="CA109" s="5" t="n"/>
      <c r="CF109" s="5" t="n"/>
    </row>
    <row r="110" ht="16.5" customHeight="1" s="241">
      <c r="A110" s="171" t="n">
        <v>70</v>
      </c>
      <c r="B110" s="171" t="n">
        <v>120</v>
      </c>
      <c r="C110" s="171" t="inlineStr">
        <is>
          <t>Plena Plus 1</t>
        </is>
      </c>
      <c r="D110" s="170" t="n">
        <v>255</v>
      </c>
      <c r="E110" s="5" t="n"/>
      <c r="F110" s="5" t="n"/>
      <c r="G110" s="5" t="n"/>
      <c r="H110" s="5" t="n"/>
      <c r="I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BD110" s="5" t="n"/>
      <c r="BE110" s="5" t="n"/>
      <c r="BJ110" s="5" t="n"/>
      <c r="BK110" s="5" t="n"/>
      <c r="BP110" s="5" t="n"/>
      <c r="BQ110" s="5" t="n"/>
      <c r="BV110" s="5" t="n"/>
      <c r="BW110" s="5" t="n"/>
      <c r="BX110" s="5" t="n"/>
      <c r="BY110" s="5" t="n"/>
      <c r="BZ110" s="5" t="n"/>
      <c r="CA110" s="5" t="n"/>
      <c r="CF110" s="5" t="n"/>
    </row>
    <row r="111" ht="16.5" customHeight="1" s="241">
      <c r="A111" s="171" t="n">
        <v>0</v>
      </c>
      <c r="B111" s="171" t="n">
        <v>24</v>
      </c>
      <c r="C111" s="171" t="inlineStr">
        <is>
          <t>Plena Plus 2</t>
        </is>
      </c>
      <c r="D111" s="170" t="n">
        <v>64</v>
      </c>
      <c r="E111" s="5" t="n"/>
      <c r="F111" s="5" t="n"/>
      <c r="G111" s="5" t="n"/>
      <c r="H111" s="5" t="n"/>
      <c r="I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BD111" s="5" t="n"/>
      <c r="BE111" s="5" t="n"/>
      <c r="BJ111" s="5" t="n"/>
      <c r="BK111" s="5" t="n"/>
      <c r="BP111" s="5" t="n"/>
      <c r="BQ111" s="5" t="n"/>
      <c r="BV111" s="5" t="n"/>
      <c r="BW111" s="5" t="n"/>
      <c r="BX111" s="5" t="n"/>
      <c r="BY111" s="5" t="n"/>
      <c r="BZ111" s="5" t="n"/>
      <c r="CA111" s="5" t="n"/>
      <c r="CF111" s="5" t="n"/>
    </row>
    <row r="112" ht="16.5" customHeight="1" s="241">
      <c r="A112" s="171" t="n">
        <v>25</v>
      </c>
      <c r="B112" s="171" t="n">
        <v>44</v>
      </c>
      <c r="C112" s="171" t="inlineStr">
        <is>
          <t>Plena Plus 2</t>
        </is>
      </c>
      <c r="D112" s="170" t="n">
        <v>75</v>
      </c>
      <c r="E112" s="5" t="n"/>
      <c r="F112" s="5" t="n"/>
      <c r="G112" s="5" t="n"/>
      <c r="H112" s="5" t="n"/>
      <c r="I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BD112" s="5" t="n"/>
      <c r="BE112" s="5" t="n"/>
      <c r="BJ112" s="5" t="n"/>
      <c r="BK112" s="5" t="n"/>
      <c r="BP112" s="5" t="n"/>
      <c r="BQ112" s="5" t="n"/>
      <c r="BV112" s="5" t="n"/>
      <c r="BW112" s="5" t="n"/>
      <c r="BX112" s="5" t="n"/>
      <c r="BY112" s="5" t="n"/>
      <c r="BZ112" s="5" t="n"/>
      <c r="CA112" s="5" t="n"/>
      <c r="CF112" s="5" t="n"/>
    </row>
    <row r="113" ht="16.5" customHeight="1" s="241">
      <c r="A113" s="171" t="n">
        <v>45</v>
      </c>
      <c r="B113" s="171" t="n">
        <v>54</v>
      </c>
      <c r="C113" s="171" t="inlineStr">
        <is>
          <t>Plena Plus 2</t>
        </is>
      </c>
      <c r="D113" s="170" t="n">
        <v>94</v>
      </c>
      <c r="E113" s="5" t="n"/>
      <c r="F113" s="5" t="n"/>
      <c r="G113" s="5" t="n"/>
      <c r="H113" s="5" t="n"/>
      <c r="I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BD113" s="5" t="n"/>
      <c r="BE113" s="5" t="n"/>
      <c r="BJ113" s="5" t="n"/>
      <c r="BK113" s="5" t="n"/>
      <c r="BP113" s="5" t="n"/>
      <c r="BQ113" s="5" t="n"/>
      <c r="BV113" s="5" t="n"/>
      <c r="BW113" s="5" t="n"/>
      <c r="BX113" s="5" t="n"/>
      <c r="BY113" s="5" t="n"/>
      <c r="BZ113" s="5" t="n"/>
      <c r="CA113" s="5" t="n"/>
      <c r="CF113" s="5" t="n"/>
    </row>
    <row r="114" ht="16.5" customHeight="1" s="241">
      <c r="A114" s="171" t="n">
        <v>55</v>
      </c>
      <c r="B114" s="171" t="n">
        <v>59</v>
      </c>
      <c r="C114" s="171" t="inlineStr">
        <is>
          <t>Plena Plus 2</t>
        </is>
      </c>
      <c r="D114" s="170" t="n">
        <v>155</v>
      </c>
      <c r="E114" s="5" t="n"/>
      <c r="F114" s="5" t="n"/>
      <c r="G114" s="5" t="n"/>
      <c r="H114" s="5" t="n"/>
      <c r="I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BD114" s="5" t="n"/>
      <c r="BE114" s="5" t="n"/>
      <c r="BJ114" s="5" t="n"/>
      <c r="BK114" s="5" t="n"/>
      <c r="BP114" s="5" t="n"/>
      <c r="BQ114" s="5" t="n"/>
      <c r="BV114" s="5" t="n"/>
      <c r="BW114" s="5" t="n"/>
      <c r="BX114" s="5" t="n"/>
      <c r="BY114" s="5" t="n"/>
      <c r="BZ114" s="5" t="n"/>
      <c r="CA114" s="5" t="n"/>
      <c r="CF114" s="5" t="n"/>
    </row>
    <row r="115" ht="16.5" customHeight="1" s="241">
      <c r="A115" s="171" t="n">
        <v>60</v>
      </c>
      <c r="B115" s="171" t="n">
        <v>64</v>
      </c>
      <c r="C115" s="171" t="inlineStr">
        <is>
          <t>Plena Plus 2</t>
        </is>
      </c>
      <c r="D115" s="170" t="n">
        <v>181</v>
      </c>
      <c r="E115" s="5" t="n"/>
      <c r="F115" s="5" t="n"/>
      <c r="G115" s="5" t="n"/>
      <c r="H115" s="5" t="n"/>
      <c r="I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BD115" s="5" t="n"/>
      <c r="BE115" s="5" t="n"/>
      <c r="BJ115" s="5" t="n"/>
      <c r="BK115" s="5" t="n"/>
      <c r="BP115" s="5" t="n"/>
      <c r="BQ115" s="5" t="n"/>
      <c r="BV115" s="5" t="n"/>
      <c r="BW115" s="5" t="n"/>
      <c r="BX115" s="5" t="n"/>
      <c r="BY115" s="5" t="n"/>
      <c r="BZ115" s="5" t="n"/>
      <c r="CA115" s="5" t="n"/>
      <c r="CF115" s="5" t="n"/>
    </row>
    <row r="116" ht="16.5" customHeight="1" s="241">
      <c r="A116" s="171" t="n">
        <v>65</v>
      </c>
      <c r="B116" s="171" t="n">
        <v>69</v>
      </c>
      <c r="C116" s="171" t="inlineStr">
        <is>
          <t>Plena Plus 2</t>
        </is>
      </c>
      <c r="D116" s="170" t="n">
        <v>255</v>
      </c>
      <c r="E116" s="5" t="n"/>
      <c r="F116" s="5" t="n"/>
      <c r="G116" s="5" t="n"/>
      <c r="H116" s="5" t="n"/>
      <c r="I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BD116" s="5" t="n"/>
      <c r="BE116" s="5" t="n"/>
      <c r="BJ116" s="5" t="n"/>
      <c r="BK116" s="5" t="n"/>
      <c r="BP116" s="5" t="n"/>
      <c r="BQ116" s="5" t="n"/>
      <c r="BV116" s="5" t="n"/>
      <c r="BW116" s="5" t="n"/>
      <c r="BX116" s="5" t="n"/>
      <c r="BY116" s="5" t="n"/>
      <c r="BZ116" s="5" t="n"/>
      <c r="CA116" s="5" t="n"/>
      <c r="CF116" s="5" t="n"/>
    </row>
    <row r="117" ht="16.5" customHeight="1" s="241">
      <c r="A117" s="171" t="n">
        <v>70</v>
      </c>
      <c r="B117" s="171" t="n">
        <v>120</v>
      </c>
      <c r="C117" s="171" t="inlineStr">
        <is>
          <t>Plena Plus 2</t>
        </is>
      </c>
      <c r="D117" s="170" t="n">
        <v>259</v>
      </c>
      <c r="E117" s="5" t="n"/>
      <c r="F117" s="5" t="n"/>
      <c r="G117" s="5" t="n"/>
      <c r="H117" s="5" t="n"/>
      <c r="I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BD117" s="5" t="n"/>
      <c r="BE117" s="5" t="n"/>
      <c r="BJ117" s="5" t="n"/>
      <c r="BK117" s="5" t="n"/>
      <c r="BP117" s="5" t="n"/>
      <c r="BQ117" s="5" t="n"/>
      <c r="BV117" s="5" t="n"/>
      <c r="BW117" s="5" t="n"/>
      <c r="BX117" s="5" t="n"/>
      <c r="BY117" s="5" t="n"/>
      <c r="BZ117" s="5" t="n"/>
      <c r="CA117" s="5" t="n"/>
      <c r="CF117" s="5" t="n"/>
    </row>
    <row r="118" ht="16.5" customHeight="1" s="241">
      <c r="A118" s="171" t="n">
        <v>0</v>
      </c>
      <c r="B118" s="171" t="n">
        <v>24</v>
      </c>
      <c r="C118" s="171" t="inlineStr">
        <is>
          <t>Plena Plus 3</t>
        </is>
      </c>
      <c r="D118" s="170" t="n">
        <v>64</v>
      </c>
      <c r="E118" s="5" t="n"/>
      <c r="F118" s="5" t="n"/>
      <c r="G118" s="5" t="n"/>
      <c r="H118" s="5" t="n"/>
      <c r="I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BD118" s="5" t="n"/>
      <c r="BE118" s="5" t="n"/>
      <c r="BJ118" s="5" t="n"/>
      <c r="BK118" s="5" t="n"/>
      <c r="BP118" s="5" t="n"/>
      <c r="BQ118" s="5" t="n"/>
      <c r="BV118" s="5" t="n"/>
      <c r="BW118" s="5" t="n"/>
      <c r="BX118" s="5" t="n"/>
      <c r="BY118" s="5" t="n"/>
      <c r="BZ118" s="5" t="n"/>
      <c r="CA118" s="5" t="n"/>
      <c r="CF118" s="5" t="n"/>
    </row>
    <row r="119" ht="16.5" customHeight="1" s="241">
      <c r="A119" s="171" t="n">
        <v>25</v>
      </c>
      <c r="B119" s="171" t="n">
        <v>44</v>
      </c>
      <c r="C119" s="171" t="inlineStr">
        <is>
          <t>Plena Plus 3</t>
        </is>
      </c>
      <c r="D119" s="170" t="n">
        <v>76</v>
      </c>
      <c r="E119" s="5" t="n"/>
      <c r="F119" s="5" t="n"/>
      <c r="G119" s="5" t="n"/>
      <c r="H119" s="5" t="n"/>
      <c r="I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BD119" s="5" t="n"/>
      <c r="BE119" s="5" t="n"/>
      <c r="BJ119" s="5" t="n"/>
      <c r="BK119" s="5" t="n"/>
      <c r="BP119" s="5" t="n"/>
      <c r="BQ119" s="5" t="n"/>
      <c r="BV119" s="5" t="n"/>
      <c r="BW119" s="5" t="n"/>
      <c r="BX119" s="5" t="n"/>
      <c r="BY119" s="5" t="n"/>
      <c r="BZ119" s="5" t="n"/>
      <c r="CA119" s="5" t="n"/>
      <c r="CF119" s="5" t="n"/>
    </row>
    <row r="120" ht="16.5" customHeight="1" s="241">
      <c r="A120" s="171" t="n">
        <v>45</v>
      </c>
      <c r="B120" s="171" t="n">
        <v>54</v>
      </c>
      <c r="C120" s="171" t="inlineStr">
        <is>
          <t>Plena Plus 3</t>
        </is>
      </c>
      <c r="D120" s="170" t="n">
        <v>96</v>
      </c>
      <c r="E120" s="5" t="n"/>
      <c r="F120" s="5" t="n"/>
      <c r="G120" s="5" t="n"/>
      <c r="H120" s="5" t="n"/>
      <c r="I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BD120" s="5" t="n"/>
      <c r="BE120" s="5" t="n"/>
      <c r="BJ120" s="5" t="n"/>
      <c r="BK120" s="5" t="n"/>
      <c r="BP120" s="5" t="n"/>
      <c r="BQ120" s="5" t="n"/>
      <c r="BV120" s="5" t="n"/>
      <c r="BW120" s="5" t="n"/>
      <c r="BX120" s="5" t="n"/>
      <c r="BY120" s="5" t="n"/>
      <c r="BZ120" s="5" t="n"/>
      <c r="CA120" s="5" t="n"/>
      <c r="CF120" s="5" t="n"/>
    </row>
    <row r="121" ht="16.5" customHeight="1" s="241">
      <c r="A121" s="171" t="n">
        <v>55</v>
      </c>
      <c r="B121" s="171" t="n">
        <v>59</v>
      </c>
      <c r="C121" s="171" t="inlineStr">
        <is>
          <t>Plena Plus 3</t>
        </is>
      </c>
      <c r="D121" s="170" t="n">
        <v>159</v>
      </c>
      <c r="E121" s="5" t="n"/>
      <c r="F121" s="5" t="n"/>
      <c r="G121" s="5" t="n"/>
      <c r="H121" s="5" t="n"/>
      <c r="I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BD121" s="5" t="n"/>
      <c r="BE121" s="5" t="n"/>
      <c r="BJ121" s="5" t="n"/>
      <c r="BK121" s="5" t="n"/>
      <c r="BP121" s="5" t="n"/>
      <c r="BQ121" s="5" t="n"/>
      <c r="BV121" s="5" t="n"/>
      <c r="BW121" s="5" t="n"/>
      <c r="BX121" s="5" t="n"/>
      <c r="BY121" s="5" t="n"/>
      <c r="BZ121" s="5" t="n"/>
      <c r="CA121" s="5" t="n"/>
      <c r="CF121" s="5" t="n"/>
    </row>
    <row r="122" ht="16.5" customHeight="1" s="241">
      <c r="A122" s="171" t="n">
        <v>60</v>
      </c>
      <c r="B122" s="171" t="n">
        <v>64</v>
      </c>
      <c r="C122" s="171" t="inlineStr">
        <is>
          <t>Plena Plus 3</t>
        </is>
      </c>
      <c r="D122" s="170" t="n">
        <v>185</v>
      </c>
      <c r="E122" s="5" t="n"/>
      <c r="F122" s="5" t="n"/>
      <c r="G122" s="5" t="n"/>
      <c r="H122" s="5" t="n"/>
      <c r="I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BD122" s="5" t="n"/>
      <c r="BE122" s="5" t="n"/>
      <c r="BJ122" s="5" t="n"/>
      <c r="BK122" s="5" t="n"/>
      <c r="BP122" s="5" t="n"/>
      <c r="BQ122" s="5" t="n"/>
      <c r="BV122" s="5" t="n"/>
      <c r="BW122" s="5" t="n"/>
      <c r="BX122" s="5" t="n"/>
      <c r="BY122" s="5" t="n"/>
      <c r="BZ122" s="5" t="n"/>
      <c r="CA122" s="5" t="n"/>
      <c r="CF122" s="5" t="n"/>
    </row>
    <row r="123" ht="16.5" customHeight="1" s="241">
      <c r="A123" s="171" t="n">
        <v>65</v>
      </c>
      <c r="B123" s="171" t="n">
        <v>69</v>
      </c>
      <c r="C123" s="171" t="inlineStr">
        <is>
          <t>Plena Plus 3</t>
        </is>
      </c>
      <c r="D123" s="170" t="n">
        <v>259</v>
      </c>
      <c r="E123" s="5" t="n"/>
      <c r="F123" s="5" t="n"/>
      <c r="G123" s="5" t="n"/>
      <c r="H123" s="5" t="n"/>
      <c r="I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BD123" s="5" t="n"/>
      <c r="BE123" s="5" t="n"/>
      <c r="BJ123" s="5" t="n"/>
      <c r="BK123" s="5" t="n"/>
      <c r="BP123" s="5" t="n"/>
      <c r="BQ123" s="5" t="n"/>
      <c r="BV123" s="5" t="n"/>
      <c r="BW123" s="5" t="n"/>
      <c r="BX123" s="5" t="n"/>
      <c r="BY123" s="5" t="n"/>
      <c r="BZ123" s="5" t="n"/>
      <c r="CA123" s="5" t="n"/>
      <c r="CF123" s="5" t="n"/>
    </row>
    <row r="124" ht="16.5" customHeight="1" s="241">
      <c r="A124" s="171" t="n">
        <v>70</v>
      </c>
      <c r="B124" s="171" t="n">
        <v>120</v>
      </c>
      <c r="C124" s="171" t="inlineStr">
        <is>
          <t>Plena Plus 3</t>
        </is>
      </c>
      <c r="D124" s="170" t="n">
        <v>265</v>
      </c>
      <c r="E124" s="5" t="n"/>
      <c r="F124" s="5" t="n"/>
      <c r="G124" s="5" t="n"/>
      <c r="H124" s="5" t="n"/>
      <c r="I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BD124" s="5" t="n"/>
      <c r="BE124" s="5" t="n"/>
      <c r="BJ124" s="5" t="n"/>
      <c r="BK124" s="5" t="n"/>
      <c r="BP124" s="5" t="n"/>
      <c r="BQ124" s="5" t="n"/>
      <c r="BV124" s="5" t="n"/>
      <c r="BW124" s="5" t="n"/>
      <c r="BX124" s="5" t="n"/>
      <c r="BY124" s="5" t="n"/>
      <c r="BZ124" s="5" t="n"/>
      <c r="CA124" s="5" t="n"/>
      <c r="CF124" s="5" t="n"/>
    </row>
    <row r="125" ht="16.5" customHeight="1" s="241">
      <c r="A125" s="171" t="n">
        <v>0</v>
      </c>
      <c r="B125" s="171" t="n">
        <v>24</v>
      </c>
      <c r="C125" s="171" t="inlineStr">
        <is>
          <t>Plena Plus 4</t>
        </is>
      </c>
      <c r="D125" s="170" t="n">
        <v>66</v>
      </c>
      <c r="E125" s="5" t="n"/>
      <c r="F125" s="5" t="n"/>
      <c r="G125" s="5" t="n"/>
      <c r="H125" s="5" t="n"/>
      <c r="I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BD125" s="5" t="n"/>
      <c r="BE125" s="5" t="n"/>
      <c r="BJ125" s="5" t="n"/>
      <c r="BK125" s="5" t="n"/>
      <c r="BP125" s="5" t="n"/>
      <c r="BQ125" s="5" t="n"/>
      <c r="BV125" s="5" t="n"/>
      <c r="BW125" s="5" t="n"/>
      <c r="BX125" s="5" t="n"/>
      <c r="BY125" s="5" t="n"/>
      <c r="BZ125" s="5" t="n"/>
      <c r="CA125" s="5" t="n"/>
      <c r="CF125" s="5" t="n"/>
    </row>
    <row r="126" ht="16.5" customHeight="1" s="241">
      <c r="A126" s="171" t="n">
        <v>25</v>
      </c>
      <c r="B126" s="171" t="n">
        <v>44</v>
      </c>
      <c r="C126" s="171" t="inlineStr">
        <is>
          <t>Plena Plus 4</t>
        </is>
      </c>
      <c r="D126" s="170" t="n">
        <v>77</v>
      </c>
      <c r="E126" s="5" t="n"/>
      <c r="F126" s="5" t="n"/>
      <c r="G126" s="5" t="n"/>
      <c r="H126" s="5" t="n"/>
      <c r="I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BD126" s="5" t="n"/>
      <c r="BE126" s="5" t="n"/>
      <c r="BJ126" s="5" t="n"/>
      <c r="BK126" s="5" t="n"/>
      <c r="BP126" s="5" t="n"/>
      <c r="BQ126" s="5" t="n"/>
      <c r="BV126" s="5" t="n"/>
      <c r="BW126" s="5" t="n"/>
      <c r="BX126" s="5" t="n"/>
      <c r="BY126" s="5" t="n"/>
      <c r="BZ126" s="5" t="n"/>
      <c r="CA126" s="5" t="n"/>
      <c r="CF126" s="5" t="n"/>
    </row>
    <row r="127" ht="16.5" customHeight="1" s="241">
      <c r="A127" s="171" t="n">
        <v>45</v>
      </c>
      <c r="B127" s="171" t="n">
        <v>54</v>
      </c>
      <c r="C127" s="171" t="inlineStr">
        <is>
          <t>Plena Plus 4</t>
        </is>
      </c>
      <c r="D127" s="170" t="n">
        <v>99</v>
      </c>
      <c r="E127" s="5" t="n"/>
      <c r="F127" s="5" t="n"/>
      <c r="G127" s="5" t="n"/>
      <c r="H127" s="5" t="n"/>
      <c r="I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BD127" s="5" t="n"/>
      <c r="BE127" s="5" t="n"/>
      <c r="BJ127" s="5" t="n"/>
      <c r="BK127" s="5" t="n"/>
      <c r="BP127" s="5" t="n"/>
      <c r="BQ127" s="5" t="n"/>
      <c r="BV127" s="5" t="n"/>
      <c r="BW127" s="5" t="n"/>
      <c r="BX127" s="5" t="n"/>
      <c r="BY127" s="5" t="n"/>
      <c r="BZ127" s="5" t="n"/>
      <c r="CA127" s="5" t="n"/>
      <c r="CF127" s="5" t="n"/>
    </row>
    <row r="128" ht="16.5" customHeight="1" s="241">
      <c r="A128" s="171" t="n">
        <v>55</v>
      </c>
      <c r="B128" s="171" t="n">
        <v>59</v>
      </c>
      <c r="C128" s="171" t="inlineStr">
        <is>
          <t>Plena Plus 4</t>
        </is>
      </c>
      <c r="D128" s="170" t="n">
        <v>164</v>
      </c>
      <c r="E128" s="5" t="n"/>
      <c r="F128" s="5" t="n"/>
      <c r="G128" s="5" t="n"/>
      <c r="H128" s="5" t="n"/>
      <c r="I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BD128" s="5" t="n"/>
      <c r="BE128" s="5" t="n"/>
      <c r="BJ128" s="5" t="n"/>
      <c r="BK128" s="5" t="n"/>
      <c r="BP128" s="5" t="n"/>
      <c r="BQ128" s="5" t="n"/>
      <c r="BV128" s="5" t="n"/>
      <c r="BW128" s="5" t="n"/>
      <c r="BX128" s="5" t="n"/>
      <c r="BY128" s="5" t="n"/>
      <c r="BZ128" s="5" t="n"/>
      <c r="CA128" s="5" t="n"/>
      <c r="CF128" s="5" t="n"/>
    </row>
    <row r="129" ht="16.5" customHeight="1" s="241">
      <c r="A129" s="171" t="n">
        <v>60</v>
      </c>
      <c r="B129" s="171" t="n">
        <v>64</v>
      </c>
      <c r="C129" s="171" t="inlineStr">
        <is>
          <t>Plena Plus 4</t>
        </is>
      </c>
      <c r="D129" s="170" t="n">
        <v>196</v>
      </c>
      <c r="E129" s="5" t="n"/>
      <c r="F129" s="5" t="n"/>
      <c r="G129" s="5" t="n"/>
      <c r="H129" s="5" t="n"/>
      <c r="I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BD129" s="5" t="n"/>
      <c r="BE129" s="5" t="n"/>
      <c r="BJ129" s="5" t="n"/>
      <c r="BK129" s="5" t="n"/>
      <c r="BP129" s="5" t="n"/>
      <c r="BQ129" s="5" t="n"/>
      <c r="BV129" s="5" t="n"/>
      <c r="BW129" s="5" t="n"/>
      <c r="BX129" s="5" t="n"/>
      <c r="BY129" s="5" t="n"/>
      <c r="BZ129" s="5" t="n"/>
      <c r="CA129" s="5" t="n"/>
      <c r="CF129" s="5" t="n"/>
    </row>
    <row r="130" ht="16.5" customHeight="1" s="241">
      <c r="A130" s="171" t="n">
        <v>65</v>
      </c>
      <c r="B130" s="171" t="n">
        <v>69</v>
      </c>
      <c r="C130" s="171" t="inlineStr">
        <is>
          <t>Plena Plus 4</t>
        </is>
      </c>
      <c r="D130" s="170" t="n">
        <v>275</v>
      </c>
      <c r="E130" s="5" t="n"/>
      <c r="F130" s="5" t="n"/>
      <c r="G130" s="5" t="n"/>
      <c r="H130" s="5" t="n"/>
      <c r="I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BD130" s="5" t="n"/>
      <c r="BE130" s="5" t="n"/>
      <c r="BJ130" s="5" t="n"/>
      <c r="BK130" s="5" t="n"/>
      <c r="BP130" s="5" t="n"/>
      <c r="BQ130" s="5" t="n"/>
      <c r="BV130" s="5" t="n"/>
      <c r="BW130" s="5" t="n"/>
      <c r="BX130" s="5" t="n"/>
      <c r="BY130" s="5" t="n"/>
      <c r="BZ130" s="5" t="n"/>
      <c r="CA130" s="5" t="n"/>
      <c r="CF130" s="5" t="n"/>
    </row>
    <row r="131" ht="16.5" customHeight="1" s="241">
      <c r="A131" s="171" t="n">
        <v>70</v>
      </c>
      <c r="B131" s="171" t="n">
        <v>120</v>
      </c>
      <c r="C131" s="171" t="inlineStr">
        <is>
          <t>Plena Plus 4</t>
        </is>
      </c>
      <c r="D131" s="170" t="n">
        <v>279</v>
      </c>
      <c r="E131" s="5" t="n"/>
      <c r="F131" s="5" t="n"/>
      <c r="G131" s="5" t="n"/>
      <c r="H131" s="5" t="n"/>
      <c r="I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BD131" s="5" t="n"/>
      <c r="BE131" s="5" t="n"/>
      <c r="BJ131" s="5" t="n"/>
      <c r="BK131" s="5" t="n"/>
      <c r="BP131" s="5" t="n"/>
      <c r="BQ131" s="5" t="n"/>
      <c r="BV131" s="5" t="n"/>
      <c r="BW131" s="5" t="n"/>
      <c r="BX131" s="5" t="n"/>
      <c r="BY131" s="5" t="n"/>
      <c r="BZ131" s="5" t="n"/>
      <c r="CA131" s="5" t="n"/>
      <c r="CF131" s="5" t="n"/>
    </row>
    <row r="132" ht="16.5" customHeight="1" s="241">
      <c r="A132" s="171" t="n">
        <v>0</v>
      </c>
      <c r="B132" s="171" t="n">
        <v>24</v>
      </c>
      <c r="C132" s="171" t="inlineStr">
        <is>
          <t>Plena Plus 5</t>
        </is>
      </c>
      <c r="D132" s="170" t="n">
        <v>67</v>
      </c>
      <c r="E132" s="5" t="n"/>
      <c r="F132" s="5" t="n"/>
      <c r="G132" s="5" t="n"/>
      <c r="H132" s="5" t="n"/>
      <c r="I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BD132" s="5" t="n"/>
      <c r="BE132" s="5" t="n"/>
      <c r="BJ132" s="5" t="n"/>
      <c r="BK132" s="5" t="n"/>
      <c r="BP132" s="5" t="n"/>
      <c r="BQ132" s="5" t="n"/>
      <c r="BV132" s="5" t="n"/>
      <c r="BW132" s="5" t="n"/>
      <c r="BX132" s="5" t="n"/>
      <c r="BY132" s="5" t="n"/>
      <c r="BZ132" s="5" t="n"/>
      <c r="CA132" s="5" t="n"/>
      <c r="CF132" s="5" t="n"/>
    </row>
    <row r="133" ht="16.5" customHeight="1" s="241">
      <c r="A133" s="171" t="n">
        <v>25</v>
      </c>
      <c r="B133" s="171" t="n">
        <v>44</v>
      </c>
      <c r="C133" s="171" t="inlineStr">
        <is>
          <t>Plena Plus 5</t>
        </is>
      </c>
      <c r="D133" s="170" t="n">
        <v>79</v>
      </c>
      <c r="E133" s="5" t="n"/>
      <c r="F133" s="5" t="n"/>
      <c r="G133" s="5" t="n"/>
      <c r="H133" s="5" t="n"/>
      <c r="I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BD133" s="5" t="n"/>
      <c r="BE133" s="5" t="n"/>
      <c r="BJ133" s="5" t="n"/>
      <c r="BK133" s="5" t="n"/>
      <c r="BP133" s="5" t="n"/>
      <c r="BQ133" s="5" t="n"/>
      <c r="BV133" s="5" t="n"/>
      <c r="BW133" s="5" t="n"/>
      <c r="BX133" s="5" t="n"/>
      <c r="BY133" s="5" t="n"/>
      <c r="BZ133" s="5" t="n"/>
      <c r="CA133" s="5" t="n"/>
      <c r="CF133" s="5" t="n"/>
    </row>
    <row r="134" ht="16.5" customHeight="1" s="241">
      <c r="A134" s="171" t="n">
        <v>45</v>
      </c>
      <c r="B134" s="171" t="n">
        <v>54</v>
      </c>
      <c r="C134" s="171" t="inlineStr">
        <is>
          <t>Plena Plus 5</t>
        </is>
      </c>
      <c r="D134" s="170" t="n">
        <v>100</v>
      </c>
      <c r="E134" s="5" t="n"/>
      <c r="F134" s="5" t="n"/>
      <c r="G134" s="5" t="n"/>
      <c r="H134" s="5" t="n"/>
      <c r="I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BD134" s="5" t="n"/>
      <c r="BE134" s="5" t="n"/>
      <c r="BJ134" s="5" t="n"/>
      <c r="BK134" s="5" t="n"/>
      <c r="BP134" s="5" t="n"/>
      <c r="BQ134" s="5" t="n"/>
      <c r="BV134" s="5" t="n"/>
      <c r="BW134" s="5" t="n"/>
      <c r="BX134" s="5" t="n"/>
      <c r="BY134" s="5" t="n"/>
      <c r="BZ134" s="5" t="n"/>
      <c r="CA134" s="5" t="n"/>
      <c r="CF134" s="5" t="n"/>
    </row>
    <row r="135" ht="16.5" customHeight="1" s="241">
      <c r="A135" s="171" t="n">
        <v>55</v>
      </c>
      <c r="B135" s="171" t="n">
        <v>59</v>
      </c>
      <c r="C135" s="171" t="inlineStr">
        <is>
          <t>Plena Plus 5</t>
        </is>
      </c>
      <c r="D135" s="170" t="n">
        <v>166</v>
      </c>
      <c r="E135" s="5" t="n"/>
      <c r="F135" s="5" t="n"/>
      <c r="G135" s="5" t="n"/>
      <c r="H135" s="5" t="n"/>
      <c r="I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BD135" s="5" t="n"/>
      <c r="BE135" s="5" t="n"/>
      <c r="BJ135" s="5" t="n"/>
      <c r="BK135" s="5" t="n"/>
      <c r="BP135" s="5" t="n"/>
      <c r="BQ135" s="5" t="n"/>
      <c r="BV135" s="5" t="n"/>
      <c r="BW135" s="5" t="n"/>
      <c r="BX135" s="5" t="n"/>
      <c r="BY135" s="5" t="n"/>
      <c r="BZ135" s="5" t="n"/>
      <c r="CA135" s="5" t="n"/>
      <c r="CF135" s="5" t="n"/>
    </row>
    <row r="136" ht="16.5" customHeight="1" s="241">
      <c r="A136" s="171" t="n">
        <v>60</v>
      </c>
      <c r="B136" s="171" t="n">
        <v>64</v>
      </c>
      <c r="C136" s="171" t="inlineStr">
        <is>
          <t>Plena Plus 5</t>
        </is>
      </c>
      <c r="D136" s="170" t="n">
        <v>205</v>
      </c>
      <c r="E136" s="5" t="n"/>
      <c r="F136" s="5" t="n"/>
      <c r="G136" s="5" t="n"/>
      <c r="H136" s="5" t="n"/>
      <c r="I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BD136" s="5" t="n"/>
      <c r="BE136" s="5" t="n"/>
      <c r="BJ136" s="5" t="n"/>
      <c r="BK136" s="5" t="n"/>
      <c r="BP136" s="5" t="n"/>
      <c r="BQ136" s="5" t="n"/>
      <c r="BV136" s="5" t="n"/>
      <c r="BW136" s="5" t="n"/>
      <c r="BX136" s="5" t="n"/>
      <c r="BY136" s="5" t="n"/>
      <c r="BZ136" s="5" t="n"/>
      <c r="CA136" s="5" t="n"/>
      <c r="CF136" s="5" t="n"/>
    </row>
    <row r="137" ht="16.5" customHeight="1" s="241">
      <c r="A137" s="171" t="n">
        <v>65</v>
      </c>
      <c r="B137" s="171" t="n">
        <v>69</v>
      </c>
      <c r="C137" s="171" t="inlineStr">
        <is>
          <t>Plena Plus 5</t>
        </is>
      </c>
      <c r="D137" s="170" t="n">
        <v>289</v>
      </c>
      <c r="E137" s="5" t="n"/>
      <c r="F137" s="5" t="n"/>
      <c r="G137" s="5" t="n"/>
      <c r="H137" s="5" t="n"/>
      <c r="I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BD137" s="5" t="n"/>
      <c r="BE137" s="5" t="n"/>
      <c r="BJ137" s="5" t="n"/>
      <c r="BK137" s="5" t="n"/>
      <c r="BP137" s="5" t="n"/>
      <c r="BQ137" s="5" t="n"/>
      <c r="BV137" s="5" t="n"/>
      <c r="BW137" s="5" t="n"/>
      <c r="BX137" s="5" t="n"/>
      <c r="BY137" s="5" t="n"/>
      <c r="BZ137" s="5" t="n"/>
      <c r="CA137" s="5" t="n"/>
      <c r="CF137" s="5" t="n"/>
    </row>
    <row r="138" ht="16.5" customHeight="1" s="241">
      <c r="A138" s="171" t="n">
        <v>70</v>
      </c>
      <c r="B138" s="171" t="n">
        <v>120</v>
      </c>
      <c r="C138" s="171" t="inlineStr">
        <is>
          <t>Plena Plus 5</t>
        </is>
      </c>
      <c r="D138" s="170" t="n">
        <v>295</v>
      </c>
      <c r="E138" s="5" t="n"/>
      <c r="F138" s="5" t="n"/>
      <c r="G138" s="5" t="n"/>
      <c r="H138" s="5" t="n"/>
      <c r="I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BD138" s="5" t="n"/>
      <c r="BE138" s="5" t="n"/>
      <c r="BJ138" s="5" t="n"/>
      <c r="BK138" s="5" t="n"/>
      <c r="BP138" s="5" t="n"/>
      <c r="BQ138" s="5" t="n"/>
      <c r="BV138" s="5" t="n"/>
      <c r="BW138" s="5" t="n"/>
      <c r="BX138" s="5" t="n"/>
      <c r="BY138" s="5" t="n"/>
      <c r="BZ138" s="5" t="n"/>
      <c r="CA138" s="5" t="n"/>
      <c r="CF138" s="5" t="n"/>
    </row>
    <row r="139" ht="16.5" customHeight="1" s="241">
      <c r="A139" s="171" t="n">
        <v>0</v>
      </c>
      <c r="B139" s="171" t="n">
        <v>24</v>
      </c>
      <c r="C139" s="171" t="inlineStr">
        <is>
          <t>Plena Plus 6</t>
        </is>
      </c>
      <c r="D139" s="170" t="n">
        <v>69</v>
      </c>
      <c r="E139" s="5" t="n"/>
      <c r="F139" s="5" t="n"/>
      <c r="G139" s="5" t="n"/>
      <c r="H139" s="5" t="n"/>
      <c r="I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BD139" s="5" t="n"/>
      <c r="BE139" s="5" t="n"/>
      <c r="BJ139" s="5" t="n"/>
      <c r="BK139" s="5" t="n"/>
      <c r="BP139" s="5" t="n"/>
      <c r="BQ139" s="5" t="n"/>
      <c r="BV139" s="5" t="n"/>
      <c r="BW139" s="5" t="n"/>
      <c r="BX139" s="5" t="n"/>
      <c r="BY139" s="5" t="n"/>
      <c r="BZ139" s="5" t="n"/>
      <c r="CA139" s="5" t="n"/>
      <c r="CF139" s="5" t="n"/>
    </row>
    <row r="140" ht="16.5" customHeight="1" s="241">
      <c r="A140" s="171" t="n">
        <v>25</v>
      </c>
      <c r="B140" s="171" t="n">
        <v>44</v>
      </c>
      <c r="C140" s="171" t="inlineStr">
        <is>
          <t>Plena Plus 6</t>
        </is>
      </c>
      <c r="D140" s="170" t="n">
        <v>79</v>
      </c>
      <c r="E140" s="5" t="n"/>
      <c r="F140" s="5" t="n"/>
      <c r="G140" s="5" t="n"/>
      <c r="H140" s="5" t="n"/>
      <c r="I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BD140" s="5" t="n"/>
      <c r="BE140" s="5" t="n"/>
      <c r="BJ140" s="5" t="n"/>
      <c r="BK140" s="5" t="n"/>
      <c r="BP140" s="5" t="n"/>
      <c r="BQ140" s="5" t="n"/>
      <c r="BV140" s="5" t="n"/>
      <c r="BW140" s="5" t="n"/>
      <c r="BX140" s="5" t="n"/>
      <c r="BY140" s="5" t="n"/>
      <c r="BZ140" s="5" t="n"/>
      <c r="CA140" s="5" t="n"/>
      <c r="CF140" s="5" t="n"/>
    </row>
    <row r="141" ht="16.5" customHeight="1" s="241">
      <c r="A141" s="171" t="n">
        <v>45</v>
      </c>
      <c r="B141" s="171" t="n">
        <v>54</v>
      </c>
      <c r="C141" s="171" t="inlineStr">
        <is>
          <t>Plena Plus 6</t>
        </is>
      </c>
      <c r="D141" s="170" t="n">
        <v>105</v>
      </c>
      <c r="E141" s="5" t="n"/>
      <c r="F141" s="5" t="n"/>
      <c r="G141" s="5" t="n"/>
      <c r="H141" s="5" t="n"/>
      <c r="I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BD141" s="5" t="n"/>
      <c r="BE141" s="5" t="n"/>
      <c r="BJ141" s="5" t="n"/>
      <c r="BK141" s="5" t="n"/>
      <c r="BP141" s="5" t="n"/>
      <c r="BQ141" s="5" t="n"/>
      <c r="BV141" s="5" t="n"/>
      <c r="BW141" s="5" t="n"/>
      <c r="BX141" s="5" t="n"/>
      <c r="BY141" s="5" t="n"/>
      <c r="BZ141" s="5" t="n"/>
      <c r="CA141" s="5" t="n"/>
      <c r="CF141" s="5" t="n"/>
    </row>
    <row r="142" ht="16.5" customHeight="1" s="241">
      <c r="A142" s="171" t="n">
        <v>55</v>
      </c>
      <c r="B142" s="171" t="n">
        <v>59</v>
      </c>
      <c r="C142" s="171" t="inlineStr">
        <is>
          <t>Plena Plus 6</t>
        </is>
      </c>
      <c r="D142" s="170" t="n">
        <v>167</v>
      </c>
      <c r="E142" s="5" t="n"/>
      <c r="F142" s="5" t="n"/>
      <c r="G142" s="5" t="n"/>
      <c r="H142" s="5" t="n"/>
      <c r="I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BD142" s="5" t="n"/>
      <c r="BE142" s="5" t="n"/>
      <c r="BJ142" s="5" t="n"/>
      <c r="BK142" s="5" t="n"/>
      <c r="BP142" s="5" t="n"/>
      <c r="BQ142" s="5" t="n"/>
      <c r="BV142" s="5" t="n"/>
      <c r="BW142" s="5" t="n"/>
      <c r="BX142" s="5" t="n"/>
      <c r="BY142" s="5" t="n"/>
      <c r="BZ142" s="5" t="n"/>
      <c r="CA142" s="5" t="n"/>
      <c r="CF142" s="5" t="n"/>
    </row>
    <row r="143" ht="16.5" customHeight="1" s="241">
      <c r="A143" s="171" t="n">
        <v>60</v>
      </c>
      <c r="B143" s="171" t="n">
        <v>64</v>
      </c>
      <c r="C143" s="171" t="inlineStr">
        <is>
          <t>Plena Plus 6</t>
        </is>
      </c>
      <c r="D143" s="170" t="n">
        <v>207</v>
      </c>
      <c r="E143" s="5" t="n"/>
      <c r="F143" s="5" t="n"/>
      <c r="G143" s="5" t="n"/>
      <c r="H143" s="5" t="n"/>
      <c r="I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BD143" s="5" t="n"/>
      <c r="BE143" s="5" t="n"/>
      <c r="BJ143" s="5" t="n"/>
      <c r="BK143" s="5" t="n"/>
      <c r="BP143" s="5" t="n"/>
      <c r="BQ143" s="5" t="n"/>
      <c r="BV143" s="5" t="n"/>
      <c r="BW143" s="5" t="n"/>
      <c r="BX143" s="5" t="n"/>
      <c r="BY143" s="5" t="n"/>
      <c r="BZ143" s="5" t="n"/>
      <c r="CA143" s="5" t="n"/>
      <c r="CF143" s="5" t="n"/>
    </row>
    <row r="144" ht="16.5" customHeight="1" s="241">
      <c r="A144" s="171" t="n">
        <v>65</v>
      </c>
      <c r="B144" s="171" t="n">
        <v>69</v>
      </c>
      <c r="C144" s="171" t="inlineStr">
        <is>
          <t>Plena Plus 6</t>
        </is>
      </c>
      <c r="D144" s="170" t="n">
        <v>291</v>
      </c>
      <c r="E144" s="5" t="n"/>
      <c r="F144" s="5" t="n"/>
      <c r="G144" s="5" t="n"/>
      <c r="H144" s="5" t="n"/>
      <c r="I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BD144" s="5" t="n"/>
      <c r="BE144" s="5" t="n"/>
      <c r="BJ144" s="5" t="n"/>
      <c r="BK144" s="5" t="n"/>
      <c r="BP144" s="5" t="n"/>
      <c r="BQ144" s="5" t="n"/>
      <c r="BV144" s="5" t="n"/>
      <c r="BW144" s="5" t="n"/>
      <c r="BX144" s="5" t="n"/>
      <c r="BY144" s="5" t="n"/>
      <c r="BZ144" s="5" t="n"/>
      <c r="CA144" s="5" t="n"/>
      <c r="CF144" s="5" t="n"/>
    </row>
    <row r="145" ht="16.5" customHeight="1" s="241">
      <c r="A145" s="171" t="n">
        <v>70</v>
      </c>
      <c r="B145" s="171" t="n">
        <v>120</v>
      </c>
      <c r="C145" s="171" t="inlineStr">
        <is>
          <t>Plena Plus 6</t>
        </is>
      </c>
      <c r="D145" s="170" t="n">
        <v>297</v>
      </c>
      <c r="E145" s="5" t="n"/>
      <c r="F145" s="5" t="n"/>
      <c r="G145" s="5" t="n"/>
      <c r="H145" s="5" t="n"/>
      <c r="I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BD145" s="5" t="n"/>
      <c r="BE145" s="5" t="n"/>
      <c r="BJ145" s="5" t="n"/>
      <c r="BK145" s="5" t="n"/>
      <c r="BP145" s="5" t="n"/>
      <c r="BQ145" s="5" t="n"/>
      <c r="BV145" s="5" t="n"/>
      <c r="BW145" s="5" t="n"/>
      <c r="BX145" s="5" t="n"/>
      <c r="BY145" s="5" t="n"/>
      <c r="BZ145" s="5" t="n"/>
      <c r="CA145" s="5" t="n"/>
      <c r="CF145" s="5" t="n"/>
    </row>
    <row r="146" ht="16.5" customHeight="1" s="241">
      <c r="A146" s="171" t="n">
        <v>0</v>
      </c>
      <c r="B146" s="171" t="n">
        <v>24</v>
      </c>
      <c r="C146" s="171" t="inlineStr">
        <is>
          <t>Plena Total 1</t>
        </is>
      </c>
      <c r="D146" s="170" t="n">
        <v>83</v>
      </c>
      <c r="E146" s="5" t="n"/>
      <c r="F146" s="5" t="n"/>
      <c r="G146" s="5" t="n"/>
      <c r="H146" s="5" t="n"/>
      <c r="I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BD146" s="5" t="n"/>
      <c r="BE146" s="5" t="n"/>
      <c r="BJ146" s="5" t="n"/>
      <c r="BK146" s="5" t="n"/>
      <c r="BP146" s="5" t="n"/>
      <c r="BQ146" s="5" t="n"/>
      <c r="BV146" s="5" t="n"/>
      <c r="BW146" s="5" t="n"/>
      <c r="BX146" s="5" t="n"/>
      <c r="BY146" s="5" t="n"/>
      <c r="BZ146" s="5" t="n"/>
      <c r="CA146" s="5" t="n"/>
      <c r="CF146" s="5" t="n"/>
    </row>
    <row r="147" ht="16.5" customHeight="1" s="241">
      <c r="A147" s="171" t="n">
        <v>25</v>
      </c>
      <c r="B147" s="171" t="n">
        <v>44</v>
      </c>
      <c r="C147" s="171" t="inlineStr">
        <is>
          <t>Plena Total 1</t>
        </is>
      </c>
      <c r="D147" s="170" t="n">
        <v>99</v>
      </c>
      <c r="E147" s="5" t="n"/>
      <c r="F147" s="5" t="n"/>
      <c r="G147" s="5" t="n"/>
      <c r="H147" s="5" t="n"/>
      <c r="I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BD147" s="5" t="n"/>
      <c r="BE147" s="5" t="n"/>
      <c r="BJ147" s="5" t="n"/>
      <c r="BK147" s="5" t="n"/>
      <c r="BP147" s="5" t="n"/>
      <c r="BQ147" s="5" t="n"/>
      <c r="BV147" s="5" t="n"/>
      <c r="BW147" s="5" t="n"/>
      <c r="BX147" s="5" t="n"/>
      <c r="BY147" s="5" t="n"/>
      <c r="BZ147" s="5" t="n"/>
      <c r="CA147" s="5" t="n"/>
      <c r="CF147" s="5" t="n"/>
    </row>
    <row r="148" ht="16.5" customHeight="1" s="241">
      <c r="A148" s="171" t="n">
        <v>45</v>
      </c>
      <c r="B148" s="171" t="n">
        <v>54</v>
      </c>
      <c r="C148" s="171" t="inlineStr">
        <is>
          <t>Plena Total 1</t>
        </is>
      </c>
      <c r="D148" s="170" t="n">
        <v>121</v>
      </c>
      <c r="E148" s="5" t="n"/>
      <c r="F148" s="5" t="n"/>
      <c r="G148" s="5" t="n"/>
      <c r="H148" s="5" t="n"/>
      <c r="I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BD148" s="5" t="n"/>
      <c r="BE148" s="5" t="n"/>
      <c r="BJ148" s="5" t="n"/>
      <c r="BK148" s="5" t="n"/>
      <c r="BP148" s="5" t="n"/>
      <c r="BQ148" s="5" t="n"/>
      <c r="BV148" s="5" t="n"/>
      <c r="BW148" s="5" t="n"/>
      <c r="BX148" s="5" t="n"/>
      <c r="BY148" s="5" t="n"/>
      <c r="BZ148" s="5" t="n"/>
      <c r="CA148" s="5" t="n"/>
      <c r="CF148" s="5" t="n"/>
    </row>
    <row r="149" ht="16.5" customHeight="1" s="241">
      <c r="A149" s="171" t="n">
        <v>55</v>
      </c>
      <c r="B149" s="171" t="n">
        <v>59</v>
      </c>
      <c r="C149" s="171" t="inlineStr">
        <is>
          <t>Plena Total 1</t>
        </is>
      </c>
      <c r="D149" s="170" t="n">
        <v>169</v>
      </c>
      <c r="E149" s="5" t="n"/>
      <c r="F149" s="5" t="n"/>
      <c r="G149" s="5" t="n"/>
      <c r="H149" s="5" t="n"/>
      <c r="I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BD149" s="5" t="n"/>
      <c r="BE149" s="5" t="n"/>
      <c r="BJ149" s="5" t="n"/>
      <c r="BK149" s="5" t="n"/>
      <c r="BP149" s="5" t="n"/>
      <c r="BQ149" s="5" t="n"/>
      <c r="BV149" s="5" t="n"/>
      <c r="BW149" s="5" t="n"/>
      <c r="BX149" s="5" t="n"/>
      <c r="BY149" s="5" t="n"/>
      <c r="BZ149" s="5" t="n"/>
      <c r="CA149" s="5" t="n"/>
      <c r="CF149" s="5" t="n"/>
    </row>
    <row r="150" ht="16.5" customHeight="1" s="241">
      <c r="A150" s="171" t="n">
        <v>60</v>
      </c>
      <c r="B150" s="171" t="n">
        <v>62</v>
      </c>
      <c r="C150" s="171" t="inlineStr">
        <is>
          <t>Plena Total 1</t>
        </is>
      </c>
      <c r="D150" s="170" t="n">
        <v>207</v>
      </c>
      <c r="E150" s="5" t="n"/>
      <c r="F150" s="5" t="n"/>
      <c r="G150" s="5" t="n"/>
      <c r="H150" s="5" t="n"/>
      <c r="I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BD150" s="5" t="n"/>
      <c r="BE150" s="5" t="n"/>
      <c r="BJ150" s="5" t="n"/>
      <c r="BK150" s="5" t="n"/>
      <c r="BP150" s="5" t="n"/>
      <c r="BQ150" s="5" t="n"/>
      <c r="BV150" s="5" t="n"/>
      <c r="BW150" s="5" t="n"/>
      <c r="BX150" s="5" t="n"/>
      <c r="BY150" s="5" t="n"/>
      <c r="BZ150" s="5" t="n"/>
      <c r="CA150" s="5" t="n"/>
      <c r="CF150" s="5" t="n"/>
    </row>
    <row r="151" ht="16.5" customHeight="1" s="241">
      <c r="A151" s="171" t="n">
        <v>63</v>
      </c>
      <c r="B151" s="171" t="n">
        <v>120</v>
      </c>
      <c r="C151" s="171" t="inlineStr">
        <is>
          <t>Plena Total 1</t>
        </is>
      </c>
      <c r="D151" s="170" t="n">
        <v>273</v>
      </c>
      <c r="E151" s="5" t="n"/>
      <c r="F151" s="5" t="n"/>
      <c r="G151" s="5" t="n"/>
      <c r="H151" s="5" t="n"/>
      <c r="I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BD151" s="5" t="n"/>
      <c r="BE151" s="5" t="n"/>
      <c r="BJ151" s="5" t="n"/>
      <c r="BK151" s="5" t="n"/>
      <c r="BP151" s="5" t="n"/>
      <c r="BQ151" s="5" t="n"/>
      <c r="BV151" s="5" t="n"/>
      <c r="BW151" s="5" t="n"/>
      <c r="BX151" s="5" t="n"/>
      <c r="BY151" s="5" t="n"/>
      <c r="BZ151" s="5" t="n"/>
      <c r="CA151" s="5" t="n"/>
      <c r="CF151" s="5" t="n"/>
    </row>
    <row r="152" ht="16.5" customHeight="1" s="241">
      <c r="A152" s="171" t="n">
        <v>0</v>
      </c>
      <c r="B152" s="171" t="n">
        <v>24</v>
      </c>
      <c r="C152" s="171" t="inlineStr">
        <is>
          <t>Plena Total 2</t>
        </is>
      </c>
      <c r="D152" s="170" t="n">
        <v>85</v>
      </c>
      <c r="E152" s="5" t="n"/>
      <c r="F152" s="5" t="n"/>
      <c r="G152" s="5" t="n"/>
      <c r="H152" s="5" t="n"/>
      <c r="I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BD152" s="5" t="n"/>
      <c r="BE152" s="5" t="n"/>
      <c r="BJ152" s="5" t="n"/>
      <c r="BK152" s="5" t="n"/>
      <c r="BP152" s="5" t="n"/>
      <c r="BQ152" s="5" t="n"/>
      <c r="BV152" s="5" t="n"/>
      <c r="BW152" s="5" t="n"/>
      <c r="BX152" s="5" t="n"/>
      <c r="BY152" s="5" t="n"/>
      <c r="BZ152" s="5" t="n"/>
      <c r="CA152" s="5" t="n"/>
      <c r="CF152" s="5" t="n"/>
    </row>
    <row r="153" ht="16.5" customHeight="1" s="241">
      <c r="A153" s="171" t="n">
        <v>25</v>
      </c>
      <c r="B153" s="171" t="n">
        <v>44</v>
      </c>
      <c r="C153" s="171" t="inlineStr">
        <is>
          <t>Plena Total 2</t>
        </is>
      </c>
      <c r="D153" s="170" t="n">
        <v>103</v>
      </c>
      <c r="E153" s="5" t="n"/>
      <c r="F153" s="5" t="n"/>
      <c r="G153" s="5" t="n"/>
      <c r="H153" s="5" t="n"/>
      <c r="I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BD153" s="5" t="n"/>
      <c r="BE153" s="5" t="n"/>
      <c r="BJ153" s="5" t="n"/>
      <c r="BK153" s="5" t="n"/>
      <c r="BP153" s="5" t="n"/>
      <c r="BQ153" s="5" t="n"/>
      <c r="BV153" s="5" t="n"/>
      <c r="BW153" s="5" t="n"/>
      <c r="BX153" s="5" t="n"/>
      <c r="BY153" s="5" t="n"/>
      <c r="BZ153" s="5" t="n"/>
      <c r="CA153" s="5" t="n"/>
      <c r="CF153" s="5" t="n"/>
    </row>
    <row r="154" ht="16.5" customHeight="1" s="241">
      <c r="A154" s="171" t="n">
        <v>45</v>
      </c>
      <c r="B154" s="171" t="n">
        <v>54</v>
      </c>
      <c r="C154" s="171" t="inlineStr">
        <is>
          <t>Plena Total 2</t>
        </is>
      </c>
      <c r="D154" s="170" t="n">
        <v>124</v>
      </c>
      <c r="E154" s="5" t="n"/>
      <c r="F154" s="5" t="n"/>
      <c r="G154" s="5" t="n"/>
      <c r="H154" s="5" t="n"/>
      <c r="I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BD154" s="5" t="n"/>
      <c r="BE154" s="5" t="n"/>
      <c r="BJ154" s="5" t="n"/>
      <c r="BK154" s="5" t="n"/>
      <c r="BP154" s="5" t="n"/>
      <c r="BQ154" s="5" t="n"/>
      <c r="BV154" s="5" t="n"/>
      <c r="BW154" s="5" t="n"/>
      <c r="BX154" s="5" t="n"/>
      <c r="BY154" s="5" t="n"/>
      <c r="BZ154" s="5" t="n"/>
      <c r="CA154" s="5" t="n"/>
      <c r="CF154" s="5" t="n"/>
    </row>
    <row r="155" ht="16.5" customHeight="1" s="241">
      <c r="A155" s="171" t="n">
        <v>55</v>
      </c>
      <c r="B155" s="171" t="n">
        <v>59</v>
      </c>
      <c r="C155" s="171" t="inlineStr">
        <is>
          <t>Plena Total 2</t>
        </is>
      </c>
      <c r="D155" s="170" t="n">
        <v>176</v>
      </c>
      <c r="E155" s="5" t="n"/>
      <c r="F155" s="5" t="n"/>
      <c r="G155" s="5" t="n"/>
      <c r="H155" s="5" t="n"/>
      <c r="I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BD155" s="5" t="n"/>
      <c r="BE155" s="5" t="n"/>
      <c r="BJ155" s="5" t="n"/>
      <c r="BK155" s="5" t="n"/>
      <c r="BP155" s="5" t="n"/>
      <c r="BQ155" s="5" t="n"/>
      <c r="BV155" s="5" t="n"/>
      <c r="BW155" s="5" t="n"/>
      <c r="BX155" s="5" t="n"/>
      <c r="BY155" s="5" t="n"/>
      <c r="BZ155" s="5" t="n"/>
      <c r="CA155" s="5" t="n"/>
      <c r="CF155" s="5" t="n"/>
    </row>
    <row r="156" ht="16.5" customHeight="1" s="241">
      <c r="A156" s="171" t="n">
        <v>60</v>
      </c>
      <c r="B156" s="171" t="n">
        <v>62</v>
      </c>
      <c r="C156" s="171" t="inlineStr">
        <is>
          <t>Plena Total 2</t>
        </is>
      </c>
      <c r="D156" s="170" t="n">
        <v>217</v>
      </c>
      <c r="E156" s="5" t="n"/>
      <c r="F156" s="5" t="n"/>
      <c r="G156" s="5" t="n"/>
      <c r="H156" s="5" t="n"/>
      <c r="I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BD156" s="5" t="n"/>
      <c r="BE156" s="5" t="n"/>
      <c r="BJ156" s="5" t="n"/>
      <c r="BK156" s="5" t="n"/>
      <c r="BP156" s="5" t="n"/>
      <c r="BQ156" s="5" t="n"/>
      <c r="BV156" s="5" t="n"/>
      <c r="BW156" s="5" t="n"/>
      <c r="BX156" s="5" t="n"/>
      <c r="BY156" s="5" t="n"/>
      <c r="BZ156" s="5" t="n"/>
      <c r="CA156" s="5" t="n"/>
      <c r="CF156" s="5" t="n"/>
    </row>
    <row r="157" ht="16.5" customHeight="1" s="241">
      <c r="A157" s="171" t="n">
        <v>63</v>
      </c>
      <c r="B157" s="171" t="n">
        <v>120</v>
      </c>
      <c r="C157" s="171" t="inlineStr">
        <is>
          <t>Plena Total 2</t>
        </is>
      </c>
      <c r="D157" s="170" t="n">
        <v>284</v>
      </c>
      <c r="E157" s="5" t="n"/>
      <c r="F157" s="5" t="n"/>
      <c r="G157" s="5" t="n"/>
      <c r="H157" s="5" t="n"/>
      <c r="I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BD157" s="5" t="n"/>
      <c r="BE157" s="5" t="n"/>
      <c r="BJ157" s="5" t="n"/>
      <c r="BK157" s="5" t="n"/>
      <c r="BP157" s="5" t="n"/>
      <c r="BQ157" s="5" t="n"/>
      <c r="BV157" s="5" t="n"/>
      <c r="BW157" s="5" t="n"/>
      <c r="BX157" s="5" t="n"/>
      <c r="BY157" s="5" t="n"/>
      <c r="BZ157" s="5" t="n"/>
      <c r="CA157" s="5" t="n"/>
      <c r="CF157" s="5" t="n"/>
    </row>
    <row r="158" ht="16.5" customHeight="1" s="241">
      <c r="A158" s="171" t="n">
        <v>0</v>
      </c>
      <c r="B158" s="171" t="n">
        <v>24</v>
      </c>
      <c r="C158" s="171" t="inlineStr">
        <is>
          <t>Plena Total 3</t>
        </is>
      </c>
      <c r="D158" s="170" t="n">
        <v>86</v>
      </c>
      <c r="E158" s="5" t="n"/>
      <c r="F158" s="5" t="n"/>
      <c r="G158" s="5" t="n"/>
      <c r="H158" s="5" t="n"/>
      <c r="I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BD158" s="5" t="n"/>
      <c r="BE158" s="5" t="n"/>
      <c r="BJ158" s="5" t="n"/>
      <c r="BK158" s="5" t="n"/>
      <c r="BP158" s="5" t="n"/>
      <c r="BQ158" s="5" t="n"/>
      <c r="BV158" s="5" t="n"/>
      <c r="BW158" s="5" t="n"/>
      <c r="BX158" s="5" t="n"/>
      <c r="BY158" s="5" t="n"/>
      <c r="BZ158" s="5" t="n"/>
      <c r="CA158" s="5" t="n"/>
      <c r="CF158" s="5" t="n"/>
    </row>
    <row r="159" ht="16.5" customHeight="1" s="241">
      <c r="A159" s="171" t="n">
        <v>25</v>
      </c>
      <c r="B159" s="171" t="n">
        <v>44</v>
      </c>
      <c r="C159" s="171" t="inlineStr">
        <is>
          <t>Plena Total 3</t>
        </is>
      </c>
      <c r="D159" s="170" t="n">
        <v>104</v>
      </c>
      <c r="E159" s="5" t="n"/>
      <c r="F159" s="5" t="n"/>
      <c r="G159" s="5" t="n"/>
      <c r="H159" s="5" t="n"/>
      <c r="I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BD159" s="5" t="n"/>
      <c r="BE159" s="5" t="n"/>
      <c r="BJ159" s="5" t="n"/>
      <c r="BK159" s="5" t="n"/>
      <c r="BP159" s="5" t="n"/>
      <c r="BQ159" s="5" t="n"/>
      <c r="BV159" s="5" t="n"/>
      <c r="BW159" s="5" t="n"/>
      <c r="BX159" s="5" t="n"/>
      <c r="BY159" s="5" t="n"/>
      <c r="BZ159" s="5" t="n"/>
      <c r="CA159" s="5" t="n"/>
      <c r="CF159" s="5" t="n"/>
    </row>
    <row r="160" ht="16.5" customHeight="1" s="241">
      <c r="A160" s="171" t="n">
        <v>45</v>
      </c>
      <c r="B160" s="171" t="n">
        <v>54</v>
      </c>
      <c r="C160" s="171" t="inlineStr">
        <is>
          <t>Plena Total 3</t>
        </is>
      </c>
      <c r="D160" s="170" t="n">
        <v>126.5</v>
      </c>
      <c r="E160" s="5" t="n"/>
      <c r="F160" s="5" t="n"/>
      <c r="G160" s="5" t="n"/>
      <c r="H160" s="5" t="n"/>
      <c r="I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BD160" s="5" t="n"/>
      <c r="BE160" s="5" t="n"/>
      <c r="BJ160" s="5" t="n"/>
      <c r="BK160" s="5" t="n"/>
      <c r="BP160" s="5" t="n"/>
      <c r="BQ160" s="5" t="n"/>
      <c r="BV160" s="5" t="n"/>
      <c r="BW160" s="5" t="n"/>
      <c r="BX160" s="5" t="n"/>
      <c r="BY160" s="5" t="n"/>
      <c r="BZ160" s="5" t="n"/>
      <c r="CA160" s="5" t="n"/>
      <c r="CF160" s="5" t="n"/>
    </row>
    <row r="161" ht="16.5" customHeight="1" s="241">
      <c r="A161" s="171" t="n">
        <v>55</v>
      </c>
      <c r="B161" s="171" t="n">
        <v>59</v>
      </c>
      <c r="C161" s="171" t="inlineStr">
        <is>
          <t>Plena Total 3</t>
        </is>
      </c>
      <c r="D161" s="170" t="n">
        <v>179</v>
      </c>
      <c r="E161" s="5" t="n"/>
      <c r="F161" s="5" t="n"/>
      <c r="G161" s="5" t="n"/>
      <c r="H161" s="5" t="n"/>
      <c r="I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BD161" s="5" t="n"/>
      <c r="BE161" s="5" t="n"/>
      <c r="BJ161" s="5" t="n"/>
      <c r="BK161" s="5" t="n"/>
      <c r="BP161" s="5" t="n"/>
      <c r="BQ161" s="5" t="n"/>
      <c r="BV161" s="5" t="n"/>
      <c r="BW161" s="5" t="n"/>
      <c r="BX161" s="5" t="n"/>
      <c r="BY161" s="5" t="n"/>
      <c r="BZ161" s="5" t="n"/>
      <c r="CA161" s="5" t="n"/>
      <c r="CF161" s="5" t="n"/>
    </row>
    <row r="162" ht="16.5" customHeight="1" s="241">
      <c r="A162" s="171" t="n">
        <v>60</v>
      </c>
      <c r="B162" s="171" t="n">
        <v>62</v>
      </c>
      <c r="C162" s="171" t="inlineStr">
        <is>
          <t>Plena Total 3</t>
        </is>
      </c>
      <c r="D162" s="170" t="n">
        <v>223</v>
      </c>
      <c r="E162" s="5" t="n"/>
      <c r="F162" s="5" t="n"/>
      <c r="G162" s="5" t="n"/>
      <c r="H162" s="5" t="n"/>
      <c r="I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BD162" s="5" t="n"/>
      <c r="BE162" s="5" t="n"/>
      <c r="BJ162" s="5" t="n"/>
      <c r="BK162" s="5" t="n"/>
      <c r="BP162" s="5" t="n"/>
      <c r="BQ162" s="5" t="n"/>
      <c r="BV162" s="5" t="n"/>
      <c r="BW162" s="5" t="n"/>
      <c r="BX162" s="5" t="n"/>
      <c r="BY162" s="5" t="n"/>
      <c r="BZ162" s="5" t="n"/>
      <c r="CA162" s="5" t="n"/>
      <c r="CF162" s="5" t="n"/>
    </row>
    <row r="163" ht="16.5" customHeight="1" s="241">
      <c r="A163" s="171" t="n">
        <v>63</v>
      </c>
      <c r="B163" s="171" t="n">
        <v>120</v>
      </c>
      <c r="C163" s="171" t="inlineStr">
        <is>
          <t>Plena Total 3</t>
        </is>
      </c>
      <c r="D163" s="170" t="n">
        <v>288</v>
      </c>
      <c r="E163" s="5" t="n"/>
      <c r="F163" s="5" t="n"/>
      <c r="G163" s="5" t="n"/>
      <c r="H163" s="5" t="n"/>
      <c r="I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BD163" s="5" t="n"/>
      <c r="BE163" s="5" t="n"/>
      <c r="BJ163" s="5" t="n"/>
      <c r="BK163" s="5" t="n"/>
      <c r="BP163" s="5" t="n"/>
      <c r="BQ163" s="5" t="n"/>
      <c r="BV163" s="5" t="n"/>
      <c r="BW163" s="5" t="n"/>
      <c r="BX163" s="5" t="n"/>
      <c r="BY163" s="5" t="n"/>
      <c r="BZ163" s="5" t="n"/>
      <c r="CA163" s="5" t="n"/>
      <c r="CF163" s="5" t="n"/>
    </row>
    <row r="164" ht="16.5" customHeight="1" s="241">
      <c r="A164" s="171" t="n">
        <v>0</v>
      </c>
      <c r="B164" s="171" t="n">
        <v>24</v>
      </c>
      <c r="C164" s="171" t="inlineStr">
        <is>
          <t>Plena Total 4</t>
        </is>
      </c>
      <c r="D164" s="170" t="n">
        <v>87</v>
      </c>
      <c r="E164" s="5" t="n"/>
      <c r="F164" s="5" t="n"/>
      <c r="G164" s="5" t="n"/>
      <c r="H164" s="5" t="n"/>
      <c r="I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BD164" s="5" t="n"/>
      <c r="BE164" s="5" t="n"/>
      <c r="BJ164" s="5" t="n"/>
      <c r="BK164" s="5" t="n"/>
      <c r="BP164" s="5" t="n"/>
      <c r="BQ164" s="5" t="n"/>
      <c r="BV164" s="5" t="n"/>
      <c r="BW164" s="5" t="n"/>
      <c r="BX164" s="5" t="n"/>
      <c r="BY164" s="5" t="n"/>
      <c r="BZ164" s="5" t="n"/>
      <c r="CA164" s="5" t="n"/>
      <c r="CF164" s="5" t="n"/>
    </row>
    <row r="165" ht="16.5" customHeight="1" s="241">
      <c r="A165" s="171" t="n">
        <v>25</v>
      </c>
      <c r="B165" s="171" t="n">
        <v>44</v>
      </c>
      <c r="C165" s="171" t="inlineStr">
        <is>
          <t>Plena Total 4</t>
        </is>
      </c>
      <c r="D165" s="170" t="n">
        <v>105.5</v>
      </c>
      <c r="E165" s="5" t="n"/>
      <c r="F165" s="5" t="n"/>
      <c r="G165" s="5" t="n"/>
      <c r="H165" s="5" t="n"/>
      <c r="I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BD165" s="5" t="n"/>
      <c r="BE165" s="5" t="n"/>
      <c r="BJ165" s="5" t="n"/>
      <c r="BK165" s="5" t="n"/>
      <c r="BP165" s="5" t="n"/>
      <c r="BQ165" s="5" t="n"/>
      <c r="BV165" s="5" t="n"/>
      <c r="BW165" s="5" t="n"/>
      <c r="BX165" s="5" t="n"/>
      <c r="BY165" s="5" t="n"/>
      <c r="BZ165" s="5" t="n"/>
      <c r="CA165" s="5" t="n"/>
      <c r="CF165" s="5" t="n"/>
    </row>
    <row r="166" ht="16.5" customHeight="1" s="241">
      <c r="A166" s="171" t="n">
        <v>45</v>
      </c>
      <c r="B166" s="171" t="n">
        <v>54</v>
      </c>
      <c r="C166" s="171" t="inlineStr">
        <is>
          <t>Plena Total 4</t>
        </is>
      </c>
      <c r="D166" s="170" t="n">
        <v>131</v>
      </c>
      <c r="E166" s="5" t="n"/>
      <c r="F166" s="5" t="n"/>
      <c r="G166" s="5" t="n"/>
      <c r="H166" s="5" t="n"/>
      <c r="I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BD166" s="5" t="n"/>
      <c r="BE166" s="5" t="n"/>
      <c r="BJ166" s="5" t="n"/>
      <c r="BK166" s="5" t="n"/>
      <c r="BP166" s="5" t="n"/>
      <c r="BQ166" s="5" t="n"/>
      <c r="BV166" s="5" t="n"/>
      <c r="BW166" s="5" t="n"/>
      <c r="BX166" s="5" t="n"/>
      <c r="BY166" s="5" t="n"/>
      <c r="BZ166" s="5" t="n"/>
      <c r="CA166" s="5" t="n"/>
      <c r="CF166" s="5" t="n"/>
    </row>
    <row r="167" ht="16.5" customHeight="1" s="241">
      <c r="A167" s="171" t="n">
        <v>55</v>
      </c>
      <c r="B167" s="171" t="n">
        <v>59</v>
      </c>
      <c r="C167" s="171" t="inlineStr">
        <is>
          <t>Plena Total 4</t>
        </is>
      </c>
      <c r="D167" s="170" t="n">
        <v>181</v>
      </c>
      <c r="E167" s="5" t="n"/>
      <c r="F167" s="5" t="n"/>
      <c r="G167" s="5" t="n"/>
      <c r="H167" s="5" t="n"/>
      <c r="I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BD167" s="5" t="n"/>
      <c r="BE167" s="5" t="n"/>
      <c r="BJ167" s="5" t="n"/>
      <c r="BK167" s="5" t="n"/>
      <c r="BP167" s="5" t="n"/>
      <c r="BQ167" s="5" t="n"/>
      <c r="BV167" s="5" t="n"/>
      <c r="BW167" s="5" t="n"/>
      <c r="BX167" s="5" t="n"/>
      <c r="BY167" s="5" t="n"/>
      <c r="BZ167" s="5" t="n"/>
      <c r="CA167" s="5" t="n"/>
      <c r="CF167" s="5" t="n"/>
    </row>
    <row r="168" ht="16.5" customHeight="1" s="241">
      <c r="A168" s="171" t="n">
        <v>60</v>
      </c>
      <c r="B168" s="171" t="n">
        <v>62</v>
      </c>
      <c r="C168" s="171" t="inlineStr">
        <is>
          <t>Plena Total 4</t>
        </is>
      </c>
      <c r="D168" s="170" t="n">
        <v>227</v>
      </c>
      <c r="E168" s="5" t="n"/>
      <c r="F168" s="5" t="n"/>
      <c r="G168" s="5" t="n"/>
      <c r="H168" s="5" t="n"/>
      <c r="I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BD168" s="5" t="n"/>
      <c r="BE168" s="5" t="n"/>
      <c r="BJ168" s="5" t="n"/>
      <c r="BK168" s="5" t="n"/>
      <c r="BP168" s="5" t="n"/>
      <c r="BQ168" s="5" t="n"/>
      <c r="BV168" s="5" t="n"/>
      <c r="BW168" s="5" t="n"/>
      <c r="BX168" s="5" t="n"/>
      <c r="BY168" s="5" t="n"/>
      <c r="BZ168" s="5" t="n"/>
      <c r="CA168" s="5" t="n"/>
      <c r="CF168" s="5" t="n"/>
    </row>
    <row r="169" ht="16.5" customHeight="1" s="241">
      <c r="A169" s="171" t="n">
        <v>63</v>
      </c>
      <c r="B169" s="171" t="n">
        <v>120</v>
      </c>
      <c r="C169" s="171" t="inlineStr">
        <is>
          <t>Plena Total 4</t>
        </is>
      </c>
      <c r="D169" s="170" t="n">
        <v>294</v>
      </c>
      <c r="E169" s="5" t="n"/>
      <c r="F169" s="5" t="n"/>
      <c r="G169" s="5" t="n"/>
      <c r="H169" s="5" t="n"/>
      <c r="I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BD169" s="5" t="n"/>
      <c r="BE169" s="5" t="n"/>
      <c r="BJ169" s="5" t="n"/>
      <c r="BK169" s="5" t="n"/>
      <c r="BP169" s="5" t="n"/>
      <c r="BQ169" s="5" t="n"/>
      <c r="BV169" s="5" t="n"/>
      <c r="BW169" s="5" t="n"/>
      <c r="BX169" s="5" t="n"/>
      <c r="BY169" s="5" t="n"/>
      <c r="BZ169" s="5" t="n"/>
      <c r="CA169" s="5" t="n"/>
      <c r="CF169" s="5" t="n"/>
    </row>
    <row r="170" ht="16.5" customHeight="1" s="241">
      <c r="A170" s="171" t="n">
        <v>0</v>
      </c>
      <c r="B170" s="171" t="n">
        <v>24</v>
      </c>
      <c r="C170" s="171" t="inlineStr">
        <is>
          <t>Plena Total 5</t>
        </is>
      </c>
      <c r="D170" s="170" t="n">
        <v>88.5</v>
      </c>
      <c r="E170" s="5" t="n"/>
      <c r="F170" s="5" t="n"/>
      <c r="G170" s="5" t="n"/>
      <c r="H170" s="5" t="n"/>
      <c r="I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BD170" s="5" t="n"/>
      <c r="BE170" s="5" t="n"/>
      <c r="BJ170" s="5" t="n"/>
      <c r="BK170" s="5" t="n"/>
      <c r="BP170" s="5" t="n"/>
      <c r="BQ170" s="5" t="n"/>
      <c r="BV170" s="5" t="n"/>
      <c r="BW170" s="5" t="n"/>
      <c r="BX170" s="5" t="n"/>
      <c r="BY170" s="5" t="n"/>
      <c r="BZ170" s="5" t="n"/>
      <c r="CA170" s="5" t="n"/>
      <c r="CF170" s="5" t="n"/>
    </row>
    <row r="171" ht="16.5" customHeight="1" s="241">
      <c r="A171" s="171" t="n">
        <v>25</v>
      </c>
      <c r="B171" s="171" t="n">
        <v>44</v>
      </c>
      <c r="C171" s="171" t="inlineStr">
        <is>
          <t>Plena Total 5</t>
        </is>
      </c>
      <c r="D171" s="170" t="n">
        <v>108.5</v>
      </c>
      <c r="E171" s="5" t="n"/>
      <c r="F171" s="5" t="n"/>
      <c r="G171" s="5" t="n"/>
      <c r="H171" s="5" t="n"/>
      <c r="I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BD171" s="5" t="n"/>
      <c r="BE171" s="5" t="n"/>
      <c r="BJ171" s="5" t="n"/>
      <c r="BK171" s="5" t="n"/>
      <c r="BP171" s="5" t="n"/>
      <c r="BQ171" s="5" t="n"/>
      <c r="BV171" s="5" t="n"/>
      <c r="BW171" s="5" t="n"/>
      <c r="BX171" s="5" t="n"/>
      <c r="BY171" s="5" t="n"/>
      <c r="BZ171" s="5" t="n"/>
      <c r="CA171" s="5" t="n"/>
      <c r="CF171" s="5" t="n"/>
    </row>
    <row r="172" ht="16.5" customHeight="1" s="241">
      <c r="A172" s="171" t="n">
        <v>45</v>
      </c>
      <c r="B172" s="171" t="n">
        <v>54</v>
      </c>
      <c r="C172" s="171" t="inlineStr">
        <is>
          <t>Plena Total 5</t>
        </is>
      </c>
      <c r="D172" s="170" t="n">
        <v>135.5</v>
      </c>
      <c r="E172" s="5" t="n"/>
      <c r="F172" s="5" t="n"/>
      <c r="G172" s="5" t="n"/>
      <c r="H172" s="5" t="n"/>
      <c r="I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BD172" s="5" t="n"/>
      <c r="BE172" s="5" t="n"/>
      <c r="BJ172" s="5" t="n"/>
      <c r="BK172" s="5" t="n"/>
      <c r="BP172" s="5" t="n"/>
      <c r="BQ172" s="5" t="n"/>
      <c r="BV172" s="5" t="n"/>
      <c r="BW172" s="5" t="n"/>
      <c r="BX172" s="5" t="n"/>
      <c r="BY172" s="5" t="n"/>
      <c r="BZ172" s="5" t="n"/>
      <c r="CA172" s="5" t="n"/>
      <c r="CF172" s="5" t="n"/>
    </row>
    <row r="173" ht="16.5" customHeight="1" s="241">
      <c r="A173" s="171" t="n">
        <v>55</v>
      </c>
      <c r="B173" s="171" t="n">
        <v>59</v>
      </c>
      <c r="C173" s="171" t="inlineStr">
        <is>
          <t>Plena Total 5</t>
        </is>
      </c>
      <c r="D173" s="170" t="n">
        <v>189</v>
      </c>
      <c r="E173" s="5" t="n"/>
      <c r="F173" s="5" t="n"/>
      <c r="G173" s="5" t="n"/>
      <c r="H173" s="5" t="n"/>
      <c r="I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BD173" s="5" t="n"/>
      <c r="BE173" s="5" t="n"/>
      <c r="BJ173" s="5" t="n"/>
      <c r="BK173" s="5" t="n"/>
      <c r="BP173" s="5" t="n"/>
      <c r="BQ173" s="5" t="n"/>
      <c r="BV173" s="5" t="n"/>
      <c r="BW173" s="5" t="n"/>
      <c r="BX173" s="5" t="n"/>
      <c r="BY173" s="5" t="n"/>
      <c r="BZ173" s="5" t="n"/>
      <c r="CA173" s="5" t="n"/>
      <c r="CF173" s="5" t="n"/>
    </row>
    <row r="174" ht="16.5" customHeight="1" s="241">
      <c r="A174" s="171" t="n">
        <v>60</v>
      </c>
      <c r="B174" s="171" t="n">
        <v>62</v>
      </c>
      <c r="C174" s="171" t="inlineStr">
        <is>
          <t>Plena Total 5</t>
        </is>
      </c>
      <c r="D174" s="170" t="n">
        <v>243</v>
      </c>
      <c r="E174" s="5" t="n"/>
      <c r="F174" s="5" t="n"/>
      <c r="G174" s="5" t="n"/>
      <c r="H174" s="5" t="n"/>
      <c r="I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BD174" s="5" t="n"/>
      <c r="BE174" s="5" t="n"/>
      <c r="BJ174" s="5" t="n"/>
      <c r="BK174" s="5" t="n"/>
      <c r="BP174" s="5" t="n"/>
      <c r="BQ174" s="5" t="n"/>
      <c r="BV174" s="5" t="n"/>
      <c r="BW174" s="5" t="n"/>
      <c r="BX174" s="5" t="n"/>
      <c r="BY174" s="5" t="n"/>
      <c r="BZ174" s="5" t="n"/>
      <c r="CA174" s="5" t="n"/>
      <c r="CF174" s="5" t="n"/>
    </row>
    <row r="175" ht="16.5" customHeight="1" s="241">
      <c r="A175" s="171" t="n">
        <v>63</v>
      </c>
      <c r="B175" s="171" t="n">
        <v>120</v>
      </c>
      <c r="C175" s="171" t="inlineStr">
        <is>
          <t>Plena Total 5</t>
        </is>
      </c>
      <c r="D175" s="170" t="n">
        <v>315</v>
      </c>
      <c r="E175" s="5" t="n"/>
      <c r="F175" s="5" t="n"/>
      <c r="G175" s="5" t="n"/>
      <c r="H175" s="5" t="n"/>
      <c r="I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BD175" s="5" t="n"/>
      <c r="BE175" s="5" t="n"/>
      <c r="BJ175" s="5" t="n"/>
      <c r="BK175" s="5" t="n"/>
      <c r="BP175" s="5" t="n"/>
      <c r="BQ175" s="5" t="n"/>
      <c r="BV175" s="5" t="n"/>
      <c r="BW175" s="5" t="n"/>
      <c r="BX175" s="5" t="n"/>
      <c r="BY175" s="5" t="n"/>
      <c r="BZ175" s="5" t="n"/>
      <c r="CA175" s="5" t="n"/>
      <c r="CF175" s="5" t="n"/>
    </row>
    <row r="176" ht="16.5" customHeight="1" s="241">
      <c r="A176" s="171" t="n">
        <v>0</v>
      </c>
      <c r="B176" s="171" t="n">
        <v>24</v>
      </c>
      <c r="C176" s="171" t="inlineStr">
        <is>
          <t>Plena Total 6</t>
        </is>
      </c>
      <c r="D176" s="170" t="n">
        <v>89.5</v>
      </c>
      <c r="E176" s="5" t="n"/>
      <c r="F176" s="5" t="n"/>
      <c r="G176" s="5" t="n"/>
      <c r="H176" s="5" t="n"/>
      <c r="I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BD176" s="5" t="n"/>
      <c r="BE176" s="5" t="n"/>
      <c r="BJ176" s="5" t="n"/>
      <c r="BK176" s="5" t="n"/>
      <c r="BP176" s="5" t="n"/>
      <c r="BQ176" s="5" t="n"/>
      <c r="BV176" s="5" t="n"/>
      <c r="BW176" s="5" t="n"/>
      <c r="BX176" s="5" t="n"/>
      <c r="BY176" s="5" t="n"/>
      <c r="BZ176" s="5" t="n"/>
      <c r="CA176" s="5" t="n"/>
      <c r="CF176" s="5" t="n"/>
    </row>
    <row r="177" ht="16.5" customHeight="1" s="241">
      <c r="A177" s="171" t="n">
        <v>25</v>
      </c>
      <c r="B177" s="171" t="n">
        <v>44</v>
      </c>
      <c r="C177" s="171" t="inlineStr">
        <is>
          <t>Plena Total 6</t>
        </is>
      </c>
      <c r="D177" s="170" t="n">
        <v>111</v>
      </c>
      <c r="E177" s="5" t="n"/>
      <c r="F177" s="5" t="n"/>
      <c r="G177" s="5" t="n"/>
      <c r="H177" s="5" t="n"/>
      <c r="I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BD177" s="5" t="n"/>
      <c r="BE177" s="5" t="n"/>
      <c r="BJ177" s="5" t="n"/>
      <c r="BK177" s="5" t="n"/>
      <c r="BP177" s="5" t="n"/>
      <c r="BQ177" s="5" t="n"/>
      <c r="BV177" s="5" t="n"/>
      <c r="BW177" s="5" t="n"/>
      <c r="BX177" s="5" t="n"/>
      <c r="BY177" s="5" t="n"/>
      <c r="BZ177" s="5" t="n"/>
      <c r="CA177" s="5" t="n"/>
      <c r="CF177" s="5" t="n"/>
    </row>
    <row r="178" ht="16.5" customHeight="1" s="241">
      <c r="A178" s="171" t="n">
        <v>45</v>
      </c>
      <c r="B178" s="171" t="n">
        <v>54</v>
      </c>
      <c r="C178" s="171" t="inlineStr">
        <is>
          <t>Plena Total 6</t>
        </is>
      </c>
      <c r="D178" s="170" t="n">
        <v>137</v>
      </c>
      <c r="E178" s="5" t="n"/>
      <c r="F178" s="5" t="n"/>
      <c r="G178" s="5" t="n"/>
      <c r="H178" s="5" t="n"/>
      <c r="I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BD178" s="5" t="n"/>
      <c r="BE178" s="5" t="n"/>
      <c r="BJ178" s="5" t="n"/>
      <c r="BK178" s="5" t="n"/>
      <c r="BP178" s="5" t="n"/>
      <c r="BQ178" s="5" t="n"/>
      <c r="BV178" s="5" t="n"/>
      <c r="BW178" s="5" t="n"/>
      <c r="BX178" s="5" t="n"/>
      <c r="BY178" s="5" t="n"/>
      <c r="BZ178" s="5" t="n"/>
      <c r="CA178" s="5" t="n"/>
      <c r="CF178" s="5" t="n"/>
    </row>
    <row r="179" ht="16.5" customHeight="1" s="241">
      <c r="A179" s="171" t="n">
        <v>55</v>
      </c>
      <c r="B179" s="171" t="n">
        <v>59</v>
      </c>
      <c r="C179" s="171" t="inlineStr">
        <is>
          <t>Plena Total 6</t>
        </is>
      </c>
      <c r="D179" s="170" t="n">
        <v>192</v>
      </c>
      <c r="E179" s="5" t="n"/>
      <c r="F179" s="5" t="n"/>
      <c r="G179" s="5" t="n"/>
      <c r="H179" s="5" t="n"/>
      <c r="I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BD179" s="5" t="n"/>
      <c r="BE179" s="5" t="n"/>
      <c r="BJ179" s="5" t="n"/>
      <c r="BK179" s="5" t="n"/>
      <c r="BP179" s="5" t="n"/>
      <c r="BQ179" s="5" t="n"/>
      <c r="BV179" s="5" t="n"/>
      <c r="BW179" s="5" t="n"/>
      <c r="BX179" s="5" t="n"/>
      <c r="BY179" s="5" t="n"/>
      <c r="BZ179" s="5" t="n"/>
      <c r="CA179" s="5" t="n"/>
      <c r="CF179" s="5" t="n"/>
    </row>
    <row r="180" ht="16.5" customHeight="1" s="241">
      <c r="A180" s="171" t="n">
        <v>60</v>
      </c>
      <c r="B180" s="171" t="n">
        <v>62</v>
      </c>
      <c r="C180" s="171" t="inlineStr">
        <is>
          <t>Plena Total 6</t>
        </is>
      </c>
      <c r="D180" s="170" t="n">
        <v>247</v>
      </c>
      <c r="E180" s="5" t="n"/>
      <c r="F180" s="5" t="n"/>
      <c r="G180" s="5" t="n"/>
      <c r="H180" s="5" t="n"/>
      <c r="I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BD180" s="5" t="n"/>
      <c r="BE180" s="5" t="n"/>
      <c r="BJ180" s="5" t="n"/>
      <c r="BK180" s="5" t="n"/>
      <c r="BP180" s="5" t="n"/>
      <c r="BQ180" s="5" t="n"/>
      <c r="BV180" s="5" t="n"/>
      <c r="BW180" s="5" t="n"/>
      <c r="BX180" s="5" t="n"/>
      <c r="BY180" s="5" t="n"/>
      <c r="BZ180" s="5" t="n"/>
      <c r="CA180" s="5" t="n"/>
      <c r="CF180" s="5" t="n"/>
    </row>
    <row r="181" ht="16.5" customHeight="1" s="241">
      <c r="A181" s="171" t="n">
        <v>63</v>
      </c>
      <c r="B181" s="171" t="n">
        <v>120</v>
      </c>
      <c r="C181" s="171" t="inlineStr">
        <is>
          <t>Plena Total 6</t>
        </is>
      </c>
      <c r="D181" s="170" t="n">
        <v>318</v>
      </c>
      <c r="E181" s="5" t="n"/>
      <c r="F181" s="5" t="n"/>
      <c r="G181" s="5" t="n"/>
      <c r="H181" s="5" t="n"/>
      <c r="I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BD181" s="5" t="n"/>
      <c r="BE181" s="5" t="n"/>
      <c r="BJ181" s="5" t="n"/>
      <c r="BK181" s="5" t="n"/>
      <c r="BP181" s="5" t="n"/>
      <c r="BQ181" s="5" t="n"/>
      <c r="BV181" s="5" t="n"/>
      <c r="BW181" s="5" t="n"/>
      <c r="BX181" s="5" t="n"/>
      <c r="BY181" s="5" t="n"/>
      <c r="BZ181" s="5" t="n"/>
      <c r="CA181" s="5" t="n"/>
      <c r="CF181" s="5" t="n"/>
    </row>
    <row r="182" ht="16.5" customHeight="1" s="241">
      <c r="A182" s="171" t="n">
        <v>0</v>
      </c>
      <c r="B182" s="171" t="n">
        <v>44</v>
      </c>
      <c r="C182" s="171" t="inlineStr">
        <is>
          <t>Negocios CIF 1</t>
        </is>
      </c>
      <c r="D182" s="170" t="n">
        <v>51</v>
      </c>
      <c r="E182" s="5" t="n"/>
      <c r="F182" s="5" t="n"/>
      <c r="G182" s="5" t="n"/>
      <c r="H182" s="5" t="n"/>
      <c r="I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BD182" s="5" t="n"/>
      <c r="BE182" s="5" t="n"/>
      <c r="BJ182" s="5" t="n"/>
      <c r="BK182" s="5" t="n"/>
      <c r="BP182" s="5" t="n"/>
      <c r="BQ182" s="5" t="n"/>
      <c r="BV182" s="5" t="n"/>
      <c r="BW182" s="5" t="n"/>
      <c r="BX182" s="5" t="n"/>
      <c r="BY182" s="5" t="n"/>
      <c r="BZ182" s="5" t="n"/>
      <c r="CA182" s="5" t="n"/>
      <c r="CF182" s="5" t="n"/>
    </row>
    <row r="183" ht="16.5" customHeight="1" s="241">
      <c r="A183" s="171" t="n">
        <v>45</v>
      </c>
      <c r="B183" s="171" t="n">
        <v>54</v>
      </c>
      <c r="C183" s="171" t="inlineStr">
        <is>
          <t>Negocios CIF 1</t>
        </is>
      </c>
      <c r="D183" s="170" t="n">
        <v>59</v>
      </c>
      <c r="E183" s="5" t="n"/>
      <c r="F183" s="5" t="n"/>
      <c r="G183" s="5" t="n"/>
      <c r="H183" s="5" t="n"/>
      <c r="I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BD183" s="5" t="n"/>
      <c r="BE183" s="5" t="n"/>
      <c r="BJ183" s="5" t="n"/>
      <c r="BK183" s="5" t="n"/>
      <c r="BP183" s="5" t="n"/>
      <c r="BQ183" s="5" t="n"/>
      <c r="BV183" s="5" t="n"/>
      <c r="BW183" s="5" t="n"/>
      <c r="BX183" s="5" t="n"/>
      <c r="BY183" s="5" t="n"/>
      <c r="BZ183" s="5" t="n"/>
      <c r="CA183" s="5" t="n"/>
      <c r="CF183" s="5" t="n"/>
    </row>
    <row r="184" ht="16.5" customHeight="1" s="241">
      <c r="A184" s="171" t="n">
        <v>55</v>
      </c>
      <c r="B184" s="171" t="n">
        <v>59</v>
      </c>
      <c r="C184" s="171" t="inlineStr">
        <is>
          <t>Negocios CIF 1</t>
        </is>
      </c>
      <c r="D184" s="170" t="n">
        <v>76</v>
      </c>
      <c r="E184" s="5" t="n"/>
      <c r="F184" s="5" t="n"/>
      <c r="G184" s="5" t="n"/>
      <c r="H184" s="5" t="n"/>
      <c r="I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BD184" s="5" t="n"/>
      <c r="BE184" s="5" t="n"/>
      <c r="BJ184" s="5" t="n"/>
      <c r="BK184" s="5" t="n"/>
      <c r="BP184" s="5" t="n"/>
      <c r="BQ184" s="5" t="n"/>
      <c r="BV184" s="5" t="n"/>
      <c r="BW184" s="5" t="n"/>
      <c r="BX184" s="5" t="n"/>
      <c r="BY184" s="5" t="n"/>
      <c r="BZ184" s="5" t="n"/>
      <c r="CA184" s="5" t="n"/>
      <c r="CF184" s="5" t="n"/>
    </row>
    <row r="185" ht="16.5" customHeight="1" s="241">
      <c r="A185" s="171" t="n">
        <v>60</v>
      </c>
      <c r="B185" s="171" t="n">
        <v>67</v>
      </c>
      <c r="C185" s="171" t="inlineStr">
        <is>
          <t>Negocios CIF 1</t>
        </is>
      </c>
      <c r="D185" s="170" t="n">
        <v>97</v>
      </c>
      <c r="E185" s="5" t="n"/>
      <c r="F185" s="5" t="n"/>
      <c r="G185" s="5" t="n"/>
      <c r="H185" s="5" t="n"/>
      <c r="I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BD185" s="5" t="n"/>
      <c r="BE185" s="5" t="n"/>
      <c r="BJ185" s="5" t="n"/>
      <c r="BK185" s="5" t="n"/>
      <c r="BP185" s="5" t="n"/>
      <c r="BQ185" s="5" t="n"/>
      <c r="BV185" s="5" t="n"/>
      <c r="BW185" s="5" t="n"/>
      <c r="BX185" s="5" t="n"/>
      <c r="BY185" s="5" t="n"/>
      <c r="BZ185" s="5" t="n"/>
      <c r="CA185" s="5" t="n"/>
      <c r="CF185" s="5" t="n"/>
    </row>
    <row r="186" ht="16.5" customHeight="1" s="241">
      <c r="A186" s="171" t="n">
        <v>68</v>
      </c>
      <c r="B186" s="171" t="n">
        <v>120</v>
      </c>
      <c r="C186" s="171" t="inlineStr">
        <is>
          <t>Negocios CIF 1</t>
        </is>
      </c>
      <c r="D186" s="170" t="n">
        <v>160</v>
      </c>
      <c r="E186" s="5" t="n"/>
      <c r="F186" s="5" t="n"/>
      <c r="G186" s="5" t="n"/>
      <c r="H186" s="5" t="n"/>
      <c r="I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BD186" s="5" t="n"/>
      <c r="BE186" s="5" t="n"/>
      <c r="BJ186" s="5" t="n"/>
      <c r="BK186" s="5" t="n"/>
      <c r="BP186" s="5" t="n"/>
      <c r="BQ186" s="5" t="n"/>
      <c r="BV186" s="5" t="n"/>
      <c r="BW186" s="5" t="n"/>
      <c r="BX186" s="5" t="n"/>
      <c r="BY186" s="5" t="n"/>
      <c r="BZ186" s="5" t="n"/>
      <c r="CA186" s="5" t="n"/>
      <c r="CF186" s="5" t="n"/>
    </row>
    <row r="187" ht="16.5" customHeight="1" s="241">
      <c r="A187" s="171" t="n">
        <v>0</v>
      </c>
      <c r="B187" s="171" t="n">
        <v>44</v>
      </c>
      <c r="C187" s="171" t="inlineStr">
        <is>
          <t>Negocios CIF 2</t>
        </is>
      </c>
      <c r="D187" s="170" t="n">
        <v>52</v>
      </c>
      <c r="E187" s="5" t="n"/>
      <c r="F187" s="5" t="n"/>
      <c r="G187" s="5" t="n"/>
      <c r="H187" s="5" t="n"/>
      <c r="I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BD187" s="5" t="n"/>
      <c r="BE187" s="5" t="n"/>
      <c r="BJ187" s="5" t="n"/>
      <c r="BK187" s="5" t="n"/>
      <c r="BP187" s="5" t="n"/>
      <c r="BQ187" s="5" t="n"/>
      <c r="BV187" s="5" t="n"/>
      <c r="BW187" s="5" t="n"/>
      <c r="BX187" s="5" t="n"/>
      <c r="BY187" s="5" t="n"/>
      <c r="BZ187" s="5" t="n"/>
      <c r="CA187" s="5" t="n"/>
      <c r="CF187" s="5" t="n"/>
    </row>
    <row r="188" ht="16.5" customHeight="1" s="241">
      <c r="A188" s="171" t="n">
        <v>45</v>
      </c>
      <c r="B188" s="171" t="n">
        <v>54</v>
      </c>
      <c r="C188" s="171" t="inlineStr">
        <is>
          <t>Negocios CIF 2</t>
        </is>
      </c>
      <c r="D188" s="170" t="n">
        <v>61.5</v>
      </c>
      <c r="E188" s="5" t="n"/>
      <c r="F188" s="5" t="n"/>
      <c r="G188" s="5" t="n"/>
      <c r="H188" s="5" t="n"/>
      <c r="I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BD188" s="5" t="n"/>
      <c r="BE188" s="5" t="n"/>
      <c r="BJ188" s="5" t="n"/>
      <c r="BK188" s="5" t="n"/>
      <c r="BP188" s="5" t="n"/>
      <c r="BQ188" s="5" t="n"/>
      <c r="BV188" s="5" t="n"/>
      <c r="BW188" s="5" t="n"/>
      <c r="BX188" s="5" t="n"/>
      <c r="BY188" s="5" t="n"/>
      <c r="BZ188" s="5" t="n"/>
      <c r="CA188" s="5" t="n"/>
      <c r="CF188" s="5" t="n"/>
    </row>
    <row r="189" ht="16.5" customHeight="1" s="241">
      <c r="A189" s="171" t="n">
        <v>55</v>
      </c>
      <c r="B189" s="171" t="n">
        <v>59</v>
      </c>
      <c r="C189" s="171" t="inlineStr">
        <is>
          <t>Negocios CIF 2</t>
        </is>
      </c>
      <c r="D189" s="170" t="n">
        <v>81</v>
      </c>
      <c r="E189" s="5" t="n"/>
      <c r="F189" s="5" t="n"/>
      <c r="G189" s="5" t="n"/>
      <c r="H189" s="5" t="n"/>
      <c r="I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BD189" s="5" t="n"/>
      <c r="BE189" s="5" t="n"/>
      <c r="BJ189" s="5" t="n"/>
      <c r="BK189" s="5" t="n"/>
      <c r="BP189" s="5" t="n"/>
      <c r="BQ189" s="5" t="n"/>
      <c r="BV189" s="5" t="n"/>
      <c r="BW189" s="5" t="n"/>
      <c r="BX189" s="5" t="n"/>
      <c r="BY189" s="5" t="n"/>
      <c r="BZ189" s="5" t="n"/>
      <c r="CA189" s="5" t="n"/>
      <c r="CF189" s="5" t="n"/>
    </row>
    <row r="190" ht="16.5" customHeight="1" s="241">
      <c r="A190" s="171" t="n">
        <v>60</v>
      </c>
      <c r="B190" s="171" t="n">
        <v>67</v>
      </c>
      <c r="C190" s="171" t="inlineStr">
        <is>
          <t>Negocios CIF 2</t>
        </is>
      </c>
      <c r="D190" s="170" t="n">
        <v>105</v>
      </c>
      <c r="E190" s="5" t="n"/>
      <c r="F190" s="5" t="n"/>
      <c r="G190" s="5" t="n"/>
      <c r="H190" s="5" t="n"/>
      <c r="I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BD190" s="5" t="n"/>
      <c r="BE190" s="5" t="n"/>
      <c r="BJ190" s="5" t="n"/>
      <c r="BK190" s="5" t="n"/>
      <c r="BP190" s="5" t="n"/>
      <c r="BQ190" s="5" t="n"/>
      <c r="BV190" s="5" t="n"/>
      <c r="BW190" s="5" t="n"/>
      <c r="BX190" s="5" t="n"/>
      <c r="BY190" s="5" t="n"/>
      <c r="BZ190" s="5" t="n"/>
      <c r="CA190" s="5" t="n"/>
      <c r="CF190" s="5" t="n"/>
    </row>
    <row r="191" ht="16.5" customHeight="1" s="241">
      <c r="A191" s="171" t="n">
        <v>68</v>
      </c>
      <c r="B191" s="171" t="n">
        <v>120</v>
      </c>
      <c r="C191" s="171" t="inlineStr">
        <is>
          <t>Negocios CIF 2</t>
        </is>
      </c>
      <c r="D191" s="170" t="n">
        <v>169</v>
      </c>
      <c r="E191" s="5" t="n"/>
      <c r="F191" s="5" t="n"/>
      <c r="G191" s="5" t="n"/>
      <c r="H191" s="5" t="n"/>
      <c r="I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BD191" s="5" t="n"/>
      <c r="BE191" s="5" t="n"/>
      <c r="BJ191" s="5" t="n"/>
      <c r="BK191" s="5" t="n"/>
      <c r="BP191" s="5" t="n"/>
      <c r="BQ191" s="5" t="n"/>
      <c r="BV191" s="5" t="n"/>
      <c r="BW191" s="5" t="n"/>
      <c r="BX191" s="5" t="n"/>
      <c r="BY191" s="5" t="n"/>
      <c r="BZ191" s="5" t="n"/>
      <c r="CA191" s="5" t="n"/>
      <c r="CF191" s="5" t="n"/>
    </row>
    <row r="192" ht="16.5" customHeight="1" s="241">
      <c r="A192" s="171" t="n">
        <v>0</v>
      </c>
      <c r="B192" s="171" t="n">
        <v>44</v>
      </c>
      <c r="C192" s="171" t="inlineStr">
        <is>
          <t>Negocios CIF 3</t>
        </is>
      </c>
      <c r="D192" s="170" t="n">
        <v>53</v>
      </c>
      <c r="E192" s="5" t="n"/>
      <c r="F192" s="5" t="n"/>
      <c r="G192" s="5" t="n"/>
      <c r="H192" s="5" t="n"/>
      <c r="I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BD192" s="5" t="n"/>
      <c r="BE192" s="5" t="n"/>
      <c r="BJ192" s="5" t="n"/>
      <c r="BK192" s="5" t="n"/>
      <c r="BP192" s="5" t="n"/>
      <c r="BQ192" s="5" t="n"/>
      <c r="BV192" s="5" t="n"/>
      <c r="BW192" s="5" t="n"/>
      <c r="BX192" s="5" t="n"/>
      <c r="BY192" s="5" t="n"/>
      <c r="BZ192" s="5" t="n"/>
      <c r="CA192" s="5" t="n"/>
      <c r="CF192" s="5" t="n"/>
    </row>
    <row r="193" ht="16.5" customHeight="1" s="241">
      <c r="A193" s="171" t="n">
        <v>45</v>
      </c>
      <c r="B193" s="171" t="n">
        <v>54</v>
      </c>
      <c r="C193" s="171" t="inlineStr">
        <is>
          <t>Negocios CIF 3</t>
        </is>
      </c>
      <c r="D193" s="170" t="n">
        <v>62</v>
      </c>
      <c r="E193" s="5" t="n"/>
      <c r="F193" s="5" t="n"/>
      <c r="G193" s="5" t="n"/>
      <c r="H193" s="5" t="n"/>
      <c r="I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BD193" s="5" t="n"/>
      <c r="BE193" s="5" t="n"/>
      <c r="BJ193" s="5" t="n"/>
      <c r="BK193" s="5" t="n"/>
      <c r="BP193" s="5" t="n"/>
      <c r="BQ193" s="5" t="n"/>
      <c r="BV193" s="5" t="n"/>
      <c r="BW193" s="5" t="n"/>
      <c r="BX193" s="5" t="n"/>
      <c r="BY193" s="5" t="n"/>
      <c r="BZ193" s="5" t="n"/>
      <c r="CA193" s="5" t="n"/>
      <c r="CF193" s="5" t="n"/>
    </row>
    <row r="194" ht="16.5" customHeight="1" s="241">
      <c r="A194" s="171" t="n">
        <v>55</v>
      </c>
      <c r="B194" s="171" t="n">
        <v>59</v>
      </c>
      <c r="C194" s="171" t="inlineStr">
        <is>
          <t>Negocios CIF 3</t>
        </is>
      </c>
      <c r="D194" s="170" t="n">
        <v>82</v>
      </c>
      <c r="E194" s="5" t="n"/>
      <c r="F194" s="5" t="n"/>
      <c r="G194" s="5" t="n"/>
      <c r="H194" s="5" t="n"/>
      <c r="I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BD194" s="5" t="n"/>
      <c r="BE194" s="5" t="n"/>
      <c r="BJ194" s="5" t="n"/>
      <c r="BK194" s="5" t="n"/>
      <c r="BP194" s="5" t="n"/>
      <c r="BQ194" s="5" t="n"/>
      <c r="BV194" s="5" t="n"/>
      <c r="BW194" s="5" t="n"/>
      <c r="BX194" s="5" t="n"/>
      <c r="BY194" s="5" t="n"/>
      <c r="BZ194" s="5" t="n"/>
      <c r="CA194" s="5" t="n"/>
      <c r="CF194" s="5" t="n"/>
    </row>
    <row r="195" ht="16.5" customHeight="1" s="241">
      <c r="A195" s="171" t="n">
        <v>60</v>
      </c>
      <c r="B195" s="171" t="n">
        <v>67</v>
      </c>
      <c r="C195" s="171" t="inlineStr">
        <is>
          <t>Negocios CIF 3</t>
        </is>
      </c>
      <c r="D195" s="170" t="n">
        <v>105.5</v>
      </c>
      <c r="E195" s="5" t="n"/>
      <c r="F195" s="5" t="n"/>
      <c r="G195" s="5" t="n"/>
      <c r="H195" s="5" t="n"/>
      <c r="I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BD195" s="5" t="n"/>
      <c r="BE195" s="5" t="n"/>
      <c r="BJ195" s="5" t="n"/>
      <c r="BK195" s="5" t="n"/>
      <c r="BP195" s="5" t="n"/>
      <c r="BQ195" s="5" t="n"/>
      <c r="BV195" s="5" t="n"/>
      <c r="BW195" s="5" t="n"/>
      <c r="BX195" s="5" t="n"/>
      <c r="BY195" s="5" t="n"/>
      <c r="BZ195" s="5" t="n"/>
      <c r="CA195" s="5" t="n"/>
      <c r="CF195" s="5" t="n"/>
    </row>
    <row r="196" ht="16.5" customHeight="1" s="241">
      <c r="A196" s="171" t="n">
        <v>68</v>
      </c>
      <c r="B196" s="171" t="n">
        <v>120</v>
      </c>
      <c r="C196" s="171" t="inlineStr">
        <is>
          <t>Negocios CIF 3</t>
        </is>
      </c>
      <c r="D196" s="170" t="n">
        <v>170</v>
      </c>
      <c r="E196" s="5" t="n"/>
      <c r="F196" s="5" t="n"/>
      <c r="G196" s="5" t="n"/>
      <c r="H196" s="5" t="n"/>
      <c r="I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BD196" s="5" t="n"/>
      <c r="BE196" s="5" t="n"/>
      <c r="BJ196" s="5" t="n"/>
      <c r="BK196" s="5" t="n"/>
      <c r="BP196" s="5" t="n"/>
      <c r="BQ196" s="5" t="n"/>
      <c r="BV196" s="5" t="n"/>
      <c r="BW196" s="5" t="n"/>
      <c r="BX196" s="5" t="n"/>
      <c r="BY196" s="5" t="n"/>
      <c r="BZ196" s="5" t="n"/>
      <c r="CA196" s="5" t="n"/>
      <c r="CF196" s="5" t="n"/>
    </row>
    <row r="197" ht="16.5" customHeight="1" s="241">
      <c r="A197" s="171" t="n">
        <v>0</v>
      </c>
      <c r="B197" s="171" t="n">
        <v>44</v>
      </c>
      <c r="C197" s="171" t="inlineStr">
        <is>
          <t>Negocios CIF 4</t>
        </is>
      </c>
      <c r="D197" s="170" t="n">
        <v>54</v>
      </c>
      <c r="E197" s="5" t="n"/>
      <c r="F197" s="5" t="n"/>
      <c r="G197" s="5" t="n"/>
      <c r="H197" s="5" t="n"/>
      <c r="I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BD197" s="5" t="n"/>
      <c r="BE197" s="5" t="n"/>
      <c r="BJ197" s="5" t="n"/>
      <c r="BK197" s="5" t="n"/>
      <c r="BP197" s="5" t="n"/>
      <c r="BQ197" s="5" t="n"/>
      <c r="BV197" s="5" t="n"/>
      <c r="BW197" s="5" t="n"/>
      <c r="BX197" s="5" t="n"/>
      <c r="BY197" s="5" t="n"/>
      <c r="BZ197" s="5" t="n"/>
      <c r="CA197" s="5" t="n"/>
      <c r="CF197" s="5" t="n"/>
    </row>
    <row r="198" ht="16.5" customHeight="1" s="241">
      <c r="A198" s="171" t="n">
        <v>45</v>
      </c>
      <c r="B198" s="171" t="n">
        <v>54</v>
      </c>
      <c r="C198" s="171" t="inlineStr">
        <is>
          <t>Negocios CIF 4</t>
        </is>
      </c>
      <c r="D198" s="170" t="n">
        <v>63.5</v>
      </c>
      <c r="E198" s="5" t="n"/>
      <c r="F198" s="5" t="n"/>
      <c r="G198" s="5" t="n"/>
      <c r="H198" s="5" t="n"/>
      <c r="I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BD198" s="5" t="n"/>
      <c r="BE198" s="5" t="n"/>
      <c r="BJ198" s="5" t="n"/>
      <c r="BK198" s="5" t="n"/>
      <c r="BP198" s="5" t="n"/>
      <c r="BQ198" s="5" t="n"/>
      <c r="BV198" s="5" t="n"/>
      <c r="BW198" s="5" t="n"/>
      <c r="BX198" s="5" t="n"/>
      <c r="BY198" s="5" t="n"/>
      <c r="BZ198" s="5" t="n"/>
      <c r="CA198" s="5" t="n"/>
      <c r="CF198" s="5" t="n"/>
    </row>
    <row r="199" ht="16.5" customHeight="1" s="241">
      <c r="A199" s="171" t="n">
        <v>55</v>
      </c>
      <c r="B199" s="171" t="n">
        <v>59</v>
      </c>
      <c r="C199" s="171" t="inlineStr">
        <is>
          <t>Negocios CIF 4</t>
        </is>
      </c>
      <c r="D199" s="170" t="n">
        <v>85.5</v>
      </c>
      <c r="E199" s="5" t="n"/>
      <c r="F199" s="5" t="n"/>
      <c r="G199" s="5" t="n"/>
      <c r="H199" s="5" t="n"/>
      <c r="I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BD199" s="5" t="n"/>
      <c r="BE199" s="5" t="n"/>
      <c r="BJ199" s="5" t="n"/>
      <c r="BK199" s="5" t="n"/>
      <c r="BP199" s="5" t="n"/>
      <c r="BQ199" s="5" t="n"/>
      <c r="BV199" s="5" t="n"/>
      <c r="BW199" s="5" t="n"/>
      <c r="BX199" s="5" t="n"/>
      <c r="BY199" s="5" t="n"/>
      <c r="BZ199" s="5" t="n"/>
      <c r="CA199" s="5" t="n"/>
      <c r="CF199" s="5" t="n"/>
    </row>
    <row r="200" ht="16.5" customHeight="1" s="241">
      <c r="A200" s="171" t="n">
        <v>60</v>
      </c>
      <c r="B200" s="171" t="n">
        <v>67</v>
      </c>
      <c r="C200" s="171" t="inlineStr">
        <is>
          <t>Negocios CIF 4</t>
        </is>
      </c>
      <c r="D200" s="170" t="n">
        <v>109</v>
      </c>
      <c r="E200" s="5" t="n"/>
      <c r="F200" s="5" t="n"/>
      <c r="G200" s="5" t="n"/>
      <c r="H200" s="5" t="n"/>
      <c r="I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BD200" s="5" t="n"/>
      <c r="BE200" s="5" t="n"/>
      <c r="BJ200" s="5" t="n"/>
      <c r="BK200" s="5" t="n"/>
      <c r="BP200" s="5" t="n"/>
      <c r="BQ200" s="5" t="n"/>
      <c r="BV200" s="5" t="n"/>
      <c r="BW200" s="5" t="n"/>
      <c r="BX200" s="5" t="n"/>
      <c r="BY200" s="5" t="n"/>
      <c r="BZ200" s="5" t="n"/>
      <c r="CA200" s="5" t="n"/>
      <c r="CF200" s="5" t="n"/>
    </row>
    <row r="201" ht="16.5" customHeight="1" s="241">
      <c r="A201" s="171" t="n">
        <v>68</v>
      </c>
      <c r="B201" s="171" t="n">
        <v>120</v>
      </c>
      <c r="C201" s="171" t="inlineStr">
        <is>
          <t>Negocios CIF 4</t>
        </is>
      </c>
      <c r="D201" s="170" t="n">
        <v>179</v>
      </c>
      <c r="E201" s="5" t="n"/>
      <c r="F201" s="5" t="n"/>
      <c r="G201" s="5" t="n"/>
      <c r="H201" s="5" t="n"/>
      <c r="I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BD201" s="5" t="n"/>
      <c r="BE201" s="5" t="n"/>
      <c r="BJ201" s="5" t="n"/>
      <c r="BK201" s="5" t="n"/>
      <c r="BP201" s="5" t="n"/>
      <c r="BQ201" s="5" t="n"/>
      <c r="BV201" s="5" t="n"/>
      <c r="BW201" s="5" t="n"/>
      <c r="BX201" s="5" t="n"/>
      <c r="BY201" s="5" t="n"/>
      <c r="BZ201" s="5" t="n"/>
      <c r="CA201" s="5" t="n"/>
      <c r="CF201" s="5" t="n"/>
    </row>
    <row r="202" ht="16.5" customHeight="1" s="241">
      <c r="A202" s="171" t="n">
        <v>0</v>
      </c>
      <c r="B202" s="171" t="n">
        <v>44</v>
      </c>
      <c r="C202" s="171" t="inlineStr">
        <is>
          <t>Negocios CIF 5</t>
        </is>
      </c>
      <c r="D202" s="170" t="n">
        <v>55</v>
      </c>
      <c r="E202" s="5" t="n"/>
      <c r="F202" s="5" t="n"/>
      <c r="G202" s="5" t="n"/>
      <c r="H202" s="5" t="n"/>
      <c r="I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BD202" s="5" t="n"/>
      <c r="BE202" s="5" t="n"/>
      <c r="BJ202" s="5" t="n"/>
      <c r="BK202" s="5" t="n"/>
      <c r="BP202" s="5" t="n"/>
      <c r="BQ202" s="5" t="n"/>
      <c r="BV202" s="5" t="n"/>
      <c r="BW202" s="5" t="n"/>
      <c r="BX202" s="5" t="n"/>
      <c r="BY202" s="5" t="n"/>
      <c r="BZ202" s="5" t="n"/>
      <c r="CA202" s="5" t="n"/>
      <c r="CF202" s="5" t="n"/>
    </row>
    <row r="203" ht="16.5" customHeight="1" s="241">
      <c r="A203" s="171" t="n">
        <v>45</v>
      </c>
      <c r="B203" s="171" t="n">
        <v>54</v>
      </c>
      <c r="C203" s="171" t="inlineStr">
        <is>
          <t>Negocios CIF 5</t>
        </is>
      </c>
      <c r="D203" s="170" t="n">
        <v>65.5</v>
      </c>
      <c r="E203" s="5" t="n"/>
      <c r="F203" s="5" t="n"/>
      <c r="G203" s="5" t="n"/>
      <c r="H203" s="5" t="n"/>
      <c r="I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BD203" s="5" t="n"/>
      <c r="BE203" s="5" t="n"/>
      <c r="BJ203" s="5" t="n"/>
      <c r="BK203" s="5" t="n"/>
      <c r="BP203" s="5" t="n"/>
      <c r="BQ203" s="5" t="n"/>
      <c r="BV203" s="5" t="n"/>
      <c r="BW203" s="5" t="n"/>
      <c r="BX203" s="5" t="n"/>
      <c r="BY203" s="5" t="n"/>
      <c r="BZ203" s="5" t="n"/>
      <c r="CA203" s="5" t="n"/>
      <c r="CF203" s="5" t="n"/>
    </row>
    <row r="204" ht="16.5" customHeight="1" s="241">
      <c r="A204" s="171" t="n">
        <v>55</v>
      </c>
      <c r="B204" s="171" t="n">
        <v>59</v>
      </c>
      <c r="C204" s="171" t="inlineStr">
        <is>
          <t>Negocios CIF 5</t>
        </is>
      </c>
      <c r="D204" s="170" t="n">
        <v>90</v>
      </c>
      <c r="E204" s="5" t="n"/>
      <c r="F204" s="5" t="n"/>
      <c r="G204" s="5" t="n"/>
      <c r="H204" s="5" t="n"/>
      <c r="I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BD204" s="5" t="n"/>
      <c r="BE204" s="5" t="n"/>
      <c r="BJ204" s="5" t="n"/>
      <c r="BK204" s="5" t="n"/>
      <c r="BP204" s="5" t="n"/>
      <c r="BQ204" s="5" t="n"/>
      <c r="BV204" s="5" t="n"/>
      <c r="BW204" s="5" t="n"/>
      <c r="BX204" s="5" t="n"/>
      <c r="BY204" s="5" t="n"/>
      <c r="BZ204" s="5" t="n"/>
      <c r="CA204" s="5" t="n"/>
      <c r="CF204" s="5" t="n"/>
    </row>
    <row r="205" ht="16.5" customHeight="1" s="241">
      <c r="A205" s="171" t="n">
        <v>60</v>
      </c>
      <c r="B205" s="171" t="n">
        <v>67</v>
      </c>
      <c r="C205" s="171" t="inlineStr">
        <is>
          <t>Negocios CIF 5</t>
        </is>
      </c>
      <c r="D205" s="170" t="n">
        <v>112</v>
      </c>
      <c r="E205" s="5" t="n"/>
      <c r="F205" s="5" t="n"/>
      <c r="G205" s="5" t="n"/>
      <c r="H205" s="5" t="n"/>
      <c r="I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BD205" s="5" t="n"/>
      <c r="BE205" s="5" t="n"/>
      <c r="BJ205" s="5" t="n"/>
      <c r="BK205" s="5" t="n"/>
      <c r="BP205" s="5" t="n"/>
      <c r="BQ205" s="5" t="n"/>
      <c r="BV205" s="5" t="n"/>
      <c r="BW205" s="5" t="n"/>
      <c r="BX205" s="5" t="n"/>
      <c r="BY205" s="5" t="n"/>
      <c r="BZ205" s="5" t="n"/>
      <c r="CA205" s="5" t="n"/>
      <c r="CF205" s="5" t="n"/>
    </row>
    <row r="206" ht="16.5" customHeight="1" s="241">
      <c r="A206" s="171" t="n">
        <v>68</v>
      </c>
      <c r="B206" s="171" t="n">
        <v>120</v>
      </c>
      <c r="C206" s="171" t="inlineStr">
        <is>
          <t>Negocios CIF 5</t>
        </is>
      </c>
      <c r="D206" s="170" t="n">
        <v>185</v>
      </c>
      <c r="E206" s="5" t="n"/>
      <c r="F206" s="5" t="n"/>
      <c r="G206" s="5" t="n"/>
      <c r="H206" s="5" t="n"/>
      <c r="I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BD206" s="5" t="n"/>
      <c r="BE206" s="5" t="n"/>
      <c r="BJ206" s="5" t="n"/>
      <c r="BK206" s="5" t="n"/>
      <c r="BP206" s="5" t="n"/>
      <c r="BQ206" s="5" t="n"/>
      <c r="BV206" s="5" t="n"/>
      <c r="BW206" s="5" t="n"/>
      <c r="BX206" s="5" t="n"/>
      <c r="BY206" s="5" t="n"/>
      <c r="BZ206" s="5" t="n"/>
      <c r="CA206" s="5" t="n"/>
      <c r="CF206" s="5" t="n"/>
    </row>
    <row r="207" ht="16.5" customHeight="1" s="241">
      <c r="A207" s="171" t="n">
        <v>0</v>
      </c>
      <c r="B207" s="171" t="n">
        <v>44</v>
      </c>
      <c r="C207" s="171" t="inlineStr">
        <is>
          <t>Negocios CIF 6</t>
        </is>
      </c>
      <c r="D207" s="170" t="n">
        <v>56</v>
      </c>
      <c r="E207" s="5" t="n"/>
      <c r="F207" s="5" t="n"/>
      <c r="G207" s="5" t="n"/>
      <c r="H207" s="5" t="n"/>
      <c r="I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BD207" s="5" t="n"/>
      <c r="BE207" s="5" t="n"/>
      <c r="BJ207" s="5" t="n"/>
      <c r="BK207" s="5" t="n"/>
      <c r="BP207" s="5" t="n"/>
      <c r="BQ207" s="5" t="n"/>
      <c r="BV207" s="5" t="n"/>
      <c r="BW207" s="5" t="n"/>
      <c r="BX207" s="5" t="n"/>
      <c r="BY207" s="5" t="n"/>
      <c r="BZ207" s="5" t="n"/>
      <c r="CA207" s="5" t="n"/>
      <c r="CF207" s="5" t="n"/>
    </row>
    <row r="208" ht="16.5" customHeight="1" s="241">
      <c r="A208" s="171" t="n">
        <v>45</v>
      </c>
      <c r="B208" s="171" t="n">
        <v>54</v>
      </c>
      <c r="C208" s="171" t="inlineStr">
        <is>
          <t>Negocios CIF 6</t>
        </is>
      </c>
      <c r="D208" s="170" t="n">
        <v>66.5</v>
      </c>
      <c r="E208" s="5" t="n"/>
      <c r="F208" s="5" t="n"/>
      <c r="G208" s="5" t="n"/>
      <c r="H208" s="5" t="n"/>
      <c r="I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BD208" s="5" t="n"/>
      <c r="BE208" s="5" t="n"/>
      <c r="BJ208" s="5" t="n"/>
      <c r="BK208" s="5" t="n"/>
      <c r="BP208" s="5" t="n"/>
      <c r="BQ208" s="5" t="n"/>
      <c r="BV208" s="5" t="n"/>
      <c r="BW208" s="5" t="n"/>
      <c r="BX208" s="5" t="n"/>
      <c r="BY208" s="5" t="n"/>
      <c r="BZ208" s="5" t="n"/>
      <c r="CA208" s="5" t="n"/>
      <c r="CF208" s="5" t="n"/>
    </row>
    <row r="209" ht="16.5" customHeight="1" s="241">
      <c r="A209" s="171" t="n">
        <v>55</v>
      </c>
      <c r="B209" s="171" t="n">
        <v>59</v>
      </c>
      <c r="C209" s="171" t="inlineStr">
        <is>
          <t>Negocios CIF 6</t>
        </is>
      </c>
      <c r="D209" s="170" t="n">
        <v>91</v>
      </c>
      <c r="E209" s="5" t="n"/>
      <c r="F209" s="5" t="n"/>
      <c r="G209" s="5" t="n"/>
      <c r="H209" s="5" t="n"/>
      <c r="I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BD209" s="5" t="n"/>
      <c r="BE209" s="5" t="n"/>
      <c r="BJ209" s="5" t="n"/>
      <c r="BK209" s="5" t="n"/>
      <c r="BP209" s="5" t="n"/>
      <c r="BQ209" s="5" t="n"/>
      <c r="BV209" s="5" t="n"/>
      <c r="BW209" s="5" t="n"/>
      <c r="BX209" s="5" t="n"/>
      <c r="BY209" s="5" t="n"/>
      <c r="BZ209" s="5" t="n"/>
      <c r="CA209" s="5" t="n"/>
      <c r="CF209" s="5" t="n"/>
    </row>
    <row r="210" ht="16.5" customHeight="1" s="241">
      <c r="A210" s="171" t="n">
        <v>60</v>
      </c>
      <c r="B210" s="171" t="n">
        <v>67</v>
      </c>
      <c r="C210" s="171" t="inlineStr">
        <is>
          <t>Negocios CIF 6</t>
        </is>
      </c>
      <c r="D210" s="170" t="n">
        <v>113</v>
      </c>
      <c r="E210" s="5" t="n"/>
      <c r="F210" s="5" t="n"/>
      <c r="G210" s="5" t="n"/>
      <c r="H210" s="5" t="n"/>
      <c r="I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BD210" s="5" t="n"/>
      <c r="BE210" s="5" t="n"/>
      <c r="BJ210" s="5" t="n"/>
      <c r="BK210" s="5" t="n"/>
      <c r="BP210" s="5" t="n"/>
      <c r="BQ210" s="5" t="n"/>
      <c r="BV210" s="5" t="n"/>
      <c r="BW210" s="5" t="n"/>
      <c r="BX210" s="5" t="n"/>
      <c r="BY210" s="5" t="n"/>
      <c r="BZ210" s="5" t="n"/>
      <c r="CA210" s="5" t="n"/>
      <c r="CF210" s="5" t="n"/>
    </row>
    <row r="211" ht="16.5" customHeight="1" s="241">
      <c r="A211" s="171" t="n">
        <v>68</v>
      </c>
      <c r="B211" s="171" t="n">
        <v>120</v>
      </c>
      <c r="C211" s="171" t="inlineStr">
        <is>
          <t>Negocios CIF 6</t>
        </is>
      </c>
      <c r="D211" s="170" t="n">
        <v>186</v>
      </c>
      <c r="E211" s="5" t="n"/>
      <c r="F211" s="5" t="n"/>
      <c r="G211" s="5" t="n"/>
      <c r="H211" s="5" t="n"/>
      <c r="I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BD211" s="5" t="n"/>
      <c r="BE211" s="5" t="n"/>
      <c r="BJ211" s="5" t="n"/>
      <c r="BK211" s="5" t="n"/>
      <c r="BP211" s="5" t="n"/>
      <c r="BQ211" s="5" t="n"/>
      <c r="BV211" s="5" t="n"/>
      <c r="BW211" s="5" t="n"/>
      <c r="BX211" s="5" t="n"/>
      <c r="BY211" s="5" t="n"/>
      <c r="BZ211" s="5" t="n"/>
      <c r="CA211" s="5" t="n"/>
      <c r="CF211" s="5" t="n"/>
    </row>
    <row r="212" ht="16.5" customHeight="1" s="241">
      <c r="A212" s="171" t="n">
        <v>0</v>
      </c>
      <c r="B212" s="171" t="n">
        <v>44</v>
      </c>
      <c r="C212" s="171" t="inlineStr">
        <is>
          <t>Extra Negocios CIF 1</t>
        </is>
      </c>
      <c r="D212" s="170" t="n">
        <v>74.5</v>
      </c>
      <c r="E212" s="5" t="n"/>
      <c r="F212" s="5" t="n"/>
      <c r="G212" s="5" t="n"/>
      <c r="H212" s="5" t="n"/>
      <c r="I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BD212" s="5" t="n"/>
      <c r="BE212" s="5" t="n"/>
      <c r="BJ212" s="5" t="n"/>
      <c r="BK212" s="5" t="n"/>
      <c r="BP212" s="5" t="n"/>
      <c r="BQ212" s="5" t="n"/>
      <c r="BV212" s="5" t="n"/>
      <c r="BW212" s="5" t="n"/>
      <c r="BX212" s="5" t="n"/>
      <c r="BY212" s="5" t="n"/>
      <c r="BZ212" s="5" t="n"/>
      <c r="CA212" s="5" t="n"/>
      <c r="CF212" s="5" t="n"/>
    </row>
    <row r="213" ht="16.5" customHeight="1" s="241">
      <c r="A213" s="171" t="n">
        <v>45</v>
      </c>
      <c r="B213" s="171" t="n">
        <v>54</v>
      </c>
      <c r="C213" s="171" t="inlineStr">
        <is>
          <t>Extra Negocios CIF 1</t>
        </is>
      </c>
      <c r="D213" s="170" t="n">
        <v>76.5</v>
      </c>
      <c r="E213" s="5" t="n"/>
      <c r="F213" s="5" t="n"/>
      <c r="G213" s="5" t="n"/>
      <c r="H213" s="5" t="n"/>
      <c r="I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BD213" s="5" t="n"/>
      <c r="BE213" s="5" t="n"/>
      <c r="BJ213" s="5" t="n"/>
      <c r="BK213" s="5" t="n"/>
      <c r="BP213" s="5" t="n"/>
      <c r="BQ213" s="5" t="n"/>
      <c r="BV213" s="5" t="n"/>
      <c r="BW213" s="5" t="n"/>
      <c r="BX213" s="5" t="n"/>
      <c r="BY213" s="5" t="n"/>
      <c r="BZ213" s="5" t="n"/>
      <c r="CA213" s="5" t="n"/>
      <c r="CF213" s="5" t="n"/>
    </row>
    <row r="214" ht="16.5" customHeight="1" s="241">
      <c r="A214" s="171" t="n">
        <v>55</v>
      </c>
      <c r="B214" s="171" t="n">
        <v>59</v>
      </c>
      <c r="C214" s="171" t="inlineStr">
        <is>
          <t>Extra Negocios CIF 1</t>
        </is>
      </c>
      <c r="D214" s="170" t="n">
        <v>111</v>
      </c>
      <c r="E214" s="5" t="n"/>
      <c r="F214" s="5" t="n"/>
      <c r="G214" s="5" t="n"/>
      <c r="H214" s="5" t="n"/>
      <c r="I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BD214" s="5" t="n"/>
      <c r="BE214" s="5" t="n"/>
      <c r="BJ214" s="5" t="n"/>
      <c r="BK214" s="5" t="n"/>
      <c r="BP214" s="5" t="n"/>
      <c r="BQ214" s="5" t="n"/>
      <c r="BV214" s="5" t="n"/>
      <c r="BW214" s="5" t="n"/>
      <c r="BX214" s="5" t="n"/>
      <c r="BY214" s="5" t="n"/>
      <c r="BZ214" s="5" t="n"/>
      <c r="CA214" s="5" t="n"/>
      <c r="CF214" s="5" t="n"/>
    </row>
    <row r="215" ht="16.5" customHeight="1" s="241">
      <c r="A215" s="171" t="n">
        <v>60</v>
      </c>
      <c r="B215" s="171" t="n">
        <v>67</v>
      </c>
      <c r="C215" s="171" t="inlineStr">
        <is>
          <t>Extra Negocios CIF 1</t>
        </is>
      </c>
      <c r="D215" s="170" t="n">
        <v>133</v>
      </c>
      <c r="E215" s="5" t="n"/>
      <c r="F215" s="5" t="n"/>
      <c r="G215" s="5" t="n"/>
      <c r="H215" s="5" t="n"/>
      <c r="I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BD215" s="5" t="n"/>
      <c r="BE215" s="5" t="n"/>
      <c r="BJ215" s="5" t="n"/>
      <c r="BK215" s="5" t="n"/>
      <c r="BP215" s="5" t="n"/>
      <c r="BQ215" s="5" t="n"/>
      <c r="BV215" s="5" t="n"/>
      <c r="BW215" s="5" t="n"/>
      <c r="BX215" s="5" t="n"/>
      <c r="BY215" s="5" t="n"/>
      <c r="BZ215" s="5" t="n"/>
      <c r="CA215" s="5" t="n"/>
      <c r="CF215" s="5" t="n"/>
    </row>
    <row r="216" ht="16.5" customHeight="1" s="241">
      <c r="A216" s="171" t="n">
        <v>68</v>
      </c>
      <c r="B216" s="171" t="n">
        <v>120</v>
      </c>
      <c r="C216" s="171" t="inlineStr">
        <is>
          <t>Extra Negocios CIF 1</t>
        </is>
      </c>
      <c r="D216" s="170" t="n">
        <v>205</v>
      </c>
      <c r="E216" s="5" t="n"/>
      <c r="F216" s="5" t="n"/>
      <c r="G216" s="5" t="n"/>
      <c r="H216" s="5" t="n"/>
      <c r="I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BD216" s="5" t="n"/>
      <c r="BE216" s="5" t="n"/>
      <c r="BJ216" s="5" t="n"/>
      <c r="BK216" s="5" t="n"/>
      <c r="BP216" s="5" t="n"/>
      <c r="BQ216" s="5" t="n"/>
      <c r="BV216" s="5" t="n"/>
      <c r="BW216" s="5" t="n"/>
      <c r="BX216" s="5" t="n"/>
      <c r="BY216" s="5" t="n"/>
      <c r="BZ216" s="5" t="n"/>
      <c r="CA216" s="5" t="n"/>
      <c r="CF216" s="5" t="n"/>
    </row>
    <row r="217" ht="16.5" customHeight="1" s="241">
      <c r="A217" s="171" t="n">
        <v>0</v>
      </c>
      <c r="B217" s="171" t="n">
        <v>44</v>
      </c>
      <c r="C217" s="171" t="inlineStr">
        <is>
          <t>Extra Negocios CIF 2</t>
        </is>
      </c>
      <c r="D217" s="170" t="n">
        <v>76.5</v>
      </c>
      <c r="E217" s="5" t="n"/>
      <c r="F217" s="5" t="n"/>
      <c r="G217" s="5" t="n"/>
      <c r="H217" s="5" t="n"/>
      <c r="I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BD217" s="5" t="n"/>
      <c r="BE217" s="5" t="n"/>
      <c r="BJ217" s="5" t="n"/>
      <c r="BK217" s="5" t="n"/>
      <c r="BP217" s="5" t="n"/>
      <c r="BQ217" s="5" t="n"/>
      <c r="BV217" s="5" t="n"/>
      <c r="BW217" s="5" t="n"/>
      <c r="BX217" s="5" t="n"/>
      <c r="BY217" s="5" t="n"/>
      <c r="BZ217" s="5" t="n"/>
      <c r="CA217" s="5" t="n"/>
      <c r="CF217" s="5" t="n"/>
    </row>
    <row r="218" ht="16.5" customHeight="1" s="241">
      <c r="A218" s="171" t="n">
        <v>45</v>
      </c>
      <c r="B218" s="171" t="n">
        <v>54</v>
      </c>
      <c r="C218" s="171" t="inlineStr">
        <is>
          <t>Extra Negocios CIF 2</t>
        </is>
      </c>
      <c r="D218" s="170" t="n">
        <v>79.5</v>
      </c>
      <c r="E218" s="5" t="n"/>
      <c r="F218" s="5" t="n"/>
      <c r="G218" s="5" t="n"/>
      <c r="H218" s="5" t="n"/>
      <c r="I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BD218" s="5" t="n"/>
      <c r="BE218" s="5" t="n"/>
      <c r="BJ218" s="5" t="n"/>
      <c r="BK218" s="5" t="n"/>
      <c r="BP218" s="5" t="n"/>
      <c r="BQ218" s="5" t="n"/>
      <c r="BV218" s="5" t="n"/>
      <c r="BW218" s="5" t="n"/>
      <c r="BX218" s="5" t="n"/>
      <c r="BY218" s="5" t="n"/>
      <c r="BZ218" s="5" t="n"/>
      <c r="CA218" s="5" t="n"/>
      <c r="CF218" s="5" t="n"/>
    </row>
    <row r="219" ht="16.5" customHeight="1" s="241">
      <c r="A219" s="171" t="n">
        <v>55</v>
      </c>
      <c r="B219" s="171" t="n">
        <v>59</v>
      </c>
      <c r="C219" s="171" t="inlineStr">
        <is>
          <t>Extra Negocios CIF 2</t>
        </is>
      </c>
      <c r="D219" s="170" t="n">
        <v>115</v>
      </c>
      <c r="E219" s="5" t="n"/>
      <c r="F219" s="5" t="n"/>
      <c r="G219" s="5" t="n"/>
      <c r="H219" s="5" t="n"/>
      <c r="I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BD219" s="5" t="n"/>
      <c r="BE219" s="5" t="n"/>
      <c r="BJ219" s="5" t="n"/>
      <c r="BK219" s="5" t="n"/>
      <c r="BP219" s="5" t="n"/>
      <c r="BQ219" s="5" t="n"/>
      <c r="BV219" s="5" t="n"/>
      <c r="BW219" s="5" t="n"/>
      <c r="BX219" s="5" t="n"/>
      <c r="BY219" s="5" t="n"/>
      <c r="BZ219" s="5" t="n"/>
      <c r="CA219" s="5" t="n"/>
      <c r="CF219" s="5" t="n"/>
    </row>
    <row r="220" ht="16.5" customHeight="1" s="241">
      <c r="A220" s="171" t="n">
        <v>60</v>
      </c>
      <c r="B220" s="171" t="n">
        <v>67</v>
      </c>
      <c r="C220" s="171" t="inlineStr">
        <is>
          <t>Extra Negocios CIF 2</t>
        </is>
      </c>
      <c r="D220" s="170" t="n">
        <v>137</v>
      </c>
      <c r="E220" s="5" t="n"/>
      <c r="F220" s="5" t="n"/>
      <c r="G220" s="5" t="n"/>
      <c r="H220" s="5" t="n"/>
      <c r="I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BD220" s="5" t="n"/>
      <c r="BE220" s="5" t="n"/>
      <c r="BJ220" s="5" t="n"/>
      <c r="BK220" s="5" t="n"/>
      <c r="BP220" s="5" t="n"/>
      <c r="BQ220" s="5" t="n"/>
      <c r="BV220" s="5" t="n"/>
      <c r="BW220" s="5" t="n"/>
      <c r="BX220" s="5" t="n"/>
      <c r="BY220" s="5" t="n"/>
      <c r="BZ220" s="5" t="n"/>
      <c r="CA220" s="5" t="n"/>
      <c r="CF220" s="5" t="n"/>
    </row>
    <row r="221" ht="16.5" customHeight="1" s="241">
      <c r="A221" s="171" t="n">
        <v>68</v>
      </c>
      <c r="B221" s="171" t="n">
        <v>120</v>
      </c>
      <c r="C221" s="171" t="inlineStr">
        <is>
          <t>Extra Negocios CIF 2</t>
        </is>
      </c>
      <c r="D221" s="170" t="n">
        <v>210</v>
      </c>
      <c r="E221" s="5" t="n"/>
      <c r="F221" s="5" t="n"/>
      <c r="G221" s="5" t="n"/>
      <c r="H221" s="5" t="n"/>
      <c r="I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BD221" s="5" t="n"/>
      <c r="BE221" s="5" t="n"/>
      <c r="BJ221" s="5" t="n"/>
      <c r="BK221" s="5" t="n"/>
      <c r="BP221" s="5" t="n"/>
      <c r="BQ221" s="5" t="n"/>
      <c r="BV221" s="5" t="n"/>
      <c r="BW221" s="5" t="n"/>
      <c r="BX221" s="5" t="n"/>
      <c r="BY221" s="5" t="n"/>
      <c r="BZ221" s="5" t="n"/>
      <c r="CA221" s="5" t="n"/>
      <c r="CF221" s="5" t="n"/>
    </row>
    <row r="222" ht="16.5" customHeight="1" s="241">
      <c r="A222" s="171" t="n">
        <v>0</v>
      </c>
      <c r="B222" s="171" t="n">
        <v>44</v>
      </c>
      <c r="C222" s="171" t="inlineStr">
        <is>
          <t>Extra Negocios CIF 3</t>
        </is>
      </c>
      <c r="D222" s="170" t="n">
        <v>77.5</v>
      </c>
      <c r="E222" s="5" t="n"/>
      <c r="F222" s="5" t="n"/>
      <c r="G222" s="5" t="n"/>
      <c r="H222" s="5" t="n"/>
      <c r="I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BD222" s="5" t="n"/>
      <c r="BE222" s="5" t="n"/>
      <c r="BJ222" s="5" t="n"/>
      <c r="BK222" s="5" t="n"/>
      <c r="BP222" s="5" t="n"/>
      <c r="BQ222" s="5" t="n"/>
      <c r="BV222" s="5" t="n"/>
      <c r="BW222" s="5" t="n"/>
      <c r="BX222" s="5" t="n"/>
      <c r="BY222" s="5" t="n"/>
      <c r="BZ222" s="5" t="n"/>
      <c r="CA222" s="5" t="n"/>
      <c r="CF222" s="5" t="n"/>
    </row>
    <row r="223" ht="16.5" customHeight="1" s="241">
      <c r="A223" s="171" t="n">
        <v>45</v>
      </c>
      <c r="B223" s="171" t="n">
        <v>54</v>
      </c>
      <c r="C223" s="171" t="inlineStr">
        <is>
          <t>Extra Negocios CIF 3</t>
        </is>
      </c>
      <c r="D223" s="170" t="n">
        <v>80</v>
      </c>
      <c r="E223" s="5" t="n"/>
      <c r="F223" s="5" t="n"/>
      <c r="G223" s="5" t="n"/>
      <c r="H223" s="5" t="n"/>
      <c r="I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BD223" s="5" t="n"/>
      <c r="BE223" s="5" t="n"/>
      <c r="BJ223" s="5" t="n"/>
      <c r="BK223" s="5" t="n"/>
      <c r="BP223" s="5" t="n"/>
      <c r="BQ223" s="5" t="n"/>
      <c r="BV223" s="5" t="n"/>
      <c r="BW223" s="5" t="n"/>
      <c r="BX223" s="5" t="n"/>
      <c r="BY223" s="5" t="n"/>
      <c r="BZ223" s="5" t="n"/>
      <c r="CA223" s="5" t="n"/>
      <c r="CF223" s="5" t="n"/>
    </row>
    <row r="224" ht="16.5" customHeight="1" s="241">
      <c r="A224" s="171" t="n">
        <v>55</v>
      </c>
      <c r="B224" s="171" t="n">
        <v>59</v>
      </c>
      <c r="C224" s="171" t="inlineStr">
        <is>
          <t>Extra Negocios CIF 3</t>
        </is>
      </c>
      <c r="D224" s="170" t="n">
        <v>116</v>
      </c>
      <c r="E224" s="5" t="n"/>
      <c r="F224" s="5" t="n"/>
      <c r="G224" s="5" t="n"/>
      <c r="H224" s="5" t="n"/>
      <c r="I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BD224" s="5" t="n"/>
      <c r="BE224" s="5" t="n"/>
      <c r="BJ224" s="5" t="n"/>
      <c r="BK224" s="5" t="n"/>
      <c r="BP224" s="5" t="n"/>
      <c r="BQ224" s="5" t="n"/>
      <c r="BV224" s="5" t="n"/>
      <c r="BW224" s="5" t="n"/>
      <c r="BX224" s="5" t="n"/>
      <c r="BY224" s="5" t="n"/>
      <c r="BZ224" s="5" t="n"/>
      <c r="CA224" s="5" t="n"/>
      <c r="CF224" s="5" t="n"/>
    </row>
    <row r="225" ht="16.5" customHeight="1" s="241">
      <c r="A225" s="171" t="n">
        <v>60</v>
      </c>
      <c r="B225" s="171" t="n">
        <v>67</v>
      </c>
      <c r="C225" s="171" t="inlineStr">
        <is>
          <t>Extra Negocios CIF 3</t>
        </is>
      </c>
      <c r="D225" s="170" t="n">
        <v>141</v>
      </c>
      <c r="E225" s="5" t="n"/>
      <c r="F225" s="5" t="n"/>
      <c r="G225" s="5" t="n"/>
      <c r="H225" s="5" t="n"/>
      <c r="I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BD225" s="5" t="n"/>
      <c r="BE225" s="5" t="n"/>
      <c r="BJ225" s="5" t="n"/>
      <c r="BK225" s="5" t="n"/>
      <c r="BP225" s="5" t="n"/>
      <c r="BQ225" s="5" t="n"/>
      <c r="BV225" s="5" t="n"/>
      <c r="BW225" s="5" t="n"/>
      <c r="BX225" s="5" t="n"/>
      <c r="BY225" s="5" t="n"/>
      <c r="BZ225" s="5" t="n"/>
      <c r="CA225" s="5" t="n"/>
      <c r="CF225" s="5" t="n"/>
    </row>
    <row r="226" ht="16.5" customHeight="1" s="241">
      <c r="A226" s="171" t="n">
        <v>68</v>
      </c>
      <c r="B226" s="171" t="n">
        <v>120</v>
      </c>
      <c r="C226" s="171" t="inlineStr">
        <is>
          <t>Extra Negocios CIF 3</t>
        </is>
      </c>
      <c r="D226" s="170" t="n">
        <v>215</v>
      </c>
      <c r="E226" s="5" t="n"/>
      <c r="F226" s="5" t="n"/>
      <c r="G226" s="5" t="n"/>
      <c r="H226" s="5" t="n"/>
      <c r="I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BD226" s="5" t="n"/>
      <c r="BE226" s="5" t="n"/>
      <c r="BJ226" s="5" t="n"/>
      <c r="BK226" s="5" t="n"/>
      <c r="BP226" s="5" t="n"/>
      <c r="BQ226" s="5" t="n"/>
      <c r="BV226" s="5" t="n"/>
      <c r="BW226" s="5" t="n"/>
      <c r="BX226" s="5" t="n"/>
      <c r="BY226" s="5" t="n"/>
      <c r="BZ226" s="5" t="n"/>
      <c r="CA226" s="5" t="n"/>
      <c r="CF226" s="5" t="n"/>
    </row>
    <row r="227" ht="16.5" customHeight="1" s="241">
      <c r="A227" s="171" t="n">
        <v>0</v>
      </c>
      <c r="B227" s="171" t="n">
        <v>44</v>
      </c>
      <c r="C227" s="171" t="inlineStr">
        <is>
          <t>Extra Negocios CIF 4</t>
        </is>
      </c>
      <c r="D227" s="170" t="n">
        <v>80</v>
      </c>
      <c r="E227" s="5" t="n"/>
      <c r="F227" s="5" t="n"/>
      <c r="G227" s="5" t="n"/>
      <c r="H227" s="5" t="n"/>
      <c r="I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BD227" s="5" t="n"/>
      <c r="BE227" s="5" t="n"/>
      <c r="BJ227" s="5" t="n"/>
      <c r="BK227" s="5" t="n"/>
      <c r="BP227" s="5" t="n"/>
      <c r="BQ227" s="5" t="n"/>
      <c r="BV227" s="5" t="n"/>
      <c r="BW227" s="5" t="n"/>
      <c r="BX227" s="5" t="n"/>
      <c r="BY227" s="5" t="n"/>
      <c r="BZ227" s="5" t="n"/>
      <c r="CA227" s="5" t="n"/>
      <c r="CF227" s="5" t="n"/>
    </row>
    <row r="228" ht="16.5" customHeight="1" s="241">
      <c r="A228" s="171" t="n">
        <v>45</v>
      </c>
      <c r="B228" s="171" t="n">
        <v>54</v>
      </c>
      <c r="C228" s="171" t="inlineStr">
        <is>
          <t>Extra Negocios CIF 4</t>
        </is>
      </c>
      <c r="D228" s="170" t="n">
        <v>82</v>
      </c>
      <c r="E228" s="5" t="n"/>
      <c r="F228" s="5" t="n"/>
      <c r="G228" s="5" t="n"/>
      <c r="H228" s="5" t="n"/>
      <c r="I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BD228" s="5" t="n"/>
      <c r="BE228" s="5" t="n"/>
      <c r="BJ228" s="5" t="n"/>
      <c r="BK228" s="5" t="n"/>
      <c r="BP228" s="5" t="n"/>
      <c r="BQ228" s="5" t="n"/>
      <c r="BV228" s="5" t="n"/>
      <c r="BW228" s="5" t="n"/>
      <c r="BX228" s="5" t="n"/>
      <c r="BY228" s="5" t="n"/>
      <c r="BZ228" s="5" t="n"/>
      <c r="CA228" s="5" t="n"/>
      <c r="CF228" s="5" t="n"/>
    </row>
    <row r="229" ht="16.5" customHeight="1" s="241">
      <c r="A229" s="171" t="n">
        <v>55</v>
      </c>
      <c r="B229" s="171" t="n">
        <v>59</v>
      </c>
      <c r="C229" s="171" t="inlineStr">
        <is>
          <t>Extra Negocios CIF 4</t>
        </is>
      </c>
      <c r="D229" s="170" t="n">
        <v>119</v>
      </c>
      <c r="E229" s="5" t="n"/>
      <c r="F229" s="5" t="n"/>
      <c r="G229" s="5" t="n"/>
      <c r="H229" s="5" t="n"/>
      <c r="I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BD229" s="5" t="n"/>
      <c r="BE229" s="5" t="n"/>
      <c r="BJ229" s="5" t="n"/>
      <c r="BK229" s="5" t="n"/>
      <c r="BP229" s="5" t="n"/>
      <c r="BQ229" s="5" t="n"/>
      <c r="BV229" s="5" t="n"/>
      <c r="BW229" s="5" t="n"/>
      <c r="BX229" s="5" t="n"/>
      <c r="BY229" s="5" t="n"/>
      <c r="BZ229" s="5" t="n"/>
      <c r="CA229" s="5" t="n"/>
      <c r="CF229" s="5" t="n"/>
    </row>
    <row r="230" ht="16.5" customHeight="1" s="241">
      <c r="A230" s="171" t="n">
        <v>60</v>
      </c>
      <c r="B230" s="171" t="n">
        <v>67</v>
      </c>
      <c r="C230" s="171" t="inlineStr">
        <is>
          <t>Extra Negocios CIF 4</t>
        </is>
      </c>
      <c r="D230" s="170" t="n">
        <v>143</v>
      </c>
      <c r="E230" s="5" t="n"/>
      <c r="F230" s="5" t="n"/>
      <c r="G230" s="5" t="n"/>
      <c r="H230" s="5" t="n"/>
      <c r="I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BD230" s="5" t="n"/>
      <c r="BE230" s="5" t="n"/>
      <c r="BJ230" s="5" t="n"/>
      <c r="BK230" s="5" t="n"/>
      <c r="BP230" s="5" t="n"/>
      <c r="BQ230" s="5" t="n"/>
      <c r="BV230" s="5" t="n"/>
      <c r="BW230" s="5" t="n"/>
      <c r="BX230" s="5" t="n"/>
      <c r="BY230" s="5" t="n"/>
      <c r="BZ230" s="5" t="n"/>
      <c r="CA230" s="5" t="n"/>
      <c r="CF230" s="5" t="n"/>
    </row>
    <row r="231" ht="16.5" customHeight="1" s="241">
      <c r="A231" s="171" t="n">
        <v>68</v>
      </c>
      <c r="B231" s="171" t="n">
        <v>120</v>
      </c>
      <c r="C231" s="171" t="inlineStr">
        <is>
          <t>Extra Negocios CIF 4</t>
        </is>
      </c>
      <c r="D231" s="170" t="n">
        <v>219</v>
      </c>
      <c r="E231" s="5" t="n"/>
      <c r="F231" s="5" t="n"/>
      <c r="G231" s="5" t="n"/>
      <c r="H231" s="5" t="n"/>
      <c r="I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BD231" s="5" t="n"/>
      <c r="BE231" s="5" t="n"/>
      <c r="BJ231" s="5" t="n"/>
      <c r="BK231" s="5" t="n"/>
      <c r="BP231" s="5" t="n"/>
      <c r="BQ231" s="5" t="n"/>
      <c r="BV231" s="5" t="n"/>
      <c r="BW231" s="5" t="n"/>
      <c r="BX231" s="5" t="n"/>
      <c r="BY231" s="5" t="n"/>
      <c r="BZ231" s="5" t="n"/>
      <c r="CA231" s="5" t="n"/>
      <c r="CF231" s="5" t="n"/>
    </row>
    <row r="232" ht="16.5" customHeight="1" s="241">
      <c r="A232" s="171" t="n">
        <v>0</v>
      </c>
      <c r="B232" s="171" t="n">
        <v>44</v>
      </c>
      <c r="C232" s="171" t="inlineStr">
        <is>
          <t>Extra Negocios CIF 5</t>
        </is>
      </c>
      <c r="D232" s="170" t="n">
        <v>81</v>
      </c>
      <c r="E232" s="5" t="n"/>
      <c r="F232" s="5" t="n"/>
      <c r="G232" s="5" t="n"/>
      <c r="H232" s="5" t="n"/>
      <c r="I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BD232" s="5" t="n"/>
      <c r="BE232" s="5" t="n"/>
      <c r="BJ232" s="5" t="n"/>
      <c r="BK232" s="5" t="n"/>
      <c r="BP232" s="5" t="n"/>
      <c r="BQ232" s="5" t="n"/>
      <c r="BV232" s="5" t="n"/>
      <c r="BW232" s="5" t="n"/>
      <c r="BX232" s="5" t="n"/>
      <c r="BY232" s="5" t="n"/>
      <c r="BZ232" s="5" t="n"/>
      <c r="CA232" s="5" t="n"/>
      <c r="CF232" s="5" t="n"/>
    </row>
    <row r="233" ht="16.5" customHeight="1" s="241">
      <c r="A233" s="171" t="n">
        <v>45</v>
      </c>
      <c r="B233" s="171" t="n">
        <v>54</v>
      </c>
      <c r="C233" s="171" t="inlineStr">
        <is>
          <t>Extra Negocios CIF 5</t>
        </is>
      </c>
      <c r="D233" s="170" t="n">
        <v>84</v>
      </c>
      <c r="E233" s="5" t="n"/>
      <c r="F233" s="5" t="n"/>
      <c r="G233" s="5" t="n"/>
      <c r="H233" s="5" t="n"/>
      <c r="I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BD233" s="5" t="n"/>
      <c r="BE233" s="5" t="n"/>
      <c r="BJ233" s="5" t="n"/>
      <c r="BK233" s="5" t="n"/>
      <c r="BP233" s="5" t="n"/>
      <c r="BQ233" s="5" t="n"/>
      <c r="BV233" s="5" t="n"/>
      <c r="BW233" s="5" t="n"/>
      <c r="BX233" s="5" t="n"/>
      <c r="BY233" s="5" t="n"/>
      <c r="BZ233" s="5" t="n"/>
      <c r="CA233" s="5" t="n"/>
      <c r="CF233" s="5" t="n"/>
    </row>
    <row r="234" ht="16.5" customHeight="1" s="241">
      <c r="A234" s="171" t="n">
        <v>55</v>
      </c>
      <c r="B234" s="171" t="n">
        <v>59</v>
      </c>
      <c r="C234" s="171" t="inlineStr">
        <is>
          <t>Extra Negocios CIF 5</t>
        </is>
      </c>
      <c r="D234" s="170" t="n">
        <v>122</v>
      </c>
      <c r="E234" s="5" t="n"/>
      <c r="F234" s="5" t="n"/>
      <c r="G234" s="5" t="n"/>
      <c r="H234" s="5" t="n"/>
      <c r="I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BD234" s="5" t="n"/>
      <c r="BE234" s="5" t="n"/>
      <c r="BJ234" s="5" t="n"/>
      <c r="BK234" s="5" t="n"/>
      <c r="BP234" s="5" t="n"/>
      <c r="BQ234" s="5" t="n"/>
      <c r="BV234" s="5" t="n"/>
      <c r="BW234" s="5" t="n"/>
      <c r="BX234" s="5" t="n"/>
      <c r="BY234" s="5" t="n"/>
      <c r="BZ234" s="5" t="n"/>
      <c r="CA234" s="5" t="n"/>
      <c r="CF234" s="5" t="n"/>
    </row>
    <row r="235" ht="16.5" customHeight="1" s="241">
      <c r="A235" s="171" t="n">
        <v>60</v>
      </c>
      <c r="B235" s="171" t="n">
        <v>67</v>
      </c>
      <c r="C235" s="171" t="inlineStr">
        <is>
          <t>Extra Negocios CIF 5</t>
        </is>
      </c>
      <c r="D235" s="170" t="n">
        <v>147</v>
      </c>
      <c r="E235" s="5" t="n"/>
      <c r="F235" s="5" t="n"/>
      <c r="G235" s="5" t="n"/>
      <c r="H235" s="5" t="n"/>
      <c r="I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BD235" s="5" t="n"/>
      <c r="BE235" s="5" t="n"/>
      <c r="BJ235" s="5" t="n"/>
      <c r="BK235" s="5" t="n"/>
      <c r="BP235" s="5" t="n"/>
      <c r="BQ235" s="5" t="n"/>
      <c r="BV235" s="5" t="n"/>
      <c r="BW235" s="5" t="n"/>
      <c r="BX235" s="5" t="n"/>
      <c r="BY235" s="5" t="n"/>
      <c r="BZ235" s="5" t="n"/>
      <c r="CA235" s="5" t="n"/>
      <c r="CF235" s="5" t="n"/>
    </row>
    <row r="236" ht="16.5" customHeight="1" s="241">
      <c r="A236" s="171" t="n">
        <v>68</v>
      </c>
      <c r="B236" s="171" t="n">
        <v>120</v>
      </c>
      <c r="C236" s="171" t="inlineStr">
        <is>
          <t>Extra Negocios CIF 5</t>
        </is>
      </c>
      <c r="D236" s="170" t="n">
        <v>230</v>
      </c>
      <c r="E236" s="5" t="n"/>
      <c r="F236" s="5" t="n"/>
      <c r="G236" s="5" t="n"/>
      <c r="H236" s="5" t="n"/>
      <c r="I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BD236" s="5" t="n"/>
      <c r="BE236" s="5" t="n"/>
      <c r="BJ236" s="5" t="n"/>
      <c r="BK236" s="5" t="n"/>
      <c r="BP236" s="5" t="n"/>
      <c r="BQ236" s="5" t="n"/>
      <c r="BV236" s="5" t="n"/>
      <c r="BW236" s="5" t="n"/>
      <c r="BX236" s="5" t="n"/>
      <c r="BY236" s="5" t="n"/>
      <c r="BZ236" s="5" t="n"/>
      <c r="CA236" s="5" t="n"/>
      <c r="CF236" s="5" t="n"/>
    </row>
    <row r="237" ht="16.5" customHeight="1" s="241">
      <c r="A237" s="171" t="n">
        <v>0</v>
      </c>
      <c r="B237" s="171" t="n">
        <v>44</v>
      </c>
      <c r="C237" s="171" t="inlineStr">
        <is>
          <t>Extra Negocios CIF 6</t>
        </is>
      </c>
      <c r="D237" s="170" t="n">
        <v>82</v>
      </c>
      <c r="E237" s="5" t="n"/>
      <c r="F237" s="5" t="n"/>
      <c r="G237" s="5" t="n"/>
      <c r="H237" s="5" t="n"/>
      <c r="I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BD237" s="5" t="n"/>
      <c r="BE237" s="5" t="n"/>
      <c r="BJ237" s="5" t="n"/>
      <c r="BK237" s="5" t="n"/>
      <c r="BP237" s="5" t="n"/>
      <c r="BQ237" s="5" t="n"/>
      <c r="BV237" s="5" t="n"/>
      <c r="BW237" s="5" t="n"/>
      <c r="BX237" s="5" t="n"/>
      <c r="BY237" s="5" t="n"/>
      <c r="BZ237" s="5" t="n"/>
      <c r="CA237" s="5" t="n"/>
      <c r="CF237" s="5" t="n"/>
    </row>
    <row r="238" ht="16.5" customHeight="1" s="241">
      <c r="A238" s="171" t="n">
        <v>45</v>
      </c>
      <c r="B238" s="171" t="n">
        <v>54</v>
      </c>
      <c r="C238" s="171" t="inlineStr">
        <is>
          <t>Extra Negocios CIF 6</t>
        </is>
      </c>
      <c r="D238" s="170" t="n">
        <v>86</v>
      </c>
      <c r="E238" s="5" t="n"/>
      <c r="F238" s="5" t="n"/>
      <c r="G238" s="5" t="n"/>
      <c r="H238" s="5" t="n"/>
      <c r="I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BD238" s="5" t="n"/>
      <c r="BE238" s="5" t="n"/>
      <c r="BJ238" s="5" t="n"/>
      <c r="BK238" s="5" t="n"/>
      <c r="BP238" s="5" t="n"/>
      <c r="BQ238" s="5" t="n"/>
      <c r="BV238" s="5" t="n"/>
      <c r="BW238" s="5" t="n"/>
      <c r="BX238" s="5" t="n"/>
      <c r="BY238" s="5" t="n"/>
      <c r="BZ238" s="5" t="n"/>
      <c r="CA238" s="5" t="n"/>
      <c r="CF238" s="5" t="n"/>
    </row>
    <row r="239" ht="16.5" customHeight="1" s="241">
      <c r="A239" s="171" t="n">
        <v>55</v>
      </c>
      <c r="B239" s="171" t="n">
        <v>59</v>
      </c>
      <c r="C239" s="171" t="inlineStr">
        <is>
          <t>Extra Negocios CIF 6</t>
        </is>
      </c>
      <c r="D239" s="170" t="n">
        <v>125</v>
      </c>
      <c r="E239" s="5" t="n"/>
      <c r="F239" s="5" t="n"/>
      <c r="G239" s="5" t="n"/>
      <c r="H239" s="5" t="n"/>
      <c r="I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BD239" s="5" t="n"/>
      <c r="BE239" s="5" t="n"/>
      <c r="BJ239" s="5" t="n"/>
      <c r="BK239" s="5" t="n"/>
      <c r="BP239" s="5" t="n"/>
      <c r="BQ239" s="5" t="n"/>
      <c r="BV239" s="5" t="n"/>
      <c r="BW239" s="5" t="n"/>
      <c r="BX239" s="5" t="n"/>
      <c r="BY239" s="5" t="n"/>
      <c r="BZ239" s="5" t="n"/>
      <c r="CA239" s="5" t="n"/>
      <c r="CF239" s="5" t="n"/>
    </row>
    <row r="240" ht="16.5" customHeight="1" s="241">
      <c r="A240" s="171" t="n">
        <v>60</v>
      </c>
      <c r="B240" s="171" t="n">
        <v>67</v>
      </c>
      <c r="C240" s="171" t="inlineStr">
        <is>
          <t>Extra Negocios CIF 6</t>
        </is>
      </c>
      <c r="D240" s="170" t="n">
        <v>149</v>
      </c>
      <c r="E240" s="5" t="n"/>
      <c r="F240" s="5" t="n"/>
      <c r="G240" s="5" t="n"/>
      <c r="H240" s="5" t="n"/>
      <c r="I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BD240" s="5" t="n"/>
      <c r="BE240" s="5" t="n"/>
      <c r="BJ240" s="5" t="n"/>
      <c r="BK240" s="5" t="n"/>
      <c r="BP240" s="5" t="n"/>
      <c r="BQ240" s="5" t="n"/>
      <c r="BV240" s="5" t="n"/>
      <c r="BW240" s="5" t="n"/>
      <c r="BX240" s="5" t="n"/>
      <c r="BY240" s="5" t="n"/>
      <c r="BZ240" s="5" t="n"/>
      <c r="CA240" s="5" t="n"/>
      <c r="CF240" s="5" t="n"/>
    </row>
    <row r="241" ht="16.5" customHeight="1" s="241">
      <c r="A241" s="171" t="n">
        <v>68</v>
      </c>
      <c r="B241" s="171" t="n">
        <v>120</v>
      </c>
      <c r="C241" s="171" t="inlineStr">
        <is>
          <t>Extra Negocios CIF 6</t>
        </is>
      </c>
      <c r="D241" s="170" t="n">
        <v>231</v>
      </c>
      <c r="E241" s="5" t="n"/>
      <c r="F241" s="5" t="n"/>
      <c r="G241" s="5" t="n"/>
      <c r="H241" s="5" t="n"/>
      <c r="I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BD241" s="5" t="n"/>
      <c r="BE241" s="5" t="n"/>
      <c r="BJ241" s="5" t="n"/>
      <c r="BK241" s="5" t="n"/>
      <c r="BP241" s="5" t="n"/>
      <c r="BQ241" s="5" t="n"/>
      <c r="BV241" s="5" t="n"/>
      <c r="BW241" s="5" t="n"/>
      <c r="BX241" s="5" t="n"/>
      <c r="BY241" s="5" t="n"/>
      <c r="BZ241" s="5" t="n"/>
      <c r="CA241" s="5" t="n"/>
      <c r="CF241" s="5" t="n"/>
    </row>
    <row r="242" ht="16.5" customHeight="1" s="241">
      <c r="A242" s="171" t="n">
        <v>0</v>
      </c>
      <c r="B242" s="171" t="n">
        <v>65</v>
      </c>
      <c r="C242" s="171" t="inlineStr">
        <is>
          <t>Empresas 1</t>
        </is>
      </c>
      <c r="D242" s="170" t="n">
        <v>56</v>
      </c>
      <c r="E242" s="5" t="n"/>
      <c r="F242" s="5" t="n"/>
      <c r="G242" s="5" t="n"/>
      <c r="H242" s="5" t="n"/>
      <c r="I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BD242" s="5" t="n"/>
      <c r="BE242" s="5" t="n"/>
      <c r="BJ242" s="5" t="n"/>
      <c r="BK242" s="5" t="n"/>
      <c r="BP242" s="5" t="n"/>
      <c r="BQ242" s="5" t="n"/>
      <c r="BV242" s="5" t="n"/>
      <c r="BW242" s="5" t="n"/>
      <c r="BX242" s="5" t="n"/>
      <c r="BY242" s="5" t="n"/>
      <c r="BZ242" s="5" t="n"/>
      <c r="CA242" s="5" t="n"/>
      <c r="CF242" s="5" t="n"/>
    </row>
    <row r="243" ht="16.5" customHeight="1" s="241">
      <c r="A243" s="171" t="n">
        <v>66</v>
      </c>
      <c r="B243" s="171" t="n">
        <v>67</v>
      </c>
      <c r="C243" s="171" t="inlineStr">
        <is>
          <t>Empresas 1</t>
        </is>
      </c>
      <c r="D243" s="170" t="n">
        <v>89</v>
      </c>
      <c r="E243" s="5" t="n"/>
      <c r="F243" s="5" t="n"/>
      <c r="G243" s="5" t="n"/>
      <c r="H243" s="5" t="n"/>
      <c r="I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BD243" s="5" t="n"/>
      <c r="BE243" s="5" t="n"/>
      <c r="BJ243" s="5" t="n"/>
      <c r="BK243" s="5" t="n"/>
      <c r="BP243" s="5" t="n"/>
      <c r="BQ243" s="5" t="n"/>
      <c r="BV243" s="5" t="n"/>
      <c r="BW243" s="5" t="n"/>
      <c r="BX243" s="5" t="n"/>
      <c r="BY243" s="5" t="n"/>
      <c r="BZ243" s="5" t="n"/>
      <c r="CA243" s="5" t="n"/>
      <c r="CF243" s="5" t="n"/>
    </row>
    <row r="244" ht="16.5" customHeight="1" s="241">
      <c r="A244" s="171" t="n">
        <v>68</v>
      </c>
      <c r="B244" s="171" t="n">
        <v>120</v>
      </c>
      <c r="C244" s="171" t="inlineStr">
        <is>
          <t>Empresas 1</t>
        </is>
      </c>
      <c r="D244" s="170" t="n">
        <v>168</v>
      </c>
      <c r="E244" s="5" t="n"/>
      <c r="F244" s="5" t="n"/>
      <c r="G244" s="5" t="n"/>
      <c r="H244" s="5" t="n"/>
      <c r="I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BD244" s="5" t="n"/>
      <c r="BE244" s="5" t="n"/>
      <c r="BJ244" s="5" t="n"/>
      <c r="BK244" s="5" t="n"/>
      <c r="BP244" s="5" t="n"/>
      <c r="BQ244" s="5" t="n"/>
      <c r="BV244" s="5" t="n"/>
      <c r="BW244" s="5" t="n"/>
      <c r="BX244" s="5" t="n"/>
      <c r="BY244" s="5" t="n"/>
      <c r="BZ244" s="5" t="n"/>
      <c r="CA244" s="5" t="n"/>
      <c r="CF244" s="5" t="n"/>
    </row>
    <row r="245" ht="16.5" customHeight="1" s="241">
      <c r="A245" s="171" t="n">
        <v>0</v>
      </c>
      <c r="B245" s="171" t="n">
        <v>65</v>
      </c>
      <c r="C245" s="171" t="inlineStr">
        <is>
          <t>Empresas 2</t>
        </is>
      </c>
      <c r="D245" s="170" t="n">
        <v>58.5</v>
      </c>
      <c r="E245" s="5" t="n"/>
      <c r="F245" s="5" t="n"/>
      <c r="G245" s="5" t="n"/>
      <c r="H245" s="5" t="n"/>
      <c r="I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BD245" s="5" t="n"/>
      <c r="BE245" s="5" t="n"/>
      <c r="BJ245" s="5" t="n"/>
      <c r="BK245" s="5" t="n"/>
      <c r="BP245" s="5" t="n"/>
      <c r="BQ245" s="5" t="n"/>
      <c r="BV245" s="5" t="n"/>
      <c r="BW245" s="5" t="n"/>
      <c r="BX245" s="5" t="n"/>
      <c r="BY245" s="5" t="n"/>
      <c r="BZ245" s="5" t="n"/>
      <c r="CA245" s="5" t="n"/>
      <c r="CF245" s="5" t="n"/>
    </row>
    <row r="246" ht="16.5" customHeight="1" s="241">
      <c r="A246" s="171" t="n">
        <v>66</v>
      </c>
      <c r="B246" s="171" t="n">
        <v>67</v>
      </c>
      <c r="C246" s="171" t="inlineStr">
        <is>
          <t>Empresas 2</t>
        </is>
      </c>
      <c r="D246" s="170" t="n">
        <v>92</v>
      </c>
      <c r="E246" s="5" t="n"/>
      <c r="F246" s="5" t="n"/>
      <c r="G246" s="5" t="n"/>
      <c r="H246" s="5" t="n"/>
      <c r="I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BD246" s="5" t="n"/>
      <c r="BE246" s="5" t="n"/>
      <c r="BJ246" s="5" t="n"/>
      <c r="BK246" s="5" t="n"/>
      <c r="BP246" s="5" t="n"/>
      <c r="BQ246" s="5" t="n"/>
      <c r="BV246" s="5" t="n"/>
      <c r="BW246" s="5" t="n"/>
      <c r="BX246" s="5" t="n"/>
      <c r="BY246" s="5" t="n"/>
      <c r="BZ246" s="5" t="n"/>
      <c r="CA246" s="5" t="n"/>
      <c r="CF246" s="5" t="n"/>
    </row>
    <row r="247" ht="16.5" customHeight="1" s="241">
      <c r="A247" s="171" t="n">
        <v>68</v>
      </c>
      <c r="B247" s="171" t="n">
        <v>120</v>
      </c>
      <c r="C247" s="171" t="inlineStr">
        <is>
          <t>Empresas 2</t>
        </is>
      </c>
      <c r="D247" s="170" t="n">
        <v>175</v>
      </c>
      <c r="E247" s="5" t="n"/>
      <c r="F247" s="5" t="n"/>
      <c r="G247" s="5" t="n"/>
      <c r="H247" s="5" t="n"/>
      <c r="I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BD247" s="5" t="n"/>
      <c r="BE247" s="5" t="n"/>
      <c r="BJ247" s="5" t="n"/>
      <c r="BK247" s="5" t="n"/>
      <c r="BP247" s="5" t="n"/>
      <c r="BQ247" s="5" t="n"/>
      <c r="BV247" s="5" t="n"/>
      <c r="BW247" s="5" t="n"/>
      <c r="BX247" s="5" t="n"/>
      <c r="BY247" s="5" t="n"/>
      <c r="BZ247" s="5" t="n"/>
      <c r="CA247" s="5" t="n"/>
      <c r="CF247" s="5" t="n"/>
    </row>
    <row r="248" ht="16.5" customHeight="1" s="241">
      <c r="A248" s="171" t="n">
        <v>0</v>
      </c>
      <c r="B248" s="171" t="n">
        <v>65</v>
      </c>
      <c r="C248" s="171" t="inlineStr">
        <is>
          <t>Empresas 3</t>
        </is>
      </c>
      <c r="D248" s="170" t="n">
        <v>59</v>
      </c>
      <c r="E248" s="5" t="n"/>
      <c r="F248" s="5" t="n"/>
      <c r="G248" s="5" t="n"/>
      <c r="H248" s="5" t="n"/>
      <c r="I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BD248" s="5" t="n"/>
      <c r="BE248" s="5" t="n"/>
      <c r="BJ248" s="5" t="n"/>
      <c r="BK248" s="5" t="n"/>
      <c r="BP248" s="5" t="n"/>
      <c r="BQ248" s="5" t="n"/>
      <c r="BV248" s="5" t="n"/>
      <c r="BW248" s="5" t="n"/>
      <c r="BX248" s="5" t="n"/>
      <c r="BY248" s="5" t="n"/>
      <c r="BZ248" s="5" t="n"/>
      <c r="CA248" s="5" t="n"/>
      <c r="CF248" s="5" t="n"/>
    </row>
    <row r="249" ht="16.5" customHeight="1" s="241">
      <c r="A249" s="171" t="n">
        <v>66</v>
      </c>
      <c r="B249" s="171" t="n">
        <v>67</v>
      </c>
      <c r="C249" s="171" t="inlineStr">
        <is>
          <t>Empresas 3</t>
        </is>
      </c>
      <c r="D249" s="170" t="n">
        <v>100</v>
      </c>
      <c r="E249" s="5" t="n"/>
      <c r="F249" s="5" t="n"/>
      <c r="G249" s="5" t="n"/>
      <c r="H249" s="5" t="n"/>
      <c r="I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BD249" s="5" t="n"/>
      <c r="BE249" s="5" t="n"/>
      <c r="BJ249" s="5" t="n"/>
      <c r="BK249" s="5" t="n"/>
      <c r="BP249" s="5" t="n"/>
      <c r="BQ249" s="5" t="n"/>
      <c r="BV249" s="5" t="n"/>
      <c r="BW249" s="5" t="n"/>
      <c r="BX249" s="5" t="n"/>
      <c r="BY249" s="5" t="n"/>
      <c r="BZ249" s="5" t="n"/>
      <c r="CA249" s="5" t="n"/>
      <c r="CF249" s="5" t="n"/>
    </row>
    <row r="250" ht="16.5" customHeight="1" s="241">
      <c r="A250" s="171" t="n">
        <v>68</v>
      </c>
      <c r="B250" s="171" t="n">
        <v>120</v>
      </c>
      <c r="C250" s="171" t="inlineStr">
        <is>
          <t>Empresas 3</t>
        </is>
      </c>
      <c r="D250" s="170" t="n">
        <v>193</v>
      </c>
      <c r="E250" s="5" t="n"/>
      <c r="F250" s="5" t="n"/>
      <c r="G250" s="5" t="n"/>
      <c r="H250" s="5" t="n"/>
      <c r="I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BD250" s="5" t="n"/>
      <c r="BE250" s="5" t="n"/>
      <c r="BJ250" s="5" t="n"/>
      <c r="BK250" s="5" t="n"/>
      <c r="BP250" s="5" t="n"/>
      <c r="BQ250" s="5" t="n"/>
      <c r="BV250" s="5" t="n"/>
      <c r="BW250" s="5" t="n"/>
      <c r="BX250" s="5" t="n"/>
      <c r="BY250" s="5" t="n"/>
      <c r="BZ250" s="5" t="n"/>
      <c r="CA250" s="5" t="n"/>
      <c r="CF250" s="5" t="n"/>
    </row>
    <row r="251" ht="16.5" customHeight="1" s="241">
      <c r="A251" s="171" t="n">
        <v>0</v>
      </c>
      <c r="B251" s="171" t="n">
        <v>65</v>
      </c>
      <c r="C251" s="171" t="inlineStr">
        <is>
          <t>Empresas 4</t>
        </is>
      </c>
      <c r="D251" s="170" t="n">
        <v>60</v>
      </c>
      <c r="E251" s="5" t="n"/>
      <c r="F251" s="5" t="n"/>
      <c r="G251" s="5" t="n"/>
      <c r="H251" s="5" t="n"/>
      <c r="I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BD251" s="5" t="n"/>
      <c r="BE251" s="5" t="n"/>
      <c r="BJ251" s="5" t="n"/>
      <c r="BK251" s="5" t="n"/>
      <c r="BP251" s="5" t="n"/>
      <c r="BQ251" s="5" t="n"/>
      <c r="BV251" s="5" t="n"/>
      <c r="BW251" s="5" t="n"/>
      <c r="BX251" s="5" t="n"/>
      <c r="BY251" s="5" t="n"/>
      <c r="BZ251" s="5" t="n"/>
      <c r="CA251" s="5" t="n"/>
      <c r="CF251" s="5" t="n"/>
    </row>
    <row r="252" ht="16.5" customHeight="1" s="241">
      <c r="A252" s="171" t="n">
        <v>66</v>
      </c>
      <c r="B252" s="171" t="n">
        <v>67</v>
      </c>
      <c r="C252" s="171" t="inlineStr">
        <is>
          <t>Empresas 4</t>
        </is>
      </c>
      <c r="D252" s="170" t="n">
        <v>101</v>
      </c>
      <c r="E252" s="5" t="n"/>
      <c r="F252" s="5" t="n"/>
      <c r="G252" s="5" t="n"/>
      <c r="H252" s="5" t="n"/>
      <c r="I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BD252" s="5" t="n"/>
      <c r="BE252" s="5" t="n"/>
      <c r="BJ252" s="5" t="n"/>
      <c r="BK252" s="5" t="n"/>
      <c r="BP252" s="5" t="n"/>
      <c r="BQ252" s="5" t="n"/>
      <c r="BV252" s="5" t="n"/>
      <c r="BW252" s="5" t="n"/>
      <c r="BX252" s="5" t="n"/>
      <c r="BY252" s="5" t="n"/>
      <c r="BZ252" s="5" t="n"/>
      <c r="CA252" s="5" t="n"/>
      <c r="CF252" s="5" t="n"/>
    </row>
    <row r="253" ht="16.5" customHeight="1" s="241">
      <c r="A253" s="171" t="n">
        <v>68</v>
      </c>
      <c r="B253" s="171" t="n">
        <v>120</v>
      </c>
      <c r="C253" s="171" t="inlineStr">
        <is>
          <t>Empresas 4</t>
        </is>
      </c>
      <c r="D253" s="170" t="n">
        <v>199</v>
      </c>
      <c r="E253" s="5" t="n"/>
      <c r="F253" s="5" t="n"/>
      <c r="G253" s="5" t="n"/>
      <c r="H253" s="5" t="n"/>
      <c r="I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BD253" s="5" t="n"/>
      <c r="BE253" s="5" t="n"/>
      <c r="BJ253" s="5" t="n"/>
      <c r="BK253" s="5" t="n"/>
      <c r="BP253" s="5" t="n"/>
      <c r="BQ253" s="5" t="n"/>
      <c r="BV253" s="5" t="n"/>
      <c r="BW253" s="5" t="n"/>
      <c r="BX253" s="5" t="n"/>
      <c r="BY253" s="5" t="n"/>
      <c r="BZ253" s="5" t="n"/>
      <c r="CA253" s="5" t="n"/>
      <c r="CF253" s="5" t="n"/>
    </row>
    <row r="254" ht="16.5" customHeight="1" s="241">
      <c r="A254" s="171" t="n">
        <v>0</v>
      </c>
      <c r="B254" s="171" t="n">
        <v>65</v>
      </c>
      <c r="C254" s="171" t="inlineStr">
        <is>
          <t>Empresas 5</t>
        </is>
      </c>
      <c r="D254" s="170" t="n">
        <v>61.5</v>
      </c>
      <c r="E254" s="5" t="n"/>
      <c r="F254" s="5" t="n"/>
      <c r="G254" s="5" t="n"/>
      <c r="H254" s="5" t="n"/>
      <c r="I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BD254" s="5" t="n"/>
      <c r="BE254" s="5" t="n"/>
      <c r="BJ254" s="5" t="n"/>
      <c r="BK254" s="5" t="n"/>
      <c r="BP254" s="5" t="n"/>
      <c r="BQ254" s="5" t="n"/>
      <c r="BV254" s="5" t="n"/>
      <c r="BW254" s="5" t="n"/>
      <c r="BX254" s="5" t="n"/>
      <c r="BY254" s="5" t="n"/>
      <c r="BZ254" s="5" t="n"/>
      <c r="CA254" s="5" t="n"/>
      <c r="CF254" s="5" t="n"/>
    </row>
    <row r="255" ht="16.5" customHeight="1" s="241">
      <c r="A255" s="171" t="n">
        <v>66</v>
      </c>
      <c r="B255" s="171" t="n">
        <v>67</v>
      </c>
      <c r="C255" s="171" t="inlineStr">
        <is>
          <t>Empresas 5</t>
        </is>
      </c>
      <c r="D255" s="170" t="n">
        <v>102</v>
      </c>
      <c r="E255" s="5" t="n"/>
      <c r="F255" s="5" t="n"/>
      <c r="G255" s="5" t="n"/>
      <c r="H255" s="5" t="n"/>
      <c r="I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BD255" s="5" t="n"/>
      <c r="BE255" s="5" t="n"/>
      <c r="BJ255" s="5" t="n"/>
      <c r="BK255" s="5" t="n"/>
      <c r="BP255" s="5" t="n"/>
      <c r="BQ255" s="5" t="n"/>
      <c r="BV255" s="5" t="n"/>
      <c r="BW255" s="5" t="n"/>
      <c r="BX255" s="5" t="n"/>
      <c r="BY255" s="5" t="n"/>
      <c r="BZ255" s="5" t="n"/>
      <c r="CA255" s="5" t="n"/>
      <c r="CF255" s="5" t="n"/>
    </row>
    <row r="256" ht="16.5" customHeight="1" s="241">
      <c r="A256" s="171" t="n">
        <v>68</v>
      </c>
      <c r="B256" s="171" t="n">
        <v>120</v>
      </c>
      <c r="C256" s="171" t="inlineStr">
        <is>
          <t>Empresas 5</t>
        </is>
      </c>
      <c r="D256" s="170" t="n">
        <v>200</v>
      </c>
      <c r="E256" s="5" t="n"/>
      <c r="F256" s="5" t="n"/>
      <c r="G256" s="5" t="n"/>
      <c r="H256" s="5" t="n"/>
      <c r="I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BD256" s="5" t="n"/>
      <c r="BE256" s="5" t="n"/>
      <c r="BJ256" s="5" t="n"/>
      <c r="BK256" s="5" t="n"/>
      <c r="BP256" s="5" t="n"/>
      <c r="BQ256" s="5" t="n"/>
      <c r="BV256" s="5" t="n"/>
      <c r="BW256" s="5" t="n"/>
      <c r="BX256" s="5" t="n"/>
      <c r="BY256" s="5" t="n"/>
      <c r="BZ256" s="5" t="n"/>
      <c r="CA256" s="5" t="n"/>
      <c r="CF256" s="5" t="n"/>
    </row>
    <row r="257" ht="16.5" customHeight="1" s="241">
      <c r="A257" s="171" t="n">
        <v>0</v>
      </c>
      <c r="B257" s="171" t="n">
        <v>65</v>
      </c>
      <c r="C257" s="171" t="inlineStr">
        <is>
          <t>Empresas 6</t>
        </is>
      </c>
      <c r="D257" s="170" t="n">
        <v>62.5</v>
      </c>
      <c r="E257" s="5" t="n"/>
      <c r="F257" s="5" t="n"/>
      <c r="G257" s="5" t="n"/>
      <c r="H257" s="5" t="n"/>
      <c r="I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BD257" s="5" t="n"/>
      <c r="BE257" s="5" t="n"/>
      <c r="BJ257" s="5" t="n"/>
      <c r="BK257" s="5" t="n"/>
      <c r="BP257" s="5" t="n"/>
      <c r="BQ257" s="5" t="n"/>
      <c r="BV257" s="5" t="n"/>
      <c r="BW257" s="5" t="n"/>
      <c r="BX257" s="5" t="n"/>
      <c r="BY257" s="5" t="n"/>
      <c r="BZ257" s="5" t="n"/>
      <c r="CA257" s="5" t="n"/>
      <c r="CF257" s="5" t="n"/>
    </row>
    <row r="258" ht="16.5" customHeight="1" s="241">
      <c r="A258" s="171" t="n">
        <v>66</v>
      </c>
      <c r="B258" s="171" t="n">
        <v>67</v>
      </c>
      <c r="C258" s="171" t="inlineStr">
        <is>
          <t>Empresas 6</t>
        </is>
      </c>
      <c r="D258" s="170" t="n">
        <v>103</v>
      </c>
      <c r="E258" s="5" t="n"/>
      <c r="F258" s="5" t="n"/>
      <c r="G258" s="5" t="n"/>
      <c r="H258" s="5" t="n"/>
      <c r="I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BD258" s="5" t="n"/>
      <c r="BE258" s="5" t="n"/>
      <c r="BJ258" s="5" t="n"/>
      <c r="BK258" s="5" t="n"/>
      <c r="BP258" s="5" t="n"/>
      <c r="BQ258" s="5" t="n"/>
      <c r="BV258" s="5" t="n"/>
      <c r="BW258" s="5" t="n"/>
      <c r="BX258" s="5" t="n"/>
      <c r="BY258" s="5" t="n"/>
      <c r="BZ258" s="5" t="n"/>
      <c r="CA258" s="5" t="n"/>
      <c r="CF258" s="5" t="n"/>
    </row>
    <row r="259" ht="16.5" customHeight="1" s="241">
      <c r="A259" s="171" t="n">
        <v>68</v>
      </c>
      <c r="B259" s="171" t="n">
        <v>120</v>
      </c>
      <c r="C259" s="171" t="inlineStr">
        <is>
          <t>Empresas 6</t>
        </is>
      </c>
      <c r="D259" s="170" t="n">
        <v>201</v>
      </c>
      <c r="E259" s="5" t="n"/>
      <c r="F259" s="5" t="n"/>
      <c r="G259" s="5" t="n"/>
      <c r="H259" s="5" t="n"/>
      <c r="I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BD259" s="5" t="n"/>
      <c r="BE259" s="5" t="n"/>
      <c r="BJ259" s="5" t="n"/>
      <c r="BK259" s="5" t="n"/>
      <c r="BP259" s="5" t="n"/>
      <c r="BQ259" s="5" t="n"/>
      <c r="BV259" s="5" t="n"/>
      <c r="BW259" s="5" t="n"/>
      <c r="BX259" s="5" t="n"/>
      <c r="BY259" s="5" t="n"/>
      <c r="BZ259" s="5" t="n"/>
      <c r="CA259" s="5" t="n"/>
      <c r="CF259" s="5" t="n"/>
    </row>
    <row r="260" ht="16.5" customHeight="1" s="241">
      <c r="A260" s="171" t="n">
        <v>0</v>
      </c>
      <c r="B260" s="171" t="n">
        <v>65</v>
      </c>
      <c r="C260" s="171" t="inlineStr">
        <is>
          <t>Extra Empresas 1</t>
        </is>
      </c>
      <c r="D260" s="170" t="n">
        <v>79</v>
      </c>
      <c r="E260" s="5" t="n"/>
      <c r="F260" s="5" t="n"/>
      <c r="G260" s="5" t="n"/>
      <c r="H260" s="5" t="n"/>
      <c r="I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BD260" s="5" t="n"/>
      <c r="BE260" s="5" t="n"/>
      <c r="BJ260" s="5" t="n"/>
      <c r="BK260" s="5" t="n"/>
      <c r="BP260" s="5" t="n"/>
      <c r="BQ260" s="5" t="n"/>
      <c r="BV260" s="5" t="n"/>
      <c r="BW260" s="5" t="n"/>
      <c r="BX260" s="5" t="n"/>
      <c r="BY260" s="5" t="n"/>
      <c r="BZ260" s="5" t="n"/>
      <c r="CA260" s="5" t="n"/>
      <c r="CF260" s="5" t="n"/>
    </row>
    <row r="261" ht="16.5" customHeight="1" s="241">
      <c r="A261" s="171" t="n">
        <v>66</v>
      </c>
      <c r="B261" s="171" t="n">
        <v>67</v>
      </c>
      <c r="C261" s="171" t="inlineStr">
        <is>
          <t>Extra Empresas 1</t>
        </is>
      </c>
      <c r="D261" s="170" t="n">
        <v>106</v>
      </c>
      <c r="E261" s="5" t="n"/>
      <c r="F261" s="5" t="n"/>
      <c r="G261" s="5" t="n"/>
      <c r="H261" s="5" t="n"/>
      <c r="I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BD261" s="5" t="n"/>
      <c r="BE261" s="5" t="n"/>
      <c r="BJ261" s="5" t="n"/>
      <c r="BK261" s="5" t="n"/>
      <c r="BP261" s="5" t="n"/>
      <c r="BQ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  <c r="CE261" s="5" t="n"/>
      <c r="CF261" s="5" t="n"/>
    </row>
    <row r="262" ht="16.5" customHeight="1" s="241">
      <c r="A262" s="171" t="n">
        <v>68</v>
      </c>
      <c r="B262" s="171" t="n">
        <v>120</v>
      </c>
      <c r="C262" s="171" t="inlineStr">
        <is>
          <t>Extra Empresas 1</t>
        </is>
      </c>
      <c r="D262" s="170" t="n">
        <v>199</v>
      </c>
      <c r="E262" s="5" t="n"/>
      <c r="F262" s="5" t="n"/>
      <c r="G262" s="5" t="n"/>
      <c r="H262" s="5" t="n"/>
      <c r="I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BD262" s="5" t="n"/>
      <c r="BE262" s="5" t="n"/>
      <c r="BJ262" s="5" t="n"/>
      <c r="BK262" s="5" t="n"/>
      <c r="BP262" s="5" t="n"/>
      <c r="BQ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  <c r="CE262" s="5" t="n"/>
      <c r="CF262" s="5" t="n"/>
    </row>
    <row r="263" ht="16.5" customHeight="1" s="241">
      <c r="A263" s="171" t="n">
        <v>0</v>
      </c>
      <c r="B263" s="171" t="n">
        <v>65</v>
      </c>
      <c r="C263" s="171" t="inlineStr">
        <is>
          <t>Extra Empresas 2</t>
        </is>
      </c>
      <c r="D263" s="170" t="n">
        <v>81.5</v>
      </c>
      <c r="E263" s="5" t="n"/>
      <c r="F263" s="5" t="n"/>
      <c r="G263" s="5" t="n"/>
      <c r="H263" s="5" t="n"/>
      <c r="I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BD263" s="5" t="n"/>
      <c r="BE263" s="5" t="n"/>
      <c r="BJ263" s="5" t="n"/>
      <c r="BK263" s="5" t="n"/>
      <c r="BP263" s="5" t="n"/>
      <c r="BQ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</row>
    <row r="264" ht="16.5" customHeight="1" s="241">
      <c r="A264" s="171" t="n">
        <v>66</v>
      </c>
      <c r="B264" s="171" t="n">
        <v>67</v>
      </c>
      <c r="C264" s="171" t="inlineStr">
        <is>
          <t>Extra Empresas 2</t>
        </is>
      </c>
      <c r="D264" s="170" t="n">
        <v>115</v>
      </c>
      <c r="E264" s="5" t="n"/>
      <c r="F264" s="5" t="n"/>
      <c r="G264" s="5" t="n"/>
      <c r="H264" s="5" t="n"/>
      <c r="I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BD264" s="5" t="n"/>
      <c r="BE264" s="5" t="n"/>
      <c r="BJ264" s="5" t="n"/>
      <c r="BK264" s="5" t="n"/>
      <c r="BP264" s="5" t="n"/>
      <c r="BQ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  <c r="CE264" s="5" t="n"/>
      <c r="CF264" s="5" t="n"/>
    </row>
    <row r="265" ht="16.5" customHeight="1" s="241">
      <c r="A265" s="171" t="n">
        <v>68</v>
      </c>
      <c r="B265" s="171" t="n">
        <v>120</v>
      </c>
      <c r="C265" s="171" t="inlineStr">
        <is>
          <t>Extra Empresas 2</t>
        </is>
      </c>
      <c r="D265" s="170" t="n">
        <v>219</v>
      </c>
      <c r="E265" s="5" t="n"/>
      <c r="F265" s="5" t="n"/>
      <c r="G265" s="5" t="n"/>
      <c r="H265" s="5" t="n"/>
      <c r="I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BD265" s="5" t="n"/>
      <c r="BE265" s="5" t="n"/>
      <c r="BJ265" s="5" t="n"/>
      <c r="BK265" s="5" t="n"/>
      <c r="BP265" s="5" t="n"/>
      <c r="BQ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</row>
    <row r="266" ht="16.5" customHeight="1" s="241">
      <c r="A266" s="171" t="n">
        <v>0</v>
      </c>
      <c r="B266" s="171" t="n">
        <v>65</v>
      </c>
      <c r="C266" s="171" t="inlineStr">
        <is>
          <t>Extra Empresas 3</t>
        </is>
      </c>
      <c r="D266" s="170" t="n">
        <v>82.5</v>
      </c>
      <c r="E266" s="5" t="n"/>
      <c r="F266" s="5" t="n"/>
      <c r="G266" s="5" t="n"/>
      <c r="H266" s="5" t="n"/>
      <c r="I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BD266" s="5" t="n"/>
      <c r="BE266" s="5" t="n"/>
      <c r="BJ266" s="5" t="n"/>
      <c r="BK266" s="5" t="n"/>
      <c r="BP266" s="5" t="n"/>
      <c r="BQ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  <c r="CE266" s="5" t="n"/>
      <c r="CF266" s="5" t="n"/>
    </row>
    <row r="267" ht="16.5" customHeight="1" s="241">
      <c r="A267" s="171" t="n">
        <v>66</v>
      </c>
      <c r="B267" s="171" t="n">
        <v>67</v>
      </c>
      <c r="C267" s="171" t="inlineStr">
        <is>
          <t>Extra Empresas 3</t>
        </is>
      </c>
      <c r="D267" s="170" t="n">
        <v>120</v>
      </c>
      <c r="E267" s="5" t="n"/>
      <c r="F267" s="5" t="n"/>
      <c r="G267" s="5" t="n"/>
      <c r="H267" s="5" t="n"/>
      <c r="I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BD267" s="5" t="n"/>
      <c r="BE267" s="5" t="n"/>
      <c r="BJ267" s="5" t="n"/>
      <c r="BK267" s="5" t="n"/>
      <c r="BP267" s="5" t="n"/>
      <c r="BQ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</row>
    <row r="268" ht="16.5" customHeight="1" s="241">
      <c r="A268" s="171" t="n">
        <v>68</v>
      </c>
      <c r="B268" s="171" t="n">
        <v>120</v>
      </c>
      <c r="C268" s="171" t="inlineStr">
        <is>
          <t>Extra Empresas 3</t>
        </is>
      </c>
      <c r="D268" s="170" t="n">
        <v>225</v>
      </c>
      <c r="E268" s="5" t="n"/>
      <c r="F268" s="5" t="n"/>
      <c r="G268" s="5" t="n"/>
      <c r="H268" s="5" t="n"/>
      <c r="I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BD268" s="5" t="n"/>
      <c r="BE268" s="5" t="n"/>
      <c r="BJ268" s="5" t="n"/>
      <c r="BK268" s="5" t="n"/>
      <c r="BP268" s="5" t="n"/>
      <c r="BQ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  <c r="CE268" s="5" t="n"/>
      <c r="CF268" s="5" t="n"/>
    </row>
    <row r="269" ht="16.5" customHeight="1" s="241">
      <c r="A269" s="171" t="n">
        <v>0</v>
      </c>
      <c r="B269" s="171" t="n">
        <v>65</v>
      </c>
      <c r="C269" s="171" t="inlineStr">
        <is>
          <t>Extra Empresas 4</t>
        </is>
      </c>
      <c r="D269" s="170" t="n">
        <v>85</v>
      </c>
      <c r="E269" s="5" t="n"/>
      <c r="F269" s="5" t="n"/>
      <c r="G269" s="5" t="n"/>
      <c r="H269" s="5" t="n"/>
      <c r="I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BD269" s="5" t="n"/>
      <c r="BE269" s="5" t="n"/>
      <c r="BJ269" s="5" t="n"/>
      <c r="BK269" s="5" t="n"/>
      <c r="BP269" s="5" t="n"/>
      <c r="BQ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</row>
    <row r="270" ht="16.5" customHeight="1" s="241">
      <c r="A270" s="171" t="n">
        <v>66</v>
      </c>
      <c r="B270" s="171" t="n">
        <v>67</v>
      </c>
      <c r="C270" s="171" t="inlineStr">
        <is>
          <t>Extra Empresas 4</t>
        </is>
      </c>
      <c r="D270" s="170" t="n">
        <v>120.5</v>
      </c>
      <c r="E270" s="5" t="n"/>
      <c r="F270" s="5" t="n"/>
      <c r="G270" s="5" t="n"/>
      <c r="H270" s="5" t="n"/>
      <c r="I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BD270" s="5" t="n"/>
      <c r="BE270" s="5" t="n"/>
      <c r="BJ270" s="5" t="n"/>
      <c r="BK270" s="5" t="n"/>
      <c r="BP270" s="5" t="n"/>
      <c r="BQ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  <c r="CE270" s="5" t="n"/>
      <c r="CF270" s="5" t="n"/>
    </row>
    <row r="271" ht="16.5" customHeight="1" s="241">
      <c r="A271" s="171" t="n">
        <v>68</v>
      </c>
      <c r="B271" s="171" t="n">
        <v>120</v>
      </c>
      <c r="C271" s="171" t="inlineStr">
        <is>
          <t>Extra Empresas 4</t>
        </is>
      </c>
      <c r="D271" s="170" t="n">
        <v>225.5</v>
      </c>
      <c r="E271" s="5" t="n"/>
      <c r="F271" s="5" t="n"/>
      <c r="G271" s="5" t="n"/>
      <c r="H271" s="5" t="n"/>
      <c r="I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BD271" s="5" t="n"/>
      <c r="BE271" s="5" t="n"/>
      <c r="BJ271" s="5" t="n"/>
      <c r="BK271" s="5" t="n"/>
      <c r="BP271" s="5" t="n"/>
      <c r="BQ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</row>
    <row r="272" ht="16.5" customHeight="1" s="241">
      <c r="A272" s="171" t="n">
        <v>0</v>
      </c>
      <c r="B272" s="171" t="n">
        <v>65</v>
      </c>
      <c r="C272" s="171" t="inlineStr">
        <is>
          <t>Extra Empresas 5</t>
        </is>
      </c>
      <c r="D272" s="170" t="n">
        <v>87</v>
      </c>
      <c r="E272" s="5" t="n"/>
      <c r="F272" s="5" t="n"/>
      <c r="G272" s="5" t="n"/>
      <c r="H272" s="5" t="n"/>
      <c r="I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BD272" s="5" t="n"/>
      <c r="BE272" s="5" t="n"/>
      <c r="BJ272" s="5" t="n"/>
      <c r="BK272" s="5" t="n"/>
      <c r="BP272" s="5" t="n"/>
      <c r="BQ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  <c r="CE272" s="5" t="n"/>
      <c r="CF272" s="5" t="n"/>
    </row>
    <row r="273" ht="16.5" customHeight="1" s="241">
      <c r="A273" s="171" t="n">
        <v>66</v>
      </c>
      <c r="B273" s="171" t="n">
        <v>67</v>
      </c>
      <c r="C273" s="171" t="inlineStr">
        <is>
          <t>Extra Empresas 5</t>
        </is>
      </c>
      <c r="D273" s="170" t="n">
        <v>121</v>
      </c>
      <c r="E273" s="5" t="n"/>
      <c r="F273" s="5" t="n"/>
      <c r="G273" s="5" t="n"/>
      <c r="H273" s="5" t="n"/>
      <c r="I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BD273" s="5" t="n"/>
      <c r="BE273" s="5" t="n"/>
      <c r="BJ273" s="5" t="n"/>
      <c r="BK273" s="5" t="n"/>
      <c r="BP273" s="5" t="n"/>
      <c r="BQ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</row>
    <row r="274" ht="16.5" customHeight="1" s="241">
      <c r="A274" s="171" t="n">
        <v>68</v>
      </c>
      <c r="B274" s="171" t="n">
        <v>120</v>
      </c>
      <c r="C274" s="171" t="inlineStr">
        <is>
          <t>Extra Empresas 5</t>
        </is>
      </c>
      <c r="D274" s="170" t="n">
        <v>226</v>
      </c>
      <c r="E274" s="5" t="n"/>
      <c r="F274" s="5" t="n"/>
      <c r="G274" s="5" t="n"/>
      <c r="H274" s="5" t="n"/>
      <c r="I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BD274" s="5" t="n"/>
      <c r="BE274" s="5" t="n"/>
      <c r="BJ274" s="5" t="n"/>
      <c r="BK274" s="5" t="n"/>
      <c r="BP274" s="5" t="n"/>
      <c r="BQ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  <c r="CE274" s="5" t="n"/>
      <c r="CF274" s="5" t="n"/>
    </row>
    <row r="275" ht="16.5" customHeight="1" s="241">
      <c r="A275" s="171" t="n">
        <v>0</v>
      </c>
      <c r="B275" s="171" t="n">
        <v>65</v>
      </c>
      <c r="C275" s="171" t="inlineStr">
        <is>
          <t>Extra Empresas 6</t>
        </is>
      </c>
      <c r="D275" s="170" t="n">
        <v>88.5</v>
      </c>
      <c r="E275" s="5" t="n"/>
      <c r="F275" s="5" t="n"/>
      <c r="G275" s="5" t="n"/>
      <c r="H275" s="5" t="n"/>
      <c r="I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BD275" s="5" t="n"/>
      <c r="BE275" s="5" t="n"/>
      <c r="BJ275" s="5" t="n"/>
      <c r="BK275" s="5" t="n"/>
      <c r="BP275" s="5" t="n"/>
      <c r="BQ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</row>
    <row r="276" ht="16.5" customHeight="1" s="241">
      <c r="A276" s="171" t="n">
        <v>66</v>
      </c>
      <c r="B276" s="171" t="n">
        <v>67</v>
      </c>
      <c r="C276" s="171" t="inlineStr">
        <is>
          <t>Extra Empresas 6</t>
        </is>
      </c>
      <c r="D276" s="170" t="n">
        <v>121.5</v>
      </c>
      <c r="E276" s="5" t="n"/>
      <c r="F276" s="5" t="n"/>
      <c r="G276" s="5" t="n"/>
      <c r="H276" s="5" t="n"/>
      <c r="I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BD276" s="5" t="n"/>
      <c r="BE276" s="5" t="n"/>
      <c r="BJ276" s="5" t="n"/>
      <c r="BK276" s="5" t="n"/>
      <c r="BP276" s="5" t="n"/>
      <c r="BQ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</row>
    <row r="277" ht="16.5" customHeight="1" s="241">
      <c r="A277" s="171" t="n">
        <v>68</v>
      </c>
      <c r="B277" s="171" t="n">
        <v>120</v>
      </c>
      <c r="C277" s="171" t="inlineStr">
        <is>
          <t>Extra Empresas 6</t>
        </is>
      </c>
      <c r="D277" s="170" t="n">
        <v>227</v>
      </c>
      <c r="E277" s="5" t="n"/>
      <c r="F277" s="5" t="n"/>
      <c r="G277" s="5" t="n"/>
      <c r="H277" s="5" t="n"/>
      <c r="I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BD277" s="5" t="n"/>
      <c r="BE277" s="5" t="n"/>
      <c r="BJ277" s="5" t="n"/>
      <c r="BK277" s="5" t="n"/>
      <c r="BP277" s="5" t="n"/>
      <c r="BQ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</row>
    <row r="278" ht="16.5" customHeight="1" s="241">
      <c r="A278" s="171" t="n">
        <v>0</v>
      </c>
      <c r="B278" s="171" t="n">
        <v>49</v>
      </c>
      <c r="C278" s="171" t="inlineStr">
        <is>
          <t>Seniors 1</t>
        </is>
      </c>
      <c r="D278" s="170" t="inlineStr">
        <is>
          <t>No asegurable</t>
        </is>
      </c>
      <c r="E278" s="5" t="n"/>
      <c r="F278" s="5" t="n"/>
      <c r="G278" s="5" t="n"/>
      <c r="H278" s="5" t="n"/>
      <c r="I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BD278" s="5" t="n"/>
      <c r="BE278" s="5" t="n"/>
      <c r="BJ278" s="5" t="n"/>
      <c r="BK278" s="5" t="n"/>
      <c r="BP278" s="5" t="n"/>
      <c r="BQ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  <c r="CE278" s="5" t="n"/>
      <c r="CF278" s="5" t="n"/>
    </row>
    <row r="279" ht="16.5" customHeight="1" s="241">
      <c r="A279" s="171" t="n">
        <v>50</v>
      </c>
      <c r="B279" s="171" t="n">
        <v>54</v>
      </c>
      <c r="C279" s="171" t="inlineStr">
        <is>
          <t>Seniors 1</t>
        </is>
      </c>
      <c r="D279" s="170" t="n">
        <v>67.5</v>
      </c>
      <c r="E279" s="5" t="n"/>
      <c r="F279" s="5" t="n"/>
      <c r="G279" s="5" t="n"/>
      <c r="H279" s="5" t="n"/>
      <c r="I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BD279" s="5" t="n"/>
      <c r="BE279" s="5" t="n"/>
      <c r="BJ279" s="5" t="n"/>
      <c r="BK279" s="5" t="n"/>
      <c r="BP279" s="5" t="n"/>
      <c r="BQ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</row>
    <row r="280" ht="16.5" customHeight="1" s="241">
      <c r="A280" s="171" t="n">
        <v>55</v>
      </c>
      <c r="B280" s="171" t="n">
        <v>59</v>
      </c>
      <c r="C280" s="171" t="inlineStr">
        <is>
          <t>Seniors 1</t>
        </is>
      </c>
      <c r="D280" s="170" t="n">
        <v>67.5</v>
      </c>
      <c r="E280" s="5" t="n"/>
      <c r="F280" s="5" t="n"/>
      <c r="G280" s="5" t="n"/>
      <c r="H280" s="5" t="n"/>
      <c r="I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BD280" s="5" t="n"/>
      <c r="BE280" s="5" t="n"/>
      <c r="BJ280" s="5" t="n"/>
      <c r="BK280" s="5" t="n"/>
      <c r="BP280" s="5" t="n"/>
      <c r="BQ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  <c r="CE280" s="5" t="n"/>
      <c r="CF280" s="5" t="n"/>
    </row>
    <row r="281" ht="16.5" customHeight="1" s="241">
      <c r="A281" s="171" t="n">
        <v>60</v>
      </c>
      <c r="B281" s="171" t="n">
        <v>64</v>
      </c>
      <c r="C281" s="171" t="inlineStr">
        <is>
          <t>Seniors 1</t>
        </is>
      </c>
      <c r="D281" s="170" t="n">
        <v>86</v>
      </c>
      <c r="E281" s="5" t="n"/>
      <c r="F281" s="5" t="n"/>
      <c r="G281" s="5" t="n"/>
      <c r="H281" s="5" t="n"/>
      <c r="I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BD281" s="5" t="n"/>
      <c r="BE281" s="5" t="n"/>
      <c r="BJ281" s="5" t="n"/>
      <c r="BK281" s="5" t="n"/>
      <c r="BP281" s="5" t="n"/>
      <c r="BQ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</row>
    <row r="282" ht="16.5" customHeight="1" s="241">
      <c r="A282" s="171" t="n">
        <v>65</v>
      </c>
      <c r="B282" s="171" t="n">
        <v>69</v>
      </c>
      <c r="C282" s="171" t="inlineStr">
        <is>
          <t>Seniors 1</t>
        </is>
      </c>
      <c r="D282" s="170" t="n">
        <v>103</v>
      </c>
      <c r="E282" s="5" t="n"/>
      <c r="F282" s="5" t="n"/>
      <c r="G282" s="5" t="n"/>
      <c r="H282" s="5" t="n"/>
      <c r="I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BD282" s="5" t="n"/>
      <c r="BE282" s="5" t="n"/>
      <c r="BJ282" s="5" t="n"/>
      <c r="BK282" s="5" t="n"/>
      <c r="BP282" s="5" t="n"/>
      <c r="BQ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  <c r="CE282" s="5" t="n"/>
      <c r="CF282" s="5" t="n"/>
    </row>
    <row r="283" ht="16.5" customHeight="1" s="241">
      <c r="A283" s="171" t="n">
        <v>70</v>
      </c>
      <c r="B283" s="171" t="n">
        <v>74</v>
      </c>
      <c r="C283" s="171" t="inlineStr">
        <is>
          <t>Seniors 1</t>
        </is>
      </c>
      <c r="D283" s="170" t="n">
        <v>133</v>
      </c>
      <c r="E283" s="5" t="n"/>
      <c r="F283" s="5" t="n"/>
      <c r="G283" s="5" t="n"/>
      <c r="H283" s="5" t="n"/>
      <c r="I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BD283" s="5" t="n"/>
      <c r="BE283" s="5" t="n"/>
      <c r="BJ283" s="5" t="n"/>
      <c r="BK283" s="5" t="n"/>
      <c r="BP283" s="5" t="n"/>
      <c r="BQ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</row>
    <row r="284" ht="16.5" customHeight="1" s="241">
      <c r="A284" s="171" t="n">
        <v>75</v>
      </c>
      <c r="B284" s="171" t="n">
        <v>79</v>
      </c>
      <c r="C284" s="171" t="inlineStr">
        <is>
          <t>Seniors 1</t>
        </is>
      </c>
      <c r="D284" s="170" t="n">
        <v>162</v>
      </c>
      <c r="E284" s="5" t="n"/>
      <c r="F284" s="5" t="n"/>
      <c r="G284" s="5" t="n"/>
      <c r="H284" s="5" t="n"/>
      <c r="I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BD284" s="5" t="n"/>
      <c r="BE284" s="5" t="n"/>
      <c r="BJ284" s="5" t="n"/>
      <c r="BK284" s="5" t="n"/>
      <c r="BP284" s="5" t="n"/>
      <c r="BQ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  <c r="CE284" s="5" t="n"/>
      <c r="CF284" s="5" t="n"/>
    </row>
    <row r="285" ht="16.5" customHeight="1" s="241">
      <c r="A285" s="171" t="n">
        <v>80</v>
      </c>
      <c r="B285" s="171" t="n">
        <v>84</v>
      </c>
      <c r="C285" s="171" t="inlineStr">
        <is>
          <t>Seniors 1</t>
        </is>
      </c>
      <c r="D285" s="170" t="n">
        <v>170</v>
      </c>
      <c r="E285" s="5" t="n"/>
      <c r="F285" s="5" t="n"/>
      <c r="G285" s="5" t="n"/>
      <c r="H285" s="5" t="n"/>
      <c r="I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BD285" s="5" t="n"/>
      <c r="BE285" s="5" t="n"/>
      <c r="BJ285" s="5" t="n"/>
      <c r="BK285" s="5" t="n"/>
      <c r="BP285" s="5" t="n"/>
      <c r="BQ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</row>
    <row r="286" ht="16.5" customHeight="1" s="241">
      <c r="A286" s="171" t="n">
        <v>85</v>
      </c>
      <c r="B286" s="171" t="n">
        <v>120</v>
      </c>
      <c r="C286" s="171" t="inlineStr">
        <is>
          <t>Seniors 1</t>
        </is>
      </c>
      <c r="D286" s="170" t="inlineStr">
        <is>
          <t>No asegurable</t>
        </is>
      </c>
      <c r="E286" s="5" t="n"/>
      <c r="F286" s="5" t="n"/>
      <c r="G286" s="5" t="n"/>
      <c r="H286" s="5" t="n"/>
      <c r="I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BD286" s="5" t="n"/>
      <c r="BE286" s="5" t="n"/>
      <c r="BJ286" s="5" t="n"/>
      <c r="BK286" s="5" t="n"/>
      <c r="BP286" s="5" t="n"/>
      <c r="BQ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/>
      <c r="CD286" s="5" t="n"/>
      <c r="CE286" s="5" t="n"/>
      <c r="CF286" s="5" t="n"/>
    </row>
    <row r="287" ht="16.5" customHeight="1" s="241">
      <c r="A287" s="171" t="n">
        <v>0</v>
      </c>
      <c r="B287" s="171" t="n">
        <v>49</v>
      </c>
      <c r="C287" s="171" t="inlineStr">
        <is>
          <t>Seniors 2</t>
        </is>
      </c>
      <c r="D287" s="170" t="inlineStr">
        <is>
          <t>No asegurable</t>
        </is>
      </c>
      <c r="E287" s="5" t="n"/>
      <c r="F287" s="5" t="n"/>
      <c r="G287" s="5" t="n"/>
      <c r="H287" s="5" t="n"/>
      <c r="I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BD287" s="5" t="n"/>
      <c r="BE287" s="5" t="n"/>
      <c r="BJ287" s="5" t="n"/>
      <c r="BK287" s="5" t="n"/>
      <c r="BP287" s="5" t="n"/>
      <c r="BQ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</row>
    <row r="288" ht="16.5" customHeight="1" s="241">
      <c r="A288" s="171" t="n">
        <v>50</v>
      </c>
      <c r="B288" s="171" t="n">
        <v>54</v>
      </c>
      <c r="C288" s="171" t="inlineStr">
        <is>
          <t>Seniors 2</t>
        </is>
      </c>
      <c r="D288" s="170" t="n">
        <v>70</v>
      </c>
      <c r="E288" s="5" t="n"/>
      <c r="F288" s="5" t="n"/>
      <c r="G288" s="5" t="n"/>
      <c r="H288" s="5" t="n"/>
      <c r="I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BD288" s="5" t="n"/>
      <c r="BE288" s="5" t="n"/>
      <c r="BJ288" s="5" t="n"/>
      <c r="BK288" s="5" t="n"/>
      <c r="BP288" s="5" t="n"/>
      <c r="BQ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  <c r="CE288" s="5" t="n"/>
      <c r="CF288" s="5" t="n"/>
    </row>
    <row r="289" ht="16.5" customHeight="1" s="241">
      <c r="A289" s="171" t="n">
        <v>55</v>
      </c>
      <c r="B289" s="171" t="n">
        <v>59</v>
      </c>
      <c r="C289" s="171" t="inlineStr">
        <is>
          <t>Seniors 2</t>
        </is>
      </c>
      <c r="D289" s="170" t="n">
        <v>70</v>
      </c>
      <c r="E289" s="5" t="n"/>
      <c r="F289" s="5" t="n"/>
      <c r="G289" s="5" t="n"/>
      <c r="H289" s="5" t="n"/>
      <c r="I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BD289" s="5" t="n"/>
      <c r="BE289" s="5" t="n"/>
      <c r="BJ289" s="5" t="n"/>
      <c r="BK289" s="5" t="n"/>
      <c r="BP289" s="5" t="n"/>
      <c r="BQ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</row>
    <row r="290" ht="16.5" customHeight="1" s="241">
      <c r="A290" s="171" t="n">
        <v>60</v>
      </c>
      <c r="B290" s="171" t="n">
        <v>64</v>
      </c>
      <c r="C290" s="171" t="inlineStr">
        <is>
          <t>Seniors 2</t>
        </is>
      </c>
      <c r="D290" s="170" t="n">
        <v>88</v>
      </c>
      <c r="E290" s="5" t="n"/>
      <c r="F290" s="5" t="n"/>
      <c r="G290" s="5" t="n"/>
      <c r="H290" s="5" t="n"/>
      <c r="I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BD290" s="5" t="n"/>
      <c r="BE290" s="5" t="n"/>
      <c r="BJ290" s="5" t="n"/>
      <c r="BK290" s="5" t="n"/>
      <c r="BP290" s="5" t="n"/>
      <c r="BQ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</row>
    <row r="291" ht="16.5" customHeight="1" s="241">
      <c r="A291" s="171" t="n">
        <v>65</v>
      </c>
      <c r="B291" s="171" t="n">
        <v>69</v>
      </c>
      <c r="C291" s="171" t="inlineStr">
        <is>
          <t>Seniors 2</t>
        </is>
      </c>
      <c r="D291" s="170" t="n">
        <v>105</v>
      </c>
      <c r="E291" s="5" t="n"/>
      <c r="F291" s="5" t="n"/>
      <c r="G291" s="5" t="n"/>
      <c r="H291" s="5" t="n"/>
      <c r="I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BD291" s="5" t="n"/>
      <c r="BE291" s="5" t="n"/>
      <c r="BJ291" s="5" t="n"/>
      <c r="BK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</row>
    <row r="292" ht="16.5" customHeight="1" s="241">
      <c r="A292" s="171" t="n">
        <v>70</v>
      </c>
      <c r="B292" s="171" t="n">
        <v>74</v>
      </c>
      <c r="C292" s="171" t="inlineStr">
        <is>
          <t>Seniors 2</t>
        </is>
      </c>
      <c r="D292" s="170" t="n">
        <v>138</v>
      </c>
      <c r="E292" s="5" t="n"/>
      <c r="F292" s="5" t="n"/>
      <c r="G292" s="5" t="n"/>
      <c r="H292" s="5" t="n"/>
      <c r="I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BD292" s="5" t="n"/>
      <c r="BE292" s="5" t="n"/>
      <c r="BJ292" s="5" t="n"/>
      <c r="BK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  <c r="CE292" s="5" t="n"/>
      <c r="CF292" s="5" t="n"/>
    </row>
    <row r="293" ht="16.5" customHeight="1" s="241">
      <c r="A293" s="171" t="n">
        <v>75</v>
      </c>
      <c r="B293" s="171" t="n">
        <v>79</v>
      </c>
      <c r="C293" s="171" t="inlineStr">
        <is>
          <t>Seniors 2</t>
        </is>
      </c>
      <c r="D293" s="170" t="n">
        <v>167</v>
      </c>
      <c r="E293" s="5" t="n"/>
      <c r="F293" s="5" t="n"/>
      <c r="G293" s="5" t="n"/>
      <c r="H293" s="5" t="n"/>
      <c r="I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BD293" s="5" t="n"/>
      <c r="BE293" s="5" t="n"/>
      <c r="BJ293" s="5" t="n"/>
      <c r="BK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</row>
    <row r="294" ht="16.5" customHeight="1" s="241">
      <c r="A294" s="171" t="n">
        <v>80</v>
      </c>
      <c r="B294" s="171" t="n">
        <v>84</v>
      </c>
      <c r="C294" s="171" t="inlineStr">
        <is>
          <t>Seniors 2</t>
        </is>
      </c>
      <c r="D294" s="170" t="n">
        <v>175</v>
      </c>
      <c r="E294" s="5" t="n"/>
      <c r="F294" s="5" t="n"/>
      <c r="G294" s="5" t="n"/>
      <c r="H294" s="5" t="n"/>
      <c r="I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BD294" s="5" t="n"/>
      <c r="BE294" s="5" t="n"/>
      <c r="BJ294" s="5" t="n"/>
      <c r="BK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</row>
    <row r="295" ht="16.5" customHeight="1" s="241">
      <c r="A295" s="171" t="n">
        <v>85</v>
      </c>
      <c r="B295" s="171" t="n">
        <v>120</v>
      </c>
      <c r="C295" s="171" t="inlineStr">
        <is>
          <t>Seniors 2</t>
        </is>
      </c>
      <c r="D295" s="170" t="inlineStr">
        <is>
          <t>No asegurable</t>
        </is>
      </c>
      <c r="E295" s="5" t="n"/>
      <c r="F295" s="5" t="n"/>
      <c r="G295" s="5" t="n"/>
      <c r="H295" s="5" t="n"/>
      <c r="I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BD295" s="5" t="n"/>
      <c r="BE295" s="5" t="n"/>
      <c r="BJ295" s="5" t="n"/>
      <c r="BK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</row>
    <row r="296" ht="16.5" customHeight="1" s="241">
      <c r="A296" s="171" t="n">
        <v>0</v>
      </c>
      <c r="B296" s="171" t="n">
        <v>49</v>
      </c>
      <c r="C296" s="171" t="inlineStr">
        <is>
          <t>Seniors 3</t>
        </is>
      </c>
      <c r="D296" s="170" t="inlineStr">
        <is>
          <t>No asegurable</t>
        </is>
      </c>
      <c r="E296" s="5" t="n"/>
      <c r="F296" s="5" t="n"/>
      <c r="G296" s="5" t="n"/>
      <c r="H296" s="5" t="n"/>
      <c r="I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BD296" s="5" t="n"/>
      <c r="BE296" s="5" t="n"/>
      <c r="BJ296" s="5" t="n"/>
      <c r="BK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  <c r="CE296" s="5" t="n"/>
      <c r="CF296" s="5" t="n"/>
    </row>
    <row r="297" ht="16.5" customHeight="1" s="241">
      <c r="A297" s="171" t="n">
        <v>50</v>
      </c>
      <c r="B297" s="171" t="n">
        <v>54</v>
      </c>
      <c r="C297" s="171" t="inlineStr">
        <is>
          <t>Seniors 3</t>
        </is>
      </c>
      <c r="D297" s="170" t="n">
        <v>71</v>
      </c>
      <c r="E297" s="5" t="n"/>
      <c r="F297" s="5" t="n"/>
      <c r="G297" s="5" t="n"/>
      <c r="H297" s="5" t="n"/>
      <c r="I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BD297" s="5" t="n"/>
      <c r="BE297" s="5" t="n"/>
      <c r="BJ297" s="5" t="n"/>
      <c r="BK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</row>
    <row r="298" ht="16.5" customHeight="1" s="241">
      <c r="A298" s="171" t="n">
        <v>55</v>
      </c>
      <c r="B298" s="171" t="n">
        <v>59</v>
      </c>
      <c r="C298" s="171" t="inlineStr">
        <is>
          <t>Seniors 3</t>
        </is>
      </c>
      <c r="D298" s="170" t="n">
        <v>71</v>
      </c>
      <c r="E298" s="5" t="n"/>
      <c r="F298" s="5" t="n"/>
      <c r="G298" s="5" t="n"/>
      <c r="H298" s="5" t="n"/>
      <c r="I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BD298" s="5" t="n"/>
      <c r="BE298" s="5" t="n"/>
      <c r="BJ298" s="5" t="n"/>
      <c r="BK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  <c r="CE298" s="5" t="n"/>
      <c r="CF298" s="5" t="n"/>
    </row>
    <row r="299" ht="16.5" customHeight="1" s="241">
      <c r="A299" s="171" t="n">
        <v>60</v>
      </c>
      <c r="B299" s="171" t="n">
        <v>64</v>
      </c>
      <c r="C299" s="171" t="inlineStr">
        <is>
          <t>Seniors 3</t>
        </is>
      </c>
      <c r="D299" s="170" t="n">
        <v>89.5</v>
      </c>
      <c r="E299" s="5" t="n"/>
      <c r="F299" s="5" t="n"/>
      <c r="G299" s="5" t="n"/>
      <c r="H299" s="5" t="n"/>
      <c r="I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BD299" s="5" t="n"/>
      <c r="BE299" s="5" t="n"/>
      <c r="BJ299" s="5" t="n"/>
      <c r="BK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</row>
    <row r="300" ht="16.5" customHeight="1" s="241">
      <c r="A300" s="171" t="n">
        <v>65</v>
      </c>
      <c r="B300" s="171" t="n">
        <v>69</v>
      </c>
      <c r="C300" s="171" t="inlineStr">
        <is>
          <t>Seniors 3</t>
        </is>
      </c>
      <c r="D300" s="170" t="n">
        <v>106</v>
      </c>
      <c r="E300" s="5" t="n"/>
      <c r="F300" s="5" t="n"/>
      <c r="G300" s="5" t="n"/>
      <c r="H300" s="5" t="n"/>
      <c r="I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BD300" s="5" t="n"/>
      <c r="BE300" s="5" t="n"/>
      <c r="BJ300" s="5" t="n"/>
      <c r="BK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  <c r="CE300" s="5" t="n"/>
      <c r="CF300" s="5" t="n"/>
    </row>
    <row r="301" ht="16.5" customHeight="1" s="241">
      <c r="A301" s="171" t="n">
        <v>70</v>
      </c>
      <c r="B301" s="171" t="n">
        <v>74</v>
      </c>
      <c r="C301" s="171" t="inlineStr">
        <is>
          <t>Seniors 3</t>
        </is>
      </c>
      <c r="D301" s="170" t="n">
        <v>140</v>
      </c>
      <c r="E301" s="5" t="n"/>
      <c r="F301" s="5" t="n"/>
      <c r="G301" s="5" t="n"/>
      <c r="H301" s="5" t="n"/>
      <c r="I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BD301" s="5" t="n"/>
      <c r="BE301" s="5" t="n"/>
      <c r="BJ301" s="5" t="n"/>
      <c r="BK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</row>
    <row r="302" ht="16.5" customHeight="1" s="241">
      <c r="A302" s="171" t="n">
        <v>75</v>
      </c>
      <c r="B302" s="171" t="n">
        <v>79</v>
      </c>
      <c r="C302" s="171" t="inlineStr">
        <is>
          <t>Seniors 3</t>
        </is>
      </c>
      <c r="D302" s="170" t="n">
        <v>170</v>
      </c>
      <c r="E302" s="5" t="n"/>
      <c r="F302" s="5" t="n"/>
      <c r="G302" s="5" t="n"/>
      <c r="H302" s="5" t="n"/>
      <c r="I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BD302" s="5" t="n"/>
      <c r="BE302" s="5" t="n"/>
      <c r="BJ302" s="5" t="n"/>
      <c r="BK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  <c r="CE302" s="5" t="n"/>
      <c r="CF302" s="5" t="n"/>
    </row>
    <row r="303" ht="16.5" customHeight="1" s="241">
      <c r="A303" s="171" t="n">
        <v>80</v>
      </c>
      <c r="B303" s="171" t="n">
        <v>84</v>
      </c>
      <c r="C303" s="171" t="inlineStr">
        <is>
          <t>Seniors 3</t>
        </is>
      </c>
      <c r="D303" s="170" t="n">
        <v>177</v>
      </c>
      <c r="E303" s="5" t="n"/>
      <c r="F303" s="5" t="n"/>
      <c r="G303" s="5" t="n"/>
      <c r="H303" s="5" t="n"/>
      <c r="I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BD303" s="5" t="n"/>
      <c r="BE303" s="5" t="n"/>
      <c r="BJ303" s="5" t="n"/>
      <c r="BK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</row>
    <row r="304" ht="16.5" customHeight="1" s="241">
      <c r="A304" s="171" t="n">
        <v>85</v>
      </c>
      <c r="B304" s="171" t="n">
        <v>120</v>
      </c>
      <c r="C304" s="171" t="inlineStr">
        <is>
          <t>Seniors 3</t>
        </is>
      </c>
      <c r="D304" s="170" t="inlineStr">
        <is>
          <t>No asegurable</t>
        </is>
      </c>
      <c r="E304" s="5" t="n"/>
      <c r="F304" s="5" t="n"/>
      <c r="G304" s="5" t="n"/>
      <c r="H304" s="5" t="n"/>
      <c r="I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BD304" s="5" t="n"/>
      <c r="BE304" s="5" t="n"/>
      <c r="BJ304" s="5" t="n"/>
      <c r="BK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  <c r="CE304" s="5" t="n"/>
      <c r="CF304" s="5" t="n"/>
    </row>
    <row r="305" ht="16.5" customHeight="1" s="241">
      <c r="A305" s="171" t="n">
        <v>0</v>
      </c>
      <c r="B305" s="171" t="n">
        <v>49</v>
      </c>
      <c r="C305" s="171" t="inlineStr">
        <is>
          <t>Seniors 4</t>
        </is>
      </c>
      <c r="D305" s="170" t="inlineStr">
        <is>
          <t>No asegurable</t>
        </is>
      </c>
      <c r="E305" s="5" t="n"/>
      <c r="F305" s="5" t="n"/>
      <c r="G305" s="5" t="n"/>
      <c r="H305" s="5" t="n"/>
      <c r="I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BD305" s="5" t="n"/>
      <c r="BE305" s="5" t="n"/>
      <c r="BJ305" s="5" t="n"/>
      <c r="BK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</row>
    <row r="306" ht="16.5" customHeight="1" s="241">
      <c r="A306" s="171" t="n">
        <v>50</v>
      </c>
      <c r="B306" s="171" t="n">
        <v>54</v>
      </c>
      <c r="C306" s="171" t="inlineStr">
        <is>
          <t>Seniors 4</t>
        </is>
      </c>
      <c r="D306" s="170" t="n">
        <v>72</v>
      </c>
      <c r="E306" s="5" t="n"/>
      <c r="F306" s="5" t="n"/>
      <c r="G306" s="5" t="n"/>
      <c r="H306" s="5" t="n"/>
      <c r="I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BD306" s="5" t="n"/>
      <c r="BE306" s="5" t="n"/>
      <c r="BJ306" s="5" t="n"/>
      <c r="BK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  <c r="CE306" s="5" t="n"/>
      <c r="CF306" s="5" t="n"/>
    </row>
    <row r="307" ht="16.5" customHeight="1" s="241">
      <c r="A307" s="171" t="n">
        <v>55</v>
      </c>
      <c r="B307" s="171" t="n">
        <v>59</v>
      </c>
      <c r="C307" s="171" t="inlineStr">
        <is>
          <t>Seniors 4</t>
        </is>
      </c>
      <c r="D307" s="170" t="n">
        <v>72</v>
      </c>
      <c r="E307" s="5" t="n"/>
      <c r="F307" s="5" t="n"/>
      <c r="G307" s="5" t="n"/>
      <c r="H307" s="5" t="n"/>
      <c r="I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BD307" s="5" t="n"/>
      <c r="BE307" s="5" t="n"/>
      <c r="BJ307" s="5" t="n"/>
      <c r="BK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  <c r="CE307" s="5" t="n"/>
      <c r="CF307" s="5" t="n"/>
    </row>
    <row r="308" ht="16.5" customHeight="1" s="241">
      <c r="A308" s="171" t="n">
        <v>60</v>
      </c>
      <c r="B308" s="171" t="n">
        <v>64</v>
      </c>
      <c r="C308" s="171" t="inlineStr">
        <is>
          <t>Seniors 4</t>
        </is>
      </c>
      <c r="D308" s="170" t="n">
        <v>92</v>
      </c>
      <c r="E308" s="5" t="n"/>
      <c r="F308" s="5" t="n"/>
      <c r="G308" s="5" t="n"/>
      <c r="H308" s="5" t="n"/>
      <c r="I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BD308" s="5" t="n"/>
      <c r="BE308" s="5" t="n"/>
      <c r="BJ308" s="5" t="n"/>
      <c r="BK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  <c r="CE308" s="5" t="n"/>
      <c r="CF308" s="5" t="n"/>
    </row>
    <row r="309" ht="16.5" customHeight="1" s="241">
      <c r="A309" s="171" t="n">
        <v>65</v>
      </c>
      <c r="B309" s="171" t="n">
        <v>69</v>
      </c>
      <c r="C309" s="171" t="inlineStr">
        <is>
          <t>Seniors 4</t>
        </is>
      </c>
      <c r="D309" s="170" t="n">
        <v>111</v>
      </c>
      <c r="E309" s="5" t="n"/>
      <c r="F309" s="5" t="n"/>
      <c r="G309" s="5" t="n"/>
      <c r="H309" s="5" t="n"/>
      <c r="I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BD309" s="5" t="n"/>
      <c r="BE309" s="5" t="n"/>
      <c r="BJ309" s="5" t="n"/>
      <c r="BK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  <c r="CE309" s="5" t="n"/>
      <c r="CF309" s="5" t="n"/>
    </row>
    <row r="310" ht="16.5" customHeight="1" s="241">
      <c r="A310" s="171" t="n">
        <v>70</v>
      </c>
      <c r="B310" s="171" t="n">
        <v>74</v>
      </c>
      <c r="C310" s="171" t="inlineStr">
        <is>
          <t>Seniors 4</t>
        </is>
      </c>
      <c r="D310" s="170" t="n">
        <v>145</v>
      </c>
      <c r="E310" s="5" t="n"/>
      <c r="F310" s="5" t="n"/>
      <c r="G310" s="5" t="n"/>
      <c r="H310" s="5" t="n"/>
      <c r="I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BD310" s="5" t="n"/>
      <c r="BE310" s="5" t="n"/>
      <c r="BJ310" s="5" t="n"/>
      <c r="BK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  <c r="CE310" s="5" t="n"/>
      <c r="CF310" s="5" t="n"/>
    </row>
    <row r="311" ht="16.5" customHeight="1" s="241">
      <c r="A311" s="171" t="n">
        <v>75</v>
      </c>
      <c r="B311" s="171" t="n">
        <v>79</v>
      </c>
      <c r="C311" s="171" t="inlineStr">
        <is>
          <t>Seniors 4</t>
        </is>
      </c>
      <c r="D311" s="170" t="n">
        <v>175</v>
      </c>
      <c r="E311" s="5" t="n"/>
      <c r="F311" s="5" t="n"/>
      <c r="G311" s="5" t="n"/>
      <c r="H311" s="5" t="n"/>
      <c r="I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BD311" s="5" t="n"/>
      <c r="BE311" s="5" t="n"/>
      <c r="BJ311" s="5" t="n"/>
      <c r="BK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  <c r="CE311" s="5" t="n"/>
      <c r="CF311" s="5" t="n"/>
    </row>
    <row r="312" ht="16.5" customHeight="1" s="241">
      <c r="A312" s="171" t="n">
        <v>80</v>
      </c>
      <c r="B312" s="171" t="n">
        <v>84</v>
      </c>
      <c r="C312" s="171" t="inlineStr">
        <is>
          <t>Seniors 4</t>
        </is>
      </c>
      <c r="D312" s="170" t="n">
        <v>182</v>
      </c>
      <c r="E312" s="5" t="n"/>
      <c r="F312" s="5" t="n"/>
      <c r="G312" s="5" t="n"/>
      <c r="H312" s="5" t="n"/>
      <c r="I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BD312" s="5" t="n"/>
      <c r="BE312" s="5" t="n"/>
      <c r="BJ312" s="5" t="n"/>
      <c r="BK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  <c r="CE312" s="5" t="n"/>
      <c r="CF312" s="5" t="n"/>
    </row>
    <row r="313" ht="16.5" customHeight="1" s="241">
      <c r="A313" s="171" t="n">
        <v>85</v>
      </c>
      <c r="B313" s="171" t="n">
        <v>120</v>
      </c>
      <c r="C313" s="171" t="inlineStr">
        <is>
          <t>Seniors 4</t>
        </is>
      </c>
      <c r="D313" s="170" t="inlineStr">
        <is>
          <t>No asegurable</t>
        </is>
      </c>
      <c r="E313" s="5" t="n"/>
      <c r="F313" s="5" t="n"/>
      <c r="G313" s="5" t="n"/>
      <c r="H313" s="5" t="n"/>
      <c r="I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BD313" s="5" t="n"/>
      <c r="BE313" s="5" t="n"/>
      <c r="BJ313" s="5" t="n"/>
      <c r="BK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  <c r="CE313" s="5" t="n"/>
      <c r="CF313" s="5" t="n"/>
    </row>
    <row r="314" ht="16.5" customHeight="1" s="241">
      <c r="A314" s="171" t="n">
        <v>0</v>
      </c>
      <c r="B314" s="171" t="n">
        <v>49</v>
      </c>
      <c r="C314" s="171" t="inlineStr">
        <is>
          <t>Seniors 5</t>
        </is>
      </c>
      <c r="D314" s="170" t="inlineStr">
        <is>
          <t>No asegurable</t>
        </is>
      </c>
      <c r="E314" s="5" t="n"/>
      <c r="F314" s="5" t="n"/>
      <c r="G314" s="5" t="n"/>
      <c r="H314" s="5" t="n"/>
      <c r="I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BD314" s="5" t="n"/>
      <c r="BE314" s="5" t="n"/>
      <c r="BJ314" s="5" t="n"/>
      <c r="BK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  <c r="CE314" s="5" t="n"/>
      <c r="CF314" s="5" t="n"/>
    </row>
    <row r="315" ht="16.5" customHeight="1" s="241">
      <c r="A315" s="171" t="n">
        <v>50</v>
      </c>
      <c r="B315" s="171" t="n">
        <v>54</v>
      </c>
      <c r="C315" s="171" t="inlineStr">
        <is>
          <t>Seniors 5</t>
        </is>
      </c>
      <c r="D315" s="170" t="n">
        <v>73</v>
      </c>
      <c r="E315" s="5" t="n"/>
      <c r="F315" s="5" t="n"/>
      <c r="G315" s="5" t="n"/>
      <c r="H315" s="5" t="n"/>
      <c r="I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BD315" s="5" t="n"/>
      <c r="BE315" s="5" t="n"/>
      <c r="BJ315" s="5" t="n"/>
      <c r="BK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  <c r="CE315" s="5" t="n"/>
      <c r="CF315" s="5" t="n"/>
    </row>
    <row r="316" ht="16.5" customHeight="1" s="241">
      <c r="A316" s="171" t="n">
        <v>55</v>
      </c>
      <c r="B316" s="171" t="n">
        <v>59</v>
      </c>
      <c r="C316" s="171" t="inlineStr">
        <is>
          <t>Seniors 5</t>
        </is>
      </c>
      <c r="D316" s="170" t="n">
        <v>73</v>
      </c>
      <c r="E316" s="5" t="n"/>
      <c r="F316" s="5" t="n"/>
      <c r="G316" s="5" t="n"/>
      <c r="H316" s="5" t="n"/>
      <c r="I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BD316" s="5" t="n"/>
      <c r="BE316" s="5" t="n"/>
      <c r="BJ316" s="5" t="n"/>
      <c r="BK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  <c r="CE316" s="5" t="n"/>
      <c r="CF316" s="5" t="n"/>
    </row>
    <row r="317" ht="16.5" customHeight="1" s="241">
      <c r="A317" s="171" t="n">
        <v>60</v>
      </c>
      <c r="B317" s="171" t="n">
        <v>64</v>
      </c>
      <c r="C317" s="171" t="inlineStr">
        <is>
          <t>Seniors 5</t>
        </is>
      </c>
      <c r="D317" s="170" t="n">
        <v>93</v>
      </c>
      <c r="E317" s="5" t="n"/>
      <c r="F317" s="5" t="n"/>
      <c r="G317" s="5" t="n"/>
      <c r="H317" s="5" t="n"/>
      <c r="I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BD317" s="5" t="n"/>
      <c r="BE317" s="5" t="n"/>
      <c r="BJ317" s="5" t="n"/>
      <c r="BK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  <c r="CE317" s="5" t="n"/>
      <c r="CF317" s="5" t="n"/>
    </row>
    <row r="318" ht="16.5" customHeight="1" s="241">
      <c r="A318" s="171" t="n">
        <v>65</v>
      </c>
      <c r="B318" s="171" t="n">
        <v>69</v>
      </c>
      <c r="C318" s="171" t="inlineStr">
        <is>
          <t>Seniors 5</t>
        </is>
      </c>
      <c r="D318" s="170" t="n">
        <v>113</v>
      </c>
      <c r="E318" s="5" t="n"/>
      <c r="F318" s="5" t="n"/>
      <c r="G318" s="5" t="n"/>
      <c r="H318" s="5" t="n"/>
      <c r="I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BD318" s="5" t="n"/>
      <c r="BE318" s="5" t="n"/>
      <c r="BJ318" s="5" t="n"/>
      <c r="BK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</row>
    <row r="319" ht="16.5" customHeight="1" s="241">
      <c r="A319" s="171" t="n">
        <v>70</v>
      </c>
      <c r="B319" s="171" t="n">
        <v>74</v>
      </c>
      <c r="C319" s="171" t="inlineStr">
        <is>
          <t>Seniors 5</t>
        </is>
      </c>
      <c r="D319" s="170" t="n">
        <v>149</v>
      </c>
      <c r="E319" s="5" t="n"/>
      <c r="F319" s="5" t="n"/>
      <c r="G319" s="5" t="n"/>
      <c r="H319" s="5" t="n"/>
      <c r="I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BD319" s="5" t="n"/>
      <c r="BE319" s="5" t="n"/>
      <c r="BJ319" s="5" t="n"/>
      <c r="BK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  <c r="CE319" s="5" t="n"/>
      <c r="CF319" s="5" t="n"/>
    </row>
    <row r="320" ht="16.5" customHeight="1" s="241">
      <c r="A320" s="171" t="n">
        <v>75</v>
      </c>
      <c r="B320" s="171" t="n">
        <v>79</v>
      </c>
      <c r="C320" s="171" t="inlineStr">
        <is>
          <t>Seniors 5</t>
        </is>
      </c>
      <c r="D320" s="170" t="n">
        <v>179</v>
      </c>
      <c r="E320" s="5" t="n"/>
      <c r="F320" s="5" t="n"/>
      <c r="G320" s="5" t="n"/>
      <c r="H320" s="5" t="n"/>
      <c r="I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BD320" s="5" t="n"/>
      <c r="BE320" s="5" t="n"/>
      <c r="BJ320" s="5" t="n"/>
      <c r="BK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  <c r="CE320" s="5" t="n"/>
      <c r="CF320" s="5" t="n"/>
    </row>
    <row r="321" ht="16.5" customHeight="1" s="241">
      <c r="A321" s="171" t="n">
        <v>80</v>
      </c>
      <c r="B321" s="171" t="n">
        <v>84</v>
      </c>
      <c r="C321" s="171" t="inlineStr">
        <is>
          <t>Seniors 5</t>
        </is>
      </c>
      <c r="D321" s="170" t="n">
        <v>188</v>
      </c>
      <c r="E321" s="5" t="n"/>
      <c r="F321" s="5" t="n"/>
      <c r="G321" s="5" t="n"/>
      <c r="H321" s="5" t="n"/>
      <c r="I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BD321" s="5" t="n"/>
      <c r="BE321" s="5" t="n"/>
      <c r="BJ321" s="5" t="n"/>
      <c r="BK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  <c r="CE321" s="5" t="n"/>
      <c r="CF321" s="5" t="n"/>
    </row>
    <row r="322" ht="16.5" customHeight="1" s="241">
      <c r="A322" s="171" t="n">
        <v>85</v>
      </c>
      <c r="B322" s="171" t="n">
        <v>120</v>
      </c>
      <c r="C322" s="171" t="inlineStr">
        <is>
          <t>Seniors 5</t>
        </is>
      </c>
      <c r="D322" s="170" t="inlineStr">
        <is>
          <t>No asegurable</t>
        </is>
      </c>
      <c r="E322" s="5" t="n"/>
      <c r="F322" s="5" t="n"/>
      <c r="G322" s="5" t="n"/>
      <c r="H322" s="5" t="n"/>
      <c r="I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BD322" s="5" t="n"/>
      <c r="BE322" s="5" t="n"/>
      <c r="BJ322" s="5" t="n"/>
      <c r="BK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</row>
    <row r="323" ht="16.5" customHeight="1" s="241">
      <c r="A323" s="171" t="n">
        <v>0</v>
      </c>
      <c r="B323" s="171" t="n">
        <v>49</v>
      </c>
      <c r="C323" s="171" t="inlineStr">
        <is>
          <t>Seniors 6</t>
        </is>
      </c>
      <c r="D323" s="170" t="inlineStr">
        <is>
          <t>No asegurable</t>
        </is>
      </c>
      <c r="E323" s="5" t="n"/>
      <c r="F323" s="5" t="n"/>
      <c r="G323" s="5" t="n"/>
      <c r="H323" s="5" t="n"/>
      <c r="I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BD323" s="5" t="n"/>
      <c r="BE323" s="5" t="n"/>
      <c r="BJ323" s="5" t="n"/>
      <c r="BK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  <c r="CE323" s="5" t="n"/>
      <c r="CF323" s="5" t="n"/>
    </row>
    <row r="324" ht="16.5" customHeight="1" s="241">
      <c r="A324" s="171" t="n">
        <v>50</v>
      </c>
      <c r="B324" s="171" t="n">
        <v>54</v>
      </c>
      <c r="C324" s="171" t="inlineStr">
        <is>
          <t>Seniors 6</t>
        </is>
      </c>
      <c r="D324" s="170" t="n">
        <v>74</v>
      </c>
      <c r="E324" s="5" t="n"/>
      <c r="F324" s="5" t="n"/>
      <c r="G324" s="5" t="n"/>
      <c r="H324" s="5" t="n"/>
      <c r="I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BD324" s="5" t="n"/>
      <c r="BE324" s="5" t="n"/>
      <c r="BJ324" s="5" t="n"/>
      <c r="BK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  <c r="CE324" s="5" t="n"/>
      <c r="CF324" s="5" t="n"/>
    </row>
    <row r="325" ht="16.5" customHeight="1" s="241">
      <c r="A325" s="171" t="n">
        <v>55</v>
      </c>
      <c r="B325" s="171" t="n">
        <v>59</v>
      </c>
      <c r="C325" s="171" t="inlineStr">
        <is>
          <t>Seniors 6</t>
        </is>
      </c>
      <c r="D325" s="170" t="n">
        <v>74</v>
      </c>
      <c r="E325" s="5" t="n"/>
      <c r="F325" s="5" t="n"/>
      <c r="G325" s="5" t="n"/>
      <c r="H325" s="5" t="n"/>
      <c r="I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BD325" s="5" t="n"/>
      <c r="BE325" s="5" t="n"/>
      <c r="BJ325" s="5" t="n"/>
      <c r="BK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  <c r="CE325" s="5" t="n"/>
      <c r="CF325" s="5" t="n"/>
    </row>
    <row r="326" ht="16.5" customHeight="1" s="241">
      <c r="A326" s="171" t="n">
        <v>60</v>
      </c>
      <c r="B326" s="171" t="n">
        <v>64</v>
      </c>
      <c r="C326" s="171" t="inlineStr">
        <is>
          <t>Seniors 6</t>
        </is>
      </c>
      <c r="D326" s="170" t="n">
        <v>94</v>
      </c>
      <c r="E326" s="5" t="n"/>
      <c r="F326" s="5" t="n"/>
      <c r="G326" s="5" t="n"/>
      <c r="H326" s="5" t="n"/>
      <c r="I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BD326" s="5" t="n"/>
      <c r="BE326" s="5" t="n"/>
      <c r="BJ326" s="5" t="n"/>
      <c r="BK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  <c r="CE326" s="5" t="n"/>
      <c r="CF326" s="5" t="n"/>
    </row>
    <row r="327" ht="16.5" customHeight="1" s="241">
      <c r="A327" s="171" t="n">
        <v>65</v>
      </c>
      <c r="B327" s="171" t="n">
        <v>69</v>
      </c>
      <c r="C327" s="171" t="inlineStr">
        <is>
          <t>Seniors 6</t>
        </is>
      </c>
      <c r="D327" s="170" t="n">
        <v>115</v>
      </c>
      <c r="E327" s="5" t="n"/>
      <c r="F327" s="5" t="n"/>
      <c r="G327" s="5" t="n"/>
      <c r="H327" s="5" t="n"/>
      <c r="I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BD327" s="5" t="n"/>
      <c r="BE327" s="5" t="n"/>
      <c r="BJ327" s="5" t="n"/>
      <c r="BK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5" t="n"/>
      <c r="CF327" s="5" t="n"/>
    </row>
    <row r="328" ht="16.5" customHeight="1" s="241">
      <c r="A328" s="171" t="n">
        <v>70</v>
      </c>
      <c r="B328" s="171" t="n">
        <v>74</v>
      </c>
      <c r="C328" s="171" t="inlineStr">
        <is>
          <t>Seniors 6</t>
        </is>
      </c>
      <c r="D328" s="170" t="n">
        <v>150</v>
      </c>
      <c r="E328" s="5" t="n"/>
      <c r="F328" s="5" t="n"/>
      <c r="G328" s="5" t="n"/>
      <c r="H328" s="5" t="n"/>
      <c r="I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BD328" s="5" t="n"/>
      <c r="BE328" s="5" t="n"/>
      <c r="BJ328" s="5" t="n"/>
      <c r="BK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  <c r="CE328" s="5" t="n"/>
      <c r="CF328" s="5" t="n"/>
    </row>
    <row r="329" ht="16.5" customHeight="1" s="241">
      <c r="A329" s="171" t="n">
        <v>75</v>
      </c>
      <c r="B329" s="171" t="n">
        <v>79</v>
      </c>
      <c r="C329" s="171" t="inlineStr">
        <is>
          <t>Seniors 6</t>
        </is>
      </c>
      <c r="D329" s="170" t="n">
        <v>183</v>
      </c>
      <c r="E329" s="5" t="n"/>
      <c r="F329" s="5" t="n"/>
      <c r="G329" s="5" t="n"/>
      <c r="H329" s="5" t="n"/>
      <c r="I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BD329" s="5" t="n"/>
      <c r="BE329" s="5" t="n"/>
      <c r="BJ329" s="5" t="n"/>
      <c r="BK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  <c r="CE329" s="5" t="n"/>
      <c r="CF329" s="5" t="n"/>
    </row>
    <row r="330" ht="16.5" customHeight="1" s="241">
      <c r="A330" s="171" t="n">
        <v>80</v>
      </c>
      <c r="B330" s="171" t="n">
        <v>84</v>
      </c>
      <c r="C330" s="171" t="inlineStr">
        <is>
          <t>Seniors 6</t>
        </is>
      </c>
      <c r="D330" s="170" t="n">
        <v>190</v>
      </c>
      <c r="E330" s="5" t="n"/>
      <c r="F330" s="5" t="n"/>
      <c r="G330" s="5" t="n"/>
      <c r="H330" s="5" t="n"/>
      <c r="I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BD330" s="5" t="n"/>
      <c r="BE330" s="5" t="n"/>
      <c r="BJ330" s="5" t="n"/>
      <c r="BK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  <c r="CE330" s="5" t="n"/>
      <c r="CF330" s="5" t="n"/>
    </row>
    <row r="331" ht="16.5" customHeight="1" s="241">
      <c r="A331" s="171" t="n">
        <v>85</v>
      </c>
      <c r="B331" s="171" t="n">
        <v>120</v>
      </c>
      <c r="C331" s="171" t="inlineStr">
        <is>
          <t>Seniors 6</t>
        </is>
      </c>
      <c r="D331" s="170" t="inlineStr">
        <is>
          <t>No asegurable</t>
        </is>
      </c>
      <c r="E331" s="5" t="n"/>
      <c r="F331" s="5" t="n"/>
      <c r="G331" s="5" t="n"/>
      <c r="H331" s="5" t="n"/>
      <c r="I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BD331" s="5" t="n"/>
      <c r="BE331" s="5" t="n"/>
      <c r="BJ331" s="5" t="n"/>
      <c r="BK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  <c r="CE331" s="5" t="n"/>
      <c r="CF331" s="5" t="n"/>
    </row>
    <row r="332" ht="16.5" customHeight="1" s="241">
      <c r="A332" s="171" t="n">
        <v>0</v>
      </c>
      <c r="B332" s="171" t="n">
        <v>59</v>
      </c>
      <c r="C332" s="171" t="inlineStr">
        <is>
          <t>Seniors total 1</t>
        </is>
      </c>
      <c r="D332" s="170" t="inlineStr">
        <is>
          <t>No asegurable</t>
        </is>
      </c>
      <c r="E332" s="5" t="n"/>
      <c r="F332" s="5" t="n"/>
      <c r="G332" s="5" t="n"/>
      <c r="H332" s="5" t="n"/>
      <c r="I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BD332" s="5" t="n"/>
      <c r="BE332" s="5" t="n"/>
      <c r="BJ332" s="5" t="n"/>
      <c r="BK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  <c r="CE332" s="5" t="n"/>
      <c r="CF332" s="5" t="n"/>
    </row>
    <row r="333" ht="16.5" customHeight="1" s="241">
      <c r="A333" s="171" t="n">
        <v>60</v>
      </c>
      <c r="B333" s="171" t="n">
        <v>62</v>
      </c>
      <c r="C333" s="171" t="inlineStr">
        <is>
          <t>Seniors total 1</t>
        </is>
      </c>
      <c r="D333" s="170" t="n">
        <v>101</v>
      </c>
      <c r="E333" s="5" t="n"/>
      <c r="F333" s="5" t="n"/>
      <c r="G333" s="5" t="n"/>
      <c r="H333" s="5" t="n"/>
      <c r="I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BD333" s="5" t="n"/>
      <c r="BE333" s="5" t="n"/>
      <c r="BJ333" s="5" t="n"/>
      <c r="BK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  <c r="CE333" s="5" t="n"/>
      <c r="CF333" s="5" t="n"/>
    </row>
    <row r="334" ht="16.5" customHeight="1" s="241">
      <c r="A334" s="171" t="n">
        <v>63</v>
      </c>
      <c r="B334" s="171" t="n">
        <v>64</v>
      </c>
      <c r="C334" s="171" t="inlineStr">
        <is>
          <t>Seniors total 1</t>
        </is>
      </c>
      <c r="D334" s="170" t="n">
        <v>101</v>
      </c>
      <c r="E334" s="5" t="n"/>
      <c r="F334" s="5" t="n"/>
      <c r="G334" s="5" t="n"/>
      <c r="H334" s="5" t="n"/>
      <c r="I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BD334" s="5" t="n"/>
      <c r="BE334" s="5" t="n"/>
      <c r="BJ334" s="5" t="n"/>
      <c r="BK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  <c r="CE334" s="5" t="n"/>
      <c r="CF334" s="5" t="n"/>
    </row>
    <row r="335" ht="16.5" customHeight="1" s="241">
      <c r="A335" s="171" t="n">
        <v>65</v>
      </c>
      <c r="B335" s="171" t="n">
        <v>69</v>
      </c>
      <c r="C335" s="171" t="inlineStr">
        <is>
          <t>Seniors total 1</t>
        </is>
      </c>
      <c r="D335" s="170" t="n">
        <v>138</v>
      </c>
      <c r="E335" s="5" t="n"/>
      <c r="F335" s="5" t="n"/>
      <c r="G335" s="5" t="n"/>
      <c r="H335" s="5" t="n"/>
      <c r="I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BD335" s="5" t="n"/>
      <c r="BE335" s="5" t="n"/>
      <c r="BJ335" s="5" t="n"/>
      <c r="BK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  <c r="CE335" s="5" t="n"/>
      <c r="CF335" s="5" t="n"/>
    </row>
    <row r="336" ht="16.5" customHeight="1" s="241">
      <c r="A336" s="171" t="n">
        <v>70</v>
      </c>
      <c r="B336" s="171" t="n">
        <v>74</v>
      </c>
      <c r="C336" s="171" t="inlineStr">
        <is>
          <t>Seniors total 1</t>
        </is>
      </c>
      <c r="D336" s="170" t="n">
        <v>172</v>
      </c>
      <c r="E336" s="5" t="n"/>
      <c r="F336" s="5" t="n"/>
      <c r="G336" s="5" t="n"/>
      <c r="H336" s="5" t="n"/>
      <c r="I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BD336" s="5" t="n"/>
      <c r="BE336" s="5" t="n"/>
      <c r="BJ336" s="5" t="n"/>
      <c r="BK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</row>
    <row r="337" ht="16.5" customHeight="1" s="241">
      <c r="A337" s="171" t="n">
        <v>75</v>
      </c>
      <c r="B337" s="171" t="n">
        <v>84</v>
      </c>
      <c r="C337" s="171" t="inlineStr">
        <is>
          <t>Seniors total 1</t>
        </is>
      </c>
      <c r="D337" s="170" t="n">
        <v>231</v>
      </c>
      <c r="E337" s="5" t="n"/>
      <c r="F337" s="5" t="n"/>
      <c r="G337" s="5" t="n"/>
      <c r="H337" s="5" t="n"/>
      <c r="I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BD337" s="5" t="n"/>
      <c r="BE337" s="5" t="n"/>
      <c r="BJ337" s="5" t="n"/>
      <c r="BK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  <c r="CE337" s="5" t="n"/>
      <c r="CF337" s="5" t="n"/>
    </row>
    <row r="338" ht="16.5" customHeight="1" s="241">
      <c r="A338" s="171" t="n">
        <v>85</v>
      </c>
      <c r="B338" s="171" t="n">
        <v>120</v>
      </c>
      <c r="C338" s="171" t="inlineStr">
        <is>
          <t>Seniors total 1</t>
        </is>
      </c>
      <c r="D338" s="170" t="inlineStr">
        <is>
          <t>No asegurable</t>
        </is>
      </c>
      <c r="E338" s="5" t="n"/>
      <c r="F338" s="5" t="n"/>
      <c r="G338" s="5" t="n"/>
      <c r="H338" s="5" t="n"/>
      <c r="I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BD338" s="5" t="n"/>
      <c r="BE338" s="5" t="n"/>
      <c r="BJ338" s="5" t="n"/>
      <c r="BK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  <c r="CE338" s="5" t="n"/>
      <c r="CF338" s="5" t="n"/>
    </row>
    <row r="339" ht="16.5" customHeight="1" s="241">
      <c r="A339" s="171" t="n">
        <v>0</v>
      </c>
      <c r="B339" s="171" t="n">
        <v>59</v>
      </c>
      <c r="C339" s="171" t="inlineStr">
        <is>
          <t>Seniors total 2</t>
        </is>
      </c>
      <c r="D339" s="170" t="inlineStr">
        <is>
          <t>No asegurable</t>
        </is>
      </c>
      <c r="E339" s="5" t="n"/>
      <c r="F339" s="5" t="n"/>
      <c r="G339" s="5" t="n"/>
      <c r="H339" s="5" t="n"/>
      <c r="I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BD339" s="5" t="n"/>
      <c r="BE339" s="5" t="n"/>
      <c r="BJ339" s="5" t="n"/>
      <c r="BK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  <c r="CE339" s="5" t="n"/>
      <c r="CF339" s="5" t="n"/>
    </row>
    <row r="340" ht="16.5" customHeight="1" s="241">
      <c r="A340" s="171" t="n">
        <v>60</v>
      </c>
      <c r="B340" s="171" t="n">
        <v>62</v>
      </c>
      <c r="C340" s="171" t="inlineStr">
        <is>
          <t>Seniors total 2</t>
        </is>
      </c>
      <c r="D340" s="170" t="n">
        <v>104</v>
      </c>
      <c r="E340" s="5" t="n"/>
      <c r="F340" s="5" t="n"/>
      <c r="G340" s="5" t="n"/>
      <c r="H340" s="5" t="n"/>
      <c r="I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BD340" s="5" t="n"/>
      <c r="BE340" s="5" t="n"/>
      <c r="BJ340" s="5" t="n"/>
      <c r="BK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  <c r="CE340" s="5" t="n"/>
      <c r="CF340" s="5" t="n"/>
    </row>
    <row r="341" ht="16.5" customHeight="1" s="241">
      <c r="A341" s="171" t="n">
        <v>63</v>
      </c>
      <c r="B341" s="171" t="n">
        <v>64</v>
      </c>
      <c r="C341" s="171" t="inlineStr">
        <is>
          <t>Seniors total 2</t>
        </is>
      </c>
      <c r="D341" s="170" t="n">
        <v>104</v>
      </c>
      <c r="E341" s="5" t="n"/>
      <c r="F341" s="5" t="n"/>
      <c r="G341" s="5" t="n"/>
      <c r="H341" s="5" t="n"/>
      <c r="I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BD341" s="5" t="n"/>
      <c r="BE341" s="5" t="n"/>
      <c r="BJ341" s="5" t="n"/>
      <c r="BK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  <c r="CE341" s="5" t="n"/>
      <c r="CF341" s="5" t="n"/>
    </row>
    <row r="342" ht="16.5" customHeight="1" s="241">
      <c r="A342" s="171" t="n">
        <v>65</v>
      </c>
      <c r="B342" s="171" t="n">
        <v>69</v>
      </c>
      <c r="C342" s="171" t="inlineStr">
        <is>
          <t>Seniors total 2</t>
        </is>
      </c>
      <c r="D342" s="170" t="n">
        <v>142</v>
      </c>
      <c r="E342" s="5" t="n"/>
      <c r="F342" s="5" t="n"/>
      <c r="G342" s="5" t="n"/>
      <c r="H342" s="5" t="n"/>
      <c r="I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BD342" s="5" t="n"/>
      <c r="BE342" s="5" t="n"/>
      <c r="BJ342" s="5" t="n"/>
      <c r="BK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  <c r="CE342" s="5" t="n"/>
      <c r="CF342" s="5" t="n"/>
    </row>
    <row r="343" ht="16.5" customHeight="1" s="241">
      <c r="A343" s="171" t="n">
        <v>70</v>
      </c>
      <c r="B343" s="171" t="n">
        <v>74</v>
      </c>
      <c r="C343" s="171" t="inlineStr">
        <is>
          <t>Seniors total 2</t>
        </is>
      </c>
      <c r="D343" s="170" t="n">
        <v>176</v>
      </c>
      <c r="E343" s="5" t="n"/>
      <c r="F343" s="5" t="n"/>
      <c r="G343" s="5" t="n"/>
      <c r="H343" s="5" t="n"/>
      <c r="I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BD343" s="5" t="n"/>
      <c r="BE343" s="5" t="n"/>
      <c r="BJ343" s="5" t="n"/>
      <c r="BK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  <c r="CE343" s="5" t="n"/>
      <c r="CF343" s="5" t="n"/>
    </row>
    <row r="344" ht="16.5" customHeight="1" s="241">
      <c r="A344" s="171" t="n">
        <v>75</v>
      </c>
      <c r="B344" s="171" t="n">
        <v>84</v>
      </c>
      <c r="C344" s="171" t="inlineStr">
        <is>
          <t>Seniors total 2</t>
        </is>
      </c>
      <c r="D344" s="170" t="n">
        <v>239</v>
      </c>
      <c r="E344" s="5" t="n"/>
      <c r="F344" s="5" t="n"/>
      <c r="G344" s="5" t="n"/>
      <c r="H344" s="5" t="n"/>
      <c r="I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BD344" s="5" t="n"/>
      <c r="BE344" s="5" t="n"/>
      <c r="BJ344" s="5" t="n"/>
      <c r="BK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  <c r="CE344" s="5" t="n"/>
      <c r="CF344" s="5" t="n"/>
    </row>
    <row r="345" ht="16.5" customHeight="1" s="241">
      <c r="A345" s="171" t="n">
        <v>85</v>
      </c>
      <c r="B345" s="171" t="n">
        <v>120</v>
      </c>
      <c r="C345" s="171" t="inlineStr">
        <is>
          <t>Seniors total 2</t>
        </is>
      </c>
      <c r="D345" s="170" t="inlineStr">
        <is>
          <t>No asegurable</t>
        </is>
      </c>
      <c r="E345" s="5" t="n"/>
      <c r="F345" s="5" t="n"/>
      <c r="G345" s="5" t="n"/>
      <c r="H345" s="5" t="n"/>
      <c r="I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BD345" s="5" t="n"/>
      <c r="BE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</row>
    <row r="346" ht="16.5" customHeight="1" s="241">
      <c r="A346" s="171" t="n">
        <v>0</v>
      </c>
      <c r="B346" s="171" t="n">
        <v>59</v>
      </c>
      <c r="C346" s="171" t="inlineStr">
        <is>
          <t>Seniors total 3</t>
        </is>
      </c>
      <c r="D346" s="170" t="inlineStr">
        <is>
          <t>No asegurable</t>
        </is>
      </c>
      <c r="E346" s="5" t="n"/>
      <c r="F346" s="5" t="n"/>
      <c r="G346" s="5" t="n"/>
      <c r="H346" s="5" t="n"/>
      <c r="I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BD346" s="5" t="n"/>
      <c r="BE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  <c r="CE346" s="5" t="n"/>
      <c r="CF346" s="5" t="n"/>
    </row>
    <row r="347" ht="16.5" customHeight="1" s="241">
      <c r="A347" s="171" t="n">
        <v>60</v>
      </c>
      <c r="B347" s="171" t="n">
        <v>62</v>
      </c>
      <c r="C347" s="171" t="inlineStr">
        <is>
          <t>Seniors total 3</t>
        </is>
      </c>
      <c r="D347" s="170" t="n">
        <v>105</v>
      </c>
      <c r="E347" s="5" t="n"/>
      <c r="F347" s="5" t="n"/>
      <c r="G347" s="5" t="n"/>
      <c r="H347" s="5" t="n"/>
      <c r="I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BD347" s="5" t="n"/>
      <c r="BE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  <c r="CE347" s="5" t="n"/>
      <c r="CF347" s="5" t="n"/>
    </row>
    <row r="348" ht="16.5" customHeight="1" s="241">
      <c r="A348" s="171" t="n">
        <v>63</v>
      </c>
      <c r="B348" s="171" t="n">
        <v>64</v>
      </c>
      <c r="C348" s="171" t="inlineStr">
        <is>
          <t>Seniors total 3</t>
        </is>
      </c>
      <c r="D348" s="170" t="n">
        <v>105</v>
      </c>
      <c r="E348" s="5" t="n"/>
      <c r="F348" s="5" t="n"/>
      <c r="G348" s="5" t="n"/>
      <c r="H348" s="5" t="n"/>
      <c r="I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BD348" s="5" t="n"/>
      <c r="BE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  <c r="CE348" s="5" t="n"/>
      <c r="CF348" s="5" t="n"/>
    </row>
    <row r="349" ht="16.5" customHeight="1" s="241">
      <c r="A349" s="171" t="n">
        <v>65</v>
      </c>
      <c r="B349" s="171" t="n">
        <v>69</v>
      </c>
      <c r="C349" s="171" t="inlineStr">
        <is>
          <t>Seniors total 3</t>
        </is>
      </c>
      <c r="D349" s="170" t="n">
        <v>144</v>
      </c>
      <c r="E349" s="5" t="n"/>
      <c r="F349" s="5" t="n"/>
      <c r="G349" s="5" t="n"/>
      <c r="H349" s="5" t="n"/>
      <c r="I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BD349" s="5" t="n"/>
      <c r="BE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  <c r="CE349" s="5" t="n"/>
      <c r="CF349" s="5" t="n"/>
    </row>
    <row r="350" ht="16.5" customHeight="1" s="241">
      <c r="A350" s="171" t="n">
        <v>70</v>
      </c>
      <c r="B350" s="171" t="n">
        <v>74</v>
      </c>
      <c r="C350" s="171" t="inlineStr">
        <is>
          <t>Seniors total 3</t>
        </is>
      </c>
      <c r="D350" s="170" t="n">
        <v>180</v>
      </c>
      <c r="E350" s="5" t="n"/>
      <c r="F350" s="5" t="n"/>
      <c r="G350" s="5" t="n"/>
      <c r="H350" s="5" t="n"/>
      <c r="I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BD350" s="5" t="n"/>
      <c r="BE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  <c r="CE350" s="5" t="n"/>
      <c r="CF350" s="5" t="n"/>
    </row>
    <row r="351" ht="16.5" customHeight="1" s="241">
      <c r="A351" s="171" t="n">
        <v>75</v>
      </c>
      <c r="B351" s="171" t="n">
        <v>84</v>
      </c>
      <c r="C351" s="171" t="inlineStr">
        <is>
          <t>Seniors total 3</t>
        </is>
      </c>
      <c r="D351" s="170" t="n">
        <v>245</v>
      </c>
      <c r="E351" s="5" t="n"/>
      <c r="F351" s="5" t="n"/>
      <c r="G351" s="5" t="n"/>
      <c r="H351" s="5" t="n"/>
      <c r="I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BD351" s="5" t="n"/>
      <c r="BE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  <c r="CE351" s="5" t="n"/>
      <c r="CF351" s="5" t="n"/>
    </row>
    <row r="352" ht="16.5" customHeight="1" s="241">
      <c r="A352" s="171" t="n">
        <v>85</v>
      </c>
      <c r="B352" s="171" t="n">
        <v>120</v>
      </c>
      <c r="C352" s="171" t="inlineStr">
        <is>
          <t>Seniors total 3</t>
        </is>
      </c>
      <c r="D352" s="170" t="inlineStr">
        <is>
          <t>No asegurable</t>
        </is>
      </c>
      <c r="E352" s="5" t="n"/>
      <c r="F352" s="5" t="n"/>
      <c r="G352" s="5" t="n"/>
      <c r="H352" s="5" t="n"/>
      <c r="I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BD352" s="5" t="n"/>
      <c r="BE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  <c r="CE352" s="5" t="n"/>
      <c r="CF352" s="5" t="n"/>
    </row>
    <row r="353" ht="16.5" customHeight="1" s="241">
      <c r="A353" s="171" t="n">
        <v>0</v>
      </c>
      <c r="B353" s="171" t="n">
        <v>59</v>
      </c>
      <c r="C353" s="171" t="inlineStr">
        <is>
          <t>Seniors total 4</t>
        </is>
      </c>
      <c r="D353" s="170" t="inlineStr">
        <is>
          <t>No asegurable</t>
        </is>
      </c>
      <c r="E353" s="5" t="n"/>
      <c r="F353" s="5" t="n"/>
      <c r="G353" s="5" t="n"/>
      <c r="H353" s="5" t="n"/>
      <c r="I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BD353" s="5" t="n"/>
      <c r="BE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  <c r="CE353" s="5" t="n"/>
      <c r="CF353" s="5" t="n"/>
    </row>
    <row r="354" ht="16.5" customHeight="1" s="241">
      <c r="A354" s="171" t="n">
        <v>60</v>
      </c>
      <c r="B354" s="171" t="n">
        <v>62</v>
      </c>
      <c r="C354" s="171" t="inlineStr">
        <is>
          <t>Seniors total 4</t>
        </is>
      </c>
      <c r="D354" s="170" t="n">
        <v>110</v>
      </c>
      <c r="E354" s="5" t="n"/>
      <c r="F354" s="5" t="n"/>
      <c r="G354" s="5" t="n"/>
      <c r="H354" s="5" t="n"/>
      <c r="I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BD354" s="5" t="n"/>
      <c r="BE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  <c r="CE354" s="5" t="n"/>
      <c r="CF354" s="5" t="n"/>
    </row>
    <row r="355" ht="16.5" customHeight="1" s="241">
      <c r="A355" s="171" t="n">
        <v>63</v>
      </c>
      <c r="B355" s="171" t="n">
        <v>64</v>
      </c>
      <c r="C355" s="171" t="inlineStr">
        <is>
          <t>Seniors total 4</t>
        </is>
      </c>
      <c r="D355" s="170" t="n">
        <v>110</v>
      </c>
      <c r="E355" s="5" t="n"/>
      <c r="F355" s="5" t="n"/>
      <c r="G355" s="5" t="n"/>
      <c r="H355" s="5" t="n"/>
      <c r="I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BD355" s="5" t="n"/>
      <c r="BE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  <c r="CE355" s="5" t="n"/>
      <c r="CF355" s="5" t="n"/>
    </row>
    <row r="356" ht="16.5" customHeight="1" s="241">
      <c r="A356" s="171" t="n">
        <v>65</v>
      </c>
      <c r="B356" s="171" t="n">
        <v>69</v>
      </c>
      <c r="C356" s="171" t="inlineStr">
        <is>
          <t>Seniors total 4</t>
        </is>
      </c>
      <c r="D356" s="170" t="n">
        <v>145</v>
      </c>
      <c r="E356" s="5" t="n"/>
      <c r="F356" s="5" t="n"/>
      <c r="G356" s="5" t="n"/>
      <c r="H356" s="5" t="n"/>
      <c r="I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BD356" s="5" t="n"/>
      <c r="BE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  <c r="CE356" s="5" t="n"/>
      <c r="CF356" s="5" t="n"/>
    </row>
    <row r="357" ht="16.5" customHeight="1" s="241">
      <c r="A357" s="171" t="n">
        <v>70</v>
      </c>
      <c r="B357" s="171" t="n">
        <v>74</v>
      </c>
      <c r="C357" s="171" t="inlineStr">
        <is>
          <t>Seniors total 4</t>
        </is>
      </c>
      <c r="D357" s="170" t="n">
        <v>184</v>
      </c>
      <c r="E357" s="5" t="n"/>
      <c r="F357" s="5" t="n"/>
      <c r="G357" s="5" t="n"/>
      <c r="H357" s="5" t="n"/>
      <c r="I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BD357" s="5" t="n"/>
      <c r="BE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</row>
    <row r="358" ht="16.5" customHeight="1" s="241">
      <c r="A358" s="171" t="n">
        <v>75</v>
      </c>
      <c r="B358" s="171" t="n">
        <v>84</v>
      </c>
      <c r="C358" s="171" t="inlineStr">
        <is>
          <t>Seniors total 4</t>
        </is>
      </c>
      <c r="D358" s="170" t="n">
        <v>252</v>
      </c>
      <c r="E358" s="5" t="n"/>
      <c r="F358" s="5" t="n"/>
      <c r="G358" s="5" t="n"/>
      <c r="H358" s="5" t="n"/>
      <c r="I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BD358" s="5" t="n"/>
      <c r="BE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  <c r="CE358" s="5" t="n"/>
      <c r="CF358" s="5" t="n"/>
    </row>
    <row r="359" ht="16.5" customHeight="1" s="241">
      <c r="A359" s="171" t="n">
        <v>85</v>
      </c>
      <c r="B359" s="171" t="n">
        <v>120</v>
      </c>
      <c r="C359" s="171" t="inlineStr">
        <is>
          <t>Seniors total 4</t>
        </is>
      </c>
      <c r="D359" s="170" t="inlineStr">
        <is>
          <t>No asegurable</t>
        </is>
      </c>
      <c r="E359" s="5" t="n"/>
      <c r="F359" s="5" t="n"/>
      <c r="G359" s="5" t="n"/>
      <c r="H359" s="5" t="n"/>
      <c r="I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BD359" s="5" t="n"/>
      <c r="BE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  <c r="CE359" s="5" t="n"/>
      <c r="CF359" s="5" t="n"/>
    </row>
    <row r="360" ht="16.5" customHeight="1" s="241">
      <c r="A360" s="171" t="n">
        <v>0</v>
      </c>
      <c r="B360" s="171" t="n">
        <v>59</v>
      </c>
      <c r="C360" s="171" t="inlineStr">
        <is>
          <t>Seniors total 5</t>
        </is>
      </c>
      <c r="D360" s="170" t="inlineStr">
        <is>
          <t>No asegurable</t>
        </is>
      </c>
      <c r="E360" s="5" t="n"/>
      <c r="F360" s="5" t="n"/>
      <c r="G360" s="5" t="n"/>
      <c r="H360" s="5" t="n"/>
      <c r="I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  <c r="CE360" s="5" t="n"/>
      <c r="CF360" s="5" t="n"/>
    </row>
    <row r="361" ht="16.5" customHeight="1" s="241">
      <c r="A361" s="171" t="n">
        <v>60</v>
      </c>
      <c r="B361" s="171" t="n">
        <v>62</v>
      </c>
      <c r="C361" s="171" t="inlineStr">
        <is>
          <t>Seniors total 5</t>
        </is>
      </c>
      <c r="D361" s="170" t="n">
        <v>113</v>
      </c>
      <c r="E361" s="5" t="n"/>
      <c r="F361" s="5" t="n"/>
      <c r="G361" s="5" t="n"/>
      <c r="H361" s="5" t="n"/>
      <c r="I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  <c r="CE361" s="5" t="n"/>
      <c r="CF361" s="5" t="n"/>
    </row>
    <row r="362" ht="16.5" customHeight="1" s="241">
      <c r="A362" s="171" t="n">
        <v>63</v>
      </c>
      <c r="B362" s="171" t="n">
        <v>64</v>
      </c>
      <c r="C362" s="171" t="inlineStr">
        <is>
          <t>Seniors total 5</t>
        </is>
      </c>
      <c r="D362" s="170" t="n">
        <v>113</v>
      </c>
      <c r="E362" s="5" t="n"/>
      <c r="F362" s="5" t="n"/>
      <c r="G362" s="5" t="n"/>
      <c r="H362" s="5" t="n"/>
      <c r="I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  <c r="CE362" s="5" t="n"/>
      <c r="CF362" s="5" t="n"/>
    </row>
    <row r="363" ht="16.5" customHeight="1" s="241">
      <c r="A363" s="171" t="n">
        <v>65</v>
      </c>
      <c r="B363" s="171" t="n">
        <v>69</v>
      </c>
      <c r="C363" s="171" t="inlineStr">
        <is>
          <t>Seniors total 5</t>
        </is>
      </c>
      <c r="D363" s="170" t="n">
        <v>151.5</v>
      </c>
      <c r="E363" s="5" t="n"/>
      <c r="F363" s="5" t="n"/>
      <c r="G363" s="5" t="n"/>
      <c r="H363" s="5" t="n"/>
      <c r="I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  <c r="CE363" s="5" t="n"/>
      <c r="CF363" s="5" t="n"/>
    </row>
    <row r="364" ht="16.5" customHeight="1" s="241">
      <c r="A364" s="171" t="n">
        <v>70</v>
      </c>
      <c r="B364" s="171" t="n">
        <v>74</v>
      </c>
      <c r="C364" s="171" t="inlineStr">
        <is>
          <t>Seniors total 5</t>
        </is>
      </c>
      <c r="D364" s="170" t="n">
        <v>190</v>
      </c>
      <c r="E364" s="5" t="n"/>
      <c r="F364" s="5" t="n"/>
      <c r="G364" s="5" t="n"/>
      <c r="H364" s="5" t="n"/>
      <c r="I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  <c r="CE364" s="5" t="n"/>
      <c r="CF364" s="5" t="n"/>
    </row>
    <row r="365" ht="16.5" customHeight="1" s="241">
      <c r="A365" s="171" t="n">
        <v>75</v>
      </c>
      <c r="B365" s="171" t="n">
        <v>84</v>
      </c>
      <c r="C365" s="171" t="inlineStr">
        <is>
          <t>Seniors total 5</t>
        </is>
      </c>
      <c r="D365" s="170" t="n">
        <v>254</v>
      </c>
      <c r="E365" s="5" t="n"/>
      <c r="F365" s="5" t="n"/>
      <c r="G365" s="5" t="n"/>
      <c r="H365" s="5" t="n"/>
      <c r="I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  <c r="CE365" s="5" t="n"/>
      <c r="CF365" s="5" t="n"/>
    </row>
    <row r="366" ht="16.5" customHeight="1" s="241">
      <c r="A366" s="171" t="n">
        <v>85</v>
      </c>
      <c r="B366" s="171" t="n">
        <v>120</v>
      </c>
      <c r="C366" s="171" t="inlineStr">
        <is>
          <t>Seniors total 5</t>
        </is>
      </c>
      <c r="D366" s="170" t="inlineStr">
        <is>
          <t>No asegurable</t>
        </is>
      </c>
      <c r="E366" s="5" t="n"/>
      <c r="F366" s="5" t="n"/>
      <c r="G366" s="5" t="n"/>
      <c r="H366" s="5" t="n"/>
      <c r="I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  <c r="CE366" s="5" t="n"/>
      <c r="CF366" s="5" t="n"/>
    </row>
    <row r="367" ht="16.5" customHeight="1" s="241">
      <c r="A367" s="171" t="n">
        <v>0</v>
      </c>
      <c r="B367" s="171" t="n">
        <v>59</v>
      </c>
      <c r="C367" s="171" t="inlineStr">
        <is>
          <t>Seniors total 6</t>
        </is>
      </c>
      <c r="D367" s="170" t="inlineStr">
        <is>
          <t>No asegurable</t>
        </is>
      </c>
      <c r="E367" s="5" t="n"/>
      <c r="F367" s="5" t="n"/>
      <c r="G367" s="5" t="n"/>
      <c r="H367" s="5" t="n"/>
      <c r="I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  <c r="CE367" s="5" t="n"/>
      <c r="CF367" s="5" t="n"/>
    </row>
    <row r="368" ht="16.5" customHeight="1" s="241">
      <c r="A368" s="171" t="n">
        <v>60</v>
      </c>
      <c r="B368" s="171" t="n">
        <v>62</v>
      </c>
      <c r="C368" s="171" t="inlineStr">
        <is>
          <t>Seniors total 6</t>
        </is>
      </c>
      <c r="D368" s="170" t="n">
        <v>116</v>
      </c>
      <c r="E368" s="5" t="n"/>
      <c r="F368" s="5" t="n"/>
      <c r="G368" s="5" t="n"/>
      <c r="H368" s="5" t="n"/>
      <c r="I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  <c r="CE368" s="5" t="n"/>
      <c r="CF368" s="5" t="n"/>
    </row>
    <row r="369" ht="16.5" customHeight="1" s="241">
      <c r="A369" s="171" t="n">
        <v>63</v>
      </c>
      <c r="B369" s="171" t="n">
        <v>64</v>
      </c>
      <c r="C369" s="171" t="inlineStr">
        <is>
          <t>Seniors total 6</t>
        </is>
      </c>
      <c r="D369" s="170" t="n">
        <v>116</v>
      </c>
      <c r="E369" s="5" t="n"/>
      <c r="F369" s="5" t="n"/>
      <c r="G369" s="5" t="n"/>
      <c r="H369" s="5" t="n"/>
      <c r="I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  <c r="CE369" s="5" t="n"/>
      <c r="CF369" s="5" t="n"/>
    </row>
    <row r="370" ht="16.5" customHeight="1" s="241">
      <c r="A370" s="171" t="n">
        <v>65</v>
      </c>
      <c r="B370" s="171" t="n">
        <v>69</v>
      </c>
      <c r="C370" s="171" t="inlineStr">
        <is>
          <t>Seniors total 6</t>
        </is>
      </c>
      <c r="D370" s="170" t="n">
        <v>155</v>
      </c>
      <c r="E370" s="5" t="n"/>
      <c r="F370" s="5" t="n"/>
      <c r="G370" s="5" t="n"/>
      <c r="H370" s="5" t="n"/>
      <c r="I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  <c r="CE370" s="5" t="n"/>
      <c r="CF370" s="5" t="n"/>
    </row>
    <row r="371" ht="16.5" customHeight="1" s="241">
      <c r="A371" s="171" t="n">
        <v>70</v>
      </c>
      <c r="B371" s="171" t="n">
        <v>74</v>
      </c>
      <c r="C371" s="171" t="inlineStr">
        <is>
          <t>Seniors total 6</t>
        </is>
      </c>
      <c r="D371" s="170" t="n">
        <v>195</v>
      </c>
      <c r="E371" s="5" t="n"/>
      <c r="F371" s="5" t="n"/>
      <c r="G371" s="5" t="n"/>
      <c r="H371" s="5" t="n"/>
      <c r="I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  <c r="CE371" s="5" t="n"/>
      <c r="CF371" s="5" t="n"/>
    </row>
    <row r="372" ht="16.5" customHeight="1" s="241">
      <c r="A372" s="171" t="n">
        <v>75</v>
      </c>
      <c r="B372" s="171" t="n">
        <v>84</v>
      </c>
      <c r="C372" s="171" t="inlineStr">
        <is>
          <t>Seniors total 6</t>
        </is>
      </c>
      <c r="D372" s="170" t="n">
        <v>259</v>
      </c>
      <c r="E372" s="5" t="n"/>
      <c r="F372" s="5" t="n"/>
      <c r="G372" s="5" t="n"/>
      <c r="H372" s="5" t="n"/>
      <c r="I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  <c r="CE372" s="5" t="n"/>
      <c r="CF372" s="5" t="n"/>
    </row>
    <row r="373" ht="16.5" customHeight="1" s="241">
      <c r="A373" s="171" t="n">
        <v>85</v>
      </c>
      <c r="B373" s="171" t="n">
        <v>120</v>
      </c>
      <c r="C373" s="171" t="inlineStr">
        <is>
          <t>Seniors total 6</t>
        </is>
      </c>
      <c r="D373" s="170" t="inlineStr">
        <is>
          <t>No asegurable</t>
        </is>
      </c>
      <c r="E373" s="5" t="n"/>
      <c r="F373" s="5" t="n"/>
      <c r="G373" s="5" t="n"/>
      <c r="H373" s="5" t="n"/>
      <c r="I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  <c r="CE373" s="5" t="n"/>
      <c r="CF373" s="5" t="n"/>
    </row>
    <row r="374" ht="16.5" customHeight="1" s="241">
      <c r="A374" s="171" t="n">
        <v>0</v>
      </c>
      <c r="B374" s="171" t="n">
        <v>44</v>
      </c>
      <c r="C374" s="171" t="inlineStr">
        <is>
          <t>Pymes Total 1</t>
        </is>
      </c>
      <c r="D374" s="170" t="n">
        <v>60</v>
      </c>
      <c r="E374" s="5" t="n"/>
      <c r="F374" s="5" t="n"/>
      <c r="G374" s="5" t="n"/>
      <c r="H374" s="5" t="n"/>
      <c r="I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  <c r="CE374" s="5" t="n"/>
      <c r="CF374" s="5" t="n"/>
    </row>
    <row r="375" ht="16.5" customHeight="1" s="241">
      <c r="A375" s="171" t="n">
        <v>45</v>
      </c>
      <c r="B375" s="171" t="n">
        <v>54</v>
      </c>
      <c r="C375" s="171" t="inlineStr">
        <is>
          <t>Pymes Total 1</t>
        </is>
      </c>
      <c r="D375" s="170" t="n">
        <v>72</v>
      </c>
      <c r="E375" s="5" t="n"/>
      <c r="F375" s="5" t="n"/>
      <c r="G375" s="5" t="n"/>
      <c r="H375" s="5" t="n"/>
      <c r="I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</row>
    <row r="376" ht="16.5" customHeight="1" s="241">
      <c r="A376" s="171" t="n">
        <v>55</v>
      </c>
      <c r="B376" s="171" t="n">
        <v>59</v>
      </c>
      <c r="C376" s="171" t="inlineStr">
        <is>
          <t>Pymes Total 1</t>
        </is>
      </c>
      <c r="D376" s="170" t="n">
        <v>89</v>
      </c>
      <c r="E376" s="5" t="n"/>
      <c r="F376" s="5" t="n"/>
      <c r="G376" s="5" t="n"/>
      <c r="H376" s="5" t="n"/>
      <c r="I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  <c r="CE376" s="5" t="n"/>
      <c r="CF376" s="5" t="n"/>
    </row>
    <row r="377" ht="16.5" customHeight="1" s="241">
      <c r="A377" s="171" t="n">
        <v>60</v>
      </c>
      <c r="B377" s="171" t="n">
        <v>67</v>
      </c>
      <c r="C377" s="171" t="inlineStr">
        <is>
          <t>Pymes Total 1</t>
        </is>
      </c>
      <c r="D377" s="170" t="n">
        <v>125</v>
      </c>
      <c r="E377" s="5" t="n"/>
      <c r="F377" s="5" t="n"/>
      <c r="G377" s="5" t="n"/>
      <c r="H377" s="5" t="n"/>
      <c r="I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  <c r="CE377" s="5" t="n"/>
      <c r="CF377" s="5" t="n"/>
    </row>
    <row r="378" ht="16.5" customHeight="1" s="241">
      <c r="A378" s="171" t="n">
        <v>68</v>
      </c>
      <c r="B378" s="171" t="n">
        <v>120</v>
      </c>
      <c r="C378" s="171" t="inlineStr">
        <is>
          <t>Pymes Total 1</t>
        </is>
      </c>
      <c r="D378" s="170" t="n">
        <v>189</v>
      </c>
      <c r="E378" s="5" t="n"/>
      <c r="F378" s="5" t="n"/>
      <c r="G378" s="5" t="n"/>
      <c r="H378" s="5" t="n"/>
      <c r="I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  <c r="CE378" s="5" t="n"/>
      <c r="CF378" s="5" t="n"/>
    </row>
    <row r="379" ht="16.5" customHeight="1" s="241">
      <c r="A379" s="171" t="n">
        <v>0</v>
      </c>
      <c r="B379" s="171" t="n">
        <v>44</v>
      </c>
      <c r="C379" s="171" t="inlineStr">
        <is>
          <t>Pymes Total 2</t>
        </is>
      </c>
      <c r="D379" s="170" t="n">
        <v>62</v>
      </c>
      <c r="E379" s="5" t="n"/>
      <c r="F379" s="5" t="n"/>
      <c r="G379" s="5" t="n"/>
      <c r="H379" s="5" t="n"/>
      <c r="I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  <c r="CE379" s="5" t="n"/>
      <c r="CF379" s="5" t="n"/>
    </row>
    <row r="380" ht="16.5" customHeight="1" s="241">
      <c r="A380" s="171" t="n">
        <v>45</v>
      </c>
      <c r="B380" s="171" t="n">
        <v>54</v>
      </c>
      <c r="C380" s="171" t="inlineStr">
        <is>
          <t>Pymes Total 2</t>
        </is>
      </c>
      <c r="D380" s="170" t="n">
        <v>73</v>
      </c>
      <c r="E380" s="5" t="n"/>
      <c r="F380" s="5" t="n"/>
      <c r="G380" s="5" t="n"/>
      <c r="H380" s="5" t="n"/>
      <c r="I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  <c r="CE380" s="5" t="n"/>
      <c r="CF380" s="5" t="n"/>
    </row>
    <row r="381" ht="16.5" customHeight="1" s="241">
      <c r="A381" s="171" t="n">
        <v>55</v>
      </c>
      <c r="B381" s="171" t="n">
        <v>59</v>
      </c>
      <c r="C381" s="171" t="inlineStr">
        <is>
          <t>Pymes Total 2</t>
        </is>
      </c>
      <c r="D381" s="170" t="n">
        <v>95</v>
      </c>
      <c r="E381" s="5" t="n"/>
      <c r="F381" s="5" t="n"/>
      <c r="G381" s="5" t="n"/>
      <c r="H381" s="5" t="n"/>
      <c r="I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  <c r="CE381" s="5" t="n"/>
      <c r="CF381" s="5" t="n"/>
    </row>
    <row r="382" ht="16.5" customHeight="1" s="241">
      <c r="A382" s="171" t="n">
        <v>60</v>
      </c>
      <c r="B382" s="171" t="n">
        <v>67</v>
      </c>
      <c r="C382" s="171" t="inlineStr">
        <is>
          <t>Pymes Total 2</t>
        </is>
      </c>
      <c r="D382" s="170" t="n">
        <v>129</v>
      </c>
      <c r="E382" s="5" t="n"/>
      <c r="F382" s="5" t="n"/>
      <c r="G382" s="5" t="n"/>
      <c r="H382" s="5" t="n"/>
      <c r="I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  <c r="CE382" s="5" t="n"/>
      <c r="CF382" s="5" t="n"/>
    </row>
    <row r="383" ht="16.5" customHeight="1" s="241">
      <c r="A383" s="171" t="n">
        <v>68</v>
      </c>
      <c r="B383" s="171" t="n">
        <v>120</v>
      </c>
      <c r="C383" s="171" t="inlineStr">
        <is>
          <t>Pymes Total 2</t>
        </is>
      </c>
      <c r="D383" s="170" t="n">
        <v>199</v>
      </c>
      <c r="E383" s="5" t="n"/>
      <c r="F383" s="5" t="n"/>
      <c r="G383" s="5" t="n"/>
      <c r="H383" s="5" t="n"/>
      <c r="I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  <c r="CE383" s="5" t="n"/>
      <c r="CF383" s="5" t="n"/>
    </row>
    <row r="384" ht="16.5" customHeight="1" s="241">
      <c r="A384" s="171" t="n">
        <v>0</v>
      </c>
      <c r="B384" s="171" t="n">
        <v>44</v>
      </c>
      <c r="C384" s="171" t="inlineStr">
        <is>
          <t>Pymes Total 3</t>
        </is>
      </c>
      <c r="D384" s="170" t="n">
        <v>63</v>
      </c>
      <c r="E384" s="5" t="n"/>
      <c r="F384" s="5" t="n"/>
      <c r="G384" s="5" t="n"/>
      <c r="H384" s="5" t="n"/>
      <c r="I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  <c r="CE384" s="5" t="n"/>
      <c r="CF384" s="5" t="n"/>
    </row>
    <row r="385" ht="16.5" customHeight="1" s="241">
      <c r="A385" s="171" t="n">
        <v>45</v>
      </c>
      <c r="B385" s="171" t="n">
        <v>54</v>
      </c>
      <c r="C385" s="171" t="inlineStr">
        <is>
          <t>Pymes Total 3</t>
        </is>
      </c>
      <c r="D385" s="170" t="n">
        <v>75</v>
      </c>
      <c r="E385" s="5" t="n"/>
      <c r="F385" s="5" t="n"/>
      <c r="G385" s="5" t="n"/>
      <c r="H385" s="5" t="n"/>
      <c r="I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  <c r="CE385" s="5" t="n"/>
      <c r="CF385" s="5" t="n"/>
    </row>
    <row r="386" ht="16.5" customHeight="1" s="241">
      <c r="A386" s="171" t="n">
        <v>55</v>
      </c>
      <c r="B386" s="171" t="n">
        <v>59</v>
      </c>
      <c r="C386" s="171" t="inlineStr">
        <is>
          <t>Pymes Total 3</t>
        </is>
      </c>
      <c r="D386" s="170" t="n">
        <v>98</v>
      </c>
      <c r="E386" s="5" t="n"/>
      <c r="F386" s="5" t="n"/>
      <c r="G386" s="5" t="n"/>
      <c r="H386" s="5" t="n"/>
      <c r="I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  <c r="CE386" s="5" t="n"/>
      <c r="CF386" s="5" t="n"/>
    </row>
    <row r="387" ht="16.5" customHeight="1" s="241">
      <c r="A387" s="171" t="n">
        <v>60</v>
      </c>
      <c r="B387" s="171" t="n">
        <v>67</v>
      </c>
      <c r="C387" s="171" t="inlineStr">
        <is>
          <t>Pymes Total 3</t>
        </is>
      </c>
      <c r="D387" s="170" t="n">
        <v>135</v>
      </c>
      <c r="E387" s="5" t="n"/>
      <c r="F387" s="5" t="n"/>
      <c r="G387" s="5" t="n"/>
      <c r="H387" s="5" t="n"/>
      <c r="I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  <c r="CE387" s="5" t="n"/>
      <c r="CF387" s="5" t="n"/>
    </row>
    <row r="388" ht="16.5" customHeight="1" s="241">
      <c r="A388" s="171" t="n">
        <v>68</v>
      </c>
      <c r="B388" s="171" t="n">
        <v>120</v>
      </c>
      <c r="C388" s="171" t="inlineStr">
        <is>
          <t>Pymes Total 3</t>
        </is>
      </c>
      <c r="D388" s="170" t="n">
        <v>205</v>
      </c>
      <c r="E388" s="5" t="n"/>
      <c r="F388" s="5" t="n"/>
      <c r="G388" s="5" t="n"/>
      <c r="H388" s="5" t="n"/>
      <c r="I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  <c r="CE388" s="5" t="n"/>
      <c r="CF388" s="5" t="n"/>
    </row>
    <row r="389" ht="16.5" customHeight="1" s="241">
      <c r="A389" s="171" t="n">
        <v>0</v>
      </c>
      <c r="B389" s="171" t="n">
        <v>44</v>
      </c>
      <c r="C389" s="171" t="inlineStr">
        <is>
          <t>Pymes Total 4</t>
        </is>
      </c>
      <c r="D389" s="170" t="n">
        <v>65</v>
      </c>
      <c r="E389" s="5" t="n"/>
      <c r="F389" s="5" t="n"/>
      <c r="G389" s="5" t="n"/>
      <c r="H389" s="5" t="n"/>
      <c r="I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  <c r="CE389" s="5" t="n"/>
      <c r="CF389" s="5" t="n"/>
    </row>
    <row r="390" ht="16.5" customHeight="1" s="241">
      <c r="A390" s="171" t="n">
        <v>45</v>
      </c>
      <c r="B390" s="171" t="n">
        <v>54</v>
      </c>
      <c r="C390" s="171" t="inlineStr">
        <is>
          <t>Pymes Total 4</t>
        </is>
      </c>
      <c r="D390" s="170" t="n">
        <v>76</v>
      </c>
      <c r="E390" s="5" t="n"/>
      <c r="F390" s="5" t="n"/>
      <c r="G390" s="5" t="n"/>
      <c r="H390" s="5" t="n"/>
      <c r="I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  <c r="CE390" s="5" t="n"/>
      <c r="CF390" s="5" t="n"/>
    </row>
    <row r="391" ht="16.5" customHeight="1" s="241">
      <c r="A391" s="171" t="n">
        <v>55</v>
      </c>
      <c r="B391" s="171" t="n">
        <v>59</v>
      </c>
      <c r="C391" s="171" t="inlineStr">
        <is>
          <t>Pymes Total 4</t>
        </is>
      </c>
      <c r="D391" s="170" t="n">
        <v>99</v>
      </c>
      <c r="E391" s="5" t="n"/>
      <c r="F391" s="5" t="n"/>
      <c r="G391" s="5" t="n"/>
      <c r="H391" s="5" t="n"/>
      <c r="I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  <c r="CE391" s="5" t="n"/>
      <c r="CF391" s="5" t="n"/>
    </row>
    <row r="392" ht="16.5" customHeight="1" s="241">
      <c r="A392" s="171" t="n">
        <v>60</v>
      </c>
      <c r="B392" s="171" t="n">
        <v>67</v>
      </c>
      <c r="C392" s="171" t="inlineStr">
        <is>
          <t>Pymes Total 4</t>
        </is>
      </c>
      <c r="D392" s="170" t="n">
        <v>139</v>
      </c>
      <c r="E392" s="5" t="n"/>
      <c r="F392" s="5" t="n"/>
      <c r="G392" s="5" t="n"/>
      <c r="H392" s="5" t="n"/>
      <c r="I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  <c r="CE392" s="5" t="n"/>
      <c r="CF392" s="5" t="n"/>
    </row>
    <row r="393" ht="16.5" customHeight="1" s="241">
      <c r="A393" s="171" t="n">
        <v>68</v>
      </c>
      <c r="B393" s="171" t="n">
        <v>120</v>
      </c>
      <c r="C393" s="171" t="inlineStr">
        <is>
          <t>Pymes Total 4</t>
        </is>
      </c>
      <c r="D393" s="170" t="n">
        <v>209</v>
      </c>
      <c r="E393" s="5" t="n"/>
      <c r="F393" s="5" t="n"/>
      <c r="G393" s="5" t="n"/>
      <c r="H393" s="5" t="n"/>
      <c r="I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  <c r="CE393" s="5" t="n"/>
      <c r="CF393" s="5" t="n"/>
    </row>
    <row r="394" ht="16.5" customHeight="1" s="241">
      <c r="A394" s="171" t="n">
        <v>0</v>
      </c>
      <c r="B394" s="171" t="n">
        <v>44</v>
      </c>
      <c r="C394" s="171" t="inlineStr">
        <is>
          <t>Pymes Total 5</t>
        </is>
      </c>
      <c r="D394" s="169" t="n">
        <v>66</v>
      </c>
      <c r="E394" s="5" t="n"/>
      <c r="F394" s="5" t="n"/>
      <c r="G394" s="5" t="n"/>
      <c r="H394" s="5" t="n"/>
      <c r="I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  <c r="CE394" s="5" t="n"/>
      <c r="CF394" s="5" t="n"/>
    </row>
    <row r="395" ht="16.5" customHeight="1" s="241">
      <c r="A395" s="171" t="n">
        <v>45</v>
      </c>
      <c r="B395" s="171" t="n">
        <v>54</v>
      </c>
      <c r="C395" s="171" t="inlineStr">
        <is>
          <t>Pymes Total 5</t>
        </is>
      </c>
      <c r="D395" s="169" t="n">
        <v>79</v>
      </c>
      <c r="E395" s="5" t="n"/>
      <c r="F395" s="5" t="n"/>
      <c r="G395" s="5" t="n"/>
      <c r="H395" s="5" t="n"/>
      <c r="I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  <c r="CE395" s="5" t="n"/>
      <c r="CF395" s="5" t="n"/>
    </row>
    <row r="396" ht="16.5" customHeight="1" s="241">
      <c r="A396" s="171" t="n">
        <v>55</v>
      </c>
      <c r="B396" s="171" t="n">
        <v>59</v>
      </c>
      <c r="C396" s="171" t="inlineStr">
        <is>
          <t>Pymes Total 5</t>
        </is>
      </c>
      <c r="D396" s="169" t="n">
        <v>105</v>
      </c>
      <c r="E396" s="5" t="n"/>
      <c r="F396" s="5" t="n"/>
      <c r="G396" s="5" t="n"/>
      <c r="H396" s="5" t="n"/>
      <c r="I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  <c r="CE396" s="5" t="n"/>
      <c r="CF396" s="5" t="n"/>
    </row>
    <row r="397" ht="16.5" customHeight="1" s="241">
      <c r="A397" s="171" t="n">
        <v>60</v>
      </c>
      <c r="B397" s="171" t="n">
        <v>67</v>
      </c>
      <c r="C397" s="171" t="inlineStr">
        <is>
          <t>Pymes Total 5</t>
        </is>
      </c>
      <c r="D397" s="169" t="n">
        <v>139</v>
      </c>
      <c r="E397" s="5" t="n"/>
      <c r="F397" s="5" t="n"/>
      <c r="G397" s="5" t="n"/>
      <c r="H397" s="5" t="n"/>
      <c r="I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  <c r="CE397" s="5" t="n"/>
      <c r="CF397" s="5" t="n"/>
    </row>
    <row r="398" ht="16.5" customHeight="1" s="241">
      <c r="A398" s="171" t="n">
        <v>68</v>
      </c>
      <c r="B398" s="171" t="n">
        <v>120</v>
      </c>
      <c r="C398" s="171" t="inlineStr">
        <is>
          <t>Pymes Total 5</t>
        </is>
      </c>
      <c r="D398" s="169" t="n">
        <v>219</v>
      </c>
      <c r="E398" s="5" t="n"/>
      <c r="F398" s="5" t="n"/>
      <c r="G398" s="5" t="n"/>
      <c r="H398" s="5" t="n"/>
      <c r="I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  <c r="CE398" s="5" t="n"/>
      <c r="CF398" s="5" t="n"/>
    </row>
    <row r="399" ht="16.5" customHeight="1" s="241">
      <c r="A399" s="171" t="n">
        <v>0</v>
      </c>
      <c r="B399" s="171" t="n">
        <v>44</v>
      </c>
      <c r="C399" s="171" t="inlineStr">
        <is>
          <t>Pymes Total 6</t>
        </is>
      </c>
      <c r="D399" s="169" t="n">
        <v>67</v>
      </c>
      <c r="E399" s="5" t="n"/>
      <c r="F399" s="5" t="n"/>
      <c r="G399" s="5" t="n"/>
      <c r="H399" s="5" t="n"/>
      <c r="I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  <c r="CE399" s="5" t="n"/>
      <c r="CF399" s="5" t="n"/>
    </row>
    <row r="400" ht="16.5" customHeight="1" s="241">
      <c r="A400" s="171" t="n">
        <v>45</v>
      </c>
      <c r="B400" s="171" t="n">
        <v>54</v>
      </c>
      <c r="C400" s="171" t="inlineStr">
        <is>
          <t>Pymes Total 6</t>
        </is>
      </c>
      <c r="D400" s="169" t="n">
        <v>80</v>
      </c>
      <c r="E400" s="5" t="n"/>
      <c r="F400" s="5" t="n"/>
      <c r="G400" s="5" t="n"/>
      <c r="H400" s="5" t="n"/>
      <c r="I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  <c r="CE400" s="5" t="n"/>
      <c r="CF400" s="5" t="n"/>
    </row>
    <row r="401" ht="16.5" customHeight="1" s="241">
      <c r="A401" s="171" t="n">
        <v>55</v>
      </c>
      <c r="B401" s="171" t="n">
        <v>59</v>
      </c>
      <c r="C401" s="171" t="inlineStr">
        <is>
          <t>Pymes Total 6</t>
        </is>
      </c>
      <c r="D401" s="169" t="n">
        <v>110</v>
      </c>
      <c r="E401" s="5" t="n"/>
      <c r="F401" s="5" t="n"/>
      <c r="G401" s="5" t="n"/>
      <c r="H401" s="5" t="n"/>
      <c r="I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  <c r="CE401" s="5" t="n"/>
      <c r="CF401" s="5" t="n"/>
    </row>
    <row r="402" ht="16.5" customHeight="1" s="241">
      <c r="A402" s="171" t="n">
        <v>60</v>
      </c>
      <c r="B402" s="171" t="n">
        <v>67</v>
      </c>
      <c r="C402" s="171" t="inlineStr">
        <is>
          <t>Pymes Total 6</t>
        </is>
      </c>
      <c r="D402" s="169" t="n">
        <v>145</v>
      </c>
      <c r="E402" s="5" t="n"/>
      <c r="F402" s="5" t="n"/>
      <c r="G402" s="5" t="n"/>
      <c r="H402" s="5" t="n"/>
      <c r="I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  <c r="CE402" s="5" t="n"/>
      <c r="CF402" s="5" t="n"/>
    </row>
    <row r="403" ht="16.5" customHeight="1" s="241">
      <c r="A403" s="171" t="n">
        <v>68</v>
      </c>
      <c r="B403" s="171" t="n">
        <v>120</v>
      </c>
      <c r="C403" s="171" t="inlineStr">
        <is>
          <t>Pymes Total 6</t>
        </is>
      </c>
      <c r="D403" s="169" t="n">
        <v>225</v>
      </c>
      <c r="E403" s="5" t="n"/>
      <c r="F403" s="5" t="n"/>
      <c r="G403" s="5" t="n"/>
      <c r="H403" s="5" t="n"/>
      <c r="I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  <c r="CE403" s="5" t="n"/>
      <c r="CF403" s="5" t="n"/>
    </row>
    <row r="404" ht="16.5" customHeight="1" s="241">
      <c r="A404" s="171" t="n">
        <v>0</v>
      </c>
      <c r="B404" s="171" t="n">
        <v>24</v>
      </c>
      <c r="C404" s="171" t="inlineStr">
        <is>
          <t>Negocios NIF 1</t>
        </is>
      </c>
      <c r="D404" s="169" t="n">
        <v>55.5</v>
      </c>
      <c r="E404" s="5" t="n"/>
      <c r="F404" s="5" t="n"/>
      <c r="G404" s="5" t="n"/>
      <c r="H404" s="5" t="n"/>
      <c r="I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  <c r="CE404" s="5" t="n"/>
      <c r="CF404" s="5" t="n"/>
    </row>
    <row r="405" ht="16.5" customHeight="1" s="241">
      <c r="A405" s="171" t="n">
        <v>25</v>
      </c>
      <c r="B405" s="171" t="n">
        <v>44</v>
      </c>
      <c r="C405" s="171" t="inlineStr">
        <is>
          <t>Negocios NIF 1</t>
        </is>
      </c>
      <c r="D405" s="169" t="n">
        <v>61</v>
      </c>
      <c r="E405" s="5" t="n"/>
      <c r="F405" s="5" t="n"/>
      <c r="G405" s="5" t="n"/>
      <c r="H405" s="5" t="n"/>
      <c r="I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  <c r="CE405" s="5" t="n"/>
      <c r="CF405" s="5" t="n"/>
    </row>
    <row r="406" ht="16.5" customHeight="1" s="241">
      <c r="A406" s="171" t="n">
        <v>45</v>
      </c>
      <c r="B406" s="171" t="n">
        <v>54</v>
      </c>
      <c r="C406" s="171" t="inlineStr">
        <is>
          <t>Negocios NIF 1</t>
        </is>
      </c>
      <c r="D406" s="169" t="n">
        <v>79</v>
      </c>
      <c r="E406" s="5" t="n"/>
      <c r="F406" s="5" t="n"/>
      <c r="G406" s="5" t="n"/>
      <c r="H406" s="5" t="n"/>
      <c r="I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  <c r="CE406" s="5" t="n"/>
      <c r="CF406" s="5" t="n"/>
    </row>
    <row r="407" ht="16.5" customHeight="1" s="241">
      <c r="A407" s="171" t="n">
        <v>55</v>
      </c>
      <c r="B407" s="171" t="n">
        <v>59</v>
      </c>
      <c r="C407" s="171" t="inlineStr">
        <is>
          <t>Negocios NIF 1</t>
        </is>
      </c>
      <c r="D407" s="169" t="n">
        <v>123</v>
      </c>
      <c r="E407" s="5" t="n"/>
      <c r="F407" s="5" t="n"/>
      <c r="G407" s="5" t="n"/>
      <c r="H407" s="5" t="n"/>
      <c r="I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</row>
    <row r="408" ht="16.5" customHeight="1" s="241">
      <c r="A408" s="171" t="n">
        <v>60</v>
      </c>
      <c r="B408" s="171" t="n">
        <v>64</v>
      </c>
      <c r="C408" s="171" t="inlineStr">
        <is>
          <t>Negocios NIF 1</t>
        </is>
      </c>
      <c r="D408" s="169" t="n">
        <v>153</v>
      </c>
      <c r="E408" s="5" t="n"/>
      <c r="F408" s="5" t="n"/>
      <c r="G408" s="5" t="n"/>
      <c r="H408" s="5" t="n"/>
      <c r="I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  <c r="CE408" s="5" t="n"/>
      <c r="CF408" s="5" t="n"/>
    </row>
    <row r="409" ht="16.5" customHeight="1" s="241">
      <c r="A409" s="171" t="n">
        <v>65</v>
      </c>
      <c r="B409" s="171" t="n">
        <v>69</v>
      </c>
      <c r="C409" s="171" t="inlineStr">
        <is>
          <t>Negocios NIF 1</t>
        </is>
      </c>
      <c r="D409" s="170" t="n">
        <v>235</v>
      </c>
      <c r="E409" s="5" t="n"/>
      <c r="F409" s="5" t="n"/>
      <c r="G409" s="5" t="n"/>
      <c r="H409" s="5" t="n"/>
      <c r="I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  <c r="CE409" s="5" t="n"/>
      <c r="CF409" s="5" t="n"/>
    </row>
    <row r="410" ht="16.5" customHeight="1" s="241">
      <c r="A410" s="171" t="n">
        <v>70</v>
      </c>
      <c r="B410" s="171" t="n">
        <v>120</v>
      </c>
      <c r="C410" s="171" t="inlineStr">
        <is>
          <t>Negocios NIF 1</t>
        </is>
      </c>
      <c r="D410" s="170" t="n">
        <v>239</v>
      </c>
      <c r="E410" s="5" t="n"/>
      <c r="F410" s="5" t="n"/>
      <c r="G410" s="5" t="n"/>
      <c r="H410" s="5" t="n"/>
      <c r="I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  <c r="CE410" s="5" t="n"/>
      <c r="CF410" s="5" t="n"/>
    </row>
    <row r="411" ht="16.5" customHeight="1" s="241">
      <c r="A411" s="171" t="n">
        <v>0</v>
      </c>
      <c r="B411" s="171" t="n">
        <v>24</v>
      </c>
      <c r="C411" s="171" t="inlineStr">
        <is>
          <t>Negocios NIF 2</t>
        </is>
      </c>
      <c r="D411" s="170" t="n">
        <v>56.5</v>
      </c>
      <c r="E411" s="5" t="n"/>
      <c r="F411" s="5" t="n"/>
      <c r="G411" s="5" t="n"/>
      <c r="H411" s="5" t="n"/>
      <c r="I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  <c r="CE411" s="5" t="n"/>
      <c r="CF411" s="5" t="n"/>
    </row>
    <row r="412" ht="16.5" customHeight="1" s="241">
      <c r="A412" s="171" t="n">
        <v>25</v>
      </c>
      <c r="B412" s="171" t="n">
        <v>44</v>
      </c>
      <c r="C412" s="171" t="inlineStr">
        <is>
          <t>Negocios NIF 2</t>
        </is>
      </c>
      <c r="D412" s="170" t="n">
        <v>63.5</v>
      </c>
      <c r="E412" s="5" t="n"/>
      <c r="F412" s="5" t="n"/>
      <c r="G412" s="5" t="n"/>
      <c r="H412" s="5" t="n"/>
      <c r="I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  <c r="CE412" s="5" t="n"/>
      <c r="CF412" s="5" t="n"/>
    </row>
    <row r="413" ht="16.5" customHeight="1" s="241">
      <c r="A413" s="171" t="n">
        <v>45</v>
      </c>
      <c r="B413" s="171" t="n">
        <v>54</v>
      </c>
      <c r="C413" s="171" t="inlineStr">
        <is>
          <t>Negocios NIF 2</t>
        </is>
      </c>
      <c r="D413" s="170" t="n">
        <v>83</v>
      </c>
      <c r="E413" s="5" t="n"/>
      <c r="F413" s="5" t="n"/>
      <c r="G413" s="5" t="n"/>
      <c r="H413" s="5" t="n"/>
      <c r="I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  <c r="CE413" s="5" t="n"/>
      <c r="CF413" s="5" t="n"/>
    </row>
    <row r="414" ht="16.5" customHeight="1" s="241">
      <c r="A414" s="171" t="n">
        <v>55</v>
      </c>
      <c r="B414" s="171" t="n">
        <v>59</v>
      </c>
      <c r="C414" s="171" t="inlineStr">
        <is>
          <t>Negocios NIF 2</t>
        </is>
      </c>
      <c r="D414" s="170" t="n">
        <v>127</v>
      </c>
      <c r="E414" s="5" t="n"/>
      <c r="F414" s="5" t="n"/>
      <c r="G414" s="5" t="n"/>
      <c r="H414" s="5" t="n"/>
      <c r="I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  <c r="CE414" s="5" t="n"/>
      <c r="CF414" s="5" t="n"/>
    </row>
    <row r="415" ht="16.5" customHeight="1" s="241">
      <c r="A415" s="171" t="n">
        <v>60</v>
      </c>
      <c r="B415" s="171" t="n">
        <v>64</v>
      </c>
      <c r="C415" s="171" t="inlineStr">
        <is>
          <t>Negocios NIF 2</t>
        </is>
      </c>
      <c r="D415" s="170" t="n">
        <v>159</v>
      </c>
      <c r="E415" s="5" t="n"/>
      <c r="F415" s="5" t="n"/>
      <c r="G415" s="5" t="n"/>
      <c r="H415" s="5" t="n"/>
      <c r="I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  <c r="CE415" s="5" t="n"/>
      <c r="CF415" s="5" t="n"/>
    </row>
    <row r="416" ht="16.5" customHeight="1" s="241">
      <c r="A416" s="171" t="n">
        <v>65</v>
      </c>
      <c r="B416" s="171" t="n">
        <v>69</v>
      </c>
      <c r="C416" s="171" t="inlineStr">
        <is>
          <t>Negocios NIF 2</t>
        </is>
      </c>
      <c r="D416" s="170" t="n">
        <v>238</v>
      </c>
      <c r="E416" s="5" t="n"/>
      <c r="F416" s="5" t="n"/>
      <c r="G416" s="5" t="n"/>
      <c r="H416" s="5" t="n"/>
      <c r="I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  <c r="CE416" s="5" t="n"/>
      <c r="CF416" s="5" t="n"/>
    </row>
    <row r="417" ht="16.5" customHeight="1" s="241">
      <c r="A417" s="171" t="n">
        <v>70</v>
      </c>
      <c r="B417" s="171" t="n">
        <v>120</v>
      </c>
      <c r="C417" s="171" t="inlineStr">
        <is>
          <t>Negocios NIF 2</t>
        </is>
      </c>
      <c r="D417" s="170" t="n">
        <v>246</v>
      </c>
      <c r="E417" s="5" t="n"/>
      <c r="F417" s="5" t="n"/>
      <c r="G417" s="5" t="n"/>
      <c r="H417" s="5" t="n"/>
      <c r="I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  <c r="CE417" s="5" t="n"/>
      <c r="CF417" s="5" t="n"/>
    </row>
    <row r="418" ht="16.5" customHeight="1" s="241">
      <c r="A418" s="171" t="n">
        <v>0</v>
      </c>
      <c r="B418" s="171" t="n">
        <v>24</v>
      </c>
      <c r="C418" s="171" t="inlineStr">
        <is>
          <t>Negocios NIF 3</t>
        </is>
      </c>
      <c r="D418" s="170" t="n">
        <v>57</v>
      </c>
      <c r="E418" s="5" t="n"/>
      <c r="F418" s="5" t="n"/>
      <c r="G418" s="5" t="n"/>
      <c r="H418" s="5" t="n"/>
      <c r="I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  <c r="CE418" s="5" t="n"/>
      <c r="CF418" s="5" t="n"/>
    </row>
    <row r="419" ht="16.5" customHeight="1" s="241">
      <c r="A419" s="171" t="n">
        <v>25</v>
      </c>
      <c r="B419" s="171" t="n">
        <v>44</v>
      </c>
      <c r="C419" s="171" t="inlineStr">
        <is>
          <t>Negocios NIF 3</t>
        </is>
      </c>
      <c r="D419" s="170" t="n">
        <v>64.5</v>
      </c>
      <c r="E419" s="5" t="n"/>
      <c r="F419" s="5" t="n"/>
      <c r="G419" s="5" t="n"/>
      <c r="H419" s="5" t="n"/>
      <c r="I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  <c r="CE419" s="5" t="n"/>
      <c r="CF419" s="5" t="n"/>
    </row>
    <row r="420" ht="16.5" customHeight="1" s="241">
      <c r="A420" s="171" t="n">
        <v>45</v>
      </c>
      <c r="B420" s="171" t="n">
        <v>54</v>
      </c>
      <c r="C420" s="171" t="inlineStr">
        <is>
          <t>Negocios NIF 3</t>
        </is>
      </c>
      <c r="D420" s="170" t="n">
        <v>84</v>
      </c>
      <c r="E420" s="5" t="n"/>
      <c r="F420" s="5" t="n"/>
      <c r="G420" s="5" t="n"/>
      <c r="H420" s="5" t="n"/>
      <c r="I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  <c r="CE420" s="5" t="n"/>
      <c r="CF420" s="5" t="n"/>
    </row>
    <row r="421" ht="16.5" customHeight="1" s="241">
      <c r="A421" s="171" t="n">
        <v>55</v>
      </c>
      <c r="B421" s="171" t="n">
        <v>59</v>
      </c>
      <c r="C421" s="171" t="inlineStr">
        <is>
          <t>Negocios NIF 3</t>
        </is>
      </c>
      <c r="D421" s="170" t="n">
        <v>129</v>
      </c>
      <c r="E421" s="5" t="n"/>
      <c r="F421" s="5" t="n"/>
      <c r="G421" s="5" t="n"/>
      <c r="H421" s="5" t="n"/>
      <c r="I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  <c r="CE421" s="5" t="n"/>
      <c r="CF421" s="5" t="n"/>
    </row>
    <row r="422" ht="16.5" customHeight="1" s="241">
      <c r="A422" s="171" t="n">
        <v>60</v>
      </c>
      <c r="B422" s="171" t="n">
        <v>64</v>
      </c>
      <c r="C422" s="171" t="inlineStr">
        <is>
          <t>Negocios NIF 3</t>
        </is>
      </c>
      <c r="D422" s="170" t="n">
        <v>160</v>
      </c>
      <c r="E422" s="5" t="n"/>
      <c r="F422" s="5" t="n"/>
      <c r="G422" s="5" t="n"/>
      <c r="H422" s="5" t="n"/>
      <c r="I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  <c r="CE422" s="5" t="n"/>
      <c r="CF422" s="5" t="n"/>
    </row>
    <row r="423" ht="16.5" customHeight="1" s="241">
      <c r="A423" s="171" t="n">
        <v>65</v>
      </c>
      <c r="B423" s="171" t="n">
        <v>69</v>
      </c>
      <c r="C423" s="171" t="inlineStr">
        <is>
          <t>Negocios NIF 3</t>
        </is>
      </c>
      <c r="D423" s="170" t="n">
        <v>240</v>
      </c>
      <c r="E423" s="5" t="n"/>
      <c r="F423" s="5" t="n"/>
      <c r="G423" s="5" t="n"/>
      <c r="H423" s="5" t="n"/>
      <c r="I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  <c r="CE423" s="5" t="n"/>
      <c r="CF423" s="5" t="n"/>
    </row>
    <row r="424" ht="16.5" customHeight="1" s="241">
      <c r="A424" s="171" t="n">
        <v>70</v>
      </c>
      <c r="B424" s="171" t="n">
        <v>120</v>
      </c>
      <c r="C424" s="171" t="inlineStr">
        <is>
          <t>Negocios NIF 3</t>
        </is>
      </c>
      <c r="D424" s="170" t="n">
        <v>249</v>
      </c>
      <c r="E424" s="5" t="n"/>
      <c r="F424" s="5" t="n"/>
      <c r="G424" s="5" t="n"/>
      <c r="H424" s="5" t="n"/>
      <c r="I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  <c r="CE424" s="5" t="n"/>
      <c r="CF424" s="5" t="n"/>
    </row>
    <row r="425" ht="16.5" customHeight="1" s="241">
      <c r="A425" s="171" t="n">
        <v>0</v>
      </c>
      <c r="B425" s="171" t="n">
        <v>24</v>
      </c>
      <c r="C425" s="171" t="inlineStr">
        <is>
          <t>Negocios NIF 4</t>
        </is>
      </c>
      <c r="D425" s="170" t="n">
        <v>59</v>
      </c>
      <c r="E425" s="5" t="n"/>
      <c r="F425" s="5" t="n"/>
      <c r="G425" s="5" t="n"/>
      <c r="H425" s="5" t="n"/>
      <c r="I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  <c r="CE425" s="5" t="n"/>
      <c r="CF425" s="5" t="n"/>
    </row>
    <row r="426" ht="16.5" customHeight="1" s="241">
      <c r="A426" s="171" t="n">
        <v>25</v>
      </c>
      <c r="B426" s="171" t="n">
        <v>44</v>
      </c>
      <c r="C426" s="171" t="inlineStr">
        <is>
          <t>Negocios NIF 4</t>
        </is>
      </c>
      <c r="D426" s="170" t="n">
        <v>65.5</v>
      </c>
      <c r="E426" s="5" t="n"/>
      <c r="F426" s="5" t="n"/>
      <c r="G426" s="5" t="n"/>
      <c r="H426" s="5" t="n"/>
      <c r="I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  <c r="CE426" s="5" t="n"/>
      <c r="CF426" s="5" t="n"/>
    </row>
    <row r="427" ht="16.5" customHeight="1" s="241">
      <c r="A427" s="171" t="n">
        <v>45</v>
      </c>
      <c r="B427" s="171" t="n">
        <v>54</v>
      </c>
      <c r="C427" s="171" t="inlineStr">
        <is>
          <t>Negocios NIF 4</t>
        </is>
      </c>
      <c r="D427" s="170" t="n">
        <v>86.5</v>
      </c>
      <c r="E427" s="5" t="n"/>
      <c r="F427" s="5" t="n"/>
      <c r="G427" s="5" t="n"/>
      <c r="H427" s="5" t="n"/>
      <c r="I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  <c r="CE427" s="5" t="n"/>
      <c r="CF427" s="5" t="n"/>
    </row>
    <row r="428" ht="16.5" customHeight="1" s="241">
      <c r="A428" s="171" t="n">
        <v>55</v>
      </c>
      <c r="B428" s="171" t="n">
        <v>59</v>
      </c>
      <c r="C428" s="171" t="inlineStr">
        <is>
          <t>Negocios NIF 4</t>
        </is>
      </c>
      <c r="D428" s="170" t="n">
        <v>134</v>
      </c>
      <c r="E428" s="5" t="n"/>
      <c r="F428" s="5" t="n"/>
      <c r="G428" s="5" t="n"/>
      <c r="H428" s="5" t="n"/>
      <c r="I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  <c r="CE428" s="5" t="n"/>
      <c r="CF428" s="5" t="n"/>
    </row>
    <row r="429" ht="16.5" customHeight="1" s="241">
      <c r="A429" s="171" t="n">
        <v>60</v>
      </c>
      <c r="B429" s="171" t="n">
        <v>64</v>
      </c>
      <c r="C429" s="171" t="inlineStr">
        <is>
          <t>Negocios NIF 4</t>
        </is>
      </c>
      <c r="D429" s="170" t="n">
        <v>170</v>
      </c>
      <c r="E429" s="5" t="n"/>
      <c r="F429" s="5" t="n"/>
      <c r="G429" s="5" t="n"/>
      <c r="H429" s="5" t="n"/>
      <c r="I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  <c r="CE429" s="5" t="n"/>
      <c r="CF429" s="5" t="n"/>
    </row>
    <row r="430" ht="16.5" customHeight="1" s="241">
      <c r="A430" s="171" t="n">
        <v>65</v>
      </c>
      <c r="B430" s="171" t="n">
        <v>69</v>
      </c>
      <c r="C430" s="171" t="inlineStr">
        <is>
          <t>Negocios NIF 4</t>
        </is>
      </c>
      <c r="D430" s="170" t="n">
        <v>249</v>
      </c>
      <c r="E430" s="5" t="n"/>
      <c r="F430" s="5" t="n"/>
      <c r="G430" s="5" t="n"/>
      <c r="H430" s="5" t="n"/>
      <c r="I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  <c r="CE430" s="5" t="n"/>
      <c r="CF430" s="5" t="n"/>
    </row>
    <row r="431" ht="16.5" customHeight="1" s="241">
      <c r="A431" s="171" t="n">
        <v>70</v>
      </c>
      <c r="B431" s="171" t="n">
        <v>120</v>
      </c>
      <c r="C431" s="171" t="inlineStr">
        <is>
          <t>Negocios NIF 4</t>
        </is>
      </c>
      <c r="D431" s="170" t="n">
        <v>261</v>
      </c>
      <c r="E431" s="5" t="n"/>
      <c r="F431" s="5" t="n"/>
      <c r="G431" s="5" t="n"/>
      <c r="H431" s="5" t="n"/>
      <c r="I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  <c r="CE431" s="5" t="n"/>
      <c r="CF431" s="5" t="n"/>
    </row>
    <row r="432" ht="16.5" customHeight="1" s="241">
      <c r="A432" s="171" t="n">
        <v>0</v>
      </c>
      <c r="B432" s="171" t="n">
        <v>24</v>
      </c>
      <c r="C432" s="171" t="inlineStr">
        <is>
          <t>Negocios NIF 5</t>
        </is>
      </c>
      <c r="D432" s="169" t="n">
        <v>61</v>
      </c>
      <c r="E432" s="5" t="n"/>
      <c r="F432" s="5" t="n"/>
      <c r="G432" s="5" t="n"/>
      <c r="H432" s="5" t="n"/>
      <c r="I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  <c r="CE432" s="5" t="n"/>
      <c r="CF432" s="5" t="n"/>
    </row>
    <row r="433" ht="16.5" customHeight="1" s="241">
      <c r="A433" s="171" t="n">
        <v>25</v>
      </c>
      <c r="B433" s="171" t="n">
        <v>44</v>
      </c>
      <c r="C433" s="171" t="inlineStr">
        <is>
          <t>Negocios NIF 5</t>
        </is>
      </c>
      <c r="D433" s="169" t="n">
        <v>66.5</v>
      </c>
      <c r="E433" s="5" t="n"/>
      <c r="F433" s="5" t="n"/>
      <c r="G433" s="5" t="n"/>
      <c r="H433" s="5" t="n"/>
      <c r="I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  <c r="CE433" s="5" t="n"/>
      <c r="CF433" s="5" t="n"/>
    </row>
    <row r="434" ht="16.5" customHeight="1" s="241">
      <c r="A434" s="171" t="n">
        <v>45</v>
      </c>
      <c r="B434" s="171" t="n">
        <v>54</v>
      </c>
      <c r="C434" s="171" t="inlineStr">
        <is>
          <t>Negocios NIF 5</t>
        </is>
      </c>
      <c r="D434" s="169" t="n">
        <v>88.5</v>
      </c>
      <c r="E434" s="5" t="n"/>
      <c r="F434" s="5" t="n"/>
      <c r="G434" s="5" t="n"/>
      <c r="H434" s="5" t="n"/>
      <c r="I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  <c r="CE434" s="5" t="n"/>
      <c r="CF434" s="5" t="n"/>
    </row>
    <row r="435" ht="16.5" customHeight="1" s="241">
      <c r="A435" s="171" t="n">
        <v>55</v>
      </c>
      <c r="B435" s="171" t="n">
        <v>59</v>
      </c>
      <c r="C435" s="171" t="inlineStr">
        <is>
          <t>Negocios NIF 5</t>
        </is>
      </c>
      <c r="D435" s="169" t="n">
        <v>139</v>
      </c>
      <c r="E435" s="5" t="n"/>
      <c r="F435" s="5" t="n"/>
      <c r="G435" s="5" t="n"/>
      <c r="H435" s="5" t="n"/>
      <c r="I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  <c r="CE435" s="5" t="n"/>
      <c r="CF435" s="5" t="n"/>
    </row>
    <row r="436" ht="16.5" customHeight="1" s="241">
      <c r="A436" s="171" t="n">
        <v>60</v>
      </c>
      <c r="B436" s="171" t="n">
        <v>64</v>
      </c>
      <c r="C436" s="171" t="inlineStr">
        <is>
          <t>Negocios NIF 5</t>
        </is>
      </c>
      <c r="D436" s="169" t="n">
        <v>175</v>
      </c>
      <c r="E436" s="5" t="n"/>
      <c r="F436" s="5" t="n"/>
      <c r="G436" s="5" t="n"/>
      <c r="H436" s="5" t="n"/>
      <c r="I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</row>
    <row r="437" ht="16.5" customHeight="1" s="241">
      <c r="A437" s="171" t="n">
        <v>65</v>
      </c>
      <c r="B437" s="171" t="n">
        <v>69</v>
      </c>
      <c r="C437" s="171" t="inlineStr">
        <is>
          <t>Negocios NIF 5</t>
        </is>
      </c>
      <c r="D437" s="169" t="n">
        <v>259</v>
      </c>
      <c r="E437" s="5" t="n"/>
      <c r="F437" s="5" t="n"/>
      <c r="G437" s="5" t="n"/>
      <c r="H437" s="5" t="n"/>
      <c r="I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  <c r="CE437" s="5" t="n"/>
      <c r="CF437" s="5" t="n"/>
    </row>
    <row r="438" ht="16.5" customHeight="1" s="241">
      <c r="A438" s="171" t="n">
        <v>70</v>
      </c>
      <c r="B438" s="171" t="n">
        <v>120</v>
      </c>
      <c r="C438" s="171" t="inlineStr">
        <is>
          <t>Negocios NIF 5</t>
        </is>
      </c>
      <c r="D438" s="169" t="n">
        <v>265</v>
      </c>
      <c r="E438" s="5" t="n"/>
      <c r="F438" s="5" t="n"/>
      <c r="G438" s="5" t="n"/>
      <c r="H438" s="5" t="n"/>
      <c r="I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  <c r="CE438" s="5" t="n"/>
      <c r="CF438" s="5" t="n"/>
    </row>
    <row r="439" ht="16.5" customHeight="1" s="241">
      <c r="A439" s="171" t="n">
        <v>0</v>
      </c>
      <c r="B439" s="171" t="n">
        <v>24</v>
      </c>
      <c r="C439" s="171" t="inlineStr">
        <is>
          <t>Negocios NIF 6</t>
        </is>
      </c>
      <c r="D439" s="169" t="n">
        <v>61.5</v>
      </c>
      <c r="E439" s="5" t="n"/>
      <c r="F439" s="5" t="n"/>
      <c r="G439" s="5" t="n"/>
      <c r="H439" s="5" t="n"/>
      <c r="I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</row>
    <row r="440" ht="16.5" customHeight="1" s="241">
      <c r="A440" s="171" t="n">
        <v>25</v>
      </c>
      <c r="B440" s="171" t="n">
        <v>44</v>
      </c>
      <c r="C440" s="171" t="inlineStr">
        <is>
          <t>Negocios NIF 6</t>
        </is>
      </c>
      <c r="D440" s="169" t="n">
        <v>68</v>
      </c>
      <c r="E440" s="5" t="n"/>
      <c r="F440" s="5" t="n"/>
      <c r="G440" s="5" t="n"/>
      <c r="H440" s="5" t="n"/>
      <c r="I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  <c r="CE440" s="5" t="n"/>
      <c r="CF440" s="5" t="n"/>
    </row>
    <row r="441" ht="16.5" customHeight="1" s="241">
      <c r="A441" s="171" t="n">
        <v>45</v>
      </c>
      <c r="B441" s="171" t="n">
        <v>54</v>
      </c>
      <c r="C441" s="171" t="inlineStr">
        <is>
          <t>Negocios NIF 6</t>
        </is>
      </c>
      <c r="D441" s="169" t="n">
        <v>89.5</v>
      </c>
      <c r="E441" s="5" t="n"/>
      <c r="F441" s="5" t="n"/>
      <c r="G441" s="5" t="n"/>
      <c r="H441" s="5" t="n"/>
      <c r="I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  <c r="CE441" s="5" t="n"/>
      <c r="CF441" s="5" t="n"/>
    </row>
    <row r="442" ht="16.5" customHeight="1" s="241">
      <c r="A442" s="171" t="n">
        <v>55</v>
      </c>
      <c r="B442" s="171" t="n">
        <v>59</v>
      </c>
      <c r="C442" s="171" t="inlineStr">
        <is>
          <t>Negocios NIF 6</t>
        </is>
      </c>
      <c r="D442" s="169" t="n">
        <v>139.5</v>
      </c>
      <c r="E442" s="5" t="n"/>
      <c r="F442" s="5" t="n"/>
      <c r="G442" s="5" t="n"/>
      <c r="H442" s="5" t="n"/>
      <c r="I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  <c r="CE442" s="5" t="n"/>
      <c r="CF442" s="5" t="n"/>
    </row>
    <row r="443" ht="16.5" customHeight="1" s="241">
      <c r="A443" s="171" t="n">
        <v>60</v>
      </c>
      <c r="B443" s="171" t="n">
        <v>64</v>
      </c>
      <c r="C443" s="171" t="inlineStr">
        <is>
          <t>Negocios NIF 6</t>
        </is>
      </c>
      <c r="D443" s="169" t="n">
        <v>176</v>
      </c>
      <c r="E443" s="5" t="n"/>
      <c r="F443" s="5" t="n"/>
      <c r="G443" s="5" t="n"/>
      <c r="H443" s="5" t="n"/>
      <c r="I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</row>
    <row r="444" ht="16.5" customHeight="1" s="241">
      <c r="A444" s="171" t="n">
        <v>65</v>
      </c>
      <c r="B444" s="171" t="n">
        <v>69</v>
      </c>
      <c r="C444" s="171" t="inlineStr">
        <is>
          <t>Negocios NIF 6</t>
        </is>
      </c>
      <c r="D444" s="169" t="n">
        <v>264</v>
      </c>
      <c r="E444" s="5" t="n"/>
      <c r="F444" s="5" t="n"/>
      <c r="G444" s="5" t="n"/>
      <c r="H444" s="5" t="n"/>
      <c r="I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  <c r="CE444" s="5" t="n"/>
      <c r="CF444" s="5" t="n"/>
    </row>
    <row r="445" ht="16.5" customHeight="1" s="241">
      <c r="A445" s="171" t="n">
        <v>70</v>
      </c>
      <c r="B445" s="171" t="n">
        <v>120</v>
      </c>
      <c r="C445" s="171" t="inlineStr">
        <is>
          <t>Negocios NIF 6</t>
        </is>
      </c>
      <c r="D445" s="169" t="n">
        <v>275</v>
      </c>
      <c r="E445" s="5" t="n"/>
      <c r="F445" s="5" t="n"/>
      <c r="G445" s="5" t="n"/>
      <c r="H445" s="5" t="n"/>
      <c r="I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  <c r="CE445" s="5" t="n"/>
      <c r="CF445" s="5" t="n"/>
    </row>
    <row r="446" ht="16.5" customHeight="1" s="241">
      <c r="A446" s="171" t="n">
        <v>0</v>
      </c>
      <c r="B446" s="171" t="n">
        <v>24</v>
      </c>
      <c r="C446" s="171" t="inlineStr">
        <is>
          <t>Extra Negocios NIF 1</t>
        </is>
      </c>
      <c r="D446" s="169" t="n"/>
      <c r="E446" s="5" t="n"/>
      <c r="F446" s="5" t="n"/>
      <c r="G446" s="5" t="n"/>
      <c r="H446" s="5" t="n"/>
      <c r="I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</row>
    <row r="447" ht="16.5" customHeight="1" s="241">
      <c r="A447" s="171" t="n">
        <v>25</v>
      </c>
      <c r="B447" s="171" t="n">
        <v>44</v>
      </c>
      <c r="C447" s="171" t="inlineStr">
        <is>
          <t>Extra Negocios NIF 1</t>
        </is>
      </c>
      <c r="D447" s="169" t="n"/>
      <c r="E447" s="5" t="n"/>
      <c r="F447" s="5" t="n"/>
      <c r="G447" s="5" t="n"/>
      <c r="H447" s="5" t="n"/>
      <c r="I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  <c r="CE447" s="5" t="n"/>
      <c r="CF447" s="5" t="n"/>
    </row>
    <row r="448" ht="16.5" customHeight="1" s="241">
      <c r="A448" s="171" t="n">
        <v>45</v>
      </c>
      <c r="B448" s="171" t="n">
        <v>54</v>
      </c>
      <c r="C448" s="171" t="inlineStr">
        <is>
          <t>Extra Negocios NIF 1</t>
        </is>
      </c>
      <c r="D448" s="169" t="n"/>
      <c r="E448" s="5" t="n"/>
      <c r="F448" s="5" t="n"/>
      <c r="G448" s="5" t="n"/>
      <c r="H448" s="5" t="n"/>
      <c r="I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  <c r="CE448" s="5" t="n"/>
      <c r="CF448" s="5" t="n"/>
    </row>
    <row r="449" ht="16.5" customHeight="1" s="241">
      <c r="A449" s="171" t="n">
        <v>55</v>
      </c>
      <c r="B449" s="171" t="n">
        <v>59</v>
      </c>
      <c r="C449" s="171" t="inlineStr">
        <is>
          <t>Extra Negocios NIF 1</t>
        </is>
      </c>
      <c r="D449" s="169" t="n"/>
      <c r="E449" s="5" t="n"/>
      <c r="F449" s="5" t="n"/>
      <c r="G449" s="5" t="n"/>
      <c r="H449" s="5" t="n"/>
      <c r="I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  <c r="CE449" s="5" t="n"/>
      <c r="CF449" s="5" t="n"/>
    </row>
    <row r="450" ht="16.5" customHeight="1" s="241">
      <c r="A450" s="171" t="n">
        <v>60</v>
      </c>
      <c r="B450" s="171" t="n">
        <v>64</v>
      </c>
      <c r="C450" s="171" t="inlineStr">
        <is>
          <t>Extra Negocios NIF 1</t>
        </is>
      </c>
      <c r="D450" s="169" t="n"/>
      <c r="E450" s="5" t="n"/>
      <c r="F450" s="5" t="n"/>
      <c r="G450" s="5" t="n"/>
      <c r="H450" s="5" t="n"/>
      <c r="I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  <c r="CE450" s="5" t="n"/>
      <c r="CF450" s="5" t="n"/>
    </row>
    <row r="451" ht="16.5" customHeight="1" s="241">
      <c r="A451" s="171" t="n">
        <v>65</v>
      </c>
      <c r="B451" s="171" t="n">
        <v>69</v>
      </c>
      <c r="C451" s="171" t="inlineStr">
        <is>
          <t>Extra Negocios NIF 1</t>
        </is>
      </c>
      <c r="D451" s="170" t="n"/>
      <c r="E451" s="5" t="n"/>
      <c r="F451" s="5" t="n"/>
      <c r="G451" s="5" t="n"/>
      <c r="H451" s="5" t="n"/>
      <c r="I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  <c r="CE451" s="5" t="n"/>
      <c r="CF451" s="5" t="n"/>
    </row>
    <row r="452" ht="16.5" customHeight="1" s="241">
      <c r="A452" s="171" t="n">
        <v>70</v>
      </c>
      <c r="B452" s="171" t="n">
        <v>120</v>
      </c>
      <c r="C452" s="171" t="inlineStr">
        <is>
          <t>Extra Negocios NIF 1</t>
        </is>
      </c>
      <c r="D452" s="170" t="n"/>
      <c r="E452" s="5" t="n"/>
      <c r="F452" s="5" t="n"/>
      <c r="G452" s="5" t="n"/>
      <c r="H452" s="5" t="n"/>
      <c r="I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  <c r="CE452" s="5" t="n"/>
      <c r="CF452" s="5" t="n"/>
    </row>
    <row r="453" ht="16.5" customHeight="1" s="241">
      <c r="A453" s="171" t="n">
        <v>0</v>
      </c>
      <c r="B453" s="171" t="n">
        <v>24</v>
      </c>
      <c r="C453" s="171" t="inlineStr">
        <is>
          <t>Extra Negocios NIF 2</t>
        </is>
      </c>
      <c r="D453" s="170" t="n"/>
      <c r="E453" s="5" t="n"/>
      <c r="F453" s="5" t="n"/>
      <c r="G453" s="5" t="n"/>
      <c r="H453" s="5" t="n"/>
      <c r="I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  <c r="CE453" s="5" t="n"/>
      <c r="CF453" s="5" t="n"/>
    </row>
    <row r="454" ht="16.5" customHeight="1" s="241">
      <c r="A454" s="171" t="n">
        <v>25</v>
      </c>
      <c r="B454" s="171" t="n">
        <v>44</v>
      </c>
      <c r="C454" s="171" t="inlineStr">
        <is>
          <t>Extra Negocios NIF 2</t>
        </is>
      </c>
      <c r="D454" s="170" t="n"/>
      <c r="E454" s="5" t="n"/>
      <c r="F454" s="5" t="n"/>
      <c r="G454" s="5" t="n"/>
      <c r="H454" s="5" t="n"/>
      <c r="I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  <c r="BX454" s="5" t="n"/>
      <c r="BY454" s="5" t="n"/>
      <c r="BZ454" s="5" t="n"/>
      <c r="CA454" s="5" t="n"/>
      <c r="CB454" s="5" t="n"/>
      <c r="CC454" s="5" t="n"/>
      <c r="CD454" s="5" t="n"/>
      <c r="CE454" s="5" t="n"/>
      <c r="CF454" s="5" t="n"/>
    </row>
    <row r="455" ht="16.5" customHeight="1" s="241">
      <c r="A455" s="171" t="n">
        <v>45</v>
      </c>
      <c r="B455" s="171" t="n">
        <v>54</v>
      </c>
      <c r="C455" s="171" t="inlineStr">
        <is>
          <t>Extra Negocios NIF 2</t>
        </is>
      </c>
      <c r="D455" s="170" t="n"/>
      <c r="E455" s="5" t="n"/>
      <c r="F455" s="5" t="n"/>
      <c r="G455" s="5" t="n"/>
      <c r="H455" s="5" t="n"/>
      <c r="I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  <c r="CE455" s="5" t="n"/>
      <c r="CF455" s="5" t="n"/>
    </row>
    <row r="456" ht="16.5" customHeight="1" s="241">
      <c r="A456" s="171" t="n">
        <v>55</v>
      </c>
      <c r="B456" s="171" t="n">
        <v>59</v>
      </c>
      <c r="C456" s="171" t="inlineStr">
        <is>
          <t>Extra Negocios NIF 2</t>
        </is>
      </c>
      <c r="D456" s="170" t="n"/>
      <c r="E456" s="5" t="n"/>
      <c r="F456" s="5" t="n"/>
      <c r="G456" s="5" t="n"/>
      <c r="H456" s="5" t="n"/>
      <c r="I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  <c r="CE456" s="5" t="n"/>
      <c r="CF456" s="5" t="n"/>
    </row>
    <row r="457" ht="16.5" customHeight="1" s="241">
      <c r="A457" s="171" t="n">
        <v>60</v>
      </c>
      <c r="B457" s="171" t="n">
        <v>64</v>
      </c>
      <c r="C457" s="171" t="inlineStr">
        <is>
          <t>Extra Negocios NIF 2</t>
        </is>
      </c>
      <c r="D457" s="170" t="n"/>
      <c r="E457" s="5" t="n"/>
      <c r="F457" s="5" t="n"/>
      <c r="G457" s="5" t="n"/>
      <c r="H457" s="5" t="n"/>
      <c r="I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  <c r="CE457" s="5" t="n"/>
      <c r="CF457" s="5" t="n"/>
    </row>
    <row r="458" ht="16.5" customHeight="1" s="241">
      <c r="A458" s="171" t="n">
        <v>65</v>
      </c>
      <c r="B458" s="171" t="n">
        <v>69</v>
      </c>
      <c r="C458" s="171" t="inlineStr">
        <is>
          <t>Extra Negocios NIF 2</t>
        </is>
      </c>
      <c r="D458" s="170" t="n"/>
      <c r="E458" s="5" t="n"/>
      <c r="F458" s="5" t="n"/>
      <c r="G458" s="5" t="n"/>
      <c r="H458" s="5" t="n"/>
      <c r="I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  <c r="BX458" s="5" t="n"/>
      <c r="BY458" s="5" t="n"/>
      <c r="BZ458" s="5" t="n"/>
      <c r="CA458" s="5" t="n"/>
      <c r="CB458" s="5" t="n"/>
      <c r="CC458" s="5" t="n"/>
      <c r="CD458" s="5" t="n"/>
      <c r="CE458" s="5" t="n"/>
      <c r="CF458" s="5" t="n"/>
    </row>
    <row r="459" ht="16.5" customHeight="1" s="241">
      <c r="A459" s="171" t="n">
        <v>70</v>
      </c>
      <c r="B459" s="171" t="n">
        <v>120</v>
      </c>
      <c r="C459" s="171" t="inlineStr">
        <is>
          <t>Extra Negocios NIF 2</t>
        </is>
      </c>
      <c r="D459" s="170" t="n"/>
      <c r="E459" s="5" t="n"/>
      <c r="F459" s="5" t="n"/>
      <c r="G459" s="5" t="n"/>
      <c r="H459" s="5" t="n"/>
      <c r="I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  <c r="CE459" s="5" t="n"/>
      <c r="CF459" s="5" t="n"/>
    </row>
    <row r="460" ht="16.5" customHeight="1" s="241">
      <c r="A460" s="171" t="n">
        <v>0</v>
      </c>
      <c r="B460" s="171" t="n">
        <v>24</v>
      </c>
      <c r="C460" s="171" t="inlineStr">
        <is>
          <t>Extra Negocios NIF 3</t>
        </is>
      </c>
      <c r="D460" s="170" t="n"/>
      <c r="E460" s="5" t="n"/>
      <c r="F460" s="5" t="n"/>
      <c r="G460" s="5" t="n"/>
      <c r="H460" s="5" t="n"/>
      <c r="I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  <c r="CE460" s="5" t="n"/>
      <c r="CF460" s="5" t="n"/>
    </row>
    <row r="461" ht="16.5" customHeight="1" s="241">
      <c r="A461" s="171" t="n">
        <v>25</v>
      </c>
      <c r="B461" s="171" t="n">
        <v>44</v>
      </c>
      <c r="C461" s="171" t="inlineStr">
        <is>
          <t>Extra Negocios NIF 3</t>
        </is>
      </c>
      <c r="D461" s="170" t="n"/>
      <c r="E461" s="5" t="n"/>
      <c r="F461" s="5" t="n"/>
      <c r="G461" s="5" t="n"/>
      <c r="H461" s="5" t="n"/>
      <c r="I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  <c r="CE461" s="5" t="n"/>
      <c r="CF461" s="5" t="n"/>
    </row>
    <row r="462" ht="16.5" customHeight="1" s="241">
      <c r="A462" s="171" t="n">
        <v>45</v>
      </c>
      <c r="B462" s="171" t="n">
        <v>54</v>
      </c>
      <c r="C462" s="171" t="inlineStr">
        <is>
          <t>Extra Negocios NIF 3</t>
        </is>
      </c>
      <c r="D462" s="170" t="n"/>
      <c r="E462" s="5" t="n"/>
      <c r="F462" s="5" t="n"/>
      <c r="G462" s="5" t="n"/>
      <c r="H462" s="5" t="n"/>
      <c r="I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  <c r="BX462" s="5" t="n"/>
      <c r="BY462" s="5" t="n"/>
      <c r="BZ462" s="5" t="n"/>
      <c r="CA462" s="5" t="n"/>
      <c r="CB462" s="5" t="n"/>
      <c r="CC462" s="5" t="n"/>
      <c r="CD462" s="5" t="n"/>
      <c r="CE462" s="5" t="n"/>
      <c r="CF462" s="5" t="n"/>
    </row>
    <row r="463" ht="16.5" customHeight="1" s="241">
      <c r="A463" s="171" t="n">
        <v>55</v>
      </c>
      <c r="B463" s="171" t="n">
        <v>59</v>
      </c>
      <c r="C463" s="171" t="inlineStr">
        <is>
          <t>Extra Negocios NIF 3</t>
        </is>
      </c>
      <c r="D463" s="170" t="n"/>
      <c r="E463" s="5" t="n"/>
      <c r="F463" s="5" t="n"/>
      <c r="G463" s="5" t="n"/>
      <c r="H463" s="5" t="n"/>
      <c r="I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  <c r="CE463" s="5" t="n"/>
      <c r="CF463" s="5" t="n"/>
    </row>
    <row r="464" ht="16.5" customHeight="1" s="241">
      <c r="A464" s="171" t="n">
        <v>60</v>
      </c>
      <c r="B464" s="171" t="n">
        <v>64</v>
      </c>
      <c r="C464" s="171" t="inlineStr">
        <is>
          <t>Extra Negocios NIF 3</t>
        </is>
      </c>
      <c r="D464" s="170" t="n"/>
      <c r="E464" s="5" t="n"/>
      <c r="F464" s="5" t="n"/>
      <c r="G464" s="5" t="n"/>
      <c r="H464" s="5" t="n"/>
      <c r="I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  <c r="CE464" s="5" t="n"/>
      <c r="CF464" s="5" t="n"/>
    </row>
    <row r="465" ht="16.5" customHeight="1" s="241">
      <c r="A465" s="171" t="n">
        <v>65</v>
      </c>
      <c r="B465" s="171" t="n">
        <v>69</v>
      </c>
      <c r="C465" s="171" t="inlineStr">
        <is>
          <t>Extra Negocios NIF 3</t>
        </is>
      </c>
      <c r="D465" s="170" t="n"/>
      <c r="E465" s="5" t="n"/>
      <c r="F465" s="5" t="n"/>
      <c r="G465" s="5" t="n"/>
      <c r="H465" s="5" t="n"/>
      <c r="I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  <c r="CE465" s="5" t="n"/>
      <c r="CF465" s="5" t="n"/>
    </row>
    <row r="466" ht="16.5" customHeight="1" s="241">
      <c r="A466" s="171" t="n">
        <v>70</v>
      </c>
      <c r="B466" s="171" t="n">
        <v>120</v>
      </c>
      <c r="C466" s="171" t="inlineStr">
        <is>
          <t>Extra Negocios NIF 3</t>
        </is>
      </c>
      <c r="D466" s="170" t="n"/>
      <c r="E466" s="5" t="n"/>
      <c r="F466" s="5" t="n"/>
      <c r="G466" s="5" t="n"/>
      <c r="H466" s="5" t="n"/>
      <c r="I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  <c r="BX466" s="5" t="n"/>
      <c r="BY466" s="5" t="n"/>
      <c r="BZ466" s="5" t="n"/>
      <c r="CA466" s="5" t="n"/>
      <c r="CB466" s="5" t="n"/>
      <c r="CC466" s="5" t="n"/>
      <c r="CD466" s="5" t="n"/>
      <c r="CE466" s="5" t="n"/>
      <c r="CF466" s="5" t="n"/>
    </row>
    <row r="467" ht="16.5" customHeight="1" s="241">
      <c r="A467" s="171" t="n">
        <v>0</v>
      </c>
      <c r="B467" s="171" t="n">
        <v>24</v>
      </c>
      <c r="C467" s="171" t="inlineStr">
        <is>
          <t>Extra Negocios NIF 4</t>
        </is>
      </c>
      <c r="D467" s="170" t="n"/>
      <c r="E467" s="5" t="n"/>
      <c r="F467" s="5" t="n"/>
      <c r="G467" s="5" t="n"/>
      <c r="H467" s="5" t="n"/>
      <c r="I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  <c r="CE467" s="5" t="n"/>
      <c r="CF467" s="5" t="n"/>
    </row>
    <row r="468" ht="16.5" customHeight="1" s="241">
      <c r="A468" s="171" t="n">
        <v>25</v>
      </c>
      <c r="B468" s="171" t="n">
        <v>44</v>
      </c>
      <c r="C468" s="171" t="inlineStr">
        <is>
          <t>Extra Negocios NIF 4</t>
        </is>
      </c>
      <c r="D468" s="170" t="n"/>
      <c r="E468" s="5" t="n"/>
      <c r="F468" s="5" t="n"/>
      <c r="G468" s="5" t="n"/>
      <c r="H468" s="5" t="n"/>
      <c r="I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  <c r="CE468" s="5" t="n"/>
      <c r="CF468" s="5" t="n"/>
    </row>
    <row r="469" ht="16.5" customHeight="1" s="241">
      <c r="A469" s="171" t="n">
        <v>45</v>
      </c>
      <c r="B469" s="171" t="n">
        <v>54</v>
      </c>
      <c r="C469" s="171" t="inlineStr">
        <is>
          <t>Extra Negocios NIF 4</t>
        </is>
      </c>
      <c r="D469" s="170" t="n"/>
      <c r="E469" s="5" t="n"/>
      <c r="F469" s="5" t="n"/>
      <c r="G469" s="5" t="n"/>
      <c r="H469" s="5" t="n"/>
      <c r="I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  <c r="CE469" s="5" t="n"/>
      <c r="CF469" s="5" t="n"/>
    </row>
    <row r="470" ht="16.5" customHeight="1" s="241">
      <c r="A470" s="171" t="n">
        <v>55</v>
      </c>
      <c r="B470" s="171" t="n">
        <v>59</v>
      </c>
      <c r="C470" s="171" t="inlineStr">
        <is>
          <t>Extra Negocios NIF 4</t>
        </is>
      </c>
      <c r="D470" s="170" t="n"/>
      <c r="E470" s="5" t="n"/>
      <c r="F470" s="5" t="n"/>
      <c r="G470" s="5" t="n"/>
      <c r="H470" s="5" t="n"/>
      <c r="I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  <c r="BX470" s="5" t="n"/>
      <c r="BY470" s="5" t="n"/>
      <c r="BZ470" s="5" t="n"/>
      <c r="CA470" s="5" t="n"/>
      <c r="CB470" s="5" t="n"/>
      <c r="CC470" s="5" t="n"/>
      <c r="CD470" s="5" t="n"/>
      <c r="CE470" s="5" t="n"/>
      <c r="CF470" s="5" t="n"/>
    </row>
    <row r="471" ht="16.5" customHeight="1" s="241">
      <c r="A471" s="171" t="n">
        <v>60</v>
      </c>
      <c r="B471" s="171" t="n">
        <v>64</v>
      </c>
      <c r="C471" s="171" t="inlineStr">
        <is>
          <t>Extra Negocios NIF 4</t>
        </is>
      </c>
      <c r="D471" s="170" t="n"/>
      <c r="E471" s="5" t="n"/>
      <c r="F471" s="5" t="n"/>
      <c r="G471" s="5" t="n"/>
      <c r="H471" s="5" t="n"/>
      <c r="I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  <c r="CE471" s="5" t="n"/>
      <c r="CF471" s="5" t="n"/>
    </row>
    <row r="472" ht="16.5" customHeight="1" s="241">
      <c r="A472" s="171" t="n">
        <v>65</v>
      </c>
      <c r="B472" s="171" t="n">
        <v>69</v>
      </c>
      <c r="C472" s="171" t="inlineStr">
        <is>
          <t>Extra Negocios NIF 4</t>
        </is>
      </c>
      <c r="D472" s="170" t="n"/>
      <c r="E472" s="5" t="n"/>
      <c r="F472" s="5" t="n"/>
      <c r="G472" s="5" t="n"/>
      <c r="H472" s="5" t="n"/>
      <c r="I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  <c r="BX472" s="5" t="n"/>
      <c r="BY472" s="5" t="n"/>
      <c r="BZ472" s="5" t="n"/>
      <c r="CA472" s="5" t="n"/>
      <c r="CB472" s="5" t="n"/>
      <c r="CC472" s="5" t="n"/>
      <c r="CD472" s="5" t="n"/>
      <c r="CE472" s="5" t="n"/>
      <c r="CF472" s="5" t="n"/>
    </row>
    <row r="473" ht="16.5" customHeight="1" s="241">
      <c r="A473" s="171" t="n">
        <v>70</v>
      </c>
      <c r="B473" s="171" t="n">
        <v>120</v>
      </c>
      <c r="C473" s="171" t="inlineStr">
        <is>
          <t>Extra Negocios NIF 4</t>
        </is>
      </c>
      <c r="D473" s="170" t="n"/>
      <c r="E473" s="5" t="n"/>
      <c r="F473" s="5" t="n"/>
      <c r="G473" s="5" t="n"/>
      <c r="H473" s="5" t="n"/>
      <c r="I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  <c r="CE473" s="5" t="n"/>
      <c r="CF473" s="5" t="n"/>
    </row>
    <row r="474" ht="16.5" customHeight="1" s="241">
      <c r="A474" s="171" t="n">
        <v>0</v>
      </c>
      <c r="B474" s="171" t="n">
        <v>24</v>
      </c>
      <c r="C474" s="171" t="inlineStr">
        <is>
          <t>Extra Negocios NIF 5</t>
        </is>
      </c>
      <c r="D474" s="170" t="n"/>
      <c r="E474" s="5" t="n"/>
      <c r="F474" s="5" t="n"/>
      <c r="G474" s="5" t="n"/>
      <c r="H474" s="5" t="n"/>
      <c r="I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  <c r="BX474" s="5" t="n"/>
      <c r="BY474" s="5" t="n"/>
      <c r="BZ474" s="5" t="n"/>
      <c r="CA474" s="5" t="n"/>
      <c r="CB474" s="5" t="n"/>
      <c r="CC474" s="5" t="n"/>
      <c r="CD474" s="5" t="n"/>
      <c r="CE474" s="5" t="n"/>
      <c r="CF474" s="5" t="n"/>
    </row>
    <row r="475" ht="16.5" customHeight="1" s="241">
      <c r="A475" s="171" t="n">
        <v>25</v>
      </c>
      <c r="B475" s="171" t="n">
        <v>44</v>
      </c>
      <c r="C475" s="171" t="inlineStr">
        <is>
          <t>Extra Negocios NIF 5</t>
        </is>
      </c>
      <c r="D475" s="170" t="n"/>
      <c r="E475" s="5" t="n"/>
      <c r="F475" s="5" t="n"/>
      <c r="G475" s="5" t="n"/>
      <c r="H475" s="5" t="n"/>
      <c r="I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  <c r="CE475" s="5" t="n"/>
      <c r="CF475" s="5" t="n"/>
    </row>
    <row r="476" ht="16.5" customHeight="1" s="241">
      <c r="A476" s="171" t="n">
        <v>45</v>
      </c>
      <c r="B476" s="171" t="n">
        <v>54</v>
      </c>
      <c r="C476" s="171" t="inlineStr">
        <is>
          <t>Extra Negocios NIF 5</t>
        </is>
      </c>
      <c r="D476" s="170" t="n"/>
      <c r="E476" s="5" t="n"/>
      <c r="F476" s="5" t="n"/>
      <c r="G476" s="5" t="n"/>
      <c r="H476" s="5" t="n"/>
      <c r="I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  <c r="BX476" s="5" t="n"/>
      <c r="BY476" s="5" t="n"/>
      <c r="BZ476" s="5" t="n"/>
      <c r="CA476" s="5" t="n"/>
      <c r="CB476" s="5" t="n"/>
      <c r="CC476" s="5" t="n"/>
      <c r="CD476" s="5" t="n"/>
      <c r="CE476" s="5" t="n"/>
      <c r="CF476" s="5" t="n"/>
    </row>
    <row r="477" ht="16.5" customHeight="1" s="241">
      <c r="A477" s="171" t="n">
        <v>55</v>
      </c>
      <c r="B477" s="171" t="n">
        <v>59</v>
      </c>
      <c r="C477" s="171" t="inlineStr">
        <is>
          <t>Extra Negocios NIF 5</t>
        </is>
      </c>
      <c r="D477" s="170" t="n"/>
      <c r="E477" s="5" t="n"/>
      <c r="F477" s="5" t="n"/>
      <c r="G477" s="5" t="n"/>
      <c r="H477" s="5" t="n"/>
      <c r="I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  <c r="BX477" s="5" t="n"/>
      <c r="BY477" s="5" t="n"/>
      <c r="BZ477" s="5" t="n"/>
      <c r="CA477" s="5" t="n"/>
      <c r="CB477" s="5" t="n"/>
      <c r="CC477" s="5" t="n"/>
      <c r="CD477" s="5" t="n"/>
      <c r="CE477" s="5" t="n"/>
      <c r="CF477" s="5" t="n"/>
    </row>
    <row r="478" ht="16.5" customHeight="1" s="241">
      <c r="A478" s="171" t="n">
        <v>60</v>
      </c>
      <c r="B478" s="171" t="n">
        <v>64</v>
      </c>
      <c r="C478" s="171" t="inlineStr">
        <is>
          <t>Extra Negocios NIF 5</t>
        </is>
      </c>
      <c r="D478" s="170" t="n"/>
      <c r="E478" s="5" t="n"/>
      <c r="F478" s="5" t="n"/>
      <c r="G478" s="5" t="n"/>
      <c r="H478" s="5" t="n"/>
      <c r="I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  <c r="BX478" s="5" t="n"/>
      <c r="BY478" s="5" t="n"/>
      <c r="BZ478" s="5" t="n"/>
      <c r="CA478" s="5" t="n"/>
      <c r="CB478" s="5" t="n"/>
      <c r="CC478" s="5" t="n"/>
      <c r="CD478" s="5" t="n"/>
      <c r="CE478" s="5" t="n"/>
      <c r="CF478" s="5" t="n"/>
    </row>
    <row r="479" ht="16.5" customHeight="1" s="241">
      <c r="A479" s="171" t="n">
        <v>65</v>
      </c>
      <c r="B479" s="171" t="n">
        <v>69</v>
      </c>
      <c r="C479" s="171" t="inlineStr">
        <is>
          <t>Extra Negocios NIF 5</t>
        </is>
      </c>
      <c r="D479" s="170" t="n"/>
      <c r="E479" s="5" t="n"/>
      <c r="F479" s="5" t="n"/>
      <c r="G479" s="5" t="n"/>
      <c r="H479" s="5" t="n"/>
      <c r="I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  <c r="CE479" s="5" t="n"/>
      <c r="CF479" s="5" t="n"/>
    </row>
    <row r="480" ht="16.5" customHeight="1" s="241">
      <c r="A480" s="171" t="n">
        <v>70</v>
      </c>
      <c r="B480" s="171" t="n">
        <v>120</v>
      </c>
      <c r="C480" s="171" t="inlineStr">
        <is>
          <t>Extra Negocios NIF 5</t>
        </is>
      </c>
      <c r="D480" s="170" t="n"/>
      <c r="E480" s="5" t="n"/>
      <c r="F480" s="5" t="n"/>
      <c r="G480" s="5" t="n"/>
      <c r="H480" s="5" t="n"/>
      <c r="I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  <c r="CE480" s="5" t="n"/>
      <c r="CF480" s="5" t="n"/>
    </row>
    <row r="481" ht="16.5" customHeight="1" s="241">
      <c r="A481" s="171" t="n">
        <v>0</v>
      </c>
      <c r="B481" s="171" t="n">
        <v>24</v>
      </c>
      <c r="C481" s="171" t="inlineStr">
        <is>
          <t>Extra Negocios NIF 6</t>
        </is>
      </c>
      <c r="D481" s="170" t="n"/>
      <c r="E481" s="5" t="n"/>
      <c r="F481" s="5" t="n"/>
      <c r="G481" s="5" t="n"/>
      <c r="H481" s="5" t="n"/>
      <c r="I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  <c r="CE481" s="5" t="n"/>
      <c r="CF481" s="5" t="n"/>
    </row>
    <row r="482" ht="16.5" customHeight="1" s="241">
      <c r="A482" s="171" t="n">
        <v>25</v>
      </c>
      <c r="B482" s="171" t="n">
        <v>44</v>
      </c>
      <c r="C482" s="171" t="inlineStr">
        <is>
          <t>Extra Negocios NIF 6</t>
        </is>
      </c>
      <c r="D482" s="170" t="n"/>
      <c r="E482" s="5" t="n"/>
      <c r="F482" s="5" t="n"/>
      <c r="G482" s="5" t="n"/>
      <c r="H482" s="5" t="n"/>
      <c r="I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  <c r="BX482" s="5" t="n"/>
      <c r="BY482" s="5" t="n"/>
      <c r="BZ482" s="5" t="n"/>
      <c r="CA482" s="5" t="n"/>
      <c r="CB482" s="5" t="n"/>
      <c r="CC482" s="5" t="n"/>
      <c r="CD482" s="5" t="n"/>
      <c r="CE482" s="5" t="n"/>
      <c r="CF482" s="5" t="n"/>
    </row>
    <row r="483" ht="16.5" customHeight="1" s="241">
      <c r="A483" s="171" t="n">
        <v>45</v>
      </c>
      <c r="B483" s="171" t="n">
        <v>54</v>
      </c>
      <c r="C483" s="171" t="inlineStr">
        <is>
          <t>Extra Negocios NIF 6</t>
        </is>
      </c>
      <c r="D483" s="170" t="n"/>
      <c r="E483" s="5" t="n"/>
      <c r="F483" s="5" t="n"/>
      <c r="G483" s="5" t="n"/>
      <c r="H483" s="5" t="n"/>
      <c r="I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  <c r="CE483" s="5" t="n"/>
      <c r="CF483" s="5" t="n"/>
    </row>
    <row r="484" ht="16.5" customHeight="1" s="241">
      <c r="A484" s="171" t="n">
        <v>55</v>
      </c>
      <c r="B484" s="171" t="n">
        <v>59</v>
      </c>
      <c r="C484" s="171" t="inlineStr">
        <is>
          <t>Extra Negocios NIF 6</t>
        </is>
      </c>
      <c r="D484" s="170" t="n"/>
      <c r="E484" s="5" t="n"/>
      <c r="F484" s="5" t="n"/>
      <c r="G484" s="5" t="n"/>
      <c r="H484" s="5" t="n"/>
      <c r="I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  <c r="CE484" s="5" t="n"/>
      <c r="CF484" s="5" t="n"/>
    </row>
    <row r="485" ht="16.5" customHeight="1" s="241">
      <c r="A485" s="171" t="n">
        <v>60</v>
      </c>
      <c r="B485" s="171" t="n">
        <v>64</v>
      </c>
      <c r="C485" s="171" t="inlineStr">
        <is>
          <t>Extra Negocios NIF 6</t>
        </is>
      </c>
      <c r="D485" s="170" t="n"/>
      <c r="E485" s="5" t="n"/>
      <c r="F485" s="5" t="n"/>
      <c r="G485" s="5" t="n"/>
      <c r="H485" s="5" t="n"/>
      <c r="I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  <c r="CE485" s="5" t="n"/>
      <c r="CF485" s="5" t="n"/>
    </row>
    <row r="486" ht="16.5" customHeight="1" s="241">
      <c r="A486" s="171" t="n">
        <v>65</v>
      </c>
      <c r="B486" s="171" t="n">
        <v>69</v>
      </c>
      <c r="C486" s="171" t="inlineStr">
        <is>
          <t>Extra Negocios NIF 6</t>
        </is>
      </c>
      <c r="D486" s="170" t="n"/>
      <c r="E486" s="5" t="n"/>
      <c r="F486" s="5" t="n"/>
      <c r="G486" s="5" t="n"/>
      <c r="H486" s="5" t="n"/>
      <c r="I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  <c r="BX486" s="5" t="n"/>
      <c r="BY486" s="5" t="n"/>
      <c r="BZ486" s="5" t="n"/>
      <c r="CA486" s="5" t="n"/>
      <c r="CB486" s="5" t="n"/>
      <c r="CC486" s="5" t="n"/>
      <c r="CD486" s="5" t="n"/>
      <c r="CE486" s="5" t="n"/>
      <c r="CF486" s="5" t="n"/>
    </row>
    <row r="487" ht="16.5" customHeight="1" s="241">
      <c r="A487" s="171" t="n">
        <v>70</v>
      </c>
      <c r="B487" s="171" t="n">
        <v>120</v>
      </c>
      <c r="C487" s="171" t="inlineStr">
        <is>
          <t>Extra Negocios NIF 6</t>
        </is>
      </c>
      <c r="D487" s="170" t="n"/>
      <c r="E487" s="5" t="n"/>
      <c r="F487" s="5" t="n"/>
      <c r="G487" s="5" t="n"/>
      <c r="H487" s="5" t="n"/>
      <c r="I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  <c r="CE487" s="5" t="n"/>
      <c r="CF487" s="5" t="n"/>
    </row>
    <row r="488" ht="16.5" customHeight="1" s="241">
      <c r="A488" s="171" t="n">
        <v>0</v>
      </c>
      <c r="B488" s="171" t="n">
        <v>24</v>
      </c>
      <c r="C488" s="171" t="inlineStr">
        <is>
          <t>Plena Extra 150 1</t>
        </is>
      </c>
      <c r="D488" s="170" t="n">
        <v>90</v>
      </c>
      <c r="E488" s="5" t="n"/>
      <c r="F488" s="5" t="n"/>
      <c r="G488" s="5" t="n"/>
      <c r="H488" s="5" t="n"/>
      <c r="I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  <c r="CE488" s="5" t="n"/>
      <c r="CF488" s="5" t="n"/>
    </row>
    <row r="489" ht="16.5" customHeight="1" s="241">
      <c r="A489" s="171" t="n">
        <v>25</v>
      </c>
      <c r="B489" s="171" t="n">
        <v>44</v>
      </c>
      <c r="C489" s="171" t="inlineStr">
        <is>
          <t>Plena Extra 150 1</t>
        </is>
      </c>
      <c r="D489" s="170" t="n">
        <v>106</v>
      </c>
      <c r="E489" s="5" t="n"/>
      <c r="F489" s="5" t="n"/>
      <c r="G489" s="5" t="n"/>
      <c r="H489" s="5" t="n"/>
      <c r="I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  <c r="CE489" s="5" t="n"/>
      <c r="CF489" s="5" t="n"/>
    </row>
    <row r="490" ht="16.5" customHeight="1" s="241">
      <c r="A490" s="171" t="n">
        <v>45</v>
      </c>
      <c r="B490" s="171" t="n">
        <v>54</v>
      </c>
      <c r="C490" s="171" t="inlineStr">
        <is>
          <t>Plena Extra 150 1</t>
        </is>
      </c>
      <c r="D490" s="170" t="n">
        <v>112</v>
      </c>
      <c r="E490" s="5" t="n"/>
      <c r="F490" s="5" t="n"/>
      <c r="G490" s="5" t="n"/>
      <c r="H490" s="5" t="n"/>
      <c r="I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  <c r="BX490" s="5" t="n"/>
      <c r="BY490" s="5" t="n"/>
      <c r="BZ490" s="5" t="n"/>
      <c r="CA490" s="5" t="n"/>
      <c r="CB490" s="5" t="n"/>
      <c r="CC490" s="5" t="n"/>
      <c r="CD490" s="5" t="n"/>
      <c r="CE490" s="5" t="n"/>
      <c r="CF490" s="5" t="n"/>
    </row>
    <row r="491" ht="16.5" customHeight="1" s="241">
      <c r="A491" s="171" t="n">
        <v>55</v>
      </c>
      <c r="B491" s="171" t="n">
        <v>59</v>
      </c>
      <c r="C491" s="171" t="inlineStr">
        <is>
          <t>Plena Extra 150 1</t>
        </is>
      </c>
      <c r="D491" s="170" t="n">
        <v>174</v>
      </c>
      <c r="E491" s="5" t="n"/>
      <c r="F491" s="5" t="n"/>
      <c r="G491" s="5" t="n"/>
      <c r="H491" s="5" t="n"/>
      <c r="I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  <c r="CE491" s="5" t="n"/>
      <c r="CF491" s="5" t="n"/>
    </row>
    <row r="492" ht="16.5" customHeight="1" s="241">
      <c r="A492" s="171" t="n">
        <v>60</v>
      </c>
      <c r="B492" s="171" t="n">
        <v>64</v>
      </c>
      <c r="C492" s="171" t="inlineStr">
        <is>
          <t>Plena Extra 150 1</t>
        </is>
      </c>
      <c r="D492" s="170" t="n">
        <v>206</v>
      </c>
      <c r="E492" s="5" t="n"/>
      <c r="F492" s="5" t="n"/>
      <c r="G492" s="5" t="n"/>
      <c r="H492" s="5" t="n"/>
      <c r="I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  <c r="CE492" s="5" t="n"/>
      <c r="CF492" s="5" t="n"/>
    </row>
    <row r="493" ht="16.5" customHeight="1" s="241">
      <c r="A493" s="171" t="n">
        <v>65</v>
      </c>
      <c r="B493" s="171" t="n">
        <v>69</v>
      </c>
      <c r="C493" s="171" t="inlineStr">
        <is>
          <t>Plena Extra 150 1</t>
        </is>
      </c>
      <c r="D493" s="170" t="n">
        <v>293</v>
      </c>
      <c r="E493" s="5" t="n"/>
      <c r="F493" s="5" t="n"/>
      <c r="G493" s="5" t="n"/>
      <c r="H493" s="5" t="n"/>
      <c r="I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  <c r="CE493" s="5" t="n"/>
      <c r="CF493" s="5" t="n"/>
    </row>
    <row r="494" ht="16.5" customHeight="1" s="241">
      <c r="A494" s="171" t="n">
        <v>70</v>
      </c>
      <c r="B494" s="171" t="n">
        <v>120</v>
      </c>
      <c r="C494" s="171" t="inlineStr">
        <is>
          <t>Plena Extra 150 1</t>
        </is>
      </c>
      <c r="D494" s="170" t="n">
        <v>304</v>
      </c>
      <c r="E494" s="5" t="n"/>
      <c r="F494" s="5" t="n"/>
      <c r="G494" s="5" t="n"/>
      <c r="H494" s="5" t="n"/>
      <c r="I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  <c r="BX494" s="5" t="n"/>
      <c r="BY494" s="5" t="n"/>
      <c r="BZ494" s="5" t="n"/>
      <c r="CA494" s="5" t="n"/>
      <c r="CB494" s="5" t="n"/>
      <c r="CC494" s="5" t="n"/>
      <c r="CD494" s="5" t="n"/>
      <c r="CE494" s="5" t="n"/>
      <c r="CF494" s="5" t="n"/>
    </row>
    <row r="495" ht="16.5" customHeight="1" s="241">
      <c r="A495" s="171" t="n">
        <v>0</v>
      </c>
      <c r="B495" s="171" t="n">
        <v>24</v>
      </c>
      <c r="C495" s="171" t="inlineStr">
        <is>
          <t>Plena Extra 150 2</t>
        </is>
      </c>
      <c r="D495" s="170" t="n">
        <v>93</v>
      </c>
      <c r="E495" s="5" t="n"/>
      <c r="F495" s="5" t="n"/>
      <c r="G495" s="5" t="n"/>
      <c r="H495" s="5" t="n"/>
      <c r="I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  <c r="CE495" s="5" t="n"/>
      <c r="CF495" s="5" t="n"/>
    </row>
    <row r="496" ht="16.5" customHeight="1" s="241">
      <c r="A496" s="171" t="n">
        <v>25</v>
      </c>
      <c r="B496" s="171" t="n">
        <v>44</v>
      </c>
      <c r="C496" s="171" t="inlineStr">
        <is>
          <t>Plena Extra 150 2</t>
        </is>
      </c>
      <c r="D496" s="170" t="n">
        <v>110</v>
      </c>
      <c r="E496" s="5" t="n"/>
      <c r="F496" s="5" t="n"/>
      <c r="G496" s="5" t="n"/>
      <c r="H496" s="5" t="n"/>
      <c r="I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  <c r="BX496" s="5" t="n"/>
      <c r="BY496" s="5" t="n"/>
      <c r="BZ496" s="5" t="n"/>
      <c r="CA496" s="5" t="n"/>
      <c r="CB496" s="5" t="n"/>
      <c r="CC496" s="5" t="n"/>
      <c r="CD496" s="5" t="n"/>
      <c r="CE496" s="5" t="n"/>
      <c r="CF496" s="5" t="n"/>
    </row>
    <row r="497" ht="16.5" customHeight="1" s="241">
      <c r="A497" s="171" t="n">
        <v>45</v>
      </c>
      <c r="B497" s="171" t="n">
        <v>54</v>
      </c>
      <c r="C497" s="171" t="inlineStr">
        <is>
          <t>Plena Extra 150 2</t>
        </is>
      </c>
      <c r="D497" s="170" t="n">
        <v>118</v>
      </c>
      <c r="E497" s="5" t="n"/>
      <c r="F497" s="5" t="n"/>
      <c r="G497" s="5" t="n"/>
      <c r="H497" s="5" t="n"/>
      <c r="I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  <c r="CE497" s="5" t="n"/>
      <c r="CF497" s="5" t="n"/>
    </row>
    <row r="498" ht="16.5" customHeight="1" s="241">
      <c r="A498" s="171" t="n">
        <v>55</v>
      </c>
      <c r="B498" s="171" t="n">
        <v>59</v>
      </c>
      <c r="C498" s="171" t="inlineStr">
        <is>
          <t>Plena Extra 150 2</t>
        </is>
      </c>
      <c r="D498" s="170" t="n">
        <v>180</v>
      </c>
      <c r="E498" s="5" t="n"/>
      <c r="F498" s="5" t="n"/>
      <c r="G498" s="5" t="n"/>
      <c r="H498" s="5" t="n"/>
      <c r="I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  <c r="BX498" s="5" t="n"/>
      <c r="BY498" s="5" t="n"/>
      <c r="BZ498" s="5" t="n"/>
      <c r="CA498" s="5" t="n"/>
      <c r="CB498" s="5" t="n"/>
      <c r="CC498" s="5" t="n"/>
      <c r="CD498" s="5" t="n"/>
      <c r="CE498" s="5" t="n"/>
      <c r="CF498" s="5" t="n"/>
    </row>
    <row r="499" ht="16.5" customHeight="1" s="241">
      <c r="A499" s="171" t="n">
        <v>60</v>
      </c>
      <c r="B499" s="171" t="n">
        <v>64</v>
      </c>
      <c r="C499" s="171" t="inlineStr">
        <is>
          <t>Plena Extra 150 2</t>
        </is>
      </c>
      <c r="D499" s="170" t="n">
        <v>210</v>
      </c>
      <c r="E499" s="5" t="n"/>
      <c r="F499" s="5" t="n"/>
      <c r="G499" s="5" t="n"/>
      <c r="H499" s="5" t="n"/>
      <c r="I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  <c r="CE499" s="5" t="n"/>
      <c r="CF499" s="5" t="n"/>
    </row>
    <row r="500" ht="16.5" customHeight="1" s="241">
      <c r="A500" s="171" t="n">
        <v>65</v>
      </c>
      <c r="B500" s="171" t="n">
        <v>69</v>
      </c>
      <c r="C500" s="171" t="inlineStr">
        <is>
          <t>Plena Extra 150 2</t>
        </is>
      </c>
      <c r="D500" s="170" t="n">
        <v>301</v>
      </c>
      <c r="E500" s="5" t="n"/>
      <c r="F500" s="5" t="n"/>
      <c r="G500" s="5" t="n"/>
      <c r="H500" s="5" t="n"/>
      <c r="I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  <c r="BX500" s="5" t="n"/>
      <c r="BY500" s="5" t="n"/>
      <c r="BZ500" s="5" t="n"/>
      <c r="CA500" s="5" t="n"/>
      <c r="CB500" s="5" t="n"/>
      <c r="CC500" s="5" t="n"/>
      <c r="CD500" s="5" t="n"/>
      <c r="CE500" s="5" t="n"/>
      <c r="CF500" s="5" t="n"/>
    </row>
    <row r="501" ht="16.5" customHeight="1" s="241">
      <c r="A501" s="171" t="n">
        <v>70</v>
      </c>
      <c r="B501" s="171" t="n">
        <v>120</v>
      </c>
      <c r="C501" s="171" t="inlineStr">
        <is>
          <t>Plena Extra 150 2</t>
        </is>
      </c>
      <c r="D501" s="170" t="n">
        <v>309</v>
      </c>
      <c r="E501" s="5" t="n"/>
      <c r="F501" s="5" t="n"/>
      <c r="G501" s="5" t="n"/>
      <c r="H501" s="5" t="n"/>
      <c r="I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  <c r="CE501" s="5" t="n"/>
      <c r="CF501" s="5" t="n"/>
    </row>
    <row r="502" ht="16.5" customHeight="1" s="241">
      <c r="A502" s="171" t="n">
        <v>0</v>
      </c>
      <c r="B502" s="171" t="n">
        <v>24</v>
      </c>
      <c r="C502" s="171" t="inlineStr">
        <is>
          <t>Plena Extra 150 3</t>
        </is>
      </c>
      <c r="D502" s="170" t="n">
        <v>94</v>
      </c>
      <c r="E502" s="5" t="n"/>
      <c r="F502" s="5" t="n"/>
      <c r="G502" s="5" t="n"/>
      <c r="H502" s="5" t="n"/>
      <c r="I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  <c r="BX502" s="5" t="n"/>
      <c r="BY502" s="5" t="n"/>
      <c r="BZ502" s="5" t="n"/>
      <c r="CA502" s="5" t="n"/>
      <c r="CB502" s="5" t="n"/>
      <c r="CC502" s="5" t="n"/>
      <c r="CD502" s="5" t="n"/>
      <c r="CE502" s="5" t="n"/>
      <c r="CF502" s="5" t="n"/>
    </row>
    <row r="503" ht="16.5" customHeight="1" s="241">
      <c r="A503" s="171" t="n">
        <v>25</v>
      </c>
      <c r="B503" s="171" t="n">
        <v>44</v>
      </c>
      <c r="C503" s="171" t="inlineStr">
        <is>
          <t>Plena Extra 150 3</t>
        </is>
      </c>
      <c r="D503" s="170" t="n">
        <v>111</v>
      </c>
      <c r="E503" s="5" t="n"/>
      <c r="F503" s="5" t="n"/>
      <c r="G503" s="5" t="n"/>
      <c r="H503" s="5" t="n"/>
      <c r="I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  <c r="CE503" s="5" t="n"/>
      <c r="CF503" s="5" t="n"/>
    </row>
    <row r="504" ht="16.5" customHeight="1" s="241">
      <c r="A504" s="171" t="n">
        <v>45</v>
      </c>
      <c r="B504" s="171" t="n">
        <v>54</v>
      </c>
      <c r="C504" s="171" t="inlineStr">
        <is>
          <t>Plena Extra 150 3</t>
        </is>
      </c>
      <c r="D504" s="170" t="n">
        <v>119</v>
      </c>
      <c r="E504" s="5" t="n"/>
      <c r="F504" s="5" t="n"/>
      <c r="G504" s="5" t="n"/>
      <c r="H504" s="5" t="n"/>
      <c r="I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  <c r="CE504" s="5" t="n"/>
      <c r="CF504" s="5" t="n"/>
    </row>
    <row r="505" ht="16.5" customHeight="1" s="241">
      <c r="A505" s="171" t="n">
        <v>55</v>
      </c>
      <c r="B505" s="171" t="n">
        <v>59</v>
      </c>
      <c r="C505" s="171" t="inlineStr">
        <is>
          <t>Plena Extra 150 3</t>
        </is>
      </c>
      <c r="D505" s="170" t="n">
        <v>185</v>
      </c>
      <c r="E505" s="5" t="n"/>
      <c r="F505" s="5" t="n"/>
      <c r="G505" s="5" t="n"/>
      <c r="H505" s="5" t="n"/>
      <c r="I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  <c r="CE505" s="5" t="n"/>
      <c r="CF505" s="5" t="n"/>
    </row>
    <row r="506" ht="16.5" customHeight="1" s="241">
      <c r="A506" s="171" t="n">
        <v>60</v>
      </c>
      <c r="B506" s="171" t="n">
        <v>64</v>
      </c>
      <c r="C506" s="171" t="inlineStr">
        <is>
          <t>Plena Extra 150 3</t>
        </is>
      </c>
      <c r="D506" s="170" t="n">
        <v>215</v>
      </c>
      <c r="E506" s="5" t="n"/>
      <c r="F506" s="5" t="n"/>
      <c r="G506" s="5" t="n"/>
      <c r="H506" s="5" t="n"/>
      <c r="I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  <c r="CE506" s="5" t="n"/>
      <c r="CF506" s="5" t="n"/>
    </row>
    <row r="507" ht="16.5" customHeight="1" s="241">
      <c r="A507" s="171" t="n">
        <v>65</v>
      </c>
      <c r="B507" s="171" t="n">
        <v>69</v>
      </c>
      <c r="C507" s="171" t="inlineStr">
        <is>
          <t>Plena Extra 150 3</t>
        </is>
      </c>
      <c r="D507" s="170" t="n">
        <v>308</v>
      </c>
      <c r="E507" s="5" t="n"/>
      <c r="F507" s="5" t="n"/>
      <c r="G507" s="5" t="n"/>
      <c r="H507" s="5" t="n"/>
      <c r="I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  <c r="CE507" s="5" t="n"/>
      <c r="CF507" s="5" t="n"/>
    </row>
    <row r="508" ht="16.5" customHeight="1" s="241">
      <c r="A508" s="171" t="n">
        <v>70</v>
      </c>
      <c r="B508" s="171" t="n">
        <v>120</v>
      </c>
      <c r="C508" s="171" t="inlineStr">
        <is>
          <t>Plena Extra 150 3</t>
        </is>
      </c>
      <c r="D508" s="170" t="n">
        <v>319</v>
      </c>
      <c r="E508" s="5" t="n"/>
      <c r="F508" s="5" t="n"/>
      <c r="G508" s="5" t="n"/>
      <c r="H508" s="5" t="n"/>
      <c r="I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  <c r="CE508" s="5" t="n"/>
      <c r="CF508" s="5" t="n"/>
    </row>
    <row r="509" ht="16.5" customHeight="1" s="241">
      <c r="A509" s="171" t="n">
        <v>0</v>
      </c>
      <c r="B509" s="171" t="n">
        <v>24</v>
      </c>
      <c r="C509" s="171" t="inlineStr">
        <is>
          <t>Plena Extra 150 4</t>
        </is>
      </c>
      <c r="D509" s="170" t="n">
        <v>102</v>
      </c>
      <c r="E509" s="5" t="n"/>
      <c r="F509" s="5" t="n"/>
      <c r="G509" s="5" t="n"/>
      <c r="H509" s="5" t="n"/>
      <c r="I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  <c r="CE509" s="5" t="n"/>
      <c r="CF509" s="5" t="n"/>
    </row>
    <row r="510" ht="16.5" customHeight="1" s="241">
      <c r="A510" s="171" t="n">
        <v>25</v>
      </c>
      <c r="B510" s="171" t="n">
        <v>44</v>
      </c>
      <c r="C510" s="171" t="inlineStr">
        <is>
          <t>Plena Extra 150 4</t>
        </is>
      </c>
      <c r="D510" s="170" t="n">
        <v>120</v>
      </c>
      <c r="E510" s="5" t="n"/>
      <c r="F510" s="5" t="n"/>
      <c r="G510" s="5" t="n"/>
      <c r="H510" s="5" t="n"/>
      <c r="I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  <c r="CE510" s="5" t="n"/>
      <c r="CF510" s="5" t="n"/>
    </row>
    <row r="511" ht="16.5" customHeight="1" s="241">
      <c r="A511" s="171" t="n">
        <v>45</v>
      </c>
      <c r="B511" s="171" t="n">
        <v>54</v>
      </c>
      <c r="C511" s="171" t="inlineStr">
        <is>
          <t>Plena Extra 150 4</t>
        </is>
      </c>
      <c r="D511" s="170">
        <f>129</f>
        <v/>
      </c>
      <c r="E511" s="5" t="n"/>
      <c r="F511" s="5" t="n"/>
      <c r="G511" s="5" t="n"/>
      <c r="H511" s="5" t="n"/>
      <c r="I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  <c r="CE511" s="5" t="n"/>
      <c r="CF511" s="5" t="n"/>
    </row>
    <row r="512" ht="16.5" customHeight="1" s="241">
      <c r="A512" s="171" t="n">
        <v>55</v>
      </c>
      <c r="B512" s="171" t="n">
        <v>59</v>
      </c>
      <c r="C512" s="171" t="inlineStr">
        <is>
          <t>Plena Extra 150 4</t>
        </is>
      </c>
      <c r="D512" s="170" t="n">
        <v>198</v>
      </c>
      <c r="E512" s="5" t="n"/>
      <c r="F512" s="5" t="n"/>
      <c r="G512" s="5" t="n"/>
      <c r="H512" s="5" t="n"/>
      <c r="I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  <c r="CE512" s="5" t="n"/>
      <c r="CF512" s="5" t="n"/>
    </row>
    <row r="513" ht="16.5" customHeight="1" s="241">
      <c r="A513" s="171" t="n">
        <v>60</v>
      </c>
      <c r="B513" s="171" t="n">
        <v>64</v>
      </c>
      <c r="C513" s="171" t="inlineStr">
        <is>
          <t>Plena Extra 150 4</t>
        </is>
      </c>
      <c r="D513" s="170" t="n">
        <v>228</v>
      </c>
      <c r="E513" s="5" t="n"/>
      <c r="F513" s="5" t="n"/>
      <c r="G513" s="5" t="n"/>
      <c r="H513" s="5" t="n"/>
      <c r="I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  <c r="CE513" s="5" t="n"/>
      <c r="CF513" s="5" t="n"/>
    </row>
    <row r="514" ht="16.5" customHeight="1" s="241">
      <c r="A514" s="171" t="n">
        <v>65</v>
      </c>
      <c r="B514" s="171" t="n">
        <v>69</v>
      </c>
      <c r="C514" s="171" t="inlineStr">
        <is>
          <t>Plena Extra 150 4</t>
        </is>
      </c>
      <c r="D514" s="170" t="n">
        <v>320</v>
      </c>
      <c r="E514" s="5" t="n"/>
      <c r="F514" s="5" t="n"/>
      <c r="G514" s="5" t="n"/>
      <c r="H514" s="5" t="n"/>
      <c r="I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  <c r="CE514" s="5" t="n"/>
      <c r="CF514" s="5" t="n"/>
    </row>
    <row r="515" ht="16.5" customHeight="1" s="241">
      <c r="A515" s="171" t="n">
        <v>70</v>
      </c>
      <c r="B515" s="171" t="n">
        <v>120</v>
      </c>
      <c r="C515" s="171" t="inlineStr">
        <is>
          <t>Plena Extra 150 4</t>
        </is>
      </c>
      <c r="D515" s="170" t="n">
        <v>329</v>
      </c>
      <c r="E515" s="5" t="n"/>
      <c r="F515" s="5" t="n"/>
      <c r="G515" s="5" t="n"/>
      <c r="H515" s="5" t="n"/>
      <c r="I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  <c r="CE515" s="5" t="n"/>
      <c r="CF515" s="5" t="n"/>
    </row>
    <row r="516" ht="16.5" customHeight="1" s="241">
      <c r="A516" s="171" t="n">
        <v>0</v>
      </c>
      <c r="B516" s="171" t="n">
        <v>24</v>
      </c>
      <c r="C516" s="171" t="inlineStr">
        <is>
          <t>Plena Extra 150 5</t>
        </is>
      </c>
      <c r="D516" s="170" t="n">
        <v>102.5</v>
      </c>
      <c r="E516" s="5" t="n"/>
      <c r="F516" s="5" t="n"/>
      <c r="G516" s="5" t="n"/>
      <c r="H516" s="5" t="n"/>
      <c r="I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  <c r="CE516" s="5" t="n"/>
      <c r="CF516" s="5" t="n"/>
    </row>
    <row r="517" ht="16.5" customHeight="1" s="241">
      <c r="A517" s="171" t="n">
        <v>25</v>
      </c>
      <c r="B517" s="171" t="n">
        <v>44</v>
      </c>
      <c r="C517" s="171" t="inlineStr">
        <is>
          <t>Plena Extra 150 5</t>
        </is>
      </c>
      <c r="D517" s="170" t="n">
        <v>120.5</v>
      </c>
      <c r="E517" s="5" t="n"/>
      <c r="F517" s="5" t="n"/>
      <c r="G517" s="5" t="n"/>
      <c r="H517" s="5" t="n"/>
      <c r="I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  <c r="CE517" s="5" t="n"/>
      <c r="CF517" s="5" t="n"/>
    </row>
    <row r="518" ht="16.5" customHeight="1" s="241">
      <c r="A518" s="171" t="n">
        <v>45</v>
      </c>
      <c r="B518" s="171" t="n">
        <v>54</v>
      </c>
      <c r="C518" s="171" t="inlineStr">
        <is>
          <t>Plena Extra 150 5</t>
        </is>
      </c>
      <c r="D518" s="170" t="n">
        <v>130</v>
      </c>
      <c r="E518" s="5" t="n"/>
      <c r="F518" s="5" t="n"/>
      <c r="G518" s="5" t="n"/>
      <c r="H518" s="5" t="n"/>
      <c r="I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  <c r="CE518" s="5" t="n"/>
      <c r="CF518" s="5" t="n"/>
    </row>
    <row r="519" ht="16.5" customHeight="1" s="241">
      <c r="A519" s="171" t="n">
        <v>55</v>
      </c>
      <c r="B519" s="171" t="n">
        <v>59</v>
      </c>
      <c r="C519" s="171" t="inlineStr">
        <is>
          <t>Plena Extra 150 5</t>
        </is>
      </c>
      <c r="D519" s="170" t="n">
        <v>198.5</v>
      </c>
      <c r="E519" s="5" t="n"/>
      <c r="F519" s="5" t="n"/>
      <c r="G519" s="5" t="n"/>
      <c r="H519" s="5" t="n"/>
      <c r="I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  <c r="CE519" s="5" t="n"/>
      <c r="CF519" s="5" t="n"/>
    </row>
    <row r="520" ht="16.5" customHeight="1" s="241">
      <c r="A520" s="171" t="n">
        <v>60</v>
      </c>
      <c r="B520" s="171" t="n">
        <v>64</v>
      </c>
      <c r="C520" s="171" t="inlineStr">
        <is>
          <t>Plena Extra 150 5</t>
        </is>
      </c>
      <c r="D520" s="170" t="n">
        <v>228.5</v>
      </c>
      <c r="E520" s="5" t="n"/>
      <c r="F520" s="5" t="n"/>
      <c r="G520" s="5" t="n"/>
      <c r="H520" s="5" t="n"/>
      <c r="I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  <c r="CE520" s="5" t="n"/>
      <c r="CF520" s="5" t="n"/>
    </row>
    <row r="521" ht="16.5" customHeight="1" s="241">
      <c r="A521" s="171" t="n">
        <v>65</v>
      </c>
      <c r="B521" s="171" t="n">
        <v>69</v>
      </c>
      <c r="C521" s="171" t="inlineStr">
        <is>
          <t>Plena Extra 150 5</t>
        </is>
      </c>
      <c r="D521" s="170" t="n">
        <v>321</v>
      </c>
      <c r="E521" s="5" t="n"/>
      <c r="F521" s="5" t="n"/>
      <c r="G521" s="5" t="n"/>
      <c r="H521" s="5" t="n"/>
      <c r="I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  <c r="CE521" s="5" t="n"/>
      <c r="CF521" s="5" t="n"/>
    </row>
    <row r="522" ht="16.5" customHeight="1" s="241">
      <c r="A522" s="171" t="n">
        <v>70</v>
      </c>
      <c r="B522" s="171" t="n">
        <v>120</v>
      </c>
      <c r="C522" s="171" t="inlineStr">
        <is>
          <t>Plena Extra 150 5</t>
        </is>
      </c>
      <c r="D522" s="170" t="n">
        <v>330</v>
      </c>
      <c r="E522" s="5" t="n"/>
      <c r="F522" s="5" t="n"/>
      <c r="G522" s="5" t="n"/>
      <c r="H522" s="5" t="n"/>
      <c r="I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  <c r="CE522" s="5" t="n"/>
      <c r="CF522" s="5" t="n"/>
    </row>
    <row r="523" ht="16.5" customHeight="1" s="241">
      <c r="A523" s="171" t="n">
        <v>0</v>
      </c>
      <c r="B523" s="171" t="n">
        <v>24</v>
      </c>
      <c r="C523" s="171" t="inlineStr">
        <is>
          <t>Plena Extra 150 6</t>
        </is>
      </c>
      <c r="D523" s="170" t="n">
        <v>104</v>
      </c>
      <c r="E523" s="5" t="n"/>
      <c r="F523" s="5" t="n"/>
      <c r="G523" s="5" t="n"/>
      <c r="H523" s="5" t="n"/>
      <c r="I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  <c r="CE523" s="5" t="n"/>
      <c r="CF523" s="5" t="n"/>
    </row>
    <row r="524" ht="16.5" customHeight="1" s="241">
      <c r="A524" s="171" t="n">
        <v>25</v>
      </c>
      <c r="B524" s="171" t="n">
        <v>44</v>
      </c>
      <c r="C524" s="171" t="inlineStr">
        <is>
          <t>Plena Extra 150 6</t>
        </is>
      </c>
      <c r="D524" s="170" t="n">
        <v>122</v>
      </c>
      <c r="E524" s="5" t="n"/>
      <c r="F524" s="5" t="n"/>
      <c r="G524" s="5" t="n"/>
      <c r="H524" s="5" t="n"/>
      <c r="I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  <c r="CE524" s="5" t="n"/>
      <c r="CF524" s="5" t="n"/>
    </row>
    <row r="525" ht="16.5" customHeight="1" s="241">
      <c r="A525" s="171" t="n">
        <v>45</v>
      </c>
      <c r="B525" s="171" t="n">
        <v>54</v>
      </c>
      <c r="C525" s="171" t="inlineStr">
        <is>
          <t>Plena Extra 150 6</t>
        </is>
      </c>
      <c r="D525" s="170" t="n">
        <v>132</v>
      </c>
      <c r="E525" s="5" t="n"/>
      <c r="F525" s="5" t="n"/>
      <c r="G525" s="5" t="n"/>
      <c r="H525" s="5" t="n"/>
      <c r="I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  <c r="CE525" s="5" t="n"/>
      <c r="CF525" s="5" t="n"/>
    </row>
    <row r="526" ht="16.5" customHeight="1" s="241">
      <c r="A526" s="171" t="n">
        <v>55</v>
      </c>
      <c r="B526" s="171" t="n">
        <v>59</v>
      </c>
      <c r="C526" s="171" t="inlineStr">
        <is>
          <t>Plena Extra 150 6</t>
        </is>
      </c>
      <c r="D526" s="170" t="n">
        <v>203</v>
      </c>
      <c r="E526" s="5" t="n"/>
      <c r="F526" s="5" t="n"/>
      <c r="G526" s="5" t="n"/>
      <c r="H526" s="5" t="n"/>
      <c r="I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  <c r="CE526" s="5" t="n"/>
      <c r="CF526" s="5" t="n"/>
    </row>
    <row r="527" ht="16.5" customHeight="1" s="241">
      <c r="A527" s="171" t="n">
        <v>60</v>
      </c>
      <c r="B527" s="171" t="n">
        <v>64</v>
      </c>
      <c r="C527" s="171" t="inlineStr">
        <is>
          <t>Plena Extra 150 6</t>
        </is>
      </c>
      <c r="D527" s="170" t="n">
        <v>233</v>
      </c>
      <c r="E527" s="5" t="n"/>
      <c r="F527" s="5" t="n"/>
      <c r="G527" s="5" t="n"/>
      <c r="H527" s="5" t="n"/>
      <c r="I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  <c r="CE527" s="5" t="n"/>
      <c r="CF527" s="5" t="n"/>
    </row>
    <row r="528" ht="16.5" customHeight="1" s="241">
      <c r="A528" s="171" t="n">
        <v>65</v>
      </c>
      <c r="B528" s="171" t="n">
        <v>69</v>
      </c>
      <c r="C528" s="171" t="inlineStr">
        <is>
          <t>Plena Extra 150 6</t>
        </is>
      </c>
      <c r="D528" s="170" t="n">
        <v>330</v>
      </c>
      <c r="E528" s="5" t="n"/>
      <c r="F528" s="5" t="n"/>
      <c r="G528" s="5" t="n"/>
      <c r="H528" s="5" t="n"/>
      <c r="I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  <c r="CE528" s="5" t="n"/>
      <c r="CF528" s="5" t="n"/>
    </row>
    <row r="529" ht="16.5" customHeight="1" s="241">
      <c r="A529" s="171" t="n">
        <v>70</v>
      </c>
      <c r="B529" s="171" t="n">
        <v>120</v>
      </c>
      <c r="C529" s="171" t="inlineStr">
        <is>
          <t>Plena Extra 150 6</t>
        </is>
      </c>
      <c r="D529" s="170" t="n">
        <v>340</v>
      </c>
      <c r="E529" s="5" t="n"/>
      <c r="F529" s="5" t="n"/>
      <c r="G529" s="5" t="n"/>
      <c r="H529" s="5" t="n"/>
      <c r="I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  <c r="CE529" s="5" t="n"/>
      <c r="CF529" s="5" t="n"/>
    </row>
    <row r="530" ht="16.5" customHeight="1" s="241">
      <c r="A530" s="171" t="n">
        <v>0</v>
      </c>
      <c r="B530" s="171" t="n">
        <v>24</v>
      </c>
      <c r="C530" s="171" t="inlineStr">
        <is>
          <t>Plena Total Vital 1</t>
        </is>
      </c>
      <c r="D530" s="170" t="n">
        <v>48.5</v>
      </c>
      <c r="E530" s="5" t="n"/>
      <c r="F530" s="5" t="n"/>
      <c r="G530" s="5" t="n"/>
      <c r="H530" s="5" t="n"/>
      <c r="I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  <c r="CE530" s="5" t="n"/>
      <c r="CF530" s="5" t="n"/>
    </row>
    <row r="531" ht="16.5" customHeight="1" s="241">
      <c r="A531" s="171" t="n">
        <v>25</v>
      </c>
      <c r="B531" s="171" t="n">
        <v>44</v>
      </c>
      <c r="C531" s="171" t="inlineStr">
        <is>
          <t>Plena Total Vital 1</t>
        </is>
      </c>
      <c r="D531" s="170" t="n">
        <v>59.5</v>
      </c>
      <c r="E531" s="5" t="n"/>
      <c r="F531" s="5" t="n"/>
      <c r="G531" s="5" t="n"/>
      <c r="H531" s="5" t="n"/>
      <c r="I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  <c r="CE531" s="5" t="n"/>
      <c r="CF531" s="5" t="n"/>
    </row>
    <row r="532" ht="16.5" customHeight="1" s="241">
      <c r="A532" s="171" t="n">
        <v>45</v>
      </c>
      <c r="B532" s="171" t="n">
        <v>54</v>
      </c>
      <c r="C532" s="171" t="inlineStr">
        <is>
          <t>Plena Total Vital 1</t>
        </is>
      </c>
      <c r="D532" s="170" t="n">
        <v>72.5</v>
      </c>
      <c r="E532" s="5" t="n"/>
      <c r="F532" s="5" t="n"/>
      <c r="G532" s="5" t="n"/>
      <c r="H532" s="5" t="n"/>
      <c r="I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  <c r="CE532" s="5" t="n"/>
      <c r="CF532" s="5" t="n"/>
    </row>
    <row r="533" ht="16.5" customHeight="1" s="241">
      <c r="A533" s="171" t="n">
        <v>55</v>
      </c>
      <c r="B533" s="171" t="n">
        <v>59</v>
      </c>
      <c r="C533" s="171" t="inlineStr">
        <is>
          <t>Plena Total Vital 1</t>
        </is>
      </c>
      <c r="D533" s="170" t="n">
        <v>110</v>
      </c>
      <c r="E533" s="5" t="n"/>
      <c r="F533" s="5" t="n"/>
      <c r="G533" s="5" t="n"/>
      <c r="H533" s="5" t="n"/>
      <c r="I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  <c r="CE533" s="5" t="n"/>
      <c r="CF533" s="5" t="n"/>
    </row>
    <row r="534" ht="16.5" customHeight="1" s="241">
      <c r="A534" s="171" t="n">
        <v>60</v>
      </c>
      <c r="B534" s="171" t="n">
        <v>62</v>
      </c>
      <c r="C534" s="171" t="inlineStr">
        <is>
          <t>Plena Total Vital 1</t>
        </is>
      </c>
      <c r="D534" s="170" t="n">
        <v>132</v>
      </c>
      <c r="E534" s="5" t="n"/>
      <c r="F534" s="5" t="n"/>
      <c r="G534" s="5" t="n"/>
      <c r="H534" s="5" t="n"/>
      <c r="I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  <c r="CE534" s="5" t="n"/>
      <c r="CF534" s="5" t="n"/>
    </row>
    <row r="535" ht="16.5" customHeight="1" s="241">
      <c r="A535" s="171" t="n">
        <v>63</v>
      </c>
      <c r="B535" s="171" t="n">
        <v>120</v>
      </c>
      <c r="C535" s="171" t="inlineStr">
        <is>
          <t>Plena Total Vital 1</t>
        </is>
      </c>
      <c r="D535" s="170" t="n">
        <v>196</v>
      </c>
      <c r="E535" s="5" t="n"/>
      <c r="F535" s="5" t="n"/>
      <c r="G535" s="5" t="n"/>
      <c r="H535" s="5" t="n"/>
      <c r="I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  <c r="CE535" s="5" t="n"/>
      <c r="CF535" s="5" t="n"/>
    </row>
    <row r="536" ht="16.5" customHeight="1" s="241">
      <c r="A536" s="171" t="n">
        <v>0</v>
      </c>
      <c r="B536" s="171" t="n">
        <v>24</v>
      </c>
      <c r="C536" s="171" t="inlineStr">
        <is>
          <t>Plena Total Vital 2</t>
        </is>
      </c>
      <c r="D536" s="170" t="n">
        <v>49</v>
      </c>
      <c r="E536" s="5" t="n"/>
      <c r="F536" s="5" t="n"/>
      <c r="G536" s="5" t="n"/>
      <c r="H536" s="5" t="n"/>
      <c r="I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  <c r="CE536" s="5" t="n"/>
      <c r="CF536" s="5" t="n"/>
    </row>
    <row r="537" ht="16.5" customHeight="1" s="241">
      <c r="A537" s="171" t="n">
        <v>25</v>
      </c>
      <c r="B537" s="171" t="n">
        <v>44</v>
      </c>
      <c r="C537" s="171" t="inlineStr">
        <is>
          <t>Plena Total Vital 2</t>
        </is>
      </c>
      <c r="D537" s="170" t="n">
        <v>61</v>
      </c>
      <c r="E537" s="5" t="n"/>
      <c r="F537" s="5" t="n"/>
      <c r="G537" s="5" t="n"/>
      <c r="H537" s="5" t="n"/>
      <c r="I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  <c r="CE537" s="5" t="n"/>
      <c r="CF537" s="5" t="n"/>
    </row>
    <row r="538" ht="16.5" customHeight="1" s="241">
      <c r="A538" s="171" t="n">
        <v>45</v>
      </c>
      <c r="B538" s="171" t="n">
        <v>54</v>
      </c>
      <c r="C538" s="171" t="inlineStr">
        <is>
          <t>Plena Total Vital 2</t>
        </is>
      </c>
      <c r="D538" s="170" t="n">
        <v>73.5</v>
      </c>
      <c r="E538" s="5" t="n"/>
      <c r="F538" s="5" t="n"/>
      <c r="G538" s="5" t="n"/>
      <c r="H538" s="5" t="n"/>
      <c r="I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  <c r="CE538" s="5" t="n"/>
      <c r="CF538" s="5" t="n"/>
    </row>
    <row r="539" ht="16.5" customHeight="1" s="241">
      <c r="A539" s="171" t="n">
        <v>55</v>
      </c>
      <c r="B539" s="171" t="n">
        <v>59</v>
      </c>
      <c r="C539" s="171" t="inlineStr">
        <is>
          <t>Plena Total Vital 2</t>
        </is>
      </c>
      <c r="D539" s="170" t="n">
        <v>112</v>
      </c>
      <c r="E539" s="5" t="n"/>
      <c r="F539" s="5" t="n"/>
      <c r="G539" s="5" t="n"/>
      <c r="H539" s="5" t="n"/>
      <c r="I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  <c r="CE539" s="5" t="n"/>
      <c r="CF539" s="5" t="n"/>
    </row>
    <row r="540" ht="16.5" customHeight="1" s="241">
      <c r="A540" s="171" t="n">
        <v>60</v>
      </c>
      <c r="B540" s="171" t="n">
        <v>62</v>
      </c>
      <c r="C540" s="171" t="inlineStr">
        <is>
          <t>Plena Total Vital 2</t>
        </is>
      </c>
      <c r="D540" s="170" t="n">
        <v>133</v>
      </c>
      <c r="E540" s="5" t="n"/>
      <c r="F540" s="5" t="n"/>
      <c r="G540" s="5" t="n"/>
      <c r="H540" s="5" t="n"/>
      <c r="I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  <c r="CE540" s="5" t="n"/>
      <c r="CF540" s="5" t="n"/>
    </row>
    <row r="541" ht="16.5" customHeight="1" s="241">
      <c r="A541" s="171" t="n">
        <v>63</v>
      </c>
      <c r="B541" s="171" t="n">
        <v>120</v>
      </c>
      <c r="C541" s="171" t="inlineStr">
        <is>
          <t>Plena Total Vital 2</t>
        </is>
      </c>
      <c r="D541" s="170" t="n">
        <v>201</v>
      </c>
      <c r="E541" s="5" t="n"/>
      <c r="F541" s="5" t="n"/>
      <c r="G541" s="5" t="n"/>
      <c r="H541" s="5" t="n"/>
      <c r="I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  <c r="CE541" s="5" t="n"/>
      <c r="CF541" s="5" t="n"/>
    </row>
    <row r="542" ht="16.5" customHeight="1" s="241">
      <c r="A542" s="171" t="n">
        <v>0</v>
      </c>
      <c r="B542" s="171" t="n">
        <v>24</v>
      </c>
      <c r="C542" s="171" t="inlineStr">
        <is>
          <t>Plena Total Vital 3</t>
        </is>
      </c>
      <c r="D542" s="170" t="n">
        <v>50</v>
      </c>
      <c r="E542" s="5" t="n"/>
      <c r="F542" s="5" t="n"/>
      <c r="G542" s="5" t="n"/>
      <c r="H542" s="5" t="n"/>
      <c r="I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  <c r="CE542" s="5" t="n"/>
      <c r="CF542" s="5" t="n"/>
    </row>
    <row r="543" ht="16.5" customHeight="1" s="241">
      <c r="A543" s="171" t="n">
        <v>25</v>
      </c>
      <c r="B543" s="171" t="n">
        <v>44</v>
      </c>
      <c r="C543" s="171" t="inlineStr">
        <is>
          <t>Plena Total Vital 3</t>
        </is>
      </c>
      <c r="D543" s="170" t="n">
        <v>62</v>
      </c>
      <c r="E543" s="5" t="n"/>
      <c r="F543" s="5" t="n"/>
      <c r="G543" s="5" t="n"/>
      <c r="H543" s="5" t="n"/>
      <c r="I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  <c r="CE543" s="5" t="n"/>
      <c r="CF543" s="5" t="n"/>
    </row>
    <row r="544" ht="16.5" customHeight="1" s="241">
      <c r="A544" s="171" t="n">
        <v>45</v>
      </c>
      <c r="B544" s="171" t="n">
        <v>54</v>
      </c>
      <c r="C544" s="171" t="inlineStr">
        <is>
          <t>Plena Total Vital 3</t>
        </is>
      </c>
      <c r="D544" s="170" t="n">
        <v>75</v>
      </c>
      <c r="E544" s="5" t="n"/>
      <c r="F544" s="5" t="n"/>
      <c r="G544" s="5" t="n"/>
      <c r="H544" s="5" t="n"/>
      <c r="I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  <c r="CE544" s="5" t="n"/>
      <c r="CF544" s="5" t="n"/>
    </row>
    <row r="545" ht="16.5" customHeight="1" s="241">
      <c r="A545" s="171" t="n">
        <v>55</v>
      </c>
      <c r="B545" s="171" t="n">
        <v>59</v>
      </c>
      <c r="C545" s="171" t="inlineStr">
        <is>
          <t>Plena Total Vital 3</t>
        </is>
      </c>
      <c r="D545" s="170" t="n">
        <v>114</v>
      </c>
      <c r="E545" s="5" t="n"/>
      <c r="F545" s="5" t="n"/>
      <c r="G545" s="5" t="n"/>
      <c r="H545" s="5" t="n"/>
      <c r="I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  <c r="CE545" s="5" t="n"/>
      <c r="CF545" s="5" t="n"/>
    </row>
    <row r="546" ht="16.5" customHeight="1" s="241">
      <c r="A546" s="171" t="n">
        <v>60</v>
      </c>
      <c r="B546" s="171" t="n">
        <v>62</v>
      </c>
      <c r="C546" s="171" t="inlineStr">
        <is>
          <t>Plena Total Vital 3</t>
        </is>
      </c>
      <c r="D546" s="170" t="n">
        <v>137</v>
      </c>
      <c r="E546" s="5" t="n"/>
      <c r="F546" s="5" t="n"/>
      <c r="G546" s="5" t="n"/>
      <c r="H546" s="5" t="n"/>
      <c r="I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  <c r="CE546" s="5" t="n"/>
      <c r="CF546" s="5" t="n"/>
    </row>
    <row r="547" ht="16.5" customHeight="1" s="241">
      <c r="A547" s="171" t="n">
        <v>63</v>
      </c>
      <c r="B547" s="171" t="n">
        <v>120</v>
      </c>
      <c r="C547" s="171" t="inlineStr">
        <is>
          <t>Plena Total Vital 3</t>
        </is>
      </c>
      <c r="D547" s="170" t="n">
        <v>210</v>
      </c>
      <c r="E547" s="5" t="n"/>
      <c r="F547" s="5" t="n"/>
      <c r="G547" s="5" t="n"/>
      <c r="H547" s="5" t="n"/>
      <c r="I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  <c r="CE547" s="5" t="n"/>
      <c r="CF547" s="5" t="n"/>
    </row>
    <row r="548" ht="16.5" customHeight="1" s="241">
      <c r="A548" s="171" t="n">
        <v>0</v>
      </c>
      <c r="B548" s="171" t="n">
        <v>24</v>
      </c>
      <c r="C548" s="171" t="inlineStr">
        <is>
          <t>Plena Total Vital 4</t>
        </is>
      </c>
      <c r="D548" s="170" t="n">
        <v>50.5</v>
      </c>
      <c r="E548" s="5" t="n"/>
      <c r="F548" s="5" t="n"/>
      <c r="G548" s="5" t="n"/>
      <c r="H548" s="5" t="n"/>
      <c r="I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  <c r="CE548" s="5" t="n"/>
      <c r="CF548" s="5" t="n"/>
    </row>
    <row r="549" ht="16.5" customHeight="1" s="241">
      <c r="A549" s="171" t="n">
        <v>25</v>
      </c>
      <c r="B549" s="171" t="n">
        <v>44</v>
      </c>
      <c r="C549" s="171" t="inlineStr">
        <is>
          <t>Plena Total Vital 4</t>
        </is>
      </c>
      <c r="D549" s="170" t="n">
        <v>62.5</v>
      </c>
      <c r="E549" s="5" t="n"/>
      <c r="F549" s="5" t="n"/>
      <c r="G549" s="5" t="n"/>
      <c r="H549" s="5" t="n"/>
      <c r="I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  <c r="CE549" s="5" t="n"/>
      <c r="CF549" s="5" t="n"/>
    </row>
    <row r="550" ht="16.5" customHeight="1" s="241">
      <c r="A550" s="171" t="n">
        <v>45</v>
      </c>
      <c r="B550" s="171" t="n">
        <v>54</v>
      </c>
      <c r="C550" s="171" t="inlineStr">
        <is>
          <t>Plena Total Vital 4</t>
        </is>
      </c>
      <c r="D550" s="170" t="n">
        <v>75.5</v>
      </c>
      <c r="E550" s="5" t="n"/>
      <c r="F550" s="5" t="n"/>
      <c r="G550" s="5" t="n"/>
      <c r="H550" s="5" t="n"/>
      <c r="I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  <c r="CE550" s="5" t="n"/>
      <c r="CF550" s="5" t="n"/>
    </row>
    <row r="551" ht="16.5" customHeight="1" s="241">
      <c r="A551" s="171" t="n">
        <v>55</v>
      </c>
      <c r="B551" s="171" t="n">
        <v>59</v>
      </c>
      <c r="C551" s="171" t="inlineStr">
        <is>
          <t>Plena Total Vital 4</t>
        </is>
      </c>
      <c r="D551" s="170" t="n">
        <v>114.5</v>
      </c>
      <c r="E551" s="5" t="n"/>
      <c r="F551" s="5" t="n"/>
      <c r="G551" s="5" t="n"/>
      <c r="H551" s="5" t="n"/>
      <c r="I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  <c r="CE551" s="5" t="n"/>
      <c r="CF551" s="5" t="n"/>
    </row>
    <row r="552" ht="16.5" customHeight="1" s="241">
      <c r="A552" s="171" t="n">
        <v>60</v>
      </c>
      <c r="B552" s="171" t="n">
        <v>62</v>
      </c>
      <c r="C552" s="171" t="inlineStr">
        <is>
          <t>Plena Total Vital 4</t>
        </is>
      </c>
      <c r="D552" s="170" t="n">
        <v>137.5</v>
      </c>
      <c r="E552" s="5" t="n"/>
      <c r="F552" s="5" t="n"/>
      <c r="G552" s="5" t="n"/>
      <c r="H552" s="5" t="n"/>
      <c r="I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  <c r="CE552" s="5" t="n"/>
      <c r="CF552" s="5" t="n"/>
    </row>
    <row r="553" ht="16.5" customHeight="1" s="241">
      <c r="A553" s="171" t="n">
        <v>63</v>
      </c>
      <c r="B553" s="171" t="n">
        <v>120</v>
      </c>
      <c r="C553" s="171" t="inlineStr">
        <is>
          <t>Plena Total Vital 4</t>
        </is>
      </c>
      <c r="D553" s="170" t="n">
        <v>210.5</v>
      </c>
      <c r="E553" s="5" t="n"/>
      <c r="F553" s="5" t="n"/>
      <c r="G553" s="5" t="n"/>
      <c r="H553" s="5" t="n"/>
      <c r="I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  <c r="BX553" s="5" t="n"/>
      <c r="BY553" s="5" t="n"/>
      <c r="BZ553" s="5" t="n"/>
      <c r="CA553" s="5" t="n"/>
      <c r="CB553" s="5" t="n"/>
      <c r="CC553" s="5" t="n"/>
      <c r="CD553" s="5" t="n"/>
      <c r="CE553" s="5" t="n"/>
      <c r="CF553" s="5" t="n"/>
    </row>
    <row r="554" ht="16.5" customHeight="1" s="241">
      <c r="A554" s="171" t="n">
        <v>0</v>
      </c>
      <c r="B554" s="171" t="n">
        <v>24</v>
      </c>
      <c r="C554" s="171" t="inlineStr">
        <is>
          <t>Plena Total Vital 5</t>
        </is>
      </c>
      <c r="D554" s="169" t="n">
        <v>52</v>
      </c>
      <c r="E554" s="5" t="n"/>
      <c r="F554" s="5" t="n"/>
      <c r="G554" s="5" t="n"/>
      <c r="H554" s="5" t="n"/>
      <c r="I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  <c r="CE554" s="5" t="n"/>
      <c r="CF554" s="5" t="n"/>
    </row>
    <row r="555" ht="16.5" customHeight="1" s="241">
      <c r="A555" s="171" t="n">
        <v>25</v>
      </c>
      <c r="B555" s="171" t="n">
        <v>44</v>
      </c>
      <c r="C555" s="171" t="inlineStr">
        <is>
          <t>Plena Total Vital 5</t>
        </is>
      </c>
      <c r="D555" s="169" t="n">
        <v>63</v>
      </c>
      <c r="E555" s="5" t="n"/>
      <c r="F555" s="5" t="n"/>
      <c r="G555" s="5" t="n"/>
      <c r="H555" s="5" t="n"/>
      <c r="I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  <c r="CE555" s="5" t="n"/>
      <c r="CF555" s="5" t="n"/>
    </row>
    <row r="556" ht="16.5" customHeight="1" s="241">
      <c r="A556" s="171" t="n">
        <v>45</v>
      </c>
      <c r="B556" s="171" t="n">
        <v>54</v>
      </c>
      <c r="C556" s="171" t="inlineStr">
        <is>
          <t>Plena Total Vital 5</t>
        </is>
      </c>
      <c r="D556" s="169" t="n">
        <v>77</v>
      </c>
      <c r="E556" s="5" t="n"/>
      <c r="F556" s="5" t="n"/>
      <c r="G556" s="5" t="n"/>
      <c r="H556" s="5" t="n"/>
      <c r="I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  <c r="CE556" s="5" t="n"/>
      <c r="CF556" s="5" t="n"/>
    </row>
    <row r="557" ht="16.5" customHeight="1" s="241">
      <c r="A557" s="171" t="n">
        <v>55</v>
      </c>
      <c r="B557" s="171" t="n">
        <v>59</v>
      </c>
      <c r="C557" s="171" t="inlineStr">
        <is>
          <t>Plena Total Vital 5</t>
        </is>
      </c>
      <c r="D557" s="169" t="n">
        <v>115</v>
      </c>
      <c r="E557" s="5" t="n"/>
      <c r="F557" s="5" t="n"/>
      <c r="G557" s="5" t="n"/>
      <c r="H557" s="5" t="n"/>
      <c r="I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  <c r="CE557" s="5" t="n"/>
      <c r="CF557" s="5" t="n"/>
    </row>
    <row r="558" ht="16.5" customHeight="1" s="241">
      <c r="A558" s="171" t="n">
        <v>60</v>
      </c>
      <c r="B558" s="171" t="n">
        <v>62</v>
      </c>
      <c r="C558" s="171" t="inlineStr">
        <is>
          <t>Plena Total Vital 5</t>
        </is>
      </c>
      <c r="D558" s="169" t="n">
        <v>140</v>
      </c>
      <c r="E558" s="5" t="n"/>
      <c r="F558" s="5" t="n"/>
      <c r="G558" s="5" t="n"/>
      <c r="H558" s="5" t="n"/>
      <c r="I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  <c r="CE558" s="5" t="n"/>
      <c r="CF558" s="5" t="n"/>
    </row>
    <row r="559" ht="16.5" customHeight="1" s="241">
      <c r="A559" s="171" t="n">
        <v>63</v>
      </c>
      <c r="B559" s="171" t="n">
        <v>120</v>
      </c>
      <c r="C559" s="171" t="inlineStr">
        <is>
          <t>Plena Total Vital 5</t>
        </is>
      </c>
      <c r="D559" s="169" t="n">
        <v>230</v>
      </c>
      <c r="E559" s="5" t="n"/>
      <c r="F559" s="5" t="n"/>
      <c r="G559" s="5" t="n"/>
      <c r="H559" s="5" t="n"/>
      <c r="I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  <c r="CE559" s="5" t="n"/>
      <c r="CF559" s="5" t="n"/>
    </row>
    <row r="560" ht="16.5" customHeight="1" s="241">
      <c r="A560" s="171" t="n">
        <v>0</v>
      </c>
      <c r="B560" s="171" t="n">
        <v>24</v>
      </c>
      <c r="C560" s="171" t="inlineStr">
        <is>
          <t>Plena Total Vital 6</t>
        </is>
      </c>
      <c r="D560" s="169" t="n">
        <v>53</v>
      </c>
      <c r="E560" s="5" t="n"/>
      <c r="F560" s="5" t="n"/>
      <c r="G560" s="5" t="n"/>
      <c r="H560" s="5" t="n"/>
      <c r="I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  <c r="BX560" s="5" t="n"/>
      <c r="BY560" s="5" t="n"/>
      <c r="BZ560" s="5" t="n"/>
      <c r="CA560" s="5" t="n"/>
      <c r="CB560" s="5" t="n"/>
      <c r="CC560" s="5" t="n"/>
      <c r="CD560" s="5" t="n"/>
      <c r="CE560" s="5" t="n"/>
      <c r="CF560" s="5" t="n"/>
    </row>
    <row r="561" ht="16.5" customHeight="1" s="241">
      <c r="A561" s="171" t="n">
        <v>25</v>
      </c>
      <c r="B561" s="171" t="n">
        <v>44</v>
      </c>
      <c r="C561" s="171" t="inlineStr">
        <is>
          <t>Plena Total Vital 6</t>
        </is>
      </c>
      <c r="D561" s="169" t="n">
        <v>65</v>
      </c>
      <c r="E561" s="5" t="n"/>
      <c r="F561" s="5" t="n"/>
      <c r="G561" s="5" t="n"/>
      <c r="H561" s="5" t="n"/>
      <c r="I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  <c r="CE561" s="5" t="n"/>
      <c r="CF561" s="5" t="n"/>
    </row>
    <row r="562" ht="16.5" customHeight="1" s="241">
      <c r="A562" s="171" t="n">
        <v>45</v>
      </c>
      <c r="B562" s="171" t="n">
        <v>54</v>
      </c>
      <c r="C562" s="171" t="inlineStr">
        <is>
          <t>Plena Total Vital 6</t>
        </is>
      </c>
      <c r="D562" s="169" t="n">
        <v>78.5</v>
      </c>
      <c r="E562" s="5" t="n"/>
      <c r="F562" s="5" t="n"/>
      <c r="G562" s="5" t="n"/>
      <c r="H562" s="5" t="n"/>
      <c r="I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  <c r="CE562" s="5" t="n"/>
      <c r="CF562" s="5" t="n"/>
    </row>
    <row r="563" ht="16.5" customHeight="1" s="241">
      <c r="A563" s="171" t="n">
        <v>55</v>
      </c>
      <c r="B563" s="171" t="n">
        <v>59</v>
      </c>
      <c r="C563" s="171" t="inlineStr">
        <is>
          <t>Plena Total Vital 6</t>
        </is>
      </c>
      <c r="D563" s="169" t="n">
        <v>118</v>
      </c>
      <c r="E563" s="5" t="n"/>
      <c r="F563" s="5" t="n"/>
      <c r="G563" s="5" t="n"/>
      <c r="H563" s="5" t="n"/>
      <c r="I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  <c r="CE563" s="5" t="n"/>
      <c r="CF563" s="5" t="n"/>
    </row>
    <row r="564" ht="16.5" customHeight="1" s="241">
      <c r="A564" s="171" t="n">
        <v>60</v>
      </c>
      <c r="B564" s="171" t="n">
        <v>62</v>
      </c>
      <c r="C564" s="171" t="inlineStr">
        <is>
          <t>Plena Total Vital 6</t>
        </is>
      </c>
      <c r="D564" s="169" t="n">
        <v>142</v>
      </c>
      <c r="E564" s="5" t="n"/>
      <c r="F564" s="5" t="n"/>
      <c r="G564" s="5" t="n"/>
      <c r="H564" s="5" t="n"/>
      <c r="I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  <c r="CE564" s="5" t="n"/>
      <c r="CF564" s="5" t="n"/>
    </row>
    <row r="565" ht="16.5" customHeight="1" s="241">
      <c r="A565" s="171" t="n">
        <v>63</v>
      </c>
      <c r="B565" s="171" t="n">
        <v>120</v>
      </c>
      <c r="C565" s="171" t="inlineStr">
        <is>
          <t>Plena Total Vital 6</t>
        </is>
      </c>
      <c r="D565" s="169" t="n">
        <v>235</v>
      </c>
      <c r="E565" s="5" t="n"/>
      <c r="F565" s="5" t="n"/>
      <c r="G565" s="5" t="n"/>
      <c r="H565" s="5" t="n"/>
      <c r="I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  <c r="CE565" s="5" t="n"/>
      <c r="CF565" s="5" t="n"/>
    </row>
    <row r="566" ht="16.5" customHeight="1" s="241">
      <c r="A566" s="171" t="n">
        <v>0</v>
      </c>
      <c r="B566" s="171" t="n">
        <v>24</v>
      </c>
      <c r="C566" s="171" t="inlineStr">
        <is>
          <t>Extra Negocios NIF 1 1</t>
        </is>
      </c>
      <c r="D566" s="169" t="n">
        <v>90</v>
      </c>
      <c r="E566" s="5" t="n"/>
      <c r="F566" s="5" t="n"/>
      <c r="G566" s="5" t="n"/>
      <c r="H566" s="5" t="n"/>
      <c r="I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  <c r="CE566" s="5" t="n"/>
      <c r="CF566" s="5" t="n"/>
    </row>
    <row r="567" ht="16.5" customHeight="1" s="241">
      <c r="A567" s="171" t="n">
        <v>25</v>
      </c>
      <c r="B567" s="171" t="n">
        <v>44</v>
      </c>
      <c r="C567" s="171" t="inlineStr">
        <is>
          <t>Extra Negocios NIF 1 1</t>
        </is>
      </c>
      <c r="D567" s="169" t="n">
        <v>106</v>
      </c>
      <c r="E567" s="5" t="n"/>
      <c r="F567" s="5" t="n"/>
      <c r="G567" s="5" t="n"/>
      <c r="H567" s="5" t="n"/>
      <c r="I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  <c r="CE567" s="5" t="n"/>
      <c r="CF567" s="5" t="n"/>
    </row>
    <row r="568" ht="16.5" customHeight="1" s="241">
      <c r="A568" s="171" t="n">
        <v>45</v>
      </c>
      <c r="B568" s="171" t="n">
        <v>54</v>
      </c>
      <c r="C568" s="171" t="inlineStr">
        <is>
          <t>Extra Negocios NIF 1 1</t>
        </is>
      </c>
      <c r="D568" s="169" t="n">
        <v>112</v>
      </c>
      <c r="E568" s="5" t="n"/>
      <c r="F568" s="5" t="n"/>
      <c r="G568" s="5" t="n"/>
      <c r="H568" s="5" t="n"/>
      <c r="I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  <c r="CE568" s="5" t="n"/>
      <c r="CF568" s="5" t="n"/>
    </row>
    <row r="569" ht="16.5" customHeight="1" s="241">
      <c r="A569" s="171" t="n">
        <v>55</v>
      </c>
      <c r="B569" s="171" t="n">
        <v>59</v>
      </c>
      <c r="C569" s="171" t="inlineStr">
        <is>
          <t>Extra Negocios NIF 1 1</t>
        </is>
      </c>
      <c r="D569" s="169" t="n">
        <v>174</v>
      </c>
      <c r="E569" s="5" t="n"/>
      <c r="F569" s="5" t="n"/>
      <c r="G569" s="5" t="n"/>
      <c r="H569" s="5" t="n"/>
      <c r="I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  <c r="CE569" s="5" t="n"/>
      <c r="CF569" s="5" t="n"/>
    </row>
    <row r="570" ht="16.5" customHeight="1" s="241">
      <c r="A570" s="171" t="n">
        <v>60</v>
      </c>
      <c r="B570" s="171" t="n">
        <v>64</v>
      </c>
      <c r="C570" s="171" t="inlineStr">
        <is>
          <t>Extra Negocios NIF 1 1</t>
        </is>
      </c>
      <c r="D570" s="169" t="n">
        <v>206</v>
      </c>
      <c r="E570" s="5" t="n"/>
      <c r="F570" s="5" t="n"/>
      <c r="G570" s="5" t="n"/>
      <c r="H570" s="5" t="n"/>
      <c r="I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  <c r="CE570" s="5" t="n"/>
      <c r="CF570" s="5" t="n"/>
    </row>
    <row r="571" ht="16.5" customHeight="1" s="241">
      <c r="A571" s="171" t="n">
        <v>65</v>
      </c>
      <c r="B571" s="171" t="n">
        <v>69</v>
      </c>
      <c r="C571" s="171" t="inlineStr">
        <is>
          <t>Extra Negocios NIF 1 1</t>
        </is>
      </c>
      <c r="D571" s="170" t="n">
        <v>293</v>
      </c>
      <c r="E571" s="5" t="n"/>
      <c r="F571" s="5" t="n"/>
      <c r="G571" s="5" t="n"/>
      <c r="H571" s="5" t="n"/>
      <c r="I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  <c r="CE571" s="5" t="n"/>
      <c r="CF571" s="5" t="n"/>
    </row>
    <row r="572" ht="16.5" customHeight="1" s="241">
      <c r="A572" s="171" t="n">
        <v>70</v>
      </c>
      <c r="B572" s="171" t="n">
        <v>120</v>
      </c>
      <c r="C572" s="171" t="inlineStr">
        <is>
          <t>Extra Negocios NIF 1 1</t>
        </is>
      </c>
      <c r="D572" s="170" t="n">
        <v>304</v>
      </c>
      <c r="E572" s="5" t="n"/>
      <c r="F572" s="5" t="n"/>
      <c r="G572" s="5" t="n"/>
      <c r="H572" s="5" t="n"/>
      <c r="I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  <c r="CE572" s="5" t="n"/>
      <c r="CF572" s="5" t="n"/>
    </row>
    <row r="573" ht="16.5" customHeight="1" s="241">
      <c r="A573" s="171" t="n">
        <v>0</v>
      </c>
      <c r="B573" s="171" t="n">
        <v>24</v>
      </c>
      <c r="C573" s="171" t="inlineStr">
        <is>
          <t>Extra Negocios NIF 2 1</t>
        </is>
      </c>
      <c r="D573" s="170" t="n">
        <v>93</v>
      </c>
      <c r="E573" s="5" t="n"/>
      <c r="F573" s="5" t="n"/>
      <c r="G573" s="5" t="n"/>
      <c r="H573" s="5" t="n"/>
      <c r="I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  <c r="CE573" s="5" t="n"/>
      <c r="CF573" s="5" t="n"/>
    </row>
    <row r="574" ht="16.5" customHeight="1" s="241">
      <c r="A574" s="171" t="n">
        <v>25</v>
      </c>
      <c r="B574" s="171" t="n">
        <v>44</v>
      </c>
      <c r="C574" s="171" t="inlineStr">
        <is>
          <t>Extra Negocios NIF 2 1</t>
        </is>
      </c>
      <c r="D574" s="170" t="n">
        <v>110</v>
      </c>
      <c r="E574" s="5" t="n"/>
      <c r="F574" s="5" t="n"/>
      <c r="G574" s="5" t="n"/>
      <c r="H574" s="5" t="n"/>
      <c r="I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  <c r="CE574" s="5" t="n"/>
      <c r="CF574" s="5" t="n"/>
    </row>
    <row r="575" ht="16.5" customHeight="1" s="241">
      <c r="A575" s="171" t="n">
        <v>45</v>
      </c>
      <c r="B575" s="171" t="n">
        <v>54</v>
      </c>
      <c r="C575" s="171" t="inlineStr">
        <is>
          <t>Extra Negocios NIF 2 1</t>
        </is>
      </c>
      <c r="D575" s="170" t="n">
        <v>118</v>
      </c>
      <c r="E575" s="5" t="n"/>
      <c r="F575" s="5" t="n"/>
      <c r="G575" s="5" t="n"/>
      <c r="H575" s="5" t="n"/>
      <c r="I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  <c r="CE575" s="5" t="n"/>
      <c r="CF575" s="5" t="n"/>
    </row>
    <row r="576" ht="16.5" customHeight="1" s="241">
      <c r="A576" s="171" t="n">
        <v>55</v>
      </c>
      <c r="B576" s="171" t="n">
        <v>59</v>
      </c>
      <c r="C576" s="171" t="inlineStr">
        <is>
          <t>Extra Negocios NIF 2 1</t>
        </is>
      </c>
      <c r="D576" s="170" t="n">
        <v>180</v>
      </c>
      <c r="E576" s="5" t="n"/>
      <c r="F576" s="5" t="n"/>
      <c r="G576" s="5" t="n"/>
      <c r="H576" s="5" t="n"/>
      <c r="I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  <c r="CE576" s="5" t="n"/>
      <c r="CF576" s="5" t="n"/>
    </row>
    <row r="577" ht="16.5" customHeight="1" s="241">
      <c r="A577" s="171" t="n">
        <v>60</v>
      </c>
      <c r="B577" s="171" t="n">
        <v>64</v>
      </c>
      <c r="C577" s="171" t="inlineStr">
        <is>
          <t>Extra Negocios NIF 2 1</t>
        </is>
      </c>
      <c r="D577" s="170" t="n">
        <v>210</v>
      </c>
      <c r="E577" s="5" t="n"/>
      <c r="F577" s="5" t="n"/>
      <c r="G577" s="5" t="n"/>
      <c r="H577" s="5" t="n"/>
      <c r="I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  <c r="CE577" s="5" t="n"/>
      <c r="CF577" s="5" t="n"/>
    </row>
    <row r="578" ht="16.5" customHeight="1" s="241">
      <c r="A578" s="171" t="n">
        <v>65</v>
      </c>
      <c r="B578" s="171" t="n">
        <v>69</v>
      </c>
      <c r="C578" s="171" t="inlineStr">
        <is>
          <t>Extra Negocios NIF 2 1</t>
        </is>
      </c>
      <c r="D578" s="170" t="n">
        <v>301</v>
      </c>
      <c r="E578" s="5" t="n"/>
      <c r="F578" s="5" t="n"/>
      <c r="G578" s="5" t="n"/>
      <c r="H578" s="5" t="n"/>
      <c r="I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</row>
    <row r="579" ht="16.5" customHeight="1" s="241">
      <c r="A579" s="171" t="n">
        <v>70</v>
      </c>
      <c r="B579" s="171" t="n">
        <v>120</v>
      </c>
      <c r="C579" s="171" t="inlineStr">
        <is>
          <t>Extra Negocios NIF 2 1</t>
        </is>
      </c>
      <c r="D579" s="170" t="n">
        <v>309</v>
      </c>
      <c r="E579" s="5" t="n"/>
      <c r="F579" s="5" t="n"/>
      <c r="G579" s="5" t="n"/>
      <c r="H579" s="5" t="n"/>
      <c r="I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  <c r="CE579" s="5" t="n"/>
      <c r="CF579" s="5" t="n"/>
    </row>
    <row r="580" ht="16.5" customHeight="1" s="241">
      <c r="A580" s="171" t="n">
        <v>0</v>
      </c>
      <c r="B580" s="171" t="n">
        <v>24</v>
      </c>
      <c r="C580" s="171" t="inlineStr">
        <is>
          <t>Extra Negocios NIF 3 1</t>
        </is>
      </c>
      <c r="D580" s="170" t="n">
        <v>94</v>
      </c>
      <c r="E580" s="5" t="n"/>
      <c r="F580" s="5" t="n"/>
      <c r="G580" s="5" t="n"/>
      <c r="H580" s="5" t="n"/>
      <c r="I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  <c r="CE580" s="5" t="n"/>
      <c r="CF580" s="5" t="n"/>
    </row>
    <row r="581" ht="16.5" customHeight="1" s="241">
      <c r="A581" s="171" t="n">
        <v>25</v>
      </c>
      <c r="B581" s="171" t="n">
        <v>44</v>
      </c>
      <c r="C581" s="171" t="inlineStr">
        <is>
          <t>Extra Negocios NIF 3 1</t>
        </is>
      </c>
      <c r="D581" s="170" t="n">
        <v>111</v>
      </c>
      <c r="E581" s="5" t="n"/>
      <c r="F581" s="5" t="n"/>
      <c r="G581" s="5" t="n"/>
      <c r="H581" s="5" t="n"/>
      <c r="I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  <c r="CE581" s="5" t="n"/>
      <c r="CF581" s="5" t="n"/>
    </row>
    <row r="582" ht="16.5" customHeight="1" s="241">
      <c r="A582" s="171" t="n">
        <v>45</v>
      </c>
      <c r="B582" s="171" t="n">
        <v>54</v>
      </c>
      <c r="C582" s="171" t="inlineStr">
        <is>
          <t>Extra Negocios NIF 3 1</t>
        </is>
      </c>
      <c r="D582" s="170" t="n">
        <v>119</v>
      </c>
      <c r="E582" s="5" t="n"/>
      <c r="F582" s="5" t="n"/>
      <c r="G582" s="5" t="n"/>
      <c r="H582" s="5" t="n"/>
      <c r="I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  <c r="CE582" s="5" t="n"/>
      <c r="CF582" s="5" t="n"/>
    </row>
    <row r="583" ht="16.5" customHeight="1" s="241">
      <c r="A583" s="171" t="n">
        <v>55</v>
      </c>
      <c r="B583" s="171" t="n">
        <v>59</v>
      </c>
      <c r="C583" s="171" t="inlineStr">
        <is>
          <t>Extra Negocios NIF 3 1</t>
        </is>
      </c>
      <c r="D583" s="170" t="n">
        <v>185</v>
      </c>
      <c r="E583" s="5" t="n"/>
      <c r="F583" s="5" t="n"/>
      <c r="G583" s="5" t="n"/>
      <c r="H583" s="5" t="n"/>
      <c r="I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  <c r="CE583" s="5" t="n"/>
      <c r="CF583" s="5" t="n"/>
    </row>
    <row r="584" ht="16.5" customHeight="1" s="241">
      <c r="A584" s="171" t="n">
        <v>60</v>
      </c>
      <c r="B584" s="171" t="n">
        <v>64</v>
      </c>
      <c r="C584" s="171" t="inlineStr">
        <is>
          <t>Extra Negocios NIF 3 1</t>
        </is>
      </c>
      <c r="D584" s="170" t="n">
        <v>215</v>
      </c>
      <c r="E584" s="5" t="n"/>
      <c r="F584" s="5" t="n"/>
      <c r="G584" s="5" t="n"/>
      <c r="H584" s="5" t="n"/>
      <c r="I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  <c r="CE584" s="5" t="n"/>
      <c r="CF584" s="5" t="n"/>
    </row>
    <row r="585" ht="16.5" customHeight="1" s="241">
      <c r="A585" s="171" t="n">
        <v>65</v>
      </c>
      <c r="B585" s="171" t="n">
        <v>69</v>
      </c>
      <c r="C585" s="171" t="inlineStr">
        <is>
          <t>Extra Negocios NIF 3 1</t>
        </is>
      </c>
      <c r="D585" s="170" t="n">
        <v>308</v>
      </c>
      <c r="E585" s="5" t="n"/>
      <c r="F585" s="5" t="n"/>
      <c r="G585" s="5" t="n"/>
      <c r="H585" s="5" t="n"/>
      <c r="I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  <c r="CE585" s="5" t="n"/>
      <c r="CF585" s="5" t="n"/>
    </row>
    <row r="586" ht="16.5" customHeight="1" s="241">
      <c r="A586" s="171" t="n">
        <v>70</v>
      </c>
      <c r="B586" s="171" t="n">
        <v>120</v>
      </c>
      <c r="C586" s="171" t="inlineStr">
        <is>
          <t>Extra Negocios NIF 3 1</t>
        </is>
      </c>
      <c r="D586" s="170" t="n">
        <v>319</v>
      </c>
      <c r="E586" s="5" t="n"/>
      <c r="F586" s="5" t="n"/>
      <c r="G586" s="5" t="n"/>
      <c r="H586" s="5" t="n"/>
      <c r="I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  <c r="CE586" s="5" t="n"/>
      <c r="CF586" s="5" t="n"/>
    </row>
    <row r="587" ht="16.5" customHeight="1" s="241">
      <c r="A587" s="171" t="n">
        <v>0</v>
      </c>
      <c r="B587" s="171" t="n">
        <v>24</v>
      </c>
      <c r="C587" s="171" t="inlineStr">
        <is>
          <t>Extra Negocios NIF 4 1</t>
        </is>
      </c>
      <c r="D587" s="170" t="n">
        <v>102</v>
      </c>
      <c r="E587" s="5" t="n"/>
      <c r="F587" s="5" t="n"/>
      <c r="G587" s="5" t="n"/>
      <c r="H587" s="5" t="n"/>
      <c r="I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  <c r="CE587" s="5" t="n"/>
      <c r="CF587" s="5" t="n"/>
    </row>
    <row r="588" ht="16.5" customHeight="1" s="241">
      <c r="A588" s="171" t="n">
        <v>25</v>
      </c>
      <c r="B588" s="171" t="n">
        <v>44</v>
      </c>
      <c r="C588" s="171" t="inlineStr">
        <is>
          <t>Extra Negocios NIF 4 1</t>
        </is>
      </c>
      <c r="D588" s="170" t="n">
        <v>120</v>
      </c>
      <c r="E588" s="5" t="n"/>
      <c r="F588" s="5" t="n"/>
      <c r="G588" s="5" t="n"/>
      <c r="H588" s="5" t="n"/>
      <c r="I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  <c r="CE588" s="5" t="n"/>
      <c r="CF588" s="5" t="n"/>
    </row>
    <row r="589" ht="16.5" customHeight="1" s="241">
      <c r="A589" s="171" t="n">
        <v>45</v>
      </c>
      <c r="B589" s="171" t="n">
        <v>54</v>
      </c>
      <c r="C589" s="171" t="inlineStr">
        <is>
          <t>Extra Negocios NIF 4 1</t>
        </is>
      </c>
      <c r="D589" s="170" t="n">
        <v>129</v>
      </c>
      <c r="E589" s="5" t="n"/>
      <c r="F589" s="5" t="n"/>
      <c r="G589" s="5" t="n"/>
      <c r="H589" s="5" t="n"/>
      <c r="I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  <c r="CE589" s="5" t="n"/>
      <c r="CF589" s="5" t="n"/>
    </row>
    <row r="590" ht="16.5" customHeight="1" s="241">
      <c r="A590" s="171" t="n">
        <v>55</v>
      </c>
      <c r="B590" s="171" t="n">
        <v>59</v>
      </c>
      <c r="C590" s="171" t="inlineStr">
        <is>
          <t>Extra Negocios NIF 4 1</t>
        </is>
      </c>
      <c r="D590" s="170" t="n">
        <v>198</v>
      </c>
      <c r="E590" s="5" t="n"/>
      <c r="F590" s="5" t="n"/>
      <c r="G590" s="5" t="n"/>
      <c r="H590" s="5" t="n"/>
      <c r="I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  <c r="CE590" s="5" t="n"/>
      <c r="CF590" s="5" t="n"/>
    </row>
    <row r="591" ht="16.5" customHeight="1" s="241">
      <c r="A591" s="171" t="n">
        <v>60</v>
      </c>
      <c r="B591" s="171" t="n">
        <v>64</v>
      </c>
      <c r="C591" s="171" t="inlineStr">
        <is>
          <t>Extra Negocios NIF 4 1</t>
        </is>
      </c>
      <c r="D591" s="170" t="n">
        <v>228</v>
      </c>
      <c r="E591" s="5" t="n"/>
      <c r="F591" s="5" t="n"/>
      <c r="G591" s="5" t="n"/>
      <c r="H591" s="5" t="n"/>
      <c r="I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  <c r="CE591" s="5" t="n"/>
      <c r="CF591" s="5" t="n"/>
    </row>
    <row r="592" ht="16.5" customHeight="1" s="241">
      <c r="A592" s="171" t="n">
        <v>65</v>
      </c>
      <c r="B592" s="171" t="n">
        <v>69</v>
      </c>
      <c r="C592" s="171" t="inlineStr">
        <is>
          <t>Extra Negocios NIF 4 1</t>
        </is>
      </c>
      <c r="D592" s="170" t="n">
        <v>320</v>
      </c>
      <c r="E592" s="5" t="n"/>
      <c r="F592" s="5" t="n"/>
      <c r="G592" s="5" t="n"/>
      <c r="H592" s="5" t="n"/>
      <c r="I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  <c r="CE592" s="5" t="n"/>
      <c r="CF592" s="5" t="n"/>
    </row>
    <row r="593" ht="16.5" customHeight="1" s="241">
      <c r="A593" s="171" t="n">
        <v>70</v>
      </c>
      <c r="B593" s="171" t="n">
        <v>120</v>
      </c>
      <c r="C593" s="171" t="inlineStr">
        <is>
          <t>Extra Negocios NIF 4 1</t>
        </is>
      </c>
      <c r="D593" s="170" t="n">
        <v>329</v>
      </c>
      <c r="E593" s="5" t="n"/>
      <c r="F593" s="5" t="n"/>
      <c r="G593" s="5" t="n"/>
      <c r="H593" s="5" t="n"/>
      <c r="I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  <c r="CE593" s="5" t="n"/>
      <c r="CF593" s="5" t="n"/>
    </row>
    <row r="594">
      <c r="A594" s="171" t="n">
        <v>0</v>
      </c>
      <c r="B594" s="171" t="n">
        <v>24</v>
      </c>
      <c r="C594" s="171" t="inlineStr">
        <is>
          <t>Extra Negocios NIF 5 1</t>
        </is>
      </c>
      <c r="D594" s="169" t="n">
        <v>102.5</v>
      </c>
      <c r="E594" s="5" t="n"/>
      <c r="F594" s="5" t="n"/>
      <c r="G594" s="5" t="n"/>
      <c r="H594" s="5" t="n"/>
      <c r="I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  <c r="CE594" s="5" t="n"/>
      <c r="CF594" s="5" t="n"/>
    </row>
    <row r="595">
      <c r="A595" s="171" t="n">
        <v>25</v>
      </c>
      <c r="B595" s="171" t="n">
        <v>44</v>
      </c>
      <c r="C595" s="171" t="inlineStr">
        <is>
          <t>Extra Negocios NIF 5 1</t>
        </is>
      </c>
      <c r="D595" s="169" t="n">
        <v>120.5</v>
      </c>
      <c r="E595" s="5" t="n"/>
      <c r="F595" s="5" t="n"/>
      <c r="G595" s="5" t="n"/>
      <c r="H595" s="5" t="n"/>
      <c r="I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  <c r="CE595" s="5" t="n"/>
      <c r="CF595" s="5" t="n"/>
    </row>
    <row r="596">
      <c r="A596" s="171" t="n">
        <v>45</v>
      </c>
      <c r="B596" s="171" t="n">
        <v>54</v>
      </c>
      <c r="C596" s="171" t="inlineStr">
        <is>
          <t>Extra Negocios NIF 5 1</t>
        </is>
      </c>
      <c r="D596" s="169" t="n">
        <v>130</v>
      </c>
      <c r="E596" s="5" t="n"/>
      <c r="F596" s="5" t="n"/>
      <c r="G596" s="5" t="n"/>
      <c r="H596" s="5" t="n"/>
      <c r="I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  <c r="CE596" s="5" t="n"/>
      <c r="CF596" s="5" t="n"/>
    </row>
    <row r="597">
      <c r="A597" s="171" t="n">
        <v>55</v>
      </c>
      <c r="B597" s="171" t="n">
        <v>59</v>
      </c>
      <c r="C597" s="171" t="inlineStr">
        <is>
          <t>Extra Negocios NIF 5 1</t>
        </is>
      </c>
      <c r="D597" s="169" t="n">
        <v>198.5</v>
      </c>
      <c r="E597" s="5" t="n"/>
      <c r="F597" s="5" t="n"/>
      <c r="G597" s="5" t="n"/>
      <c r="H597" s="5" t="n"/>
      <c r="I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  <c r="CE597" s="5" t="n"/>
      <c r="CF597" s="5" t="n"/>
    </row>
    <row r="598">
      <c r="A598" s="171" t="n">
        <v>60</v>
      </c>
      <c r="B598" s="171" t="n">
        <v>64</v>
      </c>
      <c r="C598" s="171" t="inlineStr">
        <is>
          <t>Extra Negocios NIF 5 1</t>
        </is>
      </c>
      <c r="D598" s="169" t="n">
        <v>228.5</v>
      </c>
      <c r="E598" s="5" t="n"/>
      <c r="F598" s="5" t="n"/>
      <c r="G598" s="5" t="n"/>
      <c r="H598" s="5" t="n"/>
      <c r="I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  <c r="CE598" s="5" t="n"/>
      <c r="CF598" s="5" t="n"/>
    </row>
    <row r="599">
      <c r="A599" s="171" t="n">
        <v>65</v>
      </c>
      <c r="B599" s="171" t="n">
        <v>69</v>
      </c>
      <c r="C599" s="171" t="inlineStr">
        <is>
          <t>Extra Negocios NIF 5 1</t>
        </is>
      </c>
      <c r="D599" s="169" t="n">
        <v>321</v>
      </c>
      <c r="E599" s="5" t="n"/>
      <c r="F599" s="5" t="n"/>
      <c r="G599" s="5" t="n"/>
      <c r="H599" s="5" t="n"/>
      <c r="I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  <c r="CE599" s="5" t="n"/>
      <c r="CF599" s="5" t="n"/>
    </row>
    <row r="600">
      <c r="A600" s="171" t="n">
        <v>70</v>
      </c>
      <c r="B600" s="171" t="n">
        <v>120</v>
      </c>
      <c r="C600" s="171" t="inlineStr">
        <is>
          <t>Extra Negocios NIF 5 1</t>
        </is>
      </c>
      <c r="D600" s="169" t="n">
        <v>330</v>
      </c>
      <c r="E600" s="5" t="n"/>
      <c r="F600" s="5" t="n"/>
      <c r="G600" s="5" t="n"/>
      <c r="H600" s="5" t="n"/>
      <c r="I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  <c r="CE600" s="5" t="n"/>
      <c r="CF600" s="5" t="n"/>
    </row>
    <row r="601">
      <c r="A601" s="171" t="n">
        <v>0</v>
      </c>
      <c r="B601" s="171" t="n">
        <v>24</v>
      </c>
      <c r="C601" s="171" t="inlineStr">
        <is>
          <t>Extra Negocios NIF 6 1</t>
        </is>
      </c>
      <c r="D601" s="169" t="n">
        <v>104</v>
      </c>
      <c r="E601" s="5" t="n"/>
      <c r="F601" s="5" t="n"/>
      <c r="G601" s="5" t="n"/>
      <c r="H601" s="5" t="n"/>
      <c r="I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  <c r="CE601" s="5" t="n"/>
      <c r="CF601" s="5" t="n"/>
    </row>
    <row r="602">
      <c r="A602" s="171" t="n">
        <v>25</v>
      </c>
      <c r="B602" s="171" t="n">
        <v>44</v>
      </c>
      <c r="C602" s="171" t="inlineStr">
        <is>
          <t>Extra Negocios NIF 6 1</t>
        </is>
      </c>
      <c r="D602" s="169" t="n">
        <v>122</v>
      </c>
      <c r="E602" s="5" t="n"/>
      <c r="F602" s="5" t="n"/>
      <c r="G602" s="5" t="n"/>
      <c r="H602" s="5" t="n"/>
      <c r="I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  <c r="CE602" s="5" t="n"/>
      <c r="CF602" s="5" t="n"/>
    </row>
    <row r="603">
      <c r="A603" s="171" t="n">
        <v>45</v>
      </c>
      <c r="B603" s="171" t="n">
        <v>54</v>
      </c>
      <c r="C603" s="171" t="inlineStr">
        <is>
          <t>Extra Negocios NIF 6 1</t>
        </is>
      </c>
      <c r="D603" s="169" t="n">
        <v>132</v>
      </c>
      <c r="E603" s="5" t="n"/>
      <c r="F603" s="5" t="n"/>
      <c r="G603" s="5" t="n"/>
      <c r="H603" s="5" t="n"/>
      <c r="I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  <c r="CE603" s="5" t="n"/>
      <c r="CF603" s="5" t="n"/>
    </row>
    <row r="604">
      <c r="A604" s="171" t="n">
        <v>55</v>
      </c>
      <c r="B604" s="171" t="n">
        <v>59</v>
      </c>
      <c r="C604" s="171" t="inlineStr">
        <is>
          <t>Extra Negocios NIF 6 1</t>
        </is>
      </c>
      <c r="D604" s="169" t="n">
        <v>203</v>
      </c>
      <c r="E604" s="5" t="n"/>
      <c r="F604" s="5" t="n"/>
      <c r="G604" s="5" t="n"/>
      <c r="H604" s="5" t="n"/>
      <c r="I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  <c r="CE604" s="5" t="n"/>
      <c r="CF604" s="5" t="n"/>
    </row>
    <row r="605">
      <c r="A605" s="171" t="n">
        <v>60</v>
      </c>
      <c r="B605" s="171" t="n">
        <v>64</v>
      </c>
      <c r="C605" s="171" t="inlineStr">
        <is>
          <t>Extra Negocios NIF 6 1</t>
        </is>
      </c>
      <c r="D605" s="169" t="n">
        <v>233</v>
      </c>
      <c r="E605" s="5" t="n"/>
      <c r="F605" s="5" t="n"/>
      <c r="G605" s="5" t="n"/>
      <c r="H605" s="5" t="n"/>
      <c r="I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  <c r="CE605" s="5" t="n"/>
      <c r="CF605" s="5" t="n"/>
    </row>
    <row r="606">
      <c r="A606" s="171" t="n">
        <v>65</v>
      </c>
      <c r="B606" s="171" t="n">
        <v>69</v>
      </c>
      <c r="C606" s="171" t="inlineStr">
        <is>
          <t>Extra Negocios NIF 6 1</t>
        </is>
      </c>
      <c r="D606" s="169" t="n">
        <v>330</v>
      </c>
      <c r="E606" s="5" t="n"/>
      <c r="F606" s="5" t="n"/>
      <c r="G606" s="5" t="n"/>
      <c r="H606" s="5" t="n"/>
      <c r="I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  <c r="CE606" s="5" t="n"/>
      <c r="CF606" s="5" t="n"/>
    </row>
    <row r="607">
      <c r="A607" s="171" t="n">
        <v>70</v>
      </c>
      <c r="B607" s="171" t="n">
        <v>120</v>
      </c>
      <c r="C607" s="171" t="inlineStr">
        <is>
          <t>Extra Negocios NIF 6 1</t>
        </is>
      </c>
      <c r="D607" s="169" t="n">
        <v>340</v>
      </c>
      <c r="E607" s="5" t="n"/>
      <c r="F607" s="5" t="n"/>
      <c r="G607" s="5" t="n"/>
      <c r="H607" s="5" t="n"/>
      <c r="I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  <c r="CE607" s="5" t="n"/>
      <c r="CF607" s="5" t="n"/>
    </row>
    <row r="608">
      <c r="A608" s="171" t="n">
        <v>0</v>
      </c>
      <c r="B608" s="171" t="n">
        <v>24</v>
      </c>
      <c r="C608" s="171" t="inlineStr">
        <is>
          <t>Extra Negocios NIF 1 2</t>
        </is>
      </c>
      <c r="D608" s="169" t="n">
        <v>81</v>
      </c>
      <c r="E608" s="5" t="n"/>
      <c r="F608" s="5" t="n"/>
      <c r="G608" s="5" t="n"/>
      <c r="H608" s="5" t="n"/>
      <c r="I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  <c r="CE608" s="5" t="n"/>
      <c r="CF608" s="5" t="n"/>
    </row>
    <row r="609">
      <c r="A609" s="171" t="n">
        <v>25</v>
      </c>
      <c r="B609" s="171" t="n">
        <v>44</v>
      </c>
      <c r="C609" s="171" t="inlineStr">
        <is>
          <t>Extra Negocios NIF 1 2</t>
        </is>
      </c>
      <c r="D609" s="169" t="n">
        <v>95.40000000000001</v>
      </c>
      <c r="E609" s="5" t="n"/>
      <c r="F609" s="5" t="n"/>
      <c r="G609" s="5" t="n"/>
      <c r="H609" s="5" t="n"/>
      <c r="I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  <c r="CE609" s="5" t="n"/>
      <c r="CF609" s="5" t="n"/>
    </row>
    <row r="610">
      <c r="A610" s="171" t="n">
        <v>45</v>
      </c>
      <c r="B610" s="171" t="n">
        <v>54</v>
      </c>
      <c r="C610" s="171" t="inlineStr">
        <is>
          <t>Extra Negocios NIF 1 2</t>
        </is>
      </c>
      <c r="D610" s="169" t="n">
        <v>100.8</v>
      </c>
      <c r="E610" s="5" t="n"/>
      <c r="F610" s="5" t="n"/>
      <c r="G610" s="5" t="n"/>
      <c r="H610" s="5" t="n"/>
      <c r="I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  <c r="CE610" s="5" t="n"/>
      <c r="CF610" s="5" t="n"/>
    </row>
    <row r="611">
      <c r="A611" s="171" t="n">
        <v>55</v>
      </c>
      <c r="B611" s="171" t="n">
        <v>59</v>
      </c>
      <c r="C611" s="171" t="inlineStr">
        <is>
          <t>Extra Negocios NIF 1 2</t>
        </is>
      </c>
      <c r="D611" s="169" t="n">
        <v>156.6</v>
      </c>
      <c r="E611" s="5" t="n"/>
      <c r="F611" s="5" t="n"/>
      <c r="G611" s="5" t="n"/>
      <c r="H611" s="5" t="n"/>
      <c r="I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  <c r="CE611" s="5" t="n"/>
      <c r="CF611" s="5" t="n"/>
    </row>
    <row r="612">
      <c r="A612" s="171" t="n">
        <v>60</v>
      </c>
      <c r="B612" s="171" t="n">
        <v>64</v>
      </c>
      <c r="C612" s="171" t="inlineStr">
        <is>
          <t>Extra Negocios NIF 1 2</t>
        </is>
      </c>
      <c r="D612" s="169" t="n">
        <v>185.4</v>
      </c>
      <c r="E612" s="5" t="n"/>
      <c r="F612" s="5" t="n"/>
      <c r="G612" s="5" t="n"/>
      <c r="H612" s="5" t="n"/>
      <c r="I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  <c r="CE612" s="5" t="n"/>
      <c r="CF612" s="5" t="n"/>
    </row>
    <row r="613">
      <c r="A613" s="171" t="n">
        <v>65</v>
      </c>
      <c r="B613" s="171" t="n">
        <v>69</v>
      </c>
      <c r="C613" s="171" t="inlineStr">
        <is>
          <t>Extra Negocios NIF 1 2</t>
        </is>
      </c>
      <c r="D613" s="170" t="n">
        <v>263.7</v>
      </c>
      <c r="E613" s="5" t="n"/>
      <c r="F613" s="5" t="n"/>
      <c r="G613" s="5" t="n"/>
      <c r="H613" s="5" t="n"/>
      <c r="I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  <c r="CE613" s="5" t="n"/>
      <c r="CF613" s="5" t="n"/>
    </row>
    <row r="614">
      <c r="A614" s="171" t="n">
        <v>70</v>
      </c>
      <c r="B614" s="171" t="n">
        <v>120</v>
      </c>
      <c r="C614" s="171" t="inlineStr">
        <is>
          <t>Extra Negocios NIF 1 2</t>
        </is>
      </c>
      <c r="D614" s="170" t="n">
        <v>273.6</v>
      </c>
      <c r="E614" s="5" t="n"/>
      <c r="F614" s="5" t="n"/>
      <c r="G614" s="5" t="n"/>
      <c r="H614" s="5" t="n"/>
      <c r="I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  <c r="CE614" s="5" t="n"/>
      <c r="CF614" s="5" t="n"/>
    </row>
    <row r="615">
      <c r="A615" s="171" t="n">
        <v>0</v>
      </c>
      <c r="B615" s="171" t="n">
        <v>24</v>
      </c>
      <c r="C615" s="171" t="inlineStr">
        <is>
          <t>Extra Negocios NIF 2 2</t>
        </is>
      </c>
      <c r="D615" s="170" t="n">
        <v>83.7</v>
      </c>
      <c r="E615" s="5" t="n"/>
      <c r="F615" s="5" t="n"/>
      <c r="G615" s="5" t="n"/>
      <c r="H615" s="5" t="n"/>
      <c r="I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  <c r="CE615" s="5" t="n"/>
      <c r="CF615" s="5" t="n"/>
    </row>
    <row r="616">
      <c r="A616" s="171" t="n">
        <v>25</v>
      </c>
      <c r="B616" s="171" t="n">
        <v>44</v>
      </c>
      <c r="C616" s="171" t="inlineStr">
        <is>
          <t>Extra Negocios NIF 2 2</t>
        </is>
      </c>
      <c r="D616" s="170" t="n">
        <v>99</v>
      </c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  <c r="CE616" s="5" t="n"/>
      <c r="CF616" s="5" t="n"/>
    </row>
    <row r="617">
      <c r="A617" s="171" t="n">
        <v>45</v>
      </c>
      <c r="B617" s="171" t="n">
        <v>54</v>
      </c>
      <c r="C617" s="171" t="inlineStr">
        <is>
          <t>Extra Negocios NIF 2 2</t>
        </is>
      </c>
      <c r="D617" s="170" t="n">
        <v>106.2</v>
      </c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  <c r="CE617" s="5" t="n"/>
      <c r="CF617" s="5" t="n"/>
    </row>
    <row r="618">
      <c r="A618" s="171" t="n">
        <v>55</v>
      </c>
      <c r="B618" s="171" t="n">
        <v>59</v>
      </c>
      <c r="C618" s="171" t="inlineStr">
        <is>
          <t>Extra Negocios NIF 2 2</t>
        </is>
      </c>
      <c r="D618" s="170" t="n">
        <v>162</v>
      </c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  <c r="CE618" s="5" t="n"/>
      <c r="CF618" s="5" t="n"/>
    </row>
    <row r="619">
      <c r="A619" s="171" t="n">
        <v>60</v>
      </c>
      <c r="B619" s="171" t="n">
        <v>64</v>
      </c>
      <c r="C619" s="171" t="inlineStr">
        <is>
          <t>Extra Negocios NIF 2 2</t>
        </is>
      </c>
      <c r="D619" s="170" t="n">
        <v>189</v>
      </c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  <c r="CE619" s="5" t="n"/>
      <c r="CF619" s="5" t="n"/>
    </row>
    <row r="620">
      <c r="A620" s="171" t="n">
        <v>65</v>
      </c>
      <c r="B620" s="171" t="n">
        <v>69</v>
      </c>
      <c r="C620" s="171" t="inlineStr">
        <is>
          <t>Extra Negocios NIF 2 2</t>
        </is>
      </c>
      <c r="D620" s="170" t="n">
        <v>270.9</v>
      </c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  <c r="CE620" s="5" t="n"/>
      <c r="CF620" s="5" t="n"/>
    </row>
    <row r="621">
      <c r="A621" s="171" t="n">
        <v>70</v>
      </c>
      <c r="B621" s="171" t="n">
        <v>120</v>
      </c>
      <c r="C621" s="171" t="inlineStr">
        <is>
          <t>Extra Negocios NIF 2 2</t>
        </is>
      </c>
      <c r="D621" s="170" t="n">
        <v>278.1</v>
      </c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  <c r="CE621" s="5" t="n"/>
      <c r="CF621" s="5" t="n"/>
    </row>
    <row r="622">
      <c r="A622" s="171" t="n">
        <v>0</v>
      </c>
      <c r="B622" s="171" t="n">
        <v>24</v>
      </c>
      <c r="C622" s="171" t="inlineStr">
        <is>
          <t>Extra Negocios NIF 3 2</t>
        </is>
      </c>
      <c r="D622" s="170" t="n">
        <v>84.59999999999999</v>
      </c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  <c r="CE622" s="5" t="n"/>
      <c r="CF622" s="5" t="n"/>
    </row>
    <row r="623">
      <c r="A623" s="171" t="n">
        <v>25</v>
      </c>
      <c r="B623" s="171" t="n">
        <v>44</v>
      </c>
      <c r="C623" s="171" t="inlineStr">
        <is>
          <t>Extra Negocios NIF 3 2</t>
        </is>
      </c>
      <c r="D623" s="170" t="n">
        <v>99.90000000000001</v>
      </c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  <c r="CE623" s="5" t="n"/>
      <c r="CF623" s="5" t="n"/>
    </row>
    <row r="624">
      <c r="A624" s="171" t="n">
        <v>45</v>
      </c>
      <c r="B624" s="171" t="n">
        <v>54</v>
      </c>
      <c r="C624" s="171" t="inlineStr">
        <is>
          <t>Extra Negocios NIF 3 2</t>
        </is>
      </c>
      <c r="D624" s="170" t="n">
        <v>107.1</v>
      </c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  <c r="CE624" s="5" t="n"/>
      <c r="CF624" s="5" t="n"/>
    </row>
    <row r="625">
      <c r="A625" s="171" t="n">
        <v>55</v>
      </c>
      <c r="B625" s="171" t="n">
        <v>59</v>
      </c>
      <c r="C625" s="171" t="inlineStr">
        <is>
          <t>Extra Negocios NIF 3 2</t>
        </is>
      </c>
      <c r="D625" s="170" t="n">
        <v>166.5</v>
      </c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  <c r="CE625" s="5" t="n"/>
      <c r="CF625" s="5" t="n"/>
    </row>
    <row r="626">
      <c r="A626" s="171" t="n">
        <v>60</v>
      </c>
      <c r="B626" s="171" t="n">
        <v>64</v>
      </c>
      <c r="C626" s="171" t="inlineStr">
        <is>
          <t>Extra Negocios NIF 3 2</t>
        </is>
      </c>
      <c r="D626" s="170" t="n">
        <v>193.5</v>
      </c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  <c r="CE626" s="5" t="n"/>
      <c r="CF626" s="5" t="n"/>
    </row>
    <row r="627">
      <c r="A627" s="171" t="n">
        <v>65</v>
      </c>
      <c r="B627" s="171" t="n">
        <v>69</v>
      </c>
      <c r="C627" s="171" t="inlineStr">
        <is>
          <t>Extra Negocios NIF 3 2</t>
        </is>
      </c>
      <c r="D627" s="170" t="n">
        <v>277.2</v>
      </c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  <c r="CE627" s="5" t="n"/>
      <c r="CF627" s="5" t="n"/>
    </row>
    <row r="628">
      <c r="A628" s="171" t="n">
        <v>70</v>
      </c>
      <c r="B628" s="171" t="n">
        <v>120</v>
      </c>
      <c r="C628" s="171" t="inlineStr">
        <is>
          <t>Extra Negocios NIF 3 2</t>
        </is>
      </c>
      <c r="D628" s="170" t="n">
        <v>287.1</v>
      </c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  <c r="CE628" s="5" t="n"/>
      <c r="CF628" s="5" t="n"/>
    </row>
    <row r="629">
      <c r="A629" s="171" t="n">
        <v>0</v>
      </c>
      <c r="B629" s="171" t="n">
        <v>24</v>
      </c>
      <c r="C629" s="171" t="inlineStr">
        <is>
          <t>Extra Negocios NIF 4 2</t>
        </is>
      </c>
      <c r="D629" s="170" t="n">
        <v>91.8</v>
      </c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  <c r="CE629" s="5" t="n"/>
      <c r="CF629" s="5" t="n"/>
    </row>
    <row r="630">
      <c r="A630" s="171" t="n">
        <v>25</v>
      </c>
      <c r="B630" s="171" t="n">
        <v>44</v>
      </c>
      <c r="C630" s="171" t="inlineStr">
        <is>
          <t>Extra Negocios NIF 4 2</t>
        </is>
      </c>
      <c r="D630" s="170" t="n">
        <v>108</v>
      </c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  <c r="CE630" s="5" t="n"/>
      <c r="CF630" s="5" t="n"/>
    </row>
    <row r="631">
      <c r="A631" s="171" t="n">
        <v>45</v>
      </c>
      <c r="B631" s="171" t="n">
        <v>54</v>
      </c>
      <c r="C631" s="171" t="inlineStr">
        <is>
          <t>Extra Negocios NIF 4 2</t>
        </is>
      </c>
      <c r="D631" s="170" t="n">
        <v>116.1</v>
      </c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  <c r="CE631" s="5" t="n"/>
      <c r="CF631" s="5" t="n"/>
    </row>
    <row r="632">
      <c r="A632" s="171" t="n">
        <v>55</v>
      </c>
      <c r="B632" s="171" t="n">
        <v>59</v>
      </c>
      <c r="C632" s="171" t="inlineStr">
        <is>
          <t>Extra Negocios NIF 4 2</t>
        </is>
      </c>
      <c r="D632" s="170" t="n">
        <v>178.2</v>
      </c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  <c r="CE632" s="5" t="n"/>
      <c r="CF632" s="5" t="n"/>
    </row>
    <row r="633">
      <c r="A633" s="171" t="n">
        <v>60</v>
      </c>
      <c r="B633" s="171" t="n">
        <v>64</v>
      </c>
      <c r="C633" s="171" t="inlineStr">
        <is>
          <t>Extra Negocios NIF 4 2</t>
        </is>
      </c>
      <c r="D633" s="170" t="n">
        <v>205.2</v>
      </c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  <c r="CE633" s="5" t="n"/>
      <c r="CF633" s="5" t="n"/>
    </row>
    <row r="634">
      <c r="A634" s="171" t="n">
        <v>65</v>
      </c>
      <c r="B634" s="171" t="n">
        <v>69</v>
      </c>
      <c r="C634" s="171" t="inlineStr">
        <is>
          <t>Extra Negocios NIF 4 2</t>
        </is>
      </c>
      <c r="D634" s="170" t="n">
        <v>288</v>
      </c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  <c r="CE634" s="5" t="n"/>
      <c r="CF634" s="5" t="n"/>
    </row>
    <row r="635">
      <c r="A635" s="171" t="n">
        <v>70</v>
      </c>
      <c r="B635" s="171" t="n">
        <v>120</v>
      </c>
      <c r="C635" s="171" t="inlineStr">
        <is>
          <t>Extra Negocios NIF 4 2</t>
        </is>
      </c>
      <c r="D635" s="170" t="n">
        <v>296.1</v>
      </c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  <c r="CE635" s="5" t="n"/>
      <c r="CF635" s="5" t="n"/>
    </row>
    <row r="636">
      <c r="A636" s="171" t="n">
        <v>0</v>
      </c>
      <c r="B636" s="171" t="n">
        <v>24</v>
      </c>
      <c r="C636" s="171" t="inlineStr">
        <is>
          <t>Extra Negocios NIF 5 2</t>
        </is>
      </c>
      <c r="D636" s="170" t="n">
        <v>92.25</v>
      </c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  <c r="CE636" s="5" t="n"/>
      <c r="CF636" s="5" t="n"/>
    </row>
    <row r="637">
      <c r="A637" s="171" t="n">
        <v>25</v>
      </c>
      <c r="B637" s="171" t="n">
        <v>44</v>
      </c>
      <c r="C637" s="171" t="inlineStr">
        <is>
          <t>Extra Negocios NIF 5 2</t>
        </is>
      </c>
      <c r="D637" s="170" t="n">
        <v>108.45</v>
      </c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  <c r="CE637" s="5" t="n"/>
      <c r="CF637" s="5" t="n"/>
    </row>
    <row r="638">
      <c r="A638" s="171" t="n">
        <v>45</v>
      </c>
      <c r="B638" s="171" t="n">
        <v>54</v>
      </c>
      <c r="C638" s="171" t="inlineStr">
        <is>
          <t>Extra Negocios NIF 5 2</t>
        </is>
      </c>
      <c r="D638" s="170" t="n">
        <v>117</v>
      </c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  <c r="CE638" s="5" t="n"/>
      <c r="CF638" s="5" t="n"/>
    </row>
    <row r="639">
      <c r="A639" s="171" t="n">
        <v>55</v>
      </c>
      <c r="B639" s="171" t="n">
        <v>59</v>
      </c>
      <c r="C639" s="171" t="inlineStr">
        <is>
          <t>Extra Negocios NIF 5 2</t>
        </is>
      </c>
      <c r="D639" s="170" t="n">
        <v>178.65</v>
      </c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  <c r="CE639" s="5" t="n"/>
      <c r="CF639" s="5" t="n"/>
    </row>
    <row r="640">
      <c r="A640" s="171" t="n">
        <v>60</v>
      </c>
      <c r="B640" s="171" t="n">
        <v>64</v>
      </c>
      <c r="C640" s="171" t="inlineStr">
        <is>
          <t>Extra Negocios NIF 5 2</t>
        </is>
      </c>
      <c r="D640" s="170" t="n">
        <v>205.65</v>
      </c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  <c r="CE640" s="5" t="n"/>
      <c r="CF640" s="5" t="n"/>
    </row>
    <row r="641">
      <c r="A641" s="171" t="n">
        <v>65</v>
      </c>
      <c r="B641" s="171" t="n">
        <v>69</v>
      </c>
      <c r="C641" s="171" t="inlineStr">
        <is>
          <t>Extra Negocios NIF 5 2</t>
        </is>
      </c>
      <c r="D641" s="170" t="n">
        <v>288.9</v>
      </c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  <c r="CE641" s="5" t="n"/>
      <c r="CF641" s="5" t="n"/>
    </row>
    <row r="642">
      <c r="A642" s="171" t="n">
        <v>70</v>
      </c>
      <c r="B642" s="171" t="n">
        <v>120</v>
      </c>
      <c r="C642" s="171" t="inlineStr">
        <is>
          <t>Extra Negocios NIF 5 2</t>
        </is>
      </c>
      <c r="D642" s="170" t="n">
        <v>297</v>
      </c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  <c r="BX642" s="5" t="n"/>
      <c r="BY642" s="5" t="n"/>
      <c r="BZ642" s="5" t="n"/>
      <c r="CA642" s="5" t="n"/>
      <c r="CB642" s="5" t="n"/>
      <c r="CC642" s="5" t="n"/>
      <c r="CD642" s="5" t="n"/>
      <c r="CE642" s="5" t="n"/>
      <c r="CF642" s="5" t="n"/>
    </row>
    <row r="643">
      <c r="A643" s="171" t="n">
        <v>0</v>
      </c>
      <c r="B643" s="171" t="n">
        <v>24</v>
      </c>
      <c r="C643" s="171" t="inlineStr">
        <is>
          <t>Extra Negocios NIF 6 2</t>
        </is>
      </c>
      <c r="D643" s="170" t="n">
        <v>93.59999999999999</v>
      </c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  <c r="CE643" s="5" t="n"/>
      <c r="CF643" s="5" t="n"/>
    </row>
    <row r="644">
      <c r="A644" s="171" t="n">
        <v>25</v>
      </c>
      <c r="B644" s="171" t="n">
        <v>44</v>
      </c>
      <c r="C644" s="171" t="inlineStr">
        <is>
          <t>Extra Negocios NIF 6 2</t>
        </is>
      </c>
      <c r="D644" s="170" t="n">
        <v>109.8</v>
      </c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  <c r="BX644" s="5" t="n"/>
      <c r="BY644" s="5" t="n"/>
      <c r="BZ644" s="5" t="n"/>
      <c r="CA644" s="5" t="n"/>
      <c r="CB644" s="5" t="n"/>
      <c r="CC644" s="5" t="n"/>
      <c r="CD644" s="5" t="n"/>
      <c r="CE644" s="5" t="n"/>
      <c r="CF644" s="5" t="n"/>
    </row>
    <row r="645">
      <c r="A645" s="171" t="n">
        <v>45</v>
      </c>
      <c r="B645" s="171" t="n">
        <v>54</v>
      </c>
      <c r="C645" s="171" t="inlineStr">
        <is>
          <t>Extra Negocios NIF 6 2</t>
        </is>
      </c>
      <c r="D645" s="170" t="n">
        <v>118.8</v>
      </c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  <c r="CE645" s="5" t="n"/>
      <c r="CF645" s="5" t="n"/>
    </row>
    <row r="646">
      <c r="A646" s="171" t="n">
        <v>55</v>
      </c>
      <c r="B646" s="171" t="n">
        <v>59</v>
      </c>
      <c r="C646" s="171" t="inlineStr">
        <is>
          <t>Extra Negocios NIF 6 2</t>
        </is>
      </c>
      <c r="D646" s="170" t="n">
        <v>182.7</v>
      </c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  <c r="BX646" s="5" t="n"/>
      <c r="BY646" s="5" t="n"/>
      <c r="BZ646" s="5" t="n"/>
      <c r="CA646" s="5" t="n"/>
      <c r="CB646" s="5" t="n"/>
      <c r="CC646" s="5" t="n"/>
      <c r="CD646" s="5" t="n"/>
      <c r="CE646" s="5" t="n"/>
      <c r="CF646" s="5" t="n"/>
    </row>
    <row r="647">
      <c r="A647" s="171" t="n">
        <v>60</v>
      </c>
      <c r="B647" s="171" t="n">
        <v>64</v>
      </c>
      <c r="C647" s="171" t="inlineStr">
        <is>
          <t>Extra Negocios NIF 6 2</t>
        </is>
      </c>
      <c r="D647" s="170" t="n">
        <v>209.7</v>
      </c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  <c r="CE647" s="5" t="n"/>
      <c r="CF647" s="5" t="n"/>
    </row>
    <row r="648">
      <c r="A648" s="171" t="n">
        <v>65</v>
      </c>
      <c r="B648" s="171" t="n">
        <v>69</v>
      </c>
      <c r="C648" s="171" t="inlineStr">
        <is>
          <t>Extra Negocios NIF 6 2</t>
        </is>
      </c>
      <c r="D648" s="170" t="n">
        <v>297</v>
      </c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  <c r="BX648" s="5" t="n"/>
      <c r="BY648" s="5" t="n"/>
      <c r="BZ648" s="5" t="n"/>
      <c r="CA648" s="5" t="n"/>
      <c r="CB648" s="5" t="n"/>
      <c r="CC648" s="5" t="n"/>
      <c r="CD648" s="5" t="n"/>
      <c r="CE648" s="5" t="n"/>
      <c r="CF648" s="5" t="n"/>
    </row>
    <row r="649">
      <c r="A649" s="171" t="n">
        <v>70</v>
      </c>
      <c r="B649" s="171" t="n">
        <v>120</v>
      </c>
      <c r="C649" s="171" t="inlineStr">
        <is>
          <t>Extra Negocios NIF 6 2</t>
        </is>
      </c>
      <c r="D649" s="170" t="n">
        <v>306</v>
      </c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  <c r="BX649" s="5" t="n"/>
      <c r="BY649" s="5" t="n"/>
      <c r="BZ649" s="5" t="n"/>
      <c r="CA649" s="5" t="n"/>
      <c r="CB649" s="5" t="n"/>
      <c r="CC649" s="5" t="n"/>
      <c r="CD649" s="5" t="n"/>
      <c r="CE649" s="5" t="n"/>
      <c r="CF649" s="5" t="n"/>
    </row>
    <row r="650">
      <c r="A650" s="171" t="n"/>
      <c r="B650" s="171" t="n"/>
      <c r="C650" s="171" t="n"/>
      <c r="D650" s="170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  <c r="BX650" s="5" t="n"/>
      <c r="BY650" s="5" t="n"/>
      <c r="BZ650" s="5" t="n"/>
      <c r="CA650" s="5" t="n"/>
      <c r="CB650" s="5" t="n"/>
      <c r="CC650" s="5" t="n"/>
      <c r="CD650" s="5" t="n"/>
      <c r="CE650" s="5" t="n"/>
      <c r="CF650" s="5" t="n"/>
    </row>
    <row r="651">
      <c r="A651" s="171" t="n"/>
      <c r="B651" s="171" t="n"/>
      <c r="C651" s="171" t="n"/>
      <c r="D651" s="170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  <c r="BX651" s="5" t="n"/>
      <c r="BY651" s="5" t="n"/>
      <c r="BZ651" s="5" t="n"/>
      <c r="CA651" s="5" t="n"/>
      <c r="CB651" s="5" t="n"/>
      <c r="CC651" s="5" t="n"/>
      <c r="CD651" s="5" t="n"/>
      <c r="CE651" s="5" t="n"/>
      <c r="CF651" s="5" t="n"/>
    </row>
    <row r="652">
      <c r="A652" s="171" t="n"/>
      <c r="B652" s="171" t="n"/>
      <c r="C652" s="171" t="n"/>
      <c r="D652" s="170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  <c r="BX652" s="5" t="n"/>
      <c r="BY652" s="5" t="n"/>
      <c r="BZ652" s="5" t="n"/>
      <c r="CA652" s="5" t="n"/>
      <c r="CB652" s="5" t="n"/>
      <c r="CC652" s="5" t="n"/>
      <c r="CD652" s="5" t="n"/>
      <c r="CE652" s="5" t="n"/>
      <c r="CF652" s="5" t="n"/>
    </row>
    <row r="653">
      <c r="A653" s="171" t="n"/>
      <c r="B653" s="171" t="n"/>
      <c r="C653" s="171" t="n"/>
      <c r="D653" s="170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  <c r="BX653" s="5" t="n"/>
      <c r="BY653" s="5" t="n"/>
      <c r="BZ653" s="5" t="n"/>
      <c r="CA653" s="5" t="n"/>
      <c r="CB653" s="5" t="n"/>
      <c r="CC653" s="5" t="n"/>
      <c r="CD653" s="5" t="n"/>
      <c r="CE653" s="5" t="n"/>
      <c r="CF653" s="5" t="n"/>
    </row>
    <row r="654">
      <c r="A654" s="171" t="n"/>
      <c r="B654" s="171" t="n"/>
      <c r="C654" s="171" t="n"/>
      <c r="D654" s="170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  <c r="BX654" s="5" t="n"/>
      <c r="BY654" s="5" t="n"/>
      <c r="BZ654" s="5" t="n"/>
      <c r="CA654" s="5" t="n"/>
      <c r="CB654" s="5" t="n"/>
      <c r="CC654" s="5" t="n"/>
      <c r="CD654" s="5" t="n"/>
      <c r="CE654" s="5" t="n"/>
      <c r="CF654" s="5" t="n"/>
    </row>
    <row r="655">
      <c r="A655" s="171" t="n"/>
      <c r="B655" s="171" t="n"/>
      <c r="C655" s="171" t="n"/>
      <c r="D655" s="170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  <c r="BX655" s="5" t="n"/>
      <c r="BY655" s="5" t="n"/>
      <c r="BZ655" s="5" t="n"/>
      <c r="CA655" s="5" t="n"/>
      <c r="CB655" s="5" t="n"/>
      <c r="CC655" s="5" t="n"/>
      <c r="CD655" s="5" t="n"/>
      <c r="CE655" s="5" t="n"/>
      <c r="CF655" s="5" t="n"/>
    </row>
    <row r="656">
      <c r="A656" s="171" t="n"/>
      <c r="B656" s="171" t="n"/>
      <c r="C656" s="171" t="n"/>
      <c r="D656" s="170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  <c r="BX656" s="5" t="n"/>
      <c r="BY656" s="5" t="n"/>
      <c r="BZ656" s="5" t="n"/>
      <c r="CA656" s="5" t="n"/>
      <c r="CB656" s="5" t="n"/>
      <c r="CC656" s="5" t="n"/>
      <c r="CD656" s="5" t="n"/>
      <c r="CE656" s="5" t="n"/>
      <c r="CF656" s="5" t="n"/>
    </row>
    <row r="657">
      <c r="A657" s="171" t="n"/>
      <c r="B657" s="171" t="n"/>
      <c r="C657" s="171" t="n"/>
      <c r="D657" s="170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  <c r="BX657" s="5" t="n"/>
      <c r="BY657" s="5" t="n"/>
      <c r="BZ657" s="5" t="n"/>
      <c r="CA657" s="5" t="n"/>
      <c r="CB657" s="5" t="n"/>
      <c r="CC657" s="5" t="n"/>
      <c r="CD657" s="5" t="n"/>
      <c r="CE657" s="5" t="n"/>
      <c r="CF657" s="5" t="n"/>
    </row>
    <row r="658">
      <c r="A658" s="171" t="n"/>
      <c r="B658" s="171" t="n"/>
      <c r="C658" s="171" t="n"/>
      <c r="D658" s="170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  <c r="BX658" s="5" t="n"/>
      <c r="BY658" s="5" t="n"/>
      <c r="BZ658" s="5" t="n"/>
      <c r="CA658" s="5" t="n"/>
      <c r="CB658" s="5" t="n"/>
      <c r="CC658" s="5" t="n"/>
      <c r="CD658" s="5" t="n"/>
      <c r="CE658" s="5" t="n"/>
      <c r="CF658" s="5" t="n"/>
    </row>
    <row r="659">
      <c r="A659" s="171" t="n"/>
      <c r="B659" s="171" t="n"/>
      <c r="C659" s="171" t="n"/>
      <c r="D659" s="170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  <c r="BX659" s="5" t="n"/>
      <c r="BY659" s="5" t="n"/>
      <c r="BZ659" s="5" t="n"/>
      <c r="CA659" s="5" t="n"/>
      <c r="CB659" s="5" t="n"/>
      <c r="CC659" s="5" t="n"/>
      <c r="CD659" s="5" t="n"/>
      <c r="CE659" s="5" t="n"/>
      <c r="CF659" s="5" t="n"/>
    </row>
    <row r="660">
      <c r="A660" s="171" t="n"/>
      <c r="B660" s="171" t="n"/>
      <c r="C660" s="171" t="n"/>
      <c r="D660" s="170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  <c r="BX660" s="5" t="n"/>
      <c r="BY660" s="5" t="n"/>
      <c r="BZ660" s="5" t="n"/>
      <c r="CA660" s="5" t="n"/>
      <c r="CB660" s="5" t="n"/>
      <c r="CC660" s="5" t="n"/>
      <c r="CD660" s="5" t="n"/>
      <c r="CE660" s="5" t="n"/>
      <c r="CF660" s="5" t="n"/>
    </row>
    <row r="661">
      <c r="A661" s="171" t="n"/>
      <c r="B661" s="171" t="n"/>
      <c r="C661" s="171" t="n"/>
      <c r="D661" s="170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  <c r="CE661" s="5" t="n"/>
      <c r="CF661" s="5" t="n"/>
    </row>
    <row r="662">
      <c r="A662" s="171" t="n"/>
      <c r="B662" s="171" t="n"/>
      <c r="C662" s="171" t="n"/>
      <c r="D662" s="170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  <c r="BX662" s="5" t="n"/>
      <c r="BY662" s="5" t="n"/>
      <c r="BZ662" s="5" t="n"/>
      <c r="CA662" s="5" t="n"/>
      <c r="CB662" s="5" t="n"/>
      <c r="CC662" s="5" t="n"/>
      <c r="CD662" s="5" t="n"/>
      <c r="CE662" s="5" t="n"/>
      <c r="CF662" s="5" t="n"/>
    </row>
    <row r="663">
      <c r="A663" s="171" t="n"/>
      <c r="B663" s="171" t="n"/>
      <c r="C663" s="171" t="n"/>
      <c r="D663" s="170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  <c r="CE663" s="5" t="n"/>
      <c r="CF663" s="5" t="n"/>
    </row>
    <row r="664">
      <c r="A664" s="171" t="n"/>
      <c r="B664" s="171" t="n"/>
      <c r="C664" s="171" t="n"/>
      <c r="D664" s="170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  <c r="BX664" s="5" t="n"/>
      <c r="BY664" s="5" t="n"/>
      <c r="BZ664" s="5" t="n"/>
      <c r="CA664" s="5" t="n"/>
      <c r="CB664" s="5" t="n"/>
      <c r="CC664" s="5" t="n"/>
      <c r="CD664" s="5" t="n"/>
      <c r="CE664" s="5" t="n"/>
      <c r="CF664" s="5" t="n"/>
    </row>
    <row r="665">
      <c r="A665" s="171" t="n"/>
      <c r="B665" s="171" t="n"/>
      <c r="C665" s="171" t="n"/>
      <c r="D665" s="170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  <c r="BX665" s="5" t="n"/>
      <c r="BY665" s="5" t="n"/>
      <c r="BZ665" s="5" t="n"/>
      <c r="CA665" s="5" t="n"/>
      <c r="CB665" s="5" t="n"/>
      <c r="CC665" s="5" t="n"/>
      <c r="CD665" s="5" t="n"/>
      <c r="CE665" s="5" t="n"/>
      <c r="CF665" s="5" t="n"/>
    </row>
    <row r="666">
      <c r="A666" s="171" t="n"/>
      <c r="B666" s="171" t="n"/>
      <c r="C666" s="171" t="n"/>
      <c r="D666" s="170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  <c r="BX666" s="5" t="n"/>
      <c r="BY666" s="5" t="n"/>
      <c r="BZ666" s="5" t="n"/>
      <c r="CA666" s="5" t="n"/>
      <c r="CB666" s="5" t="n"/>
      <c r="CC666" s="5" t="n"/>
      <c r="CD666" s="5" t="n"/>
      <c r="CE666" s="5" t="n"/>
      <c r="CF666" s="5" t="n"/>
    </row>
    <row r="667">
      <c r="A667" s="171" t="n"/>
      <c r="B667" s="171" t="n"/>
      <c r="C667" s="171" t="n"/>
      <c r="D667" s="170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  <c r="BX667" s="5" t="n"/>
      <c r="BY667" s="5" t="n"/>
      <c r="BZ667" s="5" t="n"/>
      <c r="CA667" s="5" t="n"/>
      <c r="CB667" s="5" t="n"/>
      <c r="CC667" s="5" t="n"/>
      <c r="CD667" s="5" t="n"/>
      <c r="CE667" s="5" t="n"/>
      <c r="CF667" s="5" t="n"/>
    </row>
    <row r="668">
      <c r="A668" s="171" t="n"/>
      <c r="B668" s="171" t="n"/>
      <c r="C668" s="171" t="n"/>
      <c r="D668" s="170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  <c r="BX668" s="5" t="n"/>
      <c r="BY668" s="5" t="n"/>
      <c r="BZ668" s="5" t="n"/>
      <c r="CA668" s="5" t="n"/>
      <c r="CB668" s="5" t="n"/>
      <c r="CC668" s="5" t="n"/>
      <c r="CD668" s="5" t="n"/>
      <c r="CE668" s="5" t="n"/>
      <c r="CF668" s="5" t="n"/>
    </row>
    <row r="669">
      <c r="A669" s="171" t="n"/>
      <c r="B669" s="171" t="n"/>
      <c r="C669" s="171" t="n"/>
      <c r="D669" s="170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  <c r="BX669" s="5" t="n"/>
      <c r="BY669" s="5" t="n"/>
      <c r="BZ669" s="5" t="n"/>
      <c r="CA669" s="5" t="n"/>
      <c r="CB669" s="5" t="n"/>
      <c r="CC669" s="5" t="n"/>
      <c r="CD669" s="5" t="n"/>
      <c r="CE669" s="5" t="n"/>
      <c r="CF669" s="5" t="n"/>
    </row>
    <row r="670">
      <c r="A670" s="171" t="n"/>
      <c r="B670" s="171" t="n"/>
      <c r="C670" s="171" t="n"/>
      <c r="D670" s="170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  <c r="BX670" s="5" t="n"/>
      <c r="BY670" s="5" t="n"/>
      <c r="BZ670" s="5" t="n"/>
      <c r="CA670" s="5" t="n"/>
      <c r="CB670" s="5" t="n"/>
      <c r="CC670" s="5" t="n"/>
      <c r="CD670" s="5" t="n"/>
      <c r="CE670" s="5" t="n"/>
      <c r="CF670" s="5" t="n"/>
    </row>
    <row r="671">
      <c r="A671" s="171" t="n"/>
      <c r="B671" s="171" t="n"/>
      <c r="C671" s="171" t="n"/>
      <c r="D671" s="170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  <c r="BX671" s="5" t="n"/>
      <c r="BY671" s="5" t="n"/>
      <c r="BZ671" s="5" t="n"/>
      <c r="CA671" s="5" t="n"/>
      <c r="CB671" s="5" t="n"/>
      <c r="CC671" s="5" t="n"/>
      <c r="CD671" s="5" t="n"/>
      <c r="CE671" s="5" t="n"/>
      <c r="CF671" s="5" t="n"/>
    </row>
    <row r="672">
      <c r="A672" s="171" t="n"/>
      <c r="B672" s="171" t="n"/>
      <c r="C672" s="171" t="n"/>
      <c r="D672" s="170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  <c r="BX672" s="5" t="n"/>
      <c r="BY672" s="5" t="n"/>
      <c r="BZ672" s="5" t="n"/>
      <c r="CA672" s="5" t="n"/>
      <c r="CB672" s="5" t="n"/>
      <c r="CC672" s="5" t="n"/>
      <c r="CD672" s="5" t="n"/>
      <c r="CE672" s="5" t="n"/>
      <c r="CF672" s="5" t="n"/>
    </row>
    <row r="673">
      <c r="A673" s="171" t="n"/>
      <c r="B673" s="171" t="n"/>
      <c r="C673" s="171" t="n"/>
      <c r="D673" s="170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  <c r="BX673" s="5" t="n"/>
      <c r="BY673" s="5" t="n"/>
      <c r="BZ673" s="5" t="n"/>
      <c r="CA673" s="5" t="n"/>
      <c r="CB673" s="5" t="n"/>
      <c r="CC673" s="5" t="n"/>
      <c r="CD673" s="5" t="n"/>
      <c r="CE673" s="5" t="n"/>
      <c r="CF673" s="5" t="n"/>
    </row>
    <row r="674">
      <c r="A674" s="171" t="n"/>
      <c r="B674" s="171" t="n"/>
      <c r="C674" s="171" t="n"/>
      <c r="D674" s="170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  <c r="BX674" s="5" t="n"/>
      <c r="BY674" s="5" t="n"/>
      <c r="BZ674" s="5" t="n"/>
      <c r="CA674" s="5" t="n"/>
      <c r="CB674" s="5" t="n"/>
      <c r="CC674" s="5" t="n"/>
      <c r="CD674" s="5" t="n"/>
      <c r="CE674" s="5" t="n"/>
      <c r="CF674" s="5" t="n"/>
    </row>
    <row r="675">
      <c r="A675" s="171" t="n"/>
      <c r="B675" s="171" t="n"/>
      <c r="C675" s="171" t="n"/>
      <c r="D675" s="170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  <c r="BX675" s="5" t="n"/>
      <c r="BY675" s="5" t="n"/>
      <c r="BZ675" s="5" t="n"/>
      <c r="CA675" s="5" t="n"/>
      <c r="CB675" s="5" t="n"/>
      <c r="CC675" s="5" t="n"/>
      <c r="CD675" s="5" t="n"/>
      <c r="CE675" s="5" t="n"/>
      <c r="CF675" s="5" t="n"/>
    </row>
    <row r="676">
      <c r="A676" s="171" t="n"/>
      <c r="B676" s="171" t="n"/>
      <c r="C676" s="171" t="n"/>
      <c r="D676" s="170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  <c r="BX676" s="5" t="n"/>
      <c r="BY676" s="5" t="n"/>
      <c r="BZ676" s="5" t="n"/>
      <c r="CA676" s="5" t="n"/>
      <c r="CB676" s="5" t="n"/>
      <c r="CC676" s="5" t="n"/>
      <c r="CD676" s="5" t="n"/>
      <c r="CE676" s="5" t="n"/>
      <c r="CF676" s="5" t="n"/>
    </row>
    <row r="677">
      <c r="A677" s="171" t="n"/>
      <c r="B677" s="171" t="n"/>
      <c r="C677" s="171" t="n"/>
      <c r="D677" s="170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  <c r="BX677" s="5" t="n"/>
      <c r="BY677" s="5" t="n"/>
      <c r="BZ677" s="5" t="n"/>
      <c r="CA677" s="5" t="n"/>
      <c r="CB677" s="5" t="n"/>
      <c r="CC677" s="5" t="n"/>
      <c r="CD677" s="5" t="n"/>
      <c r="CE677" s="5" t="n"/>
      <c r="CF677" s="5" t="n"/>
    </row>
    <row r="678">
      <c r="A678" s="171" t="n"/>
      <c r="B678" s="171" t="n"/>
      <c r="C678" s="171" t="n"/>
      <c r="D678" s="170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  <c r="BX678" s="5" t="n"/>
      <c r="BY678" s="5" t="n"/>
      <c r="BZ678" s="5" t="n"/>
      <c r="CA678" s="5" t="n"/>
      <c r="CB678" s="5" t="n"/>
      <c r="CC678" s="5" t="n"/>
      <c r="CD678" s="5" t="n"/>
      <c r="CE678" s="5" t="n"/>
      <c r="CF678" s="5" t="n"/>
    </row>
    <row r="679">
      <c r="A679" s="171" t="n"/>
      <c r="B679" s="171" t="n"/>
      <c r="C679" s="171" t="n"/>
      <c r="D679" s="170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  <c r="BX679" s="5" t="n"/>
      <c r="BY679" s="5" t="n"/>
      <c r="BZ679" s="5" t="n"/>
      <c r="CA679" s="5" t="n"/>
      <c r="CB679" s="5" t="n"/>
      <c r="CC679" s="5" t="n"/>
      <c r="CD679" s="5" t="n"/>
      <c r="CE679" s="5" t="n"/>
      <c r="CF679" s="5" t="n"/>
    </row>
    <row r="680">
      <c r="A680" s="171" t="n"/>
      <c r="B680" s="171" t="n"/>
      <c r="C680" s="171" t="n"/>
      <c r="D680" s="170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  <c r="BX680" s="5" t="n"/>
      <c r="BY680" s="5" t="n"/>
      <c r="BZ680" s="5" t="n"/>
      <c r="CA680" s="5" t="n"/>
      <c r="CB680" s="5" t="n"/>
      <c r="CC680" s="5" t="n"/>
      <c r="CD680" s="5" t="n"/>
      <c r="CE680" s="5" t="n"/>
      <c r="CF680" s="5" t="n"/>
    </row>
    <row r="681">
      <c r="A681" s="171" t="n"/>
      <c r="B681" s="171" t="n"/>
      <c r="C681" s="171" t="n"/>
      <c r="D681" s="170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  <c r="BX681" s="5" t="n"/>
      <c r="BY681" s="5" t="n"/>
      <c r="BZ681" s="5" t="n"/>
      <c r="CA681" s="5" t="n"/>
      <c r="CB681" s="5" t="n"/>
      <c r="CC681" s="5" t="n"/>
      <c r="CD681" s="5" t="n"/>
      <c r="CE681" s="5" t="n"/>
      <c r="CF681" s="5" t="n"/>
    </row>
    <row r="682">
      <c r="A682" s="171" t="n"/>
      <c r="B682" s="171" t="n"/>
      <c r="C682" s="171" t="n"/>
      <c r="D682" s="170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  <c r="BX682" s="5" t="n"/>
      <c r="BY682" s="5" t="n"/>
      <c r="BZ682" s="5" t="n"/>
      <c r="CA682" s="5" t="n"/>
      <c r="CB682" s="5" t="n"/>
      <c r="CC682" s="5" t="n"/>
      <c r="CD682" s="5" t="n"/>
      <c r="CE682" s="5" t="n"/>
      <c r="CF682" s="5" t="n"/>
    </row>
    <row r="683">
      <c r="A683" s="171" t="n"/>
      <c r="B683" s="171" t="n"/>
      <c r="C683" s="171" t="n"/>
      <c r="D683" s="170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  <c r="BX683" s="5" t="n"/>
      <c r="BY683" s="5" t="n"/>
      <c r="BZ683" s="5" t="n"/>
      <c r="CA683" s="5" t="n"/>
      <c r="CB683" s="5" t="n"/>
      <c r="CC683" s="5" t="n"/>
      <c r="CD683" s="5" t="n"/>
      <c r="CE683" s="5" t="n"/>
      <c r="CF683" s="5" t="n"/>
    </row>
    <row r="684">
      <c r="A684" s="171" t="n"/>
      <c r="B684" s="171" t="n"/>
      <c r="C684" s="171" t="n"/>
      <c r="D684" s="170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  <c r="BX684" s="5" t="n"/>
      <c r="BY684" s="5" t="n"/>
      <c r="BZ684" s="5" t="n"/>
      <c r="CA684" s="5" t="n"/>
      <c r="CB684" s="5" t="n"/>
      <c r="CC684" s="5" t="n"/>
      <c r="CD684" s="5" t="n"/>
      <c r="CE684" s="5" t="n"/>
      <c r="CF684" s="5" t="n"/>
    </row>
    <row r="685">
      <c r="A685" s="171" t="n"/>
      <c r="B685" s="171" t="n"/>
      <c r="C685" s="171" t="n"/>
      <c r="D685" s="170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  <c r="BX685" s="5" t="n"/>
      <c r="BY685" s="5" t="n"/>
      <c r="BZ685" s="5" t="n"/>
      <c r="CA685" s="5" t="n"/>
      <c r="CB685" s="5" t="n"/>
      <c r="CC685" s="5" t="n"/>
      <c r="CD685" s="5" t="n"/>
      <c r="CE685" s="5" t="n"/>
      <c r="CF685" s="5" t="n"/>
    </row>
    <row r="686">
      <c r="A686" s="171" t="n"/>
      <c r="B686" s="171" t="n"/>
      <c r="C686" s="171" t="n"/>
      <c r="D686" s="170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  <c r="BX686" s="5" t="n"/>
      <c r="BY686" s="5" t="n"/>
      <c r="BZ686" s="5" t="n"/>
      <c r="CA686" s="5" t="n"/>
      <c r="CB686" s="5" t="n"/>
      <c r="CC686" s="5" t="n"/>
      <c r="CD686" s="5" t="n"/>
      <c r="CE686" s="5" t="n"/>
      <c r="CF686" s="5" t="n"/>
    </row>
    <row r="687">
      <c r="A687" s="171" t="n"/>
      <c r="B687" s="171" t="n"/>
      <c r="C687" s="171" t="n"/>
      <c r="D687" s="170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  <c r="BX687" s="5" t="n"/>
      <c r="BY687" s="5" t="n"/>
      <c r="BZ687" s="5" t="n"/>
      <c r="CA687" s="5" t="n"/>
      <c r="CB687" s="5" t="n"/>
      <c r="CC687" s="5" t="n"/>
      <c r="CD687" s="5" t="n"/>
      <c r="CE687" s="5" t="n"/>
      <c r="CF687" s="5" t="n"/>
    </row>
    <row r="688">
      <c r="A688" s="171" t="n"/>
      <c r="B688" s="171" t="n"/>
      <c r="C688" s="171" t="n"/>
      <c r="D688" s="170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  <c r="BX688" s="5" t="n"/>
      <c r="BY688" s="5" t="n"/>
      <c r="BZ688" s="5" t="n"/>
      <c r="CA688" s="5" t="n"/>
      <c r="CB688" s="5" t="n"/>
      <c r="CC688" s="5" t="n"/>
      <c r="CD688" s="5" t="n"/>
      <c r="CE688" s="5" t="n"/>
      <c r="CF688" s="5" t="n"/>
    </row>
    <row r="689">
      <c r="A689" s="171" t="n"/>
      <c r="B689" s="171" t="n"/>
      <c r="C689" s="171" t="n"/>
      <c r="D689" s="170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  <c r="BX689" s="5" t="n"/>
      <c r="BY689" s="5" t="n"/>
      <c r="BZ689" s="5" t="n"/>
      <c r="CA689" s="5" t="n"/>
      <c r="CB689" s="5" t="n"/>
      <c r="CC689" s="5" t="n"/>
      <c r="CD689" s="5" t="n"/>
      <c r="CE689" s="5" t="n"/>
      <c r="CF689" s="5" t="n"/>
    </row>
    <row r="690">
      <c r="A690" s="171" t="n"/>
      <c r="B690" s="171" t="n"/>
      <c r="C690" s="171" t="n"/>
      <c r="D690" s="170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  <c r="BX690" s="5" t="n"/>
      <c r="BY690" s="5" t="n"/>
      <c r="BZ690" s="5" t="n"/>
      <c r="CA690" s="5" t="n"/>
      <c r="CB690" s="5" t="n"/>
      <c r="CC690" s="5" t="n"/>
      <c r="CD690" s="5" t="n"/>
      <c r="CE690" s="5" t="n"/>
      <c r="CF690" s="5" t="n"/>
    </row>
    <row r="691">
      <c r="A691" s="171" t="n"/>
      <c r="B691" s="171" t="n"/>
      <c r="C691" s="171" t="n"/>
      <c r="D691" s="170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  <c r="BX691" s="5" t="n"/>
      <c r="BY691" s="5" t="n"/>
      <c r="BZ691" s="5" t="n"/>
      <c r="CA691" s="5" t="n"/>
      <c r="CB691" s="5" t="n"/>
      <c r="CC691" s="5" t="n"/>
      <c r="CD691" s="5" t="n"/>
      <c r="CE691" s="5" t="n"/>
      <c r="CF691" s="5" t="n"/>
    </row>
    <row r="692">
      <c r="A692" s="171" t="n"/>
      <c r="B692" s="171" t="n"/>
      <c r="C692" s="171" t="n"/>
      <c r="D692" s="170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  <c r="BX692" s="5" t="n"/>
      <c r="BY692" s="5" t="n"/>
      <c r="BZ692" s="5" t="n"/>
      <c r="CA692" s="5" t="n"/>
      <c r="CB692" s="5" t="n"/>
      <c r="CC692" s="5" t="n"/>
      <c r="CD692" s="5" t="n"/>
      <c r="CE692" s="5" t="n"/>
      <c r="CF692" s="5" t="n"/>
    </row>
    <row r="693">
      <c r="A693" s="171" t="n"/>
      <c r="B693" s="171" t="n"/>
      <c r="C693" s="171" t="n"/>
      <c r="D693" s="170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  <c r="BX693" s="5" t="n"/>
      <c r="BY693" s="5" t="n"/>
      <c r="BZ693" s="5" t="n"/>
      <c r="CA693" s="5" t="n"/>
      <c r="CB693" s="5" t="n"/>
      <c r="CC693" s="5" t="n"/>
      <c r="CD693" s="5" t="n"/>
      <c r="CE693" s="5" t="n"/>
      <c r="CF693" s="5" t="n"/>
    </row>
    <row r="694">
      <c r="A694" s="171" t="n"/>
      <c r="B694" s="171" t="n"/>
      <c r="C694" s="171" t="n"/>
      <c r="D694" s="170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  <c r="BX694" s="5" t="n"/>
      <c r="BY694" s="5" t="n"/>
      <c r="BZ694" s="5" t="n"/>
      <c r="CA694" s="5" t="n"/>
      <c r="CB694" s="5" t="n"/>
      <c r="CC694" s="5" t="n"/>
      <c r="CD694" s="5" t="n"/>
      <c r="CE694" s="5" t="n"/>
      <c r="CF694" s="5" t="n"/>
    </row>
    <row r="695">
      <c r="A695" s="171" t="n"/>
      <c r="B695" s="171" t="n"/>
      <c r="C695" s="171" t="n"/>
      <c r="D695" s="170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  <c r="BX695" s="5" t="n"/>
      <c r="BY695" s="5" t="n"/>
      <c r="BZ695" s="5" t="n"/>
      <c r="CA695" s="5" t="n"/>
      <c r="CB695" s="5" t="n"/>
      <c r="CC695" s="5" t="n"/>
      <c r="CD695" s="5" t="n"/>
      <c r="CE695" s="5" t="n"/>
      <c r="CF695" s="5" t="n"/>
    </row>
    <row r="696">
      <c r="A696" s="171" t="n"/>
      <c r="B696" s="171" t="n"/>
      <c r="C696" s="171" t="n"/>
      <c r="D696" s="170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  <c r="BX696" s="5" t="n"/>
      <c r="BY696" s="5" t="n"/>
      <c r="BZ696" s="5" t="n"/>
      <c r="CA696" s="5" t="n"/>
      <c r="CB696" s="5" t="n"/>
      <c r="CC696" s="5" t="n"/>
      <c r="CD696" s="5" t="n"/>
      <c r="CE696" s="5" t="n"/>
      <c r="CF696" s="5" t="n"/>
    </row>
    <row r="697">
      <c r="A697" s="171" t="n"/>
      <c r="B697" s="171" t="n"/>
      <c r="C697" s="171" t="n"/>
      <c r="D697" s="170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  <c r="BX697" s="5" t="n"/>
      <c r="BY697" s="5" t="n"/>
      <c r="BZ697" s="5" t="n"/>
      <c r="CA697" s="5" t="n"/>
      <c r="CB697" s="5" t="n"/>
      <c r="CC697" s="5" t="n"/>
      <c r="CD697" s="5" t="n"/>
      <c r="CE697" s="5" t="n"/>
      <c r="CF697" s="5" t="n"/>
    </row>
    <row r="698">
      <c r="A698" s="171" t="n"/>
      <c r="B698" s="171" t="n"/>
      <c r="C698" s="171" t="n"/>
      <c r="D698" s="170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  <c r="BX698" s="5" t="n"/>
      <c r="BY698" s="5" t="n"/>
      <c r="BZ698" s="5" t="n"/>
      <c r="CA698" s="5" t="n"/>
      <c r="CB698" s="5" t="n"/>
      <c r="CC698" s="5" t="n"/>
      <c r="CD698" s="5" t="n"/>
      <c r="CE698" s="5" t="n"/>
      <c r="CF698" s="5" t="n"/>
    </row>
    <row r="699">
      <c r="A699" s="171" t="n"/>
      <c r="B699" s="171" t="n"/>
      <c r="C699" s="171" t="n"/>
      <c r="D699" s="170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  <c r="CE699" s="5" t="n"/>
      <c r="CF699" s="5" t="n"/>
    </row>
    <row r="700">
      <c r="A700" s="171" t="n"/>
      <c r="B700" s="171" t="n"/>
      <c r="C700" s="171" t="n"/>
      <c r="D700" s="170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  <c r="CE700" s="5" t="n"/>
      <c r="CF700" s="5" t="n"/>
    </row>
    <row r="701">
      <c r="A701" s="171" t="n"/>
      <c r="B701" s="171" t="n"/>
      <c r="C701" s="171" t="n"/>
      <c r="D701" s="170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  <c r="BX701" s="5" t="n"/>
      <c r="BY701" s="5" t="n"/>
      <c r="BZ701" s="5" t="n"/>
      <c r="CA701" s="5" t="n"/>
      <c r="CB701" s="5" t="n"/>
      <c r="CC701" s="5" t="n"/>
      <c r="CD701" s="5" t="n"/>
      <c r="CE701" s="5" t="n"/>
      <c r="CF701" s="5" t="n"/>
    </row>
    <row r="702">
      <c r="A702" s="171" t="n"/>
      <c r="B702" s="171" t="n"/>
      <c r="C702" s="171" t="n"/>
      <c r="D702" s="170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  <c r="CE702" s="5" t="n"/>
      <c r="CF702" s="5" t="n"/>
    </row>
    <row r="703">
      <c r="A703" s="171" t="n"/>
      <c r="B703" s="171" t="n"/>
      <c r="C703" s="171" t="n"/>
      <c r="D703" s="170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  <c r="CE703" s="5" t="n"/>
      <c r="CF703" s="5" t="n"/>
    </row>
    <row r="704">
      <c r="A704" s="171" t="n"/>
      <c r="B704" s="171" t="n"/>
      <c r="C704" s="171" t="n"/>
      <c r="D704" s="170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  <c r="CE704" s="5" t="n"/>
      <c r="CF704" s="5" t="n"/>
    </row>
    <row r="705">
      <c r="A705" s="171" t="n"/>
      <c r="B705" s="171" t="n"/>
      <c r="C705" s="171" t="n"/>
      <c r="D705" s="170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  <c r="BX705" s="5" t="n"/>
      <c r="BY705" s="5" t="n"/>
      <c r="BZ705" s="5" t="n"/>
      <c r="CA705" s="5" t="n"/>
      <c r="CB705" s="5" t="n"/>
      <c r="CC705" s="5" t="n"/>
      <c r="CD705" s="5" t="n"/>
      <c r="CE705" s="5" t="n"/>
      <c r="CF705" s="5" t="n"/>
    </row>
    <row r="706">
      <c r="A706" s="171" t="n"/>
      <c r="B706" s="171" t="n"/>
      <c r="C706" s="171" t="n"/>
      <c r="D706" s="170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  <c r="CE706" s="5" t="n"/>
      <c r="CF706" s="5" t="n"/>
    </row>
    <row r="707">
      <c r="A707" s="171" t="n"/>
      <c r="B707" s="171" t="n"/>
      <c r="C707" s="171" t="n"/>
      <c r="D707" s="170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  <c r="CE707" s="5" t="n"/>
      <c r="CF707" s="5" t="n"/>
    </row>
    <row r="708">
      <c r="A708" s="171" t="n"/>
      <c r="B708" s="171" t="n"/>
      <c r="C708" s="171" t="n"/>
      <c r="D708" s="170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  <c r="BX708" s="5" t="n"/>
      <c r="BY708" s="5" t="n"/>
      <c r="BZ708" s="5" t="n"/>
      <c r="CA708" s="5" t="n"/>
      <c r="CB708" s="5" t="n"/>
      <c r="CC708" s="5" t="n"/>
      <c r="CD708" s="5" t="n"/>
      <c r="CE708" s="5" t="n"/>
      <c r="CF708" s="5" t="n"/>
    </row>
    <row r="709">
      <c r="A709" s="171" t="n"/>
      <c r="B709" s="171" t="n"/>
      <c r="C709" s="171" t="n"/>
      <c r="D709" s="170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  <c r="BX709" s="5" t="n"/>
      <c r="BY709" s="5" t="n"/>
      <c r="BZ709" s="5" t="n"/>
      <c r="CA709" s="5" t="n"/>
      <c r="CB709" s="5" t="n"/>
      <c r="CC709" s="5" t="n"/>
      <c r="CD709" s="5" t="n"/>
      <c r="CE709" s="5" t="n"/>
      <c r="CF709" s="5" t="n"/>
    </row>
    <row r="710">
      <c r="A710" s="171" t="n"/>
      <c r="B710" s="171" t="n"/>
      <c r="C710" s="171" t="n"/>
      <c r="D710" s="170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  <c r="BX710" s="5" t="n"/>
      <c r="BY710" s="5" t="n"/>
      <c r="BZ710" s="5" t="n"/>
      <c r="CA710" s="5" t="n"/>
      <c r="CB710" s="5" t="n"/>
      <c r="CC710" s="5" t="n"/>
      <c r="CD710" s="5" t="n"/>
      <c r="CE710" s="5" t="n"/>
      <c r="CF710" s="5" t="n"/>
    </row>
    <row r="711">
      <c r="A711" s="171" t="n"/>
      <c r="B711" s="171" t="n"/>
      <c r="C711" s="171" t="n"/>
      <c r="D711" s="170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  <c r="BX711" s="5" t="n"/>
      <c r="BY711" s="5" t="n"/>
      <c r="BZ711" s="5" t="n"/>
      <c r="CA711" s="5" t="n"/>
      <c r="CB711" s="5" t="n"/>
      <c r="CC711" s="5" t="n"/>
      <c r="CD711" s="5" t="n"/>
      <c r="CE711" s="5" t="n"/>
      <c r="CF711" s="5" t="n"/>
    </row>
    <row r="712">
      <c r="A712" s="171" t="n"/>
      <c r="B712" s="171" t="n"/>
      <c r="C712" s="171" t="n"/>
      <c r="D712" s="170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  <c r="BX712" s="5" t="n"/>
      <c r="BY712" s="5" t="n"/>
      <c r="BZ712" s="5" t="n"/>
      <c r="CA712" s="5" t="n"/>
      <c r="CB712" s="5" t="n"/>
      <c r="CC712" s="5" t="n"/>
      <c r="CD712" s="5" t="n"/>
      <c r="CE712" s="5" t="n"/>
      <c r="CF712" s="5" t="n"/>
    </row>
    <row r="713">
      <c r="A713" s="171" t="n"/>
      <c r="B713" s="171" t="n"/>
      <c r="C713" s="171" t="n"/>
      <c r="D713" s="170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  <c r="BX713" s="5" t="n"/>
      <c r="BY713" s="5" t="n"/>
      <c r="BZ713" s="5" t="n"/>
      <c r="CA713" s="5" t="n"/>
      <c r="CB713" s="5" t="n"/>
      <c r="CC713" s="5" t="n"/>
      <c r="CD713" s="5" t="n"/>
      <c r="CE713" s="5" t="n"/>
      <c r="CF713" s="5" t="n"/>
    </row>
    <row r="714">
      <c r="A714" s="171" t="n"/>
      <c r="B714" s="171" t="n"/>
      <c r="C714" s="171" t="n"/>
      <c r="D714" s="170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  <c r="BX714" s="5" t="n"/>
      <c r="BY714" s="5" t="n"/>
      <c r="BZ714" s="5" t="n"/>
      <c r="CA714" s="5" t="n"/>
      <c r="CB714" s="5" t="n"/>
      <c r="CC714" s="5" t="n"/>
      <c r="CD714" s="5" t="n"/>
      <c r="CE714" s="5" t="n"/>
      <c r="CF714" s="5" t="n"/>
    </row>
    <row r="715">
      <c r="A715" s="171" t="n"/>
      <c r="B715" s="171" t="n"/>
      <c r="C715" s="171" t="n"/>
      <c r="D715" s="170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  <c r="BX715" s="5" t="n"/>
      <c r="BY715" s="5" t="n"/>
      <c r="BZ715" s="5" t="n"/>
      <c r="CA715" s="5" t="n"/>
      <c r="CB715" s="5" t="n"/>
      <c r="CC715" s="5" t="n"/>
      <c r="CD715" s="5" t="n"/>
      <c r="CE715" s="5" t="n"/>
      <c r="CF715" s="5" t="n"/>
    </row>
    <row r="716">
      <c r="A716" s="171" t="n"/>
      <c r="B716" s="171" t="n"/>
      <c r="C716" s="171" t="n"/>
      <c r="D716" s="170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  <c r="BX716" s="5" t="n"/>
      <c r="BY716" s="5" t="n"/>
      <c r="BZ716" s="5" t="n"/>
      <c r="CA716" s="5" t="n"/>
      <c r="CB716" s="5" t="n"/>
      <c r="CC716" s="5" t="n"/>
      <c r="CD716" s="5" t="n"/>
      <c r="CE716" s="5" t="n"/>
      <c r="CF716" s="5" t="n"/>
    </row>
    <row r="717">
      <c r="A717" s="171" t="n"/>
      <c r="B717" s="171" t="n"/>
      <c r="C717" s="171" t="n"/>
      <c r="D717" s="170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  <c r="BX717" s="5" t="n"/>
      <c r="BY717" s="5" t="n"/>
      <c r="BZ717" s="5" t="n"/>
      <c r="CA717" s="5" t="n"/>
      <c r="CB717" s="5" t="n"/>
      <c r="CC717" s="5" t="n"/>
      <c r="CD717" s="5" t="n"/>
      <c r="CE717" s="5" t="n"/>
      <c r="CF717" s="5" t="n"/>
    </row>
    <row r="718">
      <c r="A718" s="171" t="n"/>
      <c r="B718" s="171" t="n"/>
      <c r="C718" s="171" t="n"/>
      <c r="D718" s="170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  <c r="BX718" s="5" t="n"/>
      <c r="BY718" s="5" t="n"/>
      <c r="BZ718" s="5" t="n"/>
      <c r="CA718" s="5" t="n"/>
      <c r="CB718" s="5" t="n"/>
      <c r="CC718" s="5" t="n"/>
      <c r="CD718" s="5" t="n"/>
      <c r="CE718" s="5" t="n"/>
      <c r="CF718" s="5" t="n"/>
    </row>
    <row r="719">
      <c r="A719" s="171" t="n"/>
      <c r="B719" s="171" t="n"/>
      <c r="C719" s="171" t="n"/>
      <c r="D719" s="170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  <c r="BX719" s="5" t="n"/>
      <c r="BY719" s="5" t="n"/>
      <c r="BZ719" s="5" t="n"/>
      <c r="CA719" s="5" t="n"/>
      <c r="CB719" s="5" t="n"/>
      <c r="CC719" s="5" t="n"/>
      <c r="CD719" s="5" t="n"/>
      <c r="CE719" s="5" t="n"/>
      <c r="CF719" s="5" t="n"/>
    </row>
    <row r="720">
      <c r="A720" s="171" t="n"/>
      <c r="B720" s="171" t="n"/>
      <c r="C720" s="171" t="n"/>
      <c r="D720" s="170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  <c r="BX720" s="5" t="n"/>
      <c r="BY720" s="5" t="n"/>
      <c r="BZ720" s="5" t="n"/>
      <c r="CA720" s="5" t="n"/>
      <c r="CB720" s="5" t="n"/>
      <c r="CC720" s="5" t="n"/>
      <c r="CD720" s="5" t="n"/>
      <c r="CE720" s="5" t="n"/>
      <c r="CF720" s="5" t="n"/>
    </row>
    <row r="721">
      <c r="A721" s="171" t="n"/>
      <c r="B721" s="171" t="n"/>
      <c r="C721" s="171" t="n"/>
      <c r="D721" s="170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  <c r="BX721" s="5" t="n"/>
      <c r="BY721" s="5" t="n"/>
      <c r="BZ721" s="5" t="n"/>
      <c r="CA721" s="5" t="n"/>
      <c r="CB721" s="5" t="n"/>
      <c r="CC721" s="5" t="n"/>
      <c r="CD721" s="5" t="n"/>
      <c r="CE721" s="5" t="n"/>
      <c r="CF721" s="5" t="n"/>
    </row>
    <row r="722">
      <c r="A722" s="171" t="n"/>
      <c r="B722" s="171" t="n"/>
      <c r="C722" s="171" t="n"/>
      <c r="D722" s="170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  <c r="BX722" s="5" t="n"/>
      <c r="BY722" s="5" t="n"/>
      <c r="BZ722" s="5" t="n"/>
      <c r="CA722" s="5" t="n"/>
      <c r="CB722" s="5" t="n"/>
      <c r="CC722" s="5" t="n"/>
      <c r="CD722" s="5" t="n"/>
      <c r="CE722" s="5" t="n"/>
      <c r="CF722" s="5" t="n"/>
    </row>
    <row r="723">
      <c r="A723" s="171" t="n"/>
      <c r="B723" s="171" t="n"/>
      <c r="C723" s="171" t="n"/>
      <c r="D723" s="170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  <c r="BX723" s="5" t="n"/>
      <c r="BY723" s="5" t="n"/>
      <c r="BZ723" s="5" t="n"/>
      <c r="CA723" s="5" t="n"/>
      <c r="CB723" s="5" t="n"/>
      <c r="CC723" s="5" t="n"/>
      <c r="CD723" s="5" t="n"/>
      <c r="CE723" s="5" t="n"/>
      <c r="CF723" s="5" t="n"/>
    </row>
    <row r="724">
      <c r="A724" s="171" t="n"/>
      <c r="B724" s="171" t="n"/>
      <c r="C724" s="171" t="n"/>
      <c r="D724" s="170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  <c r="BX724" s="5" t="n"/>
      <c r="BY724" s="5" t="n"/>
      <c r="BZ724" s="5" t="n"/>
      <c r="CA724" s="5" t="n"/>
      <c r="CB724" s="5" t="n"/>
      <c r="CC724" s="5" t="n"/>
      <c r="CD724" s="5" t="n"/>
      <c r="CE724" s="5" t="n"/>
      <c r="CF724" s="5" t="n"/>
    </row>
    <row r="725">
      <c r="A725" s="171" t="n"/>
      <c r="B725" s="171" t="n"/>
      <c r="C725" s="171" t="n"/>
      <c r="D725" s="170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  <c r="BX725" s="5" t="n"/>
      <c r="BY725" s="5" t="n"/>
      <c r="BZ725" s="5" t="n"/>
      <c r="CA725" s="5" t="n"/>
      <c r="CB725" s="5" t="n"/>
      <c r="CC725" s="5" t="n"/>
      <c r="CD725" s="5" t="n"/>
      <c r="CE725" s="5" t="n"/>
      <c r="CF725" s="5" t="n"/>
    </row>
    <row r="726">
      <c r="A726" s="171" t="n"/>
      <c r="B726" s="171" t="n"/>
      <c r="C726" s="171" t="n"/>
      <c r="D726" s="170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  <c r="BX726" s="5" t="n"/>
      <c r="BY726" s="5" t="n"/>
      <c r="BZ726" s="5" t="n"/>
      <c r="CA726" s="5" t="n"/>
      <c r="CB726" s="5" t="n"/>
      <c r="CC726" s="5" t="n"/>
      <c r="CD726" s="5" t="n"/>
      <c r="CE726" s="5" t="n"/>
      <c r="CF726" s="5" t="n"/>
    </row>
    <row r="727">
      <c r="A727" s="171" t="n"/>
      <c r="B727" s="171" t="n"/>
      <c r="C727" s="171" t="n"/>
      <c r="D727" s="170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  <c r="BX727" s="5" t="n"/>
      <c r="BY727" s="5" t="n"/>
      <c r="BZ727" s="5" t="n"/>
      <c r="CA727" s="5" t="n"/>
      <c r="CB727" s="5" t="n"/>
      <c r="CC727" s="5" t="n"/>
      <c r="CD727" s="5" t="n"/>
      <c r="CE727" s="5" t="n"/>
      <c r="CF727" s="5" t="n"/>
    </row>
    <row r="728">
      <c r="A728" s="171" t="n"/>
      <c r="B728" s="171" t="n"/>
      <c r="C728" s="171" t="n"/>
      <c r="D728" s="170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/>
      <c r="BZ728" s="5" t="n"/>
      <c r="CA728" s="5" t="n"/>
      <c r="CB728" s="5" t="n"/>
      <c r="CC728" s="5" t="n"/>
      <c r="CD728" s="5" t="n"/>
      <c r="CE728" s="5" t="n"/>
      <c r="CF728" s="5" t="n"/>
    </row>
    <row r="729">
      <c r="A729" s="171" t="n"/>
      <c r="B729" s="171" t="n"/>
      <c r="C729" s="171" t="n"/>
      <c r="D729" s="170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/>
      <c r="BZ729" s="5" t="n"/>
      <c r="CA729" s="5" t="n"/>
      <c r="CB729" s="5" t="n"/>
      <c r="CC729" s="5" t="n"/>
      <c r="CD729" s="5" t="n"/>
      <c r="CE729" s="5" t="n"/>
      <c r="CF729" s="5" t="n"/>
    </row>
    <row r="730">
      <c r="A730" s="171" t="n"/>
      <c r="B730" s="171" t="n"/>
      <c r="C730" s="171" t="n"/>
      <c r="D730" s="170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/>
      <c r="BZ730" s="5" t="n"/>
      <c r="CA730" s="5" t="n"/>
      <c r="CB730" s="5" t="n"/>
      <c r="CC730" s="5" t="n"/>
      <c r="CD730" s="5" t="n"/>
      <c r="CE730" s="5" t="n"/>
      <c r="CF730" s="5" t="n"/>
    </row>
    <row r="731">
      <c r="A731" s="171" t="n"/>
      <c r="B731" s="171" t="n"/>
      <c r="C731" s="171" t="n"/>
      <c r="D731" s="170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/>
      <c r="BZ731" s="5" t="n"/>
      <c r="CA731" s="5" t="n"/>
      <c r="CB731" s="5" t="n"/>
      <c r="CC731" s="5" t="n"/>
      <c r="CD731" s="5" t="n"/>
      <c r="CE731" s="5" t="n"/>
      <c r="CF731" s="5" t="n"/>
    </row>
    <row r="732">
      <c r="A732" s="171" t="n"/>
      <c r="B732" s="171" t="n"/>
      <c r="C732" s="171" t="n"/>
      <c r="D732" s="170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/>
      <c r="BZ732" s="5" t="n"/>
      <c r="CA732" s="5" t="n"/>
      <c r="CB732" s="5" t="n"/>
      <c r="CC732" s="5" t="n"/>
      <c r="CD732" s="5" t="n"/>
      <c r="CE732" s="5" t="n"/>
      <c r="CF732" s="5" t="n"/>
    </row>
    <row r="733">
      <c r="A733" s="171" t="n"/>
      <c r="B733" s="171" t="n"/>
      <c r="C733" s="171" t="n"/>
      <c r="D733" s="170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/>
      <c r="BZ733" s="5" t="n"/>
      <c r="CA733" s="5" t="n"/>
      <c r="CB733" s="5" t="n"/>
      <c r="CC733" s="5" t="n"/>
      <c r="CD733" s="5" t="n"/>
      <c r="CE733" s="5" t="n"/>
      <c r="CF733" s="5" t="n"/>
    </row>
    <row r="734">
      <c r="A734" s="171" t="n"/>
      <c r="B734" s="171" t="n"/>
      <c r="C734" s="171" t="n"/>
      <c r="D734" s="170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/>
      <c r="BZ734" s="5" t="n"/>
      <c r="CA734" s="5" t="n"/>
      <c r="CB734" s="5" t="n"/>
      <c r="CC734" s="5" t="n"/>
      <c r="CD734" s="5" t="n"/>
      <c r="CE734" s="5" t="n"/>
      <c r="CF734" s="5" t="n"/>
    </row>
    <row r="735">
      <c r="A735" s="171" t="n"/>
      <c r="B735" s="171" t="n"/>
      <c r="C735" s="171" t="n"/>
      <c r="D735" s="170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/>
      <c r="BZ735" s="5" t="n"/>
      <c r="CA735" s="5" t="n"/>
      <c r="CB735" s="5" t="n"/>
      <c r="CC735" s="5" t="n"/>
      <c r="CD735" s="5" t="n"/>
      <c r="CE735" s="5" t="n"/>
      <c r="CF735" s="5" t="n"/>
    </row>
    <row r="736">
      <c r="A736" s="171" t="n"/>
      <c r="B736" s="171" t="n"/>
      <c r="C736" s="171" t="n"/>
      <c r="D736" s="170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/>
      <c r="BZ736" s="5" t="n"/>
      <c r="CA736" s="5" t="n"/>
      <c r="CB736" s="5" t="n"/>
      <c r="CC736" s="5" t="n"/>
      <c r="CD736" s="5" t="n"/>
      <c r="CE736" s="5" t="n"/>
      <c r="CF736" s="5" t="n"/>
    </row>
    <row r="737">
      <c r="A737" s="171" t="n"/>
      <c r="B737" s="171" t="n"/>
      <c r="C737" s="171" t="n"/>
      <c r="D737" s="170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/>
      <c r="BZ737" s="5" t="n"/>
      <c r="CA737" s="5" t="n"/>
      <c r="CB737" s="5" t="n"/>
      <c r="CC737" s="5" t="n"/>
      <c r="CD737" s="5" t="n"/>
      <c r="CE737" s="5" t="n"/>
      <c r="CF737" s="5" t="n"/>
    </row>
    <row r="738">
      <c r="A738" s="171" t="n"/>
      <c r="B738" s="171" t="n"/>
      <c r="C738" s="171" t="n"/>
      <c r="D738" s="170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/>
      <c r="BZ738" s="5" t="n"/>
      <c r="CA738" s="5" t="n"/>
      <c r="CB738" s="5" t="n"/>
      <c r="CC738" s="5" t="n"/>
      <c r="CD738" s="5" t="n"/>
      <c r="CE738" s="5" t="n"/>
      <c r="CF738" s="5" t="n"/>
    </row>
    <row r="739">
      <c r="A739" s="171" t="n"/>
      <c r="B739" s="171" t="n"/>
      <c r="C739" s="171" t="n"/>
      <c r="D739" s="170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/>
      <c r="BZ739" s="5" t="n"/>
      <c r="CA739" s="5" t="n"/>
      <c r="CB739" s="5" t="n"/>
      <c r="CC739" s="5" t="n"/>
      <c r="CD739" s="5" t="n"/>
      <c r="CE739" s="5" t="n"/>
      <c r="CF739" s="5" t="n"/>
    </row>
    <row r="740">
      <c r="A740" s="171" t="n"/>
      <c r="B740" s="171" t="n"/>
      <c r="C740" s="171" t="n"/>
      <c r="D740" s="170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/>
      <c r="BZ740" s="5" t="n"/>
      <c r="CA740" s="5" t="n"/>
      <c r="CB740" s="5" t="n"/>
      <c r="CC740" s="5" t="n"/>
      <c r="CD740" s="5" t="n"/>
      <c r="CE740" s="5" t="n"/>
      <c r="CF740" s="5" t="n"/>
    </row>
    <row r="741">
      <c r="A741" s="171" t="n"/>
      <c r="B741" s="171" t="n"/>
      <c r="C741" s="171" t="n"/>
      <c r="D741" s="170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/>
      <c r="BZ741" s="5" t="n"/>
      <c r="CA741" s="5" t="n"/>
      <c r="CB741" s="5" t="n"/>
      <c r="CC741" s="5" t="n"/>
      <c r="CD741" s="5" t="n"/>
      <c r="CE741" s="5" t="n"/>
      <c r="CF741" s="5" t="n"/>
    </row>
    <row r="742">
      <c r="A742" s="171" t="n"/>
      <c r="B742" s="171" t="n"/>
      <c r="C742" s="171" t="n"/>
      <c r="D742" s="170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/>
      <c r="BZ742" s="5" t="n"/>
      <c r="CA742" s="5" t="n"/>
      <c r="CB742" s="5" t="n"/>
      <c r="CC742" s="5" t="n"/>
      <c r="CD742" s="5" t="n"/>
      <c r="CE742" s="5" t="n"/>
      <c r="CF742" s="5" t="n"/>
    </row>
    <row r="743">
      <c r="A743" s="171" t="n"/>
      <c r="B743" s="171" t="n"/>
      <c r="C743" s="171" t="n"/>
      <c r="D743" s="170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/>
      <c r="BZ743" s="5" t="n"/>
      <c r="CA743" s="5" t="n"/>
      <c r="CB743" s="5" t="n"/>
      <c r="CC743" s="5" t="n"/>
      <c r="CD743" s="5" t="n"/>
      <c r="CE743" s="5" t="n"/>
      <c r="CF743" s="5" t="n"/>
    </row>
    <row r="744">
      <c r="A744" s="171" t="n"/>
      <c r="B744" s="171" t="n"/>
      <c r="C744" s="171" t="n"/>
      <c r="D744" s="170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/>
      <c r="BZ744" s="5" t="n"/>
      <c r="CA744" s="5" t="n"/>
      <c r="CB744" s="5" t="n"/>
      <c r="CC744" s="5" t="n"/>
      <c r="CD744" s="5" t="n"/>
      <c r="CE744" s="5" t="n"/>
      <c r="CF744" s="5" t="n"/>
    </row>
    <row r="745">
      <c r="A745" s="171" t="n"/>
      <c r="B745" s="171" t="n"/>
      <c r="C745" s="171" t="n"/>
      <c r="D745" s="170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/>
      <c r="BZ745" s="5" t="n"/>
      <c r="CA745" s="5" t="n"/>
      <c r="CB745" s="5" t="n"/>
      <c r="CC745" s="5" t="n"/>
      <c r="CD745" s="5" t="n"/>
      <c r="CE745" s="5" t="n"/>
      <c r="CF745" s="5" t="n"/>
    </row>
    <row r="746">
      <c r="A746" s="171" t="n"/>
      <c r="B746" s="171" t="n"/>
      <c r="C746" s="171" t="n"/>
      <c r="D746" s="170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/>
      <c r="BZ746" s="5" t="n"/>
      <c r="CA746" s="5" t="n"/>
      <c r="CB746" s="5" t="n"/>
      <c r="CC746" s="5" t="n"/>
      <c r="CD746" s="5" t="n"/>
      <c r="CE746" s="5" t="n"/>
      <c r="CF746" s="5" t="n"/>
    </row>
    <row r="747">
      <c r="A747" s="171" t="n"/>
      <c r="B747" s="171" t="n"/>
      <c r="C747" s="171" t="n"/>
      <c r="D747" s="170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  <c r="CE747" s="5" t="n"/>
      <c r="CF747" s="5" t="n"/>
    </row>
    <row r="748">
      <c r="A748" s="171" t="n"/>
      <c r="B748" s="171" t="n"/>
      <c r="C748" s="171" t="n"/>
      <c r="D748" s="170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/>
      <c r="BZ748" s="5" t="n"/>
      <c r="CA748" s="5" t="n"/>
      <c r="CB748" s="5" t="n"/>
      <c r="CC748" s="5" t="n"/>
      <c r="CD748" s="5" t="n"/>
      <c r="CE748" s="5" t="n"/>
      <c r="CF748" s="5" t="n"/>
    </row>
    <row r="749">
      <c r="A749" s="171" t="n"/>
      <c r="B749" s="171" t="n"/>
      <c r="C749" s="171" t="n"/>
      <c r="D749" s="170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/>
      <c r="BZ749" s="5" t="n"/>
      <c r="CA749" s="5" t="n"/>
      <c r="CB749" s="5" t="n"/>
      <c r="CC749" s="5" t="n"/>
      <c r="CD749" s="5" t="n"/>
      <c r="CE749" s="5" t="n"/>
      <c r="CF749" s="5" t="n"/>
    </row>
    <row r="750">
      <c r="A750" s="171" t="n"/>
      <c r="B750" s="171" t="n"/>
      <c r="C750" s="171" t="n"/>
      <c r="D750" s="170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/>
      <c r="BZ750" s="5" t="n"/>
      <c r="CA750" s="5" t="n"/>
      <c r="CB750" s="5" t="n"/>
      <c r="CC750" s="5" t="n"/>
      <c r="CD750" s="5" t="n"/>
      <c r="CE750" s="5" t="n"/>
      <c r="CF750" s="5" t="n"/>
    </row>
    <row r="751">
      <c r="A751" s="171" t="n"/>
      <c r="B751" s="171" t="n"/>
      <c r="C751" s="171" t="n"/>
      <c r="D751" s="170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/>
      <c r="BZ751" s="5" t="n"/>
      <c r="CA751" s="5" t="n"/>
      <c r="CB751" s="5" t="n"/>
      <c r="CC751" s="5" t="n"/>
      <c r="CD751" s="5" t="n"/>
      <c r="CE751" s="5" t="n"/>
      <c r="CF751" s="5" t="n"/>
    </row>
    <row r="752">
      <c r="A752" s="171" t="n"/>
      <c r="B752" s="171" t="n"/>
      <c r="C752" s="171" t="n"/>
      <c r="D752" s="170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  <c r="BX752" s="5" t="n"/>
      <c r="BY752" s="5" t="n"/>
      <c r="BZ752" s="5" t="n"/>
      <c r="CA752" s="5" t="n"/>
      <c r="CB752" s="5" t="n"/>
      <c r="CC752" s="5" t="n"/>
      <c r="CD752" s="5" t="n"/>
      <c r="CE752" s="5" t="n"/>
      <c r="CF752" s="5" t="n"/>
    </row>
    <row r="753">
      <c r="A753" s="171" t="n"/>
      <c r="B753" s="171" t="n"/>
      <c r="C753" s="171" t="n"/>
      <c r="D753" s="170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  <c r="BX753" s="5" t="n"/>
      <c r="BY753" s="5" t="n"/>
      <c r="BZ753" s="5" t="n"/>
      <c r="CA753" s="5" t="n"/>
      <c r="CB753" s="5" t="n"/>
      <c r="CC753" s="5" t="n"/>
      <c r="CD753" s="5" t="n"/>
      <c r="CE753" s="5" t="n"/>
      <c r="CF753" s="5" t="n"/>
    </row>
    <row r="754">
      <c r="A754" s="171" t="n"/>
      <c r="B754" s="171" t="n"/>
      <c r="C754" s="171" t="n"/>
      <c r="D754" s="170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  <c r="BX754" s="5" t="n"/>
      <c r="BY754" s="5" t="n"/>
      <c r="BZ754" s="5" t="n"/>
      <c r="CA754" s="5" t="n"/>
      <c r="CB754" s="5" t="n"/>
      <c r="CC754" s="5" t="n"/>
      <c r="CD754" s="5" t="n"/>
      <c r="CE754" s="5" t="n"/>
      <c r="CF754" s="5" t="n"/>
    </row>
    <row r="755">
      <c r="A755" s="171" t="n"/>
      <c r="B755" s="171" t="n"/>
      <c r="C755" s="171" t="n"/>
      <c r="D755" s="170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  <c r="BX755" s="5" t="n"/>
      <c r="BY755" s="5" t="n"/>
      <c r="BZ755" s="5" t="n"/>
      <c r="CA755" s="5" t="n"/>
      <c r="CB755" s="5" t="n"/>
      <c r="CC755" s="5" t="n"/>
      <c r="CD755" s="5" t="n"/>
      <c r="CE755" s="5" t="n"/>
      <c r="CF755" s="5" t="n"/>
    </row>
    <row r="756">
      <c r="A756" s="171" t="n"/>
      <c r="B756" s="171" t="n"/>
      <c r="C756" s="171" t="n"/>
      <c r="D756" s="170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  <c r="BX756" s="5" t="n"/>
      <c r="BY756" s="5" t="n"/>
      <c r="BZ756" s="5" t="n"/>
      <c r="CA756" s="5" t="n"/>
      <c r="CB756" s="5" t="n"/>
      <c r="CC756" s="5" t="n"/>
      <c r="CD756" s="5" t="n"/>
      <c r="CE756" s="5" t="n"/>
      <c r="CF756" s="5" t="n"/>
    </row>
    <row r="757">
      <c r="A757" s="171" t="n"/>
      <c r="B757" s="171" t="n"/>
      <c r="C757" s="171" t="n"/>
      <c r="D757" s="170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  <c r="BX757" s="5" t="n"/>
      <c r="BY757" s="5" t="n"/>
      <c r="BZ757" s="5" t="n"/>
      <c r="CA757" s="5" t="n"/>
      <c r="CB757" s="5" t="n"/>
      <c r="CC757" s="5" t="n"/>
      <c r="CD757" s="5" t="n"/>
      <c r="CE757" s="5" t="n"/>
      <c r="CF757" s="5" t="n"/>
    </row>
    <row r="758">
      <c r="A758" s="171" t="n"/>
      <c r="B758" s="171" t="n"/>
      <c r="C758" s="171" t="n"/>
      <c r="D758" s="170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  <c r="BX758" s="5" t="n"/>
      <c r="BY758" s="5" t="n"/>
      <c r="BZ758" s="5" t="n"/>
      <c r="CA758" s="5" t="n"/>
      <c r="CB758" s="5" t="n"/>
      <c r="CC758" s="5" t="n"/>
      <c r="CD758" s="5" t="n"/>
      <c r="CE758" s="5" t="n"/>
      <c r="CF758" s="5" t="n"/>
    </row>
    <row r="759">
      <c r="A759" s="171" t="n"/>
      <c r="B759" s="171" t="n"/>
      <c r="C759" s="171" t="n"/>
      <c r="D759" s="170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  <c r="BX759" s="5" t="n"/>
      <c r="BY759" s="5" t="n"/>
      <c r="BZ759" s="5" t="n"/>
      <c r="CA759" s="5" t="n"/>
      <c r="CB759" s="5" t="n"/>
      <c r="CC759" s="5" t="n"/>
      <c r="CD759" s="5" t="n"/>
      <c r="CE759" s="5" t="n"/>
      <c r="CF759" s="5" t="n"/>
    </row>
    <row r="760">
      <c r="A760" s="171" t="n"/>
      <c r="B760" s="171" t="n"/>
      <c r="C760" s="171" t="n"/>
      <c r="D760" s="170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  <c r="BX760" s="5" t="n"/>
      <c r="BY760" s="5" t="n"/>
      <c r="BZ760" s="5" t="n"/>
      <c r="CA760" s="5" t="n"/>
      <c r="CB760" s="5" t="n"/>
      <c r="CC760" s="5" t="n"/>
      <c r="CD760" s="5" t="n"/>
      <c r="CE760" s="5" t="n"/>
      <c r="CF760" s="5" t="n"/>
    </row>
    <row r="761">
      <c r="A761" s="171" t="n"/>
      <c r="B761" s="171" t="n"/>
      <c r="C761" s="171" t="n"/>
      <c r="D761" s="170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  <c r="BX761" s="5" t="n"/>
      <c r="BY761" s="5" t="n"/>
      <c r="BZ761" s="5" t="n"/>
      <c r="CA761" s="5" t="n"/>
      <c r="CB761" s="5" t="n"/>
      <c r="CC761" s="5" t="n"/>
      <c r="CD761" s="5" t="n"/>
      <c r="CE761" s="5" t="n"/>
      <c r="CF761" s="5" t="n"/>
    </row>
    <row r="762">
      <c r="A762" s="171" t="n"/>
      <c r="B762" s="171" t="n"/>
      <c r="C762" s="171" t="n"/>
      <c r="D762" s="170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  <c r="BX762" s="5" t="n"/>
      <c r="BY762" s="5" t="n"/>
      <c r="BZ762" s="5" t="n"/>
      <c r="CA762" s="5" t="n"/>
      <c r="CB762" s="5" t="n"/>
      <c r="CC762" s="5" t="n"/>
      <c r="CD762" s="5" t="n"/>
      <c r="CE762" s="5" t="n"/>
      <c r="CF762" s="5" t="n"/>
    </row>
    <row r="763">
      <c r="A763" s="171" t="n"/>
      <c r="B763" s="171" t="n"/>
      <c r="C763" s="171" t="n"/>
      <c r="D763" s="170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  <c r="BX763" s="5" t="n"/>
      <c r="BY763" s="5" t="n"/>
      <c r="BZ763" s="5" t="n"/>
      <c r="CA763" s="5" t="n"/>
      <c r="CB763" s="5" t="n"/>
      <c r="CC763" s="5" t="n"/>
      <c r="CD763" s="5" t="n"/>
      <c r="CE763" s="5" t="n"/>
      <c r="CF763" s="5" t="n"/>
    </row>
    <row r="764">
      <c r="A764" s="171" t="n"/>
      <c r="B764" s="171" t="n"/>
      <c r="C764" s="171" t="n"/>
      <c r="D764" s="170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  <c r="BX764" s="5" t="n"/>
      <c r="BY764" s="5" t="n"/>
      <c r="BZ764" s="5" t="n"/>
      <c r="CA764" s="5" t="n"/>
      <c r="CB764" s="5" t="n"/>
      <c r="CC764" s="5" t="n"/>
      <c r="CD764" s="5" t="n"/>
      <c r="CE764" s="5" t="n"/>
      <c r="CF764" s="5" t="n"/>
    </row>
    <row r="765">
      <c r="A765" s="171" t="n"/>
      <c r="B765" s="171" t="n"/>
      <c r="C765" s="171" t="n"/>
      <c r="D765" s="170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  <c r="BX765" s="5" t="n"/>
      <c r="BY765" s="5" t="n"/>
      <c r="BZ765" s="5" t="n"/>
      <c r="CA765" s="5" t="n"/>
      <c r="CB765" s="5" t="n"/>
      <c r="CC765" s="5" t="n"/>
      <c r="CD765" s="5" t="n"/>
      <c r="CE765" s="5" t="n"/>
      <c r="CF765" s="5" t="n"/>
    </row>
    <row r="766">
      <c r="A766" s="171" t="n"/>
      <c r="B766" s="171" t="n"/>
      <c r="C766" s="171" t="n"/>
      <c r="D766" s="170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  <c r="BX766" s="5" t="n"/>
      <c r="BY766" s="5" t="n"/>
      <c r="BZ766" s="5" t="n"/>
      <c r="CA766" s="5" t="n"/>
      <c r="CB766" s="5" t="n"/>
      <c r="CC766" s="5" t="n"/>
      <c r="CD766" s="5" t="n"/>
      <c r="CE766" s="5" t="n"/>
      <c r="CF766" s="5" t="n"/>
    </row>
    <row r="767">
      <c r="A767" s="171" t="n"/>
      <c r="B767" s="171" t="n"/>
      <c r="C767" s="171" t="n"/>
      <c r="D767" s="170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  <c r="BX767" s="5" t="n"/>
      <c r="BY767" s="5" t="n"/>
      <c r="BZ767" s="5" t="n"/>
      <c r="CA767" s="5" t="n"/>
      <c r="CB767" s="5" t="n"/>
      <c r="CC767" s="5" t="n"/>
      <c r="CD767" s="5" t="n"/>
      <c r="CE767" s="5" t="n"/>
      <c r="CF767" s="5" t="n"/>
    </row>
    <row r="768">
      <c r="A768" s="171" t="n"/>
      <c r="B768" s="171" t="n"/>
      <c r="C768" s="171" t="n"/>
      <c r="D768" s="170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  <c r="BX768" s="5" t="n"/>
      <c r="BY768" s="5" t="n"/>
      <c r="BZ768" s="5" t="n"/>
      <c r="CA768" s="5" t="n"/>
      <c r="CB768" s="5" t="n"/>
      <c r="CC768" s="5" t="n"/>
      <c r="CD768" s="5" t="n"/>
      <c r="CE768" s="5" t="n"/>
      <c r="CF768" s="5" t="n"/>
    </row>
    <row r="769">
      <c r="A769" s="171" t="n"/>
      <c r="B769" s="171" t="n"/>
      <c r="C769" s="171" t="n"/>
      <c r="D769" s="170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  <c r="BX769" s="5" t="n"/>
      <c r="BY769" s="5" t="n"/>
      <c r="BZ769" s="5" t="n"/>
      <c r="CA769" s="5" t="n"/>
      <c r="CB769" s="5" t="n"/>
      <c r="CC769" s="5" t="n"/>
      <c r="CD769" s="5" t="n"/>
      <c r="CE769" s="5" t="n"/>
      <c r="CF769" s="5" t="n"/>
    </row>
    <row r="770">
      <c r="A770" s="171" t="n"/>
      <c r="B770" s="171" t="n"/>
      <c r="C770" s="171" t="n"/>
      <c r="D770" s="170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  <c r="BX770" s="5" t="n"/>
      <c r="BY770" s="5" t="n"/>
      <c r="BZ770" s="5" t="n"/>
      <c r="CA770" s="5" t="n"/>
      <c r="CB770" s="5" t="n"/>
      <c r="CC770" s="5" t="n"/>
      <c r="CD770" s="5" t="n"/>
      <c r="CE770" s="5" t="n"/>
      <c r="CF770" s="5" t="n"/>
    </row>
    <row r="771">
      <c r="A771" s="171" t="n"/>
      <c r="B771" s="171" t="n"/>
      <c r="C771" s="171" t="n"/>
      <c r="D771" s="170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  <c r="BX771" s="5" t="n"/>
      <c r="BY771" s="5" t="n"/>
      <c r="BZ771" s="5" t="n"/>
      <c r="CA771" s="5" t="n"/>
      <c r="CB771" s="5" t="n"/>
      <c r="CC771" s="5" t="n"/>
      <c r="CD771" s="5" t="n"/>
      <c r="CE771" s="5" t="n"/>
      <c r="CF771" s="5" t="n"/>
    </row>
    <row r="772">
      <c r="A772" s="171" t="n"/>
      <c r="B772" s="171" t="n"/>
      <c r="C772" s="171" t="n"/>
      <c r="D772" s="170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  <c r="BX772" s="5" t="n"/>
      <c r="BY772" s="5" t="n"/>
      <c r="BZ772" s="5" t="n"/>
      <c r="CA772" s="5" t="n"/>
      <c r="CB772" s="5" t="n"/>
      <c r="CC772" s="5" t="n"/>
      <c r="CD772" s="5" t="n"/>
      <c r="CE772" s="5" t="n"/>
      <c r="CF772" s="5" t="n"/>
    </row>
    <row r="773">
      <c r="A773" s="171" t="n"/>
      <c r="B773" s="171" t="n"/>
      <c r="C773" s="171" t="n"/>
      <c r="D773" s="170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  <c r="BX773" s="5" t="n"/>
      <c r="BY773" s="5" t="n"/>
      <c r="BZ773" s="5" t="n"/>
      <c r="CA773" s="5" t="n"/>
      <c r="CB773" s="5" t="n"/>
      <c r="CC773" s="5" t="n"/>
      <c r="CD773" s="5" t="n"/>
      <c r="CE773" s="5" t="n"/>
      <c r="CF773" s="5" t="n"/>
    </row>
    <row r="774">
      <c r="A774" s="171" t="n"/>
      <c r="B774" s="171" t="n"/>
      <c r="C774" s="171" t="n"/>
      <c r="D774" s="170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  <c r="BX774" s="5" t="n"/>
      <c r="BY774" s="5" t="n"/>
      <c r="BZ774" s="5" t="n"/>
      <c r="CA774" s="5" t="n"/>
      <c r="CB774" s="5" t="n"/>
      <c r="CC774" s="5" t="n"/>
      <c r="CD774" s="5" t="n"/>
      <c r="CE774" s="5" t="n"/>
      <c r="CF774" s="5" t="n"/>
    </row>
    <row r="775">
      <c r="A775" s="171" t="n"/>
      <c r="B775" s="171" t="n"/>
      <c r="C775" s="171" t="n"/>
      <c r="D775" s="170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  <c r="BX775" s="5" t="n"/>
      <c r="BY775" s="5" t="n"/>
      <c r="BZ775" s="5" t="n"/>
      <c r="CA775" s="5" t="n"/>
      <c r="CB775" s="5" t="n"/>
      <c r="CC775" s="5" t="n"/>
      <c r="CD775" s="5" t="n"/>
      <c r="CE775" s="5" t="n"/>
      <c r="CF775" s="5" t="n"/>
    </row>
    <row r="776">
      <c r="A776" s="171" t="n"/>
      <c r="B776" s="171" t="n"/>
      <c r="C776" s="171" t="n"/>
      <c r="D776" s="170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  <c r="BX776" s="5" t="n"/>
      <c r="BY776" s="5" t="n"/>
      <c r="BZ776" s="5" t="n"/>
      <c r="CA776" s="5" t="n"/>
      <c r="CB776" s="5" t="n"/>
      <c r="CC776" s="5" t="n"/>
      <c r="CD776" s="5" t="n"/>
      <c r="CE776" s="5" t="n"/>
      <c r="CF776" s="5" t="n"/>
    </row>
    <row r="777">
      <c r="A777" s="171" t="n"/>
      <c r="B777" s="171" t="n"/>
      <c r="C777" s="171" t="n"/>
      <c r="D777" s="170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  <c r="BX777" s="5" t="n"/>
      <c r="BY777" s="5" t="n"/>
      <c r="BZ777" s="5" t="n"/>
      <c r="CA777" s="5" t="n"/>
      <c r="CB777" s="5" t="n"/>
      <c r="CC777" s="5" t="n"/>
      <c r="CD777" s="5" t="n"/>
      <c r="CE777" s="5" t="n"/>
      <c r="CF777" s="5" t="n"/>
    </row>
    <row r="778">
      <c r="A778" s="171" t="n"/>
      <c r="B778" s="171" t="n"/>
      <c r="C778" s="171" t="n"/>
      <c r="D778" s="170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  <c r="BX778" s="5" t="n"/>
      <c r="BY778" s="5" t="n"/>
      <c r="BZ778" s="5" t="n"/>
      <c r="CA778" s="5" t="n"/>
      <c r="CB778" s="5" t="n"/>
      <c r="CC778" s="5" t="n"/>
      <c r="CD778" s="5" t="n"/>
      <c r="CE778" s="5" t="n"/>
      <c r="CF778" s="5" t="n"/>
    </row>
    <row r="779">
      <c r="A779" s="171" t="n"/>
      <c r="B779" s="171" t="n"/>
      <c r="C779" s="171" t="n"/>
      <c r="D779" s="170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  <c r="BX779" s="5" t="n"/>
      <c r="BY779" s="5" t="n"/>
      <c r="BZ779" s="5" t="n"/>
      <c r="CA779" s="5" t="n"/>
      <c r="CB779" s="5" t="n"/>
      <c r="CC779" s="5" t="n"/>
      <c r="CD779" s="5" t="n"/>
      <c r="CE779" s="5" t="n"/>
      <c r="CF779" s="5" t="n"/>
    </row>
    <row r="780">
      <c r="A780" s="171" t="n"/>
      <c r="B780" s="171" t="n"/>
      <c r="C780" s="171" t="n"/>
      <c r="D780" s="170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  <c r="BX780" s="5" t="n"/>
      <c r="BY780" s="5" t="n"/>
      <c r="BZ780" s="5" t="n"/>
      <c r="CA780" s="5" t="n"/>
      <c r="CB780" s="5" t="n"/>
      <c r="CC780" s="5" t="n"/>
      <c r="CD780" s="5" t="n"/>
      <c r="CE780" s="5" t="n"/>
      <c r="CF780" s="5" t="n"/>
    </row>
    <row r="781">
      <c r="A781" s="171" t="n"/>
      <c r="B781" s="171" t="n"/>
      <c r="C781" s="171" t="n"/>
      <c r="D781" s="170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  <c r="BX781" s="5" t="n"/>
      <c r="BY781" s="5" t="n"/>
      <c r="BZ781" s="5" t="n"/>
      <c r="CA781" s="5" t="n"/>
      <c r="CB781" s="5" t="n"/>
      <c r="CC781" s="5" t="n"/>
      <c r="CD781" s="5" t="n"/>
      <c r="CE781" s="5" t="n"/>
      <c r="CF781" s="5" t="n"/>
    </row>
    <row r="782">
      <c r="A782" s="171" t="n"/>
      <c r="B782" s="171" t="n"/>
      <c r="C782" s="171" t="n"/>
      <c r="D782" s="170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  <c r="BX782" s="5" t="n"/>
      <c r="BY782" s="5" t="n"/>
      <c r="BZ782" s="5" t="n"/>
      <c r="CA782" s="5" t="n"/>
      <c r="CB782" s="5" t="n"/>
      <c r="CC782" s="5" t="n"/>
      <c r="CD782" s="5" t="n"/>
      <c r="CE782" s="5" t="n"/>
      <c r="CF782" s="5" t="n"/>
    </row>
    <row r="783">
      <c r="A783" s="171" t="n"/>
      <c r="B783" s="171" t="n"/>
      <c r="C783" s="171" t="n"/>
      <c r="D783" s="170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  <c r="BX783" s="5" t="n"/>
      <c r="BY783" s="5" t="n"/>
      <c r="BZ783" s="5" t="n"/>
      <c r="CA783" s="5" t="n"/>
      <c r="CB783" s="5" t="n"/>
      <c r="CC783" s="5" t="n"/>
      <c r="CD783" s="5" t="n"/>
      <c r="CE783" s="5" t="n"/>
      <c r="CF783" s="5" t="n"/>
    </row>
    <row r="784">
      <c r="A784" s="171" t="n"/>
      <c r="B784" s="171" t="n"/>
      <c r="C784" s="171" t="n"/>
      <c r="D784" s="170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  <c r="BX784" s="5" t="n"/>
      <c r="BY784" s="5" t="n"/>
      <c r="BZ784" s="5" t="n"/>
      <c r="CA784" s="5" t="n"/>
      <c r="CB784" s="5" t="n"/>
      <c r="CC784" s="5" t="n"/>
      <c r="CD784" s="5" t="n"/>
      <c r="CE784" s="5" t="n"/>
      <c r="CF784" s="5" t="n"/>
    </row>
    <row r="785">
      <c r="A785" s="171" t="n"/>
      <c r="B785" s="171" t="n"/>
      <c r="C785" s="171" t="n"/>
      <c r="D785" s="170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  <c r="BX785" s="5" t="n"/>
      <c r="BY785" s="5" t="n"/>
      <c r="BZ785" s="5" t="n"/>
      <c r="CA785" s="5" t="n"/>
      <c r="CB785" s="5" t="n"/>
      <c r="CC785" s="5" t="n"/>
      <c r="CD785" s="5" t="n"/>
      <c r="CE785" s="5" t="n"/>
      <c r="CF785" s="5" t="n"/>
    </row>
    <row r="786">
      <c r="A786" s="171" t="n"/>
      <c r="B786" s="171" t="n"/>
      <c r="C786" s="171" t="n"/>
      <c r="D786" s="170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  <c r="BX786" s="5" t="n"/>
      <c r="BY786" s="5" t="n"/>
      <c r="BZ786" s="5" t="n"/>
      <c r="CA786" s="5" t="n"/>
      <c r="CB786" s="5" t="n"/>
      <c r="CC786" s="5" t="n"/>
      <c r="CD786" s="5" t="n"/>
      <c r="CE786" s="5" t="n"/>
      <c r="CF786" s="5" t="n"/>
    </row>
    <row r="787">
      <c r="A787" s="171" t="n"/>
      <c r="B787" s="171" t="n"/>
      <c r="C787" s="171" t="n"/>
      <c r="D787" s="170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  <c r="BX787" s="5" t="n"/>
      <c r="BY787" s="5" t="n"/>
      <c r="BZ787" s="5" t="n"/>
      <c r="CA787" s="5" t="n"/>
      <c r="CB787" s="5" t="n"/>
      <c r="CC787" s="5" t="n"/>
      <c r="CD787" s="5" t="n"/>
      <c r="CE787" s="5" t="n"/>
      <c r="CF787" s="5" t="n"/>
    </row>
    <row r="788">
      <c r="A788" s="171" t="n"/>
      <c r="B788" s="171" t="n"/>
      <c r="C788" s="171" t="n"/>
      <c r="D788" s="170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  <c r="BX788" s="5" t="n"/>
      <c r="BY788" s="5" t="n"/>
      <c r="BZ788" s="5" t="n"/>
      <c r="CA788" s="5" t="n"/>
      <c r="CB788" s="5" t="n"/>
      <c r="CC788" s="5" t="n"/>
      <c r="CD788" s="5" t="n"/>
      <c r="CE788" s="5" t="n"/>
      <c r="CF788" s="5" t="n"/>
    </row>
    <row r="789">
      <c r="A789" s="171" t="n"/>
      <c r="B789" s="171" t="n"/>
      <c r="C789" s="171" t="n"/>
      <c r="D789" s="170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  <c r="BX789" s="5" t="n"/>
      <c r="BY789" s="5" t="n"/>
      <c r="BZ789" s="5" t="n"/>
      <c r="CA789" s="5" t="n"/>
      <c r="CB789" s="5" t="n"/>
      <c r="CC789" s="5" t="n"/>
      <c r="CD789" s="5" t="n"/>
      <c r="CE789" s="5" t="n"/>
      <c r="CF789" s="5" t="n"/>
    </row>
    <row r="790">
      <c r="A790" s="171" t="n"/>
      <c r="B790" s="171" t="n"/>
      <c r="C790" s="171" t="n"/>
      <c r="D790" s="170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  <c r="BX790" s="5" t="n"/>
      <c r="BY790" s="5" t="n"/>
      <c r="BZ790" s="5" t="n"/>
      <c r="CA790" s="5" t="n"/>
      <c r="CB790" s="5" t="n"/>
      <c r="CC790" s="5" t="n"/>
      <c r="CD790" s="5" t="n"/>
      <c r="CE790" s="5" t="n"/>
      <c r="CF790" s="5" t="n"/>
    </row>
    <row r="791">
      <c r="A791" s="171" t="n"/>
      <c r="B791" s="171" t="n"/>
      <c r="C791" s="171" t="n"/>
      <c r="D791" s="170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  <c r="BX791" s="5" t="n"/>
      <c r="BY791" s="5" t="n"/>
      <c r="BZ791" s="5" t="n"/>
      <c r="CA791" s="5" t="n"/>
      <c r="CB791" s="5" t="n"/>
      <c r="CC791" s="5" t="n"/>
      <c r="CD791" s="5" t="n"/>
      <c r="CE791" s="5" t="n"/>
      <c r="CF791" s="5" t="n"/>
    </row>
    <row r="792">
      <c r="A792" s="171" t="n"/>
      <c r="B792" s="171" t="n"/>
      <c r="C792" s="171" t="n"/>
      <c r="D792" s="170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  <c r="BX792" s="5" t="n"/>
      <c r="BY792" s="5" t="n"/>
      <c r="BZ792" s="5" t="n"/>
      <c r="CA792" s="5" t="n"/>
      <c r="CB792" s="5" t="n"/>
      <c r="CC792" s="5" t="n"/>
      <c r="CD792" s="5" t="n"/>
      <c r="CE792" s="5" t="n"/>
      <c r="CF792" s="5" t="n"/>
    </row>
    <row r="793">
      <c r="A793" s="171" t="n"/>
      <c r="B793" s="171" t="n"/>
      <c r="C793" s="171" t="n"/>
      <c r="D793" s="170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  <c r="BX793" s="5" t="n"/>
      <c r="BY793" s="5" t="n"/>
      <c r="BZ793" s="5" t="n"/>
      <c r="CA793" s="5" t="n"/>
      <c r="CB793" s="5" t="n"/>
      <c r="CC793" s="5" t="n"/>
      <c r="CD793" s="5" t="n"/>
      <c r="CE793" s="5" t="n"/>
      <c r="CF793" s="5" t="n"/>
    </row>
    <row r="794">
      <c r="A794" s="171" t="n"/>
      <c r="B794" s="171" t="n"/>
      <c r="C794" s="171" t="n"/>
      <c r="D794" s="170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  <c r="BX794" s="5" t="n"/>
      <c r="BY794" s="5" t="n"/>
      <c r="BZ794" s="5" t="n"/>
      <c r="CA794" s="5" t="n"/>
      <c r="CB794" s="5" t="n"/>
      <c r="CC794" s="5" t="n"/>
      <c r="CD794" s="5" t="n"/>
      <c r="CE794" s="5" t="n"/>
      <c r="CF794" s="5" t="n"/>
    </row>
    <row r="795">
      <c r="A795" s="171" t="n"/>
      <c r="B795" s="171" t="n"/>
      <c r="C795" s="171" t="n"/>
      <c r="D795" s="170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  <c r="BX795" s="5" t="n"/>
      <c r="BY795" s="5" t="n"/>
      <c r="BZ795" s="5" t="n"/>
      <c r="CA795" s="5" t="n"/>
      <c r="CB795" s="5" t="n"/>
      <c r="CC795" s="5" t="n"/>
      <c r="CD795" s="5" t="n"/>
      <c r="CE795" s="5" t="n"/>
      <c r="CF795" s="5" t="n"/>
    </row>
    <row r="796">
      <c r="A796" s="171" t="n"/>
      <c r="B796" s="171" t="n"/>
      <c r="C796" s="171" t="n"/>
      <c r="D796" s="170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  <c r="BX796" s="5" t="n"/>
      <c r="BY796" s="5" t="n"/>
      <c r="BZ796" s="5" t="n"/>
      <c r="CA796" s="5" t="n"/>
      <c r="CB796" s="5" t="n"/>
      <c r="CC796" s="5" t="n"/>
      <c r="CD796" s="5" t="n"/>
      <c r="CE796" s="5" t="n"/>
      <c r="CF796" s="5" t="n"/>
    </row>
    <row r="797">
      <c r="A797" s="171" t="n"/>
      <c r="B797" s="171" t="n"/>
      <c r="C797" s="171" t="n"/>
      <c r="D797" s="170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  <c r="BX797" s="5" t="n"/>
      <c r="BY797" s="5" t="n"/>
      <c r="BZ797" s="5" t="n"/>
      <c r="CA797" s="5" t="n"/>
      <c r="CB797" s="5" t="n"/>
      <c r="CC797" s="5" t="n"/>
      <c r="CD797" s="5" t="n"/>
      <c r="CE797" s="5" t="n"/>
      <c r="CF797" s="5" t="n"/>
    </row>
    <row r="798">
      <c r="A798" s="171" t="n"/>
      <c r="B798" s="171" t="n"/>
      <c r="C798" s="171" t="n"/>
      <c r="D798" s="170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  <c r="BX798" s="5" t="n"/>
      <c r="BY798" s="5" t="n"/>
      <c r="BZ798" s="5" t="n"/>
      <c r="CA798" s="5" t="n"/>
      <c r="CB798" s="5" t="n"/>
      <c r="CC798" s="5" t="n"/>
      <c r="CD798" s="5" t="n"/>
      <c r="CE798" s="5" t="n"/>
      <c r="CF798" s="5" t="n"/>
    </row>
    <row r="799">
      <c r="A799" s="171" t="n"/>
      <c r="B799" s="171" t="n"/>
      <c r="C799" s="171" t="n"/>
      <c r="D799" s="170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  <c r="BX799" s="5" t="n"/>
      <c r="BY799" s="5" t="n"/>
      <c r="BZ799" s="5" t="n"/>
      <c r="CA799" s="5" t="n"/>
      <c r="CB799" s="5" t="n"/>
      <c r="CC799" s="5" t="n"/>
      <c r="CD799" s="5" t="n"/>
      <c r="CE799" s="5" t="n"/>
      <c r="CF799" s="5" t="n"/>
    </row>
    <row r="800">
      <c r="A800" s="171" t="n"/>
      <c r="B800" s="171" t="n"/>
      <c r="C800" s="171" t="n"/>
      <c r="D800" s="170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  <c r="BX800" s="5" t="n"/>
      <c r="BY800" s="5" t="n"/>
      <c r="BZ800" s="5" t="n"/>
      <c r="CA800" s="5" t="n"/>
      <c r="CB800" s="5" t="n"/>
      <c r="CC800" s="5" t="n"/>
      <c r="CD800" s="5" t="n"/>
      <c r="CE800" s="5" t="n"/>
      <c r="CF800" s="5" t="n"/>
    </row>
    <row r="801">
      <c r="A801" s="171" t="n"/>
      <c r="B801" s="171" t="n"/>
      <c r="C801" s="171" t="n"/>
      <c r="D801" s="170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  <c r="BX801" s="5" t="n"/>
      <c r="BY801" s="5" t="n"/>
      <c r="BZ801" s="5" t="n"/>
      <c r="CA801" s="5" t="n"/>
      <c r="CB801" s="5" t="n"/>
      <c r="CC801" s="5" t="n"/>
      <c r="CD801" s="5" t="n"/>
      <c r="CE801" s="5" t="n"/>
      <c r="CF801" s="5" t="n"/>
    </row>
    <row r="802">
      <c r="A802" s="171" t="n"/>
      <c r="B802" s="171" t="n"/>
      <c r="C802" s="171" t="n"/>
      <c r="D802" s="170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  <c r="BX802" s="5" t="n"/>
      <c r="BY802" s="5" t="n"/>
      <c r="BZ802" s="5" t="n"/>
      <c r="CA802" s="5" t="n"/>
      <c r="CB802" s="5" t="n"/>
      <c r="CC802" s="5" t="n"/>
      <c r="CD802" s="5" t="n"/>
      <c r="CE802" s="5" t="n"/>
      <c r="CF802" s="5" t="n"/>
    </row>
    <row r="803">
      <c r="A803" s="171" t="n"/>
      <c r="B803" s="171" t="n"/>
      <c r="C803" s="171" t="n"/>
      <c r="D803" s="170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  <c r="BX803" s="5" t="n"/>
      <c r="BY803" s="5" t="n"/>
      <c r="BZ803" s="5" t="n"/>
      <c r="CA803" s="5" t="n"/>
      <c r="CB803" s="5" t="n"/>
      <c r="CC803" s="5" t="n"/>
      <c r="CD803" s="5" t="n"/>
      <c r="CE803" s="5" t="n"/>
      <c r="CF803" s="5" t="n"/>
    </row>
    <row r="804">
      <c r="A804" s="171" t="n"/>
      <c r="B804" s="171" t="n"/>
      <c r="C804" s="171" t="n"/>
      <c r="D804" s="170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  <c r="BX804" s="5" t="n"/>
      <c r="BY804" s="5" t="n"/>
      <c r="BZ804" s="5" t="n"/>
      <c r="CA804" s="5" t="n"/>
      <c r="CB804" s="5" t="n"/>
      <c r="CC804" s="5" t="n"/>
      <c r="CD804" s="5" t="n"/>
      <c r="CE804" s="5" t="n"/>
      <c r="CF804" s="5" t="n"/>
    </row>
    <row r="805">
      <c r="A805" s="171" t="n"/>
      <c r="B805" s="171" t="n"/>
      <c r="C805" s="171" t="n"/>
      <c r="D805" s="170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  <c r="BX805" s="5" t="n"/>
      <c r="BY805" s="5" t="n"/>
      <c r="BZ805" s="5" t="n"/>
      <c r="CA805" s="5" t="n"/>
      <c r="CB805" s="5" t="n"/>
      <c r="CC805" s="5" t="n"/>
      <c r="CD805" s="5" t="n"/>
      <c r="CE805" s="5" t="n"/>
      <c r="CF805" s="5" t="n"/>
    </row>
    <row r="806">
      <c r="A806" s="171" t="n"/>
      <c r="B806" s="171" t="n"/>
      <c r="C806" s="171" t="n"/>
      <c r="D806" s="170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  <c r="BX806" s="5" t="n"/>
      <c r="BY806" s="5" t="n"/>
      <c r="BZ806" s="5" t="n"/>
      <c r="CA806" s="5" t="n"/>
      <c r="CB806" s="5" t="n"/>
      <c r="CC806" s="5" t="n"/>
      <c r="CD806" s="5" t="n"/>
      <c r="CE806" s="5" t="n"/>
      <c r="CF806" s="5" t="n"/>
    </row>
    <row r="807">
      <c r="A807" s="171" t="n"/>
      <c r="B807" s="171" t="n"/>
      <c r="C807" s="171" t="n"/>
      <c r="D807" s="170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  <c r="BX807" s="5" t="n"/>
      <c r="BY807" s="5" t="n"/>
      <c r="BZ807" s="5" t="n"/>
      <c r="CA807" s="5" t="n"/>
      <c r="CB807" s="5" t="n"/>
      <c r="CC807" s="5" t="n"/>
      <c r="CD807" s="5" t="n"/>
      <c r="CE807" s="5" t="n"/>
      <c r="CF807" s="5" t="n"/>
    </row>
    <row r="808">
      <c r="A808" s="171" t="n"/>
      <c r="B808" s="171" t="n"/>
      <c r="C808" s="171" t="n"/>
      <c r="D808" s="170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  <c r="BX808" s="5" t="n"/>
      <c r="BY808" s="5" t="n"/>
      <c r="BZ808" s="5" t="n"/>
      <c r="CA808" s="5" t="n"/>
      <c r="CB808" s="5" t="n"/>
      <c r="CC808" s="5" t="n"/>
      <c r="CD808" s="5" t="n"/>
      <c r="CE808" s="5" t="n"/>
      <c r="CF808" s="5" t="n"/>
    </row>
    <row r="809">
      <c r="A809" s="171" t="n"/>
      <c r="B809" s="171" t="n"/>
      <c r="C809" s="171" t="n"/>
      <c r="D809" s="170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  <c r="BX809" s="5" t="n"/>
      <c r="BY809" s="5" t="n"/>
      <c r="BZ809" s="5" t="n"/>
      <c r="CA809" s="5" t="n"/>
      <c r="CB809" s="5" t="n"/>
      <c r="CC809" s="5" t="n"/>
      <c r="CD809" s="5" t="n"/>
      <c r="CE809" s="5" t="n"/>
      <c r="CF809" s="5" t="n"/>
    </row>
    <row r="810">
      <c r="A810" s="171" t="n"/>
      <c r="B810" s="171" t="n"/>
      <c r="C810" s="171" t="n"/>
      <c r="D810" s="170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  <c r="BX810" s="5" t="n"/>
      <c r="BY810" s="5" t="n"/>
      <c r="BZ810" s="5" t="n"/>
      <c r="CA810" s="5" t="n"/>
      <c r="CB810" s="5" t="n"/>
      <c r="CC810" s="5" t="n"/>
      <c r="CD810" s="5" t="n"/>
      <c r="CE810" s="5" t="n"/>
      <c r="CF810" s="5" t="n"/>
    </row>
    <row r="811">
      <c r="A811" s="171" t="n"/>
      <c r="B811" s="171" t="n"/>
      <c r="C811" s="171" t="n"/>
      <c r="D811" s="170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  <c r="BX811" s="5" t="n"/>
      <c r="BY811" s="5" t="n"/>
      <c r="BZ811" s="5" t="n"/>
      <c r="CA811" s="5" t="n"/>
      <c r="CB811" s="5" t="n"/>
      <c r="CC811" s="5" t="n"/>
      <c r="CD811" s="5" t="n"/>
      <c r="CE811" s="5" t="n"/>
      <c r="CF811" s="5" t="n"/>
    </row>
    <row r="812">
      <c r="A812" s="171" t="n"/>
      <c r="B812" s="171" t="n"/>
      <c r="C812" s="171" t="n"/>
      <c r="D812" s="170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  <c r="BX812" s="5" t="n"/>
      <c r="BY812" s="5" t="n"/>
      <c r="BZ812" s="5" t="n"/>
      <c r="CA812" s="5" t="n"/>
      <c r="CB812" s="5" t="n"/>
      <c r="CC812" s="5" t="n"/>
      <c r="CD812" s="5" t="n"/>
      <c r="CE812" s="5" t="n"/>
      <c r="CF812" s="5" t="n"/>
    </row>
    <row r="813">
      <c r="A813" s="171" t="n"/>
      <c r="B813" s="171" t="n"/>
      <c r="C813" s="171" t="n"/>
      <c r="D813" s="170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  <c r="BX813" s="5" t="n"/>
      <c r="BY813" s="5" t="n"/>
      <c r="BZ813" s="5" t="n"/>
      <c r="CA813" s="5" t="n"/>
      <c r="CB813" s="5" t="n"/>
      <c r="CC813" s="5" t="n"/>
      <c r="CD813" s="5" t="n"/>
      <c r="CE813" s="5" t="n"/>
      <c r="CF813" s="5" t="n"/>
    </row>
    <row r="814">
      <c r="A814" s="171" t="n"/>
      <c r="B814" s="171" t="n"/>
      <c r="C814" s="171" t="n"/>
      <c r="D814" s="170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  <c r="BX814" s="5" t="n"/>
      <c r="BY814" s="5" t="n"/>
      <c r="BZ814" s="5" t="n"/>
      <c r="CA814" s="5" t="n"/>
      <c r="CB814" s="5" t="n"/>
      <c r="CC814" s="5" t="n"/>
      <c r="CD814" s="5" t="n"/>
      <c r="CE814" s="5" t="n"/>
      <c r="CF814" s="5" t="n"/>
    </row>
    <row r="815">
      <c r="A815" s="171" t="n"/>
      <c r="B815" s="171" t="n"/>
      <c r="C815" s="171" t="n"/>
      <c r="D815" s="170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  <c r="BX815" s="5" t="n"/>
      <c r="BY815" s="5" t="n"/>
      <c r="BZ815" s="5" t="n"/>
      <c r="CA815" s="5" t="n"/>
      <c r="CB815" s="5" t="n"/>
      <c r="CC815" s="5" t="n"/>
      <c r="CD815" s="5" t="n"/>
      <c r="CE815" s="5" t="n"/>
      <c r="CF815" s="5" t="n"/>
    </row>
    <row r="816">
      <c r="A816" s="171" t="n"/>
      <c r="B816" s="171" t="n"/>
      <c r="C816" s="171" t="n"/>
      <c r="D816" s="170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  <c r="BX816" s="5" t="n"/>
      <c r="BY816" s="5" t="n"/>
      <c r="BZ816" s="5" t="n"/>
      <c r="CA816" s="5" t="n"/>
      <c r="CB816" s="5" t="n"/>
      <c r="CC816" s="5" t="n"/>
      <c r="CD816" s="5" t="n"/>
      <c r="CE816" s="5" t="n"/>
      <c r="CF816" s="5" t="n"/>
    </row>
    <row r="817">
      <c r="A817" s="171" t="n"/>
      <c r="B817" s="171" t="n"/>
      <c r="C817" s="171" t="n"/>
      <c r="D817" s="170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  <c r="BX817" s="5" t="n"/>
      <c r="BY817" s="5" t="n"/>
      <c r="BZ817" s="5" t="n"/>
      <c r="CA817" s="5" t="n"/>
      <c r="CB817" s="5" t="n"/>
      <c r="CC817" s="5" t="n"/>
      <c r="CD817" s="5" t="n"/>
      <c r="CE817" s="5" t="n"/>
      <c r="CF817" s="5" t="n"/>
    </row>
    <row r="818">
      <c r="A818" s="171" t="n"/>
      <c r="B818" s="171" t="n"/>
      <c r="C818" s="171" t="n"/>
      <c r="D818" s="170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  <c r="BX818" s="5" t="n"/>
      <c r="BY818" s="5" t="n"/>
      <c r="BZ818" s="5" t="n"/>
      <c r="CA818" s="5" t="n"/>
      <c r="CB818" s="5" t="n"/>
      <c r="CC818" s="5" t="n"/>
      <c r="CD818" s="5" t="n"/>
      <c r="CE818" s="5" t="n"/>
      <c r="CF818" s="5" t="n"/>
    </row>
    <row r="819">
      <c r="A819" s="171" t="n"/>
      <c r="B819" s="171" t="n"/>
      <c r="C819" s="171" t="n"/>
      <c r="D819" s="170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  <c r="BX819" s="5" t="n"/>
      <c r="BY819" s="5" t="n"/>
      <c r="BZ819" s="5" t="n"/>
      <c r="CA819" s="5" t="n"/>
      <c r="CB819" s="5" t="n"/>
      <c r="CC819" s="5" t="n"/>
      <c r="CD819" s="5" t="n"/>
      <c r="CE819" s="5" t="n"/>
      <c r="CF819" s="5" t="n"/>
    </row>
    <row r="820">
      <c r="A820" s="171" t="n"/>
      <c r="B820" s="171" t="n"/>
      <c r="C820" s="171" t="n"/>
      <c r="D820" s="170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  <c r="BX820" s="5" t="n"/>
      <c r="BY820" s="5" t="n"/>
      <c r="BZ820" s="5" t="n"/>
      <c r="CA820" s="5" t="n"/>
      <c r="CB820" s="5" t="n"/>
      <c r="CC820" s="5" t="n"/>
      <c r="CD820" s="5" t="n"/>
      <c r="CE820" s="5" t="n"/>
      <c r="CF820" s="5" t="n"/>
    </row>
    <row r="821">
      <c r="A821" s="171" t="n"/>
      <c r="B821" s="171" t="n"/>
      <c r="C821" s="171" t="n"/>
      <c r="D821" s="170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  <c r="BX821" s="5" t="n"/>
      <c r="BY821" s="5" t="n"/>
      <c r="BZ821" s="5" t="n"/>
      <c r="CA821" s="5" t="n"/>
      <c r="CB821" s="5" t="n"/>
      <c r="CC821" s="5" t="n"/>
      <c r="CD821" s="5" t="n"/>
      <c r="CE821" s="5" t="n"/>
      <c r="CF821" s="5" t="n"/>
    </row>
    <row r="822">
      <c r="A822" s="171" t="n"/>
      <c r="B822" s="171" t="n"/>
      <c r="C822" s="171" t="n"/>
      <c r="D822" s="170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  <c r="BX822" s="5" t="n"/>
      <c r="BY822" s="5" t="n"/>
      <c r="BZ822" s="5" t="n"/>
      <c r="CA822" s="5" t="n"/>
      <c r="CB822" s="5" t="n"/>
      <c r="CC822" s="5" t="n"/>
      <c r="CD822" s="5" t="n"/>
      <c r="CE822" s="5" t="n"/>
      <c r="CF822" s="5" t="n"/>
    </row>
    <row r="823">
      <c r="A823" s="171" t="n"/>
      <c r="B823" s="171" t="n"/>
      <c r="C823" s="171" t="n"/>
      <c r="D823" s="170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  <c r="BX823" s="5" t="n"/>
      <c r="BY823" s="5" t="n"/>
      <c r="BZ823" s="5" t="n"/>
      <c r="CA823" s="5" t="n"/>
      <c r="CB823" s="5" t="n"/>
      <c r="CC823" s="5" t="n"/>
      <c r="CD823" s="5" t="n"/>
      <c r="CE823" s="5" t="n"/>
      <c r="CF823" s="5" t="n"/>
    </row>
    <row r="824">
      <c r="A824" s="171" t="n"/>
      <c r="B824" s="171" t="n"/>
      <c r="C824" s="171" t="n"/>
      <c r="D824" s="170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  <c r="BX824" s="5" t="n"/>
      <c r="BY824" s="5" t="n"/>
      <c r="BZ824" s="5" t="n"/>
      <c r="CA824" s="5" t="n"/>
      <c r="CB824" s="5" t="n"/>
      <c r="CC824" s="5" t="n"/>
      <c r="CD824" s="5" t="n"/>
      <c r="CE824" s="5" t="n"/>
      <c r="CF824" s="5" t="n"/>
    </row>
    <row r="825">
      <c r="A825" s="171" t="n"/>
      <c r="B825" s="171" t="n"/>
      <c r="C825" s="171" t="n"/>
      <c r="D825" s="170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  <c r="BX825" s="5" t="n"/>
      <c r="BY825" s="5" t="n"/>
      <c r="BZ825" s="5" t="n"/>
      <c r="CA825" s="5" t="n"/>
      <c r="CB825" s="5" t="n"/>
      <c r="CC825" s="5" t="n"/>
      <c r="CD825" s="5" t="n"/>
      <c r="CE825" s="5" t="n"/>
      <c r="CF825" s="5" t="n"/>
    </row>
    <row r="826">
      <c r="A826" s="171" t="n"/>
      <c r="B826" s="171" t="n"/>
      <c r="C826" s="171" t="n"/>
      <c r="D826" s="170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  <c r="BX826" s="5" t="n"/>
      <c r="BY826" s="5" t="n"/>
      <c r="BZ826" s="5" t="n"/>
      <c r="CA826" s="5" t="n"/>
      <c r="CB826" s="5" t="n"/>
      <c r="CC826" s="5" t="n"/>
      <c r="CD826" s="5" t="n"/>
      <c r="CE826" s="5" t="n"/>
      <c r="CF826" s="5" t="n"/>
    </row>
    <row r="827">
      <c r="A827" s="171" t="n"/>
      <c r="B827" s="171" t="n"/>
      <c r="C827" s="171" t="n"/>
      <c r="D827" s="170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  <c r="BX827" s="5" t="n"/>
      <c r="BY827" s="5" t="n"/>
      <c r="BZ827" s="5" t="n"/>
      <c r="CA827" s="5" t="n"/>
      <c r="CB827" s="5" t="n"/>
      <c r="CC827" s="5" t="n"/>
      <c r="CD827" s="5" t="n"/>
      <c r="CE827" s="5" t="n"/>
      <c r="CF827" s="5" t="n"/>
    </row>
    <row r="828">
      <c r="A828" s="171" t="n"/>
      <c r="B828" s="171" t="n"/>
      <c r="C828" s="171" t="n"/>
      <c r="D828" s="170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  <c r="BX828" s="5" t="n"/>
      <c r="BY828" s="5" t="n"/>
      <c r="BZ828" s="5" t="n"/>
      <c r="CA828" s="5" t="n"/>
      <c r="CB828" s="5" t="n"/>
      <c r="CC828" s="5" t="n"/>
      <c r="CD828" s="5" t="n"/>
      <c r="CE828" s="5" t="n"/>
      <c r="CF828" s="5" t="n"/>
    </row>
    <row r="829">
      <c r="A829" s="171" t="n"/>
      <c r="B829" s="171" t="n"/>
      <c r="C829" s="171" t="n"/>
      <c r="D829" s="170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  <c r="BX829" s="5" t="n"/>
      <c r="BY829" s="5" t="n"/>
      <c r="BZ829" s="5" t="n"/>
      <c r="CA829" s="5" t="n"/>
      <c r="CB829" s="5" t="n"/>
      <c r="CC829" s="5" t="n"/>
      <c r="CD829" s="5" t="n"/>
      <c r="CE829" s="5" t="n"/>
      <c r="CF829" s="5" t="n"/>
    </row>
    <row r="830">
      <c r="A830" s="171" t="n"/>
      <c r="B830" s="171" t="n"/>
      <c r="C830" s="171" t="n"/>
      <c r="D830" s="170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  <c r="BX830" s="5" t="n"/>
      <c r="BY830" s="5" t="n"/>
      <c r="BZ830" s="5" t="n"/>
      <c r="CA830" s="5" t="n"/>
      <c r="CB830" s="5" t="n"/>
      <c r="CC830" s="5" t="n"/>
      <c r="CD830" s="5" t="n"/>
      <c r="CE830" s="5" t="n"/>
      <c r="CF830" s="5" t="n"/>
    </row>
    <row r="831">
      <c r="A831" s="171" t="n"/>
      <c r="B831" s="171" t="n"/>
      <c r="C831" s="171" t="n"/>
      <c r="D831" s="170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  <c r="BX831" s="5" t="n"/>
      <c r="BY831" s="5" t="n"/>
      <c r="BZ831" s="5" t="n"/>
      <c r="CA831" s="5" t="n"/>
      <c r="CB831" s="5" t="n"/>
      <c r="CC831" s="5" t="n"/>
      <c r="CD831" s="5" t="n"/>
      <c r="CE831" s="5" t="n"/>
      <c r="CF831" s="5" t="n"/>
    </row>
    <row r="832">
      <c r="A832" s="171" t="n"/>
      <c r="B832" s="171" t="n"/>
      <c r="C832" s="171" t="n"/>
      <c r="D832" s="170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  <c r="BX832" s="5" t="n"/>
      <c r="BY832" s="5" t="n"/>
      <c r="BZ832" s="5" t="n"/>
      <c r="CA832" s="5" t="n"/>
      <c r="CB832" s="5" t="n"/>
      <c r="CC832" s="5" t="n"/>
      <c r="CD832" s="5" t="n"/>
      <c r="CE832" s="5" t="n"/>
      <c r="CF832" s="5" t="n"/>
    </row>
    <row r="833">
      <c r="A833" s="171" t="n"/>
      <c r="B833" s="171" t="n"/>
      <c r="C833" s="171" t="n"/>
      <c r="D833" s="170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  <c r="BX833" s="5" t="n"/>
      <c r="BY833" s="5" t="n"/>
      <c r="BZ833" s="5" t="n"/>
      <c r="CA833" s="5" t="n"/>
      <c r="CB833" s="5" t="n"/>
      <c r="CC833" s="5" t="n"/>
      <c r="CD833" s="5" t="n"/>
      <c r="CE833" s="5" t="n"/>
      <c r="CF833" s="5" t="n"/>
    </row>
    <row r="834">
      <c r="A834" s="171" t="n"/>
      <c r="B834" s="171" t="n"/>
      <c r="C834" s="171" t="n"/>
      <c r="D834" s="170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  <c r="BX834" s="5" t="n"/>
      <c r="BY834" s="5" t="n"/>
      <c r="BZ834" s="5" t="n"/>
      <c r="CA834" s="5" t="n"/>
      <c r="CB834" s="5" t="n"/>
      <c r="CC834" s="5" t="n"/>
      <c r="CD834" s="5" t="n"/>
      <c r="CE834" s="5" t="n"/>
      <c r="CF834" s="5" t="n"/>
    </row>
    <row r="835">
      <c r="A835" s="171" t="n"/>
      <c r="B835" s="171" t="n"/>
      <c r="C835" s="171" t="n"/>
      <c r="D835" s="170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  <c r="CE835" s="5" t="n"/>
      <c r="CF835" s="5" t="n"/>
    </row>
    <row r="836">
      <c r="A836" s="171" t="n"/>
      <c r="B836" s="171" t="n"/>
      <c r="C836" s="171" t="n"/>
      <c r="D836" s="170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  <c r="CE836" s="5" t="n"/>
      <c r="CF836" s="5" t="n"/>
    </row>
    <row r="837">
      <c r="A837" s="171" t="n"/>
      <c r="B837" s="171" t="n"/>
      <c r="C837" s="171" t="n"/>
      <c r="D837" s="170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  <c r="CE837" s="5" t="n"/>
      <c r="CF837" s="5" t="n"/>
    </row>
    <row r="838">
      <c r="A838" s="171" t="n"/>
      <c r="B838" s="171" t="n"/>
      <c r="C838" s="171" t="n"/>
      <c r="D838" s="170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  <c r="BX838" s="5" t="n"/>
      <c r="BY838" s="5" t="n"/>
      <c r="BZ838" s="5" t="n"/>
      <c r="CA838" s="5" t="n"/>
      <c r="CB838" s="5" t="n"/>
      <c r="CC838" s="5" t="n"/>
      <c r="CD838" s="5" t="n"/>
      <c r="CE838" s="5" t="n"/>
      <c r="CF838" s="5" t="n"/>
    </row>
    <row r="839">
      <c r="A839" s="171" t="n"/>
      <c r="B839" s="171" t="n"/>
      <c r="C839" s="171" t="n"/>
      <c r="D839" s="170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  <c r="BX839" s="5" t="n"/>
      <c r="BY839" s="5" t="n"/>
      <c r="BZ839" s="5" t="n"/>
      <c r="CA839" s="5" t="n"/>
      <c r="CB839" s="5" t="n"/>
      <c r="CC839" s="5" t="n"/>
      <c r="CD839" s="5" t="n"/>
      <c r="CE839" s="5" t="n"/>
      <c r="CF839" s="5" t="n"/>
    </row>
    <row r="840">
      <c r="A840" s="171" t="n"/>
      <c r="B840" s="171" t="n"/>
      <c r="C840" s="171" t="n"/>
      <c r="D840" s="170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  <c r="BX840" s="5" t="n"/>
      <c r="BY840" s="5" t="n"/>
      <c r="BZ840" s="5" t="n"/>
      <c r="CA840" s="5" t="n"/>
      <c r="CB840" s="5" t="n"/>
      <c r="CC840" s="5" t="n"/>
      <c r="CD840" s="5" t="n"/>
      <c r="CE840" s="5" t="n"/>
      <c r="CF840" s="5" t="n"/>
    </row>
    <row r="841">
      <c r="A841" s="171" t="n"/>
      <c r="B841" s="171" t="n"/>
      <c r="C841" s="171" t="n"/>
      <c r="D841" s="170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  <c r="BX841" s="5" t="n"/>
      <c r="BY841" s="5" t="n"/>
      <c r="BZ841" s="5" t="n"/>
      <c r="CA841" s="5" t="n"/>
      <c r="CB841" s="5" t="n"/>
      <c r="CC841" s="5" t="n"/>
      <c r="CD841" s="5" t="n"/>
      <c r="CE841" s="5" t="n"/>
      <c r="CF841" s="5" t="n"/>
    </row>
    <row r="842">
      <c r="A842" s="171" t="n"/>
      <c r="B842" s="171" t="n"/>
      <c r="C842" s="171" t="n"/>
      <c r="D842" s="170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  <c r="BX842" s="5" t="n"/>
      <c r="BY842" s="5" t="n"/>
      <c r="BZ842" s="5" t="n"/>
      <c r="CA842" s="5" t="n"/>
      <c r="CB842" s="5" t="n"/>
      <c r="CC842" s="5" t="n"/>
      <c r="CD842" s="5" t="n"/>
      <c r="CE842" s="5" t="n"/>
      <c r="CF842" s="5" t="n"/>
    </row>
    <row r="843">
      <c r="A843" s="171" t="n"/>
      <c r="B843" s="171" t="n"/>
      <c r="C843" s="171" t="n"/>
      <c r="D843" s="170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  <c r="BX843" s="5" t="n"/>
      <c r="BY843" s="5" t="n"/>
      <c r="BZ843" s="5" t="n"/>
      <c r="CA843" s="5" t="n"/>
      <c r="CB843" s="5" t="n"/>
      <c r="CC843" s="5" t="n"/>
      <c r="CD843" s="5" t="n"/>
      <c r="CE843" s="5" t="n"/>
      <c r="CF843" s="5" t="n"/>
    </row>
    <row r="844">
      <c r="A844" s="171" t="n"/>
      <c r="B844" s="171" t="n"/>
      <c r="C844" s="171" t="n"/>
      <c r="D844" s="170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  <c r="BX844" s="5" t="n"/>
      <c r="BY844" s="5" t="n"/>
      <c r="BZ844" s="5" t="n"/>
      <c r="CA844" s="5" t="n"/>
      <c r="CB844" s="5" t="n"/>
      <c r="CC844" s="5" t="n"/>
      <c r="CD844" s="5" t="n"/>
      <c r="CE844" s="5" t="n"/>
      <c r="CF844" s="5" t="n"/>
    </row>
    <row r="845">
      <c r="A845" s="171" t="n"/>
      <c r="B845" s="171" t="n"/>
      <c r="C845" s="171" t="n"/>
      <c r="D845" s="170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  <c r="BX845" s="5" t="n"/>
      <c r="BY845" s="5" t="n"/>
      <c r="BZ845" s="5" t="n"/>
      <c r="CA845" s="5" t="n"/>
      <c r="CB845" s="5" t="n"/>
      <c r="CC845" s="5" t="n"/>
      <c r="CD845" s="5" t="n"/>
      <c r="CE845" s="5" t="n"/>
      <c r="CF845" s="5" t="n"/>
    </row>
    <row r="846">
      <c r="A846" s="171" t="n"/>
      <c r="B846" s="171" t="n"/>
      <c r="C846" s="171" t="n"/>
      <c r="D846" s="170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  <c r="BX846" s="5" t="n"/>
      <c r="BY846" s="5" t="n"/>
      <c r="BZ846" s="5" t="n"/>
      <c r="CA846" s="5" t="n"/>
      <c r="CB846" s="5" t="n"/>
      <c r="CC846" s="5" t="n"/>
      <c r="CD846" s="5" t="n"/>
      <c r="CE846" s="5" t="n"/>
      <c r="CF846" s="5" t="n"/>
    </row>
    <row r="847">
      <c r="A847" s="171" t="n"/>
      <c r="B847" s="171" t="n"/>
      <c r="C847" s="171" t="n"/>
      <c r="D847" s="170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  <c r="BX847" s="5" t="n"/>
      <c r="BY847" s="5" t="n"/>
      <c r="BZ847" s="5" t="n"/>
      <c r="CA847" s="5" t="n"/>
      <c r="CB847" s="5" t="n"/>
      <c r="CC847" s="5" t="n"/>
      <c r="CD847" s="5" t="n"/>
      <c r="CE847" s="5" t="n"/>
      <c r="CF847" s="5" t="n"/>
    </row>
    <row r="848">
      <c r="A848" s="171" t="n"/>
      <c r="B848" s="171" t="n"/>
      <c r="C848" s="171" t="n"/>
      <c r="D848" s="170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  <c r="BX848" s="5" t="n"/>
      <c r="BY848" s="5" t="n"/>
      <c r="BZ848" s="5" t="n"/>
      <c r="CA848" s="5" t="n"/>
      <c r="CB848" s="5" t="n"/>
      <c r="CC848" s="5" t="n"/>
      <c r="CD848" s="5" t="n"/>
      <c r="CE848" s="5" t="n"/>
      <c r="CF848" s="5" t="n"/>
    </row>
    <row r="849">
      <c r="A849" s="171" t="n"/>
      <c r="B849" s="171" t="n"/>
      <c r="C849" s="171" t="n"/>
      <c r="D849" s="170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  <c r="BX849" s="5" t="n"/>
      <c r="BY849" s="5" t="n"/>
      <c r="BZ849" s="5" t="n"/>
      <c r="CA849" s="5" t="n"/>
      <c r="CB849" s="5" t="n"/>
      <c r="CC849" s="5" t="n"/>
      <c r="CD849" s="5" t="n"/>
      <c r="CE849" s="5" t="n"/>
      <c r="CF849" s="5" t="n"/>
    </row>
    <row r="850">
      <c r="A850" s="171" t="n"/>
      <c r="B850" s="171" t="n"/>
      <c r="C850" s="171" t="n"/>
      <c r="D850" s="170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  <c r="BX850" s="5" t="n"/>
      <c r="BY850" s="5" t="n"/>
      <c r="BZ850" s="5" t="n"/>
      <c r="CA850" s="5" t="n"/>
      <c r="CB850" s="5" t="n"/>
      <c r="CC850" s="5" t="n"/>
      <c r="CD850" s="5" t="n"/>
      <c r="CE850" s="5" t="n"/>
      <c r="CF850" s="5" t="n"/>
    </row>
    <row r="851">
      <c r="A851" s="171" t="n"/>
      <c r="B851" s="171" t="n"/>
      <c r="C851" s="171" t="n"/>
      <c r="D851" s="170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  <c r="BX851" s="5" t="n"/>
      <c r="BY851" s="5" t="n"/>
      <c r="BZ851" s="5" t="n"/>
      <c r="CA851" s="5" t="n"/>
      <c r="CB851" s="5" t="n"/>
      <c r="CC851" s="5" t="n"/>
      <c r="CD851" s="5" t="n"/>
      <c r="CE851" s="5" t="n"/>
      <c r="CF851" s="5" t="n"/>
    </row>
    <row r="852">
      <c r="A852" s="171" t="n"/>
      <c r="B852" s="171" t="n"/>
      <c r="C852" s="171" t="n"/>
      <c r="D852" s="170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  <c r="BX852" s="5" t="n"/>
      <c r="BY852" s="5" t="n"/>
      <c r="BZ852" s="5" t="n"/>
      <c r="CA852" s="5" t="n"/>
      <c r="CB852" s="5" t="n"/>
      <c r="CC852" s="5" t="n"/>
      <c r="CD852" s="5" t="n"/>
      <c r="CE852" s="5" t="n"/>
      <c r="CF852" s="5" t="n"/>
    </row>
    <row r="853">
      <c r="A853" s="171" t="n"/>
      <c r="B853" s="171" t="n"/>
      <c r="C853" s="171" t="n"/>
      <c r="D853" s="170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  <c r="BX853" s="5" t="n"/>
      <c r="BY853" s="5" t="n"/>
      <c r="BZ853" s="5" t="n"/>
      <c r="CA853" s="5" t="n"/>
      <c r="CB853" s="5" t="n"/>
      <c r="CC853" s="5" t="n"/>
      <c r="CD853" s="5" t="n"/>
      <c r="CE853" s="5" t="n"/>
      <c r="CF853" s="5" t="n"/>
    </row>
    <row r="854">
      <c r="A854" s="171" t="n"/>
      <c r="B854" s="171" t="n"/>
      <c r="C854" s="171" t="n"/>
      <c r="D854" s="170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  <c r="BX854" s="5" t="n"/>
      <c r="BY854" s="5" t="n"/>
      <c r="BZ854" s="5" t="n"/>
      <c r="CA854" s="5" t="n"/>
      <c r="CB854" s="5" t="n"/>
      <c r="CC854" s="5" t="n"/>
      <c r="CD854" s="5" t="n"/>
      <c r="CE854" s="5" t="n"/>
      <c r="CF854" s="5" t="n"/>
    </row>
    <row r="855">
      <c r="A855" s="171" t="n"/>
      <c r="B855" s="171" t="n"/>
      <c r="C855" s="171" t="n"/>
      <c r="D855" s="170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  <c r="BX855" s="5" t="n"/>
      <c r="BY855" s="5" t="n"/>
      <c r="BZ855" s="5" t="n"/>
      <c r="CA855" s="5" t="n"/>
      <c r="CB855" s="5" t="n"/>
      <c r="CC855" s="5" t="n"/>
      <c r="CD855" s="5" t="n"/>
      <c r="CE855" s="5" t="n"/>
      <c r="CF855" s="5" t="n"/>
    </row>
    <row r="856">
      <c r="A856" s="171" t="n"/>
      <c r="B856" s="171" t="n"/>
      <c r="C856" s="171" t="n"/>
      <c r="D856" s="170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  <c r="BX856" s="5" t="n"/>
      <c r="BY856" s="5" t="n"/>
      <c r="BZ856" s="5" t="n"/>
      <c r="CA856" s="5" t="n"/>
      <c r="CB856" s="5" t="n"/>
      <c r="CC856" s="5" t="n"/>
      <c r="CD856" s="5" t="n"/>
      <c r="CE856" s="5" t="n"/>
      <c r="CF856" s="5" t="n"/>
    </row>
    <row r="857">
      <c r="A857" s="171" t="n"/>
      <c r="B857" s="171" t="n"/>
      <c r="C857" s="171" t="n"/>
      <c r="D857" s="170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  <c r="BX857" s="5" t="n"/>
      <c r="BY857" s="5" t="n"/>
      <c r="BZ857" s="5" t="n"/>
      <c r="CA857" s="5" t="n"/>
      <c r="CB857" s="5" t="n"/>
      <c r="CC857" s="5" t="n"/>
      <c r="CD857" s="5" t="n"/>
      <c r="CE857" s="5" t="n"/>
      <c r="CF857" s="5" t="n"/>
    </row>
    <row r="858">
      <c r="A858" s="171" t="n"/>
      <c r="B858" s="171" t="n"/>
      <c r="C858" s="171" t="n"/>
      <c r="D858" s="170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  <c r="BX858" s="5" t="n"/>
      <c r="BY858" s="5" t="n"/>
      <c r="BZ858" s="5" t="n"/>
      <c r="CA858" s="5" t="n"/>
      <c r="CB858" s="5" t="n"/>
      <c r="CC858" s="5" t="n"/>
      <c r="CD858" s="5" t="n"/>
      <c r="CE858" s="5" t="n"/>
      <c r="CF858" s="5" t="n"/>
    </row>
    <row r="859">
      <c r="A859" s="171" t="n"/>
      <c r="B859" s="171" t="n"/>
      <c r="C859" s="171" t="n"/>
      <c r="D859" s="170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  <c r="BX859" s="5" t="n"/>
      <c r="BY859" s="5" t="n"/>
      <c r="BZ859" s="5" t="n"/>
      <c r="CA859" s="5" t="n"/>
      <c r="CB859" s="5" t="n"/>
      <c r="CC859" s="5" t="n"/>
      <c r="CD859" s="5" t="n"/>
      <c r="CE859" s="5" t="n"/>
      <c r="CF859" s="5" t="n"/>
    </row>
    <row r="860">
      <c r="A860" s="171" t="n"/>
      <c r="B860" s="171" t="n"/>
      <c r="C860" s="171" t="n"/>
      <c r="D860" s="170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  <c r="BX860" s="5" t="n"/>
      <c r="BY860" s="5" t="n"/>
      <c r="BZ860" s="5" t="n"/>
      <c r="CA860" s="5" t="n"/>
      <c r="CB860" s="5" t="n"/>
      <c r="CC860" s="5" t="n"/>
      <c r="CD860" s="5" t="n"/>
      <c r="CE860" s="5" t="n"/>
      <c r="CF860" s="5" t="n"/>
    </row>
    <row r="861">
      <c r="A861" s="171" t="n"/>
      <c r="B861" s="171" t="n"/>
      <c r="C861" s="171" t="n"/>
      <c r="D861" s="170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  <c r="BX861" s="5" t="n"/>
      <c r="BY861" s="5" t="n"/>
      <c r="BZ861" s="5" t="n"/>
      <c r="CA861" s="5" t="n"/>
      <c r="CB861" s="5" t="n"/>
      <c r="CC861" s="5" t="n"/>
      <c r="CD861" s="5" t="n"/>
      <c r="CE861" s="5" t="n"/>
      <c r="CF861" s="5" t="n"/>
    </row>
    <row r="862">
      <c r="A862" s="171" t="n"/>
      <c r="B862" s="171" t="n"/>
      <c r="C862" s="171" t="n"/>
      <c r="D862" s="170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  <c r="BX862" s="5" t="n"/>
      <c r="BY862" s="5" t="n"/>
      <c r="BZ862" s="5" t="n"/>
      <c r="CA862" s="5" t="n"/>
      <c r="CB862" s="5" t="n"/>
      <c r="CC862" s="5" t="n"/>
      <c r="CD862" s="5" t="n"/>
      <c r="CE862" s="5" t="n"/>
      <c r="CF862" s="5" t="n"/>
    </row>
    <row r="863">
      <c r="A863" s="171" t="n"/>
      <c r="B863" s="171" t="n"/>
      <c r="C863" s="171" t="n"/>
      <c r="D863" s="170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  <c r="BX863" s="5" t="n"/>
      <c r="BY863" s="5" t="n"/>
      <c r="BZ863" s="5" t="n"/>
      <c r="CA863" s="5" t="n"/>
      <c r="CB863" s="5" t="n"/>
      <c r="CC863" s="5" t="n"/>
      <c r="CD863" s="5" t="n"/>
      <c r="CE863" s="5" t="n"/>
      <c r="CF863" s="5" t="n"/>
    </row>
    <row r="864">
      <c r="A864" s="171" t="n"/>
      <c r="B864" s="171" t="n"/>
      <c r="C864" s="171" t="n"/>
      <c r="D864" s="170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  <c r="BX864" s="5" t="n"/>
      <c r="BY864" s="5" t="n"/>
      <c r="BZ864" s="5" t="n"/>
      <c r="CA864" s="5" t="n"/>
      <c r="CB864" s="5" t="n"/>
      <c r="CC864" s="5" t="n"/>
      <c r="CD864" s="5" t="n"/>
      <c r="CE864" s="5" t="n"/>
      <c r="CF864" s="5" t="n"/>
    </row>
    <row r="865">
      <c r="A865" s="171" t="n"/>
      <c r="B865" s="171" t="n"/>
      <c r="C865" s="171" t="n"/>
      <c r="D865" s="170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  <c r="BX865" s="5" t="n"/>
      <c r="BY865" s="5" t="n"/>
      <c r="BZ865" s="5" t="n"/>
      <c r="CA865" s="5" t="n"/>
      <c r="CB865" s="5" t="n"/>
      <c r="CC865" s="5" t="n"/>
      <c r="CD865" s="5" t="n"/>
      <c r="CE865" s="5" t="n"/>
      <c r="CF865" s="5" t="n"/>
    </row>
    <row r="866">
      <c r="A866" s="171" t="n"/>
      <c r="B866" s="171" t="n"/>
      <c r="C866" s="171" t="n"/>
      <c r="D866" s="170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  <c r="BX866" s="5" t="n"/>
      <c r="BY866" s="5" t="n"/>
      <c r="BZ866" s="5" t="n"/>
      <c r="CA866" s="5" t="n"/>
      <c r="CB866" s="5" t="n"/>
      <c r="CC866" s="5" t="n"/>
      <c r="CD866" s="5" t="n"/>
      <c r="CE866" s="5" t="n"/>
      <c r="CF866" s="5" t="n"/>
    </row>
    <row r="867">
      <c r="A867" s="171" t="n"/>
      <c r="B867" s="171" t="n"/>
      <c r="C867" s="171" t="n"/>
      <c r="D867" s="170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  <c r="BX867" s="5" t="n"/>
      <c r="BY867" s="5" t="n"/>
      <c r="BZ867" s="5" t="n"/>
      <c r="CA867" s="5" t="n"/>
      <c r="CB867" s="5" t="n"/>
      <c r="CC867" s="5" t="n"/>
      <c r="CD867" s="5" t="n"/>
      <c r="CE867" s="5" t="n"/>
      <c r="CF867" s="5" t="n"/>
    </row>
    <row r="868">
      <c r="A868" s="171" t="n"/>
      <c r="B868" s="171" t="n"/>
      <c r="C868" s="171" t="n"/>
      <c r="D868" s="170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  <c r="BX868" s="5" t="n"/>
      <c r="BY868" s="5" t="n"/>
      <c r="BZ868" s="5" t="n"/>
      <c r="CA868" s="5" t="n"/>
      <c r="CB868" s="5" t="n"/>
      <c r="CC868" s="5" t="n"/>
      <c r="CD868" s="5" t="n"/>
      <c r="CE868" s="5" t="n"/>
      <c r="CF868" s="5" t="n"/>
    </row>
    <row r="869">
      <c r="A869" s="171" t="n"/>
      <c r="B869" s="171" t="n"/>
      <c r="C869" s="171" t="n"/>
      <c r="D869" s="170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  <c r="BX869" s="5" t="n"/>
      <c r="BY869" s="5" t="n"/>
      <c r="BZ869" s="5" t="n"/>
      <c r="CA869" s="5" t="n"/>
      <c r="CB869" s="5" t="n"/>
      <c r="CC869" s="5" t="n"/>
      <c r="CD869" s="5" t="n"/>
      <c r="CE869" s="5" t="n"/>
      <c r="CF869" s="5" t="n"/>
    </row>
    <row r="870">
      <c r="A870" s="171" t="n"/>
      <c r="B870" s="171" t="n"/>
      <c r="C870" s="171" t="n"/>
      <c r="D870" s="170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  <c r="BX870" s="5" t="n"/>
      <c r="BY870" s="5" t="n"/>
      <c r="BZ870" s="5" t="n"/>
      <c r="CA870" s="5" t="n"/>
      <c r="CB870" s="5" t="n"/>
      <c r="CC870" s="5" t="n"/>
      <c r="CD870" s="5" t="n"/>
      <c r="CE870" s="5" t="n"/>
      <c r="CF870" s="5" t="n"/>
    </row>
    <row r="871">
      <c r="A871" s="171" t="n"/>
      <c r="B871" s="171" t="n"/>
      <c r="C871" s="171" t="n"/>
      <c r="D871" s="170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  <c r="BX871" s="5" t="n"/>
      <c r="BY871" s="5" t="n"/>
      <c r="BZ871" s="5" t="n"/>
      <c r="CA871" s="5" t="n"/>
      <c r="CB871" s="5" t="n"/>
      <c r="CC871" s="5" t="n"/>
      <c r="CD871" s="5" t="n"/>
      <c r="CE871" s="5" t="n"/>
      <c r="CF871" s="5" t="n"/>
    </row>
    <row r="872">
      <c r="A872" s="171" t="n"/>
      <c r="B872" s="171" t="n"/>
      <c r="C872" s="171" t="n"/>
      <c r="D872" s="170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  <c r="BX872" s="5" t="n"/>
      <c r="BY872" s="5" t="n"/>
      <c r="BZ872" s="5" t="n"/>
      <c r="CA872" s="5" t="n"/>
      <c r="CB872" s="5" t="n"/>
      <c r="CC872" s="5" t="n"/>
      <c r="CD872" s="5" t="n"/>
      <c r="CE872" s="5" t="n"/>
      <c r="CF872" s="5" t="n"/>
    </row>
    <row r="873">
      <c r="A873" s="171" t="n"/>
      <c r="B873" s="171" t="n"/>
      <c r="C873" s="171" t="n"/>
      <c r="D873" s="170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  <c r="BX873" s="5" t="n"/>
      <c r="BY873" s="5" t="n"/>
      <c r="BZ873" s="5" t="n"/>
      <c r="CA873" s="5" t="n"/>
      <c r="CB873" s="5" t="n"/>
      <c r="CC873" s="5" t="n"/>
      <c r="CD873" s="5" t="n"/>
      <c r="CE873" s="5" t="n"/>
      <c r="CF873" s="5" t="n"/>
    </row>
    <row r="874">
      <c r="A874" s="171" t="n"/>
      <c r="B874" s="171" t="n"/>
      <c r="C874" s="171" t="n"/>
      <c r="D874" s="170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  <c r="BX874" s="5" t="n"/>
      <c r="BY874" s="5" t="n"/>
      <c r="BZ874" s="5" t="n"/>
      <c r="CA874" s="5" t="n"/>
      <c r="CB874" s="5" t="n"/>
      <c r="CC874" s="5" t="n"/>
      <c r="CD874" s="5" t="n"/>
      <c r="CE874" s="5" t="n"/>
      <c r="CF874" s="5" t="n"/>
    </row>
    <row r="875">
      <c r="A875" s="171" t="n"/>
      <c r="B875" s="171" t="n"/>
      <c r="C875" s="171" t="n"/>
      <c r="D875" s="170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  <c r="BX875" s="5" t="n"/>
      <c r="BY875" s="5" t="n"/>
      <c r="BZ875" s="5" t="n"/>
      <c r="CA875" s="5" t="n"/>
      <c r="CB875" s="5" t="n"/>
      <c r="CC875" s="5" t="n"/>
      <c r="CD875" s="5" t="n"/>
      <c r="CE875" s="5" t="n"/>
      <c r="CF875" s="5" t="n"/>
    </row>
    <row r="876">
      <c r="A876" s="171" t="n"/>
      <c r="B876" s="171" t="n"/>
      <c r="C876" s="171" t="n"/>
      <c r="D876" s="170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  <c r="BX876" s="5" t="n"/>
      <c r="BY876" s="5" t="n"/>
      <c r="BZ876" s="5" t="n"/>
      <c r="CA876" s="5" t="n"/>
      <c r="CB876" s="5" t="n"/>
      <c r="CC876" s="5" t="n"/>
      <c r="CD876" s="5" t="n"/>
      <c r="CE876" s="5" t="n"/>
      <c r="CF876" s="5" t="n"/>
    </row>
    <row r="877">
      <c r="A877" s="171" t="n"/>
      <c r="B877" s="171" t="n"/>
      <c r="C877" s="171" t="n"/>
      <c r="D877" s="170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  <c r="BX877" s="5" t="n"/>
      <c r="BY877" s="5" t="n"/>
      <c r="BZ877" s="5" t="n"/>
      <c r="CA877" s="5" t="n"/>
      <c r="CB877" s="5" t="n"/>
      <c r="CC877" s="5" t="n"/>
      <c r="CD877" s="5" t="n"/>
      <c r="CE877" s="5" t="n"/>
      <c r="CF877" s="5" t="n"/>
    </row>
    <row r="878">
      <c r="A878" s="171" t="n"/>
      <c r="B878" s="171" t="n"/>
      <c r="C878" s="171" t="n"/>
      <c r="D878" s="170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  <c r="BX878" s="5" t="n"/>
      <c r="BY878" s="5" t="n"/>
      <c r="BZ878" s="5" t="n"/>
      <c r="CA878" s="5" t="n"/>
      <c r="CB878" s="5" t="n"/>
      <c r="CC878" s="5" t="n"/>
      <c r="CD878" s="5" t="n"/>
      <c r="CE878" s="5" t="n"/>
      <c r="CF878" s="5" t="n"/>
    </row>
    <row r="879">
      <c r="A879" s="171" t="n"/>
      <c r="B879" s="171" t="n"/>
      <c r="C879" s="171" t="n"/>
      <c r="D879" s="170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  <c r="BX879" s="5" t="n"/>
      <c r="BY879" s="5" t="n"/>
      <c r="BZ879" s="5" t="n"/>
      <c r="CA879" s="5" t="n"/>
      <c r="CB879" s="5" t="n"/>
      <c r="CC879" s="5" t="n"/>
      <c r="CD879" s="5" t="n"/>
      <c r="CE879" s="5" t="n"/>
      <c r="CF879" s="5" t="n"/>
    </row>
    <row r="880">
      <c r="A880" s="171" t="n"/>
      <c r="B880" s="171" t="n"/>
      <c r="C880" s="171" t="n"/>
      <c r="D880" s="170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  <c r="BX880" s="5" t="n"/>
      <c r="BY880" s="5" t="n"/>
      <c r="BZ880" s="5" t="n"/>
      <c r="CA880" s="5" t="n"/>
      <c r="CB880" s="5" t="n"/>
      <c r="CC880" s="5" t="n"/>
      <c r="CD880" s="5" t="n"/>
      <c r="CE880" s="5" t="n"/>
      <c r="CF880" s="5" t="n"/>
    </row>
    <row r="881">
      <c r="A881" s="171" t="n"/>
      <c r="B881" s="171" t="n"/>
      <c r="C881" s="171" t="n"/>
      <c r="D881" s="170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  <c r="BX881" s="5" t="n"/>
      <c r="BY881" s="5" t="n"/>
      <c r="BZ881" s="5" t="n"/>
      <c r="CA881" s="5" t="n"/>
      <c r="CB881" s="5" t="n"/>
      <c r="CC881" s="5" t="n"/>
      <c r="CD881" s="5" t="n"/>
      <c r="CE881" s="5" t="n"/>
      <c r="CF881" s="5" t="n"/>
    </row>
    <row r="882">
      <c r="A882" s="171" t="n"/>
      <c r="B882" s="171" t="n"/>
      <c r="C882" s="171" t="n"/>
      <c r="D882" s="170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  <c r="BX882" s="5" t="n"/>
      <c r="BY882" s="5" t="n"/>
      <c r="BZ882" s="5" t="n"/>
      <c r="CA882" s="5" t="n"/>
      <c r="CB882" s="5" t="n"/>
      <c r="CC882" s="5" t="n"/>
      <c r="CD882" s="5" t="n"/>
      <c r="CE882" s="5" t="n"/>
      <c r="CF882" s="5" t="n"/>
    </row>
    <row r="883">
      <c r="A883" s="171" t="n"/>
      <c r="B883" s="171" t="n"/>
      <c r="C883" s="171" t="n"/>
      <c r="D883" s="170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  <c r="BX883" s="5" t="n"/>
      <c r="BY883" s="5" t="n"/>
      <c r="BZ883" s="5" t="n"/>
      <c r="CA883" s="5" t="n"/>
      <c r="CB883" s="5" t="n"/>
      <c r="CC883" s="5" t="n"/>
      <c r="CD883" s="5" t="n"/>
      <c r="CE883" s="5" t="n"/>
      <c r="CF883" s="5" t="n"/>
    </row>
    <row r="884">
      <c r="A884" s="171" t="n"/>
      <c r="B884" s="171" t="n"/>
      <c r="C884" s="171" t="n"/>
      <c r="D884" s="170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  <c r="BX884" s="5" t="n"/>
      <c r="BY884" s="5" t="n"/>
      <c r="BZ884" s="5" t="n"/>
      <c r="CA884" s="5" t="n"/>
      <c r="CB884" s="5" t="n"/>
      <c r="CC884" s="5" t="n"/>
      <c r="CD884" s="5" t="n"/>
      <c r="CE884" s="5" t="n"/>
      <c r="CF884" s="5" t="n"/>
    </row>
    <row r="885">
      <c r="A885" s="171" t="n"/>
      <c r="B885" s="171" t="n"/>
      <c r="C885" s="171" t="n"/>
      <c r="D885" s="170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  <c r="BX885" s="5" t="n"/>
      <c r="BY885" s="5" t="n"/>
      <c r="BZ885" s="5" t="n"/>
      <c r="CA885" s="5" t="n"/>
      <c r="CB885" s="5" t="n"/>
      <c r="CC885" s="5" t="n"/>
      <c r="CD885" s="5" t="n"/>
      <c r="CE885" s="5" t="n"/>
      <c r="CF885" s="5" t="n"/>
    </row>
    <row r="886">
      <c r="A886" s="171" t="n"/>
      <c r="B886" s="171" t="n"/>
      <c r="C886" s="171" t="n"/>
      <c r="D886" s="170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  <c r="BX886" s="5" t="n"/>
      <c r="BY886" s="5" t="n"/>
      <c r="BZ886" s="5" t="n"/>
      <c r="CA886" s="5" t="n"/>
      <c r="CB886" s="5" t="n"/>
      <c r="CC886" s="5" t="n"/>
      <c r="CD886" s="5" t="n"/>
      <c r="CE886" s="5" t="n"/>
      <c r="CF886" s="5" t="n"/>
    </row>
    <row r="887">
      <c r="A887" s="171" t="n"/>
      <c r="B887" s="171" t="n"/>
      <c r="C887" s="171" t="n"/>
      <c r="D887" s="170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  <c r="BX887" s="5" t="n"/>
      <c r="BY887" s="5" t="n"/>
      <c r="BZ887" s="5" t="n"/>
      <c r="CA887" s="5" t="n"/>
      <c r="CB887" s="5" t="n"/>
      <c r="CC887" s="5" t="n"/>
      <c r="CD887" s="5" t="n"/>
      <c r="CE887" s="5" t="n"/>
      <c r="CF887" s="5" t="n"/>
    </row>
    <row r="888">
      <c r="A888" s="171" t="n"/>
      <c r="B888" s="171" t="n"/>
      <c r="C888" s="171" t="n"/>
      <c r="D888" s="170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  <c r="BX888" s="5" t="n"/>
      <c r="BY888" s="5" t="n"/>
      <c r="BZ888" s="5" t="n"/>
      <c r="CA888" s="5" t="n"/>
      <c r="CB888" s="5" t="n"/>
      <c r="CC888" s="5" t="n"/>
      <c r="CD888" s="5" t="n"/>
      <c r="CE888" s="5" t="n"/>
      <c r="CF888" s="5" t="n"/>
    </row>
    <row r="889">
      <c r="A889" s="171" t="n"/>
      <c r="B889" s="171" t="n"/>
      <c r="C889" s="171" t="n"/>
      <c r="D889" s="170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  <c r="CE889" s="5" t="n"/>
      <c r="CF889" s="5" t="n"/>
    </row>
    <row r="890">
      <c r="A890" s="171" t="n"/>
      <c r="B890" s="171" t="n"/>
      <c r="C890" s="171" t="n"/>
      <c r="D890" s="170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  <c r="BX890" s="5" t="n"/>
      <c r="BY890" s="5" t="n"/>
      <c r="BZ890" s="5" t="n"/>
      <c r="CA890" s="5" t="n"/>
      <c r="CB890" s="5" t="n"/>
      <c r="CC890" s="5" t="n"/>
      <c r="CD890" s="5" t="n"/>
      <c r="CE890" s="5" t="n"/>
      <c r="CF890" s="5" t="n"/>
    </row>
    <row r="891">
      <c r="A891" s="171" t="n"/>
      <c r="B891" s="171" t="n"/>
      <c r="C891" s="171" t="n"/>
      <c r="D891" s="170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  <c r="BX891" s="5" t="n"/>
      <c r="BY891" s="5" t="n"/>
      <c r="BZ891" s="5" t="n"/>
      <c r="CA891" s="5" t="n"/>
      <c r="CB891" s="5" t="n"/>
      <c r="CC891" s="5" t="n"/>
      <c r="CD891" s="5" t="n"/>
      <c r="CE891" s="5" t="n"/>
      <c r="CF891" s="5" t="n"/>
    </row>
    <row r="892">
      <c r="A892" s="171" t="n"/>
      <c r="B892" s="171" t="n"/>
      <c r="C892" s="171" t="n"/>
      <c r="D892" s="170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  <c r="BX892" s="5" t="n"/>
      <c r="BY892" s="5" t="n"/>
      <c r="BZ892" s="5" t="n"/>
      <c r="CA892" s="5" t="n"/>
      <c r="CB892" s="5" t="n"/>
      <c r="CC892" s="5" t="n"/>
      <c r="CD892" s="5" t="n"/>
      <c r="CE892" s="5" t="n"/>
      <c r="CF892" s="5" t="n"/>
    </row>
    <row r="893">
      <c r="A893" s="171" t="n"/>
      <c r="B893" s="171" t="n"/>
      <c r="C893" s="171" t="n"/>
      <c r="D893" s="170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  <c r="BX893" s="5" t="n"/>
      <c r="BY893" s="5" t="n"/>
      <c r="BZ893" s="5" t="n"/>
      <c r="CA893" s="5" t="n"/>
      <c r="CB893" s="5" t="n"/>
      <c r="CC893" s="5" t="n"/>
      <c r="CD893" s="5" t="n"/>
      <c r="CE893" s="5" t="n"/>
      <c r="CF893" s="5" t="n"/>
    </row>
    <row r="894">
      <c r="A894" s="171" t="n"/>
      <c r="B894" s="171" t="n"/>
      <c r="C894" s="171" t="n"/>
      <c r="D894" s="170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  <c r="BX894" s="5" t="n"/>
      <c r="BY894" s="5" t="n"/>
      <c r="BZ894" s="5" t="n"/>
      <c r="CA894" s="5" t="n"/>
      <c r="CB894" s="5" t="n"/>
      <c r="CC894" s="5" t="n"/>
      <c r="CD894" s="5" t="n"/>
      <c r="CE894" s="5" t="n"/>
      <c r="CF894" s="5" t="n"/>
    </row>
    <row r="895">
      <c r="A895" s="171" t="n"/>
      <c r="B895" s="171" t="n"/>
      <c r="C895" s="171" t="n"/>
      <c r="D895" s="170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  <c r="BX895" s="5" t="n"/>
      <c r="BY895" s="5" t="n"/>
      <c r="BZ895" s="5" t="n"/>
      <c r="CA895" s="5" t="n"/>
      <c r="CB895" s="5" t="n"/>
      <c r="CC895" s="5" t="n"/>
      <c r="CD895" s="5" t="n"/>
      <c r="CE895" s="5" t="n"/>
      <c r="CF895" s="5" t="n"/>
    </row>
    <row r="896">
      <c r="A896" s="171" t="n"/>
      <c r="B896" s="171" t="n"/>
      <c r="C896" s="171" t="n"/>
      <c r="D896" s="170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  <c r="BX896" s="5" t="n"/>
      <c r="BY896" s="5" t="n"/>
      <c r="BZ896" s="5" t="n"/>
      <c r="CA896" s="5" t="n"/>
      <c r="CB896" s="5" t="n"/>
      <c r="CC896" s="5" t="n"/>
      <c r="CD896" s="5" t="n"/>
      <c r="CE896" s="5" t="n"/>
      <c r="CF896" s="5" t="n"/>
    </row>
    <row r="897">
      <c r="A897" s="171" t="n"/>
      <c r="B897" s="171" t="n"/>
      <c r="C897" s="171" t="n"/>
      <c r="D897" s="170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  <c r="BX897" s="5" t="n"/>
      <c r="BY897" s="5" t="n"/>
      <c r="BZ897" s="5" t="n"/>
      <c r="CA897" s="5" t="n"/>
      <c r="CB897" s="5" t="n"/>
      <c r="CC897" s="5" t="n"/>
      <c r="CD897" s="5" t="n"/>
      <c r="CE897" s="5" t="n"/>
      <c r="CF897" s="5" t="n"/>
    </row>
    <row r="898">
      <c r="A898" s="171" t="n"/>
      <c r="B898" s="171" t="n"/>
      <c r="C898" s="171" t="n"/>
      <c r="D898" s="170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  <c r="BX898" s="5" t="n"/>
      <c r="BY898" s="5" t="n"/>
      <c r="BZ898" s="5" t="n"/>
      <c r="CA898" s="5" t="n"/>
      <c r="CB898" s="5" t="n"/>
      <c r="CC898" s="5" t="n"/>
      <c r="CD898" s="5" t="n"/>
      <c r="CE898" s="5" t="n"/>
      <c r="CF898" s="5" t="n"/>
    </row>
    <row r="899">
      <c r="A899" s="171" t="n"/>
      <c r="B899" s="171" t="n"/>
      <c r="C899" s="171" t="n"/>
      <c r="D899" s="170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  <c r="BX899" s="5" t="n"/>
      <c r="BY899" s="5" t="n"/>
      <c r="BZ899" s="5" t="n"/>
      <c r="CA899" s="5" t="n"/>
      <c r="CB899" s="5" t="n"/>
      <c r="CC899" s="5" t="n"/>
      <c r="CD899" s="5" t="n"/>
      <c r="CE899" s="5" t="n"/>
      <c r="CF899" s="5" t="n"/>
    </row>
    <row r="900">
      <c r="A900" s="171" t="n"/>
      <c r="B900" s="171" t="n"/>
      <c r="C900" s="171" t="n"/>
      <c r="D900" s="170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  <c r="BX900" s="5" t="n"/>
      <c r="BY900" s="5" t="n"/>
      <c r="BZ900" s="5" t="n"/>
      <c r="CA900" s="5" t="n"/>
      <c r="CB900" s="5" t="n"/>
      <c r="CC900" s="5" t="n"/>
      <c r="CD900" s="5" t="n"/>
      <c r="CE900" s="5" t="n"/>
      <c r="CF900" s="5" t="n"/>
    </row>
    <row r="901">
      <c r="A901" s="171" t="n"/>
      <c r="B901" s="171" t="n"/>
      <c r="C901" s="171" t="n"/>
      <c r="D901" s="170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  <c r="BX901" s="5" t="n"/>
      <c r="BY901" s="5" t="n"/>
      <c r="BZ901" s="5" t="n"/>
      <c r="CA901" s="5" t="n"/>
      <c r="CB901" s="5" t="n"/>
      <c r="CC901" s="5" t="n"/>
      <c r="CD901" s="5" t="n"/>
      <c r="CE901" s="5" t="n"/>
      <c r="CF901" s="5" t="n"/>
    </row>
    <row r="902">
      <c r="A902" s="171" t="n"/>
      <c r="B902" s="171" t="n"/>
      <c r="C902" s="171" t="n"/>
      <c r="D902" s="170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  <c r="BX902" s="5" t="n"/>
      <c r="BY902" s="5" t="n"/>
      <c r="BZ902" s="5" t="n"/>
      <c r="CA902" s="5" t="n"/>
      <c r="CB902" s="5" t="n"/>
      <c r="CC902" s="5" t="n"/>
      <c r="CD902" s="5" t="n"/>
      <c r="CE902" s="5" t="n"/>
      <c r="CF902" s="5" t="n"/>
    </row>
    <row r="903">
      <c r="A903" s="171" t="n"/>
      <c r="B903" s="171" t="n"/>
      <c r="C903" s="171" t="n"/>
      <c r="D903" s="170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  <c r="BX903" s="5" t="n"/>
      <c r="BY903" s="5" t="n"/>
      <c r="BZ903" s="5" t="n"/>
      <c r="CA903" s="5" t="n"/>
      <c r="CB903" s="5" t="n"/>
      <c r="CC903" s="5" t="n"/>
      <c r="CD903" s="5" t="n"/>
      <c r="CE903" s="5" t="n"/>
      <c r="CF903" s="5" t="n"/>
    </row>
    <row r="904">
      <c r="A904" s="171" t="n"/>
      <c r="B904" s="171" t="n"/>
      <c r="C904" s="171" t="n"/>
      <c r="D904" s="170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  <c r="BX904" s="5" t="n"/>
      <c r="BY904" s="5" t="n"/>
      <c r="BZ904" s="5" t="n"/>
      <c r="CA904" s="5" t="n"/>
      <c r="CB904" s="5" t="n"/>
      <c r="CC904" s="5" t="n"/>
      <c r="CD904" s="5" t="n"/>
      <c r="CE904" s="5" t="n"/>
      <c r="CF904" s="5" t="n"/>
    </row>
    <row r="905">
      <c r="A905" s="171" t="n"/>
      <c r="B905" s="171" t="n"/>
      <c r="C905" s="171" t="n"/>
      <c r="D905" s="170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  <c r="BX905" s="5" t="n"/>
      <c r="BY905" s="5" t="n"/>
      <c r="BZ905" s="5" t="n"/>
      <c r="CA905" s="5" t="n"/>
      <c r="CB905" s="5" t="n"/>
      <c r="CC905" s="5" t="n"/>
      <c r="CD905" s="5" t="n"/>
      <c r="CE905" s="5" t="n"/>
      <c r="CF905" s="5" t="n"/>
    </row>
    <row r="906">
      <c r="A906" s="171" t="n"/>
      <c r="B906" s="171" t="n"/>
      <c r="C906" s="171" t="n"/>
      <c r="D906" s="170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  <c r="BX906" s="5" t="n"/>
      <c r="BY906" s="5" t="n"/>
      <c r="BZ906" s="5" t="n"/>
      <c r="CA906" s="5" t="n"/>
      <c r="CB906" s="5" t="n"/>
      <c r="CC906" s="5" t="n"/>
      <c r="CD906" s="5" t="n"/>
      <c r="CE906" s="5" t="n"/>
      <c r="CF906" s="5" t="n"/>
    </row>
    <row r="907">
      <c r="A907" s="171" t="n"/>
      <c r="B907" s="171" t="n"/>
      <c r="C907" s="171" t="n"/>
      <c r="D907" s="170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  <c r="BX907" s="5" t="n"/>
      <c r="BY907" s="5" t="n"/>
      <c r="BZ907" s="5" t="n"/>
      <c r="CA907" s="5" t="n"/>
      <c r="CB907" s="5" t="n"/>
      <c r="CC907" s="5" t="n"/>
      <c r="CD907" s="5" t="n"/>
      <c r="CE907" s="5" t="n"/>
      <c r="CF907" s="5" t="n"/>
    </row>
    <row r="908">
      <c r="A908" s="171" t="n"/>
      <c r="B908" s="171" t="n"/>
      <c r="C908" s="171" t="n"/>
      <c r="D908" s="170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  <c r="BX908" s="5" t="n"/>
      <c r="BY908" s="5" t="n"/>
      <c r="BZ908" s="5" t="n"/>
      <c r="CA908" s="5" t="n"/>
      <c r="CB908" s="5" t="n"/>
      <c r="CC908" s="5" t="n"/>
      <c r="CD908" s="5" t="n"/>
      <c r="CE908" s="5" t="n"/>
      <c r="CF908" s="5" t="n"/>
    </row>
    <row r="909">
      <c r="A909" s="171" t="n"/>
      <c r="B909" s="171" t="n"/>
      <c r="C909" s="171" t="n"/>
      <c r="D909" s="170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  <c r="BX909" s="5" t="n"/>
      <c r="BY909" s="5" t="n"/>
      <c r="BZ909" s="5" t="n"/>
      <c r="CA909" s="5" t="n"/>
      <c r="CB909" s="5" t="n"/>
      <c r="CC909" s="5" t="n"/>
      <c r="CD909" s="5" t="n"/>
      <c r="CE909" s="5" t="n"/>
      <c r="CF909" s="5" t="n"/>
    </row>
    <row r="910">
      <c r="A910" s="171" t="n"/>
      <c r="B910" s="171" t="n"/>
      <c r="C910" s="171" t="n"/>
      <c r="D910" s="170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  <c r="BX910" s="5" t="n"/>
      <c r="BY910" s="5" t="n"/>
      <c r="BZ910" s="5" t="n"/>
      <c r="CA910" s="5" t="n"/>
      <c r="CB910" s="5" t="n"/>
      <c r="CC910" s="5" t="n"/>
      <c r="CD910" s="5" t="n"/>
      <c r="CE910" s="5" t="n"/>
      <c r="CF910" s="5" t="n"/>
    </row>
    <row r="911">
      <c r="A911" s="171" t="n"/>
      <c r="B911" s="171" t="n"/>
      <c r="C911" s="171" t="n"/>
      <c r="D911" s="170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  <c r="BX911" s="5" t="n"/>
      <c r="BY911" s="5" t="n"/>
      <c r="BZ911" s="5" t="n"/>
      <c r="CA911" s="5" t="n"/>
      <c r="CB911" s="5" t="n"/>
      <c r="CC911" s="5" t="n"/>
      <c r="CD911" s="5" t="n"/>
      <c r="CE911" s="5" t="n"/>
      <c r="CF911" s="5" t="n"/>
    </row>
    <row r="912">
      <c r="A912" s="171" t="n"/>
      <c r="B912" s="171" t="n"/>
      <c r="C912" s="171" t="n"/>
      <c r="D912" s="170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  <c r="BX912" s="5" t="n"/>
      <c r="BY912" s="5" t="n"/>
      <c r="BZ912" s="5" t="n"/>
      <c r="CA912" s="5" t="n"/>
      <c r="CB912" s="5" t="n"/>
      <c r="CC912" s="5" t="n"/>
      <c r="CD912" s="5" t="n"/>
      <c r="CE912" s="5" t="n"/>
      <c r="CF912" s="5" t="n"/>
    </row>
    <row r="913">
      <c r="A913" s="171" t="n"/>
      <c r="B913" s="171" t="n"/>
      <c r="C913" s="171" t="n"/>
      <c r="D913" s="170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  <c r="BX913" s="5" t="n"/>
      <c r="BY913" s="5" t="n"/>
      <c r="BZ913" s="5" t="n"/>
      <c r="CA913" s="5" t="n"/>
      <c r="CB913" s="5" t="n"/>
      <c r="CC913" s="5" t="n"/>
      <c r="CD913" s="5" t="n"/>
      <c r="CE913" s="5" t="n"/>
      <c r="CF913" s="5" t="n"/>
    </row>
    <row r="914">
      <c r="A914" s="171" t="n"/>
      <c r="B914" s="171" t="n"/>
      <c r="C914" s="171" t="n"/>
      <c r="D914" s="170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  <c r="BX914" s="5" t="n"/>
      <c r="BY914" s="5" t="n"/>
      <c r="BZ914" s="5" t="n"/>
      <c r="CA914" s="5" t="n"/>
      <c r="CB914" s="5" t="n"/>
      <c r="CC914" s="5" t="n"/>
      <c r="CD914" s="5" t="n"/>
      <c r="CE914" s="5" t="n"/>
      <c r="CF914" s="5" t="n"/>
    </row>
    <row r="915">
      <c r="A915" s="171" t="n"/>
      <c r="B915" s="171" t="n"/>
      <c r="C915" s="171" t="n"/>
      <c r="D915" s="170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  <c r="BX915" s="5" t="n"/>
      <c r="BY915" s="5" t="n"/>
      <c r="BZ915" s="5" t="n"/>
      <c r="CA915" s="5" t="n"/>
      <c r="CB915" s="5" t="n"/>
      <c r="CC915" s="5" t="n"/>
      <c r="CD915" s="5" t="n"/>
      <c r="CE915" s="5" t="n"/>
      <c r="CF915" s="5" t="n"/>
    </row>
    <row r="916">
      <c r="A916" s="171" t="n"/>
      <c r="B916" s="171" t="n"/>
      <c r="C916" s="171" t="n"/>
      <c r="D916" s="170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  <c r="BX916" s="5" t="n"/>
      <c r="BY916" s="5" t="n"/>
      <c r="BZ916" s="5" t="n"/>
      <c r="CA916" s="5" t="n"/>
      <c r="CB916" s="5" t="n"/>
      <c r="CC916" s="5" t="n"/>
      <c r="CD916" s="5" t="n"/>
      <c r="CE916" s="5" t="n"/>
      <c r="CF916" s="5" t="n"/>
    </row>
    <row r="917">
      <c r="A917" s="171" t="n"/>
      <c r="B917" s="171" t="n"/>
      <c r="C917" s="171" t="n"/>
      <c r="D917" s="170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  <c r="BX917" s="5" t="n"/>
      <c r="BY917" s="5" t="n"/>
      <c r="BZ917" s="5" t="n"/>
      <c r="CA917" s="5" t="n"/>
      <c r="CB917" s="5" t="n"/>
      <c r="CC917" s="5" t="n"/>
      <c r="CD917" s="5" t="n"/>
      <c r="CE917" s="5" t="n"/>
      <c r="CF917" s="5" t="n"/>
    </row>
    <row r="918">
      <c r="A918" s="171" t="n"/>
      <c r="B918" s="171" t="n"/>
      <c r="C918" s="171" t="n"/>
      <c r="D918" s="170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  <c r="BX918" s="5" t="n"/>
      <c r="BY918" s="5" t="n"/>
      <c r="BZ918" s="5" t="n"/>
      <c r="CA918" s="5" t="n"/>
      <c r="CB918" s="5" t="n"/>
      <c r="CC918" s="5" t="n"/>
      <c r="CD918" s="5" t="n"/>
      <c r="CE918" s="5" t="n"/>
      <c r="CF918" s="5" t="n"/>
    </row>
    <row r="919">
      <c r="A919" s="171" t="n"/>
      <c r="B919" s="171" t="n"/>
      <c r="C919" s="171" t="n"/>
      <c r="D919" s="170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  <c r="BX919" s="5" t="n"/>
      <c r="BY919" s="5" t="n"/>
      <c r="BZ919" s="5" t="n"/>
      <c r="CA919" s="5" t="n"/>
      <c r="CB919" s="5" t="n"/>
      <c r="CC919" s="5" t="n"/>
      <c r="CD919" s="5" t="n"/>
      <c r="CE919" s="5" t="n"/>
      <c r="CF919" s="5" t="n"/>
    </row>
    <row r="920">
      <c r="A920" s="171" t="n"/>
      <c r="B920" s="171" t="n"/>
      <c r="C920" s="171" t="n"/>
      <c r="D920" s="170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  <c r="BX920" s="5" t="n"/>
      <c r="BY920" s="5" t="n"/>
      <c r="BZ920" s="5" t="n"/>
      <c r="CA920" s="5" t="n"/>
      <c r="CB920" s="5" t="n"/>
      <c r="CC920" s="5" t="n"/>
      <c r="CD920" s="5" t="n"/>
      <c r="CE920" s="5" t="n"/>
      <c r="CF920" s="5" t="n"/>
    </row>
    <row r="921">
      <c r="A921" s="171" t="n"/>
      <c r="B921" s="171" t="n"/>
      <c r="C921" s="171" t="n"/>
      <c r="D921" s="170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  <c r="BX921" s="5" t="n"/>
      <c r="BY921" s="5" t="n"/>
      <c r="BZ921" s="5" t="n"/>
      <c r="CA921" s="5" t="n"/>
      <c r="CB921" s="5" t="n"/>
      <c r="CC921" s="5" t="n"/>
      <c r="CD921" s="5" t="n"/>
      <c r="CE921" s="5" t="n"/>
      <c r="CF921" s="5" t="n"/>
    </row>
    <row r="922">
      <c r="A922" s="171" t="n"/>
      <c r="B922" s="171" t="n"/>
      <c r="C922" s="171" t="n"/>
      <c r="D922" s="170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  <c r="BX922" s="5" t="n"/>
      <c r="BY922" s="5" t="n"/>
      <c r="BZ922" s="5" t="n"/>
      <c r="CA922" s="5" t="n"/>
      <c r="CB922" s="5" t="n"/>
      <c r="CC922" s="5" t="n"/>
      <c r="CD922" s="5" t="n"/>
      <c r="CE922" s="5" t="n"/>
      <c r="CF922" s="5" t="n"/>
    </row>
    <row r="923">
      <c r="A923" s="171" t="n"/>
      <c r="B923" s="171" t="n"/>
      <c r="C923" s="171" t="n"/>
      <c r="D923" s="170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  <c r="BX923" s="5" t="n"/>
      <c r="BY923" s="5" t="n"/>
      <c r="BZ923" s="5" t="n"/>
      <c r="CA923" s="5" t="n"/>
      <c r="CB923" s="5" t="n"/>
      <c r="CC923" s="5" t="n"/>
      <c r="CD923" s="5" t="n"/>
      <c r="CE923" s="5" t="n"/>
      <c r="CF923" s="5" t="n"/>
    </row>
    <row r="924">
      <c r="A924" s="171" t="n"/>
      <c r="B924" s="171" t="n"/>
      <c r="C924" s="171" t="n"/>
      <c r="D924" s="170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  <c r="BX924" s="5" t="n"/>
      <c r="BY924" s="5" t="n"/>
      <c r="BZ924" s="5" t="n"/>
      <c r="CA924" s="5" t="n"/>
      <c r="CB924" s="5" t="n"/>
      <c r="CC924" s="5" t="n"/>
      <c r="CD924" s="5" t="n"/>
      <c r="CE924" s="5" t="n"/>
      <c r="CF924" s="5" t="n"/>
    </row>
    <row r="925">
      <c r="A925" s="171" t="n"/>
      <c r="B925" s="171" t="n"/>
      <c r="C925" s="171" t="n"/>
      <c r="D925" s="170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  <c r="BX925" s="5" t="n"/>
      <c r="BY925" s="5" t="n"/>
      <c r="BZ925" s="5" t="n"/>
      <c r="CA925" s="5" t="n"/>
      <c r="CB925" s="5" t="n"/>
      <c r="CC925" s="5" t="n"/>
      <c r="CD925" s="5" t="n"/>
      <c r="CE925" s="5" t="n"/>
      <c r="CF925" s="5" t="n"/>
    </row>
    <row r="926">
      <c r="A926" s="171" t="n"/>
      <c r="B926" s="171" t="n"/>
      <c r="C926" s="171" t="n"/>
      <c r="D926" s="170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  <c r="BX926" s="5" t="n"/>
      <c r="BY926" s="5" t="n"/>
      <c r="BZ926" s="5" t="n"/>
      <c r="CA926" s="5" t="n"/>
      <c r="CB926" s="5" t="n"/>
      <c r="CC926" s="5" t="n"/>
      <c r="CD926" s="5" t="n"/>
      <c r="CE926" s="5" t="n"/>
      <c r="CF926" s="5" t="n"/>
    </row>
    <row r="927">
      <c r="A927" s="171" t="n"/>
      <c r="B927" s="171" t="n"/>
      <c r="C927" s="171" t="n"/>
      <c r="D927" s="170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  <c r="BX927" s="5" t="n"/>
      <c r="BY927" s="5" t="n"/>
      <c r="BZ927" s="5" t="n"/>
      <c r="CA927" s="5" t="n"/>
      <c r="CB927" s="5" t="n"/>
      <c r="CC927" s="5" t="n"/>
      <c r="CD927" s="5" t="n"/>
      <c r="CE927" s="5" t="n"/>
      <c r="CF927" s="5" t="n"/>
    </row>
    <row r="928">
      <c r="A928" s="171" t="n"/>
      <c r="B928" s="171" t="n"/>
      <c r="C928" s="171" t="n"/>
      <c r="D928" s="170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  <c r="BX928" s="5" t="n"/>
      <c r="BY928" s="5" t="n"/>
      <c r="BZ928" s="5" t="n"/>
      <c r="CA928" s="5" t="n"/>
      <c r="CB928" s="5" t="n"/>
      <c r="CC928" s="5" t="n"/>
      <c r="CD928" s="5" t="n"/>
      <c r="CE928" s="5" t="n"/>
      <c r="CF928" s="5" t="n"/>
    </row>
    <row r="929">
      <c r="A929" s="171" t="n"/>
      <c r="B929" s="171" t="n"/>
      <c r="C929" s="171" t="n"/>
      <c r="D929" s="170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  <c r="BX929" s="5" t="n"/>
      <c r="BY929" s="5" t="n"/>
      <c r="BZ929" s="5" t="n"/>
      <c r="CA929" s="5" t="n"/>
      <c r="CB929" s="5" t="n"/>
      <c r="CC929" s="5" t="n"/>
      <c r="CD929" s="5" t="n"/>
      <c r="CE929" s="5" t="n"/>
      <c r="CF929" s="5" t="n"/>
    </row>
    <row r="930">
      <c r="A930" s="171" t="n"/>
      <c r="B930" s="171" t="n"/>
      <c r="C930" s="171" t="n"/>
      <c r="D930" s="170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  <c r="BX930" s="5" t="n"/>
      <c r="BY930" s="5" t="n"/>
      <c r="BZ930" s="5" t="n"/>
      <c r="CA930" s="5" t="n"/>
      <c r="CB930" s="5" t="n"/>
      <c r="CC930" s="5" t="n"/>
      <c r="CD930" s="5" t="n"/>
      <c r="CE930" s="5" t="n"/>
      <c r="CF930" s="5" t="n"/>
    </row>
    <row r="931">
      <c r="A931" s="171" t="n"/>
      <c r="B931" s="171" t="n"/>
      <c r="C931" s="171" t="n"/>
      <c r="D931" s="170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  <c r="BX931" s="5" t="n"/>
      <c r="BY931" s="5" t="n"/>
      <c r="BZ931" s="5" t="n"/>
      <c r="CA931" s="5" t="n"/>
      <c r="CB931" s="5" t="n"/>
      <c r="CC931" s="5" t="n"/>
      <c r="CD931" s="5" t="n"/>
      <c r="CE931" s="5" t="n"/>
      <c r="CF931" s="5" t="n"/>
    </row>
    <row r="932">
      <c r="A932" s="171" t="n"/>
      <c r="B932" s="171" t="n"/>
      <c r="C932" s="171" t="n"/>
      <c r="D932" s="170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  <c r="BX932" s="5" t="n"/>
      <c r="BY932" s="5" t="n"/>
      <c r="BZ932" s="5" t="n"/>
      <c r="CA932" s="5" t="n"/>
      <c r="CB932" s="5" t="n"/>
      <c r="CC932" s="5" t="n"/>
      <c r="CD932" s="5" t="n"/>
      <c r="CE932" s="5" t="n"/>
      <c r="CF932" s="5" t="n"/>
    </row>
    <row r="933">
      <c r="A933" s="171" t="n"/>
      <c r="B933" s="171" t="n"/>
      <c r="C933" s="171" t="n"/>
      <c r="D933" s="170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  <c r="BX933" s="5" t="n"/>
      <c r="BY933" s="5" t="n"/>
      <c r="BZ933" s="5" t="n"/>
      <c r="CA933" s="5" t="n"/>
      <c r="CB933" s="5" t="n"/>
      <c r="CC933" s="5" t="n"/>
      <c r="CD933" s="5" t="n"/>
      <c r="CE933" s="5" t="n"/>
      <c r="CF933" s="5" t="n"/>
    </row>
    <row r="934">
      <c r="A934" s="171" t="n"/>
      <c r="B934" s="171" t="n"/>
      <c r="C934" s="171" t="n"/>
      <c r="D934" s="170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  <c r="BX934" s="5" t="n"/>
      <c r="BY934" s="5" t="n"/>
      <c r="BZ934" s="5" t="n"/>
      <c r="CA934" s="5" t="n"/>
      <c r="CB934" s="5" t="n"/>
      <c r="CC934" s="5" t="n"/>
      <c r="CD934" s="5" t="n"/>
      <c r="CE934" s="5" t="n"/>
      <c r="CF934" s="5" t="n"/>
    </row>
    <row r="935">
      <c r="A935" s="171" t="n"/>
      <c r="B935" s="171" t="n"/>
      <c r="C935" s="171" t="n"/>
      <c r="D935" s="170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  <c r="BX935" s="5" t="n"/>
      <c r="BY935" s="5" t="n"/>
      <c r="BZ935" s="5" t="n"/>
      <c r="CA935" s="5" t="n"/>
      <c r="CB935" s="5" t="n"/>
      <c r="CC935" s="5" t="n"/>
      <c r="CD935" s="5" t="n"/>
      <c r="CE935" s="5" t="n"/>
      <c r="CF935" s="5" t="n"/>
    </row>
    <row r="936">
      <c r="A936" s="171" t="n"/>
      <c r="B936" s="171" t="n"/>
      <c r="C936" s="171" t="n"/>
      <c r="D936" s="170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  <c r="BX936" s="5" t="n"/>
      <c r="BY936" s="5" t="n"/>
      <c r="BZ936" s="5" t="n"/>
      <c r="CA936" s="5" t="n"/>
      <c r="CB936" s="5" t="n"/>
      <c r="CC936" s="5" t="n"/>
      <c r="CD936" s="5" t="n"/>
      <c r="CE936" s="5" t="n"/>
      <c r="CF936" s="5" t="n"/>
    </row>
    <row r="937">
      <c r="A937" s="171" t="n"/>
      <c r="B937" s="171" t="n"/>
      <c r="C937" s="171" t="n"/>
      <c r="D937" s="170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  <c r="BX937" s="5" t="n"/>
      <c r="BY937" s="5" t="n"/>
      <c r="BZ937" s="5" t="n"/>
      <c r="CA937" s="5" t="n"/>
      <c r="CB937" s="5" t="n"/>
      <c r="CC937" s="5" t="n"/>
      <c r="CD937" s="5" t="n"/>
      <c r="CE937" s="5" t="n"/>
      <c r="CF937" s="5" t="n"/>
    </row>
    <row r="938">
      <c r="A938" s="171" t="n"/>
      <c r="B938" s="171" t="n"/>
      <c r="C938" s="171" t="n"/>
      <c r="D938" s="170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  <c r="BX938" s="5" t="n"/>
      <c r="BY938" s="5" t="n"/>
      <c r="BZ938" s="5" t="n"/>
      <c r="CA938" s="5" t="n"/>
      <c r="CB938" s="5" t="n"/>
      <c r="CC938" s="5" t="n"/>
      <c r="CD938" s="5" t="n"/>
      <c r="CE938" s="5" t="n"/>
      <c r="CF938" s="5" t="n"/>
    </row>
    <row r="939">
      <c r="A939" s="171" t="n"/>
      <c r="B939" s="171" t="n"/>
      <c r="C939" s="171" t="n"/>
      <c r="D939" s="170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  <c r="BX939" s="5" t="n"/>
      <c r="BY939" s="5" t="n"/>
      <c r="BZ939" s="5" t="n"/>
      <c r="CA939" s="5" t="n"/>
      <c r="CB939" s="5" t="n"/>
      <c r="CC939" s="5" t="n"/>
      <c r="CD939" s="5" t="n"/>
      <c r="CE939" s="5" t="n"/>
      <c r="CF939" s="5" t="n"/>
    </row>
    <row r="940">
      <c r="A940" s="171" t="n"/>
      <c r="B940" s="171" t="n"/>
      <c r="C940" s="171" t="n"/>
      <c r="D940" s="170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  <c r="BX940" s="5" t="n"/>
      <c r="BY940" s="5" t="n"/>
      <c r="BZ940" s="5" t="n"/>
      <c r="CA940" s="5" t="n"/>
      <c r="CB940" s="5" t="n"/>
      <c r="CC940" s="5" t="n"/>
      <c r="CD940" s="5" t="n"/>
      <c r="CE940" s="5" t="n"/>
      <c r="CF940" s="5" t="n"/>
    </row>
    <row r="941">
      <c r="A941" s="171" t="n"/>
      <c r="B941" s="171" t="n"/>
      <c r="C941" s="171" t="n"/>
      <c r="D941" s="170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  <c r="BX941" s="5" t="n"/>
      <c r="BY941" s="5" t="n"/>
      <c r="BZ941" s="5" t="n"/>
      <c r="CA941" s="5" t="n"/>
      <c r="CB941" s="5" t="n"/>
      <c r="CC941" s="5" t="n"/>
      <c r="CD941" s="5" t="n"/>
      <c r="CE941" s="5" t="n"/>
      <c r="CF941" s="5" t="n"/>
    </row>
    <row r="942">
      <c r="A942" s="171" t="n"/>
      <c r="B942" s="171" t="n"/>
      <c r="C942" s="171" t="n"/>
      <c r="D942" s="170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  <c r="BX942" s="5" t="n"/>
      <c r="BY942" s="5" t="n"/>
      <c r="BZ942" s="5" t="n"/>
      <c r="CA942" s="5" t="n"/>
      <c r="CB942" s="5" t="n"/>
      <c r="CC942" s="5" t="n"/>
      <c r="CD942" s="5" t="n"/>
      <c r="CE942" s="5" t="n"/>
      <c r="CF942" s="5" t="n"/>
    </row>
    <row r="943">
      <c r="A943" s="171" t="n"/>
      <c r="B943" s="171" t="n"/>
      <c r="C943" s="171" t="n"/>
      <c r="D943" s="170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  <c r="BX943" s="5" t="n"/>
      <c r="BY943" s="5" t="n"/>
      <c r="BZ943" s="5" t="n"/>
      <c r="CA943" s="5" t="n"/>
      <c r="CB943" s="5" t="n"/>
      <c r="CC943" s="5" t="n"/>
      <c r="CD943" s="5" t="n"/>
      <c r="CE943" s="5" t="n"/>
      <c r="CF943" s="5" t="n"/>
    </row>
    <row r="944">
      <c r="A944" s="171" t="n"/>
      <c r="B944" s="171" t="n"/>
      <c r="C944" s="171" t="n"/>
      <c r="D944" s="170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  <c r="BX944" s="5" t="n"/>
      <c r="BY944" s="5" t="n"/>
      <c r="BZ944" s="5" t="n"/>
      <c r="CA944" s="5" t="n"/>
      <c r="CB944" s="5" t="n"/>
      <c r="CC944" s="5" t="n"/>
      <c r="CD944" s="5" t="n"/>
      <c r="CE944" s="5" t="n"/>
      <c r="CF944" s="5" t="n"/>
    </row>
    <row r="945">
      <c r="A945" s="171" t="n"/>
      <c r="B945" s="171" t="n"/>
      <c r="C945" s="171" t="n"/>
      <c r="D945" s="170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  <c r="BX945" s="5" t="n"/>
      <c r="BY945" s="5" t="n"/>
      <c r="BZ945" s="5" t="n"/>
      <c r="CA945" s="5" t="n"/>
      <c r="CB945" s="5" t="n"/>
      <c r="CC945" s="5" t="n"/>
      <c r="CD945" s="5" t="n"/>
      <c r="CE945" s="5" t="n"/>
      <c r="CF945" s="5" t="n"/>
    </row>
    <row r="946">
      <c r="A946" s="171" t="n"/>
      <c r="B946" s="171" t="n"/>
      <c r="C946" s="171" t="n"/>
      <c r="D946" s="170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  <c r="BX946" s="5" t="n"/>
      <c r="BY946" s="5" t="n"/>
      <c r="BZ946" s="5" t="n"/>
      <c r="CA946" s="5" t="n"/>
      <c r="CB946" s="5" t="n"/>
      <c r="CC946" s="5" t="n"/>
      <c r="CD946" s="5" t="n"/>
      <c r="CE946" s="5" t="n"/>
      <c r="CF946" s="5" t="n"/>
    </row>
    <row r="947">
      <c r="A947" s="171" t="n"/>
      <c r="B947" s="171" t="n"/>
      <c r="C947" s="171" t="n"/>
      <c r="D947" s="170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  <c r="BX947" s="5" t="n"/>
      <c r="BY947" s="5" t="n"/>
      <c r="BZ947" s="5" t="n"/>
      <c r="CA947" s="5" t="n"/>
      <c r="CB947" s="5" t="n"/>
      <c r="CC947" s="5" t="n"/>
      <c r="CD947" s="5" t="n"/>
      <c r="CE947" s="5" t="n"/>
      <c r="CF947" s="5" t="n"/>
    </row>
    <row r="948">
      <c r="A948" s="171" t="n"/>
      <c r="B948" s="171" t="n"/>
      <c r="C948" s="171" t="n"/>
      <c r="D948" s="170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  <c r="BX948" s="5" t="n"/>
      <c r="BY948" s="5" t="n"/>
      <c r="BZ948" s="5" t="n"/>
      <c r="CA948" s="5" t="n"/>
      <c r="CB948" s="5" t="n"/>
      <c r="CC948" s="5" t="n"/>
      <c r="CD948" s="5" t="n"/>
      <c r="CE948" s="5" t="n"/>
      <c r="CF948" s="5" t="n"/>
    </row>
    <row r="949">
      <c r="A949" s="171" t="n"/>
      <c r="B949" s="171" t="n"/>
      <c r="C949" s="171" t="n"/>
      <c r="D949" s="170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  <c r="BX949" s="5" t="n"/>
      <c r="BY949" s="5" t="n"/>
      <c r="BZ949" s="5" t="n"/>
      <c r="CA949" s="5" t="n"/>
      <c r="CB949" s="5" t="n"/>
      <c r="CC949" s="5" t="n"/>
      <c r="CD949" s="5" t="n"/>
      <c r="CE949" s="5" t="n"/>
      <c r="CF949" s="5" t="n"/>
    </row>
    <row r="950">
      <c r="A950" s="171" t="n"/>
      <c r="B950" s="171" t="n"/>
      <c r="C950" s="171" t="n"/>
      <c r="D950" s="170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  <c r="BX950" s="5" t="n"/>
      <c r="BY950" s="5" t="n"/>
      <c r="BZ950" s="5" t="n"/>
      <c r="CA950" s="5" t="n"/>
      <c r="CB950" s="5" t="n"/>
      <c r="CC950" s="5" t="n"/>
      <c r="CD950" s="5" t="n"/>
      <c r="CE950" s="5" t="n"/>
      <c r="CF950" s="5" t="n"/>
    </row>
    <row r="951">
      <c r="A951" s="171" t="n"/>
      <c r="B951" s="171" t="n"/>
      <c r="C951" s="171" t="n"/>
      <c r="D951" s="170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  <c r="BX951" s="5" t="n"/>
      <c r="BY951" s="5" t="n"/>
      <c r="BZ951" s="5" t="n"/>
      <c r="CA951" s="5" t="n"/>
      <c r="CB951" s="5" t="n"/>
      <c r="CC951" s="5" t="n"/>
      <c r="CD951" s="5" t="n"/>
      <c r="CE951" s="5" t="n"/>
      <c r="CF951" s="5" t="n"/>
    </row>
    <row r="952">
      <c r="A952" s="171" t="n"/>
      <c r="B952" s="171" t="n"/>
      <c r="C952" s="171" t="n"/>
      <c r="D952" s="170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  <c r="BX952" s="5" t="n"/>
      <c r="BY952" s="5" t="n"/>
      <c r="BZ952" s="5" t="n"/>
      <c r="CA952" s="5" t="n"/>
      <c r="CB952" s="5" t="n"/>
      <c r="CC952" s="5" t="n"/>
      <c r="CD952" s="5" t="n"/>
      <c r="CE952" s="5" t="n"/>
      <c r="CF952" s="5" t="n"/>
    </row>
    <row r="953">
      <c r="A953" s="171" t="n"/>
      <c r="B953" s="171" t="n"/>
      <c r="C953" s="171" t="n"/>
      <c r="D953" s="170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  <c r="BX953" s="5" t="n"/>
      <c r="BY953" s="5" t="n"/>
      <c r="BZ953" s="5" t="n"/>
      <c r="CA953" s="5" t="n"/>
      <c r="CB953" s="5" t="n"/>
      <c r="CC953" s="5" t="n"/>
      <c r="CD953" s="5" t="n"/>
      <c r="CE953" s="5" t="n"/>
      <c r="CF953" s="5" t="n"/>
    </row>
    <row r="954">
      <c r="A954" s="171" t="n"/>
      <c r="B954" s="171" t="n"/>
      <c r="C954" s="171" t="n"/>
      <c r="D954" s="170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  <c r="BX954" s="5" t="n"/>
      <c r="BY954" s="5" t="n"/>
      <c r="BZ954" s="5" t="n"/>
      <c r="CA954" s="5" t="n"/>
      <c r="CB954" s="5" t="n"/>
      <c r="CC954" s="5" t="n"/>
      <c r="CD954" s="5" t="n"/>
      <c r="CE954" s="5" t="n"/>
      <c r="CF954" s="5" t="n"/>
    </row>
    <row r="955">
      <c r="A955" s="171" t="n"/>
      <c r="B955" s="171" t="n"/>
      <c r="C955" s="171" t="n"/>
      <c r="D955" s="170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  <c r="BX955" s="5" t="n"/>
      <c r="BY955" s="5" t="n"/>
      <c r="BZ955" s="5" t="n"/>
      <c r="CA955" s="5" t="n"/>
      <c r="CB955" s="5" t="n"/>
      <c r="CC955" s="5" t="n"/>
      <c r="CD955" s="5" t="n"/>
      <c r="CE955" s="5" t="n"/>
      <c r="CF955" s="5" t="n"/>
    </row>
    <row r="956">
      <c r="A956" s="171" t="n"/>
      <c r="B956" s="171" t="n"/>
      <c r="C956" s="171" t="n"/>
      <c r="D956" s="170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  <c r="BX956" s="5" t="n"/>
      <c r="BY956" s="5" t="n"/>
      <c r="BZ956" s="5" t="n"/>
      <c r="CA956" s="5" t="n"/>
      <c r="CB956" s="5" t="n"/>
      <c r="CC956" s="5" t="n"/>
      <c r="CD956" s="5" t="n"/>
      <c r="CE956" s="5" t="n"/>
      <c r="CF956" s="5" t="n"/>
    </row>
    <row r="957">
      <c r="A957" s="171" t="n"/>
      <c r="B957" s="171" t="n"/>
      <c r="C957" s="171" t="n"/>
      <c r="D957" s="170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  <c r="BX957" s="5" t="n"/>
      <c r="BY957" s="5" t="n"/>
      <c r="BZ957" s="5" t="n"/>
      <c r="CA957" s="5" t="n"/>
      <c r="CB957" s="5" t="n"/>
      <c r="CC957" s="5" t="n"/>
      <c r="CD957" s="5" t="n"/>
      <c r="CE957" s="5" t="n"/>
      <c r="CF957" s="5" t="n"/>
    </row>
    <row r="958">
      <c r="A958" s="171" t="n"/>
      <c r="B958" s="171" t="n"/>
      <c r="C958" s="171" t="n"/>
      <c r="D958" s="170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  <c r="BX958" s="5" t="n"/>
      <c r="BY958" s="5" t="n"/>
      <c r="BZ958" s="5" t="n"/>
      <c r="CA958" s="5" t="n"/>
      <c r="CB958" s="5" t="n"/>
      <c r="CC958" s="5" t="n"/>
      <c r="CD958" s="5" t="n"/>
      <c r="CE958" s="5" t="n"/>
      <c r="CF958" s="5" t="n"/>
    </row>
    <row r="959">
      <c r="A959" s="171" t="n"/>
      <c r="B959" s="171" t="n"/>
      <c r="C959" s="171" t="n"/>
      <c r="D959" s="170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  <c r="BX959" s="5" t="n"/>
      <c r="BY959" s="5" t="n"/>
      <c r="BZ959" s="5" t="n"/>
      <c r="CA959" s="5" t="n"/>
      <c r="CB959" s="5" t="n"/>
      <c r="CC959" s="5" t="n"/>
      <c r="CD959" s="5" t="n"/>
      <c r="CE959" s="5" t="n"/>
      <c r="CF959" s="5" t="n"/>
    </row>
    <row r="960">
      <c r="A960" s="171" t="n"/>
      <c r="B960" s="171" t="n"/>
      <c r="C960" s="171" t="n"/>
      <c r="D960" s="170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  <c r="BX960" s="5" t="n"/>
      <c r="BY960" s="5" t="n"/>
      <c r="BZ960" s="5" t="n"/>
      <c r="CA960" s="5" t="n"/>
      <c r="CB960" s="5" t="n"/>
      <c r="CC960" s="5" t="n"/>
      <c r="CD960" s="5" t="n"/>
      <c r="CE960" s="5" t="n"/>
      <c r="CF960" s="5" t="n"/>
    </row>
    <row r="961">
      <c r="A961" s="171" t="n"/>
      <c r="B961" s="171" t="n"/>
      <c r="C961" s="171" t="n"/>
      <c r="D961" s="170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  <c r="BX961" s="5" t="n"/>
      <c r="BY961" s="5" t="n"/>
      <c r="BZ961" s="5" t="n"/>
      <c r="CA961" s="5" t="n"/>
      <c r="CB961" s="5" t="n"/>
      <c r="CC961" s="5" t="n"/>
      <c r="CD961" s="5" t="n"/>
      <c r="CE961" s="5" t="n"/>
      <c r="CF961" s="5" t="n"/>
    </row>
    <row r="962">
      <c r="A962" s="171" t="n"/>
      <c r="B962" s="171" t="n"/>
      <c r="C962" s="171" t="n"/>
      <c r="D962" s="170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  <c r="BX962" s="5" t="n"/>
      <c r="BY962" s="5" t="n"/>
      <c r="BZ962" s="5" t="n"/>
      <c r="CA962" s="5" t="n"/>
      <c r="CB962" s="5" t="n"/>
      <c r="CC962" s="5" t="n"/>
      <c r="CD962" s="5" t="n"/>
      <c r="CE962" s="5" t="n"/>
      <c r="CF962" s="5" t="n"/>
    </row>
    <row r="963">
      <c r="A963" s="171" t="n"/>
      <c r="B963" s="171" t="n"/>
      <c r="C963" s="171" t="n"/>
      <c r="D963" s="170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  <c r="BX963" s="5" t="n"/>
      <c r="BY963" s="5" t="n"/>
      <c r="BZ963" s="5" t="n"/>
      <c r="CA963" s="5" t="n"/>
      <c r="CB963" s="5" t="n"/>
      <c r="CC963" s="5" t="n"/>
      <c r="CD963" s="5" t="n"/>
      <c r="CE963" s="5" t="n"/>
      <c r="CF963" s="5" t="n"/>
    </row>
    <row r="964">
      <c r="A964" s="171" t="n"/>
      <c r="B964" s="171" t="n"/>
      <c r="C964" s="171" t="n"/>
      <c r="D964" s="170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  <c r="BX964" s="5" t="n"/>
      <c r="BY964" s="5" t="n"/>
      <c r="BZ964" s="5" t="n"/>
      <c r="CA964" s="5" t="n"/>
      <c r="CB964" s="5" t="n"/>
      <c r="CC964" s="5" t="n"/>
      <c r="CD964" s="5" t="n"/>
      <c r="CE964" s="5" t="n"/>
      <c r="CF964" s="5" t="n"/>
    </row>
    <row r="965">
      <c r="A965" s="171" t="n"/>
      <c r="B965" s="171" t="n"/>
      <c r="C965" s="171" t="n"/>
      <c r="D965" s="170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  <c r="BX965" s="5" t="n"/>
      <c r="BY965" s="5" t="n"/>
      <c r="BZ965" s="5" t="n"/>
      <c r="CA965" s="5" t="n"/>
      <c r="CB965" s="5" t="n"/>
      <c r="CC965" s="5" t="n"/>
      <c r="CD965" s="5" t="n"/>
      <c r="CE965" s="5" t="n"/>
      <c r="CF965" s="5" t="n"/>
    </row>
    <row r="966">
      <c r="A966" s="171" t="n"/>
      <c r="B966" s="171" t="n"/>
      <c r="C966" s="171" t="n"/>
      <c r="D966" s="170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  <c r="BX966" s="5" t="n"/>
      <c r="BY966" s="5" t="n"/>
      <c r="BZ966" s="5" t="n"/>
      <c r="CA966" s="5" t="n"/>
      <c r="CB966" s="5" t="n"/>
      <c r="CC966" s="5" t="n"/>
      <c r="CD966" s="5" t="n"/>
      <c r="CE966" s="5" t="n"/>
      <c r="CF966" s="5" t="n"/>
    </row>
    <row r="967">
      <c r="A967" s="171" t="n"/>
      <c r="B967" s="171" t="n"/>
      <c r="C967" s="171" t="n"/>
      <c r="D967" s="170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  <c r="BX967" s="5" t="n"/>
      <c r="BY967" s="5" t="n"/>
      <c r="BZ967" s="5" t="n"/>
      <c r="CA967" s="5" t="n"/>
      <c r="CB967" s="5" t="n"/>
      <c r="CC967" s="5" t="n"/>
      <c r="CD967" s="5" t="n"/>
      <c r="CE967" s="5" t="n"/>
      <c r="CF967" s="5" t="n"/>
    </row>
    <row r="968">
      <c r="A968" s="171" t="n"/>
      <c r="B968" s="171" t="n"/>
      <c r="C968" s="171" t="n"/>
      <c r="D968" s="170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  <c r="BX968" s="5" t="n"/>
      <c r="BY968" s="5" t="n"/>
      <c r="BZ968" s="5" t="n"/>
      <c r="CA968" s="5" t="n"/>
      <c r="CB968" s="5" t="n"/>
      <c r="CC968" s="5" t="n"/>
      <c r="CD968" s="5" t="n"/>
      <c r="CE968" s="5" t="n"/>
      <c r="CF968" s="5" t="n"/>
    </row>
    <row r="969">
      <c r="A969" s="171" t="n"/>
      <c r="B969" s="171" t="n"/>
      <c r="C969" s="171" t="n"/>
      <c r="D969" s="170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  <c r="BX969" s="5" t="n"/>
      <c r="BY969" s="5" t="n"/>
      <c r="BZ969" s="5" t="n"/>
      <c r="CA969" s="5" t="n"/>
      <c r="CB969" s="5" t="n"/>
      <c r="CC969" s="5" t="n"/>
      <c r="CD969" s="5" t="n"/>
      <c r="CE969" s="5" t="n"/>
      <c r="CF969" s="5" t="n"/>
    </row>
    <row r="970">
      <c r="A970" s="171" t="n"/>
      <c r="B970" s="171" t="n"/>
      <c r="C970" s="171" t="n"/>
      <c r="D970" s="170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  <c r="BX970" s="5" t="n"/>
      <c r="BY970" s="5" t="n"/>
      <c r="BZ970" s="5" t="n"/>
      <c r="CA970" s="5" t="n"/>
      <c r="CB970" s="5" t="n"/>
      <c r="CC970" s="5" t="n"/>
      <c r="CD970" s="5" t="n"/>
      <c r="CE970" s="5" t="n"/>
      <c r="CF970" s="5" t="n"/>
    </row>
    <row r="971">
      <c r="A971" s="171" t="n"/>
      <c r="B971" s="171" t="n"/>
      <c r="C971" s="171" t="n"/>
      <c r="D971" s="170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  <c r="BX971" s="5" t="n"/>
      <c r="BY971" s="5" t="n"/>
      <c r="BZ971" s="5" t="n"/>
      <c r="CA971" s="5" t="n"/>
      <c r="CB971" s="5" t="n"/>
      <c r="CC971" s="5" t="n"/>
      <c r="CD971" s="5" t="n"/>
      <c r="CE971" s="5" t="n"/>
      <c r="CF971" s="5" t="n"/>
    </row>
    <row r="972">
      <c r="A972" s="171" t="n"/>
      <c r="B972" s="171" t="n"/>
      <c r="C972" s="171" t="n"/>
      <c r="D972" s="170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  <c r="BX972" s="5" t="n"/>
      <c r="BY972" s="5" t="n"/>
      <c r="BZ972" s="5" t="n"/>
      <c r="CA972" s="5" t="n"/>
      <c r="CB972" s="5" t="n"/>
      <c r="CC972" s="5" t="n"/>
      <c r="CD972" s="5" t="n"/>
      <c r="CE972" s="5" t="n"/>
      <c r="CF972" s="5" t="n"/>
    </row>
    <row r="973">
      <c r="A973" s="171" t="n"/>
      <c r="B973" s="171" t="n"/>
      <c r="C973" s="171" t="n"/>
      <c r="D973" s="170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  <c r="BX973" s="5" t="n"/>
      <c r="BY973" s="5" t="n"/>
      <c r="BZ973" s="5" t="n"/>
      <c r="CA973" s="5" t="n"/>
      <c r="CB973" s="5" t="n"/>
      <c r="CC973" s="5" t="n"/>
      <c r="CD973" s="5" t="n"/>
      <c r="CE973" s="5" t="n"/>
      <c r="CF973" s="5" t="n"/>
    </row>
    <row r="974">
      <c r="A974" s="171" t="n"/>
      <c r="B974" s="171" t="n"/>
      <c r="C974" s="171" t="n"/>
      <c r="D974" s="170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  <c r="BX974" s="5" t="n"/>
      <c r="BY974" s="5" t="n"/>
      <c r="BZ974" s="5" t="n"/>
      <c r="CA974" s="5" t="n"/>
      <c r="CB974" s="5" t="n"/>
      <c r="CC974" s="5" t="n"/>
      <c r="CD974" s="5" t="n"/>
      <c r="CE974" s="5" t="n"/>
      <c r="CF974" s="5" t="n"/>
    </row>
    <row r="975">
      <c r="A975" s="171" t="n"/>
      <c r="B975" s="171" t="n"/>
      <c r="C975" s="171" t="n"/>
      <c r="D975" s="170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  <c r="BX975" s="5" t="n"/>
      <c r="BY975" s="5" t="n"/>
      <c r="BZ975" s="5" t="n"/>
      <c r="CA975" s="5" t="n"/>
      <c r="CB975" s="5" t="n"/>
      <c r="CC975" s="5" t="n"/>
      <c r="CD975" s="5" t="n"/>
      <c r="CE975" s="5" t="n"/>
      <c r="CF975" s="5" t="n"/>
    </row>
    <row r="976">
      <c r="A976" s="171" t="n"/>
      <c r="B976" s="171" t="n"/>
      <c r="C976" s="171" t="n"/>
      <c r="D976" s="170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  <c r="BX976" s="5" t="n"/>
      <c r="BY976" s="5" t="n"/>
      <c r="BZ976" s="5" t="n"/>
      <c r="CA976" s="5" t="n"/>
      <c r="CB976" s="5" t="n"/>
      <c r="CC976" s="5" t="n"/>
      <c r="CD976" s="5" t="n"/>
      <c r="CE976" s="5" t="n"/>
      <c r="CF976" s="5" t="n"/>
    </row>
    <row r="977">
      <c r="A977" s="171" t="n"/>
      <c r="B977" s="171" t="n"/>
      <c r="C977" s="171" t="n"/>
      <c r="D977" s="170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  <c r="CE977" s="5" t="n"/>
      <c r="CF977" s="5" t="n"/>
    </row>
    <row r="978">
      <c r="A978" s="171" t="n"/>
      <c r="B978" s="171" t="n"/>
      <c r="C978" s="171" t="n"/>
      <c r="D978" s="170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  <c r="CE978" s="5" t="n"/>
      <c r="CF978" s="5" t="n"/>
    </row>
    <row r="979">
      <c r="A979" s="171" t="n"/>
      <c r="B979" s="171" t="n"/>
      <c r="C979" s="171" t="n"/>
      <c r="D979" s="170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  <c r="CE979" s="5" t="n"/>
      <c r="CF979" s="5" t="n"/>
    </row>
    <row r="980">
      <c r="A980" s="171" t="n"/>
      <c r="B980" s="171" t="n"/>
      <c r="C980" s="171" t="n"/>
      <c r="D980" s="170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  <c r="BX980" s="5" t="n"/>
      <c r="BY980" s="5" t="n"/>
      <c r="BZ980" s="5" t="n"/>
      <c r="CA980" s="5" t="n"/>
      <c r="CB980" s="5" t="n"/>
      <c r="CC980" s="5" t="n"/>
      <c r="CD980" s="5" t="n"/>
      <c r="CE980" s="5" t="n"/>
      <c r="CF980" s="5" t="n"/>
    </row>
    <row r="981">
      <c r="A981" s="171" t="n"/>
      <c r="B981" s="171" t="n"/>
      <c r="C981" s="171" t="n"/>
      <c r="D981" s="170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  <c r="BX981" s="5" t="n"/>
      <c r="BY981" s="5" t="n"/>
      <c r="BZ981" s="5" t="n"/>
      <c r="CA981" s="5" t="n"/>
      <c r="CB981" s="5" t="n"/>
      <c r="CC981" s="5" t="n"/>
      <c r="CD981" s="5" t="n"/>
      <c r="CE981" s="5" t="n"/>
      <c r="CF981" s="5" t="n"/>
    </row>
    <row r="982">
      <c r="A982" s="171" t="n"/>
      <c r="B982" s="171" t="n"/>
      <c r="C982" s="171" t="n"/>
      <c r="D982" s="170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  <c r="BX982" s="5" t="n"/>
      <c r="BY982" s="5" t="n"/>
      <c r="BZ982" s="5" t="n"/>
      <c r="CA982" s="5" t="n"/>
      <c r="CB982" s="5" t="n"/>
      <c r="CC982" s="5" t="n"/>
      <c r="CD982" s="5" t="n"/>
      <c r="CE982" s="5" t="n"/>
      <c r="CF982" s="5" t="n"/>
    </row>
    <row r="983">
      <c r="A983" s="171" t="n"/>
      <c r="B983" s="171" t="n"/>
      <c r="C983" s="171" t="n"/>
      <c r="D983" s="170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  <c r="BX983" s="5" t="n"/>
      <c r="BY983" s="5" t="n"/>
      <c r="BZ983" s="5" t="n"/>
      <c r="CA983" s="5" t="n"/>
      <c r="CB983" s="5" t="n"/>
      <c r="CC983" s="5" t="n"/>
      <c r="CD983" s="5" t="n"/>
      <c r="CE983" s="5" t="n"/>
      <c r="CF983" s="5" t="n"/>
    </row>
    <row r="984">
      <c r="A984" s="171" t="n"/>
      <c r="B984" s="171" t="n"/>
      <c r="C984" s="171" t="n"/>
      <c r="D984" s="170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  <c r="BX984" s="5" t="n"/>
      <c r="BY984" s="5" t="n"/>
      <c r="BZ984" s="5" t="n"/>
      <c r="CA984" s="5" t="n"/>
      <c r="CB984" s="5" t="n"/>
      <c r="CC984" s="5" t="n"/>
      <c r="CD984" s="5" t="n"/>
      <c r="CE984" s="5" t="n"/>
      <c r="CF984" s="5" t="n"/>
    </row>
    <row r="985">
      <c r="A985" s="171" t="n"/>
      <c r="B985" s="171" t="n"/>
      <c r="C985" s="171" t="n"/>
      <c r="D985" s="170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  <c r="BX985" s="5" t="n"/>
      <c r="BY985" s="5" t="n"/>
      <c r="BZ985" s="5" t="n"/>
      <c r="CA985" s="5" t="n"/>
      <c r="CB985" s="5" t="n"/>
      <c r="CC985" s="5" t="n"/>
      <c r="CD985" s="5" t="n"/>
      <c r="CE985" s="5" t="n"/>
      <c r="CF985" s="5" t="n"/>
    </row>
    <row r="986">
      <c r="A986" s="171" t="n"/>
      <c r="B986" s="171" t="n"/>
      <c r="C986" s="171" t="n"/>
      <c r="D986" s="170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  <c r="BX986" s="5" t="n"/>
      <c r="BY986" s="5" t="n"/>
      <c r="BZ986" s="5" t="n"/>
      <c r="CA986" s="5" t="n"/>
      <c r="CB986" s="5" t="n"/>
      <c r="CC986" s="5" t="n"/>
      <c r="CD986" s="5" t="n"/>
      <c r="CE986" s="5" t="n"/>
      <c r="CF986" s="5" t="n"/>
    </row>
    <row r="987">
      <c r="A987" s="171" t="n"/>
      <c r="B987" s="171" t="n"/>
      <c r="C987" s="171" t="n"/>
      <c r="D987" s="170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  <c r="BX987" s="5" t="n"/>
      <c r="BY987" s="5" t="n"/>
      <c r="BZ987" s="5" t="n"/>
      <c r="CA987" s="5" t="n"/>
      <c r="CB987" s="5" t="n"/>
      <c r="CC987" s="5" t="n"/>
      <c r="CD987" s="5" t="n"/>
      <c r="CE987" s="5" t="n"/>
      <c r="CF987" s="5" t="n"/>
    </row>
    <row r="988">
      <c r="A988" s="171" t="n"/>
      <c r="B988" s="171" t="n"/>
      <c r="C988" s="171" t="n"/>
      <c r="D988" s="170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  <c r="BX988" s="5" t="n"/>
      <c r="BY988" s="5" t="n"/>
      <c r="BZ988" s="5" t="n"/>
      <c r="CA988" s="5" t="n"/>
      <c r="CB988" s="5" t="n"/>
      <c r="CC988" s="5" t="n"/>
      <c r="CD988" s="5" t="n"/>
      <c r="CE988" s="5" t="n"/>
      <c r="CF988" s="5" t="n"/>
    </row>
    <row r="989">
      <c r="A989" s="171" t="n"/>
      <c r="B989" s="171" t="n"/>
      <c r="C989" s="171" t="n"/>
      <c r="D989" s="170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  <c r="BX989" s="5" t="n"/>
      <c r="BY989" s="5" t="n"/>
      <c r="BZ989" s="5" t="n"/>
      <c r="CA989" s="5" t="n"/>
      <c r="CB989" s="5" t="n"/>
      <c r="CC989" s="5" t="n"/>
      <c r="CD989" s="5" t="n"/>
      <c r="CE989" s="5" t="n"/>
      <c r="CF989" s="5" t="n"/>
    </row>
    <row r="990">
      <c r="A990" s="171" t="n"/>
      <c r="B990" s="171" t="n"/>
      <c r="C990" s="171" t="n"/>
      <c r="D990" s="170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  <c r="BX990" s="5" t="n"/>
      <c r="BY990" s="5" t="n"/>
      <c r="BZ990" s="5" t="n"/>
      <c r="CA990" s="5" t="n"/>
      <c r="CB990" s="5" t="n"/>
      <c r="CC990" s="5" t="n"/>
      <c r="CD990" s="5" t="n"/>
      <c r="CE990" s="5" t="n"/>
      <c r="CF990" s="5" t="n"/>
    </row>
    <row r="991">
      <c r="A991" s="171" t="n"/>
      <c r="B991" s="171" t="n"/>
      <c r="C991" s="171" t="n"/>
      <c r="D991" s="170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  <c r="BX991" s="5" t="n"/>
      <c r="BY991" s="5" t="n"/>
      <c r="BZ991" s="5" t="n"/>
      <c r="CA991" s="5" t="n"/>
      <c r="CB991" s="5" t="n"/>
      <c r="CC991" s="5" t="n"/>
      <c r="CD991" s="5" t="n"/>
      <c r="CE991" s="5" t="n"/>
      <c r="CF991" s="5" t="n"/>
    </row>
    <row r="992">
      <c r="A992" s="171" t="n"/>
      <c r="B992" s="171" t="n"/>
      <c r="C992" s="171" t="n"/>
      <c r="D992" s="170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  <c r="BX992" s="5" t="n"/>
      <c r="BY992" s="5" t="n"/>
      <c r="BZ992" s="5" t="n"/>
      <c r="CA992" s="5" t="n"/>
      <c r="CB992" s="5" t="n"/>
      <c r="CC992" s="5" t="n"/>
      <c r="CD992" s="5" t="n"/>
      <c r="CE992" s="5" t="n"/>
      <c r="CF992" s="5" t="n"/>
    </row>
    <row r="993">
      <c r="A993" s="171" t="n"/>
      <c r="B993" s="171" t="n"/>
      <c r="C993" s="171" t="n"/>
      <c r="D993" s="170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  <c r="BX993" s="5" t="n"/>
      <c r="BY993" s="5" t="n"/>
      <c r="BZ993" s="5" t="n"/>
      <c r="CA993" s="5" t="n"/>
      <c r="CB993" s="5" t="n"/>
      <c r="CC993" s="5" t="n"/>
      <c r="CD993" s="5" t="n"/>
      <c r="CE993" s="5" t="n"/>
      <c r="CF993" s="5" t="n"/>
    </row>
    <row r="994">
      <c r="A994" s="171" t="n"/>
      <c r="B994" s="171" t="n"/>
      <c r="C994" s="171" t="n"/>
      <c r="D994" s="170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  <c r="BX994" s="5" t="n"/>
      <c r="BY994" s="5" t="n"/>
      <c r="BZ994" s="5" t="n"/>
      <c r="CA994" s="5" t="n"/>
      <c r="CB994" s="5" t="n"/>
      <c r="CC994" s="5" t="n"/>
      <c r="CD994" s="5" t="n"/>
      <c r="CE994" s="5" t="n"/>
      <c r="CF994" s="5" t="n"/>
    </row>
    <row r="995">
      <c r="A995" s="171" t="n"/>
      <c r="B995" s="171" t="n"/>
      <c r="C995" s="171" t="n"/>
      <c r="D995" s="170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  <c r="BX995" s="5" t="n"/>
      <c r="BY995" s="5" t="n"/>
      <c r="BZ995" s="5" t="n"/>
      <c r="CA995" s="5" t="n"/>
      <c r="CB995" s="5" t="n"/>
      <c r="CC995" s="5" t="n"/>
      <c r="CD995" s="5" t="n"/>
      <c r="CE995" s="5" t="n"/>
      <c r="CF995" s="5" t="n"/>
    </row>
    <row r="996">
      <c r="A996" s="171" t="n"/>
      <c r="B996" s="171" t="n"/>
      <c r="C996" s="171" t="n"/>
      <c r="D996" s="170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  <c r="BX996" s="5" t="n"/>
      <c r="BY996" s="5" t="n"/>
      <c r="BZ996" s="5" t="n"/>
      <c r="CA996" s="5" t="n"/>
      <c r="CB996" s="5" t="n"/>
      <c r="CC996" s="5" t="n"/>
      <c r="CD996" s="5" t="n"/>
      <c r="CE996" s="5" t="n"/>
      <c r="CF996" s="5" t="n"/>
    </row>
    <row r="997">
      <c r="A997" s="171" t="n"/>
      <c r="B997" s="171" t="n"/>
      <c r="C997" s="171" t="n"/>
      <c r="D997" s="170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  <c r="BX997" s="5" t="n"/>
      <c r="BY997" s="5" t="n"/>
      <c r="BZ997" s="5" t="n"/>
      <c r="CA997" s="5" t="n"/>
      <c r="CB997" s="5" t="n"/>
      <c r="CC997" s="5" t="n"/>
      <c r="CD997" s="5" t="n"/>
      <c r="CE997" s="5" t="n"/>
      <c r="CF997" s="5" t="n"/>
    </row>
    <row r="998">
      <c r="A998" s="171" t="n"/>
      <c r="B998" s="171" t="n"/>
      <c r="C998" s="171" t="n"/>
      <c r="D998" s="170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  <c r="BX998" s="5" t="n"/>
      <c r="BY998" s="5" t="n"/>
      <c r="BZ998" s="5" t="n"/>
      <c r="CA998" s="5" t="n"/>
      <c r="CB998" s="5" t="n"/>
      <c r="CC998" s="5" t="n"/>
      <c r="CD998" s="5" t="n"/>
      <c r="CE998" s="5" t="n"/>
      <c r="CF998" s="5" t="n"/>
    </row>
    <row r="999">
      <c r="A999" s="171" t="n"/>
      <c r="B999" s="171" t="n"/>
      <c r="C999" s="171" t="n"/>
      <c r="D999" s="170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  <c r="BX999" s="5" t="n"/>
      <c r="BY999" s="5" t="n"/>
      <c r="BZ999" s="5" t="n"/>
      <c r="CA999" s="5" t="n"/>
      <c r="CB999" s="5" t="n"/>
      <c r="CC999" s="5" t="n"/>
      <c r="CD999" s="5" t="n"/>
      <c r="CE999" s="5" t="n"/>
      <c r="CF999" s="5" t="n"/>
    </row>
    <row r="1000">
      <c r="A1000" s="171" t="n"/>
      <c r="B1000" s="171" t="n"/>
      <c r="C1000" s="171" t="n"/>
      <c r="D1000" s="170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  <c r="BX1000" s="5" t="n"/>
      <c r="BY1000" s="5" t="n"/>
      <c r="BZ1000" s="5" t="n"/>
      <c r="CA1000" s="5" t="n"/>
      <c r="CB1000" s="5" t="n"/>
      <c r="CC1000" s="5" t="n"/>
      <c r="CD1000" s="5" t="n"/>
      <c r="CE1000" s="5" t="n"/>
      <c r="CF1000" s="5" t="n"/>
    </row>
    <row r="1001">
      <c r="A1001" s="171" t="n"/>
      <c r="B1001" s="171" t="n"/>
      <c r="C1001" s="171" t="n"/>
      <c r="D1001" s="170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/>
      <c r="BJ1001" s="5" t="n"/>
      <c r="BK1001" s="5" t="n"/>
      <c r="BL1001" s="5" t="n"/>
      <c r="BM1001" s="5" t="n"/>
      <c r="BN1001" s="5" t="n"/>
      <c r="BO1001" s="5" t="n"/>
      <c r="BP1001" s="5" t="n"/>
      <c r="BQ1001" s="5" t="n"/>
      <c r="BR1001" s="5" t="n"/>
      <c r="BS1001" s="5" t="n"/>
      <c r="BT1001" s="5" t="n"/>
      <c r="BU1001" s="5" t="n"/>
      <c r="BV1001" s="5" t="n"/>
      <c r="BW1001" s="5" t="n"/>
      <c r="BX1001" s="5" t="n"/>
      <c r="BY1001" s="5" t="n"/>
      <c r="BZ1001" s="5" t="n"/>
      <c r="CA1001" s="5" t="n"/>
      <c r="CB1001" s="5" t="n"/>
      <c r="CC1001" s="5" t="n"/>
      <c r="CD1001" s="5" t="n"/>
      <c r="CE1001" s="5" t="n"/>
      <c r="CF1001" s="5" t="n"/>
    </row>
    <row r="1002">
      <c r="A1002" s="171" t="n"/>
      <c r="B1002" s="171" t="n"/>
      <c r="C1002" s="171" t="n"/>
      <c r="D1002" s="170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/>
      <c r="BJ1002" s="5" t="n"/>
      <c r="BK1002" s="5" t="n"/>
      <c r="BL1002" s="5" t="n"/>
      <c r="BM1002" s="5" t="n"/>
      <c r="BN1002" s="5" t="n"/>
      <c r="BO1002" s="5" t="n"/>
      <c r="BP1002" s="5" t="n"/>
      <c r="BQ1002" s="5" t="n"/>
      <c r="BR1002" s="5" t="n"/>
      <c r="BS1002" s="5" t="n"/>
      <c r="BT1002" s="5" t="n"/>
      <c r="BU1002" s="5" t="n"/>
      <c r="BV1002" s="5" t="n"/>
      <c r="BW1002" s="5" t="n"/>
      <c r="BX1002" s="5" t="n"/>
      <c r="BY1002" s="5" t="n"/>
      <c r="BZ1002" s="5" t="n"/>
      <c r="CA1002" s="5" t="n"/>
      <c r="CB1002" s="5" t="n"/>
      <c r="CC1002" s="5" t="n"/>
      <c r="CD1002" s="5" t="n"/>
      <c r="CE1002" s="5" t="n"/>
      <c r="CF1002" s="5" t="n"/>
    </row>
    <row r="1003">
      <c r="A1003" s="171" t="n"/>
      <c r="B1003" s="171" t="n"/>
      <c r="C1003" s="171" t="n"/>
      <c r="D1003" s="170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/>
      <c r="BJ1003" s="5" t="n"/>
      <c r="BK1003" s="5" t="n"/>
      <c r="BL1003" s="5" t="n"/>
      <c r="BM1003" s="5" t="n"/>
      <c r="BN1003" s="5" t="n"/>
      <c r="BO1003" s="5" t="n"/>
      <c r="BP1003" s="5" t="n"/>
      <c r="BQ1003" s="5" t="n"/>
      <c r="BR1003" s="5" t="n"/>
      <c r="BS1003" s="5" t="n"/>
      <c r="BT1003" s="5" t="n"/>
      <c r="BU1003" s="5" t="n"/>
      <c r="BV1003" s="5" t="n"/>
      <c r="BW1003" s="5" t="n"/>
      <c r="BX1003" s="5" t="n"/>
      <c r="BY1003" s="5" t="n"/>
      <c r="BZ1003" s="5" t="n"/>
      <c r="CA1003" s="5" t="n"/>
      <c r="CB1003" s="5" t="n"/>
      <c r="CC1003" s="5" t="n"/>
      <c r="CD1003" s="5" t="n"/>
      <c r="CE1003" s="5" t="n"/>
      <c r="CF1003" s="5" t="n"/>
    </row>
    <row r="1004">
      <c r="A1004" s="171" t="n"/>
      <c r="B1004" s="171" t="n"/>
      <c r="C1004" s="171" t="n"/>
      <c r="D1004" s="170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/>
      <c r="BJ1004" s="5" t="n"/>
      <c r="BK1004" s="5" t="n"/>
      <c r="BL1004" s="5" t="n"/>
      <c r="BM1004" s="5" t="n"/>
      <c r="BN1004" s="5" t="n"/>
      <c r="BO1004" s="5" t="n"/>
      <c r="BP1004" s="5" t="n"/>
      <c r="BQ1004" s="5" t="n"/>
      <c r="BR1004" s="5" t="n"/>
      <c r="BS1004" s="5" t="n"/>
      <c r="BT1004" s="5" t="n"/>
      <c r="BU1004" s="5" t="n"/>
      <c r="BV1004" s="5" t="n"/>
      <c r="BW1004" s="5" t="n"/>
      <c r="BX1004" s="5" t="n"/>
      <c r="BY1004" s="5" t="n"/>
      <c r="BZ1004" s="5" t="n"/>
      <c r="CA1004" s="5" t="n"/>
      <c r="CB1004" s="5" t="n"/>
      <c r="CC1004" s="5" t="n"/>
      <c r="CD1004" s="5" t="n"/>
      <c r="CE1004" s="5" t="n"/>
      <c r="CF1004" s="5" t="n"/>
    </row>
    <row r="1005">
      <c r="A1005" s="171" t="n"/>
      <c r="B1005" s="171" t="n"/>
      <c r="C1005" s="171" t="n"/>
      <c r="D1005" s="170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/>
      <c r="BJ1005" s="5" t="n"/>
      <c r="BK1005" s="5" t="n"/>
      <c r="BL1005" s="5" t="n"/>
      <c r="BM1005" s="5" t="n"/>
      <c r="BN1005" s="5" t="n"/>
      <c r="BO1005" s="5" t="n"/>
      <c r="BP1005" s="5" t="n"/>
      <c r="BQ1005" s="5" t="n"/>
      <c r="BR1005" s="5" t="n"/>
      <c r="BS1005" s="5" t="n"/>
      <c r="BT1005" s="5" t="n"/>
      <c r="BU1005" s="5" t="n"/>
      <c r="BV1005" s="5" t="n"/>
      <c r="BW1005" s="5" t="n"/>
      <c r="BX1005" s="5" t="n"/>
      <c r="BY1005" s="5" t="n"/>
      <c r="BZ1005" s="5" t="n"/>
      <c r="CA1005" s="5" t="n"/>
      <c r="CB1005" s="5" t="n"/>
      <c r="CC1005" s="5" t="n"/>
      <c r="CD1005" s="5" t="n"/>
      <c r="CE1005" s="5" t="n"/>
      <c r="CF1005" s="5" t="n"/>
    </row>
    <row r="1006">
      <c r="A1006" s="171" t="n"/>
      <c r="B1006" s="171" t="n"/>
      <c r="C1006" s="171" t="n"/>
      <c r="D1006" s="170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/>
      <c r="BJ1006" s="5" t="n"/>
      <c r="BK1006" s="5" t="n"/>
      <c r="BL1006" s="5" t="n"/>
      <c r="BM1006" s="5" t="n"/>
      <c r="BN1006" s="5" t="n"/>
      <c r="BO1006" s="5" t="n"/>
      <c r="BP1006" s="5" t="n"/>
      <c r="BQ1006" s="5" t="n"/>
      <c r="BR1006" s="5" t="n"/>
      <c r="BS1006" s="5" t="n"/>
      <c r="BT1006" s="5" t="n"/>
      <c r="BU1006" s="5" t="n"/>
      <c r="BV1006" s="5" t="n"/>
      <c r="BW1006" s="5" t="n"/>
      <c r="BX1006" s="5" t="n"/>
      <c r="BY1006" s="5" t="n"/>
      <c r="BZ1006" s="5" t="n"/>
      <c r="CA1006" s="5" t="n"/>
      <c r="CB1006" s="5" t="n"/>
      <c r="CC1006" s="5" t="n"/>
      <c r="CD1006" s="5" t="n"/>
      <c r="CE1006" s="5" t="n"/>
      <c r="CF1006" s="5" t="n"/>
    </row>
    <row r="1007">
      <c r="A1007" s="171" t="n"/>
      <c r="B1007" s="171" t="n"/>
      <c r="C1007" s="171" t="n"/>
      <c r="D1007" s="170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/>
      <c r="BJ1007" s="5" t="n"/>
      <c r="BK1007" s="5" t="n"/>
      <c r="BL1007" s="5" t="n"/>
      <c r="BM1007" s="5" t="n"/>
      <c r="BN1007" s="5" t="n"/>
      <c r="BO1007" s="5" t="n"/>
      <c r="BP1007" s="5" t="n"/>
      <c r="BQ1007" s="5" t="n"/>
      <c r="BR1007" s="5" t="n"/>
      <c r="BS1007" s="5" t="n"/>
      <c r="BT1007" s="5" t="n"/>
      <c r="BU1007" s="5" t="n"/>
      <c r="BV1007" s="5" t="n"/>
      <c r="BW1007" s="5" t="n"/>
      <c r="BX1007" s="5" t="n"/>
      <c r="BY1007" s="5" t="n"/>
      <c r="BZ1007" s="5" t="n"/>
      <c r="CA1007" s="5" t="n"/>
      <c r="CB1007" s="5" t="n"/>
      <c r="CC1007" s="5" t="n"/>
      <c r="CD1007" s="5" t="n"/>
      <c r="CE1007" s="5" t="n"/>
      <c r="CF1007" s="5" t="n"/>
    </row>
    <row r="1008">
      <c r="A1008" s="171" t="n"/>
      <c r="B1008" s="171" t="n"/>
      <c r="C1008" s="171" t="n"/>
      <c r="D1008" s="170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  <c r="AQ1008" s="5" t="n"/>
      <c r="AR1008" s="5" t="n"/>
      <c r="AS1008" s="5" t="n"/>
      <c r="AT1008" s="5" t="n"/>
      <c r="AU1008" s="5" t="n"/>
      <c r="AV1008" s="5" t="n"/>
      <c r="AW1008" s="5" t="n"/>
      <c r="AX1008" s="5" t="n"/>
      <c r="AY1008" s="5" t="n"/>
      <c r="AZ1008" s="5" t="n"/>
      <c r="BA1008" s="5" t="n"/>
      <c r="BB1008" s="5" t="n"/>
      <c r="BC1008" s="5" t="n"/>
      <c r="BD1008" s="5" t="n"/>
      <c r="BE1008" s="5" t="n"/>
      <c r="BF1008" s="5" t="n"/>
      <c r="BG1008" s="5" t="n"/>
      <c r="BH1008" s="5" t="n"/>
      <c r="BI1008" s="5" t="n"/>
      <c r="BJ1008" s="5" t="n"/>
      <c r="BK1008" s="5" t="n"/>
      <c r="BL1008" s="5" t="n"/>
      <c r="BM1008" s="5" t="n"/>
      <c r="BN1008" s="5" t="n"/>
      <c r="BO1008" s="5" t="n"/>
      <c r="BP1008" s="5" t="n"/>
      <c r="BQ1008" s="5" t="n"/>
      <c r="BR1008" s="5" t="n"/>
      <c r="BS1008" s="5" t="n"/>
      <c r="BT1008" s="5" t="n"/>
      <c r="BU1008" s="5" t="n"/>
      <c r="BV1008" s="5" t="n"/>
      <c r="BW1008" s="5" t="n"/>
      <c r="BX1008" s="5" t="n"/>
      <c r="BY1008" s="5" t="n"/>
      <c r="BZ1008" s="5" t="n"/>
      <c r="CA1008" s="5" t="n"/>
      <c r="CB1008" s="5" t="n"/>
      <c r="CC1008" s="5" t="n"/>
      <c r="CD1008" s="5" t="n"/>
      <c r="CE1008" s="5" t="n"/>
      <c r="CF1008" s="5" t="n"/>
    </row>
    <row r="1009">
      <c r="A1009" s="171" t="n"/>
      <c r="B1009" s="171" t="n"/>
      <c r="C1009" s="171" t="n"/>
      <c r="D1009" s="170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  <c r="AQ1009" s="5" t="n"/>
      <c r="AR1009" s="5" t="n"/>
      <c r="AS1009" s="5" t="n"/>
      <c r="AT1009" s="5" t="n"/>
      <c r="AU1009" s="5" t="n"/>
      <c r="AV1009" s="5" t="n"/>
      <c r="AW1009" s="5" t="n"/>
      <c r="AX1009" s="5" t="n"/>
      <c r="AY1009" s="5" t="n"/>
      <c r="AZ1009" s="5" t="n"/>
      <c r="BA1009" s="5" t="n"/>
      <c r="BB1009" s="5" t="n"/>
      <c r="BC1009" s="5" t="n"/>
      <c r="BD1009" s="5" t="n"/>
      <c r="BE1009" s="5" t="n"/>
      <c r="BF1009" s="5" t="n"/>
      <c r="BG1009" s="5" t="n"/>
      <c r="BH1009" s="5" t="n"/>
      <c r="BI1009" s="5" t="n"/>
      <c r="BJ1009" s="5" t="n"/>
      <c r="BK1009" s="5" t="n"/>
      <c r="BL1009" s="5" t="n"/>
      <c r="BM1009" s="5" t="n"/>
      <c r="BN1009" s="5" t="n"/>
      <c r="BO1009" s="5" t="n"/>
      <c r="BP1009" s="5" t="n"/>
      <c r="BQ1009" s="5" t="n"/>
      <c r="BR1009" s="5" t="n"/>
      <c r="BS1009" s="5" t="n"/>
      <c r="BT1009" s="5" t="n"/>
      <c r="BU1009" s="5" t="n"/>
      <c r="BV1009" s="5" t="n"/>
      <c r="BW1009" s="5" t="n"/>
      <c r="BX1009" s="5" t="n"/>
      <c r="BY1009" s="5" t="n"/>
      <c r="BZ1009" s="5" t="n"/>
      <c r="CA1009" s="5" t="n"/>
      <c r="CB1009" s="5" t="n"/>
      <c r="CC1009" s="5" t="n"/>
      <c r="CD1009" s="5" t="n"/>
      <c r="CE1009" s="5" t="n"/>
      <c r="CF1009" s="5" t="n"/>
    </row>
    <row r="1010">
      <c r="A1010" s="171" t="n"/>
      <c r="B1010" s="171" t="n"/>
      <c r="C1010" s="171" t="n"/>
      <c r="D1010" s="170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  <c r="AQ1010" s="5" t="n"/>
      <c r="AR1010" s="5" t="n"/>
      <c r="AS1010" s="5" t="n"/>
      <c r="AT1010" s="5" t="n"/>
      <c r="AU1010" s="5" t="n"/>
      <c r="AV1010" s="5" t="n"/>
      <c r="AW1010" s="5" t="n"/>
      <c r="AX1010" s="5" t="n"/>
      <c r="AY1010" s="5" t="n"/>
      <c r="AZ1010" s="5" t="n"/>
      <c r="BA1010" s="5" t="n"/>
      <c r="BB1010" s="5" t="n"/>
      <c r="BC1010" s="5" t="n"/>
      <c r="BD1010" s="5" t="n"/>
      <c r="BE1010" s="5" t="n"/>
      <c r="BF1010" s="5" t="n"/>
      <c r="BG1010" s="5" t="n"/>
      <c r="BH1010" s="5" t="n"/>
      <c r="BI1010" s="5" t="n"/>
      <c r="BJ1010" s="5" t="n"/>
      <c r="BK1010" s="5" t="n"/>
      <c r="BL1010" s="5" t="n"/>
      <c r="BM1010" s="5" t="n"/>
      <c r="BN1010" s="5" t="n"/>
      <c r="BO1010" s="5" t="n"/>
      <c r="BP1010" s="5" t="n"/>
      <c r="BQ1010" s="5" t="n"/>
      <c r="BR1010" s="5" t="n"/>
      <c r="BS1010" s="5" t="n"/>
      <c r="BT1010" s="5" t="n"/>
      <c r="BU1010" s="5" t="n"/>
      <c r="BV1010" s="5" t="n"/>
      <c r="BW1010" s="5" t="n"/>
      <c r="BX1010" s="5" t="n"/>
      <c r="BY1010" s="5" t="n"/>
      <c r="BZ1010" s="5" t="n"/>
      <c r="CA1010" s="5" t="n"/>
      <c r="CB1010" s="5" t="n"/>
      <c r="CC1010" s="5" t="n"/>
      <c r="CD1010" s="5" t="n"/>
      <c r="CE1010" s="5" t="n"/>
      <c r="CF1010" s="5" t="n"/>
    </row>
    <row r="1011">
      <c r="A1011" s="171" t="n"/>
      <c r="B1011" s="171" t="n"/>
      <c r="C1011" s="171" t="n"/>
      <c r="D1011" s="170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  <c r="AQ1011" s="5" t="n"/>
      <c r="AR1011" s="5" t="n"/>
      <c r="AS1011" s="5" t="n"/>
      <c r="AT1011" s="5" t="n"/>
      <c r="AU1011" s="5" t="n"/>
      <c r="AV1011" s="5" t="n"/>
      <c r="AW1011" s="5" t="n"/>
      <c r="AX1011" s="5" t="n"/>
      <c r="AY1011" s="5" t="n"/>
      <c r="AZ1011" s="5" t="n"/>
      <c r="BA1011" s="5" t="n"/>
      <c r="BB1011" s="5" t="n"/>
      <c r="BC1011" s="5" t="n"/>
      <c r="BD1011" s="5" t="n"/>
      <c r="BE1011" s="5" t="n"/>
      <c r="BF1011" s="5" t="n"/>
      <c r="BG1011" s="5" t="n"/>
      <c r="BH1011" s="5" t="n"/>
      <c r="BI1011" s="5" t="n"/>
      <c r="BJ1011" s="5" t="n"/>
      <c r="BK1011" s="5" t="n"/>
      <c r="BL1011" s="5" t="n"/>
      <c r="BM1011" s="5" t="n"/>
      <c r="BN1011" s="5" t="n"/>
      <c r="BO1011" s="5" t="n"/>
      <c r="BP1011" s="5" t="n"/>
      <c r="BQ1011" s="5" t="n"/>
      <c r="BR1011" s="5" t="n"/>
      <c r="BS1011" s="5" t="n"/>
      <c r="BT1011" s="5" t="n"/>
      <c r="BU1011" s="5" t="n"/>
      <c r="BV1011" s="5" t="n"/>
      <c r="BW1011" s="5" t="n"/>
      <c r="BX1011" s="5" t="n"/>
      <c r="BY1011" s="5" t="n"/>
      <c r="BZ1011" s="5" t="n"/>
      <c r="CA1011" s="5" t="n"/>
      <c r="CB1011" s="5" t="n"/>
      <c r="CC1011" s="5" t="n"/>
      <c r="CD1011" s="5" t="n"/>
      <c r="CE1011" s="5" t="n"/>
      <c r="CF1011" s="5" t="n"/>
    </row>
    <row r="1012">
      <c r="A1012" s="171" t="n"/>
      <c r="B1012" s="171" t="n"/>
      <c r="C1012" s="171" t="n"/>
      <c r="D1012" s="170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  <c r="AQ1012" s="5" t="n"/>
      <c r="AR1012" s="5" t="n"/>
      <c r="AS1012" s="5" t="n"/>
      <c r="AT1012" s="5" t="n"/>
      <c r="AU1012" s="5" t="n"/>
      <c r="AV1012" s="5" t="n"/>
      <c r="AW1012" s="5" t="n"/>
      <c r="AX1012" s="5" t="n"/>
      <c r="AY1012" s="5" t="n"/>
      <c r="AZ1012" s="5" t="n"/>
      <c r="BA1012" s="5" t="n"/>
      <c r="BB1012" s="5" t="n"/>
      <c r="BC1012" s="5" t="n"/>
      <c r="BD1012" s="5" t="n"/>
      <c r="BE1012" s="5" t="n"/>
      <c r="BF1012" s="5" t="n"/>
      <c r="BG1012" s="5" t="n"/>
      <c r="BH1012" s="5" t="n"/>
      <c r="BI1012" s="5" t="n"/>
      <c r="BJ1012" s="5" t="n"/>
      <c r="BK1012" s="5" t="n"/>
      <c r="BL1012" s="5" t="n"/>
      <c r="BM1012" s="5" t="n"/>
      <c r="BN1012" s="5" t="n"/>
      <c r="BO1012" s="5" t="n"/>
      <c r="BP1012" s="5" t="n"/>
      <c r="BQ1012" s="5" t="n"/>
      <c r="BR1012" s="5" t="n"/>
      <c r="BS1012" s="5" t="n"/>
      <c r="BT1012" s="5" t="n"/>
      <c r="BU1012" s="5" t="n"/>
      <c r="BV1012" s="5" t="n"/>
      <c r="BW1012" s="5" t="n"/>
      <c r="BX1012" s="5" t="n"/>
      <c r="BY1012" s="5" t="n"/>
      <c r="BZ1012" s="5" t="n"/>
      <c r="CA1012" s="5" t="n"/>
      <c r="CB1012" s="5" t="n"/>
      <c r="CC1012" s="5" t="n"/>
      <c r="CD1012" s="5" t="n"/>
      <c r="CE1012" s="5" t="n"/>
      <c r="CF1012" s="5" t="n"/>
    </row>
    <row r="1013">
      <c r="A1013" s="171" t="n"/>
      <c r="B1013" s="171" t="n"/>
      <c r="C1013" s="171" t="n"/>
      <c r="D1013" s="170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  <c r="AQ1013" s="5" t="n"/>
      <c r="AR1013" s="5" t="n"/>
      <c r="AS1013" s="5" t="n"/>
      <c r="AT1013" s="5" t="n"/>
      <c r="AU1013" s="5" t="n"/>
      <c r="AV1013" s="5" t="n"/>
      <c r="AW1013" s="5" t="n"/>
      <c r="AX1013" s="5" t="n"/>
      <c r="AY1013" s="5" t="n"/>
      <c r="AZ1013" s="5" t="n"/>
      <c r="BA1013" s="5" t="n"/>
      <c r="BB1013" s="5" t="n"/>
      <c r="BC1013" s="5" t="n"/>
      <c r="BD1013" s="5" t="n"/>
      <c r="BE1013" s="5" t="n"/>
      <c r="BF1013" s="5" t="n"/>
      <c r="BG1013" s="5" t="n"/>
      <c r="BH1013" s="5" t="n"/>
      <c r="BI1013" s="5" t="n"/>
      <c r="BJ1013" s="5" t="n"/>
      <c r="BK1013" s="5" t="n"/>
      <c r="BL1013" s="5" t="n"/>
      <c r="BM1013" s="5" t="n"/>
      <c r="BN1013" s="5" t="n"/>
      <c r="BO1013" s="5" t="n"/>
      <c r="BP1013" s="5" t="n"/>
      <c r="BQ1013" s="5" t="n"/>
      <c r="BR1013" s="5" t="n"/>
      <c r="BS1013" s="5" t="n"/>
      <c r="BT1013" s="5" t="n"/>
      <c r="BU1013" s="5" t="n"/>
      <c r="BV1013" s="5" t="n"/>
      <c r="BW1013" s="5" t="n"/>
      <c r="BX1013" s="5" t="n"/>
      <c r="BY1013" s="5" t="n"/>
      <c r="BZ1013" s="5" t="n"/>
      <c r="CA1013" s="5" t="n"/>
      <c r="CB1013" s="5" t="n"/>
      <c r="CC1013" s="5" t="n"/>
      <c r="CD1013" s="5" t="n"/>
      <c r="CE1013" s="5" t="n"/>
      <c r="CF1013" s="5" t="n"/>
    </row>
    <row r="1014">
      <c r="A1014" s="171" t="n"/>
      <c r="B1014" s="171" t="n"/>
      <c r="C1014" s="171" t="n"/>
      <c r="D1014" s="170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  <c r="AQ1014" s="5" t="n"/>
      <c r="AR1014" s="5" t="n"/>
      <c r="AS1014" s="5" t="n"/>
      <c r="AT1014" s="5" t="n"/>
      <c r="AU1014" s="5" t="n"/>
      <c r="AV1014" s="5" t="n"/>
      <c r="AW1014" s="5" t="n"/>
      <c r="AX1014" s="5" t="n"/>
      <c r="AY1014" s="5" t="n"/>
      <c r="AZ1014" s="5" t="n"/>
      <c r="BA1014" s="5" t="n"/>
      <c r="BB1014" s="5" t="n"/>
      <c r="BC1014" s="5" t="n"/>
      <c r="BD1014" s="5" t="n"/>
      <c r="BE1014" s="5" t="n"/>
      <c r="BF1014" s="5" t="n"/>
      <c r="BG1014" s="5" t="n"/>
      <c r="BH1014" s="5" t="n"/>
      <c r="BI1014" s="5" t="n"/>
      <c r="BJ1014" s="5" t="n"/>
      <c r="BK1014" s="5" t="n"/>
      <c r="BL1014" s="5" t="n"/>
      <c r="BM1014" s="5" t="n"/>
      <c r="BN1014" s="5" t="n"/>
      <c r="BO1014" s="5" t="n"/>
      <c r="BP1014" s="5" t="n"/>
      <c r="BQ1014" s="5" t="n"/>
      <c r="BR1014" s="5" t="n"/>
      <c r="BS1014" s="5" t="n"/>
      <c r="BT1014" s="5" t="n"/>
      <c r="BU1014" s="5" t="n"/>
      <c r="BV1014" s="5" t="n"/>
      <c r="BW1014" s="5" t="n"/>
      <c r="BX1014" s="5" t="n"/>
      <c r="BY1014" s="5" t="n"/>
      <c r="BZ1014" s="5" t="n"/>
      <c r="CA1014" s="5" t="n"/>
      <c r="CB1014" s="5" t="n"/>
      <c r="CC1014" s="5" t="n"/>
      <c r="CD1014" s="5" t="n"/>
      <c r="CE1014" s="5" t="n"/>
      <c r="CF1014" s="5" t="n"/>
    </row>
    <row r="1015">
      <c r="A1015" s="171" t="n"/>
      <c r="B1015" s="171" t="n"/>
      <c r="C1015" s="171" t="n"/>
      <c r="D1015" s="170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  <c r="AS1015" s="5" t="n"/>
      <c r="AT1015" s="5" t="n"/>
      <c r="AU1015" s="5" t="n"/>
      <c r="AV1015" s="5" t="n"/>
      <c r="AW1015" s="5" t="n"/>
      <c r="AX1015" s="5" t="n"/>
      <c r="AY1015" s="5" t="n"/>
      <c r="AZ1015" s="5" t="n"/>
      <c r="BA1015" s="5" t="n"/>
      <c r="BB1015" s="5" t="n"/>
      <c r="BC1015" s="5" t="n"/>
      <c r="BD1015" s="5" t="n"/>
      <c r="BE1015" s="5" t="n"/>
      <c r="BF1015" s="5" t="n"/>
      <c r="BG1015" s="5" t="n"/>
      <c r="BH1015" s="5" t="n"/>
      <c r="BI1015" s="5" t="n"/>
      <c r="BJ1015" s="5" t="n"/>
      <c r="BK1015" s="5" t="n"/>
      <c r="BL1015" s="5" t="n"/>
      <c r="BM1015" s="5" t="n"/>
      <c r="BN1015" s="5" t="n"/>
      <c r="BO1015" s="5" t="n"/>
      <c r="BP1015" s="5" t="n"/>
      <c r="BQ1015" s="5" t="n"/>
      <c r="BR1015" s="5" t="n"/>
      <c r="BS1015" s="5" t="n"/>
      <c r="BT1015" s="5" t="n"/>
      <c r="BU1015" s="5" t="n"/>
      <c r="BV1015" s="5" t="n"/>
      <c r="BW1015" s="5" t="n"/>
      <c r="BX1015" s="5" t="n"/>
      <c r="BY1015" s="5" t="n"/>
      <c r="BZ1015" s="5" t="n"/>
      <c r="CA1015" s="5" t="n"/>
      <c r="CB1015" s="5" t="n"/>
      <c r="CC1015" s="5" t="n"/>
      <c r="CD1015" s="5" t="n"/>
      <c r="CE1015" s="5" t="n"/>
      <c r="CF1015" s="5" t="n"/>
    </row>
    <row r="1016">
      <c r="A1016" s="171" t="n"/>
      <c r="B1016" s="171" t="n"/>
      <c r="C1016" s="171" t="n"/>
      <c r="D1016" s="170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/>
      <c r="AR1016" s="5" t="n"/>
      <c r="AS1016" s="5" t="n"/>
      <c r="AT1016" s="5" t="n"/>
      <c r="AU1016" s="5" t="n"/>
      <c r="AV1016" s="5" t="n"/>
      <c r="AW1016" s="5" t="n"/>
      <c r="AX1016" s="5" t="n"/>
      <c r="AY1016" s="5" t="n"/>
      <c r="AZ1016" s="5" t="n"/>
      <c r="BA1016" s="5" t="n"/>
      <c r="BB1016" s="5" t="n"/>
      <c r="BC1016" s="5" t="n"/>
      <c r="BD1016" s="5" t="n"/>
      <c r="BE1016" s="5" t="n"/>
      <c r="BF1016" s="5" t="n"/>
      <c r="BG1016" s="5" t="n"/>
      <c r="BH1016" s="5" t="n"/>
      <c r="BI1016" s="5" t="n"/>
      <c r="BJ1016" s="5" t="n"/>
      <c r="BK1016" s="5" t="n"/>
      <c r="BL1016" s="5" t="n"/>
      <c r="BM1016" s="5" t="n"/>
      <c r="BN1016" s="5" t="n"/>
      <c r="BO1016" s="5" t="n"/>
      <c r="BP1016" s="5" t="n"/>
      <c r="BQ1016" s="5" t="n"/>
      <c r="BR1016" s="5" t="n"/>
      <c r="BS1016" s="5" t="n"/>
      <c r="BT1016" s="5" t="n"/>
      <c r="BU1016" s="5" t="n"/>
      <c r="BV1016" s="5" t="n"/>
      <c r="BW1016" s="5" t="n"/>
      <c r="BX1016" s="5" t="n"/>
      <c r="BY1016" s="5" t="n"/>
      <c r="BZ1016" s="5" t="n"/>
      <c r="CA1016" s="5" t="n"/>
      <c r="CB1016" s="5" t="n"/>
      <c r="CC1016" s="5" t="n"/>
      <c r="CD1016" s="5" t="n"/>
      <c r="CE1016" s="5" t="n"/>
      <c r="CF1016" s="5" t="n"/>
    </row>
    <row r="1017">
      <c r="A1017" s="171" t="n"/>
      <c r="B1017" s="171" t="n"/>
      <c r="C1017" s="171" t="n"/>
      <c r="D1017" s="170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/>
      <c r="AR1017" s="5" t="n"/>
      <c r="AS1017" s="5" t="n"/>
      <c r="AT1017" s="5" t="n"/>
      <c r="AU1017" s="5" t="n"/>
      <c r="AV1017" s="5" t="n"/>
      <c r="AW1017" s="5" t="n"/>
      <c r="AX1017" s="5" t="n"/>
      <c r="AY1017" s="5" t="n"/>
      <c r="AZ1017" s="5" t="n"/>
      <c r="BA1017" s="5" t="n"/>
      <c r="BB1017" s="5" t="n"/>
      <c r="BC1017" s="5" t="n"/>
      <c r="BD1017" s="5" t="n"/>
      <c r="BE1017" s="5" t="n"/>
      <c r="BF1017" s="5" t="n"/>
      <c r="BG1017" s="5" t="n"/>
      <c r="BH1017" s="5" t="n"/>
      <c r="BI1017" s="5" t="n"/>
      <c r="BJ1017" s="5" t="n"/>
      <c r="BK1017" s="5" t="n"/>
      <c r="BL1017" s="5" t="n"/>
      <c r="BM1017" s="5" t="n"/>
      <c r="BN1017" s="5" t="n"/>
      <c r="BO1017" s="5" t="n"/>
      <c r="BP1017" s="5" t="n"/>
      <c r="BQ1017" s="5" t="n"/>
      <c r="BR1017" s="5" t="n"/>
      <c r="BS1017" s="5" t="n"/>
      <c r="BT1017" s="5" t="n"/>
      <c r="BU1017" s="5" t="n"/>
      <c r="BV1017" s="5" t="n"/>
      <c r="BW1017" s="5" t="n"/>
      <c r="BX1017" s="5" t="n"/>
      <c r="BY1017" s="5" t="n"/>
      <c r="BZ1017" s="5" t="n"/>
      <c r="CA1017" s="5" t="n"/>
      <c r="CB1017" s="5" t="n"/>
      <c r="CC1017" s="5" t="n"/>
      <c r="CD1017" s="5" t="n"/>
      <c r="CE1017" s="5" t="n"/>
      <c r="CF1017" s="5" t="n"/>
    </row>
    <row r="1018">
      <c r="A1018" s="171" t="n"/>
      <c r="B1018" s="171" t="n"/>
      <c r="C1018" s="171" t="n"/>
      <c r="D1018" s="170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/>
      <c r="AR1018" s="5" t="n"/>
      <c r="AS1018" s="5" t="n"/>
      <c r="AT1018" s="5" t="n"/>
      <c r="AU1018" s="5" t="n"/>
      <c r="AV1018" s="5" t="n"/>
      <c r="AW1018" s="5" t="n"/>
      <c r="AX1018" s="5" t="n"/>
      <c r="AY1018" s="5" t="n"/>
      <c r="AZ1018" s="5" t="n"/>
      <c r="BA1018" s="5" t="n"/>
      <c r="BB1018" s="5" t="n"/>
      <c r="BC1018" s="5" t="n"/>
      <c r="BD1018" s="5" t="n"/>
      <c r="BE1018" s="5" t="n"/>
      <c r="BF1018" s="5" t="n"/>
      <c r="BG1018" s="5" t="n"/>
      <c r="BH1018" s="5" t="n"/>
      <c r="BI1018" s="5" t="n"/>
      <c r="BJ1018" s="5" t="n"/>
      <c r="BK1018" s="5" t="n"/>
      <c r="BL1018" s="5" t="n"/>
      <c r="BM1018" s="5" t="n"/>
      <c r="BN1018" s="5" t="n"/>
      <c r="BO1018" s="5" t="n"/>
      <c r="BP1018" s="5" t="n"/>
      <c r="BQ1018" s="5" t="n"/>
      <c r="BR1018" s="5" t="n"/>
      <c r="BS1018" s="5" t="n"/>
      <c r="BT1018" s="5" t="n"/>
      <c r="BU1018" s="5" t="n"/>
      <c r="BV1018" s="5" t="n"/>
      <c r="BW1018" s="5" t="n"/>
      <c r="BX1018" s="5" t="n"/>
      <c r="BY1018" s="5" t="n"/>
      <c r="BZ1018" s="5" t="n"/>
      <c r="CA1018" s="5" t="n"/>
      <c r="CB1018" s="5" t="n"/>
      <c r="CC1018" s="5" t="n"/>
      <c r="CD1018" s="5" t="n"/>
      <c r="CE1018" s="5" t="n"/>
      <c r="CF1018" s="5" t="n"/>
    </row>
    <row r="1019">
      <c r="A1019" s="171" t="n"/>
      <c r="B1019" s="171" t="n"/>
      <c r="C1019" s="171" t="n"/>
      <c r="D1019" s="170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/>
      <c r="AR1019" s="5" t="n"/>
      <c r="AS1019" s="5" t="n"/>
      <c r="AT1019" s="5" t="n"/>
      <c r="AU1019" s="5" t="n"/>
      <c r="AV1019" s="5" t="n"/>
      <c r="AW1019" s="5" t="n"/>
      <c r="AX1019" s="5" t="n"/>
      <c r="AY1019" s="5" t="n"/>
      <c r="AZ1019" s="5" t="n"/>
      <c r="BA1019" s="5" t="n"/>
      <c r="BB1019" s="5" t="n"/>
      <c r="BC1019" s="5" t="n"/>
      <c r="BD1019" s="5" t="n"/>
      <c r="BE1019" s="5" t="n"/>
      <c r="BF1019" s="5" t="n"/>
      <c r="BG1019" s="5" t="n"/>
      <c r="BH1019" s="5" t="n"/>
      <c r="BI1019" s="5" t="n"/>
      <c r="BJ1019" s="5" t="n"/>
      <c r="BK1019" s="5" t="n"/>
      <c r="BL1019" s="5" t="n"/>
      <c r="BM1019" s="5" t="n"/>
      <c r="BN1019" s="5" t="n"/>
      <c r="BO1019" s="5" t="n"/>
      <c r="BP1019" s="5" t="n"/>
      <c r="BQ1019" s="5" t="n"/>
      <c r="BR1019" s="5" t="n"/>
      <c r="BS1019" s="5" t="n"/>
      <c r="BT1019" s="5" t="n"/>
      <c r="BU1019" s="5" t="n"/>
      <c r="BV1019" s="5" t="n"/>
      <c r="BW1019" s="5" t="n"/>
      <c r="BX1019" s="5" t="n"/>
      <c r="BY1019" s="5" t="n"/>
      <c r="BZ1019" s="5" t="n"/>
      <c r="CA1019" s="5" t="n"/>
      <c r="CB1019" s="5" t="n"/>
      <c r="CC1019" s="5" t="n"/>
      <c r="CD1019" s="5" t="n"/>
      <c r="CE1019" s="5" t="n"/>
      <c r="CF1019" s="5" t="n"/>
    </row>
    <row r="1020">
      <c r="A1020" s="171" t="n"/>
      <c r="B1020" s="171" t="n"/>
      <c r="C1020" s="171" t="n"/>
      <c r="D1020" s="170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/>
      <c r="AR1020" s="5" t="n"/>
      <c r="AS1020" s="5" t="n"/>
      <c r="AT1020" s="5" t="n"/>
      <c r="AU1020" s="5" t="n"/>
      <c r="AV1020" s="5" t="n"/>
      <c r="AW1020" s="5" t="n"/>
      <c r="AX1020" s="5" t="n"/>
      <c r="AY1020" s="5" t="n"/>
      <c r="AZ1020" s="5" t="n"/>
      <c r="BA1020" s="5" t="n"/>
      <c r="BB1020" s="5" t="n"/>
      <c r="BC1020" s="5" t="n"/>
      <c r="BD1020" s="5" t="n"/>
      <c r="BE1020" s="5" t="n"/>
      <c r="BF1020" s="5" t="n"/>
      <c r="BG1020" s="5" t="n"/>
      <c r="BH1020" s="5" t="n"/>
      <c r="BI1020" s="5" t="n"/>
      <c r="BJ1020" s="5" t="n"/>
      <c r="BK1020" s="5" t="n"/>
      <c r="BL1020" s="5" t="n"/>
      <c r="BM1020" s="5" t="n"/>
      <c r="BN1020" s="5" t="n"/>
      <c r="BO1020" s="5" t="n"/>
      <c r="BP1020" s="5" t="n"/>
      <c r="BQ1020" s="5" t="n"/>
      <c r="BR1020" s="5" t="n"/>
      <c r="BS1020" s="5" t="n"/>
      <c r="BT1020" s="5" t="n"/>
      <c r="BU1020" s="5" t="n"/>
      <c r="BV1020" s="5" t="n"/>
      <c r="BW1020" s="5" t="n"/>
      <c r="BX1020" s="5" t="n"/>
      <c r="BY1020" s="5" t="n"/>
      <c r="BZ1020" s="5" t="n"/>
      <c r="CA1020" s="5" t="n"/>
      <c r="CB1020" s="5" t="n"/>
      <c r="CC1020" s="5" t="n"/>
      <c r="CD1020" s="5" t="n"/>
      <c r="CE1020" s="5" t="n"/>
      <c r="CF1020" s="5" t="n"/>
    </row>
    <row r="1021">
      <c r="A1021" s="171" t="n"/>
      <c r="B1021" s="171" t="n"/>
      <c r="C1021" s="171" t="n"/>
      <c r="D1021" s="170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  <c r="AQ1021" s="5" t="n"/>
      <c r="AR1021" s="5" t="n"/>
      <c r="AS1021" s="5" t="n"/>
      <c r="AT1021" s="5" t="n"/>
      <c r="AU1021" s="5" t="n"/>
      <c r="AV1021" s="5" t="n"/>
      <c r="AW1021" s="5" t="n"/>
      <c r="AX1021" s="5" t="n"/>
      <c r="AY1021" s="5" t="n"/>
      <c r="AZ1021" s="5" t="n"/>
      <c r="BA1021" s="5" t="n"/>
      <c r="BB1021" s="5" t="n"/>
      <c r="BC1021" s="5" t="n"/>
      <c r="BD1021" s="5" t="n"/>
      <c r="BE1021" s="5" t="n"/>
      <c r="BF1021" s="5" t="n"/>
      <c r="BG1021" s="5" t="n"/>
      <c r="BH1021" s="5" t="n"/>
      <c r="BI1021" s="5" t="n"/>
      <c r="BJ1021" s="5" t="n"/>
      <c r="BK1021" s="5" t="n"/>
      <c r="BL1021" s="5" t="n"/>
      <c r="BM1021" s="5" t="n"/>
      <c r="BN1021" s="5" t="n"/>
      <c r="BO1021" s="5" t="n"/>
      <c r="BP1021" s="5" t="n"/>
      <c r="BQ1021" s="5" t="n"/>
      <c r="BR1021" s="5" t="n"/>
      <c r="BS1021" s="5" t="n"/>
      <c r="BT1021" s="5" t="n"/>
      <c r="BU1021" s="5" t="n"/>
      <c r="BV1021" s="5" t="n"/>
      <c r="BW1021" s="5" t="n"/>
      <c r="BX1021" s="5" t="n"/>
      <c r="BY1021" s="5" t="n"/>
      <c r="BZ1021" s="5" t="n"/>
      <c r="CA1021" s="5" t="n"/>
      <c r="CB1021" s="5" t="n"/>
      <c r="CC1021" s="5" t="n"/>
      <c r="CD1021" s="5" t="n"/>
      <c r="CE1021" s="5" t="n"/>
      <c r="CF1021" s="5" t="n"/>
    </row>
    <row r="1022">
      <c r="A1022" s="171" t="n"/>
      <c r="B1022" s="171" t="n"/>
      <c r="C1022" s="171" t="n"/>
      <c r="D1022" s="170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  <c r="AQ1022" s="5" t="n"/>
      <c r="AR1022" s="5" t="n"/>
      <c r="AS1022" s="5" t="n"/>
      <c r="AT1022" s="5" t="n"/>
      <c r="AU1022" s="5" t="n"/>
      <c r="AV1022" s="5" t="n"/>
      <c r="AW1022" s="5" t="n"/>
      <c r="AX1022" s="5" t="n"/>
      <c r="AY1022" s="5" t="n"/>
      <c r="AZ1022" s="5" t="n"/>
      <c r="BA1022" s="5" t="n"/>
      <c r="BB1022" s="5" t="n"/>
      <c r="BC1022" s="5" t="n"/>
      <c r="BD1022" s="5" t="n"/>
      <c r="BE1022" s="5" t="n"/>
      <c r="BF1022" s="5" t="n"/>
      <c r="BG1022" s="5" t="n"/>
      <c r="BH1022" s="5" t="n"/>
      <c r="BI1022" s="5" t="n"/>
      <c r="BJ1022" s="5" t="n"/>
      <c r="BK1022" s="5" t="n"/>
      <c r="BL1022" s="5" t="n"/>
      <c r="BM1022" s="5" t="n"/>
      <c r="BN1022" s="5" t="n"/>
      <c r="BO1022" s="5" t="n"/>
      <c r="BP1022" s="5" t="n"/>
      <c r="BQ1022" s="5" t="n"/>
      <c r="BR1022" s="5" t="n"/>
      <c r="BS1022" s="5" t="n"/>
      <c r="BT1022" s="5" t="n"/>
      <c r="BU1022" s="5" t="n"/>
      <c r="BV1022" s="5" t="n"/>
      <c r="BW1022" s="5" t="n"/>
      <c r="BX1022" s="5" t="n"/>
      <c r="BY1022" s="5" t="n"/>
      <c r="BZ1022" s="5" t="n"/>
      <c r="CA1022" s="5" t="n"/>
      <c r="CB1022" s="5" t="n"/>
      <c r="CC1022" s="5" t="n"/>
      <c r="CD1022" s="5" t="n"/>
      <c r="CE1022" s="5" t="n"/>
      <c r="CF1022" s="5" t="n"/>
    </row>
    <row r="1023">
      <c r="A1023" s="171" t="n"/>
      <c r="B1023" s="171" t="n"/>
      <c r="C1023" s="171" t="n"/>
      <c r="D1023" s="170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  <c r="AQ1023" s="5" t="n"/>
      <c r="AR1023" s="5" t="n"/>
      <c r="AS1023" s="5" t="n"/>
      <c r="AT1023" s="5" t="n"/>
      <c r="AU1023" s="5" t="n"/>
      <c r="AV1023" s="5" t="n"/>
      <c r="AW1023" s="5" t="n"/>
      <c r="AX1023" s="5" t="n"/>
      <c r="AY1023" s="5" t="n"/>
      <c r="AZ1023" s="5" t="n"/>
      <c r="BA1023" s="5" t="n"/>
      <c r="BB1023" s="5" t="n"/>
      <c r="BC1023" s="5" t="n"/>
      <c r="BD1023" s="5" t="n"/>
      <c r="BE1023" s="5" t="n"/>
      <c r="BF1023" s="5" t="n"/>
      <c r="BG1023" s="5" t="n"/>
      <c r="BH1023" s="5" t="n"/>
      <c r="BI1023" s="5" t="n"/>
      <c r="BJ1023" s="5" t="n"/>
      <c r="BK1023" s="5" t="n"/>
      <c r="BL1023" s="5" t="n"/>
      <c r="BM1023" s="5" t="n"/>
      <c r="BN1023" s="5" t="n"/>
      <c r="BO1023" s="5" t="n"/>
      <c r="BP1023" s="5" t="n"/>
      <c r="BQ1023" s="5" t="n"/>
      <c r="BR1023" s="5" t="n"/>
      <c r="BS1023" s="5" t="n"/>
      <c r="BT1023" s="5" t="n"/>
      <c r="BU1023" s="5" t="n"/>
      <c r="BV1023" s="5" t="n"/>
      <c r="BW1023" s="5" t="n"/>
      <c r="BX1023" s="5" t="n"/>
      <c r="BY1023" s="5" t="n"/>
      <c r="BZ1023" s="5" t="n"/>
      <c r="CA1023" s="5" t="n"/>
      <c r="CB1023" s="5" t="n"/>
      <c r="CC1023" s="5" t="n"/>
      <c r="CD1023" s="5" t="n"/>
      <c r="CE1023" s="5" t="n"/>
      <c r="CF1023" s="5" t="n"/>
    </row>
    <row r="1024">
      <c r="A1024" s="171" t="n"/>
      <c r="B1024" s="171" t="n"/>
      <c r="C1024" s="171" t="n"/>
      <c r="D1024" s="170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  <c r="AQ1024" s="5" t="n"/>
      <c r="AR1024" s="5" t="n"/>
      <c r="AS1024" s="5" t="n"/>
      <c r="AT1024" s="5" t="n"/>
      <c r="AU1024" s="5" t="n"/>
      <c r="AV1024" s="5" t="n"/>
      <c r="AW1024" s="5" t="n"/>
      <c r="AX1024" s="5" t="n"/>
      <c r="AY1024" s="5" t="n"/>
      <c r="AZ1024" s="5" t="n"/>
      <c r="BA1024" s="5" t="n"/>
      <c r="BB1024" s="5" t="n"/>
      <c r="BC1024" s="5" t="n"/>
      <c r="BD1024" s="5" t="n"/>
      <c r="BE1024" s="5" t="n"/>
      <c r="BF1024" s="5" t="n"/>
      <c r="BG1024" s="5" t="n"/>
      <c r="BH1024" s="5" t="n"/>
      <c r="BI1024" s="5" t="n"/>
      <c r="BJ1024" s="5" t="n"/>
      <c r="BK1024" s="5" t="n"/>
      <c r="BL1024" s="5" t="n"/>
      <c r="BM1024" s="5" t="n"/>
      <c r="BN1024" s="5" t="n"/>
      <c r="BO1024" s="5" t="n"/>
      <c r="BP1024" s="5" t="n"/>
      <c r="BQ1024" s="5" t="n"/>
      <c r="BR1024" s="5" t="n"/>
      <c r="BS1024" s="5" t="n"/>
      <c r="BT1024" s="5" t="n"/>
      <c r="BU1024" s="5" t="n"/>
      <c r="BV1024" s="5" t="n"/>
      <c r="BW1024" s="5" t="n"/>
      <c r="BX1024" s="5" t="n"/>
      <c r="BY1024" s="5" t="n"/>
      <c r="BZ1024" s="5" t="n"/>
      <c r="CA1024" s="5" t="n"/>
      <c r="CB1024" s="5" t="n"/>
      <c r="CC1024" s="5" t="n"/>
      <c r="CD1024" s="5" t="n"/>
      <c r="CE1024" s="5" t="n"/>
      <c r="CF1024" s="5" t="n"/>
    </row>
    <row r="1025">
      <c r="A1025" s="171" t="n"/>
      <c r="B1025" s="171" t="n"/>
      <c r="C1025" s="171" t="n"/>
      <c r="D1025" s="170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  <c r="AQ1025" s="5" t="n"/>
      <c r="AR1025" s="5" t="n"/>
      <c r="AS1025" s="5" t="n"/>
      <c r="AT1025" s="5" t="n"/>
      <c r="AU1025" s="5" t="n"/>
      <c r="AV1025" s="5" t="n"/>
      <c r="AW1025" s="5" t="n"/>
      <c r="AX1025" s="5" t="n"/>
      <c r="AY1025" s="5" t="n"/>
      <c r="AZ1025" s="5" t="n"/>
      <c r="BA1025" s="5" t="n"/>
      <c r="BB1025" s="5" t="n"/>
      <c r="BC1025" s="5" t="n"/>
      <c r="BD1025" s="5" t="n"/>
      <c r="BE1025" s="5" t="n"/>
      <c r="BF1025" s="5" t="n"/>
      <c r="BG1025" s="5" t="n"/>
      <c r="BH1025" s="5" t="n"/>
      <c r="BI1025" s="5" t="n"/>
      <c r="BJ1025" s="5" t="n"/>
      <c r="BK1025" s="5" t="n"/>
      <c r="BL1025" s="5" t="n"/>
      <c r="BM1025" s="5" t="n"/>
      <c r="BN1025" s="5" t="n"/>
      <c r="BO1025" s="5" t="n"/>
      <c r="BP1025" s="5" t="n"/>
      <c r="BQ1025" s="5" t="n"/>
      <c r="BR1025" s="5" t="n"/>
      <c r="BS1025" s="5" t="n"/>
      <c r="BT1025" s="5" t="n"/>
      <c r="BU1025" s="5" t="n"/>
      <c r="BV1025" s="5" t="n"/>
      <c r="BW1025" s="5" t="n"/>
      <c r="BX1025" s="5" t="n"/>
      <c r="BY1025" s="5" t="n"/>
      <c r="BZ1025" s="5" t="n"/>
      <c r="CA1025" s="5" t="n"/>
      <c r="CB1025" s="5" t="n"/>
      <c r="CC1025" s="5" t="n"/>
      <c r="CD1025" s="5" t="n"/>
      <c r="CE1025" s="5" t="n"/>
      <c r="CF1025" s="5" t="n"/>
    </row>
    <row r="1026">
      <c r="A1026" s="171" t="n"/>
      <c r="B1026" s="171" t="n"/>
      <c r="C1026" s="171" t="n"/>
      <c r="D1026" s="170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  <c r="AQ1026" s="5" t="n"/>
      <c r="AR1026" s="5" t="n"/>
      <c r="AS1026" s="5" t="n"/>
      <c r="AT1026" s="5" t="n"/>
      <c r="AU1026" s="5" t="n"/>
      <c r="AV1026" s="5" t="n"/>
      <c r="AW1026" s="5" t="n"/>
      <c r="AX1026" s="5" t="n"/>
      <c r="AY1026" s="5" t="n"/>
      <c r="AZ1026" s="5" t="n"/>
      <c r="BA1026" s="5" t="n"/>
      <c r="BB1026" s="5" t="n"/>
      <c r="BC1026" s="5" t="n"/>
      <c r="BD1026" s="5" t="n"/>
      <c r="BE1026" s="5" t="n"/>
      <c r="BF1026" s="5" t="n"/>
      <c r="BG1026" s="5" t="n"/>
      <c r="BH1026" s="5" t="n"/>
      <c r="BI1026" s="5" t="n"/>
      <c r="BJ1026" s="5" t="n"/>
      <c r="BK1026" s="5" t="n"/>
      <c r="BL1026" s="5" t="n"/>
      <c r="BM1026" s="5" t="n"/>
      <c r="BN1026" s="5" t="n"/>
      <c r="BO1026" s="5" t="n"/>
      <c r="BP1026" s="5" t="n"/>
      <c r="BQ1026" s="5" t="n"/>
      <c r="BR1026" s="5" t="n"/>
      <c r="BS1026" s="5" t="n"/>
      <c r="BT1026" s="5" t="n"/>
      <c r="BU1026" s="5" t="n"/>
      <c r="BV1026" s="5" t="n"/>
      <c r="BW1026" s="5" t="n"/>
      <c r="BX1026" s="5" t="n"/>
      <c r="BY1026" s="5" t="n"/>
      <c r="BZ1026" s="5" t="n"/>
      <c r="CA1026" s="5" t="n"/>
      <c r="CB1026" s="5" t="n"/>
      <c r="CC1026" s="5" t="n"/>
      <c r="CD1026" s="5" t="n"/>
      <c r="CE1026" s="5" t="n"/>
      <c r="CF1026" s="5" t="n"/>
    </row>
    <row r="1027">
      <c r="A1027" s="171" t="n"/>
      <c r="B1027" s="171" t="n"/>
      <c r="C1027" s="171" t="n"/>
      <c r="D1027" s="170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  <c r="AS1027" s="5" t="n"/>
      <c r="AT1027" s="5" t="n"/>
      <c r="AU1027" s="5" t="n"/>
      <c r="AV1027" s="5" t="n"/>
      <c r="AW1027" s="5" t="n"/>
      <c r="AX1027" s="5" t="n"/>
      <c r="AY1027" s="5" t="n"/>
      <c r="AZ1027" s="5" t="n"/>
      <c r="BA1027" s="5" t="n"/>
      <c r="BB1027" s="5" t="n"/>
      <c r="BC1027" s="5" t="n"/>
      <c r="BD1027" s="5" t="n"/>
      <c r="BE1027" s="5" t="n"/>
      <c r="BF1027" s="5" t="n"/>
      <c r="BG1027" s="5" t="n"/>
      <c r="BH1027" s="5" t="n"/>
      <c r="BI1027" s="5" t="n"/>
      <c r="BJ1027" s="5" t="n"/>
      <c r="BK1027" s="5" t="n"/>
      <c r="BL1027" s="5" t="n"/>
      <c r="BM1027" s="5" t="n"/>
      <c r="BN1027" s="5" t="n"/>
      <c r="BO1027" s="5" t="n"/>
      <c r="BP1027" s="5" t="n"/>
      <c r="BQ1027" s="5" t="n"/>
      <c r="BR1027" s="5" t="n"/>
      <c r="BS1027" s="5" t="n"/>
      <c r="BT1027" s="5" t="n"/>
      <c r="BU1027" s="5" t="n"/>
      <c r="BV1027" s="5" t="n"/>
      <c r="BW1027" s="5" t="n"/>
      <c r="BX1027" s="5" t="n"/>
      <c r="BY1027" s="5" t="n"/>
      <c r="BZ1027" s="5" t="n"/>
      <c r="CA1027" s="5" t="n"/>
      <c r="CB1027" s="5" t="n"/>
      <c r="CC1027" s="5" t="n"/>
      <c r="CD1027" s="5" t="n"/>
      <c r="CE1027" s="5" t="n"/>
      <c r="CF1027" s="5" t="n"/>
    </row>
    <row r="1028">
      <c r="A1028" s="171" t="n"/>
      <c r="B1028" s="171" t="n"/>
      <c r="C1028" s="171" t="n"/>
      <c r="D1028" s="170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  <c r="AQ1028" s="5" t="n"/>
      <c r="AR1028" s="5" t="n"/>
      <c r="AS1028" s="5" t="n"/>
      <c r="AT1028" s="5" t="n"/>
      <c r="AU1028" s="5" t="n"/>
      <c r="AV1028" s="5" t="n"/>
      <c r="AW1028" s="5" t="n"/>
      <c r="AX1028" s="5" t="n"/>
      <c r="AY1028" s="5" t="n"/>
      <c r="AZ1028" s="5" t="n"/>
      <c r="BA1028" s="5" t="n"/>
      <c r="BB1028" s="5" t="n"/>
      <c r="BC1028" s="5" t="n"/>
      <c r="BD1028" s="5" t="n"/>
      <c r="BE1028" s="5" t="n"/>
      <c r="BF1028" s="5" t="n"/>
      <c r="BG1028" s="5" t="n"/>
      <c r="BH1028" s="5" t="n"/>
      <c r="BI1028" s="5" t="n"/>
      <c r="BJ1028" s="5" t="n"/>
      <c r="BK1028" s="5" t="n"/>
      <c r="BL1028" s="5" t="n"/>
      <c r="BM1028" s="5" t="n"/>
      <c r="BN1028" s="5" t="n"/>
      <c r="BO1028" s="5" t="n"/>
      <c r="BP1028" s="5" t="n"/>
      <c r="BQ1028" s="5" t="n"/>
      <c r="BR1028" s="5" t="n"/>
      <c r="BS1028" s="5" t="n"/>
      <c r="BT1028" s="5" t="n"/>
      <c r="BU1028" s="5" t="n"/>
      <c r="BV1028" s="5" t="n"/>
      <c r="BW1028" s="5" t="n"/>
      <c r="BX1028" s="5" t="n"/>
      <c r="BY1028" s="5" t="n"/>
      <c r="BZ1028" s="5" t="n"/>
      <c r="CA1028" s="5" t="n"/>
      <c r="CB1028" s="5" t="n"/>
      <c r="CC1028" s="5" t="n"/>
      <c r="CD1028" s="5" t="n"/>
      <c r="CE1028" s="5" t="n"/>
      <c r="CF1028" s="5" t="n"/>
    </row>
    <row r="1029">
      <c r="A1029" s="171" t="n"/>
      <c r="B1029" s="171" t="n"/>
      <c r="C1029" s="171" t="n"/>
      <c r="D1029" s="170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  <c r="AQ1029" s="5" t="n"/>
      <c r="AR1029" s="5" t="n"/>
      <c r="AS1029" s="5" t="n"/>
      <c r="AT1029" s="5" t="n"/>
      <c r="AU1029" s="5" t="n"/>
      <c r="AV1029" s="5" t="n"/>
      <c r="AW1029" s="5" t="n"/>
      <c r="AX1029" s="5" t="n"/>
      <c r="AY1029" s="5" t="n"/>
      <c r="AZ1029" s="5" t="n"/>
      <c r="BA1029" s="5" t="n"/>
      <c r="BB1029" s="5" t="n"/>
      <c r="BC1029" s="5" t="n"/>
      <c r="BD1029" s="5" t="n"/>
      <c r="BE1029" s="5" t="n"/>
      <c r="BF1029" s="5" t="n"/>
      <c r="BG1029" s="5" t="n"/>
      <c r="BH1029" s="5" t="n"/>
      <c r="BI1029" s="5" t="n"/>
      <c r="BJ1029" s="5" t="n"/>
      <c r="BK1029" s="5" t="n"/>
      <c r="BL1029" s="5" t="n"/>
      <c r="BM1029" s="5" t="n"/>
      <c r="BN1029" s="5" t="n"/>
      <c r="BO1029" s="5" t="n"/>
      <c r="BP1029" s="5" t="n"/>
      <c r="BQ1029" s="5" t="n"/>
      <c r="BR1029" s="5" t="n"/>
      <c r="BS1029" s="5" t="n"/>
      <c r="BT1029" s="5" t="n"/>
      <c r="BU1029" s="5" t="n"/>
      <c r="BV1029" s="5" t="n"/>
      <c r="BW1029" s="5" t="n"/>
      <c r="BX1029" s="5" t="n"/>
      <c r="BY1029" s="5" t="n"/>
      <c r="BZ1029" s="5" t="n"/>
      <c r="CA1029" s="5" t="n"/>
      <c r="CB1029" s="5" t="n"/>
      <c r="CC1029" s="5" t="n"/>
      <c r="CD1029" s="5" t="n"/>
      <c r="CE1029" s="5" t="n"/>
      <c r="CF1029" s="5" t="n"/>
    </row>
    <row r="1030">
      <c r="A1030" s="171" t="n"/>
      <c r="B1030" s="171" t="n"/>
      <c r="C1030" s="171" t="n"/>
      <c r="D1030" s="170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  <c r="AQ1030" s="5" t="n"/>
      <c r="AR1030" s="5" t="n"/>
      <c r="AS1030" s="5" t="n"/>
      <c r="AT1030" s="5" t="n"/>
      <c r="AU1030" s="5" t="n"/>
      <c r="AV1030" s="5" t="n"/>
      <c r="AW1030" s="5" t="n"/>
      <c r="AX1030" s="5" t="n"/>
      <c r="AY1030" s="5" t="n"/>
      <c r="AZ1030" s="5" t="n"/>
      <c r="BA1030" s="5" t="n"/>
      <c r="BB1030" s="5" t="n"/>
      <c r="BC1030" s="5" t="n"/>
      <c r="BD1030" s="5" t="n"/>
      <c r="BE1030" s="5" t="n"/>
      <c r="BF1030" s="5" t="n"/>
      <c r="BG1030" s="5" t="n"/>
      <c r="BH1030" s="5" t="n"/>
      <c r="BI1030" s="5" t="n"/>
      <c r="BJ1030" s="5" t="n"/>
      <c r="BK1030" s="5" t="n"/>
      <c r="BL1030" s="5" t="n"/>
      <c r="BM1030" s="5" t="n"/>
      <c r="BN1030" s="5" t="n"/>
      <c r="BO1030" s="5" t="n"/>
      <c r="BP1030" s="5" t="n"/>
      <c r="BQ1030" s="5" t="n"/>
      <c r="BR1030" s="5" t="n"/>
      <c r="BS1030" s="5" t="n"/>
      <c r="BT1030" s="5" t="n"/>
      <c r="BU1030" s="5" t="n"/>
      <c r="BV1030" s="5" t="n"/>
      <c r="BW1030" s="5" t="n"/>
      <c r="BX1030" s="5" t="n"/>
      <c r="BY1030" s="5" t="n"/>
      <c r="BZ1030" s="5" t="n"/>
      <c r="CA1030" s="5" t="n"/>
      <c r="CB1030" s="5" t="n"/>
      <c r="CC1030" s="5" t="n"/>
      <c r="CD1030" s="5" t="n"/>
      <c r="CE1030" s="5" t="n"/>
      <c r="CF1030" s="5" t="n"/>
    </row>
    <row r="1031">
      <c r="A1031" s="171" t="n"/>
      <c r="B1031" s="171" t="n"/>
      <c r="C1031" s="171" t="n"/>
      <c r="D1031" s="170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/>
      <c r="BJ1031" s="5" t="n"/>
      <c r="BK1031" s="5" t="n"/>
      <c r="BL1031" s="5" t="n"/>
      <c r="BM1031" s="5" t="n"/>
      <c r="BN1031" s="5" t="n"/>
      <c r="BO1031" s="5" t="n"/>
      <c r="BP1031" s="5" t="n"/>
      <c r="BQ1031" s="5" t="n"/>
      <c r="BR1031" s="5" t="n"/>
      <c r="BS1031" s="5" t="n"/>
      <c r="BT1031" s="5" t="n"/>
      <c r="BU1031" s="5" t="n"/>
      <c r="BV1031" s="5" t="n"/>
      <c r="BW1031" s="5" t="n"/>
      <c r="BX1031" s="5" t="n"/>
      <c r="BY1031" s="5" t="n"/>
      <c r="BZ1031" s="5" t="n"/>
      <c r="CA1031" s="5" t="n"/>
      <c r="CB1031" s="5" t="n"/>
      <c r="CC1031" s="5" t="n"/>
      <c r="CD1031" s="5" t="n"/>
      <c r="CE1031" s="5" t="n"/>
      <c r="CF1031" s="5" t="n"/>
    </row>
    <row r="1032">
      <c r="A1032" s="171" t="n"/>
      <c r="B1032" s="171" t="n"/>
      <c r="C1032" s="171" t="n"/>
      <c r="D1032" s="170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  <c r="AQ1032" s="5" t="n"/>
      <c r="AR1032" s="5" t="n"/>
      <c r="AS1032" s="5" t="n"/>
      <c r="AT1032" s="5" t="n"/>
      <c r="AU1032" s="5" t="n"/>
      <c r="AV1032" s="5" t="n"/>
      <c r="AW1032" s="5" t="n"/>
      <c r="AX1032" s="5" t="n"/>
      <c r="AY1032" s="5" t="n"/>
      <c r="AZ1032" s="5" t="n"/>
      <c r="BA1032" s="5" t="n"/>
      <c r="BB1032" s="5" t="n"/>
      <c r="BC1032" s="5" t="n"/>
      <c r="BD1032" s="5" t="n"/>
      <c r="BE1032" s="5" t="n"/>
      <c r="BF1032" s="5" t="n"/>
      <c r="BG1032" s="5" t="n"/>
      <c r="BH1032" s="5" t="n"/>
      <c r="BI1032" s="5" t="n"/>
      <c r="BJ1032" s="5" t="n"/>
      <c r="BK1032" s="5" t="n"/>
      <c r="BL1032" s="5" t="n"/>
      <c r="BM1032" s="5" t="n"/>
      <c r="BN1032" s="5" t="n"/>
      <c r="BO1032" s="5" t="n"/>
      <c r="BP1032" s="5" t="n"/>
      <c r="BQ1032" s="5" t="n"/>
      <c r="BR1032" s="5" t="n"/>
      <c r="BS1032" s="5" t="n"/>
      <c r="BT1032" s="5" t="n"/>
      <c r="BU1032" s="5" t="n"/>
      <c r="BV1032" s="5" t="n"/>
      <c r="BW1032" s="5" t="n"/>
      <c r="BX1032" s="5" t="n"/>
      <c r="BY1032" s="5" t="n"/>
      <c r="BZ1032" s="5" t="n"/>
      <c r="CA1032" s="5" t="n"/>
      <c r="CB1032" s="5" t="n"/>
      <c r="CC1032" s="5" t="n"/>
      <c r="CD1032" s="5" t="n"/>
      <c r="CE1032" s="5" t="n"/>
      <c r="CF1032" s="5" t="n"/>
    </row>
    <row r="1033">
      <c r="A1033" s="171" t="n"/>
      <c r="B1033" s="171" t="n"/>
      <c r="C1033" s="171" t="n"/>
      <c r="D1033" s="170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  <c r="AQ1033" s="5" t="n"/>
      <c r="AR1033" s="5" t="n"/>
      <c r="AS1033" s="5" t="n"/>
      <c r="AT1033" s="5" t="n"/>
      <c r="AU1033" s="5" t="n"/>
      <c r="AV1033" s="5" t="n"/>
      <c r="AW1033" s="5" t="n"/>
      <c r="AX1033" s="5" t="n"/>
      <c r="AY1033" s="5" t="n"/>
      <c r="AZ1033" s="5" t="n"/>
      <c r="BA1033" s="5" t="n"/>
      <c r="BB1033" s="5" t="n"/>
      <c r="BC1033" s="5" t="n"/>
      <c r="BD1033" s="5" t="n"/>
      <c r="BE1033" s="5" t="n"/>
      <c r="BF1033" s="5" t="n"/>
      <c r="BG1033" s="5" t="n"/>
      <c r="BH1033" s="5" t="n"/>
      <c r="BI1033" s="5" t="n"/>
      <c r="BJ1033" s="5" t="n"/>
      <c r="BK1033" s="5" t="n"/>
      <c r="BL1033" s="5" t="n"/>
      <c r="BM1033" s="5" t="n"/>
      <c r="BN1033" s="5" t="n"/>
      <c r="BO1033" s="5" t="n"/>
      <c r="BP1033" s="5" t="n"/>
      <c r="BQ1033" s="5" t="n"/>
      <c r="BR1033" s="5" t="n"/>
      <c r="BS1033" s="5" t="n"/>
      <c r="BT1033" s="5" t="n"/>
      <c r="BU1033" s="5" t="n"/>
      <c r="BV1033" s="5" t="n"/>
      <c r="BW1033" s="5" t="n"/>
      <c r="BX1033" s="5" t="n"/>
      <c r="BY1033" s="5" t="n"/>
      <c r="BZ1033" s="5" t="n"/>
      <c r="CA1033" s="5" t="n"/>
      <c r="CB1033" s="5" t="n"/>
      <c r="CC1033" s="5" t="n"/>
      <c r="CD1033" s="5" t="n"/>
      <c r="CE1033" s="5" t="n"/>
      <c r="CF1033" s="5" t="n"/>
    </row>
    <row r="1034">
      <c r="A1034" s="171" t="n"/>
      <c r="B1034" s="171" t="n"/>
      <c r="C1034" s="171" t="n"/>
      <c r="D1034" s="170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  <c r="AQ1034" s="5" t="n"/>
      <c r="AR1034" s="5" t="n"/>
      <c r="AS1034" s="5" t="n"/>
      <c r="AT1034" s="5" t="n"/>
      <c r="AU1034" s="5" t="n"/>
      <c r="AV1034" s="5" t="n"/>
      <c r="AW1034" s="5" t="n"/>
      <c r="AX1034" s="5" t="n"/>
      <c r="AY1034" s="5" t="n"/>
      <c r="AZ1034" s="5" t="n"/>
      <c r="BA1034" s="5" t="n"/>
      <c r="BB1034" s="5" t="n"/>
      <c r="BC1034" s="5" t="n"/>
      <c r="BD1034" s="5" t="n"/>
      <c r="BE1034" s="5" t="n"/>
      <c r="BF1034" s="5" t="n"/>
      <c r="BG1034" s="5" t="n"/>
      <c r="BH1034" s="5" t="n"/>
      <c r="BI1034" s="5" t="n"/>
      <c r="BJ1034" s="5" t="n"/>
      <c r="BK1034" s="5" t="n"/>
      <c r="BL1034" s="5" t="n"/>
      <c r="BM1034" s="5" t="n"/>
      <c r="BN1034" s="5" t="n"/>
      <c r="BO1034" s="5" t="n"/>
      <c r="BP1034" s="5" t="n"/>
      <c r="BQ1034" s="5" t="n"/>
      <c r="BR1034" s="5" t="n"/>
      <c r="BS1034" s="5" t="n"/>
      <c r="BT1034" s="5" t="n"/>
      <c r="BU1034" s="5" t="n"/>
      <c r="BV1034" s="5" t="n"/>
      <c r="BW1034" s="5" t="n"/>
      <c r="BX1034" s="5" t="n"/>
      <c r="BY1034" s="5" t="n"/>
      <c r="BZ1034" s="5" t="n"/>
      <c r="CA1034" s="5" t="n"/>
      <c r="CB1034" s="5" t="n"/>
      <c r="CC1034" s="5" t="n"/>
      <c r="CD1034" s="5" t="n"/>
      <c r="CE1034" s="5" t="n"/>
      <c r="CF1034" s="5" t="n"/>
    </row>
    <row r="1035">
      <c r="A1035" s="171" t="n"/>
      <c r="B1035" s="171" t="n"/>
      <c r="C1035" s="171" t="n"/>
      <c r="D1035" s="170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  <c r="AQ1035" s="5" t="n"/>
      <c r="AR1035" s="5" t="n"/>
      <c r="AS1035" s="5" t="n"/>
      <c r="AT1035" s="5" t="n"/>
      <c r="AU1035" s="5" t="n"/>
      <c r="AV1035" s="5" t="n"/>
      <c r="AW1035" s="5" t="n"/>
      <c r="AX1035" s="5" t="n"/>
      <c r="AY1035" s="5" t="n"/>
      <c r="AZ1035" s="5" t="n"/>
      <c r="BA1035" s="5" t="n"/>
      <c r="BB1035" s="5" t="n"/>
      <c r="BC1035" s="5" t="n"/>
      <c r="BD1035" s="5" t="n"/>
      <c r="BE1035" s="5" t="n"/>
      <c r="BF1035" s="5" t="n"/>
      <c r="BG1035" s="5" t="n"/>
      <c r="BH1035" s="5" t="n"/>
      <c r="BI1035" s="5" t="n"/>
      <c r="BJ1035" s="5" t="n"/>
      <c r="BK1035" s="5" t="n"/>
      <c r="BL1035" s="5" t="n"/>
      <c r="BM1035" s="5" t="n"/>
      <c r="BN1035" s="5" t="n"/>
      <c r="BO1035" s="5" t="n"/>
      <c r="BP1035" s="5" t="n"/>
      <c r="BQ1035" s="5" t="n"/>
      <c r="BR1035" s="5" t="n"/>
      <c r="BS1035" s="5" t="n"/>
      <c r="BT1035" s="5" t="n"/>
      <c r="BU1035" s="5" t="n"/>
      <c r="BV1035" s="5" t="n"/>
      <c r="BW1035" s="5" t="n"/>
      <c r="BX1035" s="5" t="n"/>
      <c r="BY1035" s="5" t="n"/>
      <c r="BZ1035" s="5" t="n"/>
      <c r="CA1035" s="5" t="n"/>
      <c r="CB1035" s="5" t="n"/>
      <c r="CC1035" s="5" t="n"/>
      <c r="CD1035" s="5" t="n"/>
      <c r="CE1035" s="5" t="n"/>
      <c r="CF1035" s="5" t="n"/>
    </row>
    <row r="1036">
      <c r="A1036" s="171" t="n"/>
      <c r="B1036" s="171" t="n"/>
      <c r="C1036" s="171" t="n"/>
      <c r="D1036" s="170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  <c r="AQ1036" s="5" t="n"/>
      <c r="AR1036" s="5" t="n"/>
      <c r="AS1036" s="5" t="n"/>
      <c r="AT1036" s="5" t="n"/>
      <c r="AU1036" s="5" t="n"/>
      <c r="AV1036" s="5" t="n"/>
      <c r="AW1036" s="5" t="n"/>
      <c r="AX1036" s="5" t="n"/>
      <c r="AY1036" s="5" t="n"/>
      <c r="AZ1036" s="5" t="n"/>
      <c r="BA1036" s="5" t="n"/>
      <c r="BB1036" s="5" t="n"/>
      <c r="BC1036" s="5" t="n"/>
      <c r="BD1036" s="5" t="n"/>
      <c r="BE1036" s="5" t="n"/>
      <c r="BF1036" s="5" t="n"/>
      <c r="BG1036" s="5" t="n"/>
      <c r="BH1036" s="5" t="n"/>
      <c r="BI1036" s="5" t="n"/>
      <c r="BJ1036" s="5" t="n"/>
      <c r="BK1036" s="5" t="n"/>
      <c r="BL1036" s="5" t="n"/>
      <c r="BM1036" s="5" t="n"/>
      <c r="BN1036" s="5" t="n"/>
      <c r="BO1036" s="5" t="n"/>
      <c r="BP1036" s="5" t="n"/>
      <c r="BQ1036" s="5" t="n"/>
      <c r="BR1036" s="5" t="n"/>
      <c r="BS1036" s="5" t="n"/>
      <c r="BT1036" s="5" t="n"/>
      <c r="BU1036" s="5" t="n"/>
      <c r="BV1036" s="5" t="n"/>
      <c r="BW1036" s="5" t="n"/>
      <c r="BX1036" s="5" t="n"/>
      <c r="BY1036" s="5" t="n"/>
      <c r="BZ1036" s="5" t="n"/>
      <c r="CA1036" s="5" t="n"/>
      <c r="CB1036" s="5" t="n"/>
      <c r="CC1036" s="5" t="n"/>
      <c r="CD1036" s="5" t="n"/>
      <c r="CE1036" s="5" t="n"/>
      <c r="CF1036" s="5" t="n"/>
    </row>
    <row r="1037">
      <c r="A1037" s="171" t="n"/>
      <c r="B1037" s="171" t="n"/>
      <c r="C1037" s="171" t="n"/>
      <c r="D1037" s="170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  <c r="AQ1037" s="5" t="n"/>
      <c r="AR1037" s="5" t="n"/>
      <c r="AS1037" s="5" t="n"/>
      <c r="AT1037" s="5" t="n"/>
      <c r="AU1037" s="5" t="n"/>
      <c r="AV1037" s="5" t="n"/>
      <c r="AW1037" s="5" t="n"/>
      <c r="AX1037" s="5" t="n"/>
      <c r="AY1037" s="5" t="n"/>
      <c r="AZ1037" s="5" t="n"/>
      <c r="BA1037" s="5" t="n"/>
      <c r="BB1037" s="5" t="n"/>
      <c r="BC1037" s="5" t="n"/>
      <c r="BD1037" s="5" t="n"/>
      <c r="BE1037" s="5" t="n"/>
      <c r="BF1037" s="5" t="n"/>
      <c r="BG1037" s="5" t="n"/>
      <c r="BH1037" s="5" t="n"/>
      <c r="BI1037" s="5" t="n"/>
      <c r="BJ1037" s="5" t="n"/>
      <c r="BK1037" s="5" t="n"/>
      <c r="BL1037" s="5" t="n"/>
      <c r="BM1037" s="5" t="n"/>
      <c r="BN1037" s="5" t="n"/>
      <c r="BO1037" s="5" t="n"/>
      <c r="BP1037" s="5" t="n"/>
      <c r="BQ1037" s="5" t="n"/>
      <c r="BR1037" s="5" t="n"/>
      <c r="BS1037" s="5" t="n"/>
      <c r="BT1037" s="5" t="n"/>
      <c r="BU1037" s="5" t="n"/>
      <c r="BV1037" s="5" t="n"/>
      <c r="BW1037" s="5" t="n"/>
      <c r="BX1037" s="5" t="n"/>
      <c r="BY1037" s="5" t="n"/>
      <c r="BZ1037" s="5" t="n"/>
      <c r="CA1037" s="5" t="n"/>
      <c r="CB1037" s="5" t="n"/>
      <c r="CC1037" s="5" t="n"/>
      <c r="CD1037" s="5" t="n"/>
      <c r="CE1037" s="5" t="n"/>
      <c r="CF1037" s="5" t="n"/>
    </row>
    <row r="1038">
      <c r="A1038" s="171" t="n"/>
      <c r="B1038" s="171" t="n"/>
      <c r="C1038" s="171" t="n"/>
      <c r="D1038" s="170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  <c r="AQ1038" s="5" t="n"/>
      <c r="AR1038" s="5" t="n"/>
      <c r="AS1038" s="5" t="n"/>
      <c r="AT1038" s="5" t="n"/>
      <c r="AU1038" s="5" t="n"/>
      <c r="AV1038" s="5" t="n"/>
      <c r="AW1038" s="5" t="n"/>
      <c r="AX1038" s="5" t="n"/>
      <c r="AY1038" s="5" t="n"/>
      <c r="AZ1038" s="5" t="n"/>
      <c r="BA1038" s="5" t="n"/>
      <c r="BB1038" s="5" t="n"/>
      <c r="BC1038" s="5" t="n"/>
      <c r="BD1038" s="5" t="n"/>
      <c r="BE1038" s="5" t="n"/>
      <c r="BF1038" s="5" t="n"/>
      <c r="BG1038" s="5" t="n"/>
      <c r="BH1038" s="5" t="n"/>
      <c r="BI1038" s="5" t="n"/>
      <c r="BJ1038" s="5" t="n"/>
      <c r="BK1038" s="5" t="n"/>
      <c r="BL1038" s="5" t="n"/>
      <c r="BM1038" s="5" t="n"/>
      <c r="BN1038" s="5" t="n"/>
      <c r="BO1038" s="5" t="n"/>
      <c r="BP1038" s="5" t="n"/>
      <c r="BQ1038" s="5" t="n"/>
      <c r="BR1038" s="5" t="n"/>
      <c r="BS1038" s="5" t="n"/>
      <c r="BT1038" s="5" t="n"/>
      <c r="BU1038" s="5" t="n"/>
      <c r="BV1038" s="5" t="n"/>
      <c r="BW1038" s="5" t="n"/>
      <c r="BX1038" s="5" t="n"/>
      <c r="BY1038" s="5" t="n"/>
      <c r="BZ1038" s="5" t="n"/>
      <c r="CA1038" s="5" t="n"/>
      <c r="CB1038" s="5" t="n"/>
      <c r="CC1038" s="5" t="n"/>
      <c r="CD1038" s="5" t="n"/>
      <c r="CE1038" s="5" t="n"/>
      <c r="CF1038" s="5" t="n"/>
    </row>
    <row r="1039">
      <c r="A1039" s="171" t="n"/>
      <c r="B1039" s="171" t="n"/>
      <c r="C1039" s="171" t="n"/>
      <c r="D1039" s="170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  <c r="AQ1039" s="5" t="n"/>
      <c r="AR1039" s="5" t="n"/>
      <c r="AS1039" s="5" t="n"/>
      <c r="AT1039" s="5" t="n"/>
      <c r="AU1039" s="5" t="n"/>
      <c r="AV1039" s="5" t="n"/>
      <c r="AW1039" s="5" t="n"/>
      <c r="AX1039" s="5" t="n"/>
      <c r="AY1039" s="5" t="n"/>
      <c r="AZ1039" s="5" t="n"/>
      <c r="BA1039" s="5" t="n"/>
      <c r="BB1039" s="5" t="n"/>
      <c r="BC1039" s="5" t="n"/>
      <c r="BD1039" s="5" t="n"/>
      <c r="BE1039" s="5" t="n"/>
      <c r="BF1039" s="5" t="n"/>
      <c r="BG1039" s="5" t="n"/>
      <c r="BH1039" s="5" t="n"/>
      <c r="BI1039" s="5" t="n"/>
      <c r="BJ1039" s="5" t="n"/>
      <c r="BK1039" s="5" t="n"/>
      <c r="BL1039" s="5" t="n"/>
      <c r="BM1039" s="5" t="n"/>
      <c r="BN1039" s="5" t="n"/>
      <c r="BO1039" s="5" t="n"/>
      <c r="BP1039" s="5" t="n"/>
      <c r="BQ1039" s="5" t="n"/>
      <c r="BR1039" s="5" t="n"/>
      <c r="BS1039" s="5" t="n"/>
      <c r="BT1039" s="5" t="n"/>
      <c r="BU1039" s="5" t="n"/>
      <c r="BV1039" s="5" t="n"/>
      <c r="BW1039" s="5" t="n"/>
      <c r="BX1039" s="5" t="n"/>
      <c r="BY1039" s="5" t="n"/>
      <c r="BZ1039" s="5" t="n"/>
      <c r="CA1039" s="5" t="n"/>
      <c r="CB1039" s="5" t="n"/>
      <c r="CC1039" s="5" t="n"/>
      <c r="CD1039" s="5" t="n"/>
      <c r="CE1039" s="5" t="n"/>
      <c r="CF1039" s="5" t="n"/>
    </row>
    <row r="1040">
      <c r="A1040" s="171" t="n"/>
      <c r="B1040" s="171" t="n"/>
      <c r="C1040" s="171" t="n"/>
      <c r="D1040" s="170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  <c r="AQ1040" s="5" t="n"/>
      <c r="AR1040" s="5" t="n"/>
      <c r="AS1040" s="5" t="n"/>
      <c r="AT1040" s="5" t="n"/>
      <c r="AU1040" s="5" t="n"/>
      <c r="AV1040" s="5" t="n"/>
      <c r="AW1040" s="5" t="n"/>
      <c r="AX1040" s="5" t="n"/>
      <c r="AY1040" s="5" t="n"/>
      <c r="AZ1040" s="5" t="n"/>
      <c r="BA1040" s="5" t="n"/>
      <c r="BB1040" s="5" t="n"/>
      <c r="BC1040" s="5" t="n"/>
      <c r="BD1040" s="5" t="n"/>
      <c r="BE1040" s="5" t="n"/>
      <c r="BF1040" s="5" t="n"/>
      <c r="BG1040" s="5" t="n"/>
      <c r="BH1040" s="5" t="n"/>
      <c r="BI1040" s="5" t="n"/>
      <c r="BJ1040" s="5" t="n"/>
      <c r="BK1040" s="5" t="n"/>
      <c r="BL1040" s="5" t="n"/>
      <c r="BM1040" s="5" t="n"/>
      <c r="BN1040" s="5" t="n"/>
      <c r="BO1040" s="5" t="n"/>
      <c r="BP1040" s="5" t="n"/>
      <c r="BQ1040" s="5" t="n"/>
      <c r="BR1040" s="5" t="n"/>
      <c r="BS1040" s="5" t="n"/>
      <c r="BT1040" s="5" t="n"/>
      <c r="BU1040" s="5" t="n"/>
      <c r="BV1040" s="5" t="n"/>
      <c r="BW1040" s="5" t="n"/>
      <c r="BX1040" s="5" t="n"/>
      <c r="BY1040" s="5" t="n"/>
      <c r="BZ1040" s="5" t="n"/>
      <c r="CA1040" s="5" t="n"/>
      <c r="CB1040" s="5" t="n"/>
      <c r="CC1040" s="5" t="n"/>
      <c r="CD1040" s="5" t="n"/>
      <c r="CE1040" s="5" t="n"/>
      <c r="CF1040" s="5" t="n"/>
    </row>
    <row r="1041">
      <c r="A1041" s="171" t="n"/>
      <c r="B1041" s="171" t="n"/>
      <c r="C1041" s="171" t="n"/>
      <c r="D1041" s="170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  <c r="AQ1041" s="5" t="n"/>
      <c r="AR1041" s="5" t="n"/>
      <c r="AS1041" s="5" t="n"/>
      <c r="AT1041" s="5" t="n"/>
      <c r="AU1041" s="5" t="n"/>
      <c r="AV1041" s="5" t="n"/>
      <c r="AW1041" s="5" t="n"/>
      <c r="AX1041" s="5" t="n"/>
      <c r="AY1041" s="5" t="n"/>
      <c r="AZ1041" s="5" t="n"/>
      <c r="BA1041" s="5" t="n"/>
      <c r="BB1041" s="5" t="n"/>
      <c r="BC1041" s="5" t="n"/>
      <c r="BD1041" s="5" t="n"/>
      <c r="BE1041" s="5" t="n"/>
      <c r="BF1041" s="5" t="n"/>
      <c r="BG1041" s="5" t="n"/>
      <c r="BH1041" s="5" t="n"/>
      <c r="BI1041" s="5" t="n"/>
      <c r="BJ1041" s="5" t="n"/>
      <c r="BK1041" s="5" t="n"/>
      <c r="BL1041" s="5" t="n"/>
      <c r="BM1041" s="5" t="n"/>
      <c r="BN1041" s="5" t="n"/>
      <c r="BO1041" s="5" t="n"/>
      <c r="BP1041" s="5" t="n"/>
      <c r="BQ1041" s="5" t="n"/>
      <c r="BR1041" s="5" t="n"/>
      <c r="BS1041" s="5" t="n"/>
      <c r="BT1041" s="5" t="n"/>
      <c r="BU1041" s="5" t="n"/>
      <c r="BV1041" s="5" t="n"/>
      <c r="BW1041" s="5" t="n"/>
      <c r="BX1041" s="5" t="n"/>
      <c r="BY1041" s="5" t="n"/>
      <c r="BZ1041" s="5" t="n"/>
      <c r="CA1041" s="5" t="n"/>
      <c r="CB1041" s="5" t="n"/>
      <c r="CC1041" s="5" t="n"/>
      <c r="CD1041" s="5" t="n"/>
      <c r="CE1041" s="5" t="n"/>
      <c r="CF1041" s="5" t="n"/>
    </row>
    <row r="1042">
      <c r="A1042" s="171" t="n"/>
      <c r="B1042" s="171" t="n"/>
      <c r="C1042" s="171" t="n"/>
      <c r="D1042" s="170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  <c r="AQ1042" s="5" t="n"/>
      <c r="AR1042" s="5" t="n"/>
      <c r="AS1042" s="5" t="n"/>
      <c r="AT1042" s="5" t="n"/>
      <c r="AU1042" s="5" t="n"/>
      <c r="AV1042" s="5" t="n"/>
      <c r="AW1042" s="5" t="n"/>
      <c r="AX1042" s="5" t="n"/>
      <c r="AY1042" s="5" t="n"/>
      <c r="AZ1042" s="5" t="n"/>
      <c r="BA1042" s="5" t="n"/>
      <c r="BB1042" s="5" t="n"/>
      <c r="BC1042" s="5" t="n"/>
      <c r="BD1042" s="5" t="n"/>
      <c r="BE1042" s="5" t="n"/>
      <c r="BF1042" s="5" t="n"/>
      <c r="BG1042" s="5" t="n"/>
      <c r="BH1042" s="5" t="n"/>
      <c r="BI1042" s="5" t="n"/>
      <c r="BJ1042" s="5" t="n"/>
      <c r="BK1042" s="5" t="n"/>
      <c r="BL1042" s="5" t="n"/>
      <c r="BM1042" s="5" t="n"/>
      <c r="BN1042" s="5" t="n"/>
      <c r="BO1042" s="5" t="n"/>
      <c r="BP1042" s="5" t="n"/>
      <c r="BQ1042" s="5" t="n"/>
      <c r="BR1042" s="5" t="n"/>
      <c r="BS1042" s="5" t="n"/>
      <c r="BT1042" s="5" t="n"/>
      <c r="BU1042" s="5" t="n"/>
      <c r="BV1042" s="5" t="n"/>
      <c r="BW1042" s="5" t="n"/>
      <c r="BX1042" s="5" t="n"/>
      <c r="BY1042" s="5" t="n"/>
      <c r="BZ1042" s="5" t="n"/>
      <c r="CA1042" s="5" t="n"/>
      <c r="CB1042" s="5" t="n"/>
      <c r="CC1042" s="5" t="n"/>
      <c r="CD1042" s="5" t="n"/>
      <c r="CE1042" s="5" t="n"/>
      <c r="CF1042" s="5" t="n"/>
    </row>
    <row r="1043">
      <c r="A1043" s="171" t="n"/>
      <c r="B1043" s="171" t="n"/>
      <c r="C1043" s="171" t="n"/>
      <c r="D1043" s="170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  <c r="AQ1043" s="5" t="n"/>
      <c r="AR1043" s="5" t="n"/>
      <c r="AS1043" s="5" t="n"/>
      <c r="AT1043" s="5" t="n"/>
      <c r="AU1043" s="5" t="n"/>
      <c r="AV1043" s="5" t="n"/>
      <c r="AW1043" s="5" t="n"/>
      <c r="AX1043" s="5" t="n"/>
      <c r="AY1043" s="5" t="n"/>
      <c r="AZ1043" s="5" t="n"/>
      <c r="BA1043" s="5" t="n"/>
      <c r="BB1043" s="5" t="n"/>
      <c r="BC1043" s="5" t="n"/>
      <c r="BD1043" s="5" t="n"/>
      <c r="BE1043" s="5" t="n"/>
      <c r="BF1043" s="5" t="n"/>
      <c r="BG1043" s="5" t="n"/>
      <c r="BH1043" s="5" t="n"/>
      <c r="BI1043" s="5" t="n"/>
      <c r="BJ1043" s="5" t="n"/>
      <c r="BK1043" s="5" t="n"/>
      <c r="BL1043" s="5" t="n"/>
      <c r="BM1043" s="5" t="n"/>
      <c r="BN1043" s="5" t="n"/>
      <c r="BO1043" s="5" t="n"/>
      <c r="BP1043" s="5" t="n"/>
      <c r="BQ1043" s="5" t="n"/>
      <c r="BR1043" s="5" t="n"/>
      <c r="BS1043" s="5" t="n"/>
      <c r="BT1043" s="5" t="n"/>
      <c r="BU1043" s="5" t="n"/>
      <c r="BV1043" s="5" t="n"/>
      <c r="BW1043" s="5" t="n"/>
      <c r="BX1043" s="5" t="n"/>
      <c r="BY1043" s="5" t="n"/>
      <c r="BZ1043" s="5" t="n"/>
      <c r="CA1043" s="5" t="n"/>
      <c r="CB1043" s="5" t="n"/>
      <c r="CC1043" s="5" t="n"/>
      <c r="CD1043" s="5" t="n"/>
      <c r="CE1043" s="5" t="n"/>
      <c r="CF1043" s="5" t="n"/>
    </row>
    <row r="1044">
      <c r="A1044" s="171" t="n"/>
      <c r="B1044" s="171" t="n"/>
      <c r="C1044" s="171" t="n"/>
      <c r="D1044" s="170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  <c r="AQ1044" s="5" t="n"/>
      <c r="AR1044" s="5" t="n"/>
      <c r="AS1044" s="5" t="n"/>
      <c r="AT1044" s="5" t="n"/>
      <c r="AU1044" s="5" t="n"/>
      <c r="AV1044" s="5" t="n"/>
      <c r="AW1044" s="5" t="n"/>
      <c r="AX1044" s="5" t="n"/>
      <c r="AY1044" s="5" t="n"/>
      <c r="AZ1044" s="5" t="n"/>
      <c r="BA1044" s="5" t="n"/>
      <c r="BB1044" s="5" t="n"/>
      <c r="BC1044" s="5" t="n"/>
      <c r="BD1044" s="5" t="n"/>
      <c r="BE1044" s="5" t="n"/>
      <c r="BF1044" s="5" t="n"/>
      <c r="BG1044" s="5" t="n"/>
      <c r="BH1044" s="5" t="n"/>
      <c r="BI1044" s="5" t="n"/>
      <c r="BJ1044" s="5" t="n"/>
      <c r="BK1044" s="5" t="n"/>
      <c r="BL1044" s="5" t="n"/>
      <c r="BM1044" s="5" t="n"/>
      <c r="BN1044" s="5" t="n"/>
      <c r="BO1044" s="5" t="n"/>
      <c r="BP1044" s="5" t="n"/>
      <c r="BQ1044" s="5" t="n"/>
      <c r="BR1044" s="5" t="n"/>
      <c r="BS1044" s="5" t="n"/>
      <c r="BT1044" s="5" t="n"/>
      <c r="BU1044" s="5" t="n"/>
      <c r="BV1044" s="5" t="n"/>
      <c r="BW1044" s="5" t="n"/>
      <c r="BX1044" s="5" t="n"/>
      <c r="BY1044" s="5" t="n"/>
      <c r="BZ1044" s="5" t="n"/>
      <c r="CA1044" s="5" t="n"/>
      <c r="CB1044" s="5" t="n"/>
      <c r="CC1044" s="5" t="n"/>
      <c r="CD1044" s="5" t="n"/>
      <c r="CE1044" s="5" t="n"/>
      <c r="CF1044" s="5" t="n"/>
    </row>
    <row r="1045">
      <c r="A1045" s="171" t="n"/>
      <c r="B1045" s="171" t="n"/>
      <c r="C1045" s="171" t="n"/>
      <c r="D1045" s="170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  <c r="AQ1045" s="5" t="n"/>
      <c r="AR1045" s="5" t="n"/>
      <c r="AS1045" s="5" t="n"/>
      <c r="AT1045" s="5" t="n"/>
      <c r="AU1045" s="5" t="n"/>
      <c r="AV1045" s="5" t="n"/>
      <c r="AW1045" s="5" t="n"/>
      <c r="AX1045" s="5" t="n"/>
      <c r="AY1045" s="5" t="n"/>
      <c r="AZ1045" s="5" t="n"/>
      <c r="BA1045" s="5" t="n"/>
      <c r="BB1045" s="5" t="n"/>
      <c r="BC1045" s="5" t="n"/>
      <c r="BD1045" s="5" t="n"/>
      <c r="BE1045" s="5" t="n"/>
      <c r="BF1045" s="5" t="n"/>
      <c r="BG1045" s="5" t="n"/>
      <c r="BH1045" s="5" t="n"/>
      <c r="BI1045" s="5" t="n"/>
      <c r="BJ1045" s="5" t="n"/>
      <c r="BK1045" s="5" t="n"/>
      <c r="BL1045" s="5" t="n"/>
      <c r="BM1045" s="5" t="n"/>
      <c r="BN1045" s="5" t="n"/>
      <c r="BO1045" s="5" t="n"/>
      <c r="BP1045" s="5" t="n"/>
      <c r="BQ1045" s="5" t="n"/>
      <c r="BR1045" s="5" t="n"/>
      <c r="BS1045" s="5" t="n"/>
      <c r="BT1045" s="5" t="n"/>
      <c r="BU1045" s="5" t="n"/>
      <c r="BV1045" s="5" t="n"/>
      <c r="BW1045" s="5" t="n"/>
      <c r="BX1045" s="5" t="n"/>
      <c r="BY1045" s="5" t="n"/>
      <c r="BZ1045" s="5" t="n"/>
      <c r="CA1045" s="5" t="n"/>
      <c r="CB1045" s="5" t="n"/>
      <c r="CC1045" s="5" t="n"/>
      <c r="CD1045" s="5" t="n"/>
      <c r="CE1045" s="5" t="n"/>
      <c r="CF1045" s="5" t="n"/>
    </row>
    <row r="1046">
      <c r="A1046" s="171" t="n"/>
      <c r="B1046" s="171" t="n"/>
      <c r="C1046" s="171" t="n"/>
      <c r="D1046" s="170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  <c r="AQ1046" s="5" t="n"/>
      <c r="AR1046" s="5" t="n"/>
      <c r="AS1046" s="5" t="n"/>
      <c r="AT1046" s="5" t="n"/>
      <c r="AU1046" s="5" t="n"/>
      <c r="AV1046" s="5" t="n"/>
      <c r="AW1046" s="5" t="n"/>
      <c r="AX1046" s="5" t="n"/>
      <c r="AY1046" s="5" t="n"/>
      <c r="AZ1046" s="5" t="n"/>
      <c r="BA1046" s="5" t="n"/>
      <c r="BB1046" s="5" t="n"/>
      <c r="BC1046" s="5" t="n"/>
      <c r="BD1046" s="5" t="n"/>
      <c r="BE1046" s="5" t="n"/>
      <c r="BF1046" s="5" t="n"/>
      <c r="BG1046" s="5" t="n"/>
      <c r="BH1046" s="5" t="n"/>
      <c r="BI1046" s="5" t="n"/>
      <c r="BJ1046" s="5" t="n"/>
      <c r="BK1046" s="5" t="n"/>
      <c r="BL1046" s="5" t="n"/>
      <c r="BM1046" s="5" t="n"/>
      <c r="BN1046" s="5" t="n"/>
      <c r="BO1046" s="5" t="n"/>
      <c r="BP1046" s="5" t="n"/>
      <c r="BQ1046" s="5" t="n"/>
      <c r="BR1046" s="5" t="n"/>
      <c r="BS1046" s="5" t="n"/>
      <c r="BT1046" s="5" t="n"/>
      <c r="BU1046" s="5" t="n"/>
      <c r="BV1046" s="5" t="n"/>
      <c r="BW1046" s="5" t="n"/>
      <c r="BX1046" s="5" t="n"/>
      <c r="BY1046" s="5" t="n"/>
      <c r="BZ1046" s="5" t="n"/>
      <c r="CA1046" s="5" t="n"/>
      <c r="CB1046" s="5" t="n"/>
      <c r="CC1046" s="5" t="n"/>
      <c r="CD1046" s="5" t="n"/>
      <c r="CE1046" s="5" t="n"/>
      <c r="CF1046" s="5" t="n"/>
    </row>
    <row r="1047">
      <c r="A1047" s="171" t="n"/>
      <c r="B1047" s="171" t="n"/>
      <c r="C1047" s="171" t="n"/>
      <c r="D1047" s="170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  <c r="AS1047" s="5" t="n"/>
      <c r="AT1047" s="5" t="n"/>
      <c r="AU1047" s="5" t="n"/>
      <c r="AV1047" s="5" t="n"/>
      <c r="AW1047" s="5" t="n"/>
      <c r="AX1047" s="5" t="n"/>
      <c r="AY1047" s="5" t="n"/>
      <c r="AZ1047" s="5" t="n"/>
      <c r="BA1047" s="5" t="n"/>
      <c r="BB1047" s="5" t="n"/>
      <c r="BC1047" s="5" t="n"/>
      <c r="BD1047" s="5" t="n"/>
      <c r="BE1047" s="5" t="n"/>
      <c r="BF1047" s="5" t="n"/>
      <c r="BG1047" s="5" t="n"/>
      <c r="BH1047" s="5" t="n"/>
      <c r="BI1047" s="5" t="n"/>
      <c r="BJ1047" s="5" t="n"/>
      <c r="BK1047" s="5" t="n"/>
      <c r="BL1047" s="5" t="n"/>
      <c r="BM1047" s="5" t="n"/>
      <c r="BN1047" s="5" t="n"/>
      <c r="BO1047" s="5" t="n"/>
      <c r="BP1047" s="5" t="n"/>
      <c r="BQ1047" s="5" t="n"/>
      <c r="BR1047" s="5" t="n"/>
      <c r="BS1047" s="5" t="n"/>
      <c r="BT1047" s="5" t="n"/>
      <c r="BU1047" s="5" t="n"/>
      <c r="BV1047" s="5" t="n"/>
      <c r="BW1047" s="5" t="n"/>
      <c r="BX1047" s="5" t="n"/>
      <c r="BY1047" s="5" t="n"/>
      <c r="BZ1047" s="5" t="n"/>
      <c r="CA1047" s="5" t="n"/>
      <c r="CB1047" s="5" t="n"/>
      <c r="CC1047" s="5" t="n"/>
      <c r="CD1047" s="5" t="n"/>
      <c r="CE1047" s="5" t="n"/>
      <c r="CF1047" s="5" t="n"/>
    </row>
    <row r="1048">
      <c r="A1048" s="171" t="n"/>
      <c r="B1048" s="171" t="n"/>
      <c r="C1048" s="171" t="n"/>
      <c r="D1048" s="170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  <c r="AQ1048" s="5" t="n"/>
      <c r="AR1048" s="5" t="n"/>
      <c r="AS1048" s="5" t="n"/>
      <c r="AT1048" s="5" t="n"/>
      <c r="AU1048" s="5" t="n"/>
      <c r="AV1048" s="5" t="n"/>
      <c r="AW1048" s="5" t="n"/>
      <c r="AX1048" s="5" t="n"/>
      <c r="AY1048" s="5" t="n"/>
      <c r="AZ1048" s="5" t="n"/>
      <c r="BA1048" s="5" t="n"/>
      <c r="BB1048" s="5" t="n"/>
      <c r="BC1048" s="5" t="n"/>
      <c r="BD1048" s="5" t="n"/>
      <c r="BE1048" s="5" t="n"/>
      <c r="BF1048" s="5" t="n"/>
      <c r="BG1048" s="5" t="n"/>
      <c r="BH1048" s="5" t="n"/>
      <c r="BI1048" s="5" t="n"/>
      <c r="BJ1048" s="5" t="n"/>
      <c r="BK1048" s="5" t="n"/>
      <c r="BL1048" s="5" t="n"/>
      <c r="BM1048" s="5" t="n"/>
      <c r="BN1048" s="5" t="n"/>
      <c r="BO1048" s="5" t="n"/>
      <c r="BP1048" s="5" t="n"/>
      <c r="BQ1048" s="5" t="n"/>
      <c r="BR1048" s="5" t="n"/>
      <c r="BS1048" s="5" t="n"/>
      <c r="BT1048" s="5" t="n"/>
      <c r="BU1048" s="5" t="n"/>
      <c r="BV1048" s="5" t="n"/>
      <c r="BW1048" s="5" t="n"/>
      <c r="BX1048" s="5" t="n"/>
      <c r="BY1048" s="5" t="n"/>
      <c r="BZ1048" s="5" t="n"/>
      <c r="CA1048" s="5" t="n"/>
      <c r="CB1048" s="5" t="n"/>
      <c r="CC1048" s="5" t="n"/>
      <c r="CD1048" s="5" t="n"/>
      <c r="CE1048" s="5" t="n"/>
      <c r="CF1048" s="5" t="n"/>
    </row>
    <row r="1049">
      <c r="A1049" s="171" t="n"/>
      <c r="B1049" s="171" t="n"/>
      <c r="C1049" s="171" t="n"/>
      <c r="D1049" s="170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  <c r="AQ1049" s="5" t="n"/>
      <c r="AR1049" s="5" t="n"/>
      <c r="AS1049" s="5" t="n"/>
      <c r="AT1049" s="5" t="n"/>
      <c r="AU1049" s="5" t="n"/>
      <c r="AV1049" s="5" t="n"/>
      <c r="AW1049" s="5" t="n"/>
      <c r="AX1049" s="5" t="n"/>
      <c r="AY1049" s="5" t="n"/>
      <c r="AZ1049" s="5" t="n"/>
      <c r="BA1049" s="5" t="n"/>
      <c r="BB1049" s="5" t="n"/>
      <c r="BC1049" s="5" t="n"/>
      <c r="BD1049" s="5" t="n"/>
      <c r="BE1049" s="5" t="n"/>
      <c r="BF1049" s="5" t="n"/>
      <c r="BG1049" s="5" t="n"/>
      <c r="BH1049" s="5" t="n"/>
      <c r="BI1049" s="5" t="n"/>
      <c r="BJ1049" s="5" t="n"/>
      <c r="BK1049" s="5" t="n"/>
      <c r="BL1049" s="5" t="n"/>
      <c r="BM1049" s="5" t="n"/>
      <c r="BN1049" s="5" t="n"/>
      <c r="BO1049" s="5" t="n"/>
      <c r="BP1049" s="5" t="n"/>
      <c r="BQ1049" s="5" t="n"/>
      <c r="BR1049" s="5" t="n"/>
      <c r="BS1049" s="5" t="n"/>
      <c r="BT1049" s="5" t="n"/>
      <c r="BU1049" s="5" t="n"/>
      <c r="BV1049" s="5" t="n"/>
      <c r="BW1049" s="5" t="n"/>
      <c r="BX1049" s="5" t="n"/>
      <c r="BY1049" s="5" t="n"/>
      <c r="BZ1049" s="5" t="n"/>
      <c r="CA1049" s="5" t="n"/>
      <c r="CB1049" s="5" t="n"/>
      <c r="CC1049" s="5" t="n"/>
      <c r="CD1049" s="5" t="n"/>
      <c r="CE1049" s="5" t="n"/>
      <c r="CF1049" s="5" t="n"/>
    </row>
    <row r="1050">
      <c r="A1050" s="171" t="n"/>
      <c r="B1050" s="171" t="n"/>
      <c r="C1050" s="171" t="n"/>
      <c r="D1050" s="170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  <c r="AQ1050" s="5" t="n"/>
      <c r="AR1050" s="5" t="n"/>
      <c r="AS1050" s="5" t="n"/>
      <c r="AT1050" s="5" t="n"/>
      <c r="AU1050" s="5" t="n"/>
      <c r="AV1050" s="5" t="n"/>
      <c r="AW1050" s="5" t="n"/>
      <c r="AX1050" s="5" t="n"/>
      <c r="AY1050" s="5" t="n"/>
      <c r="AZ1050" s="5" t="n"/>
      <c r="BA1050" s="5" t="n"/>
      <c r="BB1050" s="5" t="n"/>
      <c r="BC1050" s="5" t="n"/>
      <c r="BD1050" s="5" t="n"/>
      <c r="BE1050" s="5" t="n"/>
      <c r="BF1050" s="5" t="n"/>
      <c r="BG1050" s="5" t="n"/>
      <c r="BH1050" s="5" t="n"/>
      <c r="BI1050" s="5" t="n"/>
      <c r="BJ1050" s="5" t="n"/>
      <c r="BK1050" s="5" t="n"/>
      <c r="BL1050" s="5" t="n"/>
      <c r="BM1050" s="5" t="n"/>
      <c r="BN1050" s="5" t="n"/>
      <c r="BO1050" s="5" t="n"/>
      <c r="BP1050" s="5" t="n"/>
      <c r="BQ1050" s="5" t="n"/>
      <c r="BR1050" s="5" t="n"/>
      <c r="BS1050" s="5" t="n"/>
      <c r="BT1050" s="5" t="n"/>
      <c r="BU1050" s="5" t="n"/>
      <c r="BV1050" s="5" t="n"/>
      <c r="BW1050" s="5" t="n"/>
      <c r="BX1050" s="5" t="n"/>
      <c r="BY1050" s="5" t="n"/>
      <c r="BZ1050" s="5" t="n"/>
      <c r="CA1050" s="5" t="n"/>
      <c r="CB1050" s="5" t="n"/>
      <c r="CC1050" s="5" t="n"/>
      <c r="CD1050" s="5" t="n"/>
      <c r="CE1050" s="5" t="n"/>
      <c r="CF1050" s="5" t="n"/>
    </row>
    <row r="1051">
      <c r="A1051" s="171" t="n"/>
      <c r="B1051" s="171" t="n"/>
      <c r="C1051" s="171" t="n"/>
      <c r="D1051" s="170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  <c r="AQ1051" s="5" t="n"/>
      <c r="AR1051" s="5" t="n"/>
      <c r="AS1051" s="5" t="n"/>
      <c r="AT1051" s="5" t="n"/>
      <c r="AU1051" s="5" t="n"/>
      <c r="AV1051" s="5" t="n"/>
      <c r="AW1051" s="5" t="n"/>
      <c r="AX1051" s="5" t="n"/>
      <c r="AY1051" s="5" t="n"/>
      <c r="AZ1051" s="5" t="n"/>
      <c r="BA1051" s="5" t="n"/>
      <c r="BB1051" s="5" t="n"/>
      <c r="BC1051" s="5" t="n"/>
      <c r="BD1051" s="5" t="n"/>
      <c r="BE1051" s="5" t="n"/>
      <c r="BF1051" s="5" t="n"/>
      <c r="BG1051" s="5" t="n"/>
      <c r="BH1051" s="5" t="n"/>
      <c r="BI1051" s="5" t="n"/>
      <c r="BJ1051" s="5" t="n"/>
      <c r="BK1051" s="5" t="n"/>
      <c r="BL1051" s="5" t="n"/>
      <c r="BM1051" s="5" t="n"/>
      <c r="BN1051" s="5" t="n"/>
      <c r="BO1051" s="5" t="n"/>
      <c r="BP1051" s="5" t="n"/>
      <c r="BQ1051" s="5" t="n"/>
      <c r="BR1051" s="5" t="n"/>
      <c r="BS1051" s="5" t="n"/>
      <c r="BT1051" s="5" t="n"/>
      <c r="BU1051" s="5" t="n"/>
      <c r="BV1051" s="5" t="n"/>
      <c r="BW1051" s="5" t="n"/>
      <c r="BX1051" s="5" t="n"/>
      <c r="BY1051" s="5" t="n"/>
      <c r="BZ1051" s="5" t="n"/>
      <c r="CA1051" s="5" t="n"/>
      <c r="CB1051" s="5" t="n"/>
      <c r="CC1051" s="5" t="n"/>
      <c r="CD1051" s="5" t="n"/>
      <c r="CE1051" s="5" t="n"/>
      <c r="CF1051" s="5" t="n"/>
    </row>
    <row r="1052">
      <c r="A1052" s="171" t="n"/>
      <c r="B1052" s="171" t="n"/>
      <c r="C1052" s="171" t="n"/>
      <c r="D1052" s="170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  <c r="AQ1052" s="5" t="n"/>
      <c r="AR1052" s="5" t="n"/>
      <c r="AS1052" s="5" t="n"/>
      <c r="AT1052" s="5" t="n"/>
      <c r="AU1052" s="5" t="n"/>
      <c r="AV1052" s="5" t="n"/>
      <c r="AW1052" s="5" t="n"/>
      <c r="AX1052" s="5" t="n"/>
      <c r="AY1052" s="5" t="n"/>
      <c r="AZ1052" s="5" t="n"/>
      <c r="BA1052" s="5" t="n"/>
      <c r="BB1052" s="5" t="n"/>
      <c r="BC1052" s="5" t="n"/>
      <c r="BD1052" s="5" t="n"/>
      <c r="BE1052" s="5" t="n"/>
      <c r="BF1052" s="5" t="n"/>
      <c r="BG1052" s="5" t="n"/>
      <c r="BH1052" s="5" t="n"/>
      <c r="BI1052" s="5" t="n"/>
      <c r="BJ1052" s="5" t="n"/>
      <c r="BK1052" s="5" t="n"/>
      <c r="BL1052" s="5" t="n"/>
      <c r="BM1052" s="5" t="n"/>
      <c r="BN1052" s="5" t="n"/>
      <c r="BO1052" s="5" t="n"/>
      <c r="BP1052" s="5" t="n"/>
      <c r="BQ1052" s="5" t="n"/>
      <c r="BR1052" s="5" t="n"/>
      <c r="BS1052" s="5" t="n"/>
      <c r="BT1052" s="5" t="n"/>
      <c r="BU1052" s="5" t="n"/>
      <c r="BV1052" s="5" t="n"/>
      <c r="BW1052" s="5" t="n"/>
      <c r="BX1052" s="5" t="n"/>
      <c r="BY1052" s="5" t="n"/>
      <c r="BZ1052" s="5" t="n"/>
      <c r="CA1052" s="5" t="n"/>
      <c r="CB1052" s="5" t="n"/>
      <c r="CC1052" s="5" t="n"/>
      <c r="CD1052" s="5" t="n"/>
      <c r="CE1052" s="5" t="n"/>
      <c r="CF1052" s="5" t="n"/>
    </row>
    <row r="1053">
      <c r="A1053" s="171" t="n"/>
      <c r="B1053" s="171" t="n"/>
      <c r="C1053" s="171" t="n"/>
      <c r="D1053" s="170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  <c r="AQ1053" s="5" t="n"/>
      <c r="AR1053" s="5" t="n"/>
      <c r="AS1053" s="5" t="n"/>
      <c r="AT1053" s="5" t="n"/>
      <c r="AU1053" s="5" t="n"/>
      <c r="AV1053" s="5" t="n"/>
      <c r="AW1053" s="5" t="n"/>
      <c r="AX1053" s="5" t="n"/>
      <c r="AY1053" s="5" t="n"/>
      <c r="AZ1053" s="5" t="n"/>
      <c r="BA1053" s="5" t="n"/>
      <c r="BB1053" s="5" t="n"/>
      <c r="BC1053" s="5" t="n"/>
      <c r="BD1053" s="5" t="n"/>
      <c r="BE1053" s="5" t="n"/>
      <c r="BF1053" s="5" t="n"/>
      <c r="BG1053" s="5" t="n"/>
      <c r="BH1053" s="5" t="n"/>
      <c r="BI1053" s="5" t="n"/>
      <c r="BJ1053" s="5" t="n"/>
      <c r="BK1053" s="5" t="n"/>
      <c r="BL1053" s="5" t="n"/>
      <c r="BM1053" s="5" t="n"/>
      <c r="BN1053" s="5" t="n"/>
      <c r="BO1053" s="5" t="n"/>
      <c r="BP1053" s="5" t="n"/>
      <c r="BQ1053" s="5" t="n"/>
      <c r="BR1053" s="5" t="n"/>
      <c r="BS1053" s="5" t="n"/>
      <c r="BT1053" s="5" t="n"/>
      <c r="BU1053" s="5" t="n"/>
      <c r="BV1053" s="5" t="n"/>
      <c r="BW1053" s="5" t="n"/>
      <c r="BX1053" s="5" t="n"/>
      <c r="BY1053" s="5" t="n"/>
      <c r="BZ1053" s="5" t="n"/>
      <c r="CA1053" s="5" t="n"/>
      <c r="CB1053" s="5" t="n"/>
      <c r="CC1053" s="5" t="n"/>
      <c r="CD1053" s="5" t="n"/>
      <c r="CE1053" s="5" t="n"/>
      <c r="CF1053" s="5" t="n"/>
    </row>
    <row r="1054">
      <c r="A1054" s="171" t="n"/>
      <c r="B1054" s="171" t="n"/>
      <c r="C1054" s="171" t="n"/>
      <c r="D1054" s="170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  <c r="AQ1054" s="5" t="n"/>
      <c r="AR1054" s="5" t="n"/>
      <c r="AS1054" s="5" t="n"/>
      <c r="AT1054" s="5" t="n"/>
      <c r="AU1054" s="5" t="n"/>
      <c r="AV1054" s="5" t="n"/>
      <c r="AW1054" s="5" t="n"/>
      <c r="AX1054" s="5" t="n"/>
      <c r="AY1054" s="5" t="n"/>
      <c r="AZ1054" s="5" t="n"/>
      <c r="BA1054" s="5" t="n"/>
      <c r="BB1054" s="5" t="n"/>
      <c r="BC1054" s="5" t="n"/>
      <c r="BD1054" s="5" t="n"/>
      <c r="BE1054" s="5" t="n"/>
      <c r="BF1054" s="5" t="n"/>
      <c r="BG1054" s="5" t="n"/>
      <c r="BH1054" s="5" t="n"/>
      <c r="BI1054" s="5" t="n"/>
      <c r="BJ1054" s="5" t="n"/>
      <c r="BK1054" s="5" t="n"/>
      <c r="BL1054" s="5" t="n"/>
      <c r="BM1054" s="5" t="n"/>
      <c r="BN1054" s="5" t="n"/>
      <c r="BO1054" s="5" t="n"/>
      <c r="BP1054" s="5" t="n"/>
      <c r="BQ1054" s="5" t="n"/>
      <c r="BR1054" s="5" t="n"/>
      <c r="BS1054" s="5" t="n"/>
      <c r="BT1054" s="5" t="n"/>
      <c r="BU1054" s="5" t="n"/>
      <c r="BV1054" s="5" t="n"/>
      <c r="BW1054" s="5" t="n"/>
      <c r="BX1054" s="5" t="n"/>
      <c r="BY1054" s="5" t="n"/>
      <c r="BZ1054" s="5" t="n"/>
      <c r="CA1054" s="5" t="n"/>
      <c r="CB1054" s="5" t="n"/>
      <c r="CC1054" s="5" t="n"/>
      <c r="CD1054" s="5" t="n"/>
      <c r="CE1054" s="5" t="n"/>
      <c r="CF1054" s="5" t="n"/>
    </row>
    <row r="1055">
      <c r="A1055" s="171" t="n"/>
      <c r="B1055" s="171" t="n"/>
      <c r="C1055" s="171" t="n"/>
      <c r="D1055" s="170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  <c r="AQ1055" s="5" t="n"/>
      <c r="AR1055" s="5" t="n"/>
      <c r="AS1055" s="5" t="n"/>
      <c r="AT1055" s="5" t="n"/>
      <c r="AU1055" s="5" t="n"/>
      <c r="AV1055" s="5" t="n"/>
      <c r="AW1055" s="5" t="n"/>
      <c r="AX1055" s="5" t="n"/>
      <c r="AY1055" s="5" t="n"/>
      <c r="AZ1055" s="5" t="n"/>
      <c r="BA1055" s="5" t="n"/>
      <c r="BB1055" s="5" t="n"/>
      <c r="BC1055" s="5" t="n"/>
      <c r="BD1055" s="5" t="n"/>
      <c r="BE1055" s="5" t="n"/>
      <c r="BF1055" s="5" t="n"/>
      <c r="BG1055" s="5" t="n"/>
      <c r="BH1055" s="5" t="n"/>
      <c r="BI1055" s="5" t="n"/>
      <c r="BJ1055" s="5" t="n"/>
      <c r="BK1055" s="5" t="n"/>
      <c r="BL1055" s="5" t="n"/>
      <c r="BM1055" s="5" t="n"/>
      <c r="BN1055" s="5" t="n"/>
      <c r="BO1055" s="5" t="n"/>
      <c r="BP1055" s="5" t="n"/>
      <c r="BQ1055" s="5" t="n"/>
      <c r="BR1055" s="5" t="n"/>
      <c r="BS1055" s="5" t="n"/>
      <c r="BT1055" s="5" t="n"/>
      <c r="BU1055" s="5" t="n"/>
      <c r="BV1055" s="5" t="n"/>
      <c r="BW1055" s="5" t="n"/>
      <c r="BX1055" s="5" t="n"/>
      <c r="BY1055" s="5" t="n"/>
      <c r="BZ1055" s="5" t="n"/>
      <c r="CA1055" s="5" t="n"/>
      <c r="CB1055" s="5" t="n"/>
      <c r="CC1055" s="5" t="n"/>
      <c r="CD1055" s="5" t="n"/>
      <c r="CE1055" s="5" t="n"/>
      <c r="CF1055" s="5" t="n"/>
    </row>
    <row r="1056">
      <c r="A1056" s="171" t="n"/>
      <c r="B1056" s="171" t="n"/>
      <c r="C1056" s="171" t="n"/>
      <c r="D1056" s="170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  <c r="AQ1056" s="5" t="n"/>
      <c r="AR1056" s="5" t="n"/>
      <c r="AS1056" s="5" t="n"/>
      <c r="AT1056" s="5" t="n"/>
      <c r="AU1056" s="5" t="n"/>
      <c r="AV1056" s="5" t="n"/>
      <c r="AW1056" s="5" t="n"/>
      <c r="AX1056" s="5" t="n"/>
      <c r="AY1056" s="5" t="n"/>
      <c r="AZ1056" s="5" t="n"/>
      <c r="BA1056" s="5" t="n"/>
      <c r="BB1056" s="5" t="n"/>
      <c r="BC1056" s="5" t="n"/>
      <c r="BD1056" s="5" t="n"/>
      <c r="BE1056" s="5" t="n"/>
      <c r="BF1056" s="5" t="n"/>
      <c r="BG1056" s="5" t="n"/>
      <c r="BH1056" s="5" t="n"/>
      <c r="BI1056" s="5" t="n"/>
      <c r="BJ1056" s="5" t="n"/>
      <c r="BK1056" s="5" t="n"/>
      <c r="BL1056" s="5" t="n"/>
      <c r="BM1056" s="5" t="n"/>
      <c r="BN1056" s="5" t="n"/>
      <c r="BO1056" s="5" t="n"/>
      <c r="BP1056" s="5" t="n"/>
      <c r="BQ1056" s="5" t="n"/>
      <c r="BR1056" s="5" t="n"/>
      <c r="BS1056" s="5" t="n"/>
      <c r="BT1056" s="5" t="n"/>
      <c r="BU1056" s="5" t="n"/>
      <c r="BV1056" s="5" t="n"/>
      <c r="BW1056" s="5" t="n"/>
      <c r="BX1056" s="5" t="n"/>
      <c r="BY1056" s="5" t="n"/>
      <c r="BZ1056" s="5" t="n"/>
      <c r="CA1056" s="5" t="n"/>
      <c r="CB1056" s="5" t="n"/>
      <c r="CC1056" s="5" t="n"/>
      <c r="CD1056" s="5" t="n"/>
      <c r="CE1056" s="5" t="n"/>
      <c r="CF1056" s="5" t="n"/>
    </row>
    <row r="1057">
      <c r="A1057" s="171" t="n"/>
      <c r="B1057" s="171" t="n"/>
      <c r="C1057" s="171" t="n"/>
      <c r="D1057" s="170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  <c r="AQ1057" s="5" t="n"/>
      <c r="AR1057" s="5" t="n"/>
      <c r="AS1057" s="5" t="n"/>
      <c r="AT1057" s="5" t="n"/>
      <c r="AU1057" s="5" t="n"/>
      <c r="AV1057" s="5" t="n"/>
      <c r="AW1057" s="5" t="n"/>
      <c r="AX1057" s="5" t="n"/>
      <c r="AY1057" s="5" t="n"/>
      <c r="AZ1057" s="5" t="n"/>
      <c r="BA1057" s="5" t="n"/>
      <c r="BB1057" s="5" t="n"/>
      <c r="BC1057" s="5" t="n"/>
      <c r="BD1057" s="5" t="n"/>
      <c r="BE1057" s="5" t="n"/>
      <c r="BF1057" s="5" t="n"/>
      <c r="BG1057" s="5" t="n"/>
      <c r="BH1057" s="5" t="n"/>
      <c r="BI1057" s="5" t="n"/>
      <c r="BJ1057" s="5" t="n"/>
      <c r="BK1057" s="5" t="n"/>
      <c r="BL1057" s="5" t="n"/>
      <c r="BM1057" s="5" t="n"/>
      <c r="BN1057" s="5" t="n"/>
      <c r="BO1057" s="5" t="n"/>
      <c r="BP1057" s="5" t="n"/>
      <c r="BQ1057" s="5" t="n"/>
      <c r="BR1057" s="5" t="n"/>
      <c r="BS1057" s="5" t="n"/>
      <c r="BT1057" s="5" t="n"/>
      <c r="BU1057" s="5" t="n"/>
      <c r="BV1057" s="5" t="n"/>
      <c r="BW1057" s="5" t="n"/>
      <c r="BX1057" s="5" t="n"/>
      <c r="BY1057" s="5" t="n"/>
      <c r="BZ1057" s="5" t="n"/>
      <c r="CA1057" s="5" t="n"/>
      <c r="CB1057" s="5" t="n"/>
      <c r="CC1057" s="5" t="n"/>
      <c r="CD1057" s="5" t="n"/>
      <c r="CE1057" s="5" t="n"/>
      <c r="CF1057" s="5" t="n"/>
    </row>
    <row r="1058">
      <c r="A1058" s="171" t="n"/>
      <c r="B1058" s="171" t="n"/>
      <c r="C1058" s="171" t="n"/>
      <c r="D1058" s="170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  <c r="AQ1058" s="5" t="n"/>
      <c r="AR1058" s="5" t="n"/>
      <c r="AS1058" s="5" t="n"/>
      <c r="AT1058" s="5" t="n"/>
      <c r="AU1058" s="5" t="n"/>
      <c r="AV1058" s="5" t="n"/>
      <c r="AW1058" s="5" t="n"/>
      <c r="AX1058" s="5" t="n"/>
      <c r="AY1058" s="5" t="n"/>
      <c r="AZ1058" s="5" t="n"/>
      <c r="BA1058" s="5" t="n"/>
      <c r="BB1058" s="5" t="n"/>
      <c r="BC1058" s="5" t="n"/>
      <c r="BD1058" s="5" t="n"/>
      <c r="BE1058" s="5" t="n"/>
      <c r="BF1058" s="5" t="n"/>
      <c r="BG1058" s="5" t="n"/>
      <c r="BH1058" s="5" t="n"/>
      <c r="BI1058" s="5" t="n"/>
      <c r="BJ1058" s="5" t="n"/>
      <c r="BK1058" s="5" t="n"/>
      <c r="BL1058" s="5" t="n"/>
      <c r="BM1058" s="5" t="n"/>
      <c r="BN1058" s="5" t="n"/>
      <c r="BO1058" s="5" t="n"/>
      <c r="BP1058" s="5" t="n"/>
      <c r="BQ1058" s="5" t="n"/>
      <c r="BR1058" s="5" t="n"/>
      <c r="BS1058" s="5" t="n"/>
      <c r="BT1058" s="5" t="n"/>
      <c r="BU1058" s="5" t="n"/>
      <c r="BV1058" s="5" t="n"/>
      <c r="BW1058" s="5" t="n"/>
      <c r="BX1058" s="5" t="n"/>
      <c r="BY1058" s="5" t="n"/>
      <c r="BZ1058" s="5" t="n"/>
      <c r="CA1058" s="5" t="n"/>
      <c r="CB1058" s="5" t="n"/>
      <c r="CC1058" s="5" t="n"/>
      <c r="CD1058" s="5" t="n"/>
      <c r="CE1058" s="5" t="n"/>
      <c r="CF1058" s="5" t="n"/>
    </row>
    <row r="1059">
      <c r="A1059" s="171" t="n"/>
      <c r="B1059" s="171" t="n"/>
      <c r="C1059" s="171" t="n"/>
      <c r="D1059" s="170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  <c r="AQ1059" s="5" t="n"/>
      <c r="AR1059" s="5" t="n"/>
      <c r="AS1059" s="5" t="n"/>
      <c r="AT1059" s="5" t="n"/>
      <c r="AU1059" s="5" t="n"/>
      <c r="AV1059" s="5" t="n"/>
      <c r="AW1059" s="5" t="n"/>
      <c r="AX1059" s="5" t="n"/>
      <c r="AY1059" s="5" t="n"/>
      <c r="AZ1059" s="5" t="n"/>
      <c r="BA1059" s="5" t="n"/>
      <c r="BB1059" s="5" t="n"/>
      <c r="BC1059" s="5" t="n"/>
      <c r="BD1059" s="5" t="n"/>
      <c r="BE1059" s="5" t="n"/>
      <c r="BF1059" s="5" t="n"/>
      <c r="BG1059" s="5" t="n"/>
      <c r="BH1059" s="5" t="n"/>
      <c r="BI1059" s="5" t="n"/>
      <c r="BJ1059" s="5" t="n"/>
      <c r="BK1059" s="5" t="n"/>
      <c r="BL1059" s="5" t="n"/>
      <c r="BM1059" s="5" t="n"/>
      <c r="BN1059" s="5" t="n"/>
      <c r="BO1059" s="5" t="n"/>
      <c r="BP1059" s="5" t="n"/>
      <c r="BQ1059" s="5" t="n"/>
      <c r="BR1059" s="5" t="n"/>
      <c r="BS1059" s="5" t="n"/>
      <c r="BT1059" s="5" t="n"/>
      <c r="BU1059" s="5" t="n"/>
      <c r="BV1059" s="5" t="n"/>
      <c r="BW1059" s="5" t="n"/>
      <c r="BX1059" s="5" t="n"/>
      <c r="BY1059" s="5" t="n"/>
      <c r="BZ1059" s="5" t="n"/>
      <c r="CA1059" s="5" t="n"/>
      <c r="CB1059" s="5" t="n"/>
      <c r="CC1059" s="5" t="n"/>
      <c r="CD1059" s="5" t="n"/>
      <c r="CE1059" s="5" t="n"/>
      <c r="CF1059" s="5" t="n"/>
    </row>
    <row r="1060">
      <c r="A1060" s="171" t="n"/>
      <c r="B1060" s="171" t="n"/>
      <c r="C1060" s="171" t="n"/>
      <c r="D1060" s="170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  <c r="AQ1060" s="5" t="n"/>
      <c r="AR1060" s="5" t="n"/>
      <c r="AS1060" s="5" t="n"/>
      <c r="AT1060" s="5" t="n"/>
      <c r="AU1060" s="5" t="n"/>
      <c r="AV1060" s="5" t="n"/>
      <c r="AW1060" s="5" t="n"/>
      <c r="AX1060" s="5" t="n"/>
      <c r="AY1060" s="5" t="n"/>
      <c r="AZ1060" s="5" t="n"/>
      <c r="BA1060" s="5" t="n"/>
      <c r="BB1060" s="5" t="n"/>
      <c r="BC1060" s="5" t="n"/>
      <c r="BD1060" s="5" t="n"/>
      <c r="BE1060" s="5" t="n"/>
      <c r="BF1060" s="5" t="n"/>
      <c r="BG1060" s="5" t="n"/>
      <c r="BH1060" s="5" t="n"/>
      <c r="BI1060" s="5" t="n"/>
      <c r="BJ1060" s="5" t="n"/>
      <c r="BK1060" s="5" t="n"/>
      <c r="BL1060" s="5" t="n"/>
      <c r="BM1060" s="5" t="n"/>
      <c r="BN1060" s="5" t="n"/>
      <c r="BO1060" s="5" t="n"/>
      <c r="BP1060" s="5" t="n"/>
      <c r="BQ1060" s="5" t="n"/>
      <c r="BR1060" s="5" t="n"/>
      <c r="BS1060" s="5" t="n"/>
      <c r="BT1060" s="5" t="n"/>
      <c r="BU1060" s="5" t="n"/>
      <c r="BV1060" s="5" t="n"/>
      <c r="BW1060" s="5" t="n"/>
      <c r="BX1060" s="5" t="n"/>
      <c r="BY1060" s="5" t="n"/>
      <c r="BZ1060" s="5" t="n"/>
      <c r="CA1060" s="5" t="n"/>
      <c r="CB1060" s="5" t="n"/>
      <c r="CC1060" s="5" t="n"/>
      <c r="CD1060" s="5" t="n"/>
      <c r="CE1060" s="5" t="n"/>
      <c r="CF1060" s="5" t="n"/>
    </row>
    <row r="1061">
      <c r="A1061" s="171" t="n"/>
      <c r="B1061" s="171" t="n"/>
      <c r="C1061" s="171" t="n"/>
      <c r="D1061" s="170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  <c r="AQ1061" s="5" t="n"/>
      <c r="AR1061" s="5" t="n"/>
      <c r="AS1061" s="5" t="n"/>
      <c r="AT1061" s="5" t="n"/>
      <c r="AU1061" s="5" t="n"/>
      <c r="AV1061" s="5" t="n"/>
      <c r="AW1061" s="5" t="n"/>
      <c r="AX1061" s="5" t="n"/>
      <c r="AY1061" s="5" t="n"/>
      <c r="AZ1061" s="5" t="n"/>
      <c r="BA1061" s="5" t="n"/>
      <c r="BB1061" s="5" t="n"/>
      <c r="BC1061" s="5" t="n"/>
      <c r="BD1061" s="5" t="n"/>
      <c r="BE1061" s="5" t="n"/>
      <c r="BF1061" s="5" t="n"/>
      <c r="BG1061" s="5" t="n"/>
      <c r="BH1061" s="5" t="n"/>
      <c r="BI1061" s="5" t="n"/>
      <c r="BJ1061" s="5" t="n"/>
      <c r="BK1061" s="5" t="n"/>
      <c r="BL1061" s="5" t="n"/>
      <c r="BM1061" s="5" t="n"/>
      <c r="BN1061" s="5" t="n"/>
      <c r="BO1061" s="5" t="n"/>
      <c r="BP1061" s="5" t="n"/>
      <c r="BQ1061" s="5" t="n"/>
      <c r="BR1061" s="5" t="n"/>
      <c r="BS1061" s="5" t="n"/>
      <c r="BT1061" s="5" t="n"/>
      <c r="BU1061" s="5" t="n"/>
      <c r="BV1061" s="5" t="n"/>
      <c r="BW1061" s="5" t="n"/>
      <c r="BX1061" s="5" t="n"/>
      <c r="BY1061" s="5" t="n"/>
      <c r="BZ1061" s="5" t="n"/>
      <c r="CA1061" s="5" t="n"/>
      <c r="CB1061" s="5" t="n"/>
      <c r="CC1061" s="5" t="n"/>
      <c r="CD1061" s="5" t="n"/>
      <c r="CE1061" s="5" t="n"/>
      <c r="CF1061" s="5" t="n"/>
    </row>
    <row r="1062">
      <c r="A1062" s="171" t="n"/>
      <c r="B1062" s="171" t="n"/>
      <c r="C1062" s="171" t="n"/>
      <c r="D1062" s="170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  <c r="AQ1062" s="5" t="n"/>
      <c r="AR1062" s="5" t="n"/>
      <c r="AS1062" s="5" t="n"/>
      <c r="AT1062" s="5" t="n"/>
      <c r="AU1062" s="5" t="n"/>
      <c r="AV1062" s="5" t="n"/>
      <c r="AW1062" s="5" t="n"/>
      <c r="AX1062" s="5" t="n"/>
      <c r="AY1062" s="5" t="n"/>
      <c r="AZ1062" s="5" t="n"/>
      <c r="BA1062" s="5" t="n"/>
      <c r="BB1062" s="5" t="n"/>
      <c r="BC1062" s="5" t="n"/>
      <c r="BD1062" s="5" t="n"/>
      <c r="BE1062" s="5" t="n"/>
      <c r="BF1062" s="5" t="n"/>
      <c r="BG1062" s="5" t="n"/>
      <c r="BH1062" s="5" t="n"/>
      <c r="BI1062" s="5" t="n"/>
      <c r="BJ1062" s="5" t="n"/>
      <c r="BK1062" s="5" t="n"/>
      <c r="BL1062" s="5" t="n"/>
      <c r="BM1062" s="5" t="n"/>
      <c r="BN1062" s="5" t="n"/>
      <c r="BO1062" s="5" t="n"/>
      <c r="BP1062" s="5" t="n"/>
      <c r="BQ1062" s="5" t="n"/>
      <c r="BR1062" s="5" t="n"/>
      <c r="BS1062" s="5" t="n"/>
      <c r="BT1062" s="5" t="n"/>
      <c r="BU1062" s="5" t="n"/>
      <c r="BV1062" s="5" t="n"/>
      <c r="BW1062" s="5" t="n"/>
      <c r="BX1062" s="5" t="n"/>
      <c r="BY1062" s="5" t="n"/>
      <c r="BZ1062" s="5" t="n"/>
      <c r="CA1062" s="5" t="n"/>
      <c r="CB1062" s="5" t="n"/>
      <c r="CC1062" s="5" t="n"/>
      <c r="CD1062" s="5" t="n"/>
      <c r="CE1062" s="5" t="n"/>
      <c r="CF1062" s="5" t="n"/>
    </row>
    <row r="1063">
      <c r="A1063" s="171" t="n"/>
      <c r="B1063" s="171" t="n"/>
      <c r="C1063" s="171" t="n"/>
      <c r="D1063" s="170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  <c r="AQ1063" s="5" t="n"/>
      <c r="AR1063" s="5" t="n"/>
      <c r="AS1063" s="5" t="n"/>
      <c r="AT1063" s="5" t="n"/>
      <c r="AU1063" s="5" t="n"/>
      <c r="AV1063" s="5" t="n"/>
      <c r="AW1063" s="5" t="n"/>
      <c r="AX1063" s="5" t="n"/>
      <c r="AY1063" s="5" t="n"/>
      <c r="AZ1063" s="5" t="n"/>
      <c r="BA1063" s="5" t="n"/>
      <c r="BB1063" s="5" t="n"/>
      <c r="BC1063" s="5" t="n"/>
      <c r="BD1063" s="5" t="n"/>
      <c r="BE1063" s="5" t="n"/>
      <c r="BF1063" s="5" t="n"/>
      <c r="BG1063" s="5" t="n"/>
      <c r="BH1063" s="5" t="n"/>
      <c r="BI1063" s="5" t="n"/>
      <c r="BJ1063" s="5" t="n"/>
      <c r="BK1063" s="5" t="n"/>
      <c r="BL1063" s="5" t="n"/>
      <c r="BM1063" s="5" t="n"/>
      <c r="BN1063" s="5" t="n"/>
      <c r="BO1063" s="5" t="n"/>
      <c r="BP1063" s="5" t="n"/>
      <c r="BQ1063" s="5" t="n"/>
      <c r="BR1063" s="5" t="n"/>
      <c r="BS1063" s="5" t="n"/>
      <c r="BT1063" s="5" t="n"/>
      <c r="BU1063" s="5" t="n"/>
      <c r="BV1063" s="5" t="n"/>
      <c r="BW1063" s="5" t="n"/>
      <c r="BX1063" s="5" t="n"/>
      <c r="BY1063" s="5" t="n"/>
      <c r="BZ1063" s="5" t="n"/>
      <c r="CA1063" s="5" t="n"/>
      <c r="CB1063" s="5" t="n"/>
      <c r="CC1063" s="5" t="n"/>
      <c r="CD1063" s="5" t="n"/>
      <c r="CE1063" s="5" t="n"/>
      <c r="CF1063" s="5" t="n"/>
    </row>
    <row r="1064">
      <c r="A1064" s="171" t="n"/>
      <c r="B1064" s="171" t="n"/>
      <c r="C1064" s="171" t="n"/>
      <c r="D1064" s="170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  <c r="AQ1064" s="5" t="n"/>
      <c r="AR1064" s="5" t="n"/>
      <c r="AS1064" s="5" t="n"/>
      <c r="AT1064" s="5" t="n"/>
      <c r="AU1064" s="5" t="n"/>
      <c r="AV1064" s="5" t="n"/>
      <c r="AW1064" s="5" t="n"/>
      <c r="AX1064" s="5" t="n"/>
      <c r="AY1064" s="5" t="n"/>
      <c r="AZ1064" s="5" t="n"/>
      <c r="BA1064" s="5" t="n"/>
      <c r="BB1064" s="5" t="n"/>
      <c r="BC1064" s="5" t="n"/>
      <c r="BD1064" s="5" t="n"/>
      <c r="BE1064" s="5" t="n"/>
      <c r="BF1064" s="5" t="n"/>
      <c r="BG1064" s="5" t="n"/>
      <c r="BH1064" s="5" t="n"/>
      <c r="BI1064" s="5" t="n"/>
      <c r="BJ1064" s="5" t="n"/>
      <c r="BK1064" s="5" t="n"/>
      <c r="BL1064" s="5" t="n"/>
      <c r="BM1064" s="5" t="n"/>
      <c r="BN1064" s="5" t="n"/>
      <c r="BO1064" s="5" t="n"/>
      <c r="BP1064" s="5" t="n"/>
      <c r="BQ1064" s="5" t="n"/>
      <c r="BR1064" s="5" t="n"/>
      <c r="BS1064" s="5" t="n"/>
      <c r="BT1064" s="5" t="n"/>
      <c r="BU1064" s="5" t="n"/>
      <c r="BV1064" s="5" t="n"/>
      <c r="BW1064" s="5" t="n"/>
      <c r="BX1064" s="5" t="n"/>
      <c r="BY1064" s="5" t="n"/>
      <c r="BZ1064" s="5" t="n"/>
      <c r="CA1064" s="5" t="n"/>
      <c r="CB1064" s="5" t="n"/>
      <c r="CC1064" s="5" t="n"/>
      <c r="CD1064" s="5" t="n"/>
      <c r="CE1064" s="5" t="n"/>
      <c r="CF1064" s="5" t="n"/>
    </row>
    <row r="1065">
      <c r="A1065" s="171" t="n"/>
      <c r="B1065" s="171" t="n"/>
      <c r="C1065" s="171" t="n"/>
      <c r="D1065" s="170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  <c r="AQ1065" s="5" t="n"/>
      <c r="AR1065" s="5" t="n"/>
      <c r="AS1065" s="5" t="n"/>
      <c r="AT1065" s="5" t="n"/>
      <c r="AU1065" s="5" t="n"/>
      <c r="AV1065" s="5" t="n"/>
      <c r="AW1065" s="5" t="n"/>
      <c r="AX1065" s="5" t="n"/>
      <c r="AY1065" s="5" t="n"/>
      <c r="AZ1065" s="5" t="n"/>
      <c r="BA1065" s="5" t="n"/>
      <c r="BB1065" s="5" t="n"/>
      <c r="BC1065" s="5" t="n"/>
      <c r="BD1065" s="5" t="n"/>
      <c r="BE1065" s="5" t="n"/>
      <c r="BF1065" s="5" t="n"/>
      <c r="BG1065" s="5" t="n"/>
      <c r="BH1065" s="5" t="n"/>
      <c r="BI1065" s="5" t="n"/>
      <c r="BJ1065" s="5" t="n"/>
      <c r="BK1065" s="5" t="n"/>
      <c r="BL1065" s="5" t="n"/>
      <c r="BM1065" s="5" t="n"/>
      <c r="BN1065" s="5" t="n"/>
      <c r="BO1065" s="5" t="n"/>
      <c r="BP1065" s="5" t="n"/>
      <c r="BQ1065" s="5" t="n"/>
      <c r="BR1065" s="5" t="n"/>
      <c r="BS1065" s="5" t="n"/>
      <c r="BT1065" s="5" t="n"/>
      <c r="BU1065" s="5" t="n"/>
      <c r="BV1065" s="5" t="n"/>
      <c r="BW1065" s="5" t="n"/>
      <c r="BX1065" s="5" t="n"/>
      <c r="BY1065" s="5" t="n"/>
      <c r="BZ1065" s="5" t="n"/>
      <c r="CA1065" s="5" t="n"/>
      <c r="CB1065" s="5" t="n"/>
      <c r="CC1065" s="5" t="n"/>
      <c r="CD1065" s="5" t="n"/>
      <c r="CE1065" s="5" t="n"/>
      <c r="CF1065" s="5" t="n"/>
    </row>
    <row r="1066">
      <c r="A1066" s="171" t="n"/>
      <c r="B1066" s="171" t="n"/>
      <c r="C1066" s="171" t="n"/>
      <c r="D1066" s="170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  <c r="AQ1066" s="5" t="n"/>
      <c r="AR1066" s="5" t="n"/>
      <c r="AS1066" s="5" t="n"/>
      <c r="AT1066" s="5" t="n"/>
      <c r="AU1066" s="5" t="n"/>
      <c r="AV1066" s="5" t="n"/>
      <c r="AW1066" s="5" t="n"/>
      <c r="AX1066" s="5" t="n"/>
      <c r="AY1066" s="5" t="n"/>
      <c r="AZ1066" s="5" t="n"/>
      <c r="BA1066" s="5" t="n"/>
      <c r="BB1066" s="5" t="n"/>
      <c r="BC1066" s="5" t="n"/>
      <c r="BD1066" s="5" t="n"/>
      <c r="BE1066" s="5" t="n"/>
      <c r="BF1066" s="5" t="n"/>
      <c r="BG1066" s="5" t="n"/>
      <c r="BH1066" s="5" t="n"/>
      <c r="BI1066" s="5" t="n"/>
      <c r="BJ1066" s="5" t="n"/>
      <c r="BK1066" s="5" t="n"/>
      <c r="BL1066" s="5" t="n"/>
      <c r="BM1066" s="5" t="n"/>
      <c r="BN1066" s="5" t="n"/>
      <c r="BO1066" s="5" t="n"/>
      <c r="BP1066" s="5" t="n"/>
      <c r="BQ1066" s="5" t="n"/>
      <c r="BR1066" s="5" t="n"/>
      <c r="BS1066" s="5" t="n"/>
      <c r="BT1066" s="5" t="n"/>
      <c r="BU1066" s="5" t="n"/>
      <c r="BV1066" s="5" t="n"/>
      <c r="BW1066" s="5" t="n"/>
      <c r="BX1066" s="5" t="n"/>
      <c r="BY1066" s="5" t="n"/>
      <c r="BZ1066" s="5" t="n"/>
      <c r="CA1066" s="5" t="n"/>
      <c r="CB1066" s="5" t="n"/>
      <c r="CC1066" s="5" t="n"/>
      <c r="CD1066" s="5" t="n"/>
      <c r="CE1066" s="5" t="n"/>
      <c r="CF1066" s="5" t="n"/>
    </row>
    <row r="1067">
      <c r="A1067" s="171" t="n"/>
      <c r="B1067" s="171" t="n"/>
      <c r="C1067" s="171" t="n"/>
      <c r="D1067" s="170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  <c r="AQ1067" s="5" t="n"/>
      <c r="AR1067" s="5" t="n"/>
      <c r="AS1067" s="5" t="n"/>
      <c r="AT1067" s="5" t="n"/>
      <c r="AU1067" s="5" t="n"/>
      <c r="AV1067" s="5" t="n"/>
      <c r="AW1067" s="5" t="n"/>
      <c r="AX1067" s="5" t="n"/>
      <c r="AY1067" s="5" t="n"/>
      <c r="AZ1067" s="5" t="n"/>
      <c r="BA1067" s="5" t="n"/>
      <c r="BB1067" s="5" t="n"/>
      <c r="BC1067" s="5" t="n"/>
      <c r="BD1067" s="5" t="n"/>
      <c r="BE1067" s="5" t="n"/>
      <c r="BF1067" s="5" t="n"/>
      <c r="BG1067" s="5" t="n"/>
      <c r="BH1067" s="5" t="n"/>
      <c r="BI1067" s="5" t="n"/>
      <c r="BJ1067" s="5" t="n"/>
      <c r="BK1067" s="5" t="n"/>
      <c r="BL1067" s="5" t="n"/>
      <c r="BM1067" s="5" t="n"/>
      <c r="BN1067" s="5" t="n"/>
      <c r="BO1067" s="5" t="n"/>
      <c r="BP1067" s="5" t="n"/>
      <c r="BQ1067" s="5" t="n"/>
      <c r="BR1067" s="5" t="n"/>
      <c r="BS1067" s="5" t="n"/>
      <c r="BT1067" s="5" t="n"/>
      <c r="BU1067" s="5" t="n"/>
      <c r="BV1067" s="5" t="n"/>
      <c r="BW1067" s="5" t="n"/>
      <c r="BX1067" s="5" t="n"/>
      <c r="BY1067" s="5" t="n"/>
      <c r="BZ1067" s="5" t="n"/>
      <c r="CA1067" s="5" t="n"/>
      <c r="CB1067" s="5" t="n"/>
      <c r="CC1067" s="5" t="n"/>
      <c r="CD1067" s="5" t="n"/>
      <c r="CE1067" s="5" t="n"/>
      <c r="CF1067" s="5" t="n"/>
    </row>
    <row r="1068">
      <c r="A1068" s="171" t="n"/>
      <c r="B1068" s="171" t="n"/>
      <c r="C1068" s="171" t="n"/>
      <c r="D1068" s="170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  <c r="AQ1068" s="5" t="n"/>
      <c r="AR1068" s="5" t="n"/>
      <c r="AS1068" s="5" t="n"/>
      <c r="AT1068" s="5" t="n"/>
      <c r="AU1068" s="5" t="n"/>
      <c r="AV1068" s="5" t="n"/>
      <c r="AW1068" s="5" t="n"/>
      <c r="AX1068" s="5" t="n"/>
      <c r="AY1068" s="5" t="n"/>
      <c r="AZ1068" s="5" t="n"/>
      <c r="BA1068" s="5" t="n"/>
      <c r="BB1068" s="5" t="n"/>
      <c r="BC1068" s="5" t="n"/>
      <c r="BD1068" s="5" t="n"/>
      <c r="BE1068" s="5" t="n"/>
      <c r="BF1068" s="5" t="n"/>
      <c r="BG1068" s="5" t="n"/>
      <c r="BH1068" s="5" t="n"/>
      <c r="BI1068" s="5" t="n"/>
      <c r="BJ1068" s="5" t="n"/>
      <c r="BK1068" s="5" t="n"/>
      <c r="BL1068" s="5" t="n"/>
      <c r="BM1068" s="5" t="n"/>
      <c r="BN1068" s="5" t="n"/>
      <c r="BO1068" s="5" t="n"/>
      <c r="BP1068" s="5" t="n"/>
      <c r="BQ1068" s="5" t="n"/>
      <c r="BR1068" s="5" t="n"/>
      <c r="BS1068" s="5" t="n"/>
      <c r="BT1068" s="5" t="n"/>
      <c r="BU1068" s="5" t="n"/>
      <c r="BV1068" s="5" t="n"/>
      <c r="BW1068" s="5" t="n"/>
      <c r="BX1068" s="5" t="n"/>
      <c r="BY1068" s="5" t="n"/>
      <c r="BZ1068" s="5" t="n"/>
      <c r="CA1068" s="5" t="n"/>
      <c r="CB1068" s="5" t="n"/>
      <c r="CC1068" s="5" t="n"/>
      <c r="CD1068" s="5" t="n"/>
      <c r="CE1068" s="5" t="n"/>
      <c r="CF1068" s="5" t="n"/>
    </row>
    <row r="1069">
      <c r="A1069" s="171" t="n"/>
      <c r="B1069" s="171" t="n"/>
      <c r="C1069" s="171" t="n"/>
      <c r="D1069" s="170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  <c r="AQ1069" s="5" t="n"/>
      <c r="AR1069" s="5" t="n"/>
      <c r="AS1069" s="5" t="n"/>
      <c r="AT1069" s="5" t="n"/>
      <c r="AU1069" s="5" t="n"/>
      <c r="AV1069" s="5" t="n"/>
      <c r="AW1069" s="5" t="n"/>
      <c r="AX1069" s="5" t="n"/>
      <c r="AY1069" s="5" t="n"/>
      <c r="AZ1069" s="5" t="n"/>
      <c r="BA1069" s="5" t="n"/>
      <c r="BB1069" s="5" t="n"/>
      <c r="BC1069" s="5" t="n"/>
      <c r="BD1069" s="5" t="n"/>
      <c r="BE1069" s="5" t="n"/>
      <c r="BF1069" s="5" t="n"/>
      <c r="BG1069" s="5" t="n"/>
      <c r="BH1069" s="5" t="n"/>
      <c r="BI1069" s="5" t="n"/>
      <c r="BJ1069" s="5" t="n"/>
      <c r="BK1069" s="5" t="n"/>
      <c r="BL1069" s="5" t="n"/>
      <c r="BM1069" s="5" t="n"/>
      <c r="BN1069" s="5" t="n"/>
      <c r="BO1069" s="5" t="n"/>
      <c r="BP1069" s="5" t="n"/>
      <c r="BQ1069" s="5" t="n"/>
      <c r="BR1069" s="5" t="n"/>
      <c r="BS1069" s="5" t="n"/>
      <c r="BT1069" s="5" t="n"/>
      <c r="BU1069" s="5" t="n"/>
      <c r="BV1069" s="5" t="n"/>
      <c r="BW1069" s="5" t="n"/>
      <c r="BX1069" s="5" t="n"/>
      <c r="BY1069" s="5" t="n"/>
      <c r="BZ1069" s="5" t="n"/>
      <c r="CA1069" s="5" t="n"/>
      <c r="CB1069" s="5" t="n"/>
      <c r="CC1069" s="5" t="n"/>
      <c r="CD1069" s="5" t="n"/>
      <c r="CE1069" s="5" t="n"/>
      <c r="CF1069" s="5" t="n"/>
    </row>
    <row r="1070">
      <c r="A1070" s="171" t="n"/>
      <c r="B1070" s="171" t="n"/>
      <c r="C1070" s="171" t="n"/>
      <c r="D1070" s="170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  <c r="AQ1070" s="5" t="n"/>
      <c r="AR1070" s="5" t="n"/>
      <c r="AS1070" s="5" t="n"/>
      <c r="AT1070" s="5" t="n"/>
      <c r="AU1070" s="5" t="n"/>
      <c r="AV1070" s="5" t="n"/>
      <c r="AW1070" s="5" t="n"/>
      <c r="AX1070" s="5" t="n"/>
      <c r="AY1070" s="5" t="n"/>
      <c r="AZ1070" s="5" t="n"/>
      <c r="BA1070" s="5" t="n"/>
      <c r="BB1070" s="5" t="n"/>
      <c r="BC1070" s="5" t="n"/>
      <c r="BD1070" s="5" t="n"/>
      <c r="BE1070" s="5" t="n"/>
      <c r="BF1070" s="5" t="n"/>
      <c r="BG1070" s="5" t="n"/>
      <c r="BH1070" s="5" t="n"/>
      <c r="BI1070" s="5" t="n"/>
      <c r="BJ1070" s="5" t="n"/>
      <c r="BK1070" s="5" t="n"/>
      <c r="BL1070" s="5" t="n"/>
      <c r="BM1070" s="5" t="n"/>
      <c r="BN1070" s="5" t="n"/>
      <c r="BO1070" s="5" t="n"/>
      <c r="BP1070" s="5" t="n"/>
      <c r="BQ1070" s="5" t="n"/>
      <c r="BR1070" s="5" t="n"/>
      <c r="BS1070" s="5" t="n"/>
      <c r="BT1070" s="5" t="n"/>
      <c r="BU1070" s="5" t="n"/>
      <c r="BV1070" s="5" t="n"/>
      <c r="BW1070" s="5" t="n"/>
      <c r="BX1070" s="5" t="n"/>
      <c r="BY1070" s="5" t="n"/>
      <c r="BZ1070" s="5" t="n"/>
      <c r="CA1070" s="5" t="n"/>
      <c r="CB1070" s="5" t="n"/>
      <c r="CC1070" s="5" t="n"/>
      <c r="CD1070" s="5" t="n"/>
      <c r="CE1070" s="5" t="n"/>
      <c r="CF1070" s="5" t="n"/>
    </row>
    <row r="1071">
      <c r="A1071" s="171" t="n"/>
      <c r="B1071" s="171" t="n"/>
      <c r="C1071" s="171" t="n"/>
      <c r="D1071" s="170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  <c r="AQ1071" s="5" t="n"/>
      <c r="AR1071" s="5" t="n"/>
      <c r="AS1071" s="5" t="n"/>
      <c r="AT1071" s="5" t="n"/>
      <c r="AU1071" s="5" t="n"/>
      <c r="AV1071" s="5" t="n"/>
      <c r="AW1071" s="5" t="n"/>
      <c r="AX1071" s="5" t="n"/>
      <c r="AY1071" s="5" t="n"/>
      <c r="AZ1071" s="5" t="n"/>
      <c r="BA1071" s="5" t="n"/>
      <c r="BB1071" s="5" t="n"/>
      <c r="BC1071" s="5" t="n"/>
      <c r="BD1071" s="5" t="n"/>
      <c r="BE1071" s="5" t="n"/>
      <c r="BF1071" s="5" t="n"/>
      <c r="BG1071" s="5" t="n"/>
      <c r="BH1071" s="5" t="n"/>
      <c r="BI1071" s="5" t="n"/>
      <c r="BJ1071" s="5" t="n"/>
      <c r="BK1071" s="5" t="n"/>
      <c r="BL1071" s="5" t="n"/>
      <c r="BM1071" s="5" t="n"/>
      <c r="BN1071" s="5" t="n"/>
      <c r="BO1071" s="5" t="n"/>
      <c r="BP1071" s="5" t="n"/>
      <c r="BQ1071" s="5" t="n"/>
      <c r="BR1071" s="5" t="n"/>
      <c r="BS1071" s="5" t="n"/>
      <c r="BT1071" s="5" t="n"/>
      <c r="BU1071" s="5" t="n"/>
      <c r="BV1071" s="5" t="n"/>
      <c r="BW1071" s="5" t="n"/>
      <c r="BX1071" s="5" t="n"/>
      <c r="BY1071" s="5" t="n"/>
      <c r="BZ1071" s="5" t="n"/>
      <c r="CA1071" s="5" t="n"/>
      <c r="CB1071" s="5" t="n"/>
      <c r="CC1071" s="5" t="n"/>
      <c r="CD1071" s="5" t="n"/>
      <c r="CE1071" s="5" t="n"/>
      <c r="CF1071" s="5" t="n"/>
    </row>
    <row r="1072">
      <c r="A1072" s="171" t="n"/>
      <c r="B1072" s="171" t="n"/>
      <c r="C1072" s="171" t="n"/>
      <c r="D1072" s="170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  <c r="AQ1072" s="5" t="n"/>
      <c r="AR1072" s="5" t="n"/>
      <c r="AS1072" s="5" t="n"/>
      <c r="AT1072" s="5" t="n"/>
      <c r="AU1072" s="5" t="n"/>
      <c r="AV1072" s="5" t="n"/>
      <c r="AW1072" s="5" t="n"/>
      <c r="AX1072" s="5" t="n"/>
      <c r="AY1072" s="5" t="n"/>
      <c r="AZ1072" s="5" t="n"/>
      <c r="BA1072" s="5" t="n"/>
      <c r="BB1072" s="5" t="n"/>
      <c r="BC1072" s="5" t="n"/>
      <c r="BD1072" s="5" t="n"/>
      <c r="BE1072" s="5" t="n"/>
      <c r="BF1072" s="5" t="n"/>
      <c r="BG1072" s="5" t="n"/>
      <c r="BH1072" s="5" t="n"/>
      <c r="BI1072" s="5" t="n"/>
      <c r="BJ1072" s="5" t="n"/>
      <c r="BK1072" s="5" t="n"/>
      <c r="BL1072" s="5" t="n"/>
      <c r="BM1072" s="5" t="n"/>
      <c r="BN1072" s="5" t="n"/>
      <c r="BO1072" s="5" t="n"/>
      <c r="BP1072" s="5" t="n"/>
      <c r="BQ1072" s="5" t="n"/>
      <c r="BR1072" s="5" t="n"/>
      <c r="BS1072" s="5" t="n"/>
      <c r="BT1072" s="5" t="n"/>
      <c r="BU1072" s="5" t="n"/>
      <c r="BV1072" s="5" t="n"/>
      <c r="BW1072" s="5" t="n"/>
      <c r="BX1072" s="5" t="n"/>
      <c r="BY1072" s="5" t="n"/>
      <c r="BZ1072" s="5" t="n"/>
      <c r="CA1072" s="5" t="n"/>
      <c r="CB1072" s="5" t="n"/>
      <c r="CC1072" s="5" t="n"/>
      <c r="CD1072" s="5" t="n"/>
      <c r="CE1072" s="5" t="n"/>
      <c r="CF1072" s="5" t="n"/>
    </row>
    <row r="1073">
      <c r="A1073" s="171" t="n"/>
      <c r="B1073" s="171" t="n"/>
      <c r="C1073" s="171" t="n"/>
      <c r="D1073" s="170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  <c r="AQ1073" s="5" t="n"/>
      <c r="AR1073" s="5" t="n"/>
      <c r="AS1073" s="5" t="n"/>
      <c r="AT1073" s="5" t="n"/>
      <c r="AU1073" s="5" t="n"/>
      <c r="AV1073" s="5" t="n"/>
      <c r="AW1073" s="5" t="n"/>
      <c r="AX1073" s="5" t="n"/>
      <c r="AY1073" s="5" t="n"/>
      <c r="AZ1073" s="5" t="n"/>
      <c r="BA1073" s="5" t="n"/>
      <c r="BB1073" s="5" t="n"/>
      <c r="BC1073" s="5" t="n"/>
      <c r="BD1073" s="5" t="n"/>
      <c r="BE1073" s="5" t="n"/>
      <c r="BF1073" s="5" t="n"/>
      <c r="BG1073" s="5" t="n"/>
      <c r="BH1073" s="5" t="n"/>
      <c r="BI1073" s="5" t="n"/>
      <c r="BJ1073" s="5" t="n"/>
      <c r="BK1073" s="5" t="n"/>
      <c r="BL1073" s="5" t="n"/>
      <c r="BM1073" s="5" t="n"/>
      <c r="BN1073" s="5" t="n"/>
      <c r="BO1073" s="5" t="n"/>
      <c r="BP1073" s="5" t="n"/>
      <c r="BQ1073" s="5" t="n"/>
      <c r="BR1073" s="5" t="n"/>
      <c r="BS1073" s="5" t="n"/>
      <c r="BT1073" s="5" t="n"/>
      <c r="BU1073" s="5" t="n"/>
      <c r="BV1073" s="5" t="n"/>
      <c r="BW1073" s="5" t="n"/>
      <c r="BX1073" s="5" t="n"/>
      <c r="BY1073" s="5" t="n"/>
      <c r="BZ1073" s="5" t="n"/>
      <c r="CA1073" s="5" t="n"/>
      <c r="CB1073" s="5" t="n"/>
      <c r="CC1073" s="5" t="n"/>
      <c r="CD1073" s="5" t="n"/>
      <c r="CE1073" s="5" t="n"/>
      <c r="CF1073" s="5" t="n"/>
    </row>
    <row r="1074">
      <c r="A1074" s="171" t="n"/>
      <c r="B1074" s="171" t="n"/>
      <c r="C1074" s="171" t="n"/>
      <c r="D1074" s="170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/>
      <c r="AO1074" s="5" t="n"/>
      <c r="AP1074" s="5" t="n"/>
      <c r="AQ1074" s="5" t="n"/>
      <c r="AR1074" s="5" t="n"/>
      <c r="AS1074" s="5" t="n"/>
      <c r="AT1074" s="5" t="n"/>
      <c r="AU1074" s="5" t="n"/>
      <c r="AV1074" s="5" t="n"/>
      <c r="AW1074" s="5" t="n"/>
      <c r="AX1074" s="5" t="n"/>
      <c r="AY1074" s="5" t="n"/>
      <c r="AZ1074" s="5" t="n"/>
      <c r="BA1074" s="5" t="n"/>
      <c r="BB1074" s="5" t="n"/>
      <c r="BC1074" s="5" t="n"/>
      <c r="BD1074" s="5" t="n"/>
      <c r="BE1074" s="5" t="n"/>
      <c r="BF1074" s="5" t="n"/>
      <c r="BG1074" s="5" t="n"/>
      <c r="BH1074" s="5" t="n"/>
      <c r="BI1074" s="5" t="n"/>
      <c r="BJ1074" s="5" t="n"/>
      <c r="BK1074" s="5" t="n"/>
      <c r="BL1074" s="5" t="n"/>
      <c r="BM1074" s="5" t="n"/>
      <c r="BN1074" s="5" t="n"/>
      <c r="BO1074" s="5" t="n"/>
      <c r="BP1074" s="5" t="n"/>
      <c r="BQ1074" s="5" t="n"/>
      <c r="BR1074" s="5" t="n"/>
      <c r="BS1074" s="5" t="n"/>
      <c r="BT1074" s="5" t="n"/>
      <c r="BU1074" s="5" t="n"/>
      <c r="BV1074" s="5" t="n"/>
      <c r="BW1074" s="5" t="n"/>
      <c r="BX1074" s="5" t="n"/>
      <c r="BY1074" s="5" t="n"/>
      <c r="BZ1074" s="5" t="n"/>
      <c r="CA1074" s="5" t="n"/>
      <c r="CB1074" s="5" t="n"/>
      <c r="CC1074" s="5" t="n"/>
      <c r="CD1074" s="5" t="n"/>
      <c r="CE1074" s="5" t="n"/>
      <c r="CF1074" s="5" t="n"/>
    </row>
    <row r="1075">
      <c r="A1075" s="171" t="n"/>
      <c r="B1075" s="171" t="n"/>
      <c r="C1075" s="171" t="n"/>
      <c r="D1075" s="170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/>
      <c r="AO1075" s="5" t="n"/>
      <c r="AP1075" s="5" t="n"/>
      <c r="AQ1075" s="5" t="n"/>
      <c r="AR1075" s="5" t="n"/>
      <c r="AS1075" s="5" t="n"/>
      <c r="AT1075" s="5" t="n"/>
      <c r="AU1075" s="5" t="n"/>
      <c r="AV1075" s="5" t="n"/>
      <c r="AW1075" s="5" t="n"/>
      <c r="AX1075" s="5" t="n"/>
      <c r="AY1075" s="5" t="n"/>
      <c r="AZ1075" s="5" t="n"/>
      <c r="BA1075" s="5" t="n"/>
      <c r="BB1075" s="5" t="n"/>
      <c r="BC1075" s="5" t="n"/>
      <c r="BD1075" s="5" t="n"/>
      <c r="BE1075" s="5" t="n"/>
      <c r="BF1075" s="5" t="n"/>
      <c r="BG1075" s="5" t="n"/>
      <c r="BH1075" s="5" t="n"/>
      <c r="BI1075" s="5" t="n"/>
      <c r="BJ1075" s="5" t="n"/>
      <c r="BK1075" s="5" t="n"/>
      <c r="BL1075" s="5" t="n"/>
      <c r="BM1075" s="5" t="n"/>
      <c r="BN1075" s="5" t="n"/>
      <c r="BO1075" s="5" t="n"/>
      <c r="BP1075" s="5" t="n"/>
      <c r="BQ1075" s="5" t="n"/>
      <c r="BR1075" s="5" t="n"/>
      <c r="BS1075" s="5" t="n"/>
      <c r="BT1075" s="5" t="n"/>
      <c r="BU1075" s="5" t="n"/>
      <c r="BV1075" s="5" t="n"/>
      <c r="BW1075" s="5" t="n"/>
      <c r="BX1075" s="5" t="n"/>
      <c r="BY1075" s="5" t="n"/>
      <c r="BZ1075" s="5" t="n"/>
      <c r="CA1075" s="5" t="n"/>
      <c r="CB1075" s="5" t="n"/>
      <c r="CC1075" s="5" t="n"/>
      <c r="CD1075" s="5" t="n"/>
      <c r="CE1075" s="5" t="n"/>
      <c r="CF1075" s="5" t="n"/>
    </row>
    <row r="1076">
      <c r="A1076" s="171" t="n"/>
      <c r="B1076" s="171" t="n"/>
      <c r="C1076" s="171" t="n"/>
      <c r="D1076" s="170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/>
      <c r="AO1076" s="5" t="n"/>
      <c r="AP1076" s="5" t="n"/>
      <c r="AQ1076" s="5" t="n"/>
      <c r="AR1076" s="5" t="n"/>
      <c r="AS1076" s="5" t="n"/>
      <c r="AT1076" s="5" t="n"/>
      <c r="AU1076" s="5" t="n"/>
      <c r="AV1076" s="5" t="n"/>
      <c r="AW1076" s="5" t="n"/>
      <c r="AX1076" s="5" t="n"/>
      <c r="AY1076" s="5" t="n"/>
      <c r="AZ1076" s="5" t="n"/>
      <c r="BA1076" s="5" t="n"/>
      <c r="BB1076" s="5" t="n"/>
      <c r="BC1076" s="5" t="n"/>
      <c r="BD1076" s="5" t="n"/>
      <c r="BE1076" s="5" t="n"/>
      <c r="BF1076" s="5" t="n"/>
      <c r="BG1076" s="5" t="n"/>
      <c r="BH1076" s="5" t="n"/>
      <c r="BI1076" s="5" t="n"/>
      <c r="BJ1076" s="5" t="n"/>
      <c r="BK1076" s="5" t="n"/>
      <c r="BL1076" s="5" t="n"/>
      <c r="BM1076" s="5" t="n"/>
      <c r="BN1076" s="5" t="n"/>
      <c r="BO1076" s="5" t="n"/>
      <c r="BP1076" s="5" t="n"/>
      <c r="BQ1076" s="5" t="n"/>
      <c r="BR1076" s="5" t="n"/>
      <c r="BS1076" s="5" t="n"/>
      <c r="BT1076" s="5" t="n"/>
      <c r="BU1076" s="5" t="n"/>
      <c r="BV1076" s="5" t="n"/>
      <c r="BW1076" s="5" t="n"/>
      <c r="BX1076" s="5" t="n"/>
      <c r="BY1076" s="5" t="n"/>
      <c r="BZ1076" s="5" t="n"/>
      <c r="CA1076" s="5" t="n"/>
      <c r="CB1076" s="5" t="n"/>
      <c r="CC1076" s="5" t="n"/>
      <c r="CD1076" s="5" t="n"/>
      <c r="CE1076" s="5" t="n"/>
      <c r="CF1076" s="5" t="n"/>
    </row>
    <row r="1077">
      <c r="A1077" s="171" t="n"/>
      <c r="B1077" s="171" t="n"/>
      <c r="C1077" s="171" t="n"/>
      <c r="D1077" s="170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/>
      <c r="AO1077" s="5" t="n"/>
      <c r="AP1077" s="5" t="n"/>
      <c r="AQ1077" s="5" t="n"/>
      <c r="AR1077" s="5" t="n"/>
      <c r="AS1077" s="5" t="n"/>
      <c r="AT1077" s="5" t="n"/>
      <c r="AU1077" s="5" t="n"/>
      <c r="AV1077" s="5" t="n"/>
      <c r="AW1077" s="5" t="n"/>
      <c r="AX1077" s="5" t="n"/>
      <c r="AY1077" s="5" t="n"/>
      <c r="AZ1077" s="5" t="n"/>
      <c r="BA1077" s="5" t="n"/>
      <c r="BB1077" s="5" t="n"/>
      <c r="BC1077" s="5" t="n"/>
      <c r="BD1077" s="5" t="n"/>
      <c r="BE1077" s="5" t="n"/>
      <c r="BF1077" s="5" t="n"/>
      <c r="BG1077" s="5" t="n"/>
      <c r="BH1077" s="5" t="n"/>
      <c r="BI1077" s="5" t="n"/>
      <c r="BJ1077" s="5" t="n"/>
      <c r="BK1077" s="5" t="n"/>
      <c r="BL1077" s="5" t="n"/>
      <c r="BM1077" s="5" t="n"/>
      <c r="BN1077" s="5" t="n"/>
      <c r="BO1077" s="5" t="n"/>
      <c r="BP1077" s="5" t="n"/>
      <c r="BQ1077" s="5" t="n"/>
      <c r="BR1077" s="5" t="n"/>
      <c r="BS1077" s="5" t="n"/>
      <c r="BT1077" s="5" t="n"/>
      <c r="BU1077" s="5" t="n"/>
      <c r="BV1077" s="5" t="n"/>
      <c r="BW1077" s="5" t="n"/>
      <c r="BX1077" s="5" t="n"/>
      <c r="BY1077" s="5" t="n"/>
      <c r="BZ1077" s="5" t="n"/>
      <c r="CA1077" s="5" t="n"/>
      <c r="CB1077" s="5" t="n"/>
      <c r="CC1077" s="5" t="n"/>
      <c r="CD1077" s="5" t="n"/>
      <c r="CE1077" s="5" t="n"/>
      <c r="CF1077" s="5" t="n"/>
    </row>
    <row r="1078">
      <c r="A1078" s="171" t="n"/>
      <c r="B1078" s="171" t="n"/>
      <c r="C1078" s="171" t="n"/>
      <c r="D1078" s="170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/>
      <c r="AO1078" s="5" t="n"/>
      <c r="AP1078" s="5" t="n"/>
      <c r="AQ1078" s="5" t="n"/>
      <c r="AR1078" s="5" t="n"/>
      <c r="AS1078" s="5" t="n"/>
      <c r="AT1078" s="5" t="n"/>
      <c r="AU1078" s="5" t="n"/>
      <c r="AV1078" s="5" t="n"/>
      <c r="AW1078" s="5" t="n"/>
      <c r="AX1078" s="5" t="n"/>
      <c r="AY1078" s="5" t="n"/>
      <c r="AZ1078" s="5" t="n"/>
      <c r="BA1078" s="5" t="n"/>
      <c r="BB1078" s="5" t="n"/>
      <c r="BC1078" s="5" t="n"/>
      <c r="BD1078" s="5" t="n"/>
      <c r="BE1078" s="5" t="n"/>
      <c r="BF1078" s="5" t="n"/>
      <c r="BG1078" s="5" t="n"/>
      <c r="BH1078" s="5" t="n"/>
      <c r="BI1078" s="5" t="n"/>
      <c r="BJ1078" s="5" t="n"/>
      <c r="BK1078" s="5" t="n"/>
      <c r="BL1078" s="5" t="n"/>
      <c r="BM1078" s="5" t="n"/>
      <c r="BN1078" s="5" t="n"/>
      <c r="BO1078" s="5" t="n"/>
      <c r="BP1078" s="5" t="n"/>
      <c r="BQ1078" s="5" t="n"/>
      <c r="BR1078" s="5" t="n"/>
      <c r="BS1078" s="5" t="n"/>
      <c r="BT1078" s="5" t="n"/>
      <c r="BU1078" s="5" t="n"/>
      <c r="BV1078" s="5" t="n"/>
      <c r="BW1078" s="5" t="n"/>
      <c r="BX1078" s="5" t="n"/>
      <c r="BY1078" s="5" t="n"/>
      <c r="BZ1078" s="5" t="n"/>
      <c r="CA1078" s="5" t="n"/>
      <c r="CB1078" s="5" t="n"/>
      <c r="CC1078" s="5" t="n"/>
      <c r="CD1078" s="5" t="n"/>
      <c r="CE1078" s="5" t="n"/>
      <c r="CF1078" s="5" t="n"/>
    </row>
    <row r="1079">
      <c r="A1079" s="171" t="n"/>
      <c r="B1079" s="171" t="n"/>
      <c r="C1079" s="171" t="n"/>
      <c r="D1079" s="170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/>
      <c r="AO1079" s="5" t="n"/>
      <c r="AP1079" s="5" t="n"/>
      <c r="AQ1079" s="5" t="n"/>
      <c r="AR1079" s="5" t="n"/>
      <c r="AS1079" s="5" t="n"/>
      <c r="AT1079" s="5" t="n"/>
      <c r="AU1079" s="5" t="n"/>
      <c r="AV1079" s="5" t="n"/>
      <c r="AW1079" s="5" t="n"/>
      <c r="AX1079" s="5" t="n"/>
      <c r="AY1079" s="5" t="n"/>
      <c r="AZ1079" s="5" t="n"/>
      <c r="BA1079" s="5" t="n"/>
      <c r="BB1079" s="5" t="n"/>
      <c r="BC1079" s="5" t="n"/>
      <c r="BD1079" s="5" t="n"/>
      <c r="BE1079" s="5" t="n"/>
      <c r="BF1079" s="5" t="n"/>
      <c r="BG1079" s="5" t="n"/>
      <c r="BH1079" s="5" t="n"/>
      <c r="BI1079" s="5" t="n"/>
      <c r="BJ1079" s="5" t="n"/>
      <c r="BK1079" s="5" t="n"/>
      <c r="BL1079" s="5" t="n"/>
      <c r="BM1079" s="5" t="n"/>
      <c r="BN1079" s="5" t="n"/>
      <c r="BO1079" s="5" t="n"/>
      <c r="BP1079" s="5" t="n"/>
      <c r="BQ1079" s="5" t="n"/>
      <c r="BR1079" s="5" t="n"/>
      <c r="BS1079" s="5" t="n"/>
      <c r="BT1079" s="5" t="n"/>
      <c r="BU1079" s="5" t="n"/>
      <c r="BV1079" s="5" t="n"/>
      <c r="BW1079" s="5" t="n"/>
      <c r="BX1079" s="5" t="n"/>
      <c r="BY1079" s="5" t="n"/>
      <c r="BZ1079" s="5" t="n"/>
      <c r="CA1079" s="5" t="n"/>
      <c r="CB1079" s="5" t="n"/>
      <c r="CC1079" s="5" t="n"/>
      <c r="CD1079" s="5" t="n"/>
      <c r="CE1079" s="5" t="n"/>
      <c r="CF1079" s="5" t="n"/>
    </row>
    <row r="1080">
      <c r="A1080" s="171" t="n"/>
      <c r="B1080" s="171" t="n"/>
      <c r="C1080" s="171" t="n"/>
      <c r="D1080" s="170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  <c r="AN1080" s="5" t="n"/>
      <c r="AO1080" s="5" t="n"/>
      <c r="AP1080" s="5" t="n"/>
      <c r="AQ1080" s="5" t="n"/>
      <c r="AR1080" s="5" t="n"/>
      <c r="AS1080" s="5" t="n"/>
      <c r="AT1080" s="5" t="n"/>
      <c r="AU1080" s="5" t="n"/>
      <c r="AV1080" s="5" t="n"/>
      <c r="AW1080" s="5" t="n"/>
      <c r="AX1080" s="5" t="n"/>
      <c r="AY1080" s="5" t="n"/>
      <c r="AZ1080" s="5" t="n"/>
      <c r="BA1080" s="5" t="n"/>
      <c r="BB1080" s="5" t="n"/>
      <c r="BC1080" s="5" t="n"/>
      <c r="BD1080" s="5" t="n"/>
      <c r="BE1080" s="5" t="n"/>
      <c r="BF1080" s="5" t="n"/>
      <c r="BG1080" s="5" t="n"/>
      <c r="BH1080" s="5" t="n"/>
      <c r="BI1080" s="5" t="n"/>
      <c r="BJ1080" s="5" t="n"/>
      <c r="BK1080" s="5" t="n"/>
      <c r="BL1080" s="5" t="n"/>
      <c r="BM1080" s="5" t="n"/>
      <c r="BN1080" s="5" t="n"/>
      <c r="BO1080" s="5" t="n"/>
      <c r="BP1080" s="5" t="n"/>
      <c r="BQ1080" s="5" t="n"/>
      <c r="BR1080" s="5" t="n"/>
      <c r="BS1080" s="5" t="n"/>
      <c r="BT1080" s="5" t="n"/>
      <c r="BU1080" s="5" t="n"/>
      <c r="BV1080" s="5" t="n"/>
      <c r="BW1080" s="5" t="n"/>
      <c r="BX1080" s="5" t="n"/>
      <c r="BY1080" s="5" t="n"/>
      <c r="BZ1080" s="5" t="n"/>
      <c r="CA1080" s="5" t="n"/>
      <c r="CB1080" s="5" t="n"/>
      <c r="CC1080" s="5" t="n"/>
      <c r="CD1080" s="5" t="n"/>
      <c r="CE1080" s="5" t="n"/>
      <c r="CF1080" s="5" t="n"/>
    </row>
    <row r="1081">
      <c r="A1081" s="171" t="n"/>
      <c r="B1081" s="171" t="n"/>
      <c r="C1081" s="171" t="n"/>
      <c r="D1081" s="170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  <c r="AN1081" s="5" t="n"/>
      <c r="AO1081" s="5" t="n"/>
      <c r="AP1081" s="5" t="n"/>
      <c r="AQ1081" s="5" t="n"/>
      <c r="AR1081" s="5" t="n"/>
      <c r="AS1081" s="5" t="n"/>
      <c r="AT1081" s="5" t="n"/>
      <c r="AU1081" s="5" t="n"/>
      <c r="AV1081" s="5" t="n"/>
      <c r="AW1081" s="5" t="n"/>
      <c r="AX1081" s="5" t="n"/>
      <c r="AY1081" s="5" t="n"/>
      <c r="AZ1081" s="5" t="n"/>
      <c r="BA1081" s="5" t="n"/>
      <c r="BB1081" s="5" t="n"/>
      <c r="BC1081" s="5" t="n"/>
      <c r="BD1081" s="5" t="n"/>
      <c r="BE1081" s="5" t="n"/>
      <c r="BF1081" s="5" t="n"/>
      <c r="BG1081" s="5" t="n"/>
      <c r="BH1081" s="5" t="n"/>
      <c r="BI1081" s="5" t="n"/>
      <c r="BJ1081" s="5" t="n"/>
      <c r="BK1081" s="5" t="n"/>
      <c r="BL1081" s="5" t="n"/>
      <c r="BM1081" s="5" t="n"/>
      <c r="BN1081" s="5" t="n"/>
      <c r="BO1081" s="5" t="n"/>
      <c r="BP1081" s="5" t="n"/>
      <c r="BQ1081" s="5" t="n"/>
      <c r="BR1081" s="5" t="n"/>
      <c r="BS1081" s="5" t="n"/>
      <c r="BT1081" s="5" t="n"/>
      <c r="BU1081" s="5" t="n"/>
      <c r="BV1081" s="5" t="n"/>
      <c r="BW1081" s="5" t="n"/>
      <c r="BX1081" s="5" t="n"/>
      <c r="BY1081" s="5" t="n"/>
      <c r="BZ1081" s="5" t="n"/>
      <c r="CA1081" s="5" t="n"/>
      <c r="CB1081" s="5" t="n"/>
      <c r="CC1081" s="5" t="n"/>
      <c r="CD1081" s="5" t="n"/>
      <c r="CE1081" s="5" t="n"/>
      <c r="CF1081" s="5" t="n"/>
    </row>
    <row r="1082">
      <c r="A1082" s="171" t="n"/>
      <c r="B1082" s="171" t="n"/>
      <c r="C1082" s="171" t="n"/>
      <c r="D1082" s="170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  <c r="AN1082" s="5" t="n"/>
      <c r="AO1082" s="5" t="n"/>
      <c r="AP1082" s="5" t="n"/>
      <c r="AQ1082" s="5" t="n"/>
      <c r="AR1082" s="5" t="n"/>
      <c r="AS1082" s="5" t="n"/>
      <c r="AT1082" s="5" t="n"/>
      <c r="AU1082" s="5" t="n"/>
      <c r="AV1082" s="5" t="n"/>
      <c r="AW1082" s="5" t="n"/>
      <c r="AX1082" s="5" t="n"/>
      <c r="AY1082" s="5" t="n"/>
      <c r="AZ1082" s="5" t="n"/>
      <c r="BA1082" s="5" t="n"/>
      <c r="BB1082" s="5" t="n"/>
      <c r="BC1082" s="5" t="n"/>
      <c r="BD1082" s="5" t="n"/>
      <c r="BE1082" s="5" t="n"/>
      <c r="BF1082" s="5" t="n"/>
      <c r="BG1082" s="5" t="n"/>
      <c r="BH1082" s="5" t="n"/>
      <c r="BI1082" s="5" t="n"/>
      <c r="BJ1082" s="5" t="n"/>
      <c r="BK1082" s="5" t="n"/>
      <c r="BL1082" s="5" t="n"/>
      <c r="BM1082" s="5" t="n"/>
      <c r="BN1082" s="5" t="n"/>
      <c r="BO1082" s="5" t="n"/>
      <c r="BP1082" s="5" t="n"/>
      <c r="BQ1082" s="5" t="n"/>
      <c r="BR1082" s="5" t="n"/>
      <c r="BS1082" s="5" t="n"/>
      <c r="BT1082" s="5" t="n"/>
      <c r="BU1082" s="5" t="n"/>
      <c r="BV1082" s="5" t="n"/>
      <c r="BW1082" s="5" t="n"/>
      <c r="BX1082" s="5" t="n"/>
      <c r="BY1082" s="5" t="n"/>
      <c r="BZ1082" s="5" t="n"/>
      <c r="CA1082" s="5" t="n"/>
      <c r="CB1082" s="5" t="n"/>
      <c r="CC1082" s="5" t="n"/>
      <c r="CD1082" s="5" t="n"/>
      <c r="CE1082" s="5" t="n"/>
      <c r="CF1082" s="5" t="n"/>
    </row>
    <row r="1083">
      <c r="A1083" s="171" t="n"/>
      <c r="B1083" s="171" t="n"/>
      <c r="C1083" s="171" t="n"/>
      <c r="D1083" s="170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  <c r="AN1083" s="5" t="n"/>
      <c r="AO1083" s="5" t="n"/>
      <c r="AP1083" s="5" t="n"/>
      <c r="AQ1083" s="5" t="n"/>
      <c r="AR1083" s="5" t="n"/>
      <c r="AS1083" s="5" t="n"/>
      <c r="AT1083" s="5" t="n"/>
      <c r="AU1083" s="5" t="n"/>
      <c r="AV1083" s="5" t="n"/>
      <c r="AW1083" s="5" t="n"/>
      <c r="AX1083" s="5" t="n"/>
      <c r="AY1083" s="5" t="n"/>
      <c r="AZ1083" s="5" t="n"/>
      <c r="BA1083" s="5" t="n"/>
      <c r="BB1083" s="5" t="n"/>
      <c r="BC1083" s="5" t="n"/>
      <c r="BD1083" s="5" t="n"/>
      <c r="BE1083" s="5" t="n"/>
      <c r="BF1083" s="5" t="n"/>
      <c r="BG1083" s="5" t="n"/>
      <c r="BH1083" s="5" t="n"/>
      <c r="BI1083" s="5" t="n"/>
      <c r="BJ1083" s="5" t="n"/>
      <c r="BK1083" s="5" t="n"/>
      <c r="BL1083" s="5" t="n"/>
      <c r="BM1083" s="5" t="n"/>
      <c r="BN1083" s="5" t="n"/>
      <c r="BO1083" s="5" t="n"/>
      <c r="BP1083" s="5" t="n"/>
      <c r="BQ1083" s="5" t="n"/>
      <c r="BR1083" s="5" t="n"/>
      <c r="BS1083" s="5" t="n"/>
      <c r="BT1083" s="5" t="n"/>
      <c r="BU1083" s="5" t="n"/>
      <c r="BV1083" s="5" t="n"/>
      <c r="BW1083" s="5" t="n"/>
      <c r="BX1083" s="5" t="n"/>
      <c r="BY1083" s="5" t="n"/>
      <c r="BZ1083" s="5" t="n"/>
      <c r="CA1083" s="5" t="n"/>
      <c r="CB1083" s="5" t="n"/>
      <c r="CC1083" s="5" t="n"/>
      <c r="CD1083" s="5" t="n"/>
      <c r="CE1083" s="5" t="n"/>
      <c r="CF1083" s="5" t="n"/>
    </row>
    <row r="1084">
      <c r="A1084" s="171" t="n"/>
      <c r="B1084" s="171" t="n"/>
      <c r="C1084" s="171" t="n"/>
      <c r="D1084" s="170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  <c r="AN1084" s="5" t="n"/>
      <c r="AO1084" s="5" t="n"/>
      <c r="AP1084" s="5" t="n"/>
      <c r="AQ1084" s="5" t="n"/>
      <c r="AR1084" s="5" t="n"/>
      <c r="AS1084" s="5" t="n"/>
      <c r="AT1084" s="5" t="n"/>
      <c r="AU1084" s="5" t="n"/>
      <c r="AV1084" s="5" t="n"/>
      <c r="AW1084" s="5" t="n"/>
      <c r="AX1084" s="5" t="n"/>
      <c r="AY1084" s="5" t="n"/>
      <c r="AZ1084" s="5" t="n"/>
      <c r="BA1084" s="5" t="n"/>
      <c r="BB1084" s="5" t="n"/>
      <c r="BC1084" s="5" t="n"/>
      <c r="BD1084" s="5" t="n"/>
      <c r="BE1084" s="5" t="n"/>
      <c r="BF1084" s="5" t="n"/>
      <c r="BG1084" s="5" t="n"/>
      <c r="BH1084" s="5" t="n"/>
      <c r="BI1084" s="5" t="n"/>
      <c r="BJ1084" s="5" t="n"/>
      <c r="BK1084" s="5" t="n"/>
      <c r="BL1084" s="5" t="n"/>
      <c r="BM1084" s="5" t="n"/>
      <c r="BN1084" s="5" t="n"/>
      <c r="BO1084" s="5" t="n"/>
      <c r="BP1084" s="5" t="n"/>
      <c r="BQ1084" s="5" t="n"/>
      <c r="BR1084" s="5" t="n"/>
      <c r="BS1084" s="5" t="n"/>
      <c r="BT1084" s="5" t="n"/>
      <c r="BU1084" s="5" t="n"/>
      <c r="BV1084" s="5" t="n"/>
      <c r="BW1084" s="5" t="n"/>
      <c r="BX1084" s="5" t="n"/>
      <c r="BY1084" s="5" t="n"/>
      <c r="BZ1084" s="5" t="n"/>
      <c r="CA1084" s="5" t="n"/>
      <c r="CB1084" s="5" t="n"/>
      <c r="CC1084" s="5" t="n"/>
      <c r="CD1084" s="5" t="n"/>
      <c r="CE1084" s="5" t="n"/>
      <c r="CF1084" s="5" t="n"/>
    </row>
    <row r="1085">
      <c r="A1085" s="171" t="n"/>
      <c r="B1085" s="171" t="n"/>
      <c r="C1085" s="171" t="n"/>
      <c r="D1085" s="170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  <c r="AN1085" s="5" t="n"/>
      <c r="AO1085" s="5" t="n"/>
      <c r="AP1085" s="5" t="n"/>
      <c r="AQ1085" s="5" t="n"/>
      <c r="AR1085" s="5" t="n"/>
      <c r="AS1085" s="5" t="n"/>
      <c r="AT1085" s="5" t="n"/>
      <c r="AU1085" s="5" t="n"/>
      <c r="AV1085" s="5" t="n"/>
      <c r="AW1085" s="5" t="n"/>
      <c r="AX1085" s="5" t="n"/>
      <c r="AY1085" s="5" t="n"/>
      <c r="AZ1085" s="5" t="n"/>
      <c r="BA1085" s="5" t="n"/>
      <c r="BB1085" s="5" t="n"/>
      <c r="BC1085" s="5" t="n"/>
      <c r="BD1085" s="5" t="n"/>
      <c r="BE1085" s="5" t="n"/>
      <c r="BF1085" s="5" t="n"/>
      <c r="BG1085" s="5" t="n"/>
      <c r="BH1085" s="5" t="n"/>
      <c r="BI1085" s="5" t="n"/>
      <c r="BJ1085" s="5" t="n"/>
      <c r="BK1085" s="5" t="n"/>
      <c r="BL1085" s="5" t="n"/>
      <c r="BM1085" s="5" t="n"/>
      <c r="BN1085" s="5" t="n"/>
      <c r="BO1085" s="5" t="n"/>
      <c r="BP1085" s="5" t="n"/>
      <c r="BQ1085" s="5" t="n"/>
      <c r="BR1085" s="5" t="n"/>
      <c r="BS1085" s="5" t="n"/>
      <c r="BT1085" s="5" t="n"/>
      <c r="BU1085" s="5" t="n"/>
      <c r="BV1085" s="5" t="n"/>
      <c r="BW1085" s="5" t="n"/>
      <c r="BX1085" s="5" t="n"/>
      <c r="BY1085" s="5" t="n"/>
      <c r="BZ1085" s="5" t="n"/>
      <c r="CA1085" s="5" t="n"/>
      <c r="CB1085" s="5" t="n"/>
      <c r="CC1085" s="5" t="n"/>
      <c r="CD1085" s="5" t="n"/>
      <c r="CE1085" s="5" t="n"/>
      <c r="CF1085" s="5" t="n"/>
    </row>
    <row r="1086">
      <c r="A1086" s="171" t="n"/>
      <c r="B1086" s="171" t="n"/>
      <c r="C1086" s="171" t="n"/>
      <c r="D1086" s="170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  <c r="AN1086" s="5" t="n"/>
      <c r="AO1086" s="5" t="n"/>
      <c r="AP1086" s="5" t="n"/>
      <c r="AQ1086" s="5" t="n"/>
      <c r="AR1086" s="5" t="n"/>
      <c r="AS1086" s="5" t="n"/>
      <c r="AT1086" s="5" t="n"/>
      <c r="AU1086" s="5" t="n"/>
      <c r="AV1086" s="5" t="n"/>
      <c r="AW1086" s="5" t="n"/>
      <c r="AX1086" s="5" t="n"/>
      <c r="AY1086" s="5" t="n"/>
      <c r="AZ1086" s="5" t="n"/>
      <c r="BA1086" s="5" t="n"/>
      <c r="BB1086" s="5" t="n"/>
      <c r="BC1086" s="5" t="n"/>
      <c r="BD1086" s="5" t="n"/>
      <c r="BE1086" s="5" t="n"/>
      <c r="BF1086" s="5" t="n"/>
      <c r="BG1086" s="5" t="n"/>
      <c r="BH1086" s="5" t="n"/>
      <c r="BI1086" s="5" t="n"/>
      <c r="BJ1086" s="5" t="n"/>
      <c r="BK1086" s="5" t="n"/>
      <c r="BL1086" s="5" t="n"/>
      <c r="BM1086" s="5" t="n"/>
      <c r="BN1086" s="5" t="n"/>
      <c r="BO1086" s="5" t="n"/>
      <c r="BP1086" s="5" t="n"/>
      <c r="BQ1086" s="5" t="n"/>
      <c r="BR1086" s="5" t="n"/>
      <c r="BS1086" s="5" t="n"/>
      <c r="BT1086" s="5" t="n"/>
      <c r="BU1086" s="5" t="n"/>
      <c r="BV1086" s="5" t="n"/>
      <c r="BW1086" s="5" t="n"/>
      <c r="BX1086" s="5" t="n"/>
      <c r="BY1086" s="5" t="n"/>
      <c r="BZ1086" s="5" t="n"/>
      <c r="CA1086" s="5" t="n"/>
      <c r="CB1086" s="5" t="n"/>
      <c r="CC1086" s="5" t="n"/>
      <c r="CD1086" s="5" t="n"/>
      <c r="CE1086" s="5" t="n"/>
      <c r="CF1086" s="5" t="n"/>
    </row>
    <row r="1087">
      <c r="A1087" s="171" t="n"/>
      <c r="B1087" s="171" t="n"/>
      <c r="C1087" s="171" t="n"/>
      <c r="D1087" s="170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  <c r="AN1087" s="5" t="n"/>
      <c r="AO1087" s="5" t="n"/>
      <c r="AP1087" s="5" t="n"/>
      <c r="AQ1087" s="5" t="n"/>
      <c r="AR1087" s="5" t="n"/>
      <c r="AS1087" s="5" t="n"/>
      <c r="AT1087" s="5" t="n"/>
      <c r="AU1087" s="5" t="n"/>
      <c r="AV1087" s="5" t="n"/>
      <c r="AW1087" s="5" t="n"/>
      <c r="AX1087" s="5" t="n"/>
      <c r="AY1087" s="5" t="n"/>
      <c r="AZ1087" s="5" t="n"/>
      <c r="BA1087" s="5" t="n"/>
      <c r="BB1087" s="5" t="n"/>
      <c r="BC1087" s="5" t="n"/>
      <c r="BD1087" s="5" t="n"/>
      <c r="BE1087" s="5" t="n"/>
      <c r="BF1087" s="5" t="n"/>
      <c r="BG1087" s="5" t="n"/>
      <c r="BH1087" s="5" t="n"/>
      <c r="BI1087" s="5" t="n"/>
      <c r="BJ1087" s="5" t="n"/>
      <c r="BK1087" s="5" t="n"/>
      <c r="BL1087" s="5" t="n"/>
      <c r="BM1087" s="5" t="n"/>
      <c r="BN1087" s="5" t="n"/>
      <c r="BO1087" s="5" t="n"/>
      <c r="BP1087" s="5" t="n"/>
      <c r="BQ1087" s="5" t="n"/>
      <c r="BR1087" s="5" t="n"/>
      <c r="BS1087" s="5" t="n"/>
      <c r="BT1087" s="5" t="n"/>
      <c r="BU1087" s="5" t="n"/>
      <c r="BV1087" s="5" t="n"/>
      <c r="BW1087" s="5" t="n"/>
      <c r="BX1087" s="5" t="n"/>
      <c r="BY1087" s="5" t="n"/>
      <c r="BZ1087" s="5" t="n"/>
      <c r="CA1087" s="5" t="n"/>
      <c r="CB1087" s="5" t="n"/>
      <c r="CC1087" s="5" t="n"/>
      <c r="CD1087" s="5" t="n"/>
      <c r="CE1087" s="5" t="n"/>
      <c r="CF1087" s="5" t="n"/>
    </row>
    <row r="1088">
      <c r="A1088" s="171" t="n"/>
      <c r="B1088" s="171" t="n"/>
      <c r="C1088" s="171" t="n"/>
      <c r="D1088" s="170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  <c r="AN1088" s="5" t="n"/>
      <c r="AO1088" s="5" t="n"/>
      <c r="AP1088" s="5" t="n"/>
      <c r="AQ1088" s="5" t="n"/>
      <c r="AR1088" s="5" t="n"/>
      <c r="AS1088" s="5" t="n"/>
      <c r="AT1088" s="5" t="n"/>
      <c r="AU1088" s="5" t="n"/>
      <c r="AV1088" s="5" t="n"/>
      <c r="AW1088" s="5" t="n"/>
      <c r="AX1088" s="5" t="n"/>
      <c r="AY1088" s="5" t="n"/>
      <c r="AZ1088" s="5" t="n"/>
      <c r="BA1088" s="5" t="n"/>
      <c r="BB1088" s="5" t="n"/>
      <c r="BC1088" s="5" t="n"/>
      <c r="BD1088" s="5" t="n"/>
      <c r="BE1088" s="5" t="n"/>
      <c r="BF1088" s="5" t="n"/>
      <c r="BG1088" s="5" t="n"/>
      <c r="BH1088" s="5" t="n"/>
      <c r="BI1088" s="5" t="n"/>
      <c r="BJ1088" s="5" t="n"/>
      <c r="BK1088" s="5" t="n"/>
      <c r="BL1088" s="5" t="n"/>
      <c r="BM1088" s="5" t="n"/>
      <c r="BN1088" s="5" t="n"/>
      <c r="BO1088" s="5" t="n"/>
      <c r="BP1088" s="5" t="n"/>
      <c r="BQ1088" s="5" t="n"/>
      <c r="BR1088" s="5" t="n"/>
      <c r="BS1088" s="5" t="n"/>
      <c r="BT1088" s="5" t="n"/>
      <c r="BU1088" s="5" t="n"/>
      <c r="BV1088" s="5" t="n"/>
      <c r="BW1088" s="5" t="n"/>
      <c r="BX1088" s="5" t="n"/>
      <c r="BY1088" s="5" t="n"/>
      <c r="BZ1088" s="5" t="n"/>
      <c r="CA1088" s="5" t="n"/>
      <c r="CB1088" s="5" t="n"/>
      <c r="CC1088" s="5" t="n"/>
      <c r="CD1088" s="5" t="n"/>
      <c r="CE1088" s="5" t="n"/>
      <c r="CF1088" s="5" t="n"/>
    </row>
    <row r="1089">
      <c r="A1089" s="171" t="n"/>
      <c r="B1089" s="171" t="n"/>
      <c r="C1089" s="171" t="n"/>
      <c r="D1089" s="170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  <c r="AN1089" s="5" t="n"/>
      <c r="AO1089" s="5" t="n"/>
      <c r="AP1089" s="5" t="n"/>
      <c r="AQ1089" s="5" t="n"/>
      <c r="AR1089" s="5" t="n"/>
      <c r="AS1089" s="5" t="n"/>
      <c r="AT1089" s="5" t="n"/>
      <c r="AU1089" s="5" t="n"/>
      <c r="AV1089" s="5" t="n"/>
      <c r="AW1089" s="5" t="n"/>
      <c r="AX1089" s="5" t="n"/>
      <c r="AY1089" s="5" t="n"/>
      <c r="AZ1089" s="5" t="n"/>
      <c r="BA1089" s="5" t="n"/>
      <c r="BB1089" s="5" t="n"/>
      <c r="BC1089" s="5" t="n"/>
      <c r="BD1089" s="5" t="n"/>
      <c r="BE1089" s="5" t="n"/>
      <c r="BF1089" s="5" t="n"/>
      <c r="BG1089" s="5" t="n"/>
      <c r="BH1089" s="5" t="n"/>
      <c r="BI1089" s="5" t="n"/>
      <c r="BJ1089" s="5" t="n"/>
      <c r="BK1089" s="5" t="n"/>
      <c r="BL1089" s="5" t="n"/>
      <c r="BM1089" s="5" t="n"/>
      <c r="BN1089" s="5" t="n"/>
      <c r="BO1089" s="5" t="n"/>
      <c r="BP1089" s="5" t="n"/>
      <c r="BQ1089" s="5" t="n"/>
      <c r="BR1089" s="5" t="n"/>
      <c r="BS1089" s="5" t="n"/>
      <c r="BT1089" s="5" t="n"/>
      <c r="BU1089" s="5" t="n"/>
      <c r="BV1089" s="5" t="n"/>
      <c r="BW1089" s="5" t="n"/>
      <c r="BX1089" s="5" t="n"/>
      <c r="BY1089" s="5" t="n"/>
      <c r="BZ1089" s="5" t="n"/>
      <c r="CA1089" s="5" t="n"/>
      <c r="CB1089" s="5" t="n"/>
      <c r="CC1089" s="5" t="n"/>
      <c r="CD1089" s="5" t="n"/>
      <c r="CE1089" s="5" t="n"/>
      <c r="CF1089" s="5" t="n"/>
    </row>
    <row r="1090">
      <c r="A1090" s="171" t="n"/>
      <c r="B1090" s="171" t="n"/>
      <c r="C1090" s="171" t="n"/>
      <c r="D1090" s="170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  <c r="AN1090" s="5" t="n"/>
      <c r="AO1090" s="5" t="n"/>
      <c r="AP1090" s="5" t="n"/>
      <c r="AQ1090" s="5" t="n"/>
      <c r="AR1090" s="5" t="n"/>
      <c r="AS1090" s="5" t="n"/>
      <c r="AT1090" s="5" t="n"/>
      <c r="AU1090" s="5" t="n"/>
      <c r="AV1090" s="5" t="n"/>
      <c r="AW1090" s="5" t="n"/>
      <c r="AX1090" s="5" t="n"/>
      <c r="AY1090" s="5" t="n"/>
      <c r="AZ1090" s="5" t="n"/>
      <c r="BA1090" s="5" t="n"/>
      <c r="BB1090" s="5" t="n"/>
      <c r="BC1090" s="5" t="n"/>
      <c r="BD1090" s="5" t="n"/>
      <c r="BE1090" s="5" t="n"/>
      <c r="BF1090" s="5" t="n"/>
      <c r="BG1090" s="5" t="n"/>
      <c r="BH1090" s="5" t="n"/>
      <c r="BI1090" s="5" t="n"/>
      <c r="BJ1090" s="5" t="n"/>
      <c r="BK1090" s="5" t="n"/>
      <c r="BL1090" s="5" t="n"/>
      <c r="BM1090" s="5" t="n"/>
      <c r="BN1090" s="5" t="n"/>
      <c r="BO1090" s="5" t="n"/>
      <c r="BP1090" s="5" t="n"/>
      <c r="BQ1090" s="5" t="n"/>
      <c r="BR1090" s="5" t="n"/>
      <c r="BS1090" s="5" t="n"/>
      <c r="BT1090" s="5" t="n"/>
      <c r="BU1090" s="5" t="n"/>
      <c r="BV1090" s="5" t="n"/>
      <c r="BW1090" s="5" t="n"/>
      <c r="BX1090" s="5" t="n"/>
      <c r="BY1090" s="5" t="n"/>
      <c r="BZ1090" s="5" t="n"/>
      <c r="CA1090" s="5" t="n"/>
      <c r="CB1090" s="5" t="n"/>
      <c r="CC1090" s="5" t="n"/>
      <c r="CD1090" s="5" t="n"/>
      <c r="CE1090" s="5" t="n"/>
      <c r="CF1090" s="5" t="n"/>
    </row>
    <row r="1091">
      <c r="A1091" s="171" t="n"/>
      <c r="B1091" s="171" t="n"/>
      <c r="C1091" s="171" t="n"/>
      <c r="D1091" s="170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  <c r="AN1091" s="5" t="n"/>
      <c r="AO1091" s="5" t="n"/>
      <c r="AP1091" s="5" t="n"/>
      <c r="AQ1091" s="5" t="n"/>
      <c r="AR1091" s="5" t="n"/>
      <c r="AS1091" s="5" t="n"/>
      <c r="AT1091" s="5" t="n"/>
      <c r="AU1091" s="5" t="n"/>
      <c r="AV1091" s="5" t="n"/>
      <c r="AW1091" s="5" t="n"/>
      <c r="AX1091" s="5" t="n"/>
      <c r="AY1091" s="5" t="n"/>
      <c r="AZ1091" s="5" t="n"/>
      <c r="BA1091" s="5" t="n"/>
      <c r="BB1091" s="5" t="n"/>
      <c r="BC1091" s="5" t="n"/>
      <c r="BD1091" s="5" t="n"/>
      <c r="BE1091" s="5" t="n"/>
      <c r="BF1091" s="5" t="n"/>
      <c r="BG1091" s="5" t="n"/>
      <c r="BH1091" s="5" t="n"/>
      <c r="BI1091" s="5" t="n"/>
      <c r="BJ1091" s="5" t="n"/>
      <c r="BK1091" s="5" t="n"/>
      <c r="BL1091" s="5" t="n"/>
      <c r="BM1091" s="5" t="n"/>
      <c r="BN1091" s="5" t="n"/>
      <c r="BO1091" s="5" t="n"/>
      <c r="BP1091" s="5" t="n"/>
      <c r="BQ1091" s="5" t="n"/>
      <c r="BR1091" s="5" t="n"/>
      <c r="BS1091" s="5" t="n"/>
      <c r="BT1091" s="5" t="n"/>
      <c r="BU1091" s="5" t="n"/>
      <c r="BV1091" s="5" t="n"/>
      <c r="BW1091" s="5" t="n"/>
      <c r="BX1091" s="5" t="n"/>
      <c r="BY1091" s="5" t="n"/>
      <c r="BZ1091" s="5" t="n"/>
      <c r="CA1091" s="5" t="n"/>
      <c r="CB1091" s="5" t="n"/>
      <c r="CC1091" s="5" t="n"/>
      <c r="CD1091" s="5" t="n"/>
      <c r="CE1091" s="5" t="n"/>
      <c r="CF1091" s="5" t="n"/>
    </row>
    <row r="1092">
      <c r="A1092" s="171" t="n"/>
      <c r="B1092" s="171" t="n"/>
      <c r="C1092" s="171" t="n"/>
      <c r="D1092" s="170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  <c r="AN1092" s="5" t="n"/>
      <c r="AO1092" s="5" t="n"/>
      <c r="AP1092" s="5" t="n"/>
      <c r="AQ1092" s="5" t="n"/>
      <c r="AR1092" s="5" t="n"/>
      <c r="AS1092" s="5" t="n"/>
      <c r="AT1092" s="5" t="n"/>
      <c r="AU1092" s="5" t="n"/>
      <c r="AV1092" s="5" t="n"/>
      <c r="AW1092" s="5" t="n"/>
      <c r="AX1092" s="5" t="n"/>
      <c r="AY1092" s="5" t="n"/>
      <c r="AZ1092" s="5" t="n"/>
      <c r="BA1092" s="5" t="n"/>
      <c r="BB1092" s="5" t="n"/>
      <c r="BC1092" s="5" t="n"/>
      <c r="BD1092" s="5" t="n"/>
      <c r="BE1092" s="5" t="n"/>
      <c r="BF1092" s="5" t="n"/>
      <c r="BG1092" s="5" t="n"/>
      <c r="BH1092" s="5" t="n"/>
      <c r="BI1092" s="5" t="n"/>
      <c r="BJ1092" s="5" t="n"/>
      <c r="BK1092" s="5" t="n"/>
      <c r="BL1092" s="5" t="n"/>
      <c r="BM1092" s="5" t="n"/>
      <c r="BN1092" s="5" t="n"/>
      <c r="BO1092" s="5" t="n"/>
      <c r="BP1092" s="5" t="n"/>
      <c r="BQ1092" s="5" t="n"/>
      <c r="BR1092" s="5" t="n"/>
      <c r="BS1092" s="5" t="n"/>
      <c r="BT1092" s="5" t="n"/>
      <c r="BU1092" s="5" t="n"/>
      <c r="BV1092" s="5" t="n"/>
      <c r="BW1092" s="5" t="n"/>
      <c r="BX1092" s="5" t="n"/>
      <c r="BY1092" s="5" t="n"/>
      <c r="BZ1092" s="5" t="n"/>
      <c r="CA1092" s="5" t="n"/>
      <c r="CB1092" s="5" t="n"/>
      <c r="CC1092" s="5" t="n"/>
      <c r="CD1092" s="5" t="n"/>
      <c r="CE1092" s="5" t="n"/>
      <c r="CF1092" s="5" t="n"/>
    </row>
    <row r="1093">
      <c r="A1093" s="171" t="n"/>
      <c r="B1093" s="171" t="n"/>
      <c r="C1093" s="171" t="n"/>
      <c r="D1093" s="170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  <c r="AN1093" s="5" t="n"/>
      <c r="AO1093" s="5" t="n"/>
      <c r="AP1093" s="5" t="n"/>
      <c r="AQ1093" s="5" t="n"/>
      <c r="AR1093" s="5" t="n"/>
      <c r="AS1093" s="5" t="n"/>
      <c r="AT1093" s="5" t="n"/>
      <c r="AU1093" s="5" t="n"/>
      <c r="AV1093" s="5" t="n"/>
      <c r="AW1093" s="5" t="n"/>
      <c r="AX1093" s="5" t="n"/>
      <c r="AY1093" s="5" t="n"/>
      <c r="AZ1093" s="5" t="n"/>
      <c r="BA1093" s="5" t="n"/>
      <c r="BB1093" s="5" t="n"/>
      <c r="BC1093" s="5" t="n"/>
      <c r="BD1093" s="5" t="n"/>
      <c r="BE1093" s="5" t="n"/>
      <c r="BF1093" s="5" t="n"/>
      <c r="BG1093" s="5" t="n"/>
      <c r="BH1093" s="5" t="n"/>
      <c r="BI1093" s="5" t="n"/>
      <c r="BJ1093" s="5" t="n"/>
      <c r="BK1093" s="5" t="n"/>
      <c r="BL1093" s="5" t="n"/>
      <c r="BM1093" s="5" t="n"/>
      <c r="BN1093" s="5" t="n"/>
      <c r="BO1093" s="5" t="n"/>
      <c r="BP1093" s="5" t="n"/>
      <c r="BQ1093" s="5" t="n"/>
      <c r="BR1093" s="5" t="n"/>
      <c r="BS1093" s="5" t="n"/>
      <c r="BT1093" s="5" t="n"/>
      <c r="BU1093" s="5" t="n"/>
      <c r="BV1093" s="5" t="n"/>
      <c r="BW1093" s="5" t="n"/>
      <c r="BX1093" s="5" t="n"/>
      <c r="BY1093" s="5" t="n"/>
      <c r="BZ1093" s="5" t="n"/>
      <c r="CA1093" s="5" t="n"/>
      <c r="CB1093" s="5" t="n"/>
      <c r="CC1093" s="5" t="n"/>
      <c r="CD1093" s="5" t="n"/>
      <c r="CE1093" s="5" t="n"/>
      <c r="CF1093" s="5" t="n"/>
    </row>
    <row r="1094">
      <c r="A1094" s="171" t="n"/>
      <c r="B1094" s="171" t="n"/>
      <c r="C1094" s="171" t="n"/>
      <c r="D1094" s="170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  <c r="AN1094" s="5" t="n"/>
      <c r="AO1094" s="5" t="n"/>
      <c r="AP1094" s="5" t="n"/>
      <c r="AQ1094" s="5" t="n"/>
      <c r="AR1094" s="5" t="n"/>
      <c r="AS1094" s="5" t="n"/>
      <c r="AT1094" s="5" t="n"/>
      <c r="AU1094" s="5" t="n"/>
      <c r="AV1094" s="5" t="n"/>
      <c r="AW1094" s="5" t="n"/>
      <c r="AX1094" s="5" t="n"/>
      <c r="AY1094" s="5" t="n"/>
      <c r="AZ1094" s="5" t="n"/>
      <c r="BA1094" s="5" t="n"/>
      <c r="BB1094" s="5" t="n"/>
      <c r="BC1094" s="5" t="n"/>
      <c r="BD1094" s="5" t="n"/>
      <c r="BE1094" s="5" t="n"/>
      <c r="BF1094" s="5" t="n"/>
      <c r="BG1094" s="5" t="n"/>
      <c r="BH1094" s="5" t="n"/>
      <c r="BI1094" s="5" t="n"/>
      <c r="BJ1094" s="5" t="n"/>
      <c r="BK1094" s="5" t="n"/>
      <c r="BL1094" s="5" t="n"/>
      <c r="BM1094" s="5" t="n"/>
      <c r="BN1094" s="5" t="n"/>
      <c r="BO1094" s="5" t="n"/>
      <c r="BP1094" s="5" t="n"/>
      <c r="BQ1094" s="5" t="n"/>
      <c r="BR1094" s="5" t="n"/>
      <c r="BS1094" s="5" t="n"/>
      <c r="BT1094" s="5" t="n"/>
      <c r="BU1094" s="5" t="n"/>
      <c r="BV1094" s="5" t="n"/>
      <c r="BW1094" s="5" t="n"/>
      <c r="BX1094" s="5" t="n"/>
      <c r="BY1094" s="5" t="n"/>
      <c r="BZ1094" s="5" t="n"/>
      <c r="CA1094" s="5" t="n"/>
      <c r="CB1094" s="5" t="n"/>
      <c r="CC1094" s="5" t="n"/>
      <c r="CD1094" s="5" t="n"/>
      <c r="CE1094" s="5" t="n"/>
      <c r="CF1094" s="5" t="n"/>
    </row>
    <row r="1095">
      <c r="A1095" s="171" t="n"/>
      <c r="B1095" s="171" t="n"/>
      <c r="C1095" s="171" t="n"/>
      <c r="D1095" s="170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  <c r="AN1095" s="5" t="n"/>
      <c r="AO1095" s="5" t="n"/>
      <c r="AP1095" s="5" t="n"/>
      <c r="AQ1095" s="5" t="n"/>
      <c r="AR1095" s="5" t="n"/>
      <c r="AS1095" s="5" t="n"/>
      <c r="AT1095" s="5" t="n"/>
      <c r="AU1095" s="5" t="n"/>
      <c r="AV1095" s="5" t="n"/>
      <c r="AW1095" s="5" t="n"/>
      <c r="AX1095" s="5" t="n"/>
      <c r="AY1095" s="5" t="n"/>
      <c r="AZ1095" s="5" t="n"/>
      <c r="BA1095" s="5" t="n"/>
      <c r="BB1095" s="5" t="n"/>
      <c r="BC1095" s="5" t="n"/>
      <c r="BD1095" s="5" t="n"/>
      <c r="BE1095" s="5" t="n"/>
      <c r="BF1095" s="5" t="n"/>
      <c r="BG1095" s="5" t="n"/>
      <c r="BH1095" s="5" t="n"/>
      <c r="BI1095" s="5" t="n"/>
      <c r="BJ1095" s="5" t="n"/>
      <c r="BK1095" s="5" t="n"/>
      <c r="BL1095" s="5" t="n"/>
      <c r="BM1095" s="5" t="n"/>
      <c r="BN1095" s="5" t="n"/>
      <c r="BO1095" s="5" t="n"/>
      <c r="BP1095" s="5" t="n"/>
      <c r="BQ1095" s="5" t="n"/>
      <c r="BR1095" s="5" t="n"/>
      <c r="BS1095" s="5" t="n"/>
      <c r="BT1095" s="5" t="n"/>
      <c r="BU1095" s="5" t="n"/>
      <c r="BV1095" s="5" t="n"/>
      <c r="BW1095" s="5" t="n"/>
      <c r="BX1095" s="5" t="n"/>
      <c r="BY1095" s="5" t="n"/>
      <c r="BZ1095" s="5" t="n"/>
      <c r="CA1095" s="5" t="n"/>
      <c r="CB1095" s="5" t="n"/>
      <c r="CC1095" s="5" t="n"/>
      <c r="CD1095" s="5" t="n"/>
      <c r="CE1095" s="5" t="n"/>
      <c r="CF1095" s="5" t="n"/>
    </row>
    <row r="1096">
      <c r="A1096" s="171" t="n"/>
      <c r="B1096" s="171" t="n"/>
      <c r="C1096" s="171" t="n"/>
      <c r="D1096" s="170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  <c r="AN1096" s="5" t="n"/>
      <c r="AO1096" s="5" t="n"/>
      <c r="AP1096" s="5" t="n"/>
      <c r="AQ1096" s="5" t="n"/>
      <c r="AR1096" s="5" t="n"/>
      <c r="AS1096" s="5" t="n"/>
      <c r="AT1096" s="5" t="n"/>
      <c r="AU1096" s="5" t="n"/>
      <c r="AV1096" s="5" t="n"/>
      <c r="AW1096" s="5" t="n"/>
      <c r="AX1096" s="5" t="n"/>
      <c r="AY1096" s="5" t="n"/>
      <c r="AZ1096" s="5" t="n"/>
      <c r="BA1096" s="5" t="n"/>
      <c r="BB1096" s="5" t="n"/>
      <c r="BC1096" s="5" t="n"/>
      <c r="BD1096" s="5" t="n"/>
      <c r="BE1096" s="5" t="n"/>
      <c r="BF1096" s="5" t="n"/>
      <c r="BG1096" s="5" t="n"/>
      <c r="BH1096" s="5" t="n"/>
      <c r="BI1096" s="5" t="n"/>
      <c r="BJ1096" s="5" t="n"/>
      <c r="BK1096" s="5" t="n"/>
      <c r="BL1096" s="5" t="n"/>
      <c r="BM1096" s="5" t="n"/>
      <c r="BN1096" s="5" t="n"/>
      <c r="BO1096" s="5" t="n"/>
      <c r="BP1096" s="5" t="n"/>
      <c r="BQ1096" s="5" t="n"/>
      <c r="BR1096" s="5" t="n"/>
      <c r="BS1096" s="5" t="n"/>
      <c r="BT1096" s="5" t="n"/>
      <c r="BU1096" s="5" t="n"/>
      <c r="BV1096" s="5" t="n"/>
      <c r="BW1096" s="5" t="n"/>
      <c r="BX1096" s="5" t="n"/>
      <c r="BY1096" s="5" t="n"/>
      <c r="BZ1096" s="5" t="n"/>
      <c r="CA1096" s="5" t="n"/>
      <c r="CB1096" s="5" t="n"/>
      <c r="CC1096" s="5" t="n"/>
      <c r="CD1096" s="5" t="n"/>
      <c r="CE1096" s="5" t="n"/>
      <c r="CF1096" s="5" t="n"/>
    </row>
    <row r="1097">
      <c r="A1097" s="171" t="n"/>
      <c r="B1097" s="171" t="n"/>
      <c r="C1097" s="171" t="n"/>
      <c r="D1097" s="170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  <c r="AN1097" s="5" t="n"/>
      <c r="AO1097" s="5" t="n"/>
      <c r="AP1097" s="5" t="n"/>
      <c r="AQ1097" s="5" t="n"/>
      <c r="AR1097" s="5" t="n"/>
      <c r="AS1097" s="5" t="n"/>
      <c r="AT1097" s="5" t="n"/>
      <c r="AU1097" s="5" t="n"/>
      <c r="AV1097" s="5" t="n"/>
      <c r="AW1097" s="5" t="n"/>
      <c r="AX1097" s="5" t="n"/>
      <c r="AY1097" s="5" t="n"/>
      <c r="AZ1097" s="5" t="n"/>
      <c r="BA1097" s="5" t="n"/>
      <c r="BB1097" s="5" t="n"/>
      <c r="BC1097" s="5" t="n"/>
      <c r="BD1097" s="5" t="n"/>
      <c r="BE1097" s="5" t="n"/>
      <c r="BF1097" s="5" t="n"/>
      <c r="BG1097" s="5" t="n"/>
      <c r="BH1097" s="5" t="n"/>
      <c r="BI1097" s="5" t="n"/>
      <c r="BJ1097" s="5" t="n"/>
      <c r="BK1097" s="5" t="n"/>
      <c r="BL1097" s="5" t="n"/>
      <c r="BM1097" s="5" t="n"/>
      <c r="BN1097" s="5" t="n"/>
      <c r="BO1097" s="5" t="n"/>
      <c r="BP1097" s="5" t="n"/>
      <c r="BQ1097" s="5" t="n"/>
      <c r="BR1097" s="5" t="n"/>
      <c r="BS1097" s="5" t="n"/>
      <c r="BT1097" s="5" t="n"/>
      <c r="BU1097" s="5" t="n"/>
      <c r="BV1097" s="5" t="n"/>
      <c r="BW1097" s="5" t="n"/>
      <c r="BX1097" s="5" t="n"/>
      <c r="BY1097" s="5" t="n"/>
      <c r="BZ1097" s="5" t="n"/>
      <c r="CA1097" s="5" t="n"/>
      <c r="CB1097" s="5" t="n"/>
      <c r="CC1097" s="5" t="n"/>
      <c r="CD1097" s="5" t="n"/>
      <c r="CE1097" s="5" t="n"/>
      <c r="CF1097" s="5" t="n"/>
    </row>
    <row r="1098">
      <c r="A1098" s="171" t="n"/>
      <c r="B1098" s="171" t="n"/>
      <c r="C1098" s="171" t="n"/>
      <c r="D1098" s="170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  <c r="AN1098" s="5" t="n"/>
      <c r="AO1098" s="5" t="n"/>
      <c r="AP1098" s="5" t="n"/>
      <c r="AQ1098" s="5" t="n"/>
      <c r="AR1098" s="5" t="n"/>
      <c r="AS1098" s="5" t="n"/>
      <c r="AT1098" s="5" t="n"/>
      <c r="AU1098" s="5" t="n"/>
      <c r="AV1098" s="5" t="n"/>
      <c r="AW1098" s="5" t="n"/>
      <c r="AX1098" s="5" t="n"/>
      <c r="AY1098" s="5" t="n"/>
      <c r="AZ1098" s="5" t="n"/>
      <c r="BA1098" s="5" t="n"/>
      <c r="BB1098" s="5" t="n"/>
      <c r="BC1098" s="5" t="n"/>
      <c r="BD1098" s="5" t="n"/>
      <c r="BE1098" s="5" t="n"/>
      <c r="BF1098" s="5" t="n"/>
      <c r="BG1098" s="5" t="n"/>
      <c r="BH1098" s="5" t="n"/>
      <c r="BI1098" s="5" t="n"/>
      <c r="BJ1098" s="5" t="n"/>
      <c r="BK1098" s="5" t="n"/>
      <c r="BL1098" s="5" t="n"/>
      <c r="BM1098" s="5" t="n"/>
      <c r="BN1098" s="5" t="n"/>
      <c r="BO1098" s="5" t="n"/>
      <c r="BP1098" s="5" t="n"/>
      <c r="BQ1098" s="5" t="n"/>
      <c r="BR1098" s="5" t="n"/>
      <c r="BS1098" s="5" t="n"/>
      <c r="BT1098" s="5" t="n"/>
      <c r="BU1098" s="5" t="n"/>
      <c r="BV1098" s="5" t="n"/>
      <c r="BW1098" s="5" t="n"/>
      <c r="BX1098" s="5" t="n"/>
      <c r="BY1098" s="5" t="n"/>
      <c r="BZ1098" s="5" t="n"/>
      <c r="CA1098" s="5" t="n"/>
      <c r="CB1098" s="5" t="n"/>
      <c r="CC1098" s="5" t="n"/>
      <c r="CD1098" s="5" t="n"/>
      <c r="CE1098" s="5" t="n"/>
      <c r="CF1098" s="5" t="n"/>
    </row>
    <row r="1099">
      <c r="A1099" s="171" t="n"/>
      <c r="B1099" s="171" t="n"/>
      <c r="C1099" s="171" t="n"/>
      <c r="D1099" s="170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  <c r="AN1099" s="5" t="n"/>
      <c r="AO1099" s="5" t="n"/>
      <c r="AP1099" s="5" t="n"/>
      <c r="AQ1099" s="5" t="n"/>
      <c r="AR1099" s="5" t="n"/>
      <c r="AS1099" s="5" t="n"/>
      <c r="AT1099" s="5" t="n"/>
      <c r="AU1099" s="5" t="n"/>
      <c r="AV1099" s="5" t="n"/>
      <c r="AW1099" s="5" t="n"/>
      <c r="AX1099" s="5" t="n"/>
      <c r="AY1099" s="5" t="n"/>
      <c r="AZ1099" s="5" t="n"/>
      <c r="BA1099" s="5" t="n"/>
      <c r="BB1099" s="5" t="n"/>
      <c r="BC1099" s="5" t="n"/>
      <c r="BD1099" s="5" t="n"/>
      <c r="BE1099" s="5" t="n"/>
      <c r="BF1099" s="5" t="n"/>
      <c r="BG1099" s="5" t="n"/>
      <c r="BH1099" s="5" t="n"/>
      <c r="BI1099" s="5" t="n"/>
      <c r="BJ1099" s="5" t="n"/>
      <c r="BK1099" s="5" t="n"/>
      <c r="BL1099" s="5" t="n"/>
      <c r="BM1099" s="5" t="n"/>
      <c r="BN1099" s="5" t="n"/>
      <c r="BO1099" s="5" t="n"/>
      <c r="BP1099" s="5" t="n"/>
      <c r="BQ1099" s="5" t="n"/>
      <c r="BR1099" s="5" t="n"/>
      <c r="BS1099" s="5" t="n"/>
      <c r="BT1099" s="5" t="n"/>
      <c r="BU1099" s="5" t="n"/>
      <c r="BV1099" s="5" t="n"/>
      <c r="BW1099" s="5" t="n"/>
      <c r="BX1099" s="5" t="n"/>
      <c r="BY1099" s="5" t="n"/>
      <c r="BZ1099" s="5" t="n"/>
      <c r="CA1099" s="5" t="n"/>
      <c r="CB1099" s="5" t="n"/>
      <c r="CC1099" s="5" t="n"/>
      <c r="CD1099" s="5" t="n"/>
      <c r="CE1099" s="5" t="n"/>
      <c r="CF1099" s="5" t="n"/>
    </row>
    <row r="1100">
      <c r="A1100" s="171" t="n"/>
      <c r="B1100" s="171" t="n"/>
      <c r="C1100" s="171" t="n"/>
      <c r="D1100" s="170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  <c r="AN1100" s="5" t="n"/>
      <c r="AO1100" s="5" t="n"/>
      <c r="AP1100" s="5" t="n"/>
      <c r="AQ1100" s="5" t="n"/>
      <c r="AR1100" s="5" t="n"/>
      <c r="AS1100" s="5" t="n"/>
      <c r="AT1100" s="5" t="n"/>
      <c r="AU1100" s="5" t="n"/>
      <c r="AV1100" s="5" t="n"/>
      <c r="AW1100" s="5" t="n"/>
      <c r="AX1100" s="5" t="n"/>
      <c r="AY1100" s="5" t="n"/>
      <c r="AZ1100" s="5" t="n"/>
      <c r="BA1100" s="5" t="n"/>
      <c r="BB1100" s="5" t="n"/>
      <c r="BC1100" s="5" t="n"/>
      <c r="BD1100" s="5" t="n"/>
      <c r="BE1100" s="5" t="n"/>
      <c r="BF1100" s="5" t="n"/>
      <c r="BG1100" s="5" t="n"/>
      <c r="BH1100" s="5" t="n"/>
      <c r="BI1100" s="5" t="n"/>
      <c r="BJ1100" s="5" t="n"/>
      <c r="BK1100" s="5" t="n"/>
      <c r="BL1100" s="5" t="n"/>
      <c r="BM1100" s="5" t="n"/>
      <c r="BN1100" s="5" t="n"/>
      <c r="BO1100" s="5" t="n"/>
      <c r="BP1100" s="5" t="n"/>
      <c r="BQ1100" s="5" t="n"/>
      <c r="BR1100" s="5" t="n"/>
      <c r="BS1100" s="5" t="n"/>
      <c r="BT1100" s="5" t="n"/>
      <c r="BU1100" s="5" t="n"/>
      <c r="BV1100" s="5" t="n"/>
      <c r="BW1100" s="5" t="n"/>
      <c r="BX1100" s="5" t="n"/>
      <c r="BY1100" s="5" t="n"/>
      <c r="BZ1100" s="5" t="n"/>
      <c r="CA1100" s="5" t="n"/>
      <c r="CB1100" s="5" t="n"/>
      <c r="CC1100" s="5" t="n"/>
      <c r="CD1100" s="5" t="n"/>
      <c r="CE1100" s="5" t="n"/>
      <c r="CF1100" s="5" t="n"/>
    </row>
    <row r="1101">
      <c r="A1101" s="171" t="n"/>
      <c r="B1101" s="171" t="n"/>
      <c r="C1101" s="171" t="n"/>
      <c r="D1101" s="170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  <c r="AN1101" s="5" t="n"/>
      <c r="AO1101" s="5" t="n"/>
      <c r="AP1101" s="5" t="n"/>
      <c r="AQ1101" s="5" t="n"/>
      <c r="AR1101" s="5" t="n"/>
      <c r="AS1101" s="5" t="n"/>
      <c r="AT1101" s="5" t="n"/>
      <c r="AU1101" s="5" t="n"/>
      <c r="AV1101" s="5" t="n"/>
      <c r="AW1101" s="5" t="n"/>
      <c r="AX1101" s="5" t="n"/>
      <c r="AY1101" s="5" t="n"/>
      <c r="AZ1101" s="5" t="n"/>
      <c r="BA1101" s="5" t="n"/>
      <c r="BB1101" s="5" t="n"/>
      <c r="BC1101" s="5" t="n"/>
      <c r="BD1101" s="5" t="n"/>
      <c r="BE1101" s="5" t="n"/>
      <c r="BF1101" s="5" t="n"/>
      <c r="BG1101" s="5" t="n"/>
      <c r="BH1101" s="5" t="n"/>
      <c r="BI1101" s="5" t="n"/>
      <c r="BJ1101" s="5" t="n"/>
      <c r="BK1101" s="5" t="n"/>
      <c r="BL1101" s="5" t="n"/>
      <c r="BM1101" s="5" t="n"/>
      <c r="BN1101" s="5" t="n"/>
      <c r="BO1101" s="5" t="n"/>
      <c r="BP1101" s="5" t="n"/>
      <c r="BQ1101" s="5" t="n"/>
      <c r="BR1101" s="5" t="n"/>
      <c r="BS1101" s="5" t="n"/>
      <c r="BT1101" s="5" t="n"/>
      <c r="BU1101" s="5" t="n"/>
      <c r="BV1101" s="5" t="n"/>
      <c r="BW1101" s="5" t="n"/>
      <c r="BX1101" s="5" t="n"/>
      <c r="BY1101" s="5" t="n"/>
      <c r="BZ1101" s="5" t="n"/>
      <c r="CA1101" s="5" t="n"/>
      <c r="CB1101" s="5" t="n"/>
      <c r="CC1101" s="5" t="n"/>
      <c r="CD1101" s="5" t="n"/>
      <c r="CE1101" s="5" t="n"/>
      <c r="CF1101" s="5" t="n"/>
    </row>
    <row r="1102">
      <c r="A1102" s="171" t="n"/>
      <c r="B1102" s="171" t="n"/>
      <c r="C1102" s="171" t="n"/>
      <c r="D1102" s="170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  <c r="AN1102" s="5" t="n"/>
      <c r="AO1102" s="5" t="n"/>
      <c r="AP1102" s="5" t="n"/>
      <c r="AQ1102" s="5" t="n"/>
      <c r="AR1102" s="5" t="n"/>
      <c r="AS1102" s="5" t="n"/>
      <c r="AT1102" s="5" t="n"/>
      <c r="AU1102" s="5" t="n"/>
      <c r="AV1102" s="5" t="n"/>
      <c r="AW1102" s="5" t="n"/>
      <c r="AX1102" s="5" t="n"/>
      <c r="AY1102" s="5" t="n"/>
      <c r="AZ1102" s="5" t="n"/>
      <c r="BA1102" s="5" t="n"/>
      <c r="BB1102" s="5" t="n"/>
      <c r="BC1102" s="5" t="n"/>
      <c r="BD1102" s="5" t="n"/>
      <c r="BE1102" s="5" t="n"/>
      <c r="BF1102" s="5" t="n"/>
      <c r="BG1102" s="5" t="n"/>
      <c r="BH1102" s="5" t="n"/>
      <c r="BI1102" s="5" t="n"/>
      <c r="BJ1102" s="5" t="n"/>
      <c r="BK1102" s="5" t="n"/>
      <c r="BL1102" s="5" t="n"/>
      <c r="BM1102" s="5" t="n"/>
      <c r="BN1102" s="5" t="n"/>
      <c r="BO1102" s="5" t="n"/>
      <c r="BP1102" s="5" t="n"/>
      <c r="BQ1102" s="5" t="n"/>
      <c r="BR1102" s="5" t="n"/>
      <c r="BS1102" s="5" t="n"/>
      <c r="BT1102" s="5" t="n"/>
      <c r="BU1102" s="5" t="n"/>
      <c r="BV1102" s="5" t="n"/>
      <c r="BW1102" s="5" t="n"/>
      <c r="BX1102" s="5" t="n"/>
      <c r="BY1102" s="5" t="n"/>
      <c r="BZ1102" s="5" t="n"/>
      <c r="CA1102" s="5" t="n"/>
      <c r="CB1102" s="5" t="n"/>
      <c r="CC1102" s="5" t="n"/>
      <c r="CD1102" s="5" t="n"/>
      <c r="CE1102" s="5" t="n"/>
      <c r="CF1102" s="5" t="n"/>
    </row>
    <row r="1103">
      <c r="A1103" s="171" t="n"/>
      <c r="B1103" s="171" t="n"/>
      <c r="C1103" s="171" t="n"/>
      <c r="D1103" s="170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  <c r="AN1103" s="5" t="n"/>
      <c r="AO1103" s="5" t="n"/>
      <c r="AP1103" s="5" t="n"/>
      <c r="AQ1103" s="5" t="n"/>
      <c r="AR1103" s="5" t="n"/>
      <c r="AS1103" s="5" t="n"/>
      <c r="AT1103" s="5" t="n"/>
      <c r="AU1103" s="5" t="n"/>
      <c r="AV1103" s="5" t="n"/>
      <c r="AW1103" s="5" t="n"/>
      <c r="AX1103" s="5" t="n"/>
      <c r="AY1103" s="5" t="n"/>
      <c r="AZ1103" s="5" t="n"/>
      <c r="BA1103" s="5" t="n"/>
      <c r="BB1103" s="5" t="n"/>
      <c r="BC1103" s="5" t="n"/>
      <c r="BD1103" s="5" t="n"/>
      <c r="BE1103" s="5" t="n"/>
      <c r="BF1103" s="5" t="n"/>
      <c r="BG1103" s="5" t="n"/>
      <c r="BH1103" s="5" t="n"/>
      <c r="BI1103" s="5" t="n"/>
      <c r="BJ1103" s="5" t="n"/>
      <c r="BK1103" s="5" t="n"/>
      <c r="BL1103" s="5" t="n"/>
      <c r="BM1103" s="5" t="n"/>
      <c r="BN1103" s="5" t="n"/>
      <c r="BO1103" s="5" t="n"/>
      <c r="BP1103" s="5" t="n"/>
      <c r="BQ1103" s="5" t="n"/>
      <c r="BR1103" s="5" t="n"/>
      <c r="BS1103" s="5" t="n"/>
      <c r="BT1103" s="5" t="n"/>
      <c r="BU1103" s="5" t="n"/>
      <c r="BV1103" s="5" t="n"/>
      <c r="BW1103" s="5" t="n"/>
      <c r="BX1103" s="5" t="n"/>
      <c r="BY1103" s="5" t="n"/>
      <c r="BZ1103" s="5" t="n"/>
      <c r="CA1103" s="5" t="n"/>
      <c r="CB1103" s="5" t="n"/>
      <c r="CC1103" s="5" t="n"/>
      <c r="CD1103" s="5" t="n"/>
      <c r="CE1103" s="5" t="n"/>
      <c r="CF1103" s="5" t="n"/>
    </row>
    <row r="1104">
      <c r="A1104" s="171" t="n"/>
      <c r="B1104" s="171" t="n"/>
      <c r="C1104" s="171" t="n"/>
      <c r="D1104" s="170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  <c r="AN1104" s="5" t="n"/>
      <c r="AO1104" s="5" t="n"/>
      <c r="AP1104" s="5" t="n"/>
      <c r="AQ1104" s="5" t="n"/>
      <c r="AR1104" s="5" t="n"/>
      <c r="AS1104" s="5" t="n"/>
      <c r="AT1104" s="5" t="n"/>
      <c r="AU1104" s="5" t="n"/>
      <c r="AV1104" s="5" t="n"/>
      <c r="AW1104" s="5" t="n"/>
      <c r="AX1104" s="5" t="n"/>
      <c r="AY1104" s="5" t="n"/>
      <c r="AZ1104" s="5" t="n"/>
      <c r="BA1104" s="5" t="n"/>
      <c r="BB1104" s="5" t="n"/>
      <c r="BC1104" s="5" t="n"/>
      <c r="BD1104" s="5" t="n"/>
      <c r="BE1104" s="5" t="n"/>
      <c r="BF1104" s="5" t="n"/>
      <c r="BG1104" s="5" t="n"/>
      <c r="BH1104" s="5" t="n"/>
      <c r="BI1104" s="5" t="n"/>
      <c r="BJ1104" s="5" t="n"/>
      <c r="BK1104" s="5" t="n"/>
      <c r="BL1104" s="5" t="n"/>
      <c r="BM1104" s="5" t="n"/>
      <c r="BN1104" s="5" t="n"/>
      <c r="BO1104" s="5" t="n"/>
      <c r="BP1104" s="5" t="n"/>
      <c r="BQ1104" s="5" t="n"/>
      <c r="BR1104" s="5" t="n"/>
      <c r="BS1104" s="5" t="n"/>
      <c r="BT1104" s="5" t="n"/>
      <c r="BU1104" s="5" t="n"/>
      <c r="BV1104" s="5" t="n"/>
      <c r="BW1104" s="5" t="n"/>
      <c r="BX1104" s="5" t="n"/>
      <c r="BY1104" s="5" t="n"/>
      <c r="BZ1104" s="5" t="n"/>
      <c r="CA1104" s="5" t="n"/>
      <c r="CB1104" s="5" t="n"/>
      <c r="CC1104" s="5" t="n"/>
      <c r="CD1104" s="5" t="n"/>
      <c r="CE1104" s="5" t="n"/>
      <c r="CF1104" s="5" t="n"/>
    </row>
    <row r="1105">
      <c r="A1105" s="171" t="n"/>
      <c r="B1105" s="171" t="n"/>
      <c r="C1105" s="171" t="n"/>
      <c r="D1105" s="170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  <c r="AN1105" s="5" t="n"/>
      <c r="AO1105" s="5" t="n"/>
      <c r="AP1105" s="5" t="n"/>
      <c r="AQ1105" s="5" t="n"/>
      <c r="AR1105" s="5" t="n"/>
      <c r="AS1105" s="5" t="n"/>
      <c r="AT1105" s="5" t="n"/>
      <c r="AU1105" s="5" t="n"/>
      <c r="AV1105" s="5" t="n"/>
      <c r="AW1105" s="5" t="n"/>
      <c r="AX1105" s="5" t="n"/>
      <c r="AY1105" s="5" t="n"/>
      <c r="AZ1105" s="5" t="n"/>
      <c r="BA1105" s="5" t="n"/>
      <c r="BB1105" s="5" t="n"/>
      <c r="BC1105" s="5" t="n"/>
      <c r="BD1105" s="5" t="n"/>
      <c r="BE1105" s="5" t="n"/>
      <c r="BF1105" s="5" t="n"/>
      <c r="BG1105" s="5" t="n"/>
      <c r="BH1105" s="5" t="n"/>
      <c r="BI1105" s="5" t="n"/>
      <c r="BJ1105" s="5" t="n"/>
      <c r="BK1105" s="5" t="n"/>
      <c r="BL1105" s="5" t="n"/>
      <c r="BM1105" s="5" t="n"/>
      <c r="BN1105" s="5" t="n"/>
      <c r="BO1105" s="5" t="n"/>
      <c r="BP1105" s="5" t="n"/>
      <c r="BQ1105" s="5" t="n"/>
      <c r="BR1105" s="5" t="n"/>
      <c r="BS1105" s="5" t="n"/>
      <c r="BT1105" s="5" t="n"/>
      <c r="BU1105" s="5" t="n"/>
      <c r="BV1105" s="5" t="n"/>
      <c r="BW1105" s="5" t="n"/>
      <c r="BX1105" s="5" t="n"/>
      <c r="BY1105" s="5" t="n"/>
      <c r="BZ1105" s="5" t="n"/>
      <c r="CA1105" s="5" t="n"/>
      <c r="CB1105" s="5" t="n"/>
      <c r="CC1105" s="5" t="n"/>
      <c r="CD1105" s="5" t="n"/>
      <c r="CE1105" s="5" t="n"/>
      <c r="CF1105" s="5" t="n"/>
    </row>
    <row r="1106">
      <c r="A1106" s="171" t="n"/>
      <c r="B1106" s="171" t="n"/>
      <c r="C1106" s="171" t="n"/>
      <c r="D1106" s="170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  <c r="AN1106" s="5" t="n"/>
      <c r="AO1106" s="5" t="n"/>
      <c r="AP1106" s="5" t="n"/>
      <c r="AQ1106" s="5" t="n"/>
      <c r="AR1106" s="5" t="n"/>
      <c r="AS1106" s="5" t="n"/>
      <c r="AT1106" s="5" t="n"/>
      <c r="AU1106" s="5" t="n"/>
      <c r="AV1106" s="5" t="n"/>
      <c r="AW1106" s="5" t="n"/>
      <c r="AX1106" s="5" t="n"/>
      <c r="AY1106" s="5" t="n"/>
      <c r="AZ1106" s="5" t="n"/>
      <c r="BA1106" s="5" t="n"/>
      <c r="BB1106" s="5" t="n"/>
      <c r="BC1106" s="5" t="n"/>
      <c r="BD1106" s="5" t="n"/>
      <c r="BE1106" s="5" t="n"/>
      <c r="BF1106" s="5" t="n"/>
      <c r="BG1106" s="5" t="n"/>
      <c r="BH1106" s="5" t="n"/>
      <c r="BI1106" s="5" t="n"/>
      <c r="BJ1106" s="5" t="n"/>
      <c r="BK1106" s="5" t="n"/>
      <c r="BL1106" s="5" t="n"/>
      <c r="BM1106" s="5" t="n"/>
      <c r="BN1106" s="5" t="n"/>
      <c r="BO1106" s="5" t="n"/>
      <c r="BP1106" s="5" t="n"/>
      <c r="BQ1106" s="5" t="n"/>
      <c r="BR1106" s="5" t="n"/>
      <c r="BS1106" s="5" t="n"/>
      <c r="BT1106" s="5" t="n"/>
      <c r="BU1106" s="5" t="n"/>
      <c r="BV1106" s="5" t="n"/>
      <c r="BW1106" s="5" t="n"/>
      <c r="BX1106" s="5" t="n"/>
      <c r="BY1106" s="5" t="n"/>
      <c r="BZ1106" s="5" t="n"/>
      <c r="CA1106" s="5" t="n"/>
      <c r="CB1106" s="5" t="n"/>
      <c r="CC1106" s="5" t="n"/>
      <c r="CD1106" s="5" t="n"/>
      <c r="CE1106" s="5" t="n"/>
      <c r="CF1106" s="5" t="n"/>
    </row>
    <row r="1107">
      <c r="A1107" s="171" t="n"/>
      <c r="B1107" s="171" t="n"/>
      <c r="C1107" s="171" t="n"/>
      <c r="D1107" s="170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  <c r="AN1107" s="5" t="n"/>
      <c r="AO1107" s="5" t="n"/>
      <c r="AP1107" s="5" t="n"/>
      <c r="AQ1107" s="5" t="n"/>
      <c r="AR1107" s="5" t="n"/>
      <c r="AS1107" s="5" t="n"/>
      <c r="AT1107" s="5" t="n"/>
      <c r="AU1107" s="5" t="n"/>
      <c r="AV1107" s="5" t="n"/>
      <c r="AW1107" s="5" t="n"/>
      <c r="AX1107" s="5" t="n"/>
      <c r="AY1107" s="5" t="n"/>
      <c r="AZ1107" s="5" t="n"/>
      <c r="BA1107" s="5" t="n"/>
      <c r="BB1107" s="5" t="n"/>
      <c r="BC1107" s="5" t="n"/>
      <c r="BD1107" s="5" t="n"/>
      <c r="BE1107" s="5" t="n"/>
      <c r="BF1107" s="5" t="n"/>
      <c r="BG1107" s="5" t="n"/>
      <c r="BH1107" s="5" t="n"/>
      <c r="BI1107" s="5" t="n"/>
      <c r="BJ1107" s="5" t="n"/>
      <c r="BK1107" s="5" t="n"/>
      <c r="BL1107" s="5" t="n"/>
      <c r="BM1107" s="5" t="n"/>
      <c r="BN1107" s="5" t="n"/>
      <c r="BO1107" s="5" t="n"/>
      <c r="BP1107" s="5" t="n"/>
      <c r="BQ1107" s="5" t="n"/>
      <c r="BR1107" s="5" t="n"/>
      <c r="BS1107" s="5" t="n"/>
      <c r="BT1107" s="5" t="n"/>
      <c r="BU1107" s="5" t="n"/>
      <c r="BV1107" s="5" t="n"/>
      <c r="BW1107" s="5" t="n"/>
      <c r="BX1107" s="5" t="n"/>
      <c r="BY1107" s="5" t="n"/>
      <c r="BZ1107" s="5" t="n"/>
      <c r="CA1107" s="5" t="n"/>
      <c r="CB1107" s="5" t="n"/>
      <c r="CC1107" s="5" t="n"/>
      <c r="CD1107" s="5" t="n"/>
      <c r="CE1107" s="5" t="n"/>
      <c r="CF1107" s="5" t="n"/>
    </row>
    <row r="1108">
      <c r="A1108" s="171" t="n"/>
      <c r="B1108" s="171" t="n"/>
      <c r="C1108" s="171" t="n"/>
      <c r="D1108" s="170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  <c r="AN1108" s="5" t="n"/>
      <c r="AO1108" s="5" t="n"/>
      <c r="AP1108" s="5" t="n"/>
      <c r="AQ1108" s="5" t="n"/>
      <c r="AR1108" s="5" t="n"/>
      <c r="AS1108" s="5" t="n"/>
      <c r="AT1108" s="5" t="n"/>
      <c r="AU1108" s="5" t="n"/>
      <c r="AV1108" s="5" t="n"/>
      <c r="AW1108" s="5" t="n"/>
      <c r="AX1108" s="5" t="n"/>
      <c r="AY1108" s="5" t="n"/>
      <c r="AZ1108" s="5" t="n"/>
      <c r="BA1108" s="5" t="n"/>
      <c r="BB1108" s="5" t="n"/>
      <c r="BC1108" s="5" t="n"/>
      <c r="BD1108" s="5" t="n"/>
      <c r="BE1108" s="5" t="n"/>
      <c r="BF1108" s="5" t="n"/>
      <c r="BG1108" s="5" t="n"/>
      <c r="BH1108" s="5" t="n"/>
      <c r="BI1108" s="5" t="n"/>
      <c r="BJ1108" s="5" t="n"/>
      <c r="BK1108" s="5" t="n"/>
      <c r="BL1108" s="5" t="n"/>
      <c r="BM1108" s="5" t="n"/>
      <c r="BN1108" s="5" t="n"/>
      <c r="BO1108" s="5" t="n"/>
      <c r="BP1108" s="5" t="n"/>
      <c r="BQ1108" s="5" t="n"/>
      <c r="BR1108" s="5" t="n"/>
      <c r="BS1108" s="5" t="n"/>
      <c r="BT1108" s="5" t="n"/>
      <c r="BU1108" s="5" t="n"/>
      <c r="BV1108" s="5" t="n"/>
      <c r="BW1108" s="5" t="n"/>
      <c r="BX1108" s="5" t="n"/>
      <c r="BY1108" s="5" t="n"/>
      <c r="BZ1108" s="5" t="n"/>
      <c r="CA1108" s="5" t="n"/>
      <c r="CB1108" s="5" t="n"/>
      <c r="CC1108" s="5" t="n"/>
      <c r="CD1108" s="5" t="n"/>
      <c r="CE1108" s="5" t="n"/>
      <c r="CF1108" s="5" t="n"/>
    </row>
    <row r="1109">
      <c r="A1109" s="171" t="n"/>
      <c r="B1109" s="171" t="n"/>
      <c r="C1109" s="171" t="n"/>
      <c r="D1109" s="170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  <c r="AN1109" s="5" t="n"/>
      <c r="AO1109" s="5" t="n"/>
      <c r="AP1109" s="5" t="n"/>
      <c r="AQ1109" s="5" t="n"/>
      <c r="AR1109" s="5" t="n"/>
      <c r="AS1109" s="5" t="n"/>
      <c r="AT1109" s="5" t="n"/>
      <c r="AU1109" s="5" t="n"/>
      <c r="AV1109" s="5" t="n"/>
      <c r="AW1109" s="5" t="n"/>
      <c r="AX1109" s="5" t="n"/>
      <c r="AY1109" s="5" t="n"/>
      <c r="AZ1109" s="5" t="n"/>
      <c r="BA1109" s="5" t="n"/>
      <c r="BB1109" s="5" t="n"/>
      <c r="BC1109" s="5" t="n"/>
      <c r="BD1109" s="5" t="n"/>
      <c r="BE1109" s="5" t="n"/>
      <c r="BF1109" s="5" t="n"/>
      <c r="BG1109" s="5" t="n"/>
      <c r="BH1109" s="5" t="n"/>
      <c r="BI1109" s="5" t="n"/>
      <c r="BJ1109" s="5" t="n"/>
      <c r="BK1109" s="5" t="n"/>
      <c r="BL1109" s="5" t="n"/>
      <c r="BM1109" s="5" t="n"/>
      <c r="BN1109" s="5" t="n"/>
      <c r="BO1109" s="5" t="n"/>
      <c r="BP1109" s="5" t="n"/>
      <c r="BQ1109" s="5" t="n"/>
      <c r="BR1109" s="5" t="n"/>
      <c r="BS1109" s="5" t="n"/>
      <c r="BT1109" s="5" t="n"/>
      <c r="BU1109" s="5" t="n"/>
      <c r="BV1109" s="5" t="n"/>
      <c r="BW1109" s="5" t="n"/>
      <c r="BX1109" s="5" t="n"/>
      <c r="BY1109" s="5" t="n"/>
      <c r="BZ1109" s="5" t="n"/>
      <c r="CA1109" s="5" t="n"/>
      <c r="CB1109" s="5" t="n"/>
      <c r="CC1109" s="5" t="n"/>
      <c r="CD1109" s="5" t="n"/>
      <c r="CE1109" s="5" t="n"/>
      <c r="CF1109" s="5" t="n"/>
    </row>
    <row r="1110">
      <c r="A1110" s="171" t="n"/>
      <c r="B1110" s="171" t="n"/>
      <c r="C1110" s="171" t="n"/>
      <c r="D1110" s="170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  <c r="AN1110" s="5" t="n"/>
      <c r="AO1110" s="5" t="n"/>
      <c r="AP1110" s="5" t="n"/>
      <c r="AQ1110" s="5" t="n"/>
      <c r="AR1110" s="5" t="n"/>
      <c r="AS1110" s="5" t="n"/>
      <c r="AT1110" s="5" t="n"/>
      <c r="AU1110" s="5" t="n"/>
      <c r="AV1110" s="5" t="n"/>
      <c r="AW1110" s="5" t="n"/>
      <c r="AX1110" s="5" t="n"/>
      <c r="AY1110" s="5" t="n"/>
      <c r="AZ1110" s="5" t="n"/>
      <c r="BA1110" s="5" t="n"/>
      <c r="BB1110" s="5" t="n"/>
      <c r="BC1110" s="5" t="n"/>
      <c r="BD1110" s="5" t="n"/>
      <c r="BE1110" s="5" t="n"/>
      <c r="BF1110" s="5" t="n"/>
      <c r="BG1110" s="5" t="n"/>
      <c r="BH1110" s="5" t="n"/>
      <c r="BI1110" s="5" t="n"/>
      <c r="BJ1110" s="5" t="n"/>
      <c r="BK1110" s="5" t="n"/>
      <c r="BL1110" s="5" t="n"/>
      <c r="BM1110" s="5" t="n"/>
      <c r="BN1110" s="5" t="n"/>
      <c r="BO1110" s="5" t="n"/>
      <c r="BP1110" s="5" t="n"/>
      <c r="BQ1110" s="5" t="n"/>
      <c r="BR1110" s="5" t="n"/>
      <c r="BS1110" s="5" t="n"/>
      <c r="BT1110" s="5" t="n"/>
      <c r="BU1110" s="5" t="n"/>
      <c r="BV1110" s="5" t="n"/>
      <c r="BW1110" s="5" t="n"/>
      <c r="BX1110" s="5" t="n"/>
      <c r="BY1110" s="5" t="n"/>
      <c r="BZ1110" s="5" t="n"/>
      <c r="CA1110" s="5" t="n"/>
      <c r="CB1110" s="5" t="n"/>
      <c r="CC1110" s="5" t="n"/>
      <c r="CD1110" s="5" t="n"/>
      <c r="CE1110" s="5" t="n"/>
      <c r="CF1110" s="5" t="n"/>
    </row>
    <row r="1111">
      <c r="A1111" s="171" t="n"/>
      <c r="B1111" s="171" t="n"/>
      <c r="C1111" s="171" t="n"/>
      <c r="D1111" s="170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  <c r="AN1111" s="5" t="n"/>
      <c r="AO1111" s="5" t="n"/>
      <c r="AP1111" s="5" t="n"/>
      <c r="AQ1111" s="5" t="n"/>
      <c r="AR1111" s="5" t="n"/>
      <c r="AS1111" s="5" t="n"/>
      <c r="AT1111" s="5" t="n"/>
      <c r="AU1111" s="5" t="n"/>
      <c r="AV1111" s="5" t="n"/>
      <c r="AW1111" s="5" t="n"/>
      <c r="AX1111" s="5" t="n"/>
      <c r="AY1111" s="5" t="n"/>
      <c r="AZ1111" s="5" t="n"/>
      <c r="BA1111" s="5" t="n"/>
      <c r="BB1111" s="5" t="n"/>
      <c r="BC1111" s="5" t="n"/>
      <c r="BD1111" s="5" t="n"/>
      <c r="BE1111" s="5" t="n"/>
      <c r="BF1111" s="5" t="n"/>
      <c r="BG1111" s="5" t="n"/>
      <c r="BH1111" s="5" t="n"/>
      <c r="BI1111" s="5" t="n"/>
      <c r="BJ1111" s="5" t="n"/>
      <c r="BK1111" s="5" t="n"/>
      <c r="BL1111" s="5" t="n"/>
      <c r="BM1111" s="5" t="n"/>
      <c r="BN1111" s="5" t="n"/>
      <c r="BO1111" s="5" t="n"/>
      <c r="BP1111" s="5" t="n"/>
      <c r="BQ1111" s="5" t="n"/>
      <c r="BR1111" s="5" t="n"/>
      <c r="BS1111" s="5" t="n"/>
      <c r="BT1111" s="5" t="n"/>
      <c r="BU1111" s="5" t="n"/>
      <c r="BV1111" s="5" t="n"/>
      <c r="BW1111" s="5" t="n"/>
      <c r="BX1111" s="5" t="n"/>
      <c r="BY1111" s="5" t="n"/>
      <c r="BZ1111" s="5" t="n"/>
      <c r="CA1111" s="5" t="n"/>
      <c r="CB1111" s="5" t="n"/>
      <c r="CC1111" s="5" t="n"/>
      <c r="CD1111" s="5" t="n"/>
      <c r="CE1111" s="5" t="n"/>
      <c r="CF1111" s="5" t="n"/>
    </row>
    <row r="1112">
      <c r="A1112" s="171" t="n"/>
      <c r="B1112" s="171" t="n"/>
      <c r="C1112" s="171" t="n"/>
      <c r="D1112" s="170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  <c r="AN1112" s="5" t="n"/>
      <c r="AO1112" s="5" t="n"/>
      <c r="AP1112" s="5" t="n"/>
      <c r="AQ1112" s="5" t="n"/>
      <c r="AR1112" s="5" t="n"/>
      <c r="AS1112" s="5" t="n"/>
      <c r="AT1112" s="5" t="n"/>
      <c r="AU1112" s="5" t="n"/>
      <c r="AV1112" s="5" t="n"/>
      <c r="AW1112" s="5" t="n"/>
      <c r="AX1112" s="5" t="n"/>
      <c r="AY1112" s="5" t="n"/>
      <c r="AZ1112" s="5" t="n"/>
      <c r="BA1112" s="5" t="n"/>
      <c r="BB1112" s="5" t="n"/>
      <c r="BC1112" s="5" t="n"/>
      <c r="BD1112" s="5" t="n"/>
      <c r="BE1112" s="5" t="n"/>
      <c r="BF1112" s="5" t="n"/>
      <c r="BG1112" s="5" t="n"/>
      <c r="BH1112" s="5" t="n"/>
      <c r="BI1112" s="5" t="n"/>
      <c r="BJ1112" s="5" t="n"/>
      <c r="BK1112" s="5" t="n"/>
      <c r="BL1112" s="5" t="n"/>
      <c r="BM1112" s="5" t="n"/>
      <c r="BN1112" s="5" t="n"/>
      <c r="BO1112" s="5" t="n"/>
      <c r="BP1112" s="5" t="n"/>
      <c r="BQ1112" s="5" t="n"/>
      <c r="BR1112" s="5" t="n"/>
      <c r="BS1112" s="5" t="n"/>
      <c r="BT1112" s="5" t="n"/>
      <c r="BU1112" s="5" t="n"/>
      <c r="BV1112" s="5" t="n"/>
      <c r="BW1112" s="5" t="n"/>
      <c r="BX1112" s="5" t="n"/>
      <c r="BY1112" s="5" t="n"/>
      <c r="BZ1112" s="5" t="n"/>
      <c r="CA1112" s="5" t="n"/>
      <c r="CB1112" s="5" t="n"/>
      <c r="CC1112" s="5" t="n"/>
      <c r="CD1112" s="5" t="n"/>
      <c r="CE1112" s="5" t="n"/>
      <c r="CF1112" s="5" t="n"/>
    </row>
    <row r="1113">
      <c r="A1113" s="171" t="n"/>
      <c r="B1113" s="171" t="n"/>
      <c r="C1113" s="171" t="n"/>
      <c r="D1113" s="170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  <c r="AN1113" s="5" t="n"/>
      <c r="AO1113" s="5" t="n"/>
      <c r="AP1113" s="5" t="n"/>
      <c r="AQ1113" s="5" t="n"/>
      <c r="AR1113" s="5" t="n"/>
      <c r="AS1113" s="5" t="n"/>
      <c r="AT1113" s="5" t="n"/>
      <c r="AU1113" s="5" t="n"/>
      <c r="AV1113" s="5" t="n"/>
      <c r="AW1113" s="5" t="n"/>
      <c r="AX1113" s="5" t="n"/>
      <c r="AY1113" s="5" t="n"/>
      <c r="AZ1113" s="5" t="n"/>
      <c r="BA1113" s="5" t="n"/>
      <c r="BB1113" s="5" t="n"/>
      <c r="BC1113" s="5" t="n"/>
      <c r="BD1113" s="5" t="n"/>
      <c r="BE1113" s="5" t="n"/>
      <c r="BF1113" s="5" t="n"/>
      <c r="BG1113" s="5" t="n"/>
      <c r="BH1113" s="5" t="n"/>
      <c r="BI1113" s="5" t="n"/>
      <c r="BJ1113" s="5" t="n"/>
      <c r="BK1113" s="5" t="n"/>
      <c r="BL1113" s="5" t="n"/>
      <c r="BM1113" s="5" t="n"/>
      <c r="BN1113" s="5" t="n"/>
      <c r="BO1113" s="5" t="n"/>
      <c r="BP1113" s="5" t="n"/>
      <c r="BQ1113" s="5" t="n"/>
      <c r="BR1113" s="5" t="n"/>
      <c r="BS1113" s="5" t="n"/>
      <c r="BT1113" s="5" t="n"/>
      <c r="BU1113" s="5" t="n"/>
      <c r="BV1113" s="5" t="n"/>
      <c r="BW1113" s="5" t="n"/>
      <c r="BX1113" s="5" t="n"/>
      <c r="BY1113" s="5" t="n"/>
      <c r="BZ1113" s="5" t="n"/>
      <c r="CA1113" s="5" t="n"/>
      <c r="CB1113" s="5" t="n"/>
      <c r="CC1113" s="5" t="n"/>
      <c r="CD1113" s="5" t="n"/>
      <c r="CE1113" s="5" t="n"/>
      <c r="CF1113" s="5" t="n"/>
    </row>
    <row r="1114">
      <c r="A1114" s="171" t="n"/>
      <c r="B1114" s="171" t="n"/>
      <c r="C1114" s="171" t="n"/>
      <c r="D1114" s="170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  <c r="AN1114" s="5" t="n"/>
      <c r="AO1114" s="5" t="n"/>
      <c r="AP1114" s="5" t="n"/>
      <c r="AQ1114" s="5" t="n"/>
      <c r="AR1114" s="5" t="n"/>
      <c r="AS1114" s="5" t="n"/>
      <c r="AT1114" s="5" t="n"/>
      <c r="AU1114" s="5" t="n"/>
      <c r="AV1114" s="5" t="n"/>
      <c r="AW1114" s="5" t="n"/>
      <c r="AX1114" s="5" t="n"/>
      <c r="AY1114" s="5" t="n"/>
      <c r="AZ1114" s="5" t="n"/>
      <c r="BA1114" s="5" t="n"/>
      <c r="BB1114" s="5" t="n"/>
      <c r="BC1114" s="5" t="n"/>
      <c r="BD1114" s="5" t="n"/>
      <c r="BE1114" s="5" t="n"/>
      <c r="BF1114" s="5" t="n"/>
      <c r="BG1114" s="5" t="n"/>
      <c r="BH1114" s="5" t="n"/>
      <c r="BI1114" s="5" t="n"/>
      <c r="BJ1114" s="5" t="n"/>
      <c r="BK1114" s="5" t="n"/>
      <c r="BL1114" s="5" t="n"/>
      <c r="BM1114" s="5" t="n"/>
      <c r="BN1114" s="5" t="n"/>
      <c r="BO1114" s="5" t="n"/>
      <c r="BP1114" s="5" t="n"/>
      <c r="BQ1114" s="5" t="n"/>
      <c r="BR1114" s="5" t="n"/>
      <c r="BS1114" s="5" t="n"/>
      <c r="BT1114" s="5" t="n"/>
      <c r="BU1114" s="5" t="n"/>
      <c r="BV1114" s="5" t="n"/>
      <c r="BW1114" s="5" t="n"/>
      <c r="BX1114" s="5" t="n"/>
      <c r="BY1114" s="5" t="n"/>
      <c r="BZ1114" s="5" t="n"/>
      <c r="CA1114" s="5" t="n"/>
      <c r="CB1114" s="5" t="n"/>
      <c r="CC1114" s="5" t="n"/>
      <c r="CD1114" s="5" t="n"/>
      <c r="CE1114" s="5" t="n"/>
      <c r="CF1114" s="5" t="n"/>
    </row>
    <row r="1115">
      <c r="A1115" s="171" t="n"/>
      <c r="B1115" s="171" t="n"/>
      <c r="C1115" s="171" t="n"/>
      <c r="D1115" s="170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  <c r="AN1115" s="5" t="n"/>
      <c r="AO1115" s="5" t="n"/>
      <c r="AP1115" s="5" t="n"/>
      <c r="AQ1115" s="5" t="n"/>
      <c r="AR1115" s="5" t="n"/>
      <c r="AS1115" s="5" t="n"/>
      <c r="AT1115" s="5" t="n"/>
      <c r="AU1115" s="5" t="n"/>
      <c r="AV1115" s="5" t="n"/>
      <c r="AW1115" s="5" t="n"/>
      <c r="AX1115" s="5" t="n"/>
      <c r="AY1115" s="5" t="n"/>
      <c r="AZ1115" s="5" t="n"/>
      <c r="BA1115" s="5" t="n"/>
      <c r="BB1115" s="5" t="n"/>
      <c r="BC1115" s="5" t="n"/>
      <c r="BD1115" s="5" t="n"/>
      <c r="BE1115" s="5" t="n"/>
      <c r="BF1115" s="5" t="n"/>
      <c r="BG1115" s="5" t="n"/>
      <c r="BH1115" s="5" t="n"/>
      <c r="BI1115" s="5" t="n"/>
      <c r="BJ1115" s="5" t="n"/>
      <c r="BK1115" s="5" t="n"/>
      <c r="BL1115" s="5" t="n"/>
      <c r="BM1115" s="5" t="n"/>
      <c r="BN1115" s="5" t="n"/>
      <c r="BO1115" s="5" t="n"/>
      <c r="BP1115" s="5" t="n"/>
      <c r="BQ1115" s="5" t="n"/>
      <c r="BR1115" s="5" t="n"/>
      <c r="BS1115" s="5" t="n"/>
      <c r="BT1115" s="5" t="n"/>
      <c r="BU1115" s="5" t="n"/>
      <c r="BV1115" s="5" t="n"/>
      <c r="BW1115" s="5" t="n"/>
      <c r="BX1115" s="5" t="n"/>
      <c r="BY1115" s="5" t="n"/>
      <c r="BZ1115" s="5" t="n"/>
      <c r="CA1115" s="5" t="n"/>
      <c r="CB1115" s="5" t="n"/>
      <c r="CC1115" s="5" t="n"/>
      <c r="CD1115" s="5" t="n"/>
      <c r="CE1115" s="5" t="n"/>
      <c r="CF1115" s="5" t="n"/>
    </row>
    <row r="1116">
      <c r="A1116" s="171" t="n"/>
      <c r="B1116" s="171" t="n"/>
      <c r="C1116" s="171" t="n"/>
      <c r="D1116" s="170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  <c r="AN1116" s="5" t="n"/>
      <c r="AO1116" s="5" t="n"/>
      <c r="AP1116" s="5" t="n"/>
      <c r="AQ1116" s="5" t="n"/>
      <c r="AR1116" s="5" t="n"/>
      <c r="AS1116" s="5" t="n"/>
      <c r="AT1116" s="5" t="n"/>
      <c r="AU1116" s="5" t="n"/>
      <c r="AV1116" s="5" t="n"/>
      <c r="AW1116" s="5" t="n"/>
      <c r="AX1116" s="5" t="n"/>
      <c r="AY1116" s="5" t="n"/>
      <c r="AZ1116" s="5" t="n"/>
      <c r="BA1116" s="5" t="n"/>
      <c r="BB1116" s="5" t="n"/>
      <c r="BC1116" s="5" t="n"/>
      <c r="BD1116" s="5" t="n"/>
      <c r="BE1116" s="5" t="n"/>
      <c r="BF1116" s="5" t="n"/>
      <c r="BG1116" s="5" t="n"/>
      <c r="BH1116" s="5" t="n"/>
      <c r="BI1116" s="5" t="n"/>
      <c r="BJ1116" s="5" t="n"/>
      <c r="BK1116" s="5" t="n"/>
      <c r="BL1116" s="5" t="n"/>
      <c r="BM1116" s="5" t="n"/>
      <c r="BN1116" s="5" t="n"/>
      <c r="BO1116" s="5" t="n"/>
      <c r="BP1116" s="5" t="n"/>
      <c r="BQ1116" s="5" t="n"/>
      <c r="BR1116" s="5" t="n"/>
      <c r="BS1116" s="5" t="n"/>
      <c r="BT1116" s="5" t="n"/>
      <c r="BU1116" s="5" t="n"/>
      <c r="BV1116" s="5" t="n"/>
      <c r="BW1116" s="5" t="n"/>
      <c r="BX1116" s="5" t="n"/>
      <c r="BY1116" s="5" t="n"/>
      <c r="BZ1116" s="5" t="n"/>
      <c r="CA1116" s="5" t="n"/>
      <c r="CB1116" s="5" t="n"/>
      <c r="CC1116" s="5" t="n"/>
      <c r="CD1116" s="5" t="n"/>
      <c r="CE1116" s="5" t="n"/>
      <c r="CF1116" s="5" t="n"/>
    </row>
    <row r="1117">
      <c r="A1117" s="171" t="n"/>
      <c r="B1117" s="171" t="n"/>
      <c r="C1117" s="171" t="n"/>
      <c r="D1117" s="170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  <c r="AN1117" s="5" t="n"/>
      <c r="AO1117" s="5" t="n"/>
      <c r="AP1117" s="5" t="n"/>
      <c r="AQ1117" s="5" t="n"/>
      <c r="AR1117" s="5" t="n"/>
      <c r="AS1117" s="5" t="n"/>
      <c r="AT1117" s="5" t="n"/>
      <c r="AU1117" s="5" t="n"/>
      <c r="AV1117" s="5" t="n"/>
      <c r="AW1117" s="5" t="n"/>
      <c r="AX1117" s="5" t="n"/>
      <c r="AY1117" s="5" t="n"/>
      <c r="AZ1117" s="5" t="n"/>
      <c r="BA1117" s="5" t="n"/>
      <c r="BB1117" s="5" t="n"/>
      <c r="BC1117" s="5" t="n"/>
      <c r="BD1117" s="5" t="n"/>
      <c r="BE1117" s="5" t="n"/>
      <c r="BF1117" s="5" t="n"/>
      <c r="BG1117" s="5" t="n"/>
      <c r="BH1117" s="5" t="n"/>
      <c r="BI1117" s="5" t="n"/>
      <c r="BJ1117" s="5" t="n"/>
      <c r="BK1117" s="5" t="n"/>
      <c r="BL1117" s="5" t="n"/>
      <c r="BM1117" s="5" t="n"/>
      <c r="BN1117" s="5" t="n"/>
      <c r="BO1117" s="5" t="n"/>
      <c r="BP1117" s="5" t="n"/>
      <c r="BQ1117" s="5" t="n"/>
      <c r="BR1117" s="5" t="n"/>
      <c r="BS1117" s="5" t="n"/>
      <c r="BT1117" s="5" t="n"/>
      <c r="BU1117" s="5" t="n"/>
      <c r="BV1117" s="5" t="n"/>
      <c r="BW1117" s="5" t="n"/>
      <c r="BX1117" s="5" t="n"/>
      <c r="BY1117" s="5" t="n"/>
      <c r="BZ1117" s="5" t="n"/>
      <c r="CA1117" s="5" t="n"/>
      <c r="CB1117" s="5" t="n"/>
      <c r="CC1117" s="5" t="n"/>
      <c r="CD1117" s="5" t="n"/>
      <c r="CE1117" s="5" t="n"/>
      <c r="CF1117" s="5" t="n"/>
    </row>
    <row r="1118">
      <c r="A1118" s="171" t="n"/>
      <c r="B1118" s="171" t="n"/>
      <c r="C1118" s="171" t="n"/>
      <c r="D1118" s="170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  <c r="AN1118" s="5" t="n"/>
      <c r="AO1118" s="5" t="n"/>
      <c r="AP1118" s="5" t="n"/>
      <c r="AQ1118" s="5" t="n"/>
      <c r="AR1118" s="5" t="n"/>
      <c r="AS1118" s="5" t="n"/>
      <c r="AT1118" s="5" t="n"/>
      <c r="AU1118" s="5" t="n"/>
      <c r="AV1118" s="5" t="n"/>
      <c r="AW1118" s="5" t="n"/>
      <c r="AX1118" s="5" t="n"/>
      <c r="AY1118" s="5" t="n"/>
      <c r="AZ1118" s="5" t="n"/>
      <c r="BA1118" s="5" t="n"/>
      <c r="BB1118" s="5" t="n"/>
      <c r="BC1118" s="5" t="n"/>
      <c r="BD1118" s="5" t="n"/>
      <c r="BE1118" s="5" t="n"/>
      <c r="BF1118" s="5" t="n"/>
      <c r="BG1118" s="5" t="n"/>
      <c r="BH1118" s="5" t="n"/>
      <c r="BI1118" s="5" t="n"/>
      <c r="BJ1118" s="5" t="n"/>
      <c r="BK1118" s="5" t="n"/>
      <c r="BL1118" s="5" t="n"/>
      <c r="BM1118" s="5" t="n"/>
      <c r="BN1118" s="5" t="n"/>
      <c r="BO1118" s="5" t="n"/>
      <c r="BP1118" s="5" t="n"/>
      <c r="BQ1118" s="5" t="n"/>
      <c r="BR1118" s="5" t="n"/>
      <c r="BS1118" s="5" t="n"/>
      <c r="BT1118" s="5" t="n"/>
      <c r="BU1118" s="5" t="n"/>
      <c r="BV1118" s="5" t="n"/>
      <c r="BW1118" s="5" t="n"/>
      <c r="BX1118" s="5" t="n"/>
      <c r="BY1118" s="5" t="n"/>
      <c r="BZ1118" s="5" t="n"/>
      <c r="CA1118" s="5" t="n"/>
      <c r="CB1118" s="5" t="n"/>
      <c r="CC1118" s="5" t="n"/>
      <c r="CD1118" s="5" t="n"/>
      <c r="CE1118" s="5" t="n"/>
      <c r="CF1118" s="5" t="n"/>
    </row>
    <row r="1119">
      <c r="A1119" s="171" t="n"/>
      <c r="B1119" s="171" t="n"/>
      <c r="C1119" s="171" t="n"/>
      <c r="D1119" s="170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5" t="n"/>
      <c r="AU1119" s="5" t="n"/>
      <c r="AV1119" s="5" t="n"/>
      <c r="AW1119" s="5" t="n"/>
      <c r="AX1119" s="5" t="n"/>
      <c r="AY1119" s="5" t="n"/>
      <c r="AZ1119" s="5" t="n"/>
      <c r="BA1119" s="5" t="n"/>
      <c r="BB1119" s="5" t="n"/>
      <c r="BC1119" s="5" t="n"/>
      <c r="BD1119" s="5" t="n"/>
      <c r="BE1119" s="5" t="n"/>
      <c r="BF1119" s="5" t="n"/>
      <c r="BG1119" s="5" t="n"/>
      <c r="BH1119" s="5" t="n"/>
      <c r="BI1119" s="5" t="n"/>
      <c r="BJ1119" s="5" t="n"/>
      <c r="BK1119" s="5" t="n"/>
      <c r="BL1119" s="5" t="n"/>
      <c r="BM1119" s="5" t="n"/>
      <c r="BN1119" s="5" t="n"/>
      <c r="BO1119" s="5" t="n"/>
      <c r="BP1119" s="5" t="n"/>
      <c r="BQ1119" s="5" t="n"/>
      <c r="BR1119" s="5" t="n"/>
      <c r="BS1119" s="5" t="n"/>
      <c r="BT1119" s="5" t="n"/>
      <c r="BU1119" s="5" t="n"/>
      <c r="BV1119" s="5" t="n"/>
      <c r="BW1119" s="5" t="n"/>
      <c r="BX1119" s="5" t="n"/>
      <c r="BY1119" s="5" t="n"/>
      <c r="BZ1119" s="5" t="n"/>
      <c r="CA1119" s="5" t="n"/>
      <c r="CB1119" s="5" t="n"/>
      <c r="CC1119" s="5" t="n"/>
      <c r="CD1119" s="5" t="n"/>
      <c r="CE1119" s="5" t="n"/>
      <c r="CF1119" s="5" t="n"/>
    </row>
    <row r="1120">
      <c r="A1120" s="171" t="n"/>
      <c r="B1120" s="171" t="n"/>
      <c r="C1120" s="171" t="n"/>
      <c r="D1120" s="170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5" t="n"/>
      <c r="AU1120" s="5" t="n"/>
      <c r="AV1120" s="5" t="n"/>
      <c r="AW1120" s="5" t="n"/>
      <c r="AX1120" s="5" t="n"/>
      <c r="AY1120" s="5" t="n"/>
      <c r="AZ1120" s="5" t="n"/>
      <c r="BA1120" s="5" t="n"/>
      <c r="BB1120" s="5" t="n"/>
      <c r="BC1120" s="5" t="n"/>
      <c r="BD1120" s="5" t="n"/>
      <c r="BE1120" s="5" t="n"/>
      <c r="BF1120" s="5" t="n"/>
      <c r="BG1120" s="5" t="n"/>
      <c r="BH1120" s="5" t="n"/>
      <c r="BI1120" s="5" t="n"/>
      <c r="BJ1120" s="5" t="n"/>
      <c r="BK1120" s="5" t="n"/>
      <c r="BL1120" s="5" t="n"/>
      <c r="BM1120" s="5" t="n"/>
      <c r="BN1120" s="5" t="n"/>
      <c r="BO1120" s="5" t="n"/>
      <c r="BP1120" s="5" t="n"/>
      <c r="BQ1120" s="5" t="n"/>
      <c r="BR1120" s="5" t="n"/>
      <c r="BS1120" s="5" t="n"/>
      <c r="BT1120" s="5" t="n"/>
      <c r="BU1120" s="5" t="n"/>
      <c r="BV1120" s="5" t="n"/>
      <c r="BW1120" s="5" t="n"/>
      <c r="BX1120" s="5" t="n"/>
      <c r="BY1120" s="5" t="n"/>
      <c r="BZ1120" s="5" t="n"/>
      <c r="CA1120" s="5" t="n"/>
      <c r="CB1120" s="5" t="n"/>
      <c r="CC1120" s="5" t="n"/>
      <c r="CD1120" s="5" t="n"/>
      <c r="CE1120" s="5" t="n"/>
      <c r="CF1120" s="5" t="n"/>
    </row>
    <row r="1121">
      <c r="A1121" s="171" t="n"/>
      <c r="B1121" s="171" t="n"/>
      <c r="C1121" s="171" t="n"/>
      <c r="D1121" s="170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  <c r="AU1121" s="5" t="n"/>
      <c r="AV1121" s="5" t="n"/>
      <c r="AW1121" s="5" t="n"/>
      <c r="AX1121" s="5" t="n"/>
      <c r="AY1121" s="5" t="n"/>
      <c r="AZ1121" s="5" t="n"/>
      <c r="BA1121" s="5" t="n"/>
      <c r="BB1121" s="5" t="n"/>
      <c r="BC1121" s="5" t="n"/>
      <c r="BD1121" s="5" t="n"/>
      <c r="BE1121" s="5" t="n"/>
      <c r="BF1121" s="5" t="n"/>
      <c r="BG1121" s="5" t="n"/>
      <c r="BH1121" s="5" t="n"/>
      <c r="BI1121" s="5" t="n"/>
      <c r="BJ1121" s="5" t="n"/>
      <c r="BK1121" s="5" t="n"/>
      <c r="BL1121" s="5" t="n"/>
      <c r="BM1121" s="5" t="n"/>
      <c r="BN1121" s="5" t="n"/>
      <c r="BO1121" s="5" t="n"/>
      <c r="BP1121" s="5" t="n"/>
      <c r="BQ1121" s="5" t="n"/>
      <c r="BR1121" s="5" t="n"/>
      <c r="BS1121" s="5" t="n"/>
      <c r="BT1121" s="5" t="n"/>
      <c r="BU1121" s="5" t="n"/>
      <c r="BV1121" s="5" t="n"/>
      <c r="BW1121" s="5" t="n"/>
      <c r="BX1121" s="5" t="n"/>
      <c r="BY1121" s="5" t="n"/>
      <c r="BZ1121" s="5" t="n"/>
      <c r="CA1121" s="5" t="n"/>
      <c r="CB1121" s="5" t="n"/>
      <c r="CC1121" s="5" t="n"/>
      <c r="CD1121" s="5" t="n"/>
      <c r="CE1121" s="5" t="n"/>
      <c r="CF1121" s="5" t="n"/>
    </row>
    <row r="1122">
      <c r="A1122" s="171" t="n"/>
      <c r="B1122" s="171" t="n"/>
      <c r="C1122" s="171" t="n"/>
      <c r="D1122" s="170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  <c r="AN1122" s="5" t="n"/>
      <c r="AO1122" s="5" t="n"/>
      <c r="AP1122" s="5" t="n"/>
      <c r="AQ1122" s="5" t="n"/>
      <c r="AR1122" s="5" t="n"/>
      <c r="AS1122" s="5" t="n"/>
      <c r="AT1122" s="5" t="n"/>
      <c r="AU1122" s="5" t="n"/>
      <c r="AV1122" s="5" t="n"/>
      <c r="AW1122" s="5" t="n"/>
      <c r="AX1122" s="5" t="n"/>
      <c r="AY1122" s="5" t="n"/>
      <c r="AZ1122" s="5" t="n"/>
      <c r="BA1122" s="5" t="n"/>
      <c r="BB1122" s="5" t="n"/>
      <c r="BC1122" s="5" t="n"/>
      <c r="BD1122" s="5" t="n"/>
      <c r="BE1122" s="5" t="n"/>
      <c r="BF1122" s="5" t="n"/>
      <c r="BG1122" s="5" t="n"/>
      <c r="BH1122" s="5" t="n"/>
      <c r="BI1122" s="5" t="n"/>
      <c r="BJ1122" s="5" t="n"/>
      <c r="BK1122" s="5" t="n"/>
      <c r="BL1122" s="5" t="n"/>
      <c r="BM1122" s="5" t="n"/>
      <c r="BN1122" s="5" t="n"/>
      <c r="BO1122" s="5" t="n"/>
      <c r="BP1122" s="5" t="n"/>
      <c r="BQ1122" s="5" t="n"/>
      <c r="BR1122" s="5" t="n"/>
      <c r="BS1122" s="5" t="n"/>
      <c r="BT1122" s="5" t="n"/>
      <c r="BU1122" s="5" t="n"/>
      <c r="BV1122" s="5" t="n"/>
      <c r="BW1122" s="5" t="n"/>
      <c r="BX1122" s="5" t="n"/>
      <c r="BY1122" s="5" t="n"/>
      <c r="BZ1122" s="5" t="n"/>
      <c r="CA1122" s="5" t="n"/>
      <c r="CB1122" s="5" t="n"/>
      <c r="CC1122" s="5" t="n"/>
      <c r="CD1122" s="5" t="n"/>
      <c r="CE1122" s="5" t="n"/>
      <c r="CF1122" s="5" t="n"/>
    </row>
    <row r="1123">
      <c r="A1123" s="171" t="n"/>
      <c r="B1123" s="171" t="n"/>
      <c r="C1123" s="171" t="n"/>
      <c r="D1123" s="170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  <c r="AN1123" s="5" t="n"/>
      <c r="AO1123" s="5" t="n"/>
      <c r="AP1123" s="5" t="n"/>
      <c r="AQ1123" s="5" t="n"/>
      <c r="AR1123" s="5" t="n"/>
      <c r="AS1123" s="5" t="n"/>
      <c r="AT1123" s="5" t="n"/>
      <c r="AU1123" s="5" t="n"/>
      <c r="AV1123" s="5" t="n"/>
      <c r="AW1123" s="5" t="n"/>
      <c r="AX1123" s="5" t="n"/>
      <c r="AY1123" s="5" t="n"/>
      <c r="AZ1123" s="5" t="n"/>
      <c r="BA1123" s="5" t="n"/>
      <c r="BB1123" s="5" t="n"/>
      <c r="BC1123" s="5" t="n"/>
      <c r="BD1123" s="5" t="n"/>
      <c r="BE1123" s="5" t="n"/>
      <c r="BF1123" s="5" t="n"/>
      <c r="BG1123" s="5" t="n"/>
      <c r="BH1123" s="5" t="n"/>
      <c r="BI1123" s="5" t="n"/>
      <c r="BJ1123" s="5" t="n"/>
      <c r="BK1123" s="5" t="n"/>
      <c r="BL1123" s="5" t="n"/>
      <c r="BM1123" s="5" t="n"/>
      <c r="BN1123" s="5" t="n"/>
      <c r="BO1123" s="5" t="n"/>
      <c r="BP1123" s="5" t="n"/>
      <c r="BQ1123" s="5" t="n"/>
      <c r="BR1123" s="5" t="n"/>
      <c r="BS1123" s="5" t="n"/>
      <c r="BT1123" s="5" t="n"/>
      <c r="BU1123" s="5" t="n"/>
      <c r="BV1123" s="5" t="n"/>
      <c r="BW1123" s="5" t="n"/>
      <c r="BX1123" s="5" t="n"/>
      <c r="BY1123" s="5" t="n"/>
      <c r="BZ1123" s="5" t="n"/>
      <c r="CA1123" s="5" t="n"/>
      <c r="CB1123" s="5" t="n"/>
      <c r="CC1123" s="5" t="n"/>
      <c r="CD1123" s="5" t="n"/>
      <c r="CE1123" s="5" t="n"/>
      <c r="CF1123" s="5" t="n"/>
    </row>
    <row r="1124">
      <c r="A1124" s="171" t="n"/>
      <c r="B1124" s="171" t="n"/>
      <c r="C1124" s="171" t="n"/>
      <c r="D1124" s="170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  <c r="AN1124" s="5" t="n"/>
      <c r="AO1124" s="5" t="n"/>
      <c r="AP1124" s="5" t="n"/>
      <c r="AQ1124" s="5" t="n"/>
      <c r="AR1124" s="5" t="n"/>
      <c r="AS1124" s="5" t="n"/>
      <c r="AT1124" s="5" t="n"/>
      <c r="AU1124" s="5" t="n"/>
      <c r="AV1124" s="5" t="n"/>
      <c r="AW1124" s="5" t="n"/>
      <c r="AX1124" s="5" t="n"/>
      <c r="AY1124" s="5" t="n"/>
      <c r="AZ1124" s="5" t="n"/>
      <c r="BA1124" s="5" t="n"/>
      <c r="BB1124" s="5" t="n"/>
      <c r="BC1124" s="5" t="n"/>
      <c r="BD1124" s="5" t="n"/>
      <c r="BE1124" s="5" t="n"/>
      <c r="BF1124" s="5" t="n"/>
      <c r="BG1124" s="5" t="n"/>
      <c r="BH1124" s="5" t="n"/>
      <c r="BI1124" s="5" t="n"/>
      <c r="BJ1124" s="5" t="n"/>
      <c r="BK1124" s="5" t="n"/>
      <c r="BL1124" s="5" t="n"/>
      <c r="BM1124" s="5" t="n"/>
      <c r="BN1124" s="5" t="n"/>
      <c r="BO1124" s="5" t="n"/>
      <c r="BP1124" s="5" t="n"/>
      <c r="BQ1124" s="5" t="n"/>
      <c r="BR1124" s="5" t="n"/>
      <c r="BS1124" s="5" t="n"/>
      <c r="BT1124" s="5" t="n"/>
      <c r="BU1124" s="5" t="n"/>
      <c r="BV1124" s="5" t="n"/>
      <c r="BW1124" s="5" t="n"/>
      <c r="BX1124" s="5" t="n"/>
      <c r="BY1124" s="5" t="n"/>
      <c r="BZ1124" s="5" t="n"/>
      <c r="CA1124" s="5" t="n"/>
      <c r="CB1124" s="5" t="n"/>
      <c r="CC1124" s="5" t="n"/>
      <c r="CD1124" s="5" t="n"/>
      <c r="CE1124" s="5" t="n"/>
      <c r="CF1124" s="5" t="n"/>
    </row>
    <row r="1125">
      <c r="A1125" s="171" t="n"/>
      <c r="B1125" s="171" t="n"/>
      <c r="C1125" s="171" t="n"/>
      <c r="D1125" s="170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  <c r="AN1125" s="5" t="n"/>
      <c r="AO1125" s="5" t="n"/>
      <c r="AP1125" s="5" t="n"/>
      <c r="AQ1125" s="5" t="n"/>
      <c r="AR1125" s="5" t="n"/>
      <c r="AS1125" s="5" t="n"/>
      <c r="AT1125" s="5" t="n"/>
      <c r="AU1125" s="5" t="n"/>
      <c r="AV1125" s="5" t="n"/>
      <c r="AW1125" s="5" t="n"/>
      <c r="AX1125" s="5" t="n"/>
      <c r="AY1125" s="5" t="n"/>
      <c r="AZ1125" s="5" t="n"/>
      <c r="BA1125" s="5" t="n"/>
      <c r="BB1125" s="5" t="n"/>
      <c r="BC1125" s="5" t="n"/>
      <c r="BD1125" s="5" t="n"/>
      <c r="BE1125" s="5" t="n"/>
      <c r="BF1125" s="5" t="n"/>
      <c r="BG1125" s="5" t="n"/>
      <c r="BH1125" s="5" t="n"/>
      <c r="BI1125" s="5" t="n"/>
      <c r="BJ1125" s="5" t="n"/>
      <c r="BK1125" s="5" t="n"/>
      <c r="BL1125" s="5" t="n"/>
      <c r="BM1125" s="5" t="n"/>
      <c r="BN1125" s="5" t="n"/>
      <c r="BO1125" s="5" t="n"/>
      <c r="BP1125" s="5" t="n"/>
      <c r="BQ1125" s="5" t="n"/>
      <c r="BR1125" s="5" t="n"/>
      <c r="BS1125" s="5" t="n"/>
      <c r="BT1125" s="5" t="n"/>
      <c r="BU1125" s="5" t="n"/>
      <c r="BV1125" s="5" t="n"/>
      <c r="BW1125" s="5" t="n"/>
      <c r="BX1125" s="5" t="n"/>
      <c r="BY1125" s="5" t="n"/>
      <c r="BZ1125" s="5" t="n"/>
      <c r="CA1125" s="5" t="n"/>
      <c r="CB1125" s="5" t="n"/>
      <c r="CC1125" s="5" t="n"/>
      <c r="CD1125" s="5" t="n"/>
      <c r="CE1125" s="5" t="n"/>
      <c r="CF1125" s="5" t="n"/>
    </row>
    <row r="1126">
      <c r="A1126" s="171" t="n"/>
      <c r="B1126" s="171" t="n"/>
      <c r="C1126" s="171" t="n"/>
      <c r="D1126" s="170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  <c r="AN1126" s="5" t="n"/>
      <c r="AO1126" s="5" t="n"/>
      <c r="AP1126" s="5" t="n"/>
      <c r="AQ1126" s="5" t="n"/>
      <c r="AR1126" s="5" t="n"/>
      <c r="AS1126" s="5" t="n"/>
      <c r="AT1126" s="5" t="n"/>
      <c r="AU1126" s="5" t="n"/>
      <c r="AV1126" s="5" t="n"/>
      <c r="AW1126" s="5" t="n"/>
      <c r="AX1126" s="5" t="n"/>
      <c r="AY1126" s="5" t="n"/>
      <c r="AZ1126" s="5" t="n"/>
      <c r="BA1126" s="5" t="n"/>
      <c r="BB1126" s="5" t="n"/>
      <c r="BC1126" s="5" t="n"/>
      <c r="BD1126" s="5" t="n"/>
      <c r="BE1126" s="5" t="n"/>
      <c r="BF1126" s="5" t="n"/>
      <c r="BG1126" s="5" t="n"/>
      <c r="BH1126" s="5" t="n"/>
      <c r="BI1126" s="5" t="n"/>
      <c r="BJ1126" s="5" t="n"/>
      <c r="BK1126" s="5" t="n"/>
      <c r="BL1126" s="5" t="n"/>
      <c r="BM1126" s="5" t="n"/>
      <c r="BN1126" s="5" t="n"/>
      <c r="BO1126" s="5" t="n"/>
      <c r="BP1126" s="5" t="n"/>
      <c r="BQ1126" s="5" t="n"/>
      <c r="BR1126" s="5" t="n"/>
      <c r="BS1126" s="5" t="n"/>
      <c r="BT1126" s="5" t="n"/>
      <c r="BU1126" s="5" t="n"/>
      <c r="BV1126" s="5" t="n"/>
      <c r="BW1126" s="5" t="n"/>
      <c r="BX1126" s="5" t="n"/>
      <c r="BY1126" s="5" t="n"/>
      <c r="BZ1126" s="5" t="n"/>
      <c r="CA1126" s="5" t="n"/>
      <c r="CB1126" s="5" t="n"/>
      <c r="CC1126" s="5" t="n"/>
      <c r="CD1126" s="5" t="n"/>
      <c r="CE1126" s="5" t="n"/>
      <c r="CF1126" s="5" t="n"/>
    </row>
    <row r="1127">
      <c r="A1127" s="171" t="n"/>
      <c r="B1127" s="171" t="n"/>
      <c r="C1127" s="171" t="n"/>
      <c r="D1127" s="170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  <c r="AN1127" s="5" t="n"/>
      <c r="AO1127" s="5" t="n"/>
      <c r="AP1127" s="5" t="n"/>
      <c r="AQ1127" s="5" t="n"/>
      <c r="AR1127" s="5" t="n"/>
      <c r="AS1127" s="5" t="n"/>
      <c r="AT1127" s="5" t="n"/>
      <c r="AU1127" s="5" t="n"/>
      <c r="AV1127" s="5" t="n"/>
      <c r="AW1127" s="5" t="n"/>
      <c r="AX1127" s="5" t="n"/>
      <c r="AY1127" s="5" t="n"/>
      <c r="AZ1127" s="5" t="n"/>
      <c r="BA1127" s="5" t="n"/>
      <c r="BB1127" s="5" t="n"/>
      <c r="BC1127" s="5" t="n"/>
      <c r="BD1127" s="5" t="n"/>
      <c r="BE1127" s="5" t="n"/>
      <c r="BF1127" s="5" t="n"/>
      <c r="BG1127" s="5" t="n"/>
      <c r="BH1127" s="5" t="n"/>
      <c r="BI1127" s="5" t="n"/>
      <c r="BJ1127" s="5" t="n"/>
      <c r="BK1127" s="5" t="n"/>
      <c r="BL1127" s="5" t="n"/>
      <c r="BM1127" s="5" t="n"/>
      <c r="BN1127" s="5" t="n"/>
      <c r="BO1127" s="5" t="n"/>
      <c r="BP1127" s="5" t="n"/>
      <c r="BQ1127" s="5" t="n"/>
      <c r="BR1127" s="5" t="n"/>
      <c r="BS1127" s="5" t="n"/>
      <c r="BT1127" s="5" t="n"/>
      <c r="BU1127" s="5" t="n"/>
      <c r="BV1127" s="5" t="n"/>
      <c r="BW1127" s="5" t="n"/>
      <c r="BX1127" s="5" t="n"/>
      <c r="BY1127" s="5" t="n"/>
      <c r="BZ1127" s="5" t="n"/>
      <c r="CA1127" s="5" t="n"/>
      <c r="CB1127" s="5" t="n"/>
      <c r="CC1127" s="5" t="n"/>
      <c r="CD1127" s="5" t="n"/>
      <c r="CE1127" s="5" t="n"/>
      <c r="CF1127" s="5" t="n"/>
    </row>
    <row r="1128">
      <c r="A1128" s="171" t="n"/>
      <c r="B1128" s="171" t="n"/>
      <c r="C1128" s="171" t="n"/>
      <c r="D1128" s="170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  <c r="AN1128" s="5" t="n"/>
      <c r="AO1128" s="5" t="n"/>
      <c r="AP1128" s="5" t="n"/>
      <c r="AQ1128" s="5" t="n"/>
      <c r="AR1128" s="5" t="n"/>
      <c r="AS1128" s="5" t="n"/>
      <c r="AT1128" s="5" t="n"/>
      <c r="AU1128" s="5" t="n"/>
      <c r="AV1128" s="5" t="n"/>
      <c r="AW1128" s="5" t="n"/>
      <c r="AX1128" s="5" t="n"/>
      <c r="AY1128" s="5" t="n"/>
      <c r="AZ1128" s="5" t="n"/>
      <c r="BA1128" s="5" t="n"/>
      <c r="BB1128" s="5" t="n"/>
      <c r="BC1128" s="5" t="n"/>
      <c r="BD1128" s="5" t="n"/>
      <c r="BE1128" s="5" t="n"/>
      <c r="BF1128" s="5" t="n"/>
      <c r="BG1128" s="5" t="n"/>
      <c r="BH1128" s="5" t="n"/>
      <c r="BI1128" s="5" t="n"/>
      <c r="BJ1128" s="5" t="n"/>
      <c r="BK1128" s="5" t="n"/>
      <c r="BL1128" s="5" t="n"/>
      <c r="BM1128" s="5" t="n"/>
      <c r="BN1128" s="5" t="n"/>
      <c r="BO1128" s="5" t="n"/>
      <c r="BP1128" s="5" t="n"/>
      <c r="BQ1128" s="5" t="n"/>
      <c r="BR1128" s="5" t="n"/>
      <c r="BS1128" s="5" t="n"/>
      <c r="BT1128" s="5" t="n"/>
      <c r="BU1128" s="5" t="n"/>
      <c r="BV1128" s="5" t="n"/>
      <c r="BW1128" s="5" t="n"/>
      <c r="BX1128" s="5" t="n"/>
      <c r="BY1128" s="5" t="n"/>
      <c r="BZ1128" s="5" t="n"/>
      <c r="CA1128" s="5" t="n"/>
      <c r="CB1128" s="5" t="n"/>
      <c r="CC1128" s="5" t="n"/>
      <c r="CD1128" s="5" t="n"/>
      <c r="CE1128" s="5" t="n"/>
      <c r="CF1128" s="5" t="n"/>
    </row>
    <row r="1129">
      <c r="A1129" s="171" t="n"/>
      <c r="B1129" s="171" t="n"/>
      <c r="C1129" s="171" t="n"/>
      <c r="D1129" s="170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  <c r="AN1129" s="5" t="n"/>
      <c r="AO1129" s="5" t="n"/>
      <c r="AP1129" s="5" t="n"/>
      <c r="AQ1129" s="5" t="n"/>
      <c r="AR1129" s="5" t="n"/>
      <c r="AS1129" s="5" t="n"/>
      <c r="AT1129" s="5" t="n"/>
      <c r="AU1129" s="5" t="n"/>
      <c r="AV1129" s="5" t="n"/>
      <c r="AW1129" s="5" t="n"/>
      <c r="AX1129" s="5" t="n"/>
      <c r="AY1129" s="5" t="n"/>
      <c r="AZ1129" s="5" t="n"/>
      <c r="BA1129" s="5" t="n"/>
      <c r="BB1129" s="5" t="n"/>
      <c r="BC1129" s="5" t="n"/>
      <c r="BD1129" s="5" t="n"/>
      <c r="BE1129" s="5" t="n"/>
      <c r="BF1129" s="5" t="n"/>
      <c r="BG1129" s="5" t="n"/>
      <c r="BH1129" s="5" t="n"/>
      <c r="BI1129" s="5" t="n"/>
      <c r="BJ1129" s="5" t="n"/>
      <c r="BK1129" s="5" t="n"/>
      <c r="BL1129" s="5" t="n"/>
      <c r="BM1129" s="5" t="n"/>
      <c r="BN1129" s="5" t="n"/>
      <c r="BO1129" s="5" t="n"/>
      <c r="BP1129" s="5" t="n"/>
      <c r="BQ1129" s="5" t="n"/>
      <c r="BR1129" s="5" t="n"/>
      <c r="BS1129" s="5" t="n"/>
      <c r="BT1129" s="5" t="n"/>
      <c r="BU1129" s="5" t="n"/>
      <c r="BV1129" s="5" t="n"/>
      <c r="BW1129" s="5" t="n"/>
      <c r="BX1129" s="5" t="n"/>
      <c r="BY1129" s="5" t="n"/>
      <c r="BZ1129" s="5" t="n"/>
      <c r="CA1129" s="5" t="n"/>
      <c r="CB1129" s="5" t="n"/>
      <c r="CC1129" s="5" t="n"/>
      <c r="CD1129" s="5" t="n"/>
      <c r="CE1129" s="5" t="n"/>
      <c r="CF1129" s="5" t="n"/>
    </row>
    <row r="1130">
      <c r="A1130" s="171" t="n"/>
      <c r="B1130" s="171" t="n"/>
      <c r="C1130" s="171" t="n"/>
      <c r="D1130" s="170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  <c r="AN1130" s="5" t="n"/>
      <c r="AO1130" s="5" t="n"/>
      <c r="AP1130" s="5" t="n"/>
      <c r="AQ1130" s="5" t="n"/>
      <c r="AR1130" s="5" t="n"/>
      <c r="AS1130" s="5" t="n"/>
      <c r="AT1130" s="5" t="n"/>
      <c r="AU1130" s="5" t="n"/>
      <c r="AV1130" s="5" t="n"/>
      <c r="AW1130" s="5" t="n"/>
      <c r="AX1130" s="5" t="n"/>
      <c r="AY1130" s="5" t="n"/>
      <c r="AZ1130" s="5" t="n"/>
      <c r="BA1130" s="5" t="n"/>
      <c r="BB1130" s="5" t="n"/>
      <c r="BC1130" s="5" t="n"/>
      <c r="BD1130" s="5" t="n"/>
      <c r="BE1130" s="5" t="n"/>
      <c r="BF1130" s="5" t="n"/>
      <c r="BG1130" s="5" t="n"/>
      <c r="BH1130" s="5" t="n"/>
      <c r="BI1130" s="5" t="n"/>
      <c r="BJ1130" s="5" t="n"/>
      <c r="BK1130" s="5" t="n"/>
      <c r="BL1130" s="5" t="n"/>
      <c r="BM1130" s="5" t="n"/>
      <c r="BN1130" s="5" t="n"/>
      <c r="BO1130" s="5" t="n"/>
      <c r="BP1130" s="5" t="n"/>
      <c r="BQ1130" s="5" t="n"/>
      <c r="BR1130" s="5" t="n"/>
      <c r="BS1130" s="5" t="n"/>
      <c r="BT1130" s="5" t="n"/>
      <c r="BU1130" s="5" t="n"/>
      <c r="BV1130" s="5" t="n"/>
      <c r="BW1130" s="5" t="n"/>
      <c r="BX1130" s="5" t="n"/>
      <c r="BY1130" s="5" t="n"/>
      <c r="BZ1130" s="5" t="n"/>
      <c r="CA1130" s="5" t="n"/>
      <c r="CB1130" s="5" t="n"/>
      <c r="CC1130" s="5" t="n"/>
      <c r="CD1130" s="5" t="n"/>
      <c r="CE1130" s="5" t="n"/>
      <c r="CF1130" s="5" t="n"/>
    </row>
    <row r="1131">
      <c r="A1131" s="171" t="n"/>
      <c r="B1131" s="171" t="n"/>
      <c r="C1131" s="171" t="n"/>
      <c r="D1131" s="170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  <c r="AN1131" s="5" t="n"/>
      <c r="AO1131" s="5" t="n"/>
      <c r="AP1131" s="5" t="n"/>
      <c r="AQ1131" s="5" t="n"/>
      <c r="AR1131" s="5" t="n"/>
      <c r="AS1131" s="5" t="n"/>
      <c r="AT1131" s="5" t="n"/>
      <c r="AU1131" s="5" t="n"/>
      <c r="AV1131" s="5" t="n"/>
      <c r="AW1131" s="5" t="n"/>
      <c r="AX1131" s="5" t="n"/>
      <c r="AY1131" s="5" t="n"/>
      <c r="AZ1131" s="5" t="n"/>
      <c r="BA1131" s="5" t="n"/>
      <c r="BB1131" s="5" t="n"/>
      <c r="BC1131" s="5" t="n"/>
      <c r="BD1131" s="5" t="n"/>
      <c r="BE1131" s="5" t="n"/>
      <c r="BF1131" s="5" t="n"/>
      <c r="BG1131" s="5" t="n"/>
      <c r="BH1131" s="5" t="n"/>
      <c r="BI1131" s="5" t="n"/>
      <c r="BJ1131" s="5" t="n"/>
      <c r="BK1131" s="5" t="n"/>
      <c r="BL1131" s="5" t="n"/>
      <c r="BM1131" s="5" t="n"/>
      <c r="BN1131" s="5" t="n"/>
      <c r="BO1131" s="5" t="n"/>
      <c r="BP1131" s="5" t="n"/>
      <c r="BQ1131" s="5" t="n"/>
      <c r="BR1131" s="5" t="n"/>
      <c r="BS1131" s="5" t="n"/>
      <c r="BT1131" s="5" t="n"/>
      <c r="BU1131" s="5" t="n"/>
      <c r="BV1131" s="5" t="n"/>
      <c r="BW1131" s="5" t="n"/>
      <c r="BX1131" s="5" t="n"/>
      <c r="BY1131" s="5" t="n"/>
      <c r="BZ1131" s="5" t="n"/>
      <c r="CA1131" s="5" t="n"/>
      <c r="CB1131" s="5" t="n"/>
      <c r="CC1131" s="5" t="n"/>
      <c r="CD1131" s="5" t="n"/>
      <c r="CE1131" s="5" t="n"/>
      <c r="CF1131" s="5" t="n"/>
    </row>
    <row r="1132">
      <c r="A1132" s="171" t="n"/>
      <c r="B1132" s="171" t="n"/>
      <c r="C1132" s="171" t="n"/>
      <c r="D1132" s="170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  <c r="AN1132" s="5" t="n"/>
      <c r="AO1132" s="5" t="n"/>
      <c r="AP1132" s="5" t="n"/>
      <c r="AQ1132" s="5" t="n"/>
      <c r="AR1132" s="5" t="n"/>
      <c r="AS1132" s="5" t="n"/>
      <c r="AT1132" s="5" t="n"/>
      <c r="AU1132" s="5" t="n"/>
      <c r="AV1132" s="5" t="n"/>
      <c r="AW1132" s="5" t="n"/>
      <c r="AX1132" s="5" t="n"/>
      <c r="AY1132" s="5" t="n"/>
      <c r="AZ1132" s="5" t="n"/>
      <c r="BA1132" s="5" t="n"/>
      <c r="BB1132" s="5" t="n"/>
      <c r="BC1132" s="5" t="n"/>
      <c r="BD1132" s="5" t="n"/>
      <c r="BE1132" s="5" t="n"/>
      <c r="BF1132" s="5" t="n"/>
      <c r="BG1132" s="5" t="n"/>
      <c r="BH1132" s="5" t="n"/>
      <c r="BI1132" s="5" t="n"/>
      <c r="BJ1132" s="5" t="n"/>
      <c r="BK1132" s="5" t="n"/>
      <c r="BL1132" s="5" t="n"/>
      <c r="BM1132" s="5" t="n"/>
      <c r="BN1132" s="5" t="n"/>
      <c r="BO1132" s="5" t="n"/>
      <c r="BP1132" s="5" t="n"/>
      <c r="BQ1132" s="5" t="n"/>
      <c r="BR1132" s="5" t="n"/>
      <c r="BS1132" s="5" t="n"/>
      <c r="BT1132" s="5" t="n"/>
      <c r="BU1132" s="5" t="n"/>
      <c r="BV1132" s="5" t="n"/>
      <c r="BW1132" s="5" t="n"/>
      <c r="BX1132" s="5" t="n"/>
      <c r="BY1132" s="5" t="n"/>
      <c r="BZ1132" s="5" t="n"/>
      <c r="CA1132" s="5" t="n"/>
      <c r="CB1132" s="5" t="n"/>
      <c r="CC1132" s="5" t="n"/>
      <c r="CD1132" s="5" t="n"/>
      <c r="CE1132" s="5" t="n"/>
      <c r="CF1132" s="5" t="n"/>
    </row>
    <row r="1133">
      <c r="A1133" s="171" t="n"/>
      <c r="B1133" s="171" t="n"/>
      <c r="C1133" s="171" t="n"/>
      <c r="D1133" s="170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  <c r="AN1133" s="5" t="n"/>
      <c r="AO1133" s="5" t="n"/>
      <c r="AP1133" s="5" t="n"/>
      <c r="AQ1133" s="5" t="n"/>
      <c r="AR1133" s="5" t="n"/>
      <c r="AS1133" s="5" t="n"/>
      <c r="AT1133" s="5" t="n"/>
      <c r="AU1133" s="5" t="n"/>
      <c r="AV1133" s="5" t="n"/>
      <c r="AW1133" s="5" t="n"/>
      <c r="AX1133" s="5" t="n"/>
      <c r="AY1133" s="5" t="n"/>
      <c r="AZ1133" s="5" t="n"/>
      <c r="BA1133" s="5" t="n"/>
      <c r="BB1133" s="5" t="n"/>
      <c r="BC1133" s="5" t="n"/>
      <c r="BD1133" s="5" t="n"/>
      <c r="BE1133" s="5" t="n"/>
      <c r="BF1133" s="5" t="n"/>
      <c r="BG1133" s="5" t="n"/>
      <c r="BH1133" s="5" t="n"/>
      <c r="BI1133" s="5" t="n"/>
      <c r="BJ1133" s="5" t="n"/>
      <c r="BK1133" s="5" t="n"/>
      <c r="BL1133" s="5" t="n"/>
      <c r="BM1133" s="5" t="n"/>
      <c r="BN1133" s="5" t="n"/>
      <c r="BO1133" s="5" t="n"/>
      <c r="BP1133" s="5" t="n"/>
      <c r="BQ1133" s="5" t="n"/>
      <c r="BR1133" s="5" t="n"/>
      <c r="BS1133" s="5" t="n"/>
      <c r="BT1133" s="5" t="n"/>
      <c r="BU1133" s="5" t="n"/>
      <c r="BV1133" s="5" t="n"/>
      <c r="BW1133" s="5" t="n"/>
      <c r="BX1133" s="5" t="n"/>
      <c r="BY1133" s="5" t="n"/>
      <c r="BZ1133" s="5" t="n"/>
      <c r="CA1133" s="5" t="n"/>
      <c r="CB1133" s="5" t="n"/>
      <c r="CC1133" s="5" t="n"/>
      <c r="CD1133" s="5" t="n"/>
      <c r="CE1133" s="5" t="n"/>
      <c r="CF1133" s="5" t="n"/>
    </row>
    <row r="1134">
      <c r="A1134" s="171" t="n"/>
      <c r="B1134" s="171" t="n"/>
      <c r="C1134" s="171" t="n"/>
      <c r="D1134" s="170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  <c r="AN1134" s="5" t="n"/>
      <c r="AO1134" s="5" t="n"/>
      <c r="AP1134" s="5" t="n"/>
      <c r="AQ1134" s="5" t="n"/>
      <c r="AR1134" s="5" t="n"/>
      <c r="AS1134" s="5" t="n"/>
      <c r="AT1134" s="5" t="n"/>
      <c r="AU1134" s="5" t="n"/>
      <c r="AV1134" s="5" t="n"/>
      <c r="AW1134" s="5" t="n"/>
      <c r="AX1134" s="5" t="n"/>
      <c r="AY1134" s="5" t="n"/>
      <c r="AZ1134" s="5" t="n"/>
      <c r="BA1134" s="5" t="n"/>
      <c r="BB1134" s="5" t="n"/>
      <c r="BC1134" s="5" t="n"/>
      <c r="BD1134" s="5" t="n"/>
      <c r="BE1134" s="5" t="n"/>
      <c r="BF1134" s="5" t="n"/>
      <c r="BG1134" s="5" t="n"/>
      <c r="BH1134" s="5" t="n"/>
      <c r="BI1134" s="5" t="n"/>
      <c r="BJ1134" s="5" t="n"/>
      <c r="BK1134" s="5" t="n"/>
      <c r="BL1134" s="5" t="n"/>
      <c r="BM1134" s="5" t="n"/>
      <c r="BN1134" s="5" t="n"/>
      <c r="BO1134" s="5" t="n"/>
      <c r="BP1134" s="5" t="n"/>
      <c r="BQ1134" s="5" t="n"/>
      <c r="BR1134" s="5" t="n"/>
      <c r="BS1134" s="5" t="n"/>
      <c r="BT1134" s="5" t="n"/>
      <c r="BU1134" s="5" t="n"/>
      <c r="BV1134" s="5" t="n"/>
      <c r="BW1134" s="5" t="n"/>
      <c r="BX1134" s="5" t="n"/>
      <c r="BY1134" s="5" t="n"/>
      <c r="BZ1134" s="5" t="n"/>
      <c r="CA1134" s="5" t="n"/>
      <c r="CB1134" s="5" t="n"/>
      <c r="CC1134" s="5" t="n"/>
      <c r="CD1134" s="5" t="n"/>
      <c r="CE1134" s="5" t="n"/>
      <c r="CF1134" s="5" t="n"/>
    </row>
    <row r="1135">
      <c r="A1135" s="171" t="n"/>
      <c r="B1135" s="171" t="n"/>
      <c r="C1135" s="171" t="n"/>
      <c r="D1135" s="170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  <c r="AN1135" s="5" t="n"/>
      <c r="AO1135" s="5" t="n"/>
      <c r="AP1135" s="5" t="n"/>
      <c r="AQ1135" s="5" t="n"/>
      <c r="AR1135" s="5" t="n"/>
      <c r="AS1135" s="5" t="n"/>
      <c r="AT1135" s="5" t="n"/>
      <c r="AU1135" s="5" t="n"/>
      <c r="AV1135" s="5" t="n"/>
      <c r="AW1135" s="5" t="n"/>
      <c r="AX1135" s="5" t="n"/>
      <c r="AY1135" s="5" t="n"/>
      <c r="AZ1135" s="5" t="n"/>
      <c r="BA1135" s="5" t="n"/>
      <c r="BB1135" s="5" t="n"/>
      <c r="BC1135" s="5" t="n"/>
      <c r="BD1135" s="5" t="n"/>
      <c r="BE1135" s="5" t="n"/>
      <c r="BF1135" s="5" t="n"/>
      <c r="BG1135" s="5" t="n"/>
      <c r="BH1135" s="5" t="n"/>
      <c r="BI1135" s="5" t="n"/>
      <c r="BJ1135" s="5" t="n"/>
      <c r="BK1135" s="5" t="n"/>
      <c r="BL1135" s="5" t="n"/>
      <c r="BM1135" s="5" t="n"/>
      <c r="BN1135" s="5" t="n"/>
      <c r="BO1135" s="5" t="n"/>
      <c r="BP1135" s="5" t="n"/>
      <c r="BQ1135" s="5" t="n"/>
      <c r="BR1135" s="5" t="n"/>
      <c r="BS1135" s="5" t="n"/>
      <c r="BT1135" s="5" t="n"/>
      <c r="BU1135" s="5" t="n"/>
      <c r="BV1135" s="5" t="n"/>
      <c r="BW1135" s="5" t="n"/>
      <c r="BX1135" s="5" t="n"/>
      <c r="BY1135" s="5" t="n"/>
      <c r="BZ1135" s="5" t="n"/>
      <c r="CA1135" s="5" t="n"/>
      <c r="CB1135" s="5" t="n"/>
      <c r="CC1135" s="5" t="n"/>
      <c r="CD1135" s="5" t="n"/>
      <c r="CE1135" s="5" t="n"/>
      <c r="CF1135" s="5" t="n"/>
    </row>
    <row r="1136">
      <c r="A1136" s="171" t="n"/>
      <c r="B1136" s="171" t="n"/>
      <c r="C1136" s="171" t="n"/>
      <c r="D1136" s="170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  <c r="AN1136" s="5" t="n"/>
      <c r="AO1136" s="5" t="n"/>
      <c r="AP1136" s="5" t="n"/>
      <c r="AQ1136" s="5" t="n"/>
      <c r="AR1136" s="5" t="n"/>
      <c r="AS1136" s="5" t="n"/>
      <c r="AT1136" s="5" t="n"/>
      <c r="AU1136" s="5" t="n"/>
      <c r="AV1136" s="5" t="n"/>
      <c r="AW1136" s="5" t="n"/>
      <c r="AX1136" s="5" t="n"/>
      <c r="AY1136" s="5" t="n"/>
      <c r="AZ1136" s="5" t="n"/>
      <c r="BA1136" s="5" t="n"/>
      <c r="BB1136" s="5" t="n"/>
      <c r="BC1136" s="5" t="n"/>
      <c r="BD1136" s="5" t="n"/>
      <c r="BE1136" s="5" t="n"/>
      <c r="BF1136" s="5" t="n"/>
      <c r="BG1136" s="5" t="n"/>
      <c r="BH1136" s="5" t="n"/>
      <c r="BI1136" s="5" t="n"/>
      <c r="BJ1136" s="5" t="n"/>
      <c r="BK1136" s="5" t="n"/>
      <c r="BL1136" s="5" t="n"/>
      <c r="BM1136" s="5" t="n"/>
      <c r="BN1136" s="5" t="n"/>
      <c r="BO1136" s="5" t="n"/>
      <c r="BP1136" s="5" t="n"/>
      <c r="BQ1136" s="5" t="n"/>
      <c r="BR1136" s="5" t="n"/>
      <c r="BS1136" s="5" t="n"/>
      <c r="BT1136" s="5" t="n"/>
      <c r="BU1136" s="5" t="n"/>
      <c r="BV1136" s="5" t="n"/>
      <c r="BW1136" s="5" t="n"/>
      <c r="BX1136" s="5" t="n"/>
      <c r="BY1136" s="5" t="n"/>
      <c r="BZ1136" s="5" t="n"/>
      <c r="CA1136" s="5" t="n"/>
      <c r="CB1136" s="5" t="n"/>
      <c r="CC1136" s="5" t="n"/>
      <c r="CD1136" s="5" t="n"/>
      <c r="CE1136" s="5" t="n"/>
      <c r="CF1136" s="5" t="n"/>
    </row>
    <row r="1137">
      <c r="A1137" s="171" t="n"/>
      <c r="B1137" s="171" t="n"/>
      <c r="C1137" s="171" t="n"/>
      <c r="D1137" s="170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  <c r="AN1137" s="5" t="n"/>
      <c r="AO1137" s="5" t="n"/>
      <c r="AP1137" s="5" t="n"/>
      <c r="AQ1137" s="5" t="n"/>
      <c r="AR1137" s="5" t="n"/>
      <c r="AS1137" s="5" t="n"/>
      <c r="AT1137" s="5" t="n"/>
      <c r="AU1137" s="5" t="n"/>
      <c r="AV1137" s="5" t="n"/>
      <c r="AW1137" s="5" t="n"/>
      <c r="AX1137" s="5" t="n"/>
      <c r="AY1137" s="5" t="n"/>
      <c r="AZ1137" s="5" t="n"/>
      <c r="BA1137" s="5" t="n"/>
      <c r="BB1137" s="5" t="n"/>
      <c r="BC1137" s="5" t="n"/>
      <c r="BD1137" s="5" t="n"/>
      <c r="BE1137" s="5" t="n"/>
      <c r="BF1137" s="5" t="n"/>
      <c r="BG1137" s="5" t="n"/>
      <c r="BH1137" s="5" t="n"/>
      <c r="BI1137" s="5" t="n"/>
      <c r="BJ1137" s="5" t="n"/>
      <c r="BK1137" s="5" t="n"/>
      <c r="BL1137" s="5" t="n"/>
      <c r="BM1137" s="5" t="n"/>
      <c r="BN1137" s="5" t="n"/>
      <c r="BO1137" s="5" t="n"/>
      <c r="BP1137" s="5" t="n"/>
      <c r="BQ1137" s="5" t="n"/>
      <c r="BR1137" s="5" t="n"/>
      <c r="BS1137" s="5" t="n"/>
      <c r="BT1137" s="5" t="n"/>
      <c r="BU1137" s="5" t="n"/>
      <c r="BV1137" s="5" t="n"/>
      <c r="BW1137" s="5" t="n"/>
      <c r="BX1137" s="5" t="n"/>
      <c r="BY1137" s="5" t="n"/>
      <c r="BZ1137" s="5" t="n"/>
      <c r="CA1137" s="5" t="n"/>
      <c r="CB1137" s="5" t="n"/>
      <c r="CC1137" s="5" t="n"/>
      <c r="CD1137" s="5" t="n"/>
      <c r="CE1137" s="5" t="n"/>
      <c r="CF1137" s="5" t="n"/>
    </row>
    <row r="1138">
      <c r="A1138" s="171" t="n"/>
      <c r="B1138" s="171" t="n"/>
      <c r="C1138" s="171" t="n"/>
      <c r="D1138" s="170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  <c r="AN1138" s="5" t="n"/>
      <c r="AO1138" s="5" t="n"/>
      <c r="AP1138" s="5" t="n"/>
      <c r="AQ1138" s="5" t="n"/>
      <c r="AR1138" s="5" t="n"/>
      <c r="AS1138" s="5" t="n"/>
      <c r="AT1138" s="5" t="n"/>
      <c r="AU1138" s="5" t="n"/>
      <c r="AV1138" s="5" t="n"/>
      <c r="AW1138" s="5" t="n"/>
      <c r="AX1138" s="5" t="n"/>
      <c r="AY1138" s="5" t="n"/>
      <c r="AZ1138" s="5" t="n"/>
      <c r="BA1138" s="5" t="n"/>
      <c r="BB1138" s="5" t="n"/>
      <c r="BC1138" s="5" t="n"/>
      <c r="BD1138" s="5" t="n"/>
      <c r="BE1138" s="5" t="n"/>
      <c r="BF1138" s="5" t="n"/>
      <c r="BG1138" s="5" t="n"/>
      <c r="BH1138" s="5" t="n"/>
      <c r="BI1138" s="5" t="n"/>
      <c r="BJ1138" s="5" t="n"/>
      <c r="BK1138" s="5" t="n"/>
      <c r="BL1138" s="5" t="n"/>
      <c r="BM1138" s="5" t="n"/>
      <c r="BN1138" s="5" t="n"/>
      <c r="BO1138" s="5" t="n"/>
      <c r="BP1138" s="5" t="n"/>
      <c r="BQ1138" s="5" t="n"/>
      <c r="BR1138" s="5" t="n"/>
      <c r="BS1138" s="5" t="n"/>
      <c r="BT1138" s="5" t="n"/>
      <c r="BU1138" s="5" t="n"/>
      <c r="BV1138" s="5" t="n"/>
      <c r="BW1138" s="5" t="n"/>
      <c r="BX1138" s="5" t="n"/>
      <c r="BY1138" s="5" t="n"/>
      <c r="BZ1138" s="5" t="n"/>
      <c r="CA1138" s="5" t="n"/>
      <c r="CB1138" s="5" t="n"/>
      <c r="CC1138" s="5" t="n"/>
      <c r="CD1138" s="5" t="n"/>
      <c r="CE1138" s="5" t="n"/>
      <c r="CF1138" s="5" t="n"/>
    </row>
    <row r="1139">
      <c r="A1139" s="171" t="n"/>
      <c r="B1139" s="171" t="n"/>
      <c r="C1139" s="171" t="n"/>
      <c r="D1139" s="170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  <c r="AN1139" s="5" t="n"/>
      <c r="AO1139" s="5" t="n"/>
      <c r="AP1139" s="5" t="n"/>
      <c r="AQ1139" s="5" t="n"/>
      <c r="AR1139" s="5" t="n"/>
      <c r="AS1139" s="5" t="n"/>
      <c r="AT1139" s="5" t="n"/>
      <c r="AU1139" s="5" t="n"/>
      <c r="AV1139" s="5" t="n"/>
      <c r="AW1139" s="5" t="n"/>
      <c r="AX1139" s="5" t="n"/>
      <c r="AY1139" s="5" t="n"/>
      <c r="AZ1139" s="5" t="n"/>
      <c r="BA1139" s="5" t="n"/>
      <c r="BB1139" s="5" t="n"/>
      <c r="BC1139" s="5" t="n"/>
      <c r="BD1139" s="5" t="n"/>
      <c r="BE1139" s="5" t="n"/>
      <c r="BF1139" s="5" t="n"/>
      <c r="BG1139" s="5" t="n"/>
      <c r="BH1139" s="5" t="n"/>
      <c r="BI1139" s="5" t="n"/>
      <c r="BJ1139" s="5" t="n"/>
      <c r="BK1139" s="5" t="n"/>
      <c r="BL1139" s="5" t="n"/>
      <c r="BM1139" s="5" t="n"/>
      <c r="BN1139" s="5" t="n"/>
      <c r="BO1139" s="5" t="n"/>
      <c r="BP1139" s="5" t="n"/>
      <c r="BQ1139" s="5" t="n"/>
      <c r="BR1139" s="5" t="n"/>
      <c r="BS1139" s="5" t="n"/>
      <c r="BT1139" s="5" t="n"/>
      <c r="BU1139" s="5" t="n"/>
      <c r="BV1139" s="5" t="n"/>
      <c r="BW1139" s="5" t="n"/>
      <c r="BX1139" s="5" t="n"/>
      <c r="BY1139" s="5" t="n"/>
      <c r="BZ1139" s="5" t="n"/>
      <c r="CA1139" s="5" t="n"/>
      <c r="CB1139" s="5" t="n"/>
      <c r="CC1139" s="5" t="n"/>
      <c r="CD1139" s="5" t="n"/>
      <c r="CE1139" s="5" t="n"/>
      <c r="CF1139" s="5" t="n"/>
    </row>
    <row r="1140">
      <c r="A1140" s="171" t="n"/>
      <c r="B1140" s="171" t="n"/>
      <c r="C1140" s="171" t="n"/>
      <c r="D1140" s="170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  <c r="AN1140" s="5" t="n"/>
      <c r="AO1140" s="5" t="n"/>
      <c r="AP1140" s="5" t="n"/>
      <c r="AQ1140" s="5" t="n"/>
      <c r="AR1140" s="5" t="n"/>
      <c r="AS1140" s="5" t="n"/>
      <c r="AT1140" s="5" t="n"/>
      <c r="AU1140" s="5" t="n"/>
      <c r="AV1140" s="5" t="n"/>
      <c r="AW1140" s="5" t="n"/>
      <c r="AX1140" s="5" t="n"/>
      <c r="AY1140" s="5" t="n"/>
      <c r="AZ1140" s="5" t="n"/>
      <c r="BA1140" s="5" t="n"/>
      <c r="BB1140" s="5" t="n"/>
      <c r="BC1140" s="5" t="n"/>
      <c r="BD1140" s="5" t="n"/>
      <c r="BE1140" s="5" t="n"/>
      <c r="BF1140" s="5" t="n"/>
      <c r="BG1140" s="5" t="n"/>
      <c r="BH1140" s="5" t="n"/>
      <c r="BI1140" s="5" t="n"/>
      <c r="BJ1140" s="5" t="n"/>
      <c r="BK1140" s="5" t="n"/>
      <c r="BL1140" s="5" t="n"/>
      <c r="BM1140" s="5" t="n"/>
      <c r="BN1140" s="5" t="n"/>
      <c r="BO1140" s="5" t="n"/>
      <c r="BP1140" s="5" t="n"/>
      <c r="BQ1140" s="5" t="n"/>
      <c r="BR1140" s="5" t="n"/>
      <c r="BS1140" s="5" t="n"/>
      <c r="BT1140" s="5" t="n"/>
      <c r="BU1140" s="5" t="n"/>
      <c r="BV1140" s="5" t="n"/>
      <c r="BW1140" s="5" t="n"/>
      <c r="BX1140" s="5" t="n"/>
      <c r="BY1140" s="5" t="n"/>
      <c r="BZ1140" s="5" t="n"/>
      <c r="CA1140" s="5" t="n"/>
      <c r="CB1140" s="5" t="n"/>
      <c r="CC1140" s="5" t="n"/>
      <c r="CD1140" s="5" t="n"/>
      <c r="CE1140" s="5" t="n"/>
      <c r="CF1140" s="5" t="n"/>
    </row>
    <row r="1141">
      <c r="A1141" s="171" t="n"/>
      <c r="B1141" s="171" t="n"/>
      <c r="C1141" s="171" t="n"/>
      <c r="D1141" s="170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  <c r="AN1141" s="5" t="n"/>
      <c r="AO1141" s="5" t="n"/>
      <c r="AP1141" s="5" t="n"/>
      <c r="AQ1141" s="5" t="n"/>
      <c r="AR1141" s="5" t="n"/>
      <c r="AS1141" s="5" t="n"/>
      <c r="AT1141" s="5" t="n"/>
      <c r="AU1141" s="5" t="n"/>
      <c r="AV1141" s="5" t="n"/>
      <c r="AW1141" s="5" t="n"/>
      <c r="AX1141" s="5" t="n"/>
      <c r="AY1141" s="5" t="n"/>
      <c r="AZ1141" s="5" t="n"/>
      <c r="BA1141" s="5" t="n"/>
      <c r="BB1141" s="5" t="n"/>
      <c r="BC1141" s="5" t="n"/>
      <c r="BD1141" s="5" t="n"/>
      <c r="BE1141" s="5" t="n"/>
      <c r="BF1141" s="5" t="n"/>
      <c r="BG1141" s="5" t="n"/>
      <c r="BH1141" s="5" t="n"/>
      <c r="BI1141" s="5" t="n"/>
      <c r="BJ1141" s="5" t="n"/>
      <c r="BK1141" s="5" t="n"/>
      <c r="BL1141" s="5" t="n"/>
      <c r="BM1141" s="5" t="n"/>
      <c r="BN1141" s="5" t="n"/>
      <c r="BO1141" s="5" t="n"/>
      <c r="BP1141" s="5" t="n"/>
      <c r="BQ1141" s="5" t="n"/>
      <c r="BR1141" s="5" t="n"/>
      <c r="BS1141" s="5" t="n"/>
      <c r="BT1141" s="5" t="n"/>
      <c r="BU1141" s="5" t="n"/>
      <c r="BV1141" s="5" t="n"/>
      <c r="BW1141" s="5" t="n"/>
      <c r="BX1141" s="5" t="n"/>
      <c r="BY1141" s="5" t="n"/>
      <c r="BZ1141" s="5" t="n"/>
      <c r="CA1141" s="5" t="n"/>
      <c r="CB1141" s="5" t="n"/>
      <c r="CC1141" s="5" t="n"/>
      <c r="CD1141" s="5" t="n"/>
      <c r="CE1141" s="5" t="n"/>
      <c r="CF1141" s="5" t="n"/>
    </row>
    <row r="1142">
      <c r="A1142" s="171" t="n"/>
      <c r="B1142" s="171" t="n"/>
      <c r="C1142" s="171" t="n"/>
      <c r="D1142" s="170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  <c r="AN1142" s="5" t="n"/>
      <c r="AO1142" s="5" t="n"/>
      <c r="AP1142" s="5" t="n"/>
      <c r="AQ1142" s="5" t="n"/>
      <c r="AR1142" s="5" t="n"/>
      <c r="AS1142" s="5" t="n"/>
      <c r="AT1142" s="5" t="n"/>
      <c r="AU1142" s="5" t="n"/>
      <c r="AV1142" s="5" t="n"/>
      <c r="AW1142" s="5" t="n"/>
      <c r="AX1142" s="5" t="n"/>
      <c r="AY1142" s="5" t="n"/>
      <c r="AZ1142" s="5" t="n"/>
      <c r="BA1142" s="5" t="n"/>
      <c r="BB1142" s="5" t="n"/>
      <c r="BC1142" s="5" t="n"/>
      <c r="BD1142" s="5" t="n"/>
      <c r="BE1142" s="5" t="n"/>
      <c r="BF1142" s="5" t="n"/>
      <c r="BG1142" s="5" t="n"/>
      <c r="BH1142" s="5" t="n"/>
      <c r="BI1142" s="5" t="n"/>
      <c r="BJ1142" s="5" t="n"/>
      <c r="BK1142" s="5" t="n"/>
      <c r="BL1142" s="5" t="n"/>
      <c r="BM1142" s="5" t="n"/>
      <c r="BN1142" s="5" t="n"/>
      <c r="BO1142" s="5" t="n"/>
      <c r="BP1142" s="5" t="n"/>
      <c r="BQ1142" s="5" t="n"/>
      <c r="BR1142" s="5" t="n"/>
      <c r="BS1142" s="5" t="n"/>
      <c r="BT1142" s="5" t="n"/>
      <c r="BU1142" s="5" t="n"/>
      <c r="BV1142" s="5" t="n"/>
      <c r="BW1142" s="5" t="n"/>
      <c r="BX1142" s="5" t="n"/>
      <c r="BY1142" s="5" t="n"/>
      <c r="BZ1142" s="5" t="n"/>
      <c r="CA1142" s="5" t="n"/>
      <c r="CB1142" s="5" t="n"/>
      <c r="CC1142" s="5" t="n"/>
      <c r="CD1142" s="5" t="n"/>
      <c r="CE1142" s="5" t="n"/>
      <c r="CF1142" s="5" t="n"/>
    </row>
    <row r="1143">
      <c r="A1143" s="171" t="n"/>
      <c r="B1143" s="171" t="n"/>
      <c r="C1143" s="171" t="n"/>
      <c r="D1143" s="170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  <c r="AN1143" s="5" t="n"/>
      <c r="AO1143" s="5" t="n"/>
      <c r="AP1143" s="5" t="n"/>
      <c r="AQ1143" s="5" t="n"/>
      <c r="AR1143" s="5" t="n"/>
      <c r="AS1143" s="5" t="n"/>
      <c r="AT1143" s="5" t="n"/>
      <c r="AU1143" s="5" t="n"/>
      <c r="AV1143" s="5" t="n"/>
      <c r="AW1143" s="5" t="n"/>
      <c r="AX1143" s="5" t="n"/>
      <c r="AY1143" s="5" t="n"/>
      <c r="AZ1143" s="5" t="n"/>
      <c r="BA1143" s="5" t="n"/>
      <c r="BB1143" s="5" t="n"/>
      <c r="BC1143" s="5" t="n"/>
      <c r="BD1143" s="5" t="n"/>
      <c r="BE1143" s="5" t="n"/>
      <c r="BF1143" s="5" t="n"/>
      <c r="BG1143" s="5" t="n"/>
      <c r="BH1143" s="5" t="n"/>
      <c r="BI1143" s="5" t="n"/>
      <c r="BJ1143" s="5" t="n"/>
      <c r="BK1143" s="5" t="n"/>
      <c r="BL1143" s="5" t="n"/>
      <c r="BM1143" s="5" t="n"/>
      <c r="BN1143" s="5" t="n"/>
      <c r="BO1143" s="5" t="n"/>
      <c r="BP1143" s="5" t="n"/>
      <c r="BQ1143" s="5" t="n"/>
      <c r="BR1143" s="5" t="n"/>
      <c r="BS1143" s="5" t="n"/>
      <c r="BT1143" s="5" t="n"/>
      <c r="BU1143" s="5" t="n"/>
      <c r="BV1143" s="5" t="n"/>
      <c r="BW1143" s="5" t="n"/>
      <c r="BX1143" s="5" t="n"/>
      <c r="BY1143" s="5" t="n"/>
      <c r="BZ1143" s="5" t="n"/>
      <c r="CA1143" s="5" t="n"/>
      <c r="CB1143" s="5" t="n"/>
      <c r="CC1143" s="5" t="n"/>
      <c r="CD1143" s="5" t="n"/>
      <c r="CE1143" s="5" t="n"/>
      <c r="CF1143" s="5" t="n"/>
    </row>
    <row r="1144">
      <c r="A1144" s="171" t="n"/>
      <c r="B1144" s="171" t="n"/>
      <c r="C1144" s="171" t="n"/>
      <c r="D1144" s="170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  <c r="AN1144" s="5" t="n"/>
      <c r="AO1144" s="5" t="n"/>
      <c r="AP1144" s="5" t="n"/>
      <c r="AQ1144" s="5" t="n"/>
      <c r="AR1144" s="5" t="n"/>
      <c r="AS1144" s="5" t="n"/>
      <c r="AT1144" s="5" t="n"/>
      <c r="AU1144" s="5" t="n"/>
      <c r="AV1144" s="5" t="n"/>
      <c r="AW1144" s="5" t="n"/>
      <c r="AX1144" s="5" t="n"/>
      <c r="AY1144" s="5" t="n"/>
      <c r="AZ1144" s="5" t="n"/>
      <c r="BA1144" s="5" t="n"/>
      <c r="BB1144" s="5" t="n"/>
      <c r="BC1144" s="5" t="n"/>
      <c r="BD1144" s="5" t="n"/>
      <c r="BE1144" s="5" t="n"/>
      <c r="BF1144" s="5" t="n"/>
      <c r="BG1144" s="5" t="n"/>
      <c r="BH1144" s="5" t="n"/>
      <c r="BI1144" s="5" t="n"/>
      <c r="BJ1144" s="5" t="n"/>
      <c r="BK1144" s="5" t="n"/>
      <c r="BL1144" s="5" t="n"/>
      <c r="BM1144" s="5" t="n"/>
      <c r="BN1144" s="5" t="n"/>
      <c r="BO1144" s="5" t="n"/>
      <c r="BP1144" s="5" t="n"/>
      <c r="BQ1144" s="5" t="n"/>
      <c r="BR1144" s="5" t="n"/>
      <c r="BS1144" s="5" t="n"/>
      <c r="BT1144" s="5" t="n"/>
      <c r="BU1144" s="5" t="n"/>
      <c r="BV1144" s="5" t="n"/>
      <c r="BW1144" s="5" t="n"/>
      <c r="BX1144" s="5" t="n"/>
      <c r="BY1144" s="5" t="n"/>
      <c r="BZ1144" s="5" t="n"/>
      <c r="CA1144" s="5" t="n"/>
      <c r="CB1144" s="5" t="n"/>
      <c r="CC1144" s="5" t="n"/>
      <c r="CD1144" s="5" t="n"/>
      <c r="CE1144" s="5" t="n"/>
      <c r="CF1144" s="5" t="n"/>
    </row>
    <row r="1145">
      <c r="A1145" s="171" t="n"/>
      <c r="B1145" s="171" t="n"/>
      <c r="C1145" s="171" t="n"/>
      <c r="D1145" s="170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  <c r="AN1145" s="5" t="n"/>
      <c r="AO1145" s="5" t="n"/>
      <c r="AP1145" s="5" t="n"/>
      <c r="AQ1145" s="5" t="n"/>
      <c r="AR1145" s="5" t="n"/>
      <c r="AS1145" s="5" t="n"/>
      <c r="AT1145" s="5" t="n"/>
      <c r="AU1145" s="5" t="n"/>
      <c r="AV1145" s="5" t="n"/>
      <c r="AW1145" s="5" t="n"/>
      <c r="AX1145" s="5" t="n"/>
      <c r="AY1145" s="5" t="n"/>
      <c r="AZ1145" s="5" t="n"/>
      <c r="BA1145" s="5" t="n"/>
      <c r="BB1145" s="5" t="n"/>
      <c r="BC1145" s="5" t="n"/>
      <c r="BD1145" s="5" t="n"/>
      <c r="BE1145" s="5" t="n"/>
      <c r="BF1145" s="5" t="n"/>
      <c r="BG1145" s="5" t="n"/>
      <c r="BH1145" s="5" t="n"/>
      <c r="BI1145" s="5" t="n"/>
      <c r="BJ1145" s="5" t="n"/>
      <c r="BK1145" s="5" t="n"/>
      <c r="BL1145" s="5" t="n"/>
      <c r="BM1145" s="5" t="n"/>
      <c r="BN1145" s="5" t="n"/>
      <c r="BO1145" s="5" t="n"/>
      <c r="BP1145" s="5" t="n"/>
      <c r="BQ1145" s="5" t="n"/>
      <c r="BR1145" s="5" t="n"/>
      <c r="BS1145" s="5" t="n"/>
      <c r="BT1145" s="5" t="n"/>
      <c r="BU1145" s="5" t="n"/>
      <c r="BV1145" s="5" t="n"/>
      <c r="BW1145" s="5" t="n"/>
      <c r="BX1145" s="5" t="n"/>
      <c r="BY1145" s="5" t="n"/>
      <c r="BZ1145" s="5" t="n"/>
      <c r="CA1145" s="5" t="n"/>
      <c r="CB1145" s="5" t="n"/>
      <c r="CC1145" s="5" t="n"/>
      <c r="CD1145" s="5" t="n"/>
      <c r="CE1145" s="5" t="n"/>
      <c r="CF1145" s="5" t="n"/>
    </row>
    <row r="1146">
      <c r="A1146" s="171" t="n"/>
      <c r="B1146" s="171" t="n"/>
      <c r="C1146" s="171" t="n"/>
      <c r="D1146" s="170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  <c r="AN1146" s="5" t="n"/>
      <c r="AO1146" s="5" t="n"/>
      <c r="AP1146" s="5" t="n"/>
      <c r="AQ1146" s="5" t="n"/>
      <c r="AR1146" s="5" t="n"/>
      <c r="AS1146" s="5" t="n"/>
      <c r="AT1146" s="5" t="n"/>
      <c r="AU1146" s="5" t="n"/>
      <c r="AV1146" s="5" t="n"/>
      <c r="AW1146" s="5" t="n"/>
      <c r="AX1146" s="5" t="n"/>
      <c r="AY1146" s="5" t="n"/>
      <c r="AZ1146" s="5" t="n"/>
      <c r="BA1146" s="5" t="n"/>
      <c r="BB1146" s="5" t="n"/>
      <c r="BC1146" s="5" t="n"/>
      <c r="BD1146" s="5" t="n"/>
      <c r="BE1146" s="5" t="n"/>
      <c r="BF1146" s="5" t="n"/>
      <c r="BG1146" s="5" t="n"/>
      <c r="BH1146" s="5" t="n"/>
      <c r="BI1146" s="5" t="n"/>
      <c r="BJ1146" s="5" t="n"/>
      <c r="BK1146" s="5" t="n"/>
      <c r="BL1146" s="5" t="n"/>
      <c r="BM1146" s="5" t="n"/>
      <c r="BN1146" s="5" t="n"/>
      <c r="BO1146" s="5" t="n"/>
      <c r="BP1146" s="5" t="n"/>
      <c r="BQ1146" s="5" t="n"/>
      <c r="BR1146" s="5" t="n"/>
      <c r="BS1146" s="5" t="n"/>
      <c r="BT1146" s="5" t="n"/>
      <c r="BU1146" s="5" t="n"/>
      <c r="BV1146" s="5" t="n"/>
      <c r="BW1146" s="5" t="n"/>
      <c r="BX1146" s="5" t="n"/>
      <c r="BY1146" s="5" t="n"/>
      <c r="BZ1146" s="5" t="n"/>
      <c r="CA1146" s="5" t="n"/>
      <c r="CB1146" s="5" t="n"/>
      <c r="CC1146" s="5" t="n"/>
      <c r="CD1146" s="5" t="n"/>
      <c r="CE1146" s="5" t="n"/>
      <c r="CF1146" s="5" t="n"/>
    </row>
    <row r="1147">
      <c r="A1147" s="171" t="n"/>
      <c r="B1147" s="171" t="n"/>
      <c r="C1147" s="171" t="n"/>
      <c r="D1147" s="170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  <c r="AN1147" s="5" t="n"/>
      <c r="AO1147" s="5" t="n"/>
      <c r="AP1147" s="5" t="n"/>
      <c r="AQ1147" s="5" t="n"/>
      <c r="AR1147" s="5" t="n"/>
      <c r="AS1147" s="5" t="n"/>
      <c r="AT1147" s="5" t="n"/>
      <c r="AU1147" s="5" t="n"/>
      <c r="AV1147" s="5" t="n"/>
      <c r="AW1147" s="5" t="n"/>
      <c r="AX1147" s="5" t="n"/>
      <c r="AY1147" s="5" t="n"/>
      <c r="AZ1147" s="5" t="n"/>
      <c r="BA1147" s="5" t="n"/>
      <c r="BB1147" s="5" t="n"/>
      <c r="BC1147" s="5" t="n"/>
      <c r="BD1147" s="5" t="n"/>
      <c r="BE1147" s="5" t="n"/>
      <c r="BF1147" s="5" t="n"/>
      <c r="BG1147" s="5" t="n"/>
      <c r="BH1147" s="5" t="n"/>
      <c r="BI1147" s="5" t="n"/>
      <c r="BJ1147" s="5" t="n"/>
      <c r="BK1147" s="5" t="n"/>
      <c r="BL1147" s="5" t="n"/>
      <c r="BM1147" s="5" t="n"/>
      <c r="BN1147" s="5" t="n"/>
      <c r="BO1147" s="5" t="n"/>
      <c r="BP1147" s="5" t="n"/>
      <c r="BQ1147" s="5" t="n"/>
      <c r="BR1147" s="5" t="n"/>
      <c r="BS1147" s="5" t="n"/>
      <c r="BT1147" s="5" t="n"/>
      <c r="BU1147" s="5" t="n"/>
      <c r="BV1147" s="5" t="n"/>
      <c r="BW1147" s="5" t="n"/>
      <c r="BX1147" s="5" t="n"/>
      <c r="BY1147" s="5" t="n"/>
      <c r="BZ1147" s="5" t="n"/>
      <c r="CA1147" s="5" t="n"/>
      <c r="CB1147" s="5" t="n"/>
      <c r="CC1147" s="5" t="n"/>
      <c r="CD1147" s="5" t="n"/>
      <c r="CE1147" s="5" t="n"/>
      <c r="CF1147" s="5" t="n"/>
    </row>
    <row r="1148">
      <c r="A1148" s="171" t="n"/>
      <c r="B1148" s="171" t="n"/>
      <c r="C1148" s="171" t="n"/>
      <c r="D1148" s="170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  <c r="AN1148" s="5" t="n"/>
      <c r="AO1148" s="5" t="n"/>
      <c r="AP1148" s="5" t="n"/>
      <c r="AQ1148" s="5" t="n"/>
      <c r="AR1148" s="5" t="n"/>
      <c r="AS1148" s="5" t="n"/>
      <c r="AT1148" s="5" t="n"/>
      <c r="AU1148" s="5" t="n"/>
      <c r="AV1148" s="5" t="n"/>
      <c r="AW1148" s="5" t="n"/>
      <c r="AX1148" s="5" t="n"/>
      <c r="AY1148" s="5" t="n"/>
      <c r="AZ1148" s="5" t="n"/>
      <c r="BA1148" s="5" t="n"/>
      <c r="BB1148" s="5" t="n"/>
      <c r="BC1148" s="5" t="n"/>
      <c r="BD1148" s="5" t="n"/>
      <c r="BE1148" s="5" t="n"/>
      <c r="BF1148" s="5" t="n"/>
      <c r="BG1148" s="5" t="n"/>
      <c r="BH1148" s="5" t="n"/>
      <c r="BI1148" s="5" t="n"/>
      <c r="BJ1148" s="5" t="n"/>
      <c r="BK1148" s="5" t="n"/>
      <c r="BL1148" s="5" t="n"/>
      <c r="BM1148" s="5" t="n"/>
      <c r="BN1148" s="5" t="n"/>
      <c r="BO1148" s="5" t="n"/>
      <c r="BP1148" s="5" t="n"/>
      <c r="BQ1148" s="5" t="n"/>
      <c r="BR1148" s="5" t="n"/>
      <c r="BS1148" s="5" t="n"/>
      <c r="BT1148" s="5" t="n"/>
      <c r="BU1148" s="5" t="n"/>
      <c r="BV1148" s="5" t="n"/>
      <c r="BW1148" s="5" t="n"/>
      <c r="BX1148" s="5" t="n"/>
      <c r="BY1148" s="5" t="n"/>
      <c r="BZ1148" s="5" t="n"/>
      <c r="CA1148" s="5" t="n"/>
      <c r="CB1148" s="5" t="n"/>
      <c r="CC1148" s="5" t="n"/>
      <c r="CD1148" s="5" t="n"/>
      <c r="CE1148" s="5" t="n"/>
      <c r="CF1148" s="5" t="n"/>
    </row>
    <row r="1149">
      <c r="A1149" s="171" t="n"/>
      <c r="B1149" s="171" t="n"/>
      <c r="C1149" s="171" t="n"/>
      <c r="D1149" s="170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  <c r="AN1149" s="5" t="n"/>
      <c r="AO1149" s="5" t="n"/>
      <c r="AP1149" s="5" t="n"/>
      <c r="AQ1149" s="5" t="n"/>
      <c r="AR1149" s="5" t="n"/>
      <c r="AS1149" s="5" t="n"/>
      <c r="AT1149" s="5" t="n"/>
      <c r="AU1149" s="5" t="n"/>
      <c r="AV1149" s="5" t="n"/>
      <c r="AW1149" s="5" t="n"/>
      <c r="AX1149" s="5" t="n"/>
      <c r="AY1149" s="5" t="n"/>
      <c r="AZ1149" s="5" t="n"/>
      <c r="BA1149" s="5" t="n"/>
      <c r="BB1149" s="5" t="n"/>
      <c r="BC1149" s="5" t="n"/>
      <c r="BD1149" s="5" t="n"/>
      <c r="BE1149" s="5" t="n"/>
      <c r="BF1149" s="5" t="n"/>
      <c r="BG1149" s="5" t="n"/>
      <c r="BH1149" s="5" t="n"/>
      <c r="BI1149" s="5" t="n"/>
      <c r="BJ1149" s="5" t="n"/>
      <c r="BK1149" s="5" t="n"/>
      <c r="BL1149" s="5" t="n"/>
      <c r="BM1149" s="5" t="n"/>
      <c r="BN1149" s="5" t="n"/>
      <c r="BO1149" s="5" t="n"/>
      <c r="BP1149" s="5" t="n"/>
      <c r="BQ1149" s="5" t="n"/>
      <c r="BR1149" s="5" t="n"/>
      <c r="BS1149" s="5" t="n"/>
      <c r="BT1149" s="5" t="n"/>
      <c r="BU1149" s="5" t="n"/>
      <c r="BV1149" s="5" t="n"/>
      <c r="BW1149" s="5" t="n"/>
      <c r="BX1149" s="5" t="n"/>
      <c r="BY1149" s="5" t="n"/>
      <c r="BZ1149" s="5" t="n"/>
      <c r="CA1149" s="5" t="n"/>
      <c r="CB1149" s="5" t="n"/>
      <c r="CC1149" s="5" t="n"/>
      <c r="CD1149" s="5" t="n"/>
      <c r="CE1149" s="5" t="n"/>
      <c r="CF1149" s="5" t="n"/>
    </row>
    <row r="1150">
      <c r="A1150" s="171" t="n"/>
      <c r="B1150" s="171" t="n"/>
      <c r="C1150" s="171" t="n"/>
      <c r="D1150" s="170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  <c r="AN1150" s="5" t="n"/>
      <c r="AO1150" s="5" t="n"/>
      <c r="AP1150" s="5" t="n"/>
      <c r="AQ1150" s="5" t="n"/>
      <c r="AR1150" s="5" t="n"/>
      <c r="AS1150" s="5" t="n"/>
      <c r="AT1150" s="5" t="n"/>
      <c r="AU1150" s="5" t="n"/>
      <c r="AV1150" s="5" t="n"/>
      <c r="AW1150" s="5" t="n"/>
      <c r="AX1150" s="5" t="n"/>
      <c r="AY1150" s="5" t="n"/>
      <c r="AZ1150" s="5" t="n"/>
      <c r="BA1150" s="5" t="n"/>
      <c r="BB1150" s="5" t="n"/>
      <c r="BC1150" s="5" t="n"/>
      <c r="BD1150" s="5" t="n"/>
      <c r="BE1150" s="5" t="n"/>
      <c r="BF1150" s="5" t="n"/>
      <c r="BG1150" s="5" t="n"/>
      <c r="BH1150" s="5" t="n"/>
      <c r="BI1150" s="5" t="n"/>
      <c r="BJ1150" s="5" t="n"/>
      <c r="BK1150" s="5" t="n"/>
      <c r="BL1150" s="5" t="n"/>
      <c r="BM1150" s="5" t="n"/>
      <c r="BN1150" s="5" t="n"/>
      <c r="BO1150" s="5" t="n"/>
      <c r="BP1150" s="5" t="n"/>
      <c r="BQ1150" s="5" t="n"/>
      <c r="BR1150" s="5" t="n"/>
      <c r="BS1150" s="5" t="n"/>
      <c r="BT1150" s="5" t="n"/>
      <c r="BU1150" s="5" t="n"/>
      <c r="BV1150" s="5" t="n"/>
      <c r="BW1150" s="5" t="n"/>
      <c r="BX1150" s="5" t="n"/>
      <c r="BY1150" s="5" t="n"/>
      <c r="BZ1150" s="5" t="n"/>
      <c r="CA1150" s="5" t="n"/>
      <c r="CB1150" s="5" t="n"/>
      <c r="CC1150" s="5" t="n"/>
      <c r="CD1150" s="5" t="n"/>
      <c r="CE1150" s="5" t="n"/>
      <c r="CF1150" s="5" t="n"/>
    </row>
    <row r="1151">
      <c r="A1151" s="171" t="n"/>
      <c r="B1151" s="171" t="n"/>
      <c r="C1151" s="171" t="n"/>
      <c r="D1151" s="170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  <c r="AN1151" s="5" t="n"/>
      <c r="AO1151" s="5" t="n"/>
      <c r="AP1151" s="5" t="n"/>
      <c r="AQ1151" s="5" t="n"/>
      <c r="AR1151" s="5" t="n"/>
      <c r="AS1151" s="5" t="n"/>
      <c r="AT1151" s="5" t="n"/>
      <c r="AU1151" s="5" t="n"/>
      <c r="AV1151" s="5" t="n"/>
      <c r="AW1151" s="5" t="n"/>
      <c r="AX1151" s="5" t="n"/>
      <c r="AY1151" s="5" t="n"/>
      <c r="AZ1151" s="5" t="n"/>
      <c r="BA1151" s="5" t="n"/>
      <c r="BB1151" s="5" t="n"/>
      <c r="BC1151" s="5" t="n"/>
      <c r="BD1151" s="5" t="n"/>
      <c r="BE1151" s="5" t="n"/>
      <c r="BF1151" s="5" t="n"/>
      <c r="BG1151" s="5" t="n"/>
      <c r="BH1151" s="5" t="n"/>
      <c r="BI1151" s="5" t="n"/>
      <c r="BJ1151" s="5" t="n"/>
      <c r="BK1151" s="5" t="n"/>
      <c r="BL1151" s="5" t="n"/>
      <c r="BM1151" s="5" t="n"/>
      <c r="BN1151" s="5" t="n"/>
      <c r="BO1151" s="5" t="n"/>
      <c r="BP1151" s="5" t="n"/>
      <c r="BQ1151" s="5" t="n"/>
      <c r="BR1151" s="5" t="n"/>
      <c r="BS1151" s="5" t="n"/>
      <c r="BT1151" s="5" t="n"/>
      <c r="BU1151" s="5" t="n"/>
      <c r="BV1151" s="5" t="n"/>
      <c r="BW1151" s="5" t="n"/>
      <c r="BX1151" s="5" t="n"/>
      <c r="BY1151" s="5" t="n"/>
      <c r="BZ1151" s="5" t="n"/>
      <c r="CA1151" s="5" t="n"/>
      <c r="CB1151" s="5" t="n"/>
      <c r="CC1151" s="5" t="n"/>
      <c r="CD1151" s="5" t="n"/>
      <c r="CE1151" s="5" t="n"/>
      <c r="CF1151" s="5" t="n"/>
    </row>
    <row r="1152">
      <c r="A1152" s="171" t="n"/>
      <c r="B1152" s="171" t="n"/>
      <c r="C1152" s="171" t="n"/>
      <c r="D1152" s="170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  <c r="AN1152" s="5" t="n"/>
      <c r="AO1152" s="5" t="n"/>
      <c r="AP1152" s="5" t="n"/>
      <c r="AQ1152" s="5" t="n"/>
      <c r="AR1152" s="5" t="n"/>
      <c r="AS1152" s="5" t="n"/>
      <c r="AT1152" s="5" t="n"/>
      <c r="AU1152" s="5" t="n"/>
      <c r="AV1152" s="5" t="n"/>
      <c r="AW1152" s="5" t="n"/>
      <c r="AX1152" s="5" t="n"/>
      <c r="AY1152" s="5" t="n"/>
      <c r="AZ1152" s="5" t="n"/>
      <c r="BA1152" s="5" t="n"/>
      <c r="BB1152" s="5" t="n"/>
      <c r="BC1152" s="5" t="n"/>
      <c r="BD1152" s="5" t="n"/>
      <c r="BE1152" s="5" t="n"/>
      <c r="BF1152" s="5" t="n"/>
      <c r="BG1152" s="5" t="n"/>
      <c r="BH1152" s="5" t="n"/>
      <c r="BI1152" s="5" t="n"/>
      <c r="BJ1152" s="5" t="n"/>
      <c r="BK1152" s="5" t="n"/>
      <c r="BL1152" s="5" t="n"/>
      <c r="BM1152" s="5" t="n"/>
      <c r="BN1152" s="5" t="n"/>
      <c r="BO1152" s="5" t="n"/>
      <c r="BP1152" s="5" t="n"/>
      <c r="BQ1152" s="5" t="n"/>
      <c r="BR1152" s="5" t="n"/>
      <c r="BS1152" s="5" t="n"/>
      <c r="BT1152" s="5" t="n"/>
      <c r="BU1152" s="5" t="n"/>
      <c r="BV1152" s="5" t="n"/>
      <c r="BW1152" s="5" t="n"/>
      <c r="BX1152" s="5" t="n"/>
      <c r="BY1152" s="5" t="n"/>
      <c r="BZ1152" s="5" t="n"/>
      <c r="CA1152" s="5" t="n"/>
      <c r="CB1152" s="5" t="n"/>
      <c r="CC1152" s="5" t="n"/>
      <c r="CD1152" s="5" t="n"/>
      <c r="CE1152" s="5" t="n"/>
      <c r="CF1152" s="5" t="n"/>
    </row>
    <row r="1153">
      <c r="A1153" s="171" t="n"/>
      <c r="B1153" s="171" t="n"/>
      <c r="C1153" s="171" t="n"/>
      <c r="D1153" s="170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  <c r="AN1153" s="5" t="n"/>
      <c r="AO1153" s="5" t="n"/>
      <c r="AP1153" s="5" t="n"/>
      <c r="AQ1153" s="5" t="n"/>
      <c r="AR1153" s="5" t="n"/>
      <c r="AS1153" s="5" t="n"/>
      <c r="AT1153" s="5" t="n"/>
      <c r="AU1153" s="5" t="n"/>
      <c r="AV1153" s="5" t="n"/>
      <c r="AW1153" s="5" t="n"/>
      <c r="AX1153" s="5" t="n"/>
      <c r="AY1153" s="5" t="n"/>
      <c r="AZ1153" s="5" t="n"/>
      <c r="BA1153" s="5" t="n"/>
      <c r="BB1153" s="5" t="n"/>
      <c r="BC1153" s="5" t="n"/>
      <c r="BD1153" s="5" t="n"/>
      <c r="BE1153" s="5" t="n"/>
      <c r="BF1153" s="5" t="n"/>
      <c r="BG1153" s="5" t="n"/>
      <c r="BH1153" s="5" t="n"/>
      <c r="BI1153" s="5" t="n"/>
      <c r="BJ1153" s="5" t="n"/>
      <c r="BK1153" s="5" t="n"/>
      <c r="BL1153" s="5" t="n"/>
      <c r="BM1153" s="5" t="n"/>
      <c r="BN1153" s="5" t="n"/>
      <c r="BO1153" s="5" t="n"/>
      <c r="BP1153" s="5" t="n"/>
      <c r="BQ1153" s="5" t="n"/>
      <c r="BR1153" s="5" t="n"/>
      <c r="BS1153" s="5" t="n"/>
      <c r="BT1153" s="5" t="n"/>
      <c r="BU1153" s="5" t="n"/>
      <c r="BV1153" s="5" t="n"/>
      <c r="BW1153" s="5" t="n"/>
      <c r="BX1153" s="5" t="n"/>
      <c r="BY1153" s="5" t="n"/>
      <c r="BZ1153" s="5" t="n"/>
      <c r="CA1153" s="5" t="n"/>
      <c r="CB1153" s="5" t="n"/>
      <c r="CC1153" s="5" t="n"/>
      <c r="CD1153" s="5" t="n"/>
      <c r="CE1153" s="5" t="n"/>
      <c r="CF1153" s="5" t="n"/>
    </row>
    <row r="1154">
      <c r="A1154" s="171" t="n"/>
      <c r="B1154" s="171" t="n"/>
      <c r="C1154" s="171" t="n"/>
      <c r="D1154" s="170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  <c r="AN1154" s="5" t="n"/>
      <c r="AO1154" s="5" t="n"/>
      <c r="AP1154" s="5" t="n"/>
      <c r="AQ1154" s="5" t="n"/>
      <c r="AR1154" s="5" t="n"/>
      <c r="AS1154" s="5" t="n"/>
      <c r="AT1154" s="5" t="n"/>
      <c r="AU1154" s="5" t="n"/>
      <c r="AV1154" s="5" t="n"/>
      <c r="AW1154" s="5" t="n"/>
      <c r="AX1154" s="5" t="n"/>
      <c r="AY1154" s="5" t="n"/>
      <c r="AZ1154" s="5" t="n"/>
      <c r="BA1154" s="5" t="n"/>
      <c r="BB1154" s="5" t="n"/>
      <c r="BC1154" s="5" t="n"/>
      <c r="BD1154" s="5" t="n"/>
      <c r="BE1154" s="5" t="n"/>
      <c r="BF1154" s="5" t="n"/>
      <c r="BG1154" s="5" t="n"/>
      <c r="BH1154" s="5" t="n"/>
      <c r="BI1154" s="5" t="n"/>
      <c r="BJ1154" s="5" t="n"/>
      <c r="BK1154" s="5" t="n"/>
      <c r="BL1154" s="5" t="n"/>
      <c r="BM1154" s="5" t="n"/>
      <c r="BN1154" s="5" t="n"/>
      <c r="BO1154" s="5" t="n"/>
      <c r="BP1154" s="5" t="n"/>
      <c r="BQ1154" s="5" t="n"/>
      <c r="BR1154" s="5" t="n"/>
      <c r="BS1154" s="5" t="n"/>
      <c r="BT1154" s="5" t="n"/>
      <c r="BU1154" s="5" t="n"/>
      <c r="BV1154" s="5" t="n"/>
      <c r="BW1154" s="5" t="n"/>
      <c r="BX1154" s="5" t="n"/>
      <c r="BY1154" s="5" t="n"/>
      <c r="BZ1154" s="5" t="n"/>
      <c r="CA1154" s="5" t="n"/>
      <c r="CB1154" s="5" t="n"/>
      <c r="CC1154" s="5" t="n"/>
      <c r="CD1154" s="5" t="n"/>
      <c r="CE1154" s="5" t="n"/>
      <c r="CF1154" s="5" t="n"/>
    </row>
    <row r="1155">
      <c r="A1155" s="171" t="n"/>
      <c r="B1155" s="171" t="n"/>
      <c r="C1155" s="171" t="n"/>
      <c r="D1155" s="170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  <c r="AN1155" s="5" t="n"/>
      <c r="AO1155" s="5" t="n"/>
      <c r="AP1155" s="5" t="n"/>
      <c r="AQ1155" s="5" t="n"/>
      <c r="AR1155" s="5" t="n"/>
      <c r="AS1155" s="5" t="n"/>
      <c r="AT1155" s="5" t="n"/>
      <c r="AU1155" s="5" t="n"/>
      <c r="AV1155" s="5" t="n"/>
      <c r="AW1155" s="5" t="n"/>
      <c r="AX1155" s="5" t="n"/>
      <c r="AY1155" s="5" t="n"/>
      <c r="AZ1155" s="5" t="n"/>
      <c r="BA1155" s="5" t="n"/>
      <c r="BB1155" s="5" t="n"/>
      <c r="BC1155" s="5" t="n"/>
      <c r="BD1155" s="5" t="n"/>
      <c r="BE1155" s="5" t="n"/>
      <c r="BF1155" s="5" t="n"/>
      <c r="BG1155" s="5" t="n"/>
      <c r="BH1155" s="5" t="n"/>
      <c r="BI1155" s="5" t="n"/>
      <c r="BJ1155" s="5" t="n"/>
      <c r="BK1155" s="5" t="n"/>
      <c r="BL1155" s="5" t="n"/>
      <c r="BM1155" s="5" t="n"/>
      <c r="BN1155" s="5" t="n"/>
      <c r="BO1155" s="5" t="n"/>
      <c r="BP1155" s="5" t="n"/>
      <c r="BQ1155" s="5" t="n"/>
      <c r="BR1155" s="5" t="n"/>
      <c r="BS1155" s="5" t="n"/>
      <c r="BT1155" s="5" t="n"/>
      <c r="BU1155" s="5" t="n"/>
      <c r="BV1155" s="5" t="n"/>
      <c r="BW1155" s="5" t="n"/>
      <c r="BX1155" s="5" t="n"/>
      <c r="BY1155" s="5" t="n"/>
      <c r="BZ1155" s="5" t="n"/>
      <c r="CA1155" s="5" t="n"/>
      <c r="CB1155" s="5" t="n"/>
      <c r="CC1155" s="5" t="n"/>
      <c r="CD1155" s="5" t="n"/>
      <c r="CE1155" s="5" t="n"/>
      <c r="CF1155" s="5" t="n"/>
    </row>
    <row r="1156">
      <c r="A1156" s="171" t="n"/>
      <c r="B1156" s="171" t="n"/>
      <c r="C1156" s="171" t="n"/>
      <c r="D1156" s="170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  <c r="AN1156" s="5" t="n"/>
      <c r="AO1156" s="5" t="n"/>
      <c r="AP1156" s="5" t="n"/>
      <c r="AQ1156" s="5" t="n"/>
      <c r="AR1156" s="5" t="n"/>
      <c r="AS1156" s="5" t="n"/>
      <c r="AT1156" s="5" t="n"/>
      <c r="AU1156" s="5" t="n"/>
      <c r="AV1156" s="5" t="n"/>
      <c r="AW1156" s="5" t="n"/>
      <c r="AX1156" s="5" t="n"/>
      <c r="AY1156" s="5" t="n"/>
      <c r="AZ1156" s="5" t="n"/>
      <c r="BA1156" s="5" t="n"/>
      <c r="BB1156" s="5" t="n"/>
      <c r="BC1156" s="5" t="n"/>
      <c r="BD1156" s="5" t="n"/>
      <c r="BE1156" s="5" t="n"/>
      <c r="BF1156" s="5" t="n"/>
      <c r="BG1156" s="5" t="n"/>
      <c r="BH1156" s="5" t="n"/>
      <c r="BI1156" s="5" t="n"/>
      <c r="BJ1156" s="5" t="n"/>
      <c r="BK1156" s="5" t="n"/>
      <c r="BL1156" s="5" t="n"/>
      <c r="BM1156" s="5" t="n"/>
      <c r="BN1156" s="5" t="n"/>
      <c r="BO1156" s="5" t="n"/>
      <c r="BP1156" s="5" t="n"/>
      <c r="BQ1156" s="5" t="n"/>
      <c r="BR1156" s="5" t="n"/>
      <c r="BS1156" s="5" t="n"/>
      <c r="BT1156" s="5" t="n"/>
      <c r="BU1156" s="5" t="n"/>
      <c r="BV1156" s="5" t="n"/>
      <c r="BW1156" s="5" t="n"/>
      <c r="BX1156" s="5" t="n"/>
      <c r="BY1156" s="5" t="n"/>
      <c r="BZ1156" s="5" t="n"/>
      <c r="CA1156" s="5" t="n"/>
      <c r="CB1156" s="5" t="n"/>
      <c r="CC1156" s="5" t="n"/>
      <c r="CD1156" s="5" t="n"/>
      <c r="CE1156" s="5" t="n"/>
      <c r="CF1156" s="5" t="n"/>
    </row>
    <row r="1157">
      <c r="A1157" s="171" t="n"/>
      <c r="B1157" s="171" t="n"/>
      <c r="C1157" s="171" t="n"/>
      <c r="D1157" s="170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  <c r="AN1157" s="5" t="n"/>
      <c r="AO1157" s="5" t="n"/>
      <c r="AP1157" s="5" t="n"/>
      <c r="AQ1157" s="5" t="n"/>
      <c r="AR1157" s="5" t="n"/>
      <c r="AS1157" s="5" t="n"/>
      <c r="AT1157" s="5" t="n"/>
      <c r="AU1157" s="5" t="n"/>
      <c r="AV1157" s="5" t="n"/>
      <c r="AW1157" s="5" t="n"/>
      <c r="AX1157" s="5" t="n"/>
      <c r="AY1157" s="5" t="n"/>
      <c r="AZ1157" s="5" t="n"/>
      <c r="BA1157" s="5" t="n"/>
      <c r="BB1157" s="5" t="n"/>
      <c r="BC1157" s="5" t="n"/>
      <c r="BD1157" s="5" t="n"/>
      <c r="BE1157" s="5" t="n"/>
      <c r="BF1157" s="5" t="n"/>
      <c r="BG1157" s="5" t="n"/>
      <c r="BH1157" s="5" t="n"/>
      <c r="BI1157" s="5" t="n"/>
      <c r="BJ1157" s="5" t="n"/>
      <c r="BK1157" s="5" t="n"/>
      <c r="BL1157" s="5" t="n"/>
      <c r="BM1157" s="5" t="n"/>
      <c r="BN1157" s="5" t="n"/>
      <c r="BO1157" s="5" t="n"/>
      <c r="BP1157" s="5" t="n"/>
      <c r="BQ1157" s="5" t="n"/>
      <c r="BR1157" s="5" t="n"/>
      <c r="BS1157" s="5" t="n"/>
      <c r="BT1157" s="5" t="n"/>
      <c r="BU1157" s="5" t="n"/>
      <c r="BV1157" s="5" t="n"/>
      <c r="BW1157" s="5" t="n"/>
      <c r="BX1157" s="5" t="n"/>
      <c r="BY1157" s="5" t="n"/>
      <c r="BZ1157" s="5" t="n"/>
      <c r="CA1157" s="5" t="n"/>
      <c r="CB1157" s="5" t="n"/>
      <c r="CC1157" s="5" t="n"/>
      <c r="CD1157" s="5" t="n"/>
      <c r="CE1157" s="5" t="n"/>
      <c r="CF1157" s="5" t="n"/>
    </row>
    <row r="1158">
      <c r="A1158" s="171" t="n"/>
      <c r="B1158" s="171" t="n"/>
      <c r="C1158" s="171" t="n"/>
      <c r="D1158" s="170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  <c r="AN1158" s="5" t="n"/>
      <c r="AO1158" s="5" t="n"/>
      <c r="AP1158" s="5" t="n"/>
      <c r="AQ1158" s="5" t="n"/>
      <c r="AR1158" s="5" t="n"/>
      <c r="AS1158" s="5" t="n"/>
      <c r="AT1158" s="5" t="n"/>
      <c r="AU1158" s="5" t="n"/>
      <c r="AV1158" s="5" t="n"/>
      <c r="AW1158" s="5" t="n"/>
      <c r="AX1158" s="5" t="n"/>
      <c r="AY1158" s="5" t="n"/>
      <c r="AZ1158" s="5" t="n"/>
      <c r="BA1158" s="5" t="n"/>
      <c r="BB1158" s="5" t="n"/>
      <c r="BC1158" s="5" t="n"/>
      <c r="BD1158" s="5" t="n"/>
      <c r="BE1158" s="5" t="n"/>
      <c r="BF1158" s="5" t="n"/>
      <c r="BG1158" s="5" t="n"/>
      <c r="BH1158" s="5" t="n"/>
      <c r="BI1158" s="5" t="n"/>
      <c r="BJ1158" s="5" t="n"/>
      <c r="BK1158" s="5" t="n"/>
      <c r="BL1158" s="5" t="n"/>
      <c r="BM1158" s="5" t="n"/>
      <c r="BN1158" s="5" t="n"/>
      <c r="BO1158" s="5" t="n"/>
      <c r="BP1158" s="5" t="n"/>
      <c r="BQ1158" s="5" t="n"/>
      <c r="BR1158" s="5" t="n"/>
      <c r="BS1158" s="5" t="n"/>
      <c r="BT1158" s="5" t="n"/>
      <c r="BU1158" s="5" t="n"/>
      <c r="BV1158" s="5" t="n"/>
      <c r="BW1158" s="5" t="n"/>
      <c r="BX1158" s="5" t="n"/>
      <c r="BY1158" s="5" t="n"/>
      <c r="BZ1158" s="5" t="n"/>
      <c r="CA1158" s="5" t="n"/>
      <c r="CB1158" s="5" t="n"/>
      <c r="CC1158" s="5" t="n"/>
      <c r="CD1158" s="5" t="n"/>
      <c r="CE1158" s="5" t="n"/>
      <c r="CF1158" s="5" t="n"/>
    </row>
    <row r="1159">
      <c r="A1159" s="171" t="n"/>
      <c r="B1159" s="171" t="n"/>
      <c r="C1159" s="171" t="n"/>
      <c r="D1159" s="170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  <c r="AN1159" s="5" t="n"/>
      <c r="AO1159" s="5" t="n"/>
      <c r="AP1159" s="5" t="n"/>
      <c r="AQ1159" s="5" t="n"/>
      <c r="AR1159" s="5" t="n"/>
      <c r="AS1159" s="5" t="n"/>
      <c r="AT1159" s="5" t="n"/>
      <c r="AU1159" s="5" t="n"/>
      <c r="AV1159" s="5" t="n"/>
      <c r="AW1159" s="5" t="n"/>
      <c r="AX1159" s="5" t="n"/>
      <c r="AY1159" s="5" t="n"/>
      <c r="AZ1159" s="5" t="n"/>
      <c r="BA1159" s="5" t="n"/>
      <c r="BB1159" s="5" t="n"/>
      <c r="BC1159" s="5" t="n"/>
      <c r="BD1159" s="5" t="n"/>
      <c r="BE1159" s="5" t="n"/>
      <c r="BF1159" s="5" t="n"/>
      <c r="BG1159" s="5" t="n"/>
      <c r="BH1159" s="5" t="n"/>
      <c r="BI1159" s="5" t="n"/>
      <c r="BJ1159" s="5" t="n"/>
      <c r="BK1159" s="5" t="n"/>
      <c r="BL1159" s="5" t="n"/>
      <c r="BM1159" s="5" t="n"/>
      <c r="BN1159" s="5" t="n"/>
      <c r="BO1159" s="5" t="n"/>
      <c r="BP1159" s="5" t="n"/>
      <c r="BQ1159" s="5" t="n"/>
      <c r="BR1159" s="5" t="n"/>
      <c r="BS1159" s="5" t="n"/>
      <c r="BT1159" s="5" t="n"/>
      <c r="BU1159" s="5" t="n"/>
      <c r="BV1159" s="5" t="n"/>
      <c r="BW1159" s="5" t="n"/>
      <c r="BX1159" s="5" t="n"/>
      <c r="BY1159" s="5" t="n"/>
      <c r="BZ1159" s="5" t="n"/>
      <c r="CA1159" s="5" t="n"/>
      <c r="CB1159" s="5" t="n"/>
      <c r="CC1159" s="5" t="n"/>
      <c r="CD1159" s="5" t="n"/>
      <c r="CE1159" s="5" t="n"/>
      <c r="CF1159" s="5" t="n"/>
    </row>
    <row r="1160">
      <c r="A1160" s="171" t="n"/>
      <c r="B1160" s="171" t="n"/>
      <c r="C1160" s="171" t="n"/>
      <c r="D1160" s="170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  <c r="AN1160" s="5" t="n"/>
      <c r="AO1160" s="5" t="n"/>
      <c r="AP1160" s="5" t="n"/>
      <c r="AQ1160" s="5" t="n"/>
      <c r="AR1160" s="5" t="n"/>
      <c r="AS1160" s="5" t="n"/>
      <c r="AT1160" s="5" t="n"/>
      <c r="AU1160" s="5" t="n"/>
      <c r="AV1160" s="5" t="n"/>
      <c r="AW1160" s="5" t="n"/>
      <c r="AX1160" s="5" t="n"/>
      <c r="AY1160" s="5" t="n"/>
      <c r="AZ1160" s="5" t="n"/>
      <c r="BA1160" s="5" t="n"/>
      <c r="BB1160" s="5" t="n"/>
      <c r="BC1160" s="5" t="n"/>
      <c r="BD1160" s="5" t="n"/>
      <c r="BE1160" s="5" t="n"/>
      <c r="BF1160" s="5" t="n"/>
      <c r="BG1160" s="5" t="n"/>
      <c r="BH1160" s="5" t="n"/>
      <c r="BI1160" s="5" t="n"/>
      <c r="BJ1160" s="5" t="n"/>
      <c r="BK1160" s="5" t="n"/>
      <c r="BL1160" s="5" t="n"/>
      <c r="BM1160" s="5" t="n"/>
      <c r="BN1160" s="5" t="n"/>
      <c r="BO1160" s="5" t="n"/>
      <c r="BP1160" s="5" t="n"/>
      <c r="BQ1160" s="5" t="n"/>
      <c r="BR1160" s="5" t="n"/>
      <c r="BS1160" s="5" t="n"/>
      <c r="BT1160" s="5" t="n"/>
      <c r="BU1160" s="5" t="n"/>
      <c r="BV1160" s="5" t="n"/>
      <c r="BW1160" s="5" t="n"/>
      <c r="BX1160" s="5" t="n"/>
      <c r="BY1160" s="5" t="n"/>
      <c r="BZ1160" s="5" t="n"/>
      <c r="CA1160" s="5" t="n"/>
      <c r="CB1160" s="5" t="n"/>
      <c r="CC1160" s="5" t="n"/>
      <c r="CD1160" s="5" t="n"/>
      <c r="CE1160" s="5" t="n"/>
      <c r="CF1160" s="5" t="n"/>
    </row>
    <row r="1161">
      <c r="A1161" s="171" t="n"/>
      <c r="B1161" s="171" t="n"/>
      <c r="C1161" s="171" t="n"/>
      <c r="D1161" s="170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  <c r="AN1161" s="5" t="n"/>
      <c r="AO1161" s="5" t="n"/>
      <c r="AP1161" s="5" t="n"/>
      <c r="AQ1161" s="5" t="n"/>
      <c r="AR1161" s="5" t="n"/>
      <c r="AS1161" s="5" t="n"/>
      <c r="AT1161" s="5" t="n"/>
      <c r="AU1161" s="5" t="n"/>
      <c r="AV1161" s="5" t="n"/>
      <c r="AW1161" s="5" t="n"/>
      <c r="AX1161" s="5" t="n"/>
      <c r="AY1161" s="5" t="n"/>
      <c r="AZ1161" s="5" t="n"/>
      <c r="BA1161" s="5" t="n"/>
      <c r="BB1161" s="5" t="n"/>
      <c r="BC1161" s="5" t="n"/>
      <c r="BD1161" s="5" t="n"/>
      <c r="BE1161" s="5" t="n"/>
      <c r="BF1161" s="5" t="n"/>
      <c r="BG1161" s="5" t="n"/>
      <c r="BH1161" s="5" t="n"/>
      <c r="BI1161" s="5" t="n"/>
      <c r="BJ1161" s="5" t="n"/>
      <c r="BK1161" s="5" t="n"/>
      <c r="BL1161" s="5" t="n"/>
      <c r="BM1161" s="5" t="n"/>
      <c r="BN1161" s="5" t="n"/>
      <c r="BO1161" s="5" t="n"/>
      <c r="BP1161" s="5" t="n"/>
      <c r="BQ1161" s="5" t="n"/>
      <c r="BR1161" s="5" t="n"/>
      <c r="BS1161" s="5" t="n"/>
      <c r="BT1161" s="5" t="n"/>
      <c r="BU1161" s="5" t="n"/>
      <c r="BV1161" s="5" t="n"/>
      <c r="BW1161" s="5" t="n"/>
      <c r="BX1161" s="5" t="n"/>
      <c r="BY1161" s="5" t="n"/>
      <c r="BZ1161" s="5" t="n"/>
      <c r="CA1161" s="5" t="n"/>
      <c r="CB1161" s="5" t="n"/>
      <c r="CC1161" s="5" t="n"/>
      <c r="CD1161" s="5" t="n"/>
      <c r="CE1161" s="5" t="n"/>
      <c r="CF1161" s="5" t="n"/>
    </row>
    <row r="1162">
      <c r="A1162" s="171" t="n"/>
      <c r="B1162" s="171" t="n"/>
      <c r="C1162" s="171" t="n"/>
      <c r="D1162" s="170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  <c r="AN1162" s="5" t="n"/>
      <c r="AO1162" s="5" t="n"/>
      <c r="AP1162" s="5" t="n"/>
      <c r="AQ1162" s="5" t="n"/>
      <c r="AR1162" s="5" t="n"/>
      <c r="AS1162" s="5" t="n"/>
      <c r="AT1162" s="5" t="n"/>
      <c r="AU1162" s="5" t="n"/>
      <c r="AV1162" s="5" t="n"/>
      <c r="AW1162" s="5" t="n"/>
      <c r="AX1162" s="5" t="n"/>
      <c r="AY1162" s="5" t="n"/>
      <c r="AZ1162" s="5" t="n"/>
      <c r="BA1162" s="5" t="n"/>
      <c r="BB1162" s="5" t="n"/>
      <c r="BC1162" s="5" t="n"/>
      <c r="BD1162" s="5" t="n"/>
      <c r="BE1162" s="5" t="n"/>
      <c r="BF1162" s="5" t="n"/>
      <c r="BG1162" s="5" t="n"/>
      <c r="BH1162" s="5" t="n"/>
      <c r="BI1162" s="5" t="n"/>
      <c r="BJ1162" s="5" t="n"/>
      <c r="BK1162" s="5" t="n"/>
      <c r="BL1162" s="5" t="n"/>
      <c r="BM1162" s="5" t="n"/>
      <c r="BN1162" s="5" t="n"/>
      <c r="BO1162" s="5" t="n"/>
      <c r="BP1162" s="5" t="n"/>
      <c r="BQ1162" s="5" t="n"/>
      <c r="BR1162" s="5" t="n"/>
      <c r="BS1162" s="5" t="n"/>
      <c r="BT1162" s="5" t="n"/>
      <c r="BU1162" s="5" t="n"/>
      <c r="BV1162" s="5" t="n"/>
      <c r="BW1162" s="5" t="n"/>
      <c r="BX1162" s="5" t="n"/>
      <c r="BY1162" s="5" t="n"/>
      <c r="BZ1162" s="5" t="n"/>
      <c r="CA1162" s="5" t="n"/>
      <c r="CB1162" s="5" t="n"/>
      <c r="CC1162" s="5" t="n"/>
      <c r="CD1162" s="5" t="n"/>
      <c r="CE1162" s="5" t="n"/>
      <c r="CF1162" s="5" t="n"/>
    </row>
    <row r="1163">
      <c r="A1163" s="171" t="n"/>
      <c r="B1163" s="171" t="n"/>
      <c r="C1163" s="171" t="n"/>
      <c r="D1163" s="170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  <c r="AN1163" s="5" t="n"/>
      <c r="AO1163" s="5" t="n"/>
      <c r="AP1163" s="5" t="n"/>
      <c r="AQ1163" s="5" t="n"/>
      <c r="AR1163" s="5" t="n"/>
      <c r="AS1163" s="5" t="n"/>
      <c r="AT1163" s="5" t="n"/>
      <c r="AU1163" s="5" t="n"/>
      <c r="AV1163" s="5" t="n"/>
      <c r="AW1163" s="5" t="n"/>
      <c r="AX1163" s="5" t="n"/>
      <c r="AY1163" s="5" t="n"/>
      <c r="AZ1163" s="5" t="n"/>
      <c r="BA1163" s="5" t="n"/>
      <c r="BB1163" s="5" t="n"/>
      <c r="BC1163" s="5" t="n"/>
      <c r="BD1163" s="5" t="n"/>
      <c r="BE1163" s="5" t="n"/>
      <c r="BF1163" s="5" t="n"/>
      <c r="BG1163" s="5" t="n"/>
      <c r="BH1163" s="5" t="n"/>
      <c r="BI1163" s="5" t="n"/>
      <c r="BJ1163" s="5" t="n"/>
      <c r="BK1163" s="5" t="n"/>
      <c r="BL1163" s="5" t="n"/>
      <c r="BM1163" s="5" t="n"/>
      <c r="BN1163" s="5" t="n"/>
      <c r="BO1163" s="5" t="n"/>
      <c r="BP1163" s="5" t="n"/>
      <c r="BQ1163" s="5" t="n"/>
      <c r="BR1163" s="5" t="n"/>
      <c r="BS1163" s="5" t="n"/>
      <c r="BT1163" s="5" t="n"/>
      <c r="BU1163" s="5" t="n"/>
      <c r="BV1163" s="5" t="n"/>
      <c r="BW1163" s="5" t="n"/>
      <c r="BX1163" s="5" t="n"/>
      <c r="BY1163" s="5" t="n"/>
      <c r="BZ1163" s="5" t="n"/>
      <c r="CA1163" s="5" t="n"/>
      <c r="CB1163" s="5" t="n"/>
      <c r="CC1163" s="5" t="n"/>
      <c r="CD1163" s="5" t="n"/>
      <c r="CE1163" s="5" t="n"/>
      <c r="CF1163" s="5" t="n"/>
    </row>
    <row r="1164">
      <c r="A1164" s="171" t="n"/>
      <c r="B1164" s="171" t="n"/>
      <c r="C1164" s="171" t="n"/>
      <c r="D1164" s="170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  <c r="AN1164" s="5" t="n"/>
      <c r="AO1164" s="5" t="n"/>
      <c r="AP1164" s="5" t="n"/>
      <c r="AQ1164" s="5" t="n"/>
      <c r="AR1164" s="5" t="n"/>
      <c r="AS1164" s="5" t="n"/>
      <c r="AT1164" s="5" t="n"/>
      <c r="AU1164" s="5" t="n"/>
      <c r="AV1164" s="5" t="n"/>
      <c r="AW1164" s="5" t="n"/>
      <c r="AX1164" s="5" t="n"/>
      <c r="AY1164" s="5" t="n"/>
      <c r="AZ1164" s="5" t="n"/>
      <c r="BA1164" s="5" t="n"/>
      <c r="BB1164" s="5" t="n"/>
      <c r="BC1164" s="5" t="n"/>
      <c r="BD1164" s="5" t="n"/>
      <c r="BE1164" s="5" t="n"/>
      <c r="BF1164" s="5" t="n"/>
      <c r="BG1164" s="5" t="n"/>
      <c r="BH1164" s="5" t="n"/>
      <c r="BI1164" s="5" t="n"/>
      <c r="BJ1164" s="5" t="n"/>
      <c r="BK1164" s="5" t="n"/>
      <c r="BL1164" s="5" t="n"/>
      <c r="BM1164" s="5" t="n"/>
      <c r="BN1164" s="5" t="n"/>
      <c r="BO1164" s="5" t="n"/>
      <c r="BP1164" s="5" t="n"/>
      <c r="BQ1164" s="5" t="n"/>
      <c r="BR1164" s="5" t="n"/>
      <c r="BS1164" s="5" t="n"/>
      <c r="BT1164" s="5" t="n"/>
      <c r="BU1164" s="5" t="n"/>
      <c r="BV1164" s="5" t="n"/>
      <c r="BW1164" s="5" t="n"/>
      <c r="BX1164" s="5" t="n"/>
      <c r="BY1164" s="5" t="n"/>
      <c r="BZ1164" s="5" t="n"/>
      <c r="CA1164" s="5" t="n"/>
      <c r="CB1164" s="5" t="n"/>
      <c r="CC1164" s="5" t="n"/>
      <c r="CD1164" s="5" t="n"/>
      <c r="CE1164" s="5" t="n"/>
      <c r="CF1164" s="5" t="n"/>
    </row>
    <row r="1165">
      <c r="A1165" s="171" t="n"/>
      <c r="B1165" s="171" t="n"/>
      <c r="C1165" s="171" t="n"/>
      <c r="D1165" s="170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  <c r="AN1165" s="5" t="n"/>
      <c r="AO1165" s="5" t="n"/>
      <c r="AP1165" s="5" t="n"/>
      <c r="AQ1165" s="5" t="n"/>
      <c r="AR1165" s="5" t="n"/>
      <c r="AS1165" s="5" t="n"/>
      <c r="AT1165" s="5" t="n"/>
      <c r="AU1165" s="5" t="n"/>
      <c r="AV1165" s="5" t="n"/>
      <c r="AW1165" s="5" t="n"/>
      <c r="AX1165" s="5" t="n"/>
      <c r="AY1165" s="5" t="n"/>
      <c r="AZ1165" s="5" t="n"/>
      <c r="BA1165" s="5" t="n"/>
      <c r="BB1165" s="5" t="n"/>
      <c r="BC1165" s="5" t="n"/>
      <c r="BD1165" s="5" t="n"/>
      <c r="BE1165" s="5" t="n"/>
      <c r="BF1165" s="5" t="n"/>
      <c r="BG1165" s="5" t="n"/>
      <c r="BH1165" s="5" t="n"/>
      <c r="BI1165" s="5" t="n"/>
      <c r="BJ1165" s="5" t="n"/>
      <c r="BK1165" s="5" t="n"/>
      <c r="BL1165" s="5" t="n"/>
      <c r="BM1165" s="5" t="n"/>
      <c r="BN1165" s="5" t="n"/>
      <c r="BO1165" s="5" t="n"/>
      <c r="BP1165" s="5" t="n"/>
      <c r="BQ1165" s="5" t="n"/>
      <c r="BR1165" s="5" t="n"/>
      <c r="BS1165" s="5" t="n"/>
      <c r="BT1165" s="5" t="n"/>
      <c r="BU1165" s="5" t="n"/>
      <c r="BV1165" s="5" t="n"/>
      <c r="BW1165" s="5" t="n"/>
      <c r="BX1165" s="5" t="n"/>
      <c r="BY1165" s="5" t="n"/>
      <c r="BZ1165" s="5" t="n"/>
      <c r="CA1165" s="5" t="n"/>
      <c r="CB1165" s="5" t="n"/>
      <c r="CC1165" s="5" t="n"/>
      <c r="CD1165" s="5" t="n"/>
      <c r="CE1165" s="5" t="n"/>
      <c r="CF1165" s="5" t="n"/>
    </row>
    <row r="1166">
      <c r="A1166" s="171" t="n"/>
      <c r="B1166" s="171" t="n"/>
      <c r="C1166" s="171" t="n"/>
      <c r="D1166" s="170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  <c r="AN1166" s="5" t="n"/>
      <c r="AO1166" s="5" t="n"/>
      <c r="AP1166" s="5" t="n"/>
      <c r="AQ1166" s="5" t="n"/>
      <c r="AR1166" s="5" t="n"/>
      <c r="AS1166" s="5" t="n"/>
      <c r="AT1166" s="5" t="n"/>
      <c r="AU1166" s="5" t="n"/>
      <c r="AV1166" s="5" t="n"/>
      <c r="AW1166" s="5" t="n"/>
      <c r="AX1166" s="5" t="n"/>
      <c r="AY1166" s="5" t="n"/>
      <c r="AZ1166" s="5" t="n"/>
      <c r="BA1166" s="5" t="n"/>
      <c r="BB1166" s="5" t="n"/>
      <c r="BC1166" s="5" t="n"/>
      <c r="BD1166" s="5" t="n"/>
      <c r="BE1166" s="5" t="n"/>
      <c r="BF1166" s="5" t="n"/>
      <c r="BG1166" s="5" t="n"/>
      <c r="BH1166" s="5" t="n"/>
      <c r="BI1166" s="5" t="n"/>
      <c r="BJ1166" s="5" t="n"/>
      <c r="BK1166" s="5" t="n"/>
      <c r="BL1166" s="5" t="n"/>
      <c r="BM1166" s="5" t="n"/>
      <c r="BN1166" s="5" t="n"/>
      <c r="BO1166" s="5" t="n"/>
      <c r="BP1166" s="5" t="n"/>
      <c r="BQ1166" s="5" t="n"/>
      <c r="BR1166" s="5" t="n"/>
      <c r="BS1166" s="5" t="n"/>
      <c r="BT1166" s="5" t="n"/>
      <c r="BU1166" s="5" t="n"/>
      <c r="BV1166" s="5" t="n"/>
      <c r="BW1166" s="5" t="n"/>
      <c r="BX1166" s="5" t="n"/>
      <c r="BY1166" s="5" t="n"/>
      <c r="BZ1166" s="5" t="n"/>
      <c r="CA1166" s="5" t="n"/>
      <c r="CB1166" s="5" t="n"/>
      <c r="CC1166" s="5" t="n"/>
      <c r="CD1166" s="5" t="n"/>
      <c r="CE1166" s="5" t="n"/>
      <c r="CF1166" s="5" t="n"/>
    </row>
    <row r="1167">
      <c r="A1167" s="171" t="n"/>
      <c r="B1167" s="171" t="n"/>
      <c r="C1167" s="171" t="n"/>
      <c r="D1167" s="170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  <c r="AN1167" s="5" t="n"/>
      <c r="AO1167" s="5" t="n"/>
      <c r="AP1167" s="5" t="n"/>
      <c r="AQ1167" s="5" t="n"/>
      <c r="AR1167" s="5" t="n"/>
      <c r="AS1167" s="5" t="n"/>
      <c r="AT1167" s="5" t="n"/>
      <c r="AU1167" s="5" t="n"/>
      <c r="AV1167" s="5" t="n"/>
      <c r="AW1167" s="5" t="n"/>
      <c r="AX1167" s="5" t="n"/>
      <c r="AY1167" s="5" t="n"/>
      <c r="AZ1167" s="5" t="n"/>
      <c r="BA1167" s="5" t="n"/>
      <c r="BB1167" s="5" t="n"/>
      <c r="BC1167" s="5" t="n"/>
      <c r="BD1167" s="5" t="n"/>
      <c r="BE1167" s="5" t="n"/>
      <c r="BF1167" s="5" t="n"/>
      <c r="BG1167" s="5" t="n"/>
      <c r="BH1167" s="5" t="n"/>
      <c r="BI1167" s="5" t="n"/>
      <c r="BJ1167" s="5" t="n"/>
      <c r="BK1167" s="5" t="n"/>
      <c r="BL1167" s="5" t="n"/>
      <c r="BM1167" s="5" t="n"/>
      <c r="BN1167" s="5" t="n"/>
      <c r="BO1167" s="5" t="n"/>
      <c r="BP1167" s="5" t="n"/>
      <c r="BQ1167" s="5" t="n"/>
      <c r="BR1167" s="5" t="n"/>
      <c r="BS1167" s="5" t="n"/>
      <c r="BT1167" s="5" t="n"/>
      <c r="BU1167" s="5" t="n"/>
      <c r="BV1167" s="5" t="n"/>
      <c r="BW1167" s="5" t="n"/>
      <c r="BX1167" s="5" t="n"/>
      <c r="BY1167" s="5" t="n"/>
      <c r="BZ1167" s="5" t="n"/>
      <c r="CA1167" s="5" t="n"/>
      <c r="CB1167" s="5" t="n"/>
      <c r="CC1167" s="5" t="n"/>
      <c r="CD1167" s="5" t="n"/>
      <c r="CE1167" s="5" t="n"/>
      <c r="CF1167" s="5" t="n"/>
    </row>
    <row r="1168">
      <c r="A1168" s="171" t="n"/>
      <c r="B1168" s="171" t="n"/>
      <c r="C1168" s="171" t="n"/>
      <c r="D1168" s="170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  <c r="AN1168" s="5" t="n"/>
      <c r="AO1168" s="5" t="n"/>
      <c r="AP1168" s="5" t="n"/>
      <c r="AQ1168" s="5" t="n"/>
      <c r="AR1168" s="5" t="n"/>
      <c r="AS1168" s="5" t="n"/>
      <c r="AT1168" s="5" t="n"/>
      <c r="AU1168" s="5" t="n"/>
      <c r="AV1168" s="5" t="n"/>
      <c r="AW1168" s="5" t="n"/>
      <c r="AX1168" s="5" t="n"/>
      <c r="AY1168" s="5" t="n"/>
      <c r="AZ1168" s="5" t="n"/>
      <c r="BA1168" s="5" t="n"/>
      <c r="BB1168" s="5" t="n"/>
      <c r="BC1168" s="5" t="n"/>
      <c r="BD1168" s="5" t="n"/>
      <c r="BE1168" s="5" t="n"/>
      <c r="BF1168" s="5" t="n"/>
      <c r="BG1168" s="5" t="n"/>
      <c r="BH1168" s="5" t="n"/>
      <c r="BI1168" s="5" t="n"/>
      <c r="BJ1168" s="5" t="n"/>
      <c r="BK1168" s="5" t="n"/>
      <c r="BL1168" s="5" t="n"/>
      <c r="BM1168" s="5" t="n"/>
      <c r="BN1168" s="5" t="n"/>
      <c r="BO1168" s="5" t="n"/>
      <c r="BP1168" s="5" t="n"/>
      <c r="BQ1168" s="5" t="n"/>
      <c r="BR1168" s="5" t="n"/>
      <c r="BS1168" s="5" t="n"/>
      <c r="BT1168" s="5" t="n"/>
      <c r="BU1168" s="5" t="n"/>
      <c r="BV1168" s="5" t="n"/>
      <c r="BW1168" s="5" t="n"/>
      <c r="BX1168" s="5" t="n"/>
      <c r="BY1168" s="5" t="n"/>
      <c r="BZ1168" s="5" t="n"/>
      <c r="CA1168" s="5" t="n"/>
      <c r="CB1168" s="5" t="n"/>
      <c r="CC1168" s="5" t="n"/>
      <c r="CD1168" s="5" t="n"/>
      <c r="CE1168" s="5" t="n"/>
      <c r="CF1168" s="5" t="n"/>
    </row>
    <row r="1169">
      <c r="A1169" s="171" t="n"/>
      <c r="B1169" s="171" t="n"/>
      <c r="C1169" s="171" t="n"/>
      <c r="D1169" s="170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  <c r="AN1169" s="5" t="n"/>
      <c r="AO1169" s="5" t="n"/>
      <c r="AP1169" s="5" t="n"/>
      <c r="AQ1169" s="5" t="n"/>
      <c r="AR1169" s="5" t="n"/>
      <c r="AS1169" s="5" t="n"/>
      <c r="AT1169" s="5" t="n"/>
      <c r="AU1169" s="5" t="n"/>
      <c r="AV1169" s="5" t="n"/>
      <c r="AW1169" s="5" t="n"/>
      <c r="AX1169" s="5" t="n"/>
      <c r="AY1169" s="5" t="n"/>
      <c r="AZ1169" s="5" t="n"/>
      <c r="BA1169" s="5" t="n"/>
      <c r="BB1169" s="5" t="n"/>
      <c r="BC1169" s="5" t="n"/>
      <c r="BD1169" s="5" t="n"/>
      <c r="BE1169" s="5" t="n"/>
      <c r="BF1169" s="5" t="n"/>
      <c r="BG1169" s="5" t="n"/>
      <c r="BH1169" s="5" t="n"/>
      <c r="BI1169" s="5" t="n"/>
      <c r="BJ1169" s="5" t="n"/>
      <c r="BK1169" s="5" t="n"/>
      <c r="BL1169" s="5" t="n"/>
      <c r="BM1169" s="5" t="n"/>
      <c r="BN1169" s="5" t="n"/>
      <c r="BO1169" s="5" t="n"/>
      <c r="BP1169" s="5" t="n"/>
      <c r="BQ1169" s="5" t="n"/>
      <c r="BR1169" s="5" t="n"/>
      <c r="BS1169" s="5" t="n"/>
      <c r="BT1169" s="5" t="n"/>
      <c r="BU1169" s="5" t="n"/>
      <c r="BV1169" s="5" t="n"/>
      <c r="BW1169" s="5" t="n"/>
      <c r="BX1169" s="5" t="n"/>
      <c r="BY1169" s="5" t="n"/>
      <c r="BZ1169" s="5" t="n"/>
      <c r="CA1169" s="5" t="n"/>
      <c r="CB1169" s="5" t="n"/>
      <c r="CC1169" s="5" t="n"/>
      <c r="CD1169" s="5" t="n"/>
      <c r="CE1169" s="5" t="n"/>
      <c r="CF1169" s="5" t="n"/>
    </row>
    <row r="1170">
      <c r="A1170" s="171" t="n"/>
      <c r="B1170" s="171" t="n"/>
      <c r="C1170" s="171" t="n"/>
      <c r="D1170" s="170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  <c r="AN1170" s="5" t="n"/>
      <c r="AO1170" s="5" t="n"/>
      <c r="AP1170" s="5" t="n"/>
      <c r="AQ1170" s="5" t="n"/>
      <c r="AR1170" s="5" t="n"/>
      <c r="AS1170" s="5" t="n"/>
      <c r="AT1170" s="5" t="n"/>
      <c r="AU1170" s="5" t="n"/>
      <c r="AV1170" s="5" t="n"/>
      <c r="AW1170" s="5" t="n"/>
      <c r="AX1170" s="5" t="n"/>
      <c r="AY1170" s="5" t="n"/>
      <c r="AZ1170" s="5" t="n"/>
      <c r="BA1170" s="5" t="n"/>
      <c r="BB1170" s="5" t="n"/>
      <c r="BC1170" s="5" t="n"/>
      <c r="BD1170" s="5" t="n"/>
      <c r="BE1170" s="5" t="n"/>
      <c r="BF1170" s="5" t="n"/>
      <c r="BG1170" s="5" t="n"/>
      <c r="BH1170" s="5" t="n"/>
      <c r="BI1170" s="5" t="n"/>
      <c r="BJ1170" s="5" t="n"/>
      <c r="BK1170" s="5" t="n"/>
      <c r="BL1170" s="5" t="n"/>
      <c r="BM1170" s="5" t="n"/>
      <c r="BN1170" s="5" t="n"/>
      <c r="BO1170" s="5" t="n"/>
      <c r="BP1170" s="5" t="n"/>
      <c r="BQ1170" s="5" t="n"/>
      <c r="BR1170" s="5" t="n"/>
      <c r="BS1170" s="5" t="n"/>
      <c r="BT1170" s="5" t="n"/>
      <c r="BU1170" s="5" t="n"/>
      <c r="BV1170" s="5" t="n"/>
      <c r="BW1170" s="5" t="n"/>
      <c r="BX1170" s="5" t="n"/>
      <c r="BY1170" s="5" t="n"/>
      <c r="BZ1170" s="5" t="n"/>
      <c r="CA1170" s="5" t="n"/>
      <c r="CB1170" s="5" t="n"/>
      <c r="CC1170" s="5" t="n"/>
      <c r="CD1170" s="5" t="n"/>
      <c r="CE1170" s="5" t="n"/>
      <c r="CF1170" s="5" t="n"/>
    </row>
    <row r="1171">
      <c r="A1171" s="171" t="n"/>
      <c r="B1171" s="171" t="n"/>
      <c r="C1171" s="171" t="n"/>
      <c r="D1171" s="170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  <c r="AN1171" s="5" t="n"/>
      <c r="AO1171" s="5" t="n"/>
      <c r="AP1171" s="5" t="n"/>
      <c r="AQ1171" s="5" t="n"/>
      <c r="AR1171" s="5" t="n"/>
      <c r="AS1171" s="5" t="n"/>
      <c r="AT1171" s="5" t="n"/>
      <c r="AU1171" s="5" t="n"/>
      <c r="AV1171" s="5" t="n"/>
      <c r="AW1171" s="5" t="n"/>
      <c r="AX1171" s="5" t="n"/>
      <c r="AY1171" s="5" t="n"/>
      <c r="AZ1171" s="5" t="n"/>
      <c r="BA1171" s="5" t="n"/>
      <c r="BB1171" s="5" t="n"/>
      <c r="BC1171" s="5" t="n"/>
      <c r="BD1171" s="5" t="n"/>
      <c r="BE1171" s="5" t="n"/>
      <c r="BF1171" s="5" t="n"/>
      <c r="BG1171" s="5" t="n"/>
      <c r="BH1171" s="5" t="n"/>
      <c r="BI1171" s="5" t="n"/>
      <c r="BJ1171" s="5" t="n"/>
      <c r="BK1171" s="5" t="n"/>
      <c r="BL1171" s="5" t="n"/>
      <c r="BM1171" s="5" t="n"/>
      <c r="BN1171" s="5" t="n"/>
      <c r="BO1171" s="5" t="n"/>
      <c r="BP1171" s="5" t="n"/>
      <c r="BQ1171" s="5" t="n"/>
      <c r="BR1171" s="5" t="n"/>
      <c r="BS1171" s="5" t="n"/>
      <c r="BT1171" s="5" t="n"/>
      <c r="BU1171" s="5" t="n"/>
      <c r="BV1171" s="5" t="n"/>
      <c r="BW1171" s="5" t="n"/>
      <c r="BX1171" s="5" t="n"/>
      <c r="BY1171" s="5" t="n"/>
      <c r="BZ1171" s="5" t="n"/>
      <c r="CA1171" s="5" t="n"/>
      <c r="CB1171" s="5" t="n"/>
      <c r="CC1171" s="5" t="n"/>
      <c r="CD1171" s="5" t="n"/>
      <c r="CE1171" s="5" t="n"/>
      <c r="CF1171" s="5" t="n"/>
    </row>
    <row r="1172">
      <c r="A1172" s="171" t="n"/>
      <c r="B1172" s="171" t="n"/>
      <c r="C1172" s="171" t="n"/>
      <c r="D1172" s="170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  <c r="AN1172" s="5" t="n"/>
      <c r="AO1172" s="5" t="n"/>
      <c r="AP1172" s="5" t="n"/>
      <c r="AQ1172" s="5" t="n"/>
      <c r="AR1172" s="5" t="n"/>
      <c r="AS1172" s="5" t="n"/>
      <c r="AT1172" s="5" t="n"/>
      <c r="AU1172" s="5" t="n"/>
      <c r="AV1172" s="5" t="n"/>
      <c r="AW1172" s="5" t="n"/>
      <c r="AX1172" s="5" t="n"/>
      <c r="AY1172" s="5" t="n"/>
      <c r="AZ1172" s="5" t="n"/>
      <c r="BA1172" s="5" t="n"/>
      <c r="BB1172" s="5" t="n"/>
      <c r="BC1172" s="5" t="n"/>
      <c r="BD1172" s="5" t="n"/>
      <c r="BE1172" s="5" t="n"/>
      <c r="BF1172" s="5" t="n"/>
      <c r="BG1172" s="5" t="n"/>
      <c r="BH1172" s="5" t="n"/>
      <c r="BI1172" s="5" t="n"/>
      <c r="BJ1172" s="5" t="n"/>
      <c r="BK1172" s="5" t="n"/>
      <c r="BL1172" s="5" t="n"/>
      <c r="BM1172" s="5" t="n"/>
      <c r="BN1172" s="5" t="n"/>
      <c r="BO1172" s="5" t="n"/>
      <c r="BP1172" s="5" t="n"/>
      <c r="BQ1172" s="5" t="n"/>
      <c r="BR1172" s="5" t="n"/>
      <c r="BS1172" s="5" t="n"/>
      <c r="BT1172" s="5" t="n"/>
      <c r="BU1172" s="5" t="n"/>
      <c r="BV1172" s="5" t="n"/>
      <c r="BW1172" s="5" t="n"/>
      <c r="BX1172" s="5" t="n"/>
      <c r="BY1172" s="5" t="n"/>
      <c r="BZ1172" s="5" t="n"/>
      <c r="CA1172" s="5" t="n"/>
      <c r="CB1172" s="5" t="n"/>
      <c r="CC1172" s="5" t="n"/>
      <c r="CD1172" s="5" t="n"/>
      <c r="CE1172" s="5" t="n"/>
      <c r="CF1172" s="5" t="n"/>
    </row>
    <row r="1173">
      <c r="A1173" s="171" t="n"/>
      <c r="B1173" s="171" t="n"/>
      <c r="C1173" s="171" t="n"/>
      <c r="D1173" s="170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  <c r="AQ1173" s="5" t="n"/>
      <c r="AR1173" s="5" t="n"/>
      <c r="AS1173" s="5" t="n"/>
      <c r="AT1173" s="5" t="n"/>
      <c r="AU1173" s="5" t="n"/>
      <c r="AV1173" s="5" t="n"/>
      <c r="AW1173" s="5" t="n"/>
      <c r="AX1173" s="5" t="n"/>
      <c r="AY1173" s="5" t="n"/>
      <c r="AZ1173" s="5" t="n"/>
      <c r="BA1173" s="5" t="n"/>
      <c r="BB1173" s="5" t="n"/>
      <c r="BC1173" s="5" t="n"/>
      <c r="BD1173" s="5" t="n"/>
      <c r="BE1173" s="5" t="n"/>
      <c r="BF1173" s="5" t="n"/>
      <c r="BG1173" s="5" t="n"/>
      <c r="BH1173" s="5" t="n"/>
      <c r="BI1173" s="5" t="n"/>
      <c r="BJ1173" s="5" t="n"/>
      <c r="BK1173" s="5" t="n"/>
      <c r="BL1173" s="5" t="n"/>
      <c r="BM1173" s="5" t="n"/>
      <c r="BN1173" s="5" t="n"/>
      <c r="BO1173" s="5" t="n"/>
      <c r="BP1173" s="5" t="n"/>
      <c r="BQ1173" s="5" t="n"/>
      <c r="BR1173" s="5" t="n"/>
      <c r="BS1173" s="5" t="n"/>
      <c r="BT1173" s="5" t="n"/>
      <c r="BU1173" s="5" t="n"/>
      <c r="BV1173" s="5" t="n"/>
      <c r="BW1173" s="5" t="n"/>
      <c r="BX1173" s="5" t="n"/>
      <c r="BY1173" s="5" t="n"/>
      <c r="BZ1173" s="5" t="n"/>
      <c r="CA1173" s="5" t="n"/>
      <c r="CB1173" s="5" t="n"/>
      <c r="CC1173" s="5" t="n"/>
      <c r="CD1173" s="5" t="n"/>
      <c r="CE1173" s="5" t="n"/>
      <c r="CF1173" s="5" t="n"/>
    </row>
    <row r="1174">
      <c r="A1174" s="171" t="n"/>
      <c r="B1174" s="171" t="n"/>
      <c r="C1174" s="171" t="n"/>
      <c r="D1174" s="170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  <c r="AN1174" s="5" t="n"/>
      <c r="AO1174" s="5" t="n"/>
      <c r="AP1174" s="5" t="n"/>
      <c r="AQ1174" s="5" t="n"/>
      <c r="AR1174" s="5" t="n"/>
      <c r="AS1174" s="5" t="n"/>
      <c r="AT1174" s="5" t="n"/>
      <c r="AU1174" s="5" t="n"/>
      <c r="AV1174" s="5" t="n"/>
      <c r="AW1174" s="5" t="n"/>
      <c r="AX1174" s="5" t="n"/>
      <c r="AY1174" s="5" t="n"/>
      <c r="AZ1174" s="5" t="n"/>
      <c r="BA1174" s="5" t="n"/>
      <c r="BB1174" s="5" t="n"/>
      <c r="BC1174" s="5" t="n"/>
      <c r="BD1174" s="5" t="n"/>
      <c r="BE1174" s="5" t="n"/>
      <c r="BF1174" s="5" t="n"/>
      <c r="BG1174" s="5" t="n"/>
      <c r="BH1174" s="5" t="n"/>
      <c r="BI1174" s="5" t="n"/>
      <c r="BJ1174" s="5" t="n"/>
      <c r="BK1174" s="5" t="n"/>
      <c r="BL1174" s="5" t="n"/>
      <c r="BM1174" s="5" t="n"/>
      <c r="BN1174" s="5" t="n"/>
      <c r="BO1174" s="5" t="n"/>
      <c r="BP1174" s="5" t="n"/>
      <c r="BQ1174" s="5" t="n"/>
      <c r="BR1174" s="5" t="n"/>
      <c r="BS1174" s="5" t="n"/>
      <c r="BT1174" s="5" t="n"/>
      <c r="BU1174" s="5" t="n"/>
      <c r="BV1174" s="5" t="n"/>
      <c r="BW1174" s="5" t="n"/>
      <c r="BX1174" s="5" t="n"/>
      <c r="BY1174" s="5" t="n"/>
      <c r="BZ1174" s="5" t="n"/>
      <c r="CA1174" s="5" t="n"/>
      <c r="CB1174" s="5" t="n"/>
      <c r="CC1174" s="5" t="n"/>
      <c r="CD1174" s="5" t="n"/>
      <c r="CE1174" s="5" t="n"/>
      <c r="CF1174" s="5" t="n"/>
    </row>
    <row r="1175">
      <c r="A1175" s="171" t="n"/>
      <c r="B1175" s="171" t="n"/>
      <c r="C1175" s="171" t="n"/>
      <c r="D1175" s="170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  <c r="AN1175" s="5" t="n"/>
      <c r="AO1175" s="5" t="n"/>
      <c r="AP1175" s="5" t="n"/>
      <c r="AQ1175" s="5" t="n"/>
      <c r="AR1175" s="5" t="n"/>
      <c r="AS1175" s="5" t="n"/>
      <c r="AT1175" s="5" t="n"/>
      <c r="AU1175" s="5" t="n"/>
      <c r="AV1175" s="5" t="n"/>
      <c r="AW1175" s="5" t="n"/>
      <c r="AX1175" s="5" t="n"/>
      <c r="AY1175" s="5" t="n"/>
      <c r="AZ1175" s="5" t="n"/>
      <c r="BA1175" s="5" t="n"/>
      <c r="BB1175" s="5" t="n"/>
      <c r="BC1175" s="5" t="n"/>
      <c r="BD1175" s="5" t="n"/>
      <c r="BE1175" s="5" t="n"/>
      <c r="BF1175" s="5" t="n"/>
      <c r="BG1175" s="5" t="n"/>
      <c r="BH1175" s="5" t="n"/>
      <c r="BI1175" s="5" t="n"/>
      <c r="BJ1175" s="5" t="n"/>
      <c r="BK1175" s="5" t="n"/>
      <c r="BL1175" s="5" t="n"/>
      <c r="BM1175" s="5" t="n"/>
      <c r="BN1175" s="5" t="n"/>
      <c r="BO1175" s="5" t="n"/>
      <c r="BP1175" s="5" t="n"/>
      <c r="BQ1175" s="5" t="n"/>
      <c r="BR1175" s="5" t="n"/>
      <c r="BS1175" s="5" t="n"/>
      <c r="BT1175" s="5" t="n"/>
      <c r="BU1175" s="5" t="n"/>
      <c r="BV1175" s="5" t="n"/>
      <c r="BW1175" s="5" t="n"/>
      <c r="BX1175" s="5" t="n"/>
      <c r="BY1175" s="5" t="n"/>
      <c r="BZ1175" s="5" t="n"/>
      <c r="CA1175" s="5" t="n"/>
      <c r="CB1175" s="5" t="n"/>
      <c r="CC1175" s="5" t="n"/>
      <c r="CD1175" s="5" t="n"/>
      <c r="CE1175" s="5" t="n"/>
      <c r="CF1175" s="5" t="n"/>
    </row>
    <row r="1176">
      <c r="A1176" s="171" t="n"/>
      <c r="B1176" s="171" t="n"/>
      <c r="C1176" s="171" t="n"/>
      <c r="D1176" s="170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  <c r="AN1176" s="5" t="n"/>
      <c r="AO1176" s="5" t="n"/>
      <c r="AP1176" s="5" t="n"/>
      <c r="AQ1176" s="5" t="n"/>
      <c r="AR1176" s="5" t="n"/>
      <c r="AS1176" s="5" t="n"/>
      <c r="AT1176" s="5" t="n"/>
      <c r="AU1176" s="5" t="n"/>
      <c r="AV1176" s="5" t="n"/>
      <c r="AW1176" s="5" t="n"/>
      <c r="AX1176" s="5" t="n"/>
      <c r="AY1176" s="5" t="n"/>
      <c r="AZ1176" s="5" t="n"/>
      <c r="BA1176" s="5" t="n"/>
      <c r="BB1176" s="5" t="n"/>
      <c r="BC1176" s="5" t="n"/>
      <c r="BD1176" s="5" t="n"/>
      <c r="BE1176" s="5" t="n"/>
      <c r="BF1176" s="5" t="n"/>
      <c r="BG1176" s="5" t="n"/>
      <c r="BH1176" s="5" t="n"/>
      <c r="BI1176" s="5" t="n"/>
      <c r="BJ1176" s="5" t="n"/>
      <c r="BK1176" s="5" t="n"/>
      <c r="BL1176" s="5" t="n"/>
      <c r="BM1176" s="5" t="n"/>
      <c r="BN1176" s="5" t="n"/>
      <c r="BO1176" s="5" t="n"/>
      <c r="BP1176" s="5" t="n"/>
      <c r="BQ1176" s="5" t="n"/>
      <c r="BR1176" s="5" t="n"/>
      <c r="BS1176" s="5" t="n"/>
      <c r="BT1176" s="5" t="n"/>
      <c r="BU1176" s="5" t="n"/>
      <c r="BV1176" s="5" t="n"/>
      <c r="BW1176" s="5" t="n"/>
      <c r="BX1176" s="5" t="n"/>
      <c r="BY1176" s="5" t="n"/>
      <c r="BZ1176" s="5" t="n"/>
      <c r="CA1176" s="5" t="n"/>
      <c r="CB1176" s="5" t="n"/>
      <c r="CC1176" s="5" t="n"/>
      <c r="CD1176" s="5" t="n"/>
      <c r="CE1176" s="5" t="n"/>
      <c r="CF1176" s="5" t="n"/>
    </row>
    <row r="1177">
      <c r="A1177" s="171" t="n"/>
      <c r="B1177" s="171" t="n"/>
      <c r="C1177" s="171" t="n"/>
      <c r="D1177" s="170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  <c r="AN1177" s="5" t="n"/>
      <c r="AO1177" s="5" t="n"/>
      <c r="AP1177" s="5" t="n"/>
      <c r="AQ1177" s="5" t="n"/>
      <c r="AR1177" s="5" t="n"/>
      <c r="AS1177" s="5" t="n"/>
      <c r="AT1177" s="5" t="n"/>
      <c r="AU1177" s="5" t="n"/>
      <c r="AV1177" s="5" t="n"/>
      <c r="AW1177" s="5" t="n"/>
      <c r="AX1177" s="5" t="n"/>
      <c r="AY1177" s="5" t="n"/>
      <c r="AZ1177" s="5" t="n"/>
      <c r="BA1177" s="5" t="n"/>
      <c r="BB1177" s="5" t="n"/>
      <c r="BC1177" s="5" t="n"/>
      <c r="BD1177" s="5" t="n"/>
      <c r="BE1177" s="5" t="n"/>
      <c r="BF1177" s="5" t="n"/>
      <c r="BG1177" s="5" t="n"/>
      <c r="BH1177" s="5" t="n"/>
      <c r="BI1177" s="5" t="n"/>
      <c r="BJ1177" s="5" t="n"/>
      <c r="BK1177" s="5" t="n"/>
      <c r="BL1177" s="5" t="n"/>
      <c r="BM1177" s="5" t="n"/>
      <c r="BN1177" s="5" t="n"/>
      <c r="BO1177" s="5" t="n"/>
      <c r="BP1177" s="5" t="n"/>
      <c r="BQ1177" s="5" t="n"/>
      <c r="BR1177" s="5" t="n"/>
      <c r="BS1177" s="5" t="n"/>
      <c r="BT1177" s="5" t="n"/>
      <c r="BU1177" s="5" t="n"/>
      <c r="BV1177" s="5" t="n"/>
      <c r="BW1177" s="5" t="n"/>
      <c r="BX1177" s="5" t="n"/>
      <c r="BY1177" s="5" t="n"/>
      <c r="BZ1177" s="5" t="n"/>
      <c r="CA1177" s="5" t="n"/>
      <c r="CB1177" s="5" t="n"/>
      <c r="CC1177" s="5" t="n"/>
      <c r="CD1177" s="5" t="n"/>
      <c r="CE1177" s="5" t="n"/>
      <c r="CF1177" s="5" t="n"/>
    </row>
    <row r="1178">
      <c r="A1178" s="171" t="n"/>
      <c r="B1178" s="171" t="n"/>
      <c r="C1178" s="171" t="n"/>
      <c r="D1178" s="170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  <c r="AN1178" s="5" t="n"/>
      <c r="AO1178" s="5" t="n"/>
      <c r="AP1178" s="5" t="n"/>
      <c r="AQ1178" s="5" t="n"/>
      <c r="AR1178" s="5" t="n"/>
      <c r="AS1178" s="5" t="n"/>
      <c r="AT1178" s="5" t="n"/>
      <c r="AU1178" s="5" t="n"/>
      <c r="AV1178" s="5" t="n"/>
      <c r="AW1178" s="5" t="n"/>
      <c r="AX1178" s="5" t="n"/>
      <c r="AY1178" s="5" t="n"/>
      <c r="AZ1178" s="5" t="n"/>
      <c r="BA1178" s="5" t="n"/>
      <c r="BB1178" s="5" t="n"/>
      <c r="BC1178" s="5" t="n"/>
      <c r="BD1178" s="5" t="n"/>
      <c r="BE1178" s="5" t="n"/>
      <c r="BF1178" s="5" t="n"/>
      <c r="BG1178" s="5" t="n"/>
      <c r="BH1178" s="5" t="n"/>
      <c r="BI1178" s="5" t="n"/>
      <c r="BJ1178" s="5" t="n"/>
      <c r="BK1178" s="5" t="n"/>
      <c r="BL1178" s="5" t="n"/>
      <c r="BM1178" s="5" t="n"/>
      <c r="BN1178" s="5" t="n"/>
      <c r="BO1178" s="5" t="n"/>
      <c r="BP1178" s="5" t="n"/>
      <c r="BQ1178" s="5" t="n"/>
      <c r="BR1178" s="5" t="n"/>
      <c r="BS1178" s="5" t="n"/>
      <c r="BT1178" s="5" t="n"/>
      <c r="BU1178" s="5" t="n"/>
      <c r="BV1178" s="5" t="n"/>
      <c r="BW1178" s="5" t="n"/>
      <c r="BX1178" s="5" t="n"/>
      <c r="BY1178" s="5" t="n"/>
      <c r="BZ1178" s="5" t="n"/>
      <c r="CA1178" s="5" t="n"/>
      <c r="CB1178" s="5" t="n"/>
      <c r="CC1178" s="5" t="n"/>
      <c r="CD1178" s="5" t="n"/>
      <c r="CE1178" s="5" t="n"/>
      <c r="CF1178" s="5" t="n"/>
    </row>
    <row r="1179">
      <c r="A1179" s="171" t="n"/>
      <c r="B1179" s="171" t="n"/>
      <c r="C1179" s="171" t="n"/>
      <c r="D1179" s="170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  <c r="AN1179" s="5" t="n"/>
      <c r="AO1179" s="5" t="n"/>
      <c r="AP1179" s="5" t="n"/>
      <c r="AQ1179" s="5" t="n"/>
      <c r="AR1179" s="5" t="n"/>
      <c r="AS1179" s="5" t="n"/>
      <c r="AT1179" s="5" t="n"/>
      <c r="AU1179" s="5" t="n"/>
      <c r="AV1179" s="5" t="n"/>
      <c r="AW1179" s="5" t="n"/>
      <c r="AX1179" s="5" t="n"/>
      <c r="AY1179" s="5" t="n"/>
      <c r="AZ1179" s="5" t="n"/>
      <c r="BA1179" s="5" t="n"/>
      <c r="BB1179" s="5" t="n"/>
      <c r="BC1179" s="5" t="n"/>
      <c r="BD1179" s="5" t="n"/>
      <c r="BE1179" s="5" t="n"/>
      <c r="BF1179" s="5" t="n"/>
      <c r="BG1179" s="5" t="n"/>
      <c r="BH1179" s="5" t="n"/>
      <c r="BI1179" s="5" t="n"/>
      <c r="BJ1179" s="5" t="n"/>
      <c r="BK1179" s="5" t="n"/>
      <c r="BL1179" s="5" t="n"/>
      <c r="BM1179" s="5" t="n"/>
      <c r="BN1179" s="5" t="n"/>
      <c r="BO1179" s="5" t="n"/>
      <c r="BP1179" s="5" t="n"/>
      <c r="BQ1179" s="5" t="n"/>
      <c r="BR1179" s="5" t="n"/>
      <c r="BS1179" s="5" t="n"/>
      <c r="BT1179" s="5" t="n"/>
      <c r="BU1179" s="5" t="n"/>
      <c r="BV1179" s="5" t="n"/>
      <c r="BW1179" s="5" t="n"/>
      <c r="BX1179" s="5" t="n"/>
      <c r="BY1179" s="5" t="n"/>
      <c r="BZ1179" s="5" t="n"/>
      <c r="CA1179" s="5" t="n"/>
      <c r="CB1179" s="5" t="n"/>
      <c r="CC1179" s="5" t="n"/>
      <c r="CD1179" s="5" t="n"/>
      <c r="CE1179" s="5" t="n"/>
      <c r="CF1179" s="5" t="n"/>
    </row>
    <row r="1180">
      <c r="A1180" s="171" t="n"/>
      <c r="B1180" s="171" t="n"/>
      <c r="C1180" s="171" t="n"/>
      <c r="D1180" s="170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  <c r="AN1180" s="5" t="n"/>
      <c r="AO1180" s="5" t="n"/>
      <c r="AP1180" s="5" t="n"/>
      <c r="AQ1180" s="5" t="n"/>
      <c r="AR1180" s="5" t="n"/>
      <c r="AS1180" s="5" t="n"/>
      <c r="AT1180" s="5" t="n"/>
      <c r="AU1180" s="5" t="n"/>
      <c r="AV1180" s="5" t="n"/>
      <c r="AW1180" s="5" t="n"/>
      <c r="AX1180" s="5" t="n"/>
      <c r="AY1180" s="5" t="n"/>
      <c r="AZ1180" s="5" t="n"/>
      <c r="BA1180" s="5" t="n"/>
      <c r="BB1180" s="5" t="n"/>
      <c r="BC1180" s="5" t="n"/>
      <c r="BD1180" s="5" t="n"/>
      <c r="BE1180" s="5" t="n"/>
      <c r="BF1180" s="5" t="n"/>
      <c r="BG1180" s="5" t="n"/>
      <c r="BH1180" s="5" t="n"/>
      <c r="BI1180" s="5" t="n"/>
      <c r="BJ1180" s="5" t="n"/>
      <c r="BK1180" s="5" t="n"/>
      <c r="BL1180" s="5" t="n"/>
      <c r="BM1180" s="5" t="n"/>
      <c r="BN1180" s="5" t="n"/>
      <c r="BO1180" s="5" t="n"/>
      <c r="BP1180" s="5" t="n"/>
      <c r="BQ1180" s="5" t="n"/>
      <c r="BR1180" s="5" t="n"/>
      <c r="BS1180" s="5" t="n"/>
      <c r="BT1180" s="5" t="n"/>
      <c r="BU1180" s="5" t="n"/>
      <c r="BV1180" s="5" t="n"/>
      <c r="BW1180" s="5" t="n"/>
      <c r="BX1180" s="5" t="n"/>
      <c r="BY1180" s="5" t="n"/>
      <c r="BZ1180" s="5" t="n"/>
      <c r="CA1180" s="5" t="n"/>
      <c r="CB1180" s="5" t="n"/>
      <c r="CC1180" s="5" t="n"/>
      <c r="CD1180" s="5" t="n"/>
      <c r="CE1180" s="5" t="n"/>
      <c r="CF1180" s="5" t="n"/>
    </row>
    <row r="1181">
      <c r="A1181" s="171" t="n"/>
      <c r="B1181" s="171" t="n"/>
      <c r="C1181" s="171" t="n"/>
      <c r="D1181" s="170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  <c r="AN1181" s="5" t="n"/>
      <c r="AO1181" s="5" t="n"/>
      <c r="AP1181" s="5" t="n"/>
      <c r="AQ1181" s="5" t="n"/>
      <c r="AR1181" s="5" t="n"/>
      <c r="AS1181" s="5" t="n"/>
      <c r="AT1181" s="5" t="n"/>
      <c r="AU1181" s="5" t="n"/>
      <c r="AV1181" s="5" t="n"/>
      <c r="AW1181" s="5" t="n"/>
      <c r="AX1181" s="5" t="n"/>
      <c r="AY1181" s="5" t="n"/>
      <c r="AZ1181" s="5" t="n"/>
      <c r="BA1181" s="5" t="n"/>
      <c r="BB1181" s="5" t="n"/>
      <c r="BC1181" s="5" t="n"/>
      <c r="BD1181" s="5" t="n"/>
      <c r="BE1181" s="5" t="n"/>
      <c r="BF1181" s="5" t="n"/>
      <c r="BG1181" s="5" t="n"/>
      <c r="BH1181" s="5" t="n"/>
      <c r="BI1181" s="5" t="n"/>
      <c r="BJ1181" s="5" t="n"/>
      <c r="BK1181" s="5" t="n"/>
      <c r="BL1181" s="5" t="n"/>
      <c r="BM1181" s="5" t="n"/>
      <c r="BN1181" s="5" t="n"/>
      <c r="BO1181" s="5" t="n"/>
      <c r="BP1181" s="5" t="n"/>
      <c r="BQ1181" s="5" t="n"/>
      <c r="BR1181" s="5" t="n"/>
      <c r="BS1181" s="5" t="n"/>
      <c r="BT1181" s="5" t="n"/>
      <c r="BU1181" s="5" t="n"/>
      <c r="BV1181" s="5" t="n"/>
      <c r="BW1181" s="5" t="n"/>
      <c r="BX1181" s="5" t="n"/>
      <c r="BY1181" s="5" t="n"/>
      <c r="BZ1181" s="5" t="n"/>
      <c r="CA1181" s="5" t="n"/>
      <c r="CB1181" s="5" t="n"/>
      <c r="CC1181" s="5" t="n"/>
      <c r="CD1181" s="5" t="n"/>
      <c r="CE1181" s="5" t="n"/>
      <c r="CF1181" s="5" t="n"/>
    </row>
    <row r="1182">
      <c r="D1182" s="172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  <c r="AN1182" s="5" t="n"/>
      <c r="AO1182" s="5" t="n"/>
      <c r="AP1182" s="5" t="n"/>
      <c r="AQ1182" s="5" t="n"/>
      <c r="AR1182" s="5" t="n"/>
      <c r="AS1182" s="5" t="n"/>
      <c r="AT1182" s="5" t="n"/>
      <c r="AU1182" s="5" t="n"/>
      <c r="AV1182" s="5" t="n"/>
      <c r="AW1182" s="5" t="n"/>
      <c r="AX1182" s="5" t="n"/>
      <c r="AY1182" s="5" t="n"/>
      <c r="AZ1182" s="5" t="n"/>
      <c r="BA1182" s="5" t="n"/>
      <c r="BB1182" s="5" t="n"/>
      <c r="BC1182" s="5" t="n"/>
      <c r="BD1182" s="5" t="n"/>
      <c r="BE1182" s="5" t="n"/>
      <c r="BF1182" s="5" t="n"/>
      <c r="BG1182" s="5" t="n"/>
      <c r="BH1182" s="5" t="n"/>
      <c r="BI1182" s="5" t="n"/>
      <c r="BJ1182" s="5" t="n"/>
      <c r="BK1182" s="5" t="n"/>
      <c r="BL1182" s="5" t="n"/>
      <c r="BM1182" s="5" t="n"/>
      <c r="BN1182" s="5" t="n"/>
      <c r="BO1182" s="5" t="n"/>
      <c r="BP1182" s="5" t="n"/>
      <c r="BQ1182" s="5" t="n"/>
      <c r="BR1182" s="5" t="n"/>
      <c r="BS1182" s="5" t="n"/>
      <c r="BT1182" s="5" t="n"/>
      <c r="BU1182" s="5" t="n"/>
      <c r="BV1182" s="5" t="n"/>
      <c r="BW1182" s="5" t="n"/>
      <c r="BX1182" s="5" t="n"/>
      <c r="BY1182" s="5" t="n"/>
      <c r="BZ1182" s="5" t="n"/>
      <c r="CA1182" s="5" t="n"/>
      <c r="CB1182" s="5" t="n"/>
      <c r="CC1182" s="5" t="n"/>
      <c r="CD1182" s="5" t="n"/>
      <c r="CE1182" s="5" t="n"/>
      <c r="CF1182" s="5" t="n"/>
    </row>
    <row r="1183">
      <c r="D1183" s="172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  <c r="AN1183" s="5" t="n"/>
      <c r="AO1183" s="5" t="n"/>
      <c r="AP1183" s="5" t="n"/>
      <c r="AQ1183" s="5" t="n"/>
      <c r="AR1183" s="5" t="n"/>
      <c r="AS1183" s="5" t="n"/>
      <c r="AT1183" s="5" t="n"/>
      <c r="AU1183" s="5" t="n"/>
      <c r="AV1183" s="5" t="n"/>
      <c r="AW1183" s="5" t="n"/>
      <c r="AX1183" s="5" t="n"/>
      <c r="AY1183" s="5" t="n"/>
      <c r="AZ1183" s="5" t="n"/>
      <c r="BA1183" s="5" t="n"/>
      <c r="BB1183" s="5" t="n"/>
      <c r="BC1183" s="5" t="n"/>
      <c r="BD1183" s="5" t="n"/>
      <c r="BE1183" s="5" t="n"/>
      <c r="BF1183" s="5" t="n"/>
      <c r="BG1183" s="5" t="n"/>
      <c r="BH1183" s="5" t="n"/>
      <c r="BI1183" s="5" t="n"/>
      <c r="BJ1183" s="5" t="n"/>
      <c r="BK1183" s="5" t="n"/>
      <c r="BL1183" s="5" t="n"/>
      <c r="BM1183" s="5" t="n"/>
      <c r="BN1183" s="5" t="n"/>
      <c r="BO1183" s="5" t="n"/>
      <c r="BP1183" s="5" t="n"/>
      <c r="BQ1183" s="5" t="n"/>
      <c r="BR1183" s="5" t="n"/>
      <c r="BS1183" s="5" t="n"/>
      <c r="BT1183" s="5" t="n"/>
      <c r="BU1183" s="5" t="n"/>
      <c r="BV1183" s="5" t="n"/>
      <c r="BW1183" s="5" t="n"/>
      <c r="BX1183" s="5" t="n"/>
      <c r="BY1183" s="5" t="n"/>
      <c r="BZ1183" s="5" t="n"/>
      <c r="CA1183" s="5" t="n"/>
      <c r="CB1183" s="5" t="n"/>
      <c r="CC1183" s="5" t="n"/>
      <c r="CD1183" s="5" t="n"/>
      <c r="CE1183" s="5" t="n"/>
      <c r="CF1183" s="5" t="n"/>
    </row>
    <row r="1184">
      <c r="D1184" s="172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  <c r="AN1184" s="5" t="n"/>
      <c r="AO1184" s="5" t="n"/>
      <c r="AP1184" s="5" t="n"/>
      <c r="AQ1184" s="5" t="n"/>
      <c r="AR1184" s="5" t="n"/>
      <c r="AS1184" s="5" t="n"/>
      <c r="AT1184" s="5" t="n"/>
      <c r="AU1184" s="5" t="n"/>
      <c r="AV1184" s="5" t="n"/>
      <c r="AW1184" s="5" t="n"/>
      <c r="AX1184" s="5" t="n"/>
      <c r="AY1184" s="5" t="n"/>
      <c r="AZ1184" s="5" t="n"/>
      <c r="BA1184" s="5" t="n"/>
      <c r="BB1184" s="5" t="n"/>
      <c r="BC1184" s="5" t="n"/>
      <c r="BD1184" s="5" t="n"/>
      <c r="BE1184" s="5" t="n"/>
      <c r="BF1184" s="5" t="n"/>
      <c r="BG1184" s="5" t="n"/>
      <c r="BH1184" s="5" t="n"/>
      <c r="BI1184" s="5" t="n"/>
      <c r="BJ1184" s="5" t="n"/>
      <c r="BK1184" s="5" t="n"/>
      <c r="BL1184" s="5" t="n"/>
      <c r="BM1184" s="5" t="n"/>
      <c r="BN1184" s="5" t="n"/>
      <c r="BO1184" s="5" t="n"/>
      <c r="BP1184" s="5" t="n"/>
      <c r="BQ1184" s="5" t="n"/>
      <c r="BR1184" s="5" t="n"/>
      <c r="BS1184" s="5" t="n"/>
      <c r="BT1184" s="5" t="n"/>
      <c r="BU1184" s="5" t="n"/>
      <c r="BV1184" s="5" t="n"/>
      <c r="BW1184" s="5" t="n"/>
      <c r="BX1184" s="5" t="n"/>
      <c r="BY1184" s="5" t="n"/>
      <c r="BZ1184" s="5" t="n"/>
      <c r="CA1184" s="5" t="n"/>
      <c r="CB1184" s="5" t="n"/>
      <c r="CC1184" s="5" t="n"/>
      <c r="CD1184" s="5" t="n"/>
      <c r="CE1184" s="5" t="n"/>
      <c r="CF1184" s="5" t="n"/>
    </row>
    <row r="1185">
      <c r="D1185" s="172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  <c r="AN1185" s="5" t="n"/>
      <c r="AO1185" s="5" t="n"/>
      <c r="AP1185" s="5" t="n"/>
      <c r="AQ1185" s="5" t="n"/>
      <c r="AR1185" s="5" t="n"/>
      <c r="AS1185" s="5" t="n"/>
      <c r="AT1185" s="5" t="n"/>
      <c r="AU1185" s="5" t="n"/>
      <c r="AV1185" s="5" t="n"/>
      <c r="AW1185" s="5" t="n"/>
      <c r="AX1185" s="5" t="n"/>
      <c r="AY1185" s="5" t="n"/>
      <c r="AZ1185" s="5" t="n"/>
      <c r="BA1185" s="5" t="n"/>
      <c r="BB1185" s="5" t="n"/>
      <c r="BC1185" s="5" t="n"/>
      <c r="BD1185" s="5" t="n"/>
      <c r="BE1185" s="5" t="n"/>
      <c r="BF1185" s="5" t="n"/>
      <c r="BG1185" s="5" t="n"/>
      <c r="BH1185" s="5" t="n"/>
      <c r="BI1185" s="5" t="n"/>
      <c r="BJ1185" s="5" t="n"/>
      <c r="BK1185" s="5" t="n"/>
      <c r="BL1185" s="5" t="n"/>
      <c r="BM1185" s="5" t="n"/>
      <c r="BN1185" s="5" t="n"/>
      <c r="BO1185" s="5" t="n"/>
      <c r="BP1185" s="5" t="n"/>
      <c r="BQ1185" s="5" t="n"/>
      <c r="BR1185" s="5" t="n"/>
      <c r="BS1185" s="5" t="n"/>
      <c r="BT1185" s="5" t="n"/>
      <c r="BU1185" s="5" t="n"/>
      <c r="BV1185" s="5" t="n"/>
      <c r="BW1185" s="5" t="n"/>
      <c r="BX1185" s="5" t="n"/>
      <c r="BY1185" s="5" t="n"/>
      <c r="BZ1185" s="5" t="n"/>
      <c r="CA1185" s="5" t="n"/>
      <c r="CB1185" s="5" t="n"/>
      <c r="CC1185" s="5" t="n"/>
      <c r="CD1185" s="5" t="n"/>
      <c r="CE1185" s="5" t="n"/>
      <c r="CF1185" s="5" t="n"/>
    </row>
    <row r="1186">
      <c r="D1186" s="172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  <c r="AN1186" s="5" t="n"/>
      <c r="AO1186" s="5" t="n"/>
      <c r="AP1186" s="5" t="n"/>
      <c r="AQ1186" s="5" t="n"/>
      <c r="AR1186" s="5" t="n"/>
      <c r="AS1186" s="5" t="n"/>
      <c r="AT1186" s="5" t="n"/>
      <c r="AU1186" s="5" t="n"/>
      <c r="AV1186" s="5" t="n"/>
      <c r="AW1186" s="5" t="n"/>
      <c r="AX1186" s="5" t="n"/>
      <c r="AY1186" s="5" t="n"/>
      <c r="AZ1186" s="5" t="n"/>
      <c r="BA1186" s="5" t="n"/>
      <c r="BB1186" s="5" t="n"/>
      <c r="BC1186" s="5" t="n"/>
      <c r="BD1186" s="5" t="n"/>
      <c r="BE1186" s="5" t="n"/>
      <c r="BF1186" s="5" t="n"/>
      <c r="BG1186" s="5" t="n"/>
      <c r="BH1186" s="5" t="n"/>
      <c r="BI1186" s="5" t="n"/>
      <c r="BJ1186" s="5" t="n"/>
      <c r="BK1186" s="5" t="n"/>
      <c r="BL1186" s="5" t="n"/>
      <c r="BM1186" s="5" t="n"/>
      <c r="BN1186" s="5" t="n"/>
      <c r="BO1186" s="5" t="n"/>
      <c r="BP1186" s="5" t="n"/>
      <c r="BQ1186" s="5" t="n"/>
      <c r="BR1186" s="5" t="n"/>
      <c r="BS1186" s="5" t="n"/>
      <c r="BT1186" s="5" t="n"/>
      <c r="BU1186" s="5" t="n"/>
      <c r="BV1186" s="5" t="n"/>
      <c r="BW1186" s="5" t="n"/>
      <c r="BX1186" s="5" t="n"/>
      <c r="BY1186" s="5" t="n"/>
      <c r="BZ1186" s="5" t="n"/>
      <c r="CA1186" s="5" t="n"/>
      <c r="CB1186" s="5" t="n"/>
      <c r="CC1186" s="5" t="n"/>
      <c r="CD1186" s="5" t="n"/>
      <c r="CE1186" s="5" t="n"/>
      <c r="CF1186" s="5" t="n"/>
    </row>
    <row r="1187">
      <c r="D1187" s="172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  <c r="AN1187" s="5" t="n"/>
      <c r="AO1187" s="5" t="n"/>
      <c r="AP1187" s="5" t="n"/>
      <c r="AQ1187" s="5" t="n"/>
      <c r="AR1187" s="5" t="n"/>
      <c r="AS1187" s="5" t="n"/>
      <c r="AT1187" s="5" t="n"/>
      <c r="AU1187" s="5" t="n"/>
      <c r="AV1187" s="5" t="n"/>
      <c r="AW1187" s="5" t="n"/>
      <c r="AX1187" s="5" t="n"/>
      <c r="AY1187" s="5" t="n"/>
      <c r="AZ1187" s="5" t="n"/>
      <c r="BA1187" s="5" t="n"/>
      <c r="BB1187" s="5" t="n"/>
      <c r="BC1187" s="5" t="n"/>
      <c r="BD1187" s="5" t="n"/>
      <c r="BE1187" s="5" t="n"/>
      <c r="BF1187" s="5" t="n"/>
      <c r="BG1187" s="5" t="n"/>
      <c r="BH1187" s="5" t="n"/>
      <c r="BI1187" s="5" t="n"/>
      <c r="BJ1187" s="5" t="n"/>
      <c r="BK1187" s="5" t="n"/>
      <c r="BL1187" s="5" t="n"/>
      <c r="BM1187" s="5" t="n"/>
      <c r="BN1187" s="5" t="n"/>
      <c r="BO1187" s="5" t="n"/>
      <c r="BP1187" s="5" t="n"/>
      <c r="BQ1187" s="5" t="n"/>
      <c r="BR1187" s="5" t="n"/>
      <c r="BS1187" s="5" t="n"/>
      <c r="BT1187" s="5" t="n"/>
      <c r="BU1187" s="5" t="n"/>
      <c r="BV1187" s="5" t="n"/>
      <c r="BW1187" s="5" t="n"/>
      <c r="BX1187" s="5" t="n"/>
      <c r="BY1187" s="5" t="n"/>
      <c r="BZ1187" s="5" t="n"/>
      <c r="CA1187" s="5" t="n"/>
      <c r="CB1187" s="5" t="n"/>
      <c r="CC1187" s="5" t="n"/>
      <c r="CD1187" s="5" t="n"/>
      <c r="CE1187" s="5" t="n"/>
      <c r="CF1187" s="5" t="n"/>
    </row>
    <row r="1188">
      <c r="D1188" s="172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  <c r="AN1188" s="5" t="n"/>
      <c r="AO1188" s="5" t="n"/>
      <c r="AP1188" s="5" t="n"/>
      <c r="AQ1188" s="5" t="n"/>
      <c r="AR1188" s="5" t="n"/>
      <c r="AS1188" s="5" t="n"/>
      <c r="AT1188" s="5" t="n"/>
      <c r="AU1188" s="5" t="n"/>
      <c r="AV1188" s="5" t="n"/>
      <c r="AW1188" s="5" t="n"/>
      <c r="AX1188" s="5" t="n"/>
      <c r="AY1188" s="5" t="n"/>
      <c r="AZ1188" s="5" t="n"/>
      <c r="BA1188" s="5" t="n"/>
      <c r="BB1188" s="5" t="n"/>
      <c r="BC1188" s="5" t="n"/>
      <c r="BD1188" s="5" t="n"/>
      <c r="BE1188" s="5" t="n"/>
      <c r="BF1188" s="5" t="n"/>
      <c r="BG1188" s="5" t="n"/>
      <c r="BH1188" s="5" t="n"/>
      <c r="BI1188" s="5" t="n"/>
      <c r="BJ1188" s="5" t="n"/>
      <c r="BK1188" s="5" t="n"/>
      <c r="BL1188" s="5" t="n"/>
      <c r="BM1188" s="5" t="n"/>
      <c r="BN1188" s="5" t="n"/>
      <c r="BO1188" s="5" t="n"/>
      <c r="BP1188" s="5" t="n"/>
      <c r="BQ1188" s="5" t="n"/>
      <c r="BR1188" s="5" t="n"/>
      <c r="BS1188" s="5" t="n"/>
      <c r="BT1188" s="5" t="n"/>
      <c r="BU1188" s="5" t="n"/>
      <c r="BV1188" s="5" t="n"/>
      <c r="BW1188" s="5" t="n"/>
      <c r="BX1188" s="5" t="n"/>
      <c r="BY1188" s="5" t="n"/>
      <c r="BZ1188" s="5" t="n"/>
      <c r="CA1188" s="5" t="n"/>
      <c r="CB1188" s="5" t="n"/>
      <c r="CC1188" s="5" t="n"/>
      <c r="CD1188" s="5" t="n"/>
      <c r="CE1188" s="5" t="n"/>
      <c r="CF1188" s="5" t="n"/>
    </row>
    <row r="1189">
      <c r="D1189" s="172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  <c r="AN1189" s="5" t="n"/>
      <c r="AO1189" s="5" t="n"/>
      <c r="AP1189" s="5" t="n"/>
      <c r="AQ1189" s="5" t="n"/>
      <c r="AR1189" s="5" t="n"/>
      <c r="AS1189" s="5" t="n"/>
      <c r="AT1189" s="5" t="n"/>
      <c r="AU1189" s="5" t="n"/>
      <c r="AV1189" s="5" t="n"/>
      <c r="AW1189" s="5" t="n"/>
      <c r="AX1189" s="5" t="n"/>
      <c r="AY1189" s="5" t="n"/>
      <c r="AZ1189" s="5" t="n"/>
      <c r="BA1189" s="5" t="n"/>
      <c r="BB1189" s="5" t="n"/>
      <c r="BC1189" s="5" t="n"/>
      <c r="BD1189" s="5" t="n"/>
      <c r="BE1189" s="5" t="n"/>
      <c r="BF1189" s="5" t="n"/>
      <c r="BG1189" s="5" t="n"/>
      <c r="BH1189" s="5" t="n"/>
      <c r="BI1189" s="5" t="n"/>
      <c r="BJ1189" s="5" t="n"/>
      <c r="BK1189" s="5" t="n"/>
      <c r="BL1189" s="5" t="n"/>
      <c r="BM1189" s="5" t="n"/>
      <c r="BN1189" s="5" t="n"/>
      <c r="BO1189" s="5" t="n"/>
      <c r="BP1189" s="5" t="n"/>
      <c r="BQ1189" s="5" t="n"/>
      <c r="BR1189" s="5" t="n"/>
      <c r="BS1189" s="5" t="n"/>
      <c r="BT1189" s="5" t="n"/>
      <c r="BU1189" s="5" t="n"/>
      <c r="BV1189" s="5" t="n"/>
      <c r="BW1189" s="5" t="n"/>
      <c r="BX1189" s="5" t="n"/>
      <c r="BY1189" s="5" t="n"/>
      <c r="BZ1189" s="5" t="n"/>
      <c r="CA1189" s="5" t="n"/>
      <c r="CB1189" s="5" t="n"/>
      <c r="CC1189" s="5" t="n"/>
      <c r="CD1189" s="5" t="n"/>
      <c r="CE1189" s="5" t="n"/>
      <c r="CF1189" s="5" t="n"/>
    </row>
    <row r="1190">
      <c r="D1190" s="172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  <c r="AN1190" s="5" t="n"/>
      <c r="AO1190" s="5" t="n"/>
      <c r="AP1190" s="5" t="n"/>
      <c r="AQ1190" s="5" t="n"/>
      <c r="AR1190" s="5" t="n"/>
      <c r="AS1190" s="5" t="n"/>
      <c r="AT1190" s="5" t="n"/>
      <c r="AU1190" s="5" t="n"/>
      <c r="AV1190" s="5" t="n"/>
      <c r="AW1190" s="5" t="n"/>
      <c r="AX1190" s="5" t="n"/>
      <c r="AY1190" s="5" t="n"/>
      <c r="AZ1190" s="5" t="n"/>
      <c r="BA1190" s="5" t="n"/>
      <c r="BB1190" s="5" t="n"/>
      <c r="BC1190" s="5" t="n"/>
      <c r="BD1190" s="5" t="n"/>
      <c r="BE1190" s="5" t="n"/>
      <c r="BF1190" s="5" t="n"/>
      <c r="BG1190" s="5" t="n"/>
      <c r="BH1190" s="5" t="n"/>
      <c r="BI1190" s="5" t="n"/>
      <c r="BJ1190" s="5" t="n"/>
      <c r="BK1190" s="5" t="n"/>
      <c r="BL1190" s="5" t="n"/>
      <c r="BM1190" s="5" t="n"/>
      <c r="BN1190" s="5" t="n"/>
      <c r="BO1190" s="5" t="n"/>
      <c r="BP1190" s="5" t="n"/>
      <c r="BQ1190" s="5" t="n"/>
      <c r="BR1190" s="5" t="n"/>
      <c r="BS1190" s="5" t="n"/>
      <c r="BT1190" s="5" t="n"/>
      <c r="BU1190" s="5" t="n"/>
      <c r="BV1190" s="5" t="n"/>
      <c r="BW1190" s="5" t="n"/>
      <c r="BX1190" s="5" t="n"/>
      <c r="BY1190" s="5" t="n"/>
      <c r="BZ1190" s="5" t="n"/>
      <c r="CA1190" s="5" t="n"/>
      <c r="CB1190" s="5" t="n"/>
      <c r="CC1190" s="5" t="n"/>
      <c r="CD1190" s="5" t="n"/>
      <c r="CE1190" s="5" t="n"/>
      <c r="CF1190" s="5" t="n"/>
    </row>
    <row r="1191">
      <c r="D1191" s="172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  <c r="AN1191" s="5" t="n"/>
      <c r="AO1191" s="5" t="n"/>
      <c r="AP1191" s="5" t="n"/>
      <c r="AQ1191" s="5" t="n"/>
      <c r="AR1191" s="5" t="n"/>
      <c r="AS1191" s="5" t="n"/>
      <c r="AT1191" s="5" t="n"/>
      <c r="AU1191" s="5" t="n"/>
      <c r="AV1191" s="5" t="n"/>
      <c r="AW1191" s="5" t="n"/>
      <c r="AX1191" s="5" t="n"/>
      <c r="AY1191" s="5" t="n"/>
      <c r="AZ1191" s="5" t="n"/>
      <c r="BA1191" s="5" t="n"/>
      <c r="BB1191" s="5" t="n"/>
      <c r="BC1191" s="5" t="n"/>
      <c r="BD1191" s="5" t="n"/>
      <c r="BE1191" s="5" t="n"/>
      <c r="BF1191" s="5" t="n"/>
      <c r="BG1191" s="5" t="n"/>
      <c r="BH1191" s="5" t="n"/>
      <c r="BI1191" s="5" t="n"/>
      <c r="BJ1191" s="5" t="n"/>
      <c r="BK1191" s="5" t="n"/>
      <c r="BL1191" s="5" t="n"/>
      <c r="BM1191" s="5" t="n"/>
      <c r="BN1191" s="5" t="n"/>
      <c r="BO1191" s="5" t="n"/>
      <c r="BP1191" s="5" t="n"/>
      <c r="BQ1191" s="5" t="n"/>
      <c r="BR1191" s="5" t="n"/>
      <c r="BS1191" s="5" t="n"/>
      <c r="BT1191" s="5" t="n"/>
      <c r="BU1191" s="5" t="n"/>
      <c r="BV1191" s="5" t="n"/>
      <c r="BW1191" s="5" t="n"/>
      <c r="BX1191" s="5" t="n"/>
      <c r="BY1191" s="5" t="n"/>
      <c r="BZ1191" s="5" t="n"/>
      <c r="CA1191" s="5" t="n"/>
      <c r="CB1191" s="5" t="n"/>
      <c r="CC1191" s="5" t="n"/>
      <c r="CD1191" s="5" t="n"/>
      <c r="CE1191" s="5" t="n"/>
      <c r="CF1191" s="5" t="n"/>
    </row>
    <row r="1192">
      <c r="D1192" s="172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  <c r="AN1192" s="5" t="n"/>
      <c r="AO1192" s="5" t="n"/>
      <c r="AP1192" s="5" t="n"/>
      <c r="AQ1192" s="5" t="n"/>
      <c r="AR1192" s="5" t="n"/>
      <c r="AS1192" s="5" t="n"/>
      <c r="AT1192" s="5" t="n"/>
      <c r="AU1192" s="5" t="n"/>
      <c r="AV1192" s="5" t="n"/>
      <c r="AW1192" s="5" t="n"/>
      <c r="AX1192" s="5" t="n"/>
      <c r="AY1192" s="5" t="n"/>
      <c r="AZ1192" s="5" t="n"/>
      <c r="BA1192" s="5" t="n"/>
      <c r="BB1192" s="5" t="n"/>
      <c r="BC1192" s="5" t="n"/>
      <c r="BD1192" s="5" t="n"/>
      <c r="BE1192" s="5" t="n"/>
      <c r="BF1192" s="5" t="n"/>
      <c r="BG1192" s="5" t="n"/>
      <c r="BH1192" s="5" t="n"/>
      <c r="BI1192" s="5" t="n"/>
      <c r="BJ1192" s="5" t="n"/>
      <c r="BK1192" s="5" t="n"/>
      <c r="BL1192" s="5" t="n"/>
      <c r="BM1192" s="5" t="n"/>
      <c r="BN1192" s="5" t="n"/>
      <c r="BO1192" s="5" t="n"/>
      <c r="BP1192" s="5" t="n"/>
      <c r="BQ1192" s="5" t="n"/>
      <c r="BR1192" s="5" t="n"/>
      <c r="BS1192" s="5" t="n"/>
      <c r="BT1192" s="5" t="n"/>
      <c r="BU1192" s="5" t="n"/>
      <c r="BV1192" s="5" t="n"/>
      <c r="BW1192" s="5" t="n"/>
      <c r="BX1192" s="5" t="n"/>
      <c r="BY1192" s="5" t="n"/>
      <c r="BZ1192" s="5" t="n"/>
      <c r="CA1192" s="5" t="n"/>
      <c r="CB1192" s="5" t="n"/>
      <c r="CC1192" s="5" t="n"/>
      <c r="CD1192" s="5" t="n"/>
      <c r="CE1192" s="5" t="n"/>
      <c r="CF1192" s="5" t="n"/>
    </row>
    <row r="1193">
      <c r="D1193" s="172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  <c r="AN1193" s="5" t="n"/>
      <c r="AO1193" s="5" t="n"/>
      <c r="AP1193" s="5" t="n"/>
      <c r="AQ1193" s="5" t="n"/>
      <c r="AR1193" s="5" t="n"/>
      <c r="AS1193" s="5" t="n"/>
      <c r="AT1193" s="5" t="n"/>
      <c r="AU1193" s="5" t="n"/>
      <c r="AV1193" s="5" t="n"/>
      <c r="AW1193" s="5" t="n"/>
      <c r="AX1193" s="5" t="n"/>
      <c r="AY1193" s="5" t="n"/>
      <c r="AZ1193" s="5" t="n"/>
      <c r="BA1193" s="5" t="n"/>
      <c r="BB1193" s="5" t="n"/>
      <c r="BC1193" s="5" t="n"/>
      <c r="BD1193" s="5" t="n"/>
      <c r="BE1193" s="5" t="n"/>
      <c r="BF1193" s="5" t="n"/>
      <c r="BG1193" s="5" t="n"/>
      <c r="BH1193" s="5" t="n"/>
      <c r="BI1193" s="5" t="n"/>
      <c r="BJ1193" s="5" t="n"/>
      <c r="BK1193" s="5" t="n"/>
      <c r="BL1193" s="5" t="n"/>
      <c r="BM1193" s="5" t="n"/>
      <c r="BN1193" s="5" t="n"/>
      <c r="BO1193" s="5" t="n"/>
      <c r="BP1193" s="5" t="n"/>
      <c r="BQ1193" s="5" t="n"/>
      <c r="BR1193" s="5" t="n"/>
      <c r="BS1193" s="5" t="n"/>
      <c r="BT1193" s="5" t="n"/>
      <c r="BU1193" s="5" t="n"/>
      <c r="BV1193" s="5" t="n"/>
      <c r="BW1193" s="5" t="n"/>
      <c r="BX1193" s="5" t="n"/>
      <c r="BY1193" s="5" t="n"/>
      <c r="BZ1193" s="5" t="n"/>
      <c r="CA1193" s="5" t="n"/>
      <c r="CB1193" s="5" t="n"/>
      <c r="CC1193" s="5" t="n"/>
      <c r="CD1193" s="5" t="n"/>
      <c r="CE1193" s="5" t="n"/>
      <c r="CF1193" s="5" t="n"/>
    </row>
    <row r="1194">
      <c r="D1194" s="172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  <c r="AN1194" s="5" t="n"/>
      <c r="AO1194" s="5" t="n"/>
      <c r="AP1194" s="5" t="n"/>
      <c r="AQ1194" s="5" t="n"/>
      <c r="AR1194" s="5" t="n"/>
      <c r="AS1194" s="5" t="n"/>
      <c r="AT1194" s="5" t="n"/>
      <c r="AU1194" s="5" t="n"/>
      <c r="AV1194" s="5" t="n"/>
      <c r="AW1194" s="5" t="n"/>
      <c r="AX1194" s="5" t="n"/>
      <c r="AY1194" s="5" t="n"/>
      <c r="AZ1194" s="5" t="n"/>
      <c r="BA1194" s="5" t="n"/>
      <c r="BB1194" s="5" t="n"/>
      <c r="BC1194" s="5" t="n"/>
      <c r="BD1194" s="5" t="n"/>
      <c r="BE1194" s="5" t="n"/>
      <c r="BF1194" s="5" t="n"/>
      <c r="BG1194" s="5" t="n"/>
      <c r="BH1194" s="5" t="n"/>
      <c r="BI1194" s="5" t="n"/>
      <c r="BJ1194" s="5" t="n"/>
      <c r="BK1194" s="5" t="n"/>
      <c r="BL1194" s="5" t="n"/>
      <c r="BM1194" s="5" t="n"/>
      <c r="BN1194" s="5" t="n"/>
      <c r="BO1194" s="5" t="n"/>
      <c r="BP1194" s="5" t="n"/>
      <c r="BQ1194" s="5" t="n"/>
      <c r="BR1194" s="5" t="n"/>
      <c r="BS1194" s="5" t="n"/>
      <c r="BT1194" s="5" t="n"/>
      <c r="BU1194" s="5" t="n"/>
      <c r="BV1194" s="5" t="n"/>
      <c r="BW1194" s="5" t="n"/>
      <c r="BX1194" s="5" t="n"/>
      <c r="BY1194" s="5" t="n"/>
      <c r="BZ1194" s="5" t="n"/>
      <c r="CA1194" s="5" t="n"/>
      <c r="CB1194" s="5" t="n"/>
      <c r="CC1194" s="5" t="n"/>
      <c r="CD1194" s="5" t="n"/>
      <c r="CE1194" s="5" t="n"/>
      <c r="CF1194" s="5" t="n"/>
    </row>
    <row r="1195">
      <c r="D1195" s="172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  <c r="AN1195" s="5" t="n"/>
      <c r="AO1195" s="5" t="n"/>
      <c r="AP1195" s="5" t="n"/>
      <c r="AQ1195" s="5" t="n"/>
      <c r="AR1195" s="5" t="n"/>
      <c r="AS1195" s="5" t="n"/>
      <c r="AT1195" s="5" t="n"/>
      <c r="AU1195" s="5" t="n"/>
      <c r="AV1195" s="5" t="n"/>
      <c r="AW1195" s="5" t="n"/>
      <c r="AX1195" s="5" t="n"/>
      <c r="AY1195" s="5" t="n"/>
      <c r="AZ1195" s="5" t="n"/>
      <c r="BA1195" s="5" t="n"/>
      <c r="BB1195" s="5" t="n"/>
      <c r="BC1195" s="5" t="n"/>
      <c r="BD1195" s="5" t="n"/>
      <c r="BE1195" s="5" t="n"/>
      <c r="BF1195" s="5" t="n"/>
      <c r="BG1195" s="5" t="n"/>
      <c r="BH1195" s="5" t="n"/>
      <c r="BI1195" s="5" t="n"/>
      <c r="BJ1195" s="5" t="n"/>
      <c r="BK1195" s="5" t="n"/>
      <c r="BL1195" s="5" t="n"/>
      <c r="BM1195" s="5" t="n"/>
      <c r="BN1195" s="5" t="n"/>
      <c r="BO1195" s="5" t="n"/>
      <c r="BP1195" s="5" t="n"/>
      <c r="BQ1195" s="5" t="n"/>
      <c r="BR1195" s="5" t="n"/>
      <c r="BS1195" s="5" t="n"/>
      <c r="BT1195" s="5" t="n"/>
      <c r="BU1195" s="5" t="n"/>
      <c r="BV1195" s="5" t="n"/>
      <c r="BW1195" s="5" t="n"/>
      <c r="BX1195" s="5" t="n"/>
      <c r="BY1195" s="5" t="n"/>
      <c r="BZ1195" s="5" t="n"/>
      <c r="CA1195" s="5" t="n"/>
      <c r="CB1195" s="5" t="n"/>
      <c r="CC1195" s="5" t="n"/>
      <c r="CD1195" s="5" t="n"/>
      <c r="CE1195" s="5" t="n"/>
      <c r="CF1195" s="5" t="n"/>
    </row>
    <row r="1196">
      <c r="D1196" s="172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  <c r="AN1196" s="5" t="n"/>
      <c r="AO1196" s="5" t="n"/>
      <c r="AP1196" s="5" t="n"/>
      <c r="AQ1196" s="5" t="n"/>
      <c r="AR1196" s="5" t="n"/>
      <c r="AS1196" s="5" t="n"/>
      <c r="AT1196" s="5" t="n"/>
      <c r="AU1196" s="5" t="n"/>
      <c r="AV1196" s="5" t="n"/>
      <c r="AW1196" s="5" t="n"/>
      <c r="AX1196" s="5" t="n"/>
      <c r="AY1196" s="5" t="n"/>
      <c r="AZ1196" s="5" t="n"/>
      <c r="BA1196" s="5" t="n"/>
      <c r="BB1196" s="5" t="n"/>
      <c r="BC1196" s="5" t="n"/>
      <c r="BD1196" s="5" t="n"/>
      <c r="BE1196" s="5" t="n"/>
      <c r="BF1196" s="5" t="n"/>
      <c r="BG1196" s="5" t="n"/>
      <c r="BH1196" s="5" t="n"/>
      <c r="BI1196" s="5" t="n"/>
      <c r="BJ1196" s="5" t="n"/>
      <c r="BK1196" s="5" t="n"/>
      <c r="BL1196" s="5" t="n"/>
      <c r="BM1196" s="5" t="n"/>
      <c r="BN1196" s="5" t="n"/>
      <c r="BO1196" s="5" t="n"/>
      <c r="BP1196" s="5" t="n"/>
      <c r="BQ1196" s="5" t="n"/>
      <c r="BR1196" s="5" t="n"/>
      <c r="BS1196" s="5" t="n"/>
      <c r="BT1196" s="5" t="n"/>
      <c r="BU1196" s="5" t="n"/>
      <c r="BV1196" s="5" t="n"/>
      <c r="BW1196" s="5" t="n"/>
      <c r="BX1196" s="5" t="n"/>
      <c r="BY1196" s="5" t="n"/>
      <c r="BZ1196" s="5" t="n"/>
      <c r="CA1196" s="5" t="n"/>
      <c r="CB1196" s="5" t="n"/>
      <c r="CC1196" s="5" t="n"/>
      <c r="CD1196" s="5" t="n"/>
      <c r="CE1196" s="5" t="n"/>
      <c r="CF1196" s="5" t="n"/>
    </row>
    <row r="1197">
      <c r="D1197" s="172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  <c r="AN1197" s="5" t="n"/>
      <c r="AO1197" s="5" t="n"/>
      <c r="AP1197" s="5" t="n"/>
      <c r="AQ1197" s="5" t="n"/>
      <c r="AR1197" s="5" t="n"/>
      <c r="AS1197" s="5" t="n"/>
      <c r="AT1197" s="5" t="n"/>
      <c r="AU1197" s="5" t="n"/>
      <c r="AV1197" s="5" t="n"/>
      <c r="AW1197" s="5" t="n"/>
      <c r="AX1197" s="5" t="n"/>
      <c r="AY1197" s="5" t="n"/>
      <c r="AZ1197" s="5" t="n"/>
      <c r="BA1197" s="5" t="n"/>
      <c r="BB1197" s="5" t="n"/>
      <c r="BC1197" s="5" t="n"/>
      <c r="BD1197" s="5" t="n"/>
      <c r="BE1197" s="5" t="n"/>
      <c r="BF1197" s="5" t="n"/>
      <c r="BG1197" s="5" t="n"/>
      <c r="BH1197" s="5" t="n"/>
      <c r="BI1197" s="5" t="n"/>
      <c r="BJ1197" s="5" t="n"/>
      <c r="BK1197" s="5" t="n"/>
      <c r="BL1197" s="5" t="n"/>
      <c r="BM1197" s="5" t="n"/>
      <c r="BN1197" s="5" t="n"/>
      <c r="BO1197" s="5" t="n"/>
      <c r="BP1197" s="5" t="n"/>
      <c r="BQ1197" s="5" t="n"/>
      <c r="BR1197" s="5" t="n"/>
      <c r="BS1197" s="5" t="n"/>
      <c r="BT1197" s="5" t="n"/>
      <c r="BU1197" s="5" t="n"/>
      <c r="BV1197" s="5" t="n"/>
      <c r="BW1197" s="5" t="n"/>
      <c r="BX1197" s="5" t="n"/>
      <c r="BY1197" s="5" t="n"/>
      <c r="BZ1197" s="5" t="n"/>
      <c r="CA1197" s="5" t="n"/>
      <c r="CB1197" s="5" t="n"/>
      <c r="CC1197" s="5" t="n"/>
      <c r="CD1197" s="5" t="n"/>
      <c r="CE1197" s="5" t="n"/>
      <c r="CF1197" s="5" t="n"/>
    </row>
    <row r="1198">
      <c r="D1198" s="172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  <c r="AN1198" s="5" t="n"/>
      <c r="AO1198" s="5" t="n"/>
      <c r="AP1198" s="5" t="n"/>
      <c r="AQ1198" s="5" t="n"/>
      <c r="AR1198" s="5" t="n"/>
      <c r="AS1198" s="5" t="n"/>
      <c r="AT1198" s="5" t="n"/>
      <c r="AU1198" s="5" t="n"/>
      <c r="AV1198" s="5" t="n"/>
      <c r="AW1198" s="5" t="n"/>
      <c r="AX1198" s="5" t="n"/>
      <c r="AY1198" s="5" t="n"/>
      <c r="AZ1198" s="5" t="n"/>
      <c r="BA1198" s="5" t="n"/>
      <c r="BB1198" s="5" t="n"/>
      <c r="BC1198" s="5" t="n"/>
      <c r="BD1198" s="5" t="n"/>
      <c r="BE1198" s="5" t="n"/>
      <c r="BF1198" s="5" t="n"/>
      <c r="BG1198" s="5" t="n"/>
      <c r="BH1198" s="5" t="n"/>
      <c r="BI1198" s="5" t="n"/>
      <c r="BJ1198" s="5" t="n"/>
      <c r="BK1198" s="5" t="n"/>
      <c r="BL1198" s="5" t="n"/>
      <c r="BM1198" s="5" t="n"/>
      <c r="BN1198" s="5" t="n"/>
      <c r="BO1198" s="5" t="n"/>
      <c r="BP1198" s="5" t="n"/>
      <c r="BQ1198" s="5" t="n"/>
      <c r="BR1198" s="5" t="n"/>
      <c r="BS1198" s="5" t="n"/>
      <c r="BT1198" s="5" t="n"/>
      <c r="BU1198" s="5" t="n"/>
      <c r="BV1198" s="5" t="n"/>
      <c r="BW1198" s="5" t="n"/>
      <c r="BX1198" s="5" t="n"/>
      <c r="BY1198" s="5" t="n"/>
      <c r="BZ1198" s="5" t="n"/>
      <c r="CA1198" s="5" t="n"/>
      <c r="CB1198" s="5" t="n"/>
      <c r="CC1198" s="5" t="n"/>
      <c r="CD1198" s="5" t="n"/>
      <c r="CE1198" s="5" t="n"/>
      <c r="CF1198" s="5" t="n"/>
    </row>
    <row r="1199">
      <c r="D1199" s="172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  <c r="AN1199" s="5" t="n"/>
      <c r="AO1199" s="5" t="n"/>
      <c r="AP1199" s="5" t="n"/>
      <c r="AQ1199" s="5" t="n"/>
      <c r="AR1199" s="5" t="n"/>
      <c r="AS1199" s="5" t="n"/>
      <c r="AT1199" s="5" t="n"/>
      <c r="AU1199" s="5" t="n"/>
      <c r="AV1199" s="5" t="n"/>
      <c r="AW1199" s="5" t="n"/>
      <c r="AX1199" s="5" t="n"/>
      <c r="AY1199" s="5" t="n"/>
      <c r="AZ1199" s="5" t="n"/>
      <c r="BA1199" s="5" t="n"/>
      <c r="BB1199" s="5" t="n"/>
      <c r="BC1199" s="5" t="n"/>
      <c r="BD1199" s="5" t="n"/>
      <c r="BE1199" s="5" t="n"/>
      <c r="BF1199" s="5" t="n"/>
      <c r="BG1199" s="5" t="n"/>
      <c r="BH1199" s="5" t="n"/>
      <c r="BI1199" s="5" t="n"/>
      <c r="BJ1199" s="5" t="n"/>
      <c r="BK1199" s="5" t="n"/>
      <c r="BL1199" s="5" t="n"/>
      <c r="BM1199" s="5" t="n"/>
      <c r="BN1199" s="5" t="n"/>
      <c r="BO1199" s="5" t="n"/>
      <c r="BP1199" s="5" t="n"/>
      <c r="BQ1199" s="5" t="n"/>
      <c r="BR1199" s="5" t="n"/>
      <c r="BS1199" s="5" t="n"/>
      <c r="BT1199" s="5" t="n"/>
      <c r="BU1199" s="5" t="n"/>
      <c r="BV1199" s="5" t="n"/>
      <c r="BW1199" s="5" t="n"/>
      <c r="BX1199" s="5" t="n"/>
      <c r="BY1199" s="5" t="n"/>
      <c r="BZ1199" s="5" t="n"/>
      <c r="CA1199" s="5" t="n"/>
      <c r="CB1199" s="5" t="n"/>
      <c r="CC1199" s="5" t="n"/>
      <c r="CD1199" s="5" t="n"/>
      <c r="CE1199" s="5" t="n"/>
      <c r="CF1199" s="5" t="n"/>
    </row>
    <row r="1200">
      <c r="D1200" s="172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  <c r="AN1200" s="5" t="n"/>
      <c r="AO1200" s="5" t="n"/>
      <c r="AP1200" s="5" t="n"/>
      <c r="AQ1200" s="5" t="n"/>
      <c r="AR1200" s="5" t="n"/>
      <c r="AS1200" s="5" t="n"/>
      <c r="AT1200" s="5" t="n"/>
      <c r="AU1200" s="5" t="n"/>
      <c r="AV1200" s="5" t="n"/>
      <c r="AW1200" s="5" t="n"/>
      <c r="AX1200" s="5" t="n"/>
      <c r="AY1200" s="5" t="n"/>
      <c r="AZ1200" s="5" t="n"/>
      <c r="BA1200" s="5" t="n"/>
      <c r="BB1200" s="5" t="n"/>
      <c r="BC1200" s="5" t="n"/>
      <c r="BD1200" s="5" t="n"/>
      <c r="BE1200" s="5" t="n"/>
      <c r="BF1200" s="5" t="n"/>
      <c r="BG1200" s="5" t="n"/>
      <c r="BH1200" s="5" t="n"/>
      <c r="BI1200" s="5" t="n"/>
      <c r="BJ1200" s="5" t="n"/>
      <c r="BK1200" s="5" t="n"/>
      <c r="BL1200" s="5" t="n"/>
      <c r="BM1200" s="5" t="n"/>
      <c r="BN1200" s="5" t="n"/>
      <c r="BO1200" s="5" t="n"/>
      <c r="BP1200" s="5" t="n"/>
      <c r="BQ1200" s="5" t="n"/>
      <c r="BR1200" s="5" t="n"/>
      <c r="BS1200" s="5" t="n"/>
      <c r="BT1200" s="5" t="n"/>
      <c r="BU1200" s="5" t="n"/>
      <c r="BV1200" s="5" t="n"/>
      <c r="BW1200" s="5" t="n"/>
      <c r="BX1200" s="5" t="n"/>
      <c r="BY1200" s="5" t="n"/>
      <c r="BZ1200" s="5" t="n"/>
      <c r="CA1200" s="5" t="n"/>
      <c r="CB1200" s="5" t="n"/>
      <c r="CC1200" s="5" t="n"/>
      <c r="CD1200" s="5" t="n"/>
      <c r="CE1200" s="5" t="n"/>
      <c r="CF1200" s="5" t="n"/>
    </row>
    <row r="1201">
      <c r="D1201" s="172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  <c r="AN1201" s="5" t="n"/>
      <c r="AO1201" s="5" t="n"/>
      <c r="AP1201" s="5" t="n"/>
      <c r="AQ1201" s="5" t="n"/>
      <c r="AR1201" s="5" t="n"/>
      <c r="AS1201" s="5" t="n"/>
      <c r="AT1201" s="5" t="n"/>
      <c r="AU1201" s="5" t="n"/>
      <c r="AV1201" s="5" t="n"/>
      <c r="AW1201" s="5" t="n"/>
      <c r="AX1201" s="5" t="n"/>
      <c r="AY1201" s="5" t="n"/>
      <c r="AZ1201" s="5" t="n"/>
      <c r="BA1201" s="5" t="n"/>
      <c r="BB1201" s="5" t="n"/>
      <c r="BC1201" s="5" t="n"/>
      <c r="BD1201" s="5" t="n"/>
      <c r="BE1201" s="5" t="n"/>
      <c r="BF1201" s="5" t="n"/>
      <c r="BG1201" s="5" t="n"/>
      <c r="BH1201" s="5" t="n"/>
      <c r="BI1201" s="5" t="n"/>
      <c r="BJ1201" s="5" t="n"/>
      <c r="BK1201" s="5" t="n"/>
      <c r="BL1201" s="5" t="n"/>
      <c r="BM1201" s="5" t="n"/>
      <c r="BN1201" s="5" t="n"/>
      <c r="BO1201" s="5" t="n"/>
      <c r="BP1201" s="5" t="n"/>
      <c r="BQ1201" s="5" t="n"/>
      <c r="BR1201" s="5" t="n"/>
      <c r="BS1201" s="5" t="n"/>
      <c r="BT1201" s="5" t="n"/>
      <c r="BU1201" s="5" t="n"/>
      <c r="BV1201" s="5" t="n"/>
      <c r="BW1201" s="5" t="n"/>
      <c r="BX1201" s="5" t="n"/>
      <c r="BY1201" s="5" t="n"/>
      <c r="BZ1201" s="5" t="n"/>
      <c r="CA1201" s="5" t="n"/>
      <c r="CB1201" s="5" t="n"/>
      <c r="CC1201" s="5" t="n"/>
      <c r="CD1201" s="5" t="n"/>
      <c r="CE1201" s="5" t="n"/>
      <c r="CF1201" s="5" t="n"/>
    </row>
    <row r="1202">
      <c r="D1202" s="172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  <c r="AN1202" s="5" t="n"/>
      <c r="AO1202" s="5" t="n"/>
      <c r="AP1202" s="5" t="n"/>
      <c r="AQ1202" s="5" t="n"/>
      <c r="AR1202" s="5" t="n"/>
      <c r="AS1202" s="5" t="n"/>
      <c r="AT1202" s="5" t="n"/>
      <c r="AU1202" s="5" t="n"/>
      <c r="AV1202" s="5" t="n"/>
      <c r="AW1202" s="5" t="n"/>
      <c r="AX1202" s="5" t="n"/>
      <c r="AY1202" s="5" t="n"/>
      <c r="AZ1202" s="5" t="n"/>
      <c r="BA1202" s="5" t="n"/>
      <c r="BB1202" s="5" t="n"/>
      <c r="BC1202" s="5" t="n"/>
      <c r="BD1202" s="5" t="n"/>
      <c r="BE1202" s="5" t="n"/>
      <c r="BF1202" s="5" t="n"/>
      <c r="BG1202" s="5" t="n"/>
      <c r="BH1202" s="5" t="n"/>
      <c r="BI1202" s="5" t="n"/>
      <c r="BJ1202" s="5" t="n"/>
      <c r="BK1202" s="5" t="n"/>
      <c r="BL1202" s="5" t="n"/>
      <c r="BM1202" s="5" t="n"/>
      <c r="BN1202" s="5" t="n"/>
      <c r="BO1202" s="5" t="n"/>
      <c r="BP1202" s="5" t="n"/>
      <c r="BQ1202" s="5" t="n"/>
      <c r="BR1202" s="5" t="n"/>
      <c r="BS1202" s="5" t="n"/>
      <c r="BT1202" s="5" t="n"/>
      <c r="BU1202" s="5" t="n"/>
      <c r="BV1202" s="5" t="n"/>
      <c r="BW1202" s="5" t="n"/>
      <c r="BX1202" s="5" t="n"/>
      <c r="BY1202" s="5" t="n"/>
      <c r="BZ1202" s="5" t="n"/>
      <c r="CA1202" s="5" t="n"/>
      <c r="CB1202" s="5" t="n"/>
      <c r="CC1202" s="5" t="n"/>
      <c r="CD1202" s="5" t="n"/>
      <c r="CE1202" s="5" t="n"/>
      <c r="CF1202" s="5" t="n"/>
    </row>
    <row r="1203">
      <c r="D1203" s="172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  <c r="AN1203" s="5" t="n"/>
      <c r="AO1203" s="5" t="n"/>
      <c r="AP1203" s="5" t="n"/>
      <c r="AQ1203" s="5" t="n"/>
      <c r="AR1203" s="5" t="n"/>
      <c r="AS1203" s="5" t="n"/>
      <c r="AT1203" s="5" t="n"/>
      <c r="AU1203" s="5" t="n"/>
      <c r="AV1203" s="5" t="n"/>
      <c r="AW1203" s="5" t="n"/>
      <c r="AX1203" s="5" t="n"/>
      <c r="AY1203" s="5" t="n"/>
      <c r="AZ1203" s="5" t="n"/>
      <c r="BA1203" s="5" t="n"/>
      <c r="BB1203" s="5" t="n"/>
      <c r="BC1203" s="5" t="n"/>
      <c r="BD1203" s="5" t="n"/>
      <c r="BE1203" s="5" t="n"/>
      <c r="BF1203" s="5" t="n"/>
      <c r="BG1203" s="5" t="n"/>
      <c r="BH1203" s="5" t="n"/>
      <c r="BI1203" s="5" t="n"/>
      <c r="BJ1203" s="5" t="n"/>
      <c r="BK1203" s="5" t="n"/>
      <c r="BL1203" s="5" t="n"/>
      <c r="BM1203" s="5" t="n"/>
      <c r="BN1203" s="5" t="n"/>
      <c r="BO1203" s="5" t="n"/>
      <c r="BP1203" s="5" t="n"/>
      <c r="BQ1203" s="5" t="n"/>
      <c r="BR1203" s="5" t="n"/>
      <c r="BS1203" s="5" t="n"/>
      <c r="BT1203" s="5" t="n"/>
      <c r="BU1203" s="5" t="n"/>
      <c r="BV1203" s="5" t="n"/>
      <c r="BW1203" s="5" t="n"/>
      <c r="BX1203" s="5" t="n"/>
      <c r="BY1203" s="5" t="n"/>
      <c r="BZ1203" s="5" t="n"/>
      <c r="CA1203" s="5" t="n"/>
      <c r="CB1203" s="5" t="n"/>
      <c r="CC1203" s="5" t="n"/>
      <c r="CD1203" s="5" t="n"/>
      <c r="CE1203" s="5" t="n"/>
      <c r="CF1203" s="5" t="n"/>
    </row>
    <row r="1204">
      <c r="D1204" s="172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  <c r="AN1204" s="5" t="n"/>
      <c r="AO1204" s="5" t="n"/>
      <c r="AP1204" s="5" t="n"/>
      <c r="AQ1204" s="5" t="n"/>
      <c r="AR1204" s="5" t="n"/>
      <c r="AS1204" s="5" t="n"/>
      <c r="AT1204" s="5" t="n"/>
      <c r="AU1204" s="5" t="n"/>
      <c r="AV1204" s="5" t="n"/>
      <c r="AW1204" s="5" t="n"/>
      <c r="AX1204" s="5" t="n"/>
      <c r="AY1204" s="5" t="n"/>
      <c r="AZ1204" s="5" t="n"/>
      <c r="BA1204" s="5" t="n"/>
      <c r="BB1204" s="5" t="n"/>
      <c r="BC1204" s="5" t="n"/>
      <c r="BD1204" s="5" t="n"/>
      <c r="BE1204" s="5" t="n"/>
      <c r="BF1204" s="5" t="n"/>
      <c r="BG1204" s="5" t="n"/>
      <c r="BH1204" s="5" t="n"/>
      <c r="BI1204" s="5" t="n"/>
      <c r="BJ1204" s="5" t="n"/>
      <c r="BK1204" s="5" t="n"/>
      <c r="BL1204" s="5" t="n"/>
      <c r="BM1204" s="5" t="n"/>
      <c r="BN1204" s="5" t="n"/>
      <c r="BO1204" s="5" t="n"/>
      <c r="BP1204" s="5" t="n"/>
      <c r="BQ1204" s="5" t="n"/>
      <c r="BR1204" s="5" t="n"/>
      <c r="BS1204" s="5" t="n"/>
      <c r="BT1204" s="5" t="n"/>
      <c r="BU1204" s="5" t="n"/>
      <c r="BV1204" s="5" t="n"/>
      <c r="BW1204" s="5" t="n"/>
      <c r="BX1204" s="5" t="n"/>
      <c r="BY1204" s="5" t="n"/>
      <c r="BZ1204" s="5" t="n"/>
      <c r="CA1204" s="5" t="n"/>
      <c r="CB1204" s="5" t="n"/>
      <c r="CC1204" s="5" t="n"/>
      <c r="CD1204" s="5" t="n"/>
      <c r="CE1204" s="5" t="n"/>
      <c r="CF1204" s="5" t="n"/>
    </row>
    <row r="1205">
      <c r="D1205" s="172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  <c r="AN1205" s="5" t="n"/>
      <c r="AO1205" s="5" t="n"/>
      <c r="AP1205" s="5" t="n"/>
      <c r="AQ1205" s="5" t="n"/>
      <c r="AR1205" s="5" t="n"/>
      <c r="AS1205" s="5" t="n"/>
      <c r="AT1205" s="5" t="n"/>
      <c r="AU1205" s="5" t="n"/>
      <c r="AV1205" s="5" t="n"/>
      <c r="AW1205" s="5" t="n"/>
      <c r="AX1205" s="5" t="n"/>
      <c r="AY1205" s="5" t="n"/>
      <c r="AZ1205" s="5" t="n"/>
      <c r="BA1205" s="5" t="n"/>
      <c r="BB1205" s="5" t="n"/>
      <c r="BC1205" s="5" t="n"/>
      <c r="BD1205" s="5" t="n"/>
      <c r="BE1205" s="5" t="n"/>
      <c r="BF1205" s="5" t="n"/>
      <c r="BG1205" s="5" t="n"/>
      <c r="BH1205" s="5" t="n"/>
      <c r="BI1205" s="5" t="n"/>
      <c r="BJ1205" s="5" t="n"/>
      <c r="BK1205" s="5" t="n"/>
      <c r="BL1205" s="5" t="n"/>
      <c r="BM1205" s="5" t="n"/>
      <c r="BN1205" s="5" t="n"/>
      <c r="BO1205" s="5" t="n"/>
      <c r="BP1205" s="5" t="n"/>
      <c r="BQ1205" s="5" t="n"/>
      <c r="BR1205" s="5" t="n"/>
      <c r="BS1205" s="5" t="n"/>
      <c r="BT1205" s="5" t="n"/>
      <c r="BU1205" s="5" t="n"/>
      <c r="BV1205" s="5" t="n"/>
      <c r="BW1205" s="5" t="n"/>
      <c r="BX1205" s="5" t="n"/>
      <c r="BY1205" s="5" t="n"/>
      <c r="BZ1205" s="5" t="n"/>
      <c r="CA1205" s="5" t="n"/>
      <c r="CB1205" s="5" t="n"/>
      <c r="CC1205" s="5" t="n"/>
      <c r="CD1205" s="5" t="n"/>
      <c r="CE1205" s="5" t="n"/>
      <c r="CF1205" s="5" t="n"/>
    </row>
    <row r="1206">
      <c r="D1206" s="172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  <c r="AN1206" s="5" t="n"/>
      <c r="AO1206" s="5" t="n"/>
      <c r="AP1206" s="5" t="n"/>
      <c r="AQ1206" s="5" t="n"/>
      <c r="AR1206" s="5" t="n"/>
      <c r="AS1206" s="5" t="n"/>
      <c r="AT1206" s="5" t="n"/>
      <c r="AU1206" s="5" t="n"/>
      <c r="AV1206" s="5" t="n"/>
      <c r="AW1206" s="5" t="n"/>
      <c r="AX1206" s="5" t="n"/>
      <c r="AY1206" s="5" t="n"/>
      <c r="AZ1206" s="5" t="n"/>
      <c r="BA1206" s="5" t="n"/>
      <c r="BB1206" s="5" t="n"/>
      <c r="BC1206" s="5" t="n"/>
      <c r="BD1206" s="5" t="n"/>
      <c r="BE1206" s="5" t="n"/>
      <c r="BF1206" s="5" t="n"/>
      <c r="BG1206" s="5" t="n"/>
      <c r="BH1206" s="5" t="n"/>
      <c r="BI1206" s="5" t="n"/>
      <c r="BJ1206" s="5" t="n"/>
      <c r="BK1206" s="5" t="n"/>
      <c r="BL1206" s="5" t="n"/>
      <c r="BM1206" s="5" t="n"/>
      <c r="BN1206" s="5" t="n"/>
      <c r="BO1206" s="5" t="n"/>
      <c r="BP1206" s="5" t="n"/>
      <c r="BQ1206" s="5" t="n"/>
      <c r="BR1206" s="5" t="n"/>
      <c r="BS1206" s="5" t="n"/>
      <c r="BT1206" s="5" t="n"/>
      <c r="BU1206" s="5" t="n"/>
      <c r="BV1206" s="5" t="n"/>
      <c r="BW1206" s="5" t="n"/>
      <c r="BX1206" s="5" t="n"/>
      <c r="BY1206" s="5" t="n"/>
      <c r="BZ1206" s="5" t="n"/>
      <c r="CA1206" s="5" t="n"/>
      <c r="CB1206" s="5" t="n"/>
      <c r="CC1206" s="5" t="n"/>
      <c r="CD1206" s="5" t="n"/>
      <c r="CE1206" s="5" t="n"/>
      <c r="CF1206" s="5" t="n"/>
    </row>
    <row r="1207">
      <c r="D1207" s="172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  <c r="AN1207" s="5" t="n"/>
      <c r="AO1207" s="5" t="n"/>
      <c r="AP1207" s="5" t="n"/>
      <c r="AQ1207" s="5" t="n"/>
      <c r="AR1207" s="5" t="n"/>
      <c r="AS1207" s="5" t="n"/>
      <c r="AT1207" s="5" t="n"/>
      <c r="AU1207" s="5" t="n"/>
      <c r="AV1207" s="5" t="n"/>
      <c r="AW1207" s="5" t="n"/>
      <c r="AX1207" s="5" t="n"/>
      <c r="AY1207" s="5" t="n"/>
      <c r="AZ1207" s="5" t="n"/>
      <c r="BA1207" s="5" t="n"/>
      <c r="BB1207" s="5" t="n"/>
      <c r="BC1207" s="5" t="n"/>
      <c r="BD1207" s="5" t="n"/>
      <c r="BE1207" s="5" t="n"/>
      <c r="BF1207" s="5" t="n"/>
      <c r="BG1207" s="5" t="n"/>
      <c r="BH1207" s="5" t="n"/>
      <c r="BI1207" s="5" t="n"/>
      <c r="BJ1207" s="5" t="n"/>
      <c r="BK1207" s="5" t="n"/>
      <c r="BL1207" s="5" t="n"/>
      <c r="BM1207" s="5" t="n"/>
      <c r="BN1207" s="5" t="n"/>
      <c r="BO1207" s="5" t="n"/>
      <c r="BP1207" s="5" t="n"/>
      <c r="BQ1207" s="5" t="n"/>
      <c r="BR1207" s="5" t="n"/>
      <c r="BS1207" s="5" t="n"/>
      <c r="BT1207" s="5" t="n"/>
      <c r="BU1207" s="5" t="n"/>
      <c r="BV1207" s="5" t="n"/>
      <c r="BW1207" s="5" t="n"/>
      <c r="BX1207" s="5" t="n"/>
      <c r="BY1207" s="5" t="n"/>
      <c r="BZ1207" s="5" t="n"/>
      <c r="CA1207" s="5" t="n"/>
      <c r="CB1207" s="5" t="n"/>
      <c r="CC1207" s="5" t="n"/>
      <c r="CD1207" s="5" t="n"/>
      <c r="CE1207" s="5" t="n"/>
      <c r="CF1207" s="5" t="n"/>
    </row>
    <row r="1208">
      <c r="D1208" s="172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  <c r="AN1208" s="5" t="n"/>
      <c r="AO1208" s="5" t="n"/>
      <c r="AP1208" s="5" t="n"/>
      <c r="AQ1208" s="5" t="n"/>
      <c r="AR1208" s="5" t="n"/>
      <c r="AS1208" s="5" t="n"/>
      <c r="AT1208" s="5" t="n"/>
      <c r="AU1208" s="5" t="n"/>
      <c r="AV1208" s="5" t="n"/>
      <c r="AW1208" s="5" t="n"/>
      <c r="AX1208" s="5" t="n"/>
      <c r="AY1208" s="5" t="n"/>
      <c r="AZ1208" s="5" t="n"/>
      <c r="BA1208" s="5" t="n"/>
      <c r="BB1208" s="5" t="n"/>
      <c r="BC1208" s="5" t="n"/>
      <c r="BD1208" s="5" t="n"/>
      <c r="BE1208" s="5" t="n"/>
      <c r="BF1208" s="5" t="n"/>
      <c r="BG1208" s="5" t="n"/>
      <c r="BH1208" s="5" t="n"/>
      <c r="BI1208" s="5" t="n"/>
      <c r="BJ1208" s="5" t="n"/>
      <c r="BK1208" s="5" t="n"/>
      <c r="BL1208" s="5" t="n"/>
      <c r="BM1208" s="5" t="n"/>
      <c r="BN1208" s="5" t="n"/>
      <c r="BO1208" s="5" t="n"/>
      <c r="BP1208" s="5" t="n"/>
      <c r="BQ1208" s="5" t="n"/>
      <c r="BR1208" s="5" t="n"/>
      <c r="BS1208" s="5" t="n"/>
      <c r="BT1208" s="5" t="n"/>
      <c r="BU1208" s="5" t="n"/>
      <c r="BV1208" s="5" t="n"/>
      <c r="BW1208" s="5" t="n"/>
      <c r="BX1208" s="5" t="n"/>
      <c r="BY1208" s="5" t="n"/>
      <c r="BZ1208" s="5" t="n"/>
      <c r="CA1208" s="5" t="n"/>
      <c r="CB1208" s="5" t="n"/>
      <c r="CC1208" s="5" t="n"/>
      <c r="CD1208" s="5" t="n"/>
      <c r="CE1208" s="5" t="n"/>
      <c r="CF1208" s="5" t="n"/>
    </row>
    <row r="1209">
      <c r="D1209" s="172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  <c r="AN1209" s="5" t="n"/>
      <c r="AO1209" s="5" t="n"/>
      <c r="AP1209" s="5" t="n"/>
      <c r="AQ1209" s="5" t="n"/>
      <c r="AR1209" s="5" t="n"/>
      <c r="AS1209" s="5" t="n"/>
      <c r="AT1209" s="5" t="n"/>
      <c r="AU1209" s="5" t="n"/>
      <c r="AV1209" s="5" t="n"/>
      <c r="AW1209" s="5" t="n"/>
      <c r="AX1209" s="5" t="n"/>
      <c r="AY1209" s="5" t="n"/>
      <c r="AZ1209" s="5" t="n"/>
      <c r="BA1209" s="5" t="n"/>
      <c r="BB1209" s="5" t="n"/>
      <c r="BC1209" s="5" t="n"/>
      <c r="BD1209" s="5" t="n"/>
      <c r="BE1209" s="5" t="n"/>
      <c r="BF1209" s="5" t="n"/>
      <c r="BG1209" s="5" t="n"/>
      <c r="BH1209" s="5" t="n"/>
      <c r="BI1209" s="5" t="n"/>
      <c r="BJ1209" s="5" t="n"/>
      <c r="BK1209" s="5" t="n"/>
      <c r="BL1209" s="5" t="n"/>
      <c r="BM1209" s="5" t="n"/>
      <c r="BN1209" s="5" t="n"/>
      <c r="BO1209" s="5" t="n"/>
      <c r="BP1209" s="5" t="n"/>
      <c r="BQ1209" s="5" t="n"/>
      <c r="BR1209" s="5" t="n"/>
      <c r="BS1209" s="5" t="n"/>
      <c r="BT1209" s="5" t="n"/>
      <c r="BU1209" s="5" t="n"/>
      <c r="BV1209" s="5" t="n"/>
      <c r="BW1209" s="5" t="n"/>
      <c r="BX1209" s="5" t="n"/>
      <c r="BY1209" s="5" t="n"/>
      <c r="BZ1209" s="5" t="n"/>
      <c r="CA1209" s="5" t="n"/>
      <c r="CB1209" s="5" t="n"/>
      <c r="CC1209" s="5" t="n"/>
      <c r="CD1209" s="5" t="n"/>
      <c r="CE1209" s="5" t="n"/>
      <c r="CF1209" s="5" t="n"/>
    </row>
  </sheetData>
  <mergeCells count="1">
    <mergeCell ref="CB9:C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I1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3" t="inlineStr">
        <is>
          <t>PROVINCIAS</t>
        </is>
      </c>
      <c r="B1" s="174" t="inlineStr">
        <is>
          <t>CP</t>
        </is>
      </c>
      <c r="C1" s="144" t="inlineStr">
        <is>
          <t>Cod Prov</t>
        </is>
      </c>
      <c r="D1" s="144" t="inlineStr">
        <is>
          <t>Zona 1</t>
        </is>
      </c>
      <c r="F1" s="175" t="inlineStr">
        <is>
          <t>EDAD</t>
        </is>
      </c>
      <c r="G1" s="175" t="inlineStr">
        <is>
          <t>TARIFA HOMBRE</t>
        </is>
      </c>
    </row>
    <row r="2">
      <c r="A2" s="176" t="inlineStr">
        <is>
          <t>Alava</t>
        </is>
      </c>
      <c r="B2" s="177" t="n">
        <v>1</v>
      </c>
      <c r="C2" s="144">
        <f>IF(LEN(B2)=1,"0"&amp;B2,TEXT(B2,0))</f>
        <v/>
      </c>
      <c r="E2" s="144">
        <f>A2</f>
        <v/>
      </c>
      <c r="F2" s="175" t="inlineStr">
        <is>
          <t>x</t>
        </is>
      </c>
      <c r="G2" s="175" t="inlineStr">
        <is>
          <t>PR COMERCIAL</t>
        </is>
      </c>
    </row>
    <row r="3">
      <c r="A3" s="176" t="inlineStr">
        <is>
          <t>Albacete</t>
        </is>
      </c>
      <c r="B3" s="177" t="n">
        <v>2</v>
      </c>
      <c r="C3" s="144">
        <f>IF(LEN(B3)=1,"0"&amp;B3,TEXT(B3,0))</f>
        <v/>
      </c>
      <c r="D3" s="144" t="n">
        <v>4</v>
      </c>
      <c r="E3" s="144">
        <f>A3</f>
        <v/>
      </c>
      <c r="F3" s="175" t="n">
        <v>0</v>
      </c>
      <c r="G3" s="175" t="n">
        <v>6.67</v>
      </c>
    </row>
    <row r="4">
      <c r="A4" s="176" t="inlineStr">
        <is>
          <t>Alicante_Alacant</t>
        </is>
      </c>
      <c r="B4" s="177" t="n">
        <v>3</v>
      </c>
      <c r="C4" s="144">
        <f>IF(LEN(B4)=1,"0"&amp;B4,TEXT(B4,0))</f>
        <v/>
      </c>
      <c r="D4" s="144" t="n">
        <v>2</v>
      </c>
      <c r="E4" s="144">
        <f>A4</f>
        <v/>
      </c>
      <c r="F4" s="175" t="n">
        <v>1</v>
      </c>
      <c r="G4" s="175" t="n">
        <v>0.48</v>
      </c>
    </row>
    <row r="5">
      <c r="A5" s="176" t="inlineStr">
        <is>
          <t>Almeria</t>
        </is>
      </c>
      <c r="B5" s="177" t="n">
        <v>4</v>
      </c>
      <c r="C5" s="144">
        <f>IF(LEN(B5)=1,"0"&amp;B5,TEXT(B5,0))</f>
        <v/>
      </c>
      <c r="D5" s="144" t="n">
        <v>2</v>
      </c>
      <c r="E5" s="144">
        <f>A5</f>
        <v/>
      </c>
      <c r="F5" s="175" t="n">
        <v>2</v>
      </c>
      <c r="G5" s="175" t="n">
        <v>0.4</v>
      </c>
    </row>
    <row r="6">
      <c r="A6" s="176" t="inlineStr">
        <is>
          <t>Avila</t>
        </is>
      </c>
      <c r="B6" s="177" t="n">
        <v>5</v>
      </c>
      <c r="C6" s="144">
        <f>IF(LEN(B6)=1,"0"&amp;B6,TEXT(B6,0))</f>
        <v/>
      </c>
      <c r="D6" s="144" t="n">
        <v>3</v>
      </c>
      <c r="E6" s="144">
        <f>A6</f>
        <v/>
      </c>
      <c r="F6" s="175" t="n">
        <v>3</v>
      </c>
      <c r="G6" s="175" t="n">
        <v>0.32</v>
      </c>
    </row>
    <row r="7">
      <c r="A7" s="176" t="inlineStr">
        <is>
          <t>Badajoz</t>
        </is>
      </c>
      <c r="B7" s="177" t="n">
        <v>6</v>
      </c>
      <c r="C7" s="144">
        <f>IF(LEN(B7)=1,"0"&amp;B7,TEXT(B7,0))</f>
        <v/>
      </c>
      <c r="D7" s="144" t="n">
        <v>1</v>
      </c>
      <c r="E7" s="144">
        <f>A7</f>
        <v/>
      </c>
      <c r="F7" s="175" t="n">
        <v>4</v>
      </c>
      <c r="G7" s="175" t="n">
        <v>0.26</v>
      </c>
    </row>
    <row r="8">
      <c r="A8" s="176" t="inlineStr">
        <is>
          <t>Barcelona</t>
        </is>
      </c>
      <c r="B8" s="177" t="n">
        <v>8</v>
      </c>
      <c r="C8" s="144">
        <f>IF(LEN(B8)=1,"0"&amp;B8,TEXT(B8,0))</f>
        <v/>
      </c>
      <c r="D8" s="144" t="n">
        <v>5</v>
      </c>
      <c r="E8" s="144">
        <f>A8</f>
        <v/>
      </c>
      <c r="F8" s="175" t="n">
        <v>5</v>
      </c>
      <c r="G8" s="175" t="n">
        <v>0.22</v>
      </c>
    </row>
    <row r="9">
      <c r="A9" s="176" t="inlineStr">
        <is>
          <t>Bilbao</t>
        </is>
      </c>
      <c r="B9" s="177" t="n">
        <v>48</v>
      </c>
      <c r="C9" s="144">
        <f>IF(LEN(B9)=1,"0"&amp;B9,TEXT(B9,0))</f>
        <v/>
      </c>
      <c r="E9" s="144">
        <f>A9</f>
        <v/>
      </c>
      <c r="F9" s="175" t="n">
        <v>6</v>
      </c>
      <c r="G9" s="175" t="n">
        <v>0.19</v>
      </c>
    </row>
    <row r="10">
      <c r="A10" s="176" t="inlineStr">
        <is>
          <t>Burgos</t>
        </is>
      </c>
      <c r="B10" s="177" t="n">
        <v>9</v>
      </c>
      <c r="C10" s="144">
        <f>IF(LEN(B10)=1,"0"&amp;B10,TEXT(B10,0))</f>
        <v/>
      </c>
      <c r="D10" s="144" t="n">
        <v>3</v>
      </c>
      <c r="E10" s="144">
        <f>A10</f>
        <v/>
      </c>
      <c r="F10" s="175" t="n">
        <v>7</v>
      </c>
      <c r="G10" s="175" t="n">
        <v>0.18</v>
      </c>
      <c r="I10" s="144" t="n"/>
    </row>
    <row r="11">
      <c r="A11" s="176" t="inlineStr">
        <is>
          <t>Caceres</t>
        </is>
      </c>
      <c r="B11" s="177" t="n">
        <v>10</v>
      </c>
      <c r="C11" s="144">
        <f>IF(LEN(B11)=1,"0"&amp;B11,TEXT(B11,0))</f>
        <v/>
      </c>
      <c r="D11" s="144" t="n">
        <v>1</v>
      </c>
      <c r="E11" s="144">
        <f>A11</f>
        <v/>
      </c>
      <c r="F11" s="175" t="n">
        <v>8</v>
      </c>
      <c r="G11" s="175" t="n">
        <v>0.17</v>
      </c>
    </row>
    <row r="12">
      <c r="A12" s="176" t="inlineStr">
        <is>
          <t>Cadiz</t>
        </is>
      </c>
      <c r="B12" s="177" t="n">
        <v>11</v>
      </c>
      <c r="C12" s="144">
        <f>IF(LEN(B12)=1,"0"&amp;B12,TEXT(B12,0))</f>
        <v/>
      </c>
      <c r="D12" s="144" t="n">
        <v>2</v>
      </c>
      <c r="E12" s="144">
        <f>A12</f>
        <v/>
      </c>
      <c r="F12" s="175" t="n">
        <v>9</v>
      </c>
      <c r="G12" s="175" t="n">
        <v>0.17</v>
      </c>
    </row>
    <row r="13">
      <c r="A13" s="176" t="inlineStr">
        <is>
          <t>Castellon_Castello</t>
        </is>
      </c>
      <c r="B13" s="177" t="n">
        <v>12</v>
      </c>
      <c r="C13" s="144">
        <f>IF(LEN(B13)=1,"0"&amp;B13,TEXT(B13,0))</f>
        <v/>
      </c>
      <c r="D13" s="144" t="n">
        <v>2</v>
      </c>
      <c r="E13" s="144">
        <f>A13</f>
        <v/>
      </c>
      <c r="F13" s="175" t="n">
        <v>10</v>
      </c>
      <c r="G13" s="175" t="n">
        <v>0.18</v>
      </c>
    </row>
    <row r="14">
      <c r="A14" s="176" t="inlineStr">
        <is>
          <t>Ceuta</t>
        </is>
      </c>
      <c r="B14" s="177" t="n">
        <v>51</v>
      </c>
      <c r="C14" s="144">
        <f>IF(LEN(B14)=1,"0"&amp;B14,TEXT(B14,0))</f>
        <v/>
      </c>
      <c r="D14" s="144" t="n">
        <v>1</v>
      </c>
      <c r="E14" s="144">
        <f>A14</f>
        <v/>
      </c>
      <c r="F14" s="175" t="n">
        <v>11</v>
      </c>
      <c r="G14" s="175" t="n">
        <v>0.2</v>
      </c>
    </row>
    <row r="15">
      <c r="A15" s="176" t="inlineStr">
        <is>
          <t>Ciudad_Real</t>
        </is>
      </c>
      <c r="B15" s="177" t="n">
        <v>13</v>
      </c>
      <c r="C15" s="144">
        <f>IF(LEN(B15)=1,"0"&amp;B15,TEXT(B15,0))</f>
        <v/>
      </c>
      <c r="D15" s="144" t="n">
        <v>4</v>
      </c>
      <c r="E15" s="144">
        <f>A15</f>
        <v/>
      </c>
      <c r="F15" s="175" t="n">
        <v>12</v>
      </c>
      <c r="G15" s="175" t="n">
        <v>0.24</v>
      </c>
    </row>
    <row r="16">
      <c r="A16" s="176" t="inlineStr">
        <is>
          <t>Cordoba</t>
        </is>
      </c>
      <c r="B16" s="177" t="n">
        <v>14</v>
      </c>
      <c r="C16" s="144">
        <f>IF(LEN(B16)=1,"0"&amp;B16,TEXT(B16,0))</f>
        <v/>
      </c>
      <c r="D16" s="144" t="n">
        <v>2</v>
      </c>
      <c r="E16" s="144">
        <f>A16</f>
        <v/>
      </c>
      <c r="F16" s="175" t="n">
        <v>13</v>
      </c>
      <c r="G16" s="175" t="n">
        <v>0.3</v>
      </c>
    </row>
    <row r="17">
      <c r="A17" s="176" t="inlineStr">
        <is>
          <t>Coruña__A</t>
        </is>
      </c>
      <c r="B17" s="177" t="n">
        <v>15</v>
      </c>
      <c r="C17" s="144">
        <f>IF(LEN(B17)=1,"0"&amp;B17,TEXT(B17,0))</f>
        <v/>
      </c>
      <c r="D17" s="144" t="n">
        <v>1</v>
      </c>
      <c r="E17" s="144">
        <f>A17</f>
        <v/>
      </c>
      <c r="F17" s="175" t="n">
        <v>14</v>
      </c>
      <c r="G17" s="175" t="n">
        <v>0.37</v>
      </c>
    </row>
    <row r="18">
      <c r="A18" s="176" t="inlineStr">
        <is>
          <t>Cuenca</t>
        </is>
      </c>
      <c r="B18" s="177" t="n">
        <v>16</v>
      </c>
      <c r="C18" s="144">
        <f>IF(LEN(B18)=1,"0"&amp;B18,TEXT(B18,0))</f>
        <v/>
      </c>
      <c r="D18" s="144" t="n">
        <v>4</v>
      </c>
      <c r="E18" s="144">
        <f>A18</f>
        <v/>
      </c>
      <c r="F18" s="175" t="n">
        <v>15</v>
      </c>
      <c r="G18" s="175" t="n">
        <v>0.46</v>
      </c>
    </row>
    <row r="19">
      <c r="A19" s="176" t="inlineStr">
        <is>
          <t>Donostia_San_Sebastian</t>
        </is>
      </c>
      <c r="B19" s="177" t="n">
        <v>20</v>
      </c>
      <c r="C19" s="144">
        <f>IF(LEN(B19)=1,"0"&amp;B19,TEXT(B19,0))</f>
        <v/>
      </c>
      <c r="E19" s="144">
        <f>A19</f>
        <v/>
      </c>
      <c r="F19" s="175" t="n">
        <v>16</v>
      </c>
      <c r="G19" s="175" t="n">
        <v>0.5600000000000001</v>
      </c>
    </row>
    <row r="20">
      <c r="A20" s="176" t="inlineStr">
        <is>
          <t>Girona</t>
        </is>
      </c>
      <c r="B20" s="177" t="n">
        <v>17</v>
      </c>
      <c r="C20" s="144">
        <f>IF(LEN(B20)=1,"0"&amp;B20,TEXT(B20,0))</f>
        <v/>
      </c>
      <c r="D20" s="144" t="n">
        <v>4</v>
      </c>
      <c r="E20" s="144">
        <f>A20</f>
        <v/>
      </c>
      <c r="F20" s="175" t="n">
        <v>17</v>
      </c>
      <c r="G20" s="175" t="n">
        <v>0.65</v>
      </c>
    </row>
    <row r="21">
      <c r="A21" s="176" t="inlineStr">
        <is>
          <t>Granada</t>
        </is>
      </c>
      <c r="B21" s="177" t="n">
        <v>18</v>
      </c>
      <c r="C21" s="144">
        <f>IF(LEN(B21)=1,"0"&amp;B21,TEXT(B21,0))</f>
        <v/>
      </c>
      <c r="D21" s="144" t="n">
        <v>2</v>
      </c>
      <c r="E21" s="144">
        <f>A21</f>
        <v/>
      </c>
      <c r="F21" s="175" t="n">
        <v>18</v>
      </c>
      <c r="G21" s="175" t="n">
        <v>0.64</v>
      </c>
    </row>
    <row r="22">
      <c r="A22" s="176" t="inlineStr">
        <is>
          <t>Guadalajara</t>
        </is>
      </c>
      <c r="B22" s="177" t="n">
        <v>19</v>
      </c>
      <c r="C22" s="144">
        <f>IF(LEN(B22)=1,"0"&amp;B22,TEXT(B22,0))</f>
        <v/>
      </c>
      <c r="D22" s="144" t="n">
        <v>4</v>
      </c>
      <c r="E22" s="144">
        <f>A22</f>
        <v/>
      </c>
      <c r="F22" s="175" t="n">
        <v>19</v>
      </c>
      <c r="G22" s="175" t="n">
        <v>0.65</v>
      </c>
    </row>
    <row r="23">
      <c r="A23" s="176" t="inlineStr">
        <is>
          <t>Huelva</t>
        </is>
      </c>
      <c r="B23" s="177" t="n">
        <v>21</v>
      </c>
      <c r="C23" s="144">
        <f>IF(LEN(B23)=1,"0"&amp;B23,TEXT(B23,0))</f>
        <v/>
      </c>
      <c r="D23" s="144" t="n">
        <v>2</v>
      </c>
      <c r="E23" s="144">
        <f>A23</f>
        <v/>
      </c>
      <c r="F23" s="175" t="n">
        <v>20</v>
      </c>
      <c r="G23" s="175" t="n">
        <v>0.66</v>
      </c>
    </row>
    <row r="24">
      <c r="A24" s="176" t="inlineStr">
        <is>
          <t>Huesca</t>
        </is>
      </c>
      <c r="B24" s="177" t="n">
        <v>22</v>
      </c>
      <c r="C24" s="144">
        <f>IF(LEN(B24)=1,"0"&amp;B24,TEXT(B24,0))</f>
        <v/>
      </c>
      <c r="D24" s="144" t="n">
        <v>4</v>
      </c>
      <c r="E24" s="144">
        <f>A24</f>
        <v/>
      </c>
      <c r="F24" s="175" t="n">
        <v>21</v>
      </c>
      <c r="G24" s="175" t="n">
        <v>0.67</v>
      </c>
    </row>
    <row r="25">
      <c r="A25" s="176" t="inlineStr">
        <is>
          <t>Jaen</t>
        </is>
      </c>
      <c r="B25" s="177" t="n">
        <v>23</v>
      </c>
      <c r="C25" s="144">
        <f>IF(LEN(B25)=1,"0"&amp;B25,TEXT(B25,0))</f>
        <v/>
      </c>
      <c r="D25" s="144" t="n">
        <v>2</v>
      </c>
      <c r="E25" s="144">
        <f>A25</f>
        <v/>
      </c>
      <c r="F25" s="175" t="n">
        <v>22</v>
      </c>
      <c r="G25" s="175" t="n">
        <v>0.68</v>
      </c>
    </row>
    <row r="26">
      <c r="A26" s="176" t="inlineStr">
        <is>
          <t>La_Rioja</t>
        </is>
      </c>
      <c r="B26" s="177" t="n">
        <v>26</v>
      </c>
      <c r="C26" s="144">
        <f>IF(LEN(B26)=1,"0"&amp;B26,TEXT(B26,0))</f>
        <v/>
      </c>
      <c r="D26" s="144" t="n">
        <v>2</v>
      </c>
      <c r="E26" s="144">
        <f>A26</f>
        <v/>
      </c>
      <c r="F26" s="175" t="n">
        <v>23</v>
      </c>
      <c r="G26" s="175" t="n">
        <v>0.7</v>
      </c>
    </row>
    <row r="27">
      <c r="A27" s="176" t="inlineStr">
        <is>
          <t>Leon</t>
        </is>
      </c>
      <c r="B27" s="177" t="n">
        <v>24</v>
      </c>
      <c r="C27" s="144">
        <f>IF(LEN(B27)=1,"0"&amp;B27,TEXT(B27,0))</f>
        <v/>
      </c>
      <c r="D27" s="144" t="n">
        <v>3</v>
      </c>
      <c r="E27" s="144">
        <f>A27</f>
        <v/>
      </c>
      <c r="F27" s="175" t="n">
        <v>24</v>
      </c>
      <c r="G27" s="175" t="n">
        <v>0.71</v>
      </c>
    </row>
    <row r="28">
      <c r="A28" s="176" t="inlineStr">
        <is>
          <t>Lleida</t>
        </is>
      </c>
      <c r="B28" s="177" t="n">
        <v>25</v>
      </c>
      <c r="C28" s="144">
        <f>IF(LEN(B28)=1,"0"&amp;B28,TEXT(B28,0))</f>
        <v/>
      </c>
      <c r="D28" s="144" t="n">
        <v>4</v>
      </c>
      <c r="E28" s="144">
        <f>A28</f>
        <v/>
      </c>
      <c r="F28" s="175" t="n">
        <v>25</v>
      </c>
      <c r="G28" s="175" t="n">
        <v>0.72</v>
      </c>
    </row>
    <row r="29">
      <c r="A29" s="176" t="inlineStr">
        <is>
          <t>Lugo</t>
        </is>
      </c>
      <c r="B29" s="177" t="n">
        <v>27</v>
      </c>
      <c r="C29" s="144">
        <f>IF(LEN(B29)=1,"0"&amp;B29,TEXT(B29,0))</f>
        <v/>
      </c>
      <c r="D29" s="144" t="n">
        <v>1</v>
      </c>
      <c r="E29" s="144">
        <f>A29</f>
        <v/>
      </c>
      <c r="F29" s="175" t="n">
        <v>26</v>
      </c>
      <c r="G29" s="175" t="n">
        <v>0.72</v>
      </c>
    </row>
    <row r="30">
      <c r="A30" s="176" t="inlineStr">
        <is>
          <t>Madrid</t>
        </is>
      </c>
      <c r="B30" s="177" t="n">
        <v>28</v>
      </c>
      <c r="C30" s="144">
        <f>IF(LEN(B30)=1,"0"&amp;B30,TEXT(B30,0))</f>
        <v/>
      </c>
      <c r="D30" s="144" t="n">
        <v>4</v>
      </c>
      <c r="E30" s="144">
        <f>A30</f>
        <v/>
      </c>
      <c r="F30" s="175" t="n">
        <v>27</v>
      </c>
      <c r="G30" s="175" t="n">
        <v>0.72</v>
      </c>
    </row>
    <row r="31">
      <c r="A31" s="176" t="inlineStr">
        <is>
          <t>Malaga</t>
        </is>
      </c>
      <c r="B31" s="177" t="n">
        <v>29</v>
      </c>
      <c r="C31" s="144">
        <f>IF(LEN(B31)=1,"0"&amp;B31,TEXT(B31,0))</f>
        <v/>
      </c>
      <c r="D31" s="144" t="n">
        <v>2</v>
      </c>
      <c r="E31" s="144">
        <f>A31</f>
        <v/>
      </c>
      <c r="F31" s="175" t="n">
        <v>28</v>
      </c>
      <c r="G31" s="175" t="n">
        <v>0.71</v>
      </c>
    </row>
    <row r="32">
      <c r="A32" s="176" t="inlineStr">
        <is>
          <t>Melilla</t>
        </is>
      </c>
      <c r="B32" s="177" t="n">
        <v>52</v>
      </c>
      <c r="C32" s="144">
        <f>IF(LEN(B32)=1,"0"&amp;B32,TEXT(B32,0))</f>
        <v/>
      </c>
      <c r="D32" s="144" t="n">
        <v>1</v>
      </c>
      <c r="E32" s="144">
        <f>A32</f>
        <v/>
      </c>
      <c r="F32" s="175" t="n">
        <v>29</v>
      </c>
      <c r="G32" s="175" t="n">
        <v>0.6899999999999999</v>
      </c>
    </row>
    <row r="33">
      <c r="A33" s="176" t="inlineStr">
        <is>
          <t>Murcia</t>
        </is>
      </c>
      <c r="B33" s="177" t="n">
        <v>30</v>
      </c>
      <c r="C33" s="144">
        <f>IF(LEN(B33)=1,"0"&amp;B33,TEXT(B33,0))</f>
        <v/>
      </c>
      <c r="D33" s="144" t="n">
        <v>1</v>
      </c>
      <c r="E33" s="144">
        <f>A33</f>
        <v/>
      </c>
      <c r="F33" s="175" t="n">
        <v>30</v>
      </c>
      <c r="G33" s="175" t="n">
        <v>0.68</v>
      </c>
    </row>
    <row r="34">
      <c r="A34" s="176" t="inlineStr">
        <is>
          <t>Navarra</t>
        </is>
      </c>
      <c r="B34" s="177" t="n">
        <v>31</v>
      </c>
      <c r="C34" s="144">
        <f>IF(LEN(B34)=1,"0"&amp;B34,TEXT(B34,0))</f>
        <v/>
      </c>
      <c r="E34" s="144">
        <f>A34</f>
        <v/>
      </c>
      <c r="F34" s="175" t="n">
        <v>31</v>
      </c>
      <c r="G34" s="175" t="n">
        <v>0.68</v>
      </c>
    </row>
    <row r="35">
      <c r="A35" s="176" t="inlineStr">
        <is>
          <t>Ourense</t>
        </is>
      </c>
      <c r="B35" s="177" t="n">
        <v>32</v>
      </c>
      <c r="C35" s="144">
        <f>IF(LEN(B35)=1,"0"&amp;B35,TEXT(B35,0))</f>
        <v/>
      </c>
      <c r="D35" s="144" t="n">
        <v>1</v>
      </c>
      <c r="E35" s="144">
        <f>A35</f>
        <v/>
      </c>
      <c r="F35" s="175" t="n">
        <v>32</v>
      </c>
      <c r="G35" s="175" t="n">
        <v>0.6899999999999999</v>
      </c>
    </row>
    <row r="36">
      <c r="A36" s="176" t="inlineStr">
        <is>
          <t>Oviedo</t>
        </is>
      </c>
      <c r="B36" s="177" t="n">
        <v>33</v>
      </c>
      <c r="C36" s="144">
        <f>IF(LEN(B36)=1,"0"&amp;B36,TEXT(B36,0))</f>
        <v/>
      </c>
      <c r="E36" s="144">
        <f>A36</f>
        <v/>
      </c>
      <c r="F36" s="175" t="n">
        <v>33</v>
      </c>
      <c r="G36" s="175" t="n">
        <v>0.71</v>
      </c>
    </row>
    <row r="37">
      <c r="A37" s="176" t="inlineStr">
        <is>
          <t>Palencia</t>
        </is>
      </c>
      <c r="B37" s="177" t="n">
        <v>34</v>
      </c>
      <c r="C37" s="144">
        <f>IF(LEN(B37)=1,"0"&amp;B37,TEXT(B37,0))</f>
        <v/>
      </c>
      <c r="D37" s="144" t="n">
        <v>3</v>
      </c>
      <c r="E37" s="144">
        <f>A37</f>
        <v/>
      </c>
      <c r="F37" s="175" t="n">
        <v>34</v>
      </c>
      <c r="G37" s="175" t="n">
        <v>0.77</v>
      </c>
    </row>
    <row r="38">
      <c r="A38" s="176" t="inlineStr">
        <is>
          <t>Palma</t>
        </is>
      </c>
      <c r="B38" s="177" t="n">
        <v>7</v>
      </c>
      <c r="C38" s="144">
        <f>IF(LEN(B38)=1,"0"&amp;B38,TEXT(B38,0))</f>
        <v/>
      </c>
      <c r="D38" s="144" t="n">
        <v>6</v>
      </c>
      <c r="E38" s="144">
        <f>A38</f>
        <v/>
      </c>
      <c r="F38" s="175" t="n">
        <v>35</v>
      </c>
      <c r="G38" s="175" t="n">
        <v>0.84</v>
      </c>
    </row>
    <row r="39">
      <c r="A39" s="176" t="inlineStr">
        <is>
          <t>Palmas_de_Gran_Canaria__Las</t>
        </is>
      </c>
      <c r="B39" s="177" t="n">
        <v>35</v>
      </c>
      <c r="C39" s="144">
        <f>IF(LEN(B39)=1,"0"&amp;B39,TEXT(B39,0))</f>
        <v/>
      </c>
      <c r="D39" s="144" t="n">
        <v>1</v>
      </c>
      <c r="E39" s="144">
        <f>A39</f>
        <v/>
      </c>
      <c r="F39" s="175" t="n">
        <v>36</v>
      </c>
      <c r="G39" s="175" t="n">
        <v>0.9399999999999999</v>
      </c>
    </row>
    <row r="40">
      <c r="A40" s="176" t="inlineStr">
        <is>
          <t>Pontevedra</t>
        </is>
      </c>
      <c r="B40" s="177" t="n">
        <v>36</v>
      </c>
      <c r="C40" s="144">
        <f>IF(LEN(B40)=1,"0"&amp;B40,TEXT(B40,0))</f>
        <v/>
      </c>
      <c r="D40" s="144" t="n">
        <v>1</v>
      </c>
      <c r="E40" s="144">
        <f>A40</f>
        <v/>
      </c>
      <c r="F40" s="175" t="n">
        <v>37</v>
      </c>
      <c r="G40" s="175" t="n">
        <v>1.05</v>
      </c>
    </row>
    <row r="41">
      <c r="A41" s="176" t="inlineStr">
        <is>
          <t>Salamanca</t>
        </is>
      </c>
      <c r="B41" s="177" t="n">
        <v>37</v>
      </c>
      <c r="C41" s="144">
        <f>IF(LEN(B41)=1,"0"&amp;B41,TEXT(B41,0))</f>
        <v/>
      </c>
      <c r="D41" s="144" t="n">
        <v>3</v>
      </c>
      <c r="E41" s="144">
        <f>A41</f>
        <v/>
      </c>
      <c r="F41" s="175" t="n">
        <v>38</v>
      </c>
      <c r="G41" s="175" t="n">
        <v>1.16</v>
      </c>
    </row>
    <row r="42">
      <c r="A42" s="176" t="inlineStr">
        <is>
          <t>Santa_Cruz_de_Tenerife</t>
        </is>
      </c>
      <c r="B42" s="177" t="n">
        <v>38</v>
      </c>
      <c r="C42" s="144">
        <f>IF(LEN(B42)=1,"0"&amp;B42,TEXT(B42,0))</f>
        <v/>
      </c>
      <c r="D42" s="144" t="n">
        <v>1</v>
      </c>
      <c r="E42" s="144">
        <f>A42</f>
        <v/>
      </c>
      <c r="F42" s="175" t="n">
        <v>39</v>
      </c>
      <c r="G42" s="175" t="n">
        <v>1.28</v>
      </c>
    </row>
    <row r="43">
      <c r="A43" s="176" t="inlineStr">
        <is>
          <t>Santander</t>
        </is>
      </c>
      <c r="B43" s="177" t="n">
        <v>39</v>
      </c>
      <c r="C43" s="144">
        <f>IF(LEN(B43)=1,"0"&amp;B43,TEXT(B43,0))</f>
        <v/>
      </c>
      <c r="D43" s="144" t="n">
        <v>2</v>
      </c>
      <c r="E43" s="144">
        <f>A43</f>
        <v/>
      </c>
      <c r="F43" s="175" t="n">
        <v>40</v>
      </c>
      <c r="G43" s="175" t="n">
        <v>1.4</v>
      </c>
    </row>
    <row r="44">
      <c r="A44" s="176" t="inlineStr">
        <is>
          <t>Segovia</t>
        </is>
      </c>
      <c r="B44" s="177" t="n">
        <v>40</v>
      </c>
      <c r="C44" s="144">
        <f>IF(LEN(B44)=1,"0"&amp;B44,TEXT(B44,0))</f>
        <v/>
      </c>
      <c r="D44" s="144" t="n">
        <v>3</v>
      </c>
      <c r="E44" s="144">
        <f>A44</f>
        <v/>
      </c>
      <c r="F44" s="175" t="n">
        <v>41</v>
      </c>
      <c r="G44" s="175" t="n">
        <v>1.54</v>
      </c>
    </row>
    <row r="45">
      <c r="A45" s="176" t="inlineStr">
        <is>
          <t>Sevilla</t>
        </is>
      </c>
      <c r="B45" s="177" t="n">
        <v>41</v>
      </c>
      <c r="C45" s="144">
        <f>IF(LEN(B45)=1,"0"&amp;B45,TEXT(B45,0))</f>
        <v/>
      </c>
      <c r="D45" s="144" t="n">
        <v>2</v>
      </c>
      <c r="E45" s="144">
        <f>A45</f>
        <v/>
      </c>
      <c r="F45" s="175" t="n">
        <v>42</v>
      </c>
      <c r="G45" s="175" t="n">
        <v>1.79</v>
      </c>
    </row>
    <row r="46">
      <c r="A46" s="176" t="inlineStr">
        <is>
          <t>Soria</t>
        </is>
      </c>
      <c r="B46" s="177" t="n">
        <v>42</v>
      </c>
      <c r="C46" s="144">
        <f>IF(LEN(B46)=1,"0"&amp;B46,TEXT(B46,0))</f>
        <v/>
      </c>
      <c r="D46" s="144" t="n">
        <v>3</v>
      </c>
      <c r="E46" s="144">
        <f>A46</f>
        <v/>
      </c>
      <c r="F46" s="175" t="n">
        <v>43</v>
      </c>
      <c r="G46" s="175" t="n">
        <v>2.09</v>
      </c>
    </row>
    <row r="47">
      <c r="A47" s="176" t="inlineStr">
        <is>
          <t>Tarragona</t>
        </is>
      </c>
      <c r="B47" s="177" t="n">
        <v>43</v>
      </c>
      <c r="C47" s="144">
        <f>IF(LEN(B47)=1,"0"&amp;B47,TEXT(B47,0))</f>
        <v/>
      </c>
      <c r="D47" s="144" t="n">
        <v>4</v>
      </c>
      <c r="E47" s="144">
        <f>A47</f>
        <v/>
      </c>
      <c r="F47" s="175" t="n">
        <v>44</v>
      </c>
      <c r="G47" s="175" t="n">
        <v>2.44</v>
      </c>
    </row>
    <row r="48">
      <c r="A48" s="176" t="inlineStr">
        <is>
          <t>Teruel</t>
        </is>
      </c>
      <c r="B48" s="177" t="n">
        <v>44</v>
      </c>
      <c r="C48" s="144">
        <f>IF(LEN(B48)=1,"0"&amp;B48,TEXT(B48,0))</f>
        <v/>
      </c>
      <c r="D48" s="144" t="n">
        <v>4</v>
      </c>
      <c r="E48" s="144">
        <f>A48</f>
        <v/>
      </c>
      <c r="F48" s="175" t="n">
        <v>45</v>
      </c>
      <c r="G48" s="175" t="n">
        <v>2.85</v>
      </c>
    </row>
    <row r="49">
      <c r="A49" s="176" t="inlineStr">
        <is>
          <t>Toledo</t>
        </is>
      </c>
      <c r="B49" s="177" t="n">
        <v>45</v>
      </c>
      <c r="C49" s="144">
        <f>IF(LEN(B49)=1,"0"&amp;B49,TEXT(B49,0))</f>
        <v/>
      </c>
      <c r="D49" s="144" t="n">
        <v>4</v>
      </c>
      <c r="E49" s="144">
        <f>A49</f>
        <v/>
      </c>
      <c r="F49" s="175" t="n">
        <v>46</v>
      </c>
      <c r="G49" s="175" t="n">
        <v>3.31</v>
      </c>
    </row>
    <row r="50">
      <c r="A50" s="176" t="inlineStr">
        <is>
          <t>Valencia</t>
        </is>
      </c>
      <c r="B50" s="177" t="n">
        <v>46</v>
      </c>
      <c r="C50" s="144">
        <f>IF(LEN(B50)=1,"0"&amp;B50,TEXT(B50,0))</f>
        <v/>
      </c>
      <c r="D50" s="144" t="n">
        <v>2</v>
      </c>
      <c r="E50" s="144">
        <f>A50</f>
        <v/>
      </c>
      <c r="F50" s="175" t="n">
        <v>47</v>
      </c>
      <c r="G50" s="175" t="n">
        <v>3.84</v>
      </c>
    </row>
    <row r="51">
      <c r="A51" s="176" t="inlineStr">
        <is>
          <t>Valladolid</t>
        </is>
      </c>
      <c r="B51" s="177" t="n">
        <v>47</v>
      </c>
      <c r="C51" s="144">
        <f>IF(LEN(B51)=1,"0"&amp;B51,TEXT(B51,0))</f>
        <v/>
      </c>
      <c r="D51" s="144" t="n">
        <v>3</v>
      </c>
      <c r="E51" s="144">
        <f>A51</f>
        <v/>
      </c>
      <c r="F51" s="175" t="n">
        <v>48</v>
      </c>
      <c r="G51" s="175" t="n">
        <v>4.44</v>
      </c>
    </row>
    <row r="52">
      <c r="A52" s="176" t="inlineStr">
        <is>
          <t>Zamora</t>
        </is>
      </c>
      <c r="B52" s="177" t="n">
        <v>49</v>
      </c>
      <c r="C52" s="144">
        <f>IF(LEN(B52)=1,"0"&amp;B52,TEXT(B52,0))</f>
        <v/>
      </c>
      <c r="D52" s="144" t="n">
        <v>3</v>
      </c>
      <c r="E52" s="144">
        <f>A52</f>
        <v/>
      </c>
      <c r="F52" s="175" t="n">
        <v>49</v>
      </c>
      <c r="G52" s="175" t="n">
        <v>5.11</v>
      </c>
    </row>
    <row r="53">
      <c r="A53" s="176" t="inlineStr">
        <is>
          <t>Zaragoza</t>
        </is>
      </c>
      <c r="B53" s="177" t="n">
        <v>50</v>
      </c>
      <c r="C53" s="144">
        <f>IF(LEN(B53)=1,"0"&amp;B53,TEXT(B53,0))</f>
        <v/>
      </c>
      <c r="D53" s="144" t="n">
        <v>4</v>
      </c>
      <c r="E53" s="144">
        <f>A53</f>
        <v/>
      </c>
      <c r="F53" s="175" t="n">
        <v>50</v>
      </c>
      <c r="G53" s="175" t="n">
        <v>5.85</v>
      </c>
    </row>
    <row r="54">
      <c r="F54" s="175" t="n">
        <v>51</v>
      </c>
      <c r="G54" s="175" t="n">
        <v>6.45</v>
      </c>
    </row>
    <row r="55">
      <c r="F55" s="175" t="n">
        <v>52</v>
      </c>
      <c r="G55" s="175" t="n">
        <v>7.08</v>
      </c>
    </row>
    <row r="56">
      <c r="F56" s="175" t="n">
        <v>53</v>
      </c>
      <c r="G56" s="175" t="n">
        <v>7.75</v>
      </c>
    </row>
    <row r="57">
      <c r="F57" s="175" t="n">
        <v>54</v>
      </c>
      <c r="G57" s="175" t="n">
        <v>8.43</v>
      </c>
    </row>
    <row r="58">
      <c r="F58" s="175" t="n">
        <v>55</v>
      </c>
      <c r="G58" s="175" t="n">
        <v>9.17</v>
      </c>
    </row>
    <row r="59">
      <c r="F59" s="175" t="n">
        <v>56</v>
      </c>
      <c r="G59" s="175" t="n">
        <v>9.92</v>
      </c>
    </row>
    <row r="60">
      <c r="F60" s="175" t="n">
        <v>57</v>
      </c>
      <c r="G60" s="175" t="n">
        <v>10.74</v>
      </c>
    </row>
    <row r="61">
      <c r="F61" s="175" t="n">
        <v>58</v>
      </c>
      <c r="G61" s="175" t="n">
        <v>11.6</v>
      </c>
    </row>
    <row r="62">
      <c r="F62" s="175" t="n">
        <v>59</v>
      </c>
      <c r="G62" s="175" t="n">
        <v>12.53</v>
      </c>
    </row>
    <row r="63">
      <c r="F63" s="175" t="n">
        <v>60</v>
      </c>
      <c r="G63" s="175" t="n">
        <v>13.55</v>
      </c>
    </row>
    <row r="64">
      <c r="F64" s="175" t="n">
        <v>61</v>
      </c>
      <c r="G64" s="175" t="n">
        <v>14.63</v>
      </c>
    </row>
    <row r="65">
      <c r="F65" s="175" t="n">
        <v>62</v>
      </c>
      <c r="G65" s="175" t="n">
        <v>15.84</v>
      </c>
    </row>
    <row r="66">
      <c r="F66" s="175" t="n">
        <v>63</v>
      </c>
      <c r="G66" s="175" t="n">
        <v>17.14</v>
      </c>
    </row>
    <row r="67">
      <c r="F67" s="175" t="n">
        <v>64</v>
      </c>
      <c r="G67" s="175" t="n">
        <v>18.57</v>
      </c>
    </row>
    <row r="68">
      <c r="F68" s="175" t="n">
        <v>65</v>
      </c>
      <c r="G68" s="175" t="n">
        <v>20.19</v>
      </c>
    </row>
    <row r="69">
      <c r="F69" s="175" t="n">
        <v>66</v>
      </c>
      <c r="G69" s="175" t="n">
        <v>21.91</v>
      </c>
    </row>
    <row r="70">
      <c r="F70" s="175" t="n">
        <v>67</v>
      </c>
      <c r="G70" s="175" t="n">
        <v>23.89</v>
      </c>
    </row>
    <row r="71">
      <c r="F71" s="175" t="n">
        <v>68</v>
      </c>
      <c r="G71" s="175" t="n">
        <v>26.06</v>
      </c>
    </row>
    <row r="72">
      <c r="F72" s="175" t="n">
        <v>69</v>
      </c>
      <c r="G72" s="175" t="n">
        <v>28.48</v>
      </c>
    </row>
    <row r="73">
      <c r="F73" s="175" t="n">
        <v>70</v>
      </c>
      <c r="G73" s="175" t="n">
        <v>31.24</v>
      </c>
    </row>
    <row r="74">
      <c r="F74" s="175" t="n">
        <v>71</v>
      </c>
      <c r="G74" s="175" t="n">
        <v>34.36</v>
      </c>
    </row>
    <row r="75">
      <c r="F75" s="175" t="n">
        <v>72</v>
      </c>
      <c r="G75" s="175" t="n">
        <v>37.9</v>
      </c>
    </row>
    <row r="76">
      <c r="F76" s="175" t="n">
        <v>73</v>
      </c>
      <c r="G76" s="175" t="n">
        <v>41.9</v>
      </c>
    </row>
    <row r="77">
      <c r="F77" s="175" t="n">
        <v>74</v>
      </c>
      <c r="G77" s="175" t="n">
        <v>46.48</v>
      </c>
    </row>
    <row r="78">
      <c r="F78" s="175" t="n">
        <v>75</v>
      </c>
      <c r="G78" s="175" t="n">
        <v>51.81</v>
      </c>
    </row>
    <row r="79">
      <c r="F79" s="175" t="n">
        <v>76</v>
      </c>
      <c r="G79" s="175" t="n">
        <v>57.81</v>
      </c>
    </row>
    <row r="80">
      <c r="F80" s="175" t="n">
        <v>77</v>
      </c>
      <c r="G80" s="175" t="n">
        <v>64.70999999999999</v>
      </c>
    </row>
    <row r="81">
      <c r="F81" s="175" t="n">
        <v>78</v>
      </c>
      <c r="G81" s="175" t="n">
        <v>72.72</v>
      </c>
    </row>
    <row r="82">
      <c r="F82" s="175" t="n">
        <v>79</v>
      </c>
      <c r="G82" s="175" t="n">
        <v>81.76000000000001</v>
      </c>
    </row>
    <row r="83">
      <c r="F83" s="175" t="n">
        <v>80</v>
      </c>
      <c r="G83" s="175" t="n">
        <v>92.34999999999999</v>
      </c>
    </row>
    <row r="84">
      <c r="F84" s="175" t="n">
        <v>81</v>
      </c>
      <c r="G84" s="175" t="n">
        <v>104.7</v>
      </c>
    </row>
    <row r="85">
      <c r="F85" s="175" t="n">
        <v>82</v>
      </c>
      <c r="G85" s="175" t="n">
        <v>119.04</v>
      </c>
    </row>
    <row r="86">
      <c r="F86" s="175" t="n">
        <v>83</v>
      </c>
      <c r="G86" s="175" t="n">
        <v>135.33</v>
      </c>
    </row>
    <row r="87">
      <c r="F87" s="175" t="n">
        <v>84</v>
      </c>
      <c r="G87" s="175" t="n">
        <v>153.99</v>
      </c>
    </row>
    <row r="88">
      <c r="F88" s="175" t="n">
        <v>85</v>
      </c>
      <c r="G88" s="175" t="n">
        <v>175.53</v>
      </c>
    </row>
    <row r="89">
      <c r="F89" s="175" t="n">
        <v>86</v>
      </c>
      <c r="G89" s="175" t="n">
        <v>199.68</v>
      </c>
    </row>
    <row r="90">
      <c r="F90" s="175" t="n">
        <v>87</v>
      </c>
      <c r="G90" s="175" t="n">
        <v>226.95</v>
      </c>
    </row>
    <row r="91">
      <c r="F91" s="175" t="n">
        <v>88</v>
      </c>
      <c r="G91" s="175" t="n">
        <v>257.39</v>
      </c>
    </row>
    <row r="92">
      <c r="F92" s="175" t="n">
        <v>89</v>
      </c>
      <c r="G92" s="175" t="n">
        <v>291.81</v>
      </c>
    </row>
    <row r="93">
      <c r="F93" s="175" t="n">
        <v>90</v>
      </c>
      <c r="G93" s="175" t="n">
        <v>329.28</v>
      </c>
    </row>
    <row r="94">
      <c r="F94" s="175" t="n">
        <v>91</v>
      </c>
      <c r="G94" s="175" t="n">
        <v>370.9</v>
      </c>
    </row>
    <row r="95">
      <c r="F95" s="175" t="n">
        <v>92</v>
      </c>
      <c r="G95" s="175" t="n">
        <v>416.12</v>
      </c>
    </row>
    <row r="96">
      <c r="F96" s="175" t="n">
        <v>93</v>
      </c>
      <c r="G96" s="175" t="n">
        <v>465.39</v>
      </c>
    </row>
    <row r="97">
      <c r="F97" s="175" t="n">
        <v>94</v>
      </c>
      <c r="G97" s="175" t="n">
        <v>519.22</v>
      </c>
    </row>
    <row r="98">
      <c r="F98" s="175" t="n">
        <v>95</v>
      </c>
      <c r="G98" s="175" t="n">
        <v>577.0599999999999</v>
      </c>
    </row>
    <row r="99">
      <c r="F99" s="175" t="n">
        <v>96</v>
      </c>
      <c r="G99" s="175" t="n">
        <v>640.45</v>
      </c>
    </row>
    <row r="100">
      <c r="F100" s="175" t="n">
        <v>97</v>
      </c>
      <c r="G100" s="175" t="n">
        <v>707.58</v>
      </c>
    </row>
    <row r="101">
      <c r="F101" s="175" t="n">
        <v>98</v>
      </c>
      <c r="G101" s="175" t="n">
        <v>778.79</v>
      </c>
    </row>
    <row r="102">
      <c r="F102" s="175" t="n">
        <v>99</v>
      </c>
      <c r="G102" s="175" t="n">
        <v>852.86</v>
      </c>
    </row>
    <row r="103">
      <c r="F103" s="175" t="n">
        <v>100</v>
      </c>
      <c r="G103" s="175" t="n">
        <v>967.1799999999999</v>
      </c>
    </row>
    <row r="104">
      <c r="F104" s="175" t="n">
        <v>101</v>
      </c>
      <c r="G104" s="178" t="n">
        <v>1097.93</v>
      </c>
    </row>
    <row r="105">
      <c r="F105" s="175" t="n">
        <v>102</v>
      </c>
      <c r="G105" s="178" t="n">
        <v>1248.82</v>
      </c>
    </row>
    <row r="106">
      <c r="F106" s="175" t="n">
        <v>103</v>
      </c>
      <c r="G106" s="178" t="n">
        <v>1415.37</v>
      </c>
    </row>
    <row r="107">
      <c r="F107" s="175" t="n">
        <v>104</v>
      </c>
      <c r="G107" s="178" t="n">
        <v>1590.93</v>
      </c>
    </row>
    <row r="108">
      <c r="F108" s="175" t="n">
        <v>105</v>
      </c>
      <c r="G108" s="178" t="n">
        <v>1767.5</v>
      </c>
    </row>
    <row r="109">
      <c r="F109" s="175" t="n">
        <v>106</v>
      </c>
      <c r="G109" s="178" t="n">
        <v>1936.57</v>
      </c>
    </row>
    <row r="110">
      <c r="F110" s="175" t="n">
        <v>107</v>
      </c>
      <c r="G110" s="178" t="n">
        <v>2089.92</v>
      </c>
    </row>
    <row r="111">
      <c r="F111" s="175" t="n">
        <v>108</v>
      </c>
      <c r="G111" s="178" t="n">
        <v>2217.13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60000"/>
    <outlinePr summaryBelow="0" summaryRight="0"/>
    <pageSetUpPr/>
  </sheetPr>
  <dimension ref="A1:AY101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38" customWidth="1" style="241" min="1" max="1"/>
    <col width="6.88" customWidth="1" style="241" min="2" max="4"/>
    <col width="2.63" customWidth="1" style="241" min="5" max="5"/>
    <col width="2.38" customWidth="1" style="241" min="7" max="7"/>
    <col width="4.25" customWidth="1" style="241" min="9" max="9"/>
    <col width="11.75" customWidth="1" style="241" min="10" max="10"/>
    <col width="4.13" customWidth="1" style="241" min="11" max="11"/>
    <col width="13.13" customWidth="1" style="241" min="12" max="12"/>
    <col width="10.63" customWidth="1" style="241" min="13" max="14"/>
    <col width="10.5" customWidth="1" style="241" min="15" max="15"/>
    <col width="10.63" customWidth="1" style="241" min="16" max="21"/>
    <col width="10.5" customWidth="1" style="241" min="22" max="22"/>
    <col width="10.63" customWidth="1" style="241" min="23" max="25"/>
    <col width="13.5" customWidth="1" style="241" min="26" max="28"/>
    <col width="20.63" customWidth="1" style="241" min="29" max="29"/>
    <col width="7" customWidth="1" style="241" min="30" max="40"/>
  </cols>
  <sheetData>
    <row r="1" ht="18.75" customHeight="1" s="241">
      <c r="B1" s="2" t="n"/>
      <c r="C1" s="2" t="n"/>
      <c r="D1" s="5" t="n"/>
      <c r="E1" s="10" t="n"/>
      <c r="F1" s="5" t="n"/>
      <c r="G1" s="5" t="n"/>
      <c r="H1" s="5" t="n"/>
      <c r="J1" s="6" t="n"/>
      <c r="K1" s="5" t="n"/>
      <c r="N1" s="179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</row>
    <row r="2" ht="18.75" customHeight="1" s="241">
      <c r="B2" s="2" t="n"/>
      <c r="D2" s="5" t="n"/>
      <c r="E2" s="10" t="n"/>
      <c r="F2" s="5" t="n"/>
      <c r="G2" s="5" t="n"/>
      <c r="H2" s="7">
        <f>IF(LEN(H3)=5,VLOOKUP(LEFT(H3,2),AuxCP!C:E,3,0),VLOOKUP("0"&amp;LEFT(H3,1),AuxCP!C:E,3,0))</f>
        <v/>
      </c>
      <c r="J2" s="6" t="inlineStr">
        <is>
          <t>Zona</t>
        </is>
      </c>
      <c r="K2" s="5" t="n"/>
      <c r="N2" s="179" t="n"/>
      <c r="O2" s="180" t="n"/>
      <c r="P2" s="181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</row>
    <row r="3" ht="27" customHeight="1" s="241">
      <c r="A3" s="58" t="n"/>
      <c r="B3" s="10" t="n"/>
      <c r="C3" s="10" t="n"/>
      <c r="D3" s="10" t="n"/>
      <c r="E3" s="10" t="n"/>
      <c r="F3" s="10" t="inlineStr">
        <is>
          <t>CP</t>
        </is>
      </c>
      <c r="G3" s="10" t="n"/>
      <c r="H3" s="11" t="n">
        <v>28000</v>
      </c>
      <c r="I3" s="10" t="n"/>
      <c r="J3" s="12">
        <f>IF(LEN(H3)=5,VLOOKUP(LEFT(H3,2),AuxCP!C:D,2,0),VLOOKUP("0"&amp;LEFT(H3,1),AuxCP!C:D,2,0))</f>
        <v/>
      </c>
      <c r="K3" s="10" t="n"/>
      <c r="L3" s="264" t="inlineStr">
        <is>
          <t>COTIZACIÓN</t>
        </is>
      </c>
      <c r="M3" s="265" t="n"/>
      <c r="N3" s="265" t="n"/>
      <c r="O3" s="265" t="n"/>
      <c r="P3" s="265" t="n"/>
      <c r="Q3" s="265" t="n"/>
      <c r="R3" s="265" t="n"/>
      <c r="S3" s="265" t="n"/>
      <c r="T3" s="265" t="n"/>
      <c r="U3" s="265" t="n"/>
      <c r="V3" s="265" t="n"/>
      <c r="W3" s="265" t="n"/>
      <c r="X3" s="265" t="n"/>
      <c r="Y3" s="265" t="n"/>
      <c r="Z3" s="265" t="n"/>
      <c r="AA3" s="265" t="n"/>
      <c r="AB3" s="266" t="n"/>
      <c r="AC3" s="58" t="n"/>
      <c r="AD3" s="5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  <c r="AQ3" s="58" t="n"/>
      <c r="AR3" s="58" t="n"/>
      <c r="AS3" s="58" t="n"/>
      <c r="AT3" s="58" t="n"/>
      <c r="AU3" s="58" t="n"/>
      <c r="AV3" s="58" t="n"/>
      <c r="AW3" s="58" t="n"/>
      <c r="AX3" s="58" t="n"/>
      <c r="AY3" s="58" t="n"/>
    </row>
    <row r="4" ht="20.25" customHeight="1" s="241">
      <c r="B4" s="5" t="inlineStr">
        <is>
          <t>Fecha nacimiento</t>
        </is>
      </c>
      <c r="E4" s="10" t="n"/>
      <c r="F4" s="5" t="inlineStr">
        <is>
          <t>Edad</t>
        </is>
      </c>
      <c r="G4" s="5" t="n"/>
      <c r="H4" s="5" t="n"/>
      <c r="J4" s="245" t="inlineStr">
        <is>
          <t>DESCUENTOS</t>
        </is>
      </c>
      <c r="K4" s="5" t="n"/>
      <c r="L4" s="185" t="n"/>
      <c r="M4" s="267" t="inlineStr">
        <is>
          <t>Adeslas Go</t>
        </is>
      </c>
      <c r="N4" s="251" t="inlineStr">
        <is>
          <t>Adeslas Plena Vital</t>
        </is>
      </c>
      <c r="O4" s="268" t="inlineStr">
        <is>
          <t>Adeslas Plena Total Vital</t>
        </is>
      </c>
      <c r="P4" s="251" t="inlineStr">
        <is>
          <t>Adeslas Plena</t>
        </is>
      </c>
      <c r="Q4" s="251" t="inlineStr">
        <is>
          <t>Adeslas Plena Plus</t>
        </is>
      </c>
      <c r="R4" s="268" t="inlineStr">
        <is>
          <t>Adeslas Plena Total</t>
        </is>
      </c>
      <c r="S4" s="251" t="inlineStr">
        <is>
          <t>Adeslas Plena Extra 150</t>
        </is>
      </c>
      <c r="T4" s="269" t="inlineStr">
        <is>
          <t>Adeslas Seniors</t>
        </is>
      </c>
      <c r="U4" s="269" t="inlineStr">
        <is>
          <t>Adeslas Plena Total Seniors</t>
        </is>
      </c>
      <c r="V4" s="251" t="inlineStr">
        <is>
          <t>Adeslas NIF</t>
        </is>
      </c>
      <c r="W4" s="270" t="inlineStr">
        <is>
          <t>Adeslas Pymes TOTAL</t>
        </is>
      </c>
      <c r="X4" s="251" t="inlineStr">
        <is>
          <t>Adeslas Extra NIF</t>
        </is>
      </c>
      <c r="Y4" s="251" t="inlineStr">
        <is>
          <t>Adeslas CIF</t>
        </is>
      </c>
      <c r="Z4" s="251" t="inlineStr">
        <is>
          <t>Adeslas Extra CIF</t>
        </is>
      </c>
      <c r="AA4" s="251" t="inlineStr">
        <is>
          <t>Adeslas Empresas</t>
        </is>
      </c>
      <c r="AB4" s="271" t="inlineStr">
        <is>
          <t>Adeslas Extra Empresas</t>
        </is>
      </c>
      <c r="AC4" s="58" t="n"/>
      <c r="AD4" s="58" t="n"/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</row>
    <row r="5" ht="20.25" customHeight="1" s="241">
      <c r="A5" s="58" t="n"/>
      <c r="B5" s="30" t="inlineStr">
        <is>
          <t>Día</t>
        </is>
      </c>
      <c r="C5" s="30" t="inlineStr">
        <is>
          <t>Mes</t>
        </is>
      </c>
      <c r="D5" s="30" t="inlineStr">
        <is>
          <t>Año</t>
        </is>
      </c>
      <c r="E5" s="10" t="n"/>
      <c r="F5" s="30" t="inlineStr">
        <is>
          <t>Edad</t>
        </is>
      </c>
      <c r="G5" s="31" t="n"/>
      <c r="H5" s="32" t="inlineStr">
        <is>
          <t>Edad</t>
        </is>
      </c>
      <c r="I5" s="58" t="n"/>
      <c r="J5" s="253" t="n"/>
      <c r="K5" s="10" t="n"/>
      <c r="L5" s="185" t="n"/>
      <c r="M5" s="253" t="n"/>
      <c r="N5" s="253" t="n"/>
      <c r="O5" s="253" t="n"/>
      <c r="P5" s="253" t="n"/>
      <c r="Q5" s="253" t="n"/>
      <c r="R5" s="253" t="n"/>
      <c r="S5" s="253" t="n"/>
      <c r="T5" s="253" t="n"/>
      <c r="U5" s="253" t="n"/>
      <c r="V5" s="253" t="n"/>
      <c r="W5" s="253" t="n"/>
      <c r="X5" s="253" t="n"/>
      <c r="Y5" s="253" t="n"/>
      <c r="Z5" s="253" t="n"/>
      <c r="AA5" s="253" t="n"/>
      <c r="AB5" s="272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Q5" s="58" t="n"/>
      <c r="AR5" s="58" t="n"/>
      <c r="AS5" s="58" t="n"/>
      <c r="AT5" s="58" t="n"/>
      <c r="AU5" s="58" t="n"/>
      <c r="AV5" s="58" t="n"/>
      <c r="AW5" s="58" t="n"/>
      <c r="AX5" s="58" t="n"/>
    </row>
    <row r="6" ht="34.5" customHeight="1" s="241">
      <c r="A6" s="38" t="n">
        <v>1</v>
      </c>
      <c r="B6" s="192" t="n"/>
      <c r="C6" s="192" t="n"/>
      <c r="D6" s="192" t="n"/>
      <c r="E6" s="10" t="n"/>
      <c r="F6" s="193" t="n">
        <v>52</v>
      </c>
      <c r="G6" s="10" t="n"/>
      <c r="H6" s="41">
        <f>IF(F6=0,TRUNC((TODAY()-DATE(D6,C6,B6))/365.25,0),F6)</f>
        <v/>
      </c>
      <c r="I6" s="10" t="n"/>
      <c r="J6" s="42">
        <f>IF(J10="Sí",0.06+J8,J8)</f>
        <v/>
      </c>
      <c r="K6" s="5" t="n"/>
      <c r="L6" s="194" t="inlineStr">
        <is>
          <t>SIN DENTAL</t>
        </is>
      </c>
      <c r="M6" s="48">
        <f>IF(H16="No Asegurable","", IF($F15&gt;1, SUM(M19:M26)*0.9,SUM(M19:M26)))</f>
        <v/>
      </c>
      <c r="N6" s="48">
        <f>IF(H19="No Asegurable","", IF($F15&gt;3, SUM(N19:N26)*0.9,SUM(N19:N26)))</f>
        <v/>
      </c>
      <c r="O6" s="10" t="n"/>
      <c r="P6" s="48">
        <f>IF(H20="No Asegurable","", IF($F15&gt;3, SUM(P19:P26)*0.9,SUM(P19:P26)))</f>
        <v/>
      </c>
      <c r="Q6" s="48">
        <f>IF(H20="No Asegurable","", IF($F15&gt;3, SUM(Q19:Q26)*0.9,SUM(Q19:Q26)))</f>
        <v/>
      </c>
      <c r="R6" s="10" t="n"/>
      <c r="S6" s="48">
        <f>IF(H25="No Asegurable","", IF($F15&gt;3, SUM(S19:S26)*0.9,SUM(S19:S26)))</f>
        <v/>
      </c>
      <c r="T6" s="10">
        <f>IF(H17="No Asegurable","", IF($F15&gt;2, SUM(T19:T26)*0.9,SUM(T19:T26)))</f>
        <v/>
      </c>
      <c r="U6" s="10" t="n"/>
      <c r="V6" s="48">
        <f>IF(H21="No Asegurable","", IF($F15&gt;3, SUM(V19:V26)*0.9,SUM(V19:V26)))</f>
        <v/>
      </c>
      <c r="W6" s="10" t="n"/>
      <c r="X6" s="48">
        <f>IF(H21="No Asegurable","", IF($F15&gt;3, SUM(X19:X26)*0.9,SUM(X19:X26)))</f>
        <v/>
      </c>
      <c r="Y6" s="48">
        <f>IF(H28="No Asegurable","", IF($F15&gt;3, SUM(Y19:Y26)*0.9,SUM(Y19:Y26)))</f>
        <v/>
      </c>
      <c r="Z6" s="48">
        <f>IF(H28="No Asegurable","", IF($F15&gt;3, SUM(Z19:Z26)*0.9,SUM(Z19:Z26)))</f>
        <v/>
      </c>
      <c r="AA6" s="10">
        <f>IF($H27="No asegurable","",SUM(AA19:AA26))</f>
        <v/>
      </c>
      <c r="AB6" s="195">
        <f>IF($H27="No asegurable","",SUM(AB19:AB26))</f>
        <v/>
      </c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8" t="n"/>
      <c r="AT6" s="58" t="n"/>
      <c r="AU6" s="10" t="n"/>
      <c r="AV6" s="10" t="n"/>
      <c r="AW6" s="10" t="n"/>
    </row>
    <row r="7" ht="34.5" customHeight="1" s="241">
      <c r="A7" s="38" t="n">
        <v>2</v>
      </c>
      <c r="B7" s="192" t="n"/>
      <c r="C7" s="192" t="n"/>
      <c r="D7" s="192" t="n"/>
      <c r="E7" s="10" t="n"/>
      <c r="F7" s="193" t="n">
        <v>54</v>
      </c>
      <c r="G7" s="10" t="n"/>
      <c r="H7" s="41">
        <f>IF(F7=0,TRUNC((TODAY()-DATE(D7,C7,B7))/365.25,0),F7)</f>
        <v/>
      </c>
      <c r="I7" s="10" t="n"/>
      <c r="J7" s="52" t="inlineStr">
        <is>
          <t>Descuento contra comisión</t>
        </is>
      </c>
      <c r="K7" s="5" t="n"/>
      <c r="L7" s="196" t="inlineStr">
        <is>
          <t>CON DENTAL</t>
        </is>
      </c>
      <c r="M7" s="54">
        <f>IF(OR(M6=0,M6=""),"", IFERROR(M6+VLOOKUP($F$15,'aux antiguo'!$BO:$BQ,3,0),""))</f>
        <v/>
      </c>
      <c r="N7" s="54">
        <f>IF(OR(N6=0,N6=""),"", IFERROR(N6+VLOOKUP($F$15,'aux antiguo'!$BO:$BQ,3,0),""))</f>
        <v/>
      </c>
      <c r="O7" s="54">
        <f>IF(H24="No Asegurable","", IF($F15&gt;3, SUM(O19:O26)*0.9,SUM(O19:O26)))</f>
        <v/>
      </c>
      <c r="P7" s="54">
        <f>IF(OR(P6=0,P6=""),"",IFERROR(P6+VLOOKUP($F$15,'aux antiguo'!$BO:$BQ,3,0),""))</f>
        <v/>
      </c>
      <c r="Q7" s="54">
        <f>IF(OR(Q6=0,Q6=""),"",IFERROR(Q6+VLOOKUP($F$15,'aux antiguo'!$BO:$BQ,3,0),""))</f>
        <v/>
      </c>
      <c r="R7" s="54">
        <f>IF(H24="No Asegurable","", IF($F15&gt;3, SUM(R19:R26)*0.9,SUM(R19:R26)))</f>
        <v/>
      </c>
      <c r="S7" s="54">
        <f>IF(OR(S6=0,S6=""),"",IFERROR(S6+VLOOKUP($F$15,'aux antiguo'!$BO:$BQ,3,0),""))</f>
        <v/>
      </c>
      <c r="T7" s="54">
        <f>IF(OR(T6=0,T6=""),"",IFERROR(T6+VLOOKUP($F$15,'aux antiguo'!$BO:$BQ,3,0),""))</f>
        <v/>
      </c>
      <c r="U7" s="54">
        <f>IF(H23="No Asegurable","", IF($F15&gt;2, SUM(U19:U26)*0.9,SUM(U19:U26)))</f>
        <v/>
      </c>
      <c r="V7" s="54">
        <f>IF(OR(V6=0,V6=""),"",IFERROR(V6+VLOOKUP($F$15,'aux antiguo'!$BO:$BQ,3,0),""))</f>
        <v/>
      </c>
      <c r="W7" s="54">
        <f>IF(H22="No Asegurable","",SUM(W19:W26))</f>
        <v/>
      </c>
      <c r="X7" s="54">
        <f>IF(OR(X6=0,X6=""),"",IFERROR(X6+VLOOKUP($F$15,'aux antiguo'!$BO:$BQ,3,0),""))</f>
        <v/>
      </c>
      <c r="Y7" s="56" t="n"/>
      <c r="Z7" s="56" t="n"/>
      <c r="AA7" s="56" t="n"/>
      <c r="AB7" s="197" t="n"/>
      <c r="AC7" s="58" t="n"/>
      <c r="AD7" s="58" t="n"/>
      <c r="AE7" s="58" t="n"/>
      <c r="AF7" s="58" t="n"/>
      <c r="AG7" s="58" t="n"/>
      <c r="AH7" s="58" t="n"/>
      <c r="AI7" s="58" t="n"/>
      <c r="AJ7" s="58" t="n"/>
      <c r="AK7" s="58" t="n"/>
      <c r="AL7" s="58" t="n"/>
      <c r="AM7" s="58" t="n"/>
      <c r="AN7" s="58" t="n"/>
      <c r="AO7" s="58" t="n"/>
      <c r="AP7" s="58" t="n"/>
      <c r="AQ7" s="58" t="n"/>
      <c r="AR7" s="58" t="n"/>
      <c r="AS7" s="58" t="n"/>
      <c r="AT7" s="58" t="n"/>
      <c r="AU7" s="10" t="n"/>
      <c r="AV7" s="10" t="n"/>
      <c r="AW7" s="10" t="n"/>
    </row>
    <row r="8" ht="34.5" customHeight="1" s="241">
      <c r="A8" s="38" t="n">
        <v>3</v>
      </c>
      <c r="B8" s="192" t="n"/>
      <c r="C8" s="192" t="n"/>
      <c r="D8" s="192" t="n"/>
      <c r="E8" s="10" t="n"/>
      <c r="F8" s="193" t="n">
        <v>22</v>
      </c>
      <c r="G8" s="10" t="n"/>
      <c r="H8" s="41">
        <f>IF(F8=0,TRUNC((TODAY()-DATE(D8,C8,B8))/365.25,0),F8)</f>
        <v/>
      </c>
      <c r="I8" s="10" t="n"/>
      <c r="J8" s="59" t="n">
        <v>0</v>
      </c>
      <c r="K8" s="5" t="n"/>
      <c r="L8" s="198" t="inlineStr">
        <is>
          <t>PRECIO SIN DESCUENTO</t>
        </is>
      </c>
      <c r="M8" s="64" t="n"/>
      <c r="N8" s="64" t="n"/>
      <c r="O8" s="199">
        <f>IF(OR($J$6=0.01, $J$6=0.02, $J$6=0.03, $J$6=0.04, $J$6=0.05),O7/ (1 - ($J$6 * 2)),O7/(1-J6))</f>
        <v/>
      </c>
      <c r="P8" s="64" t="n"/>
      <c r="Q8" s="64" t="n"/>
      <c r="R8" s="199">
        <f>IF(OR($J$6=0.01, $J$6=0.02, $J$6=0.03, $J$6=0.04, $J$6=0.05),R7/ (1 - ($J$6 * 2)),R7/(1-J6))</f>
        <v/>
      </c>
      <c r="S8" s="64" t="n"/>
      <c r="T8" s="64" t="n"/>
      <c r="U8" s="199">
        <f>IF(OR($J$6=0.01, $J$6=0.02, $J$6=0.03, $J$6=0.04, $J$6=0.05),U7/ (1 - ($J$6 * 2)),U7/(1-J6))</f>
        <v/>
      </c>
      <c r="V8" s="64" t="n"/>
      <c r="W8" s="199">
        <f>W7*1.07</f>
        <v/>
      </c>
      <c r="X8" s="64" t="n"/>
      <c r="Y8" s="64" t="n"/>
      <c r="Z8" s="64" t="n"/>
      <c r="AA8" s="64" t="n"/>
      <c r="AB8" s="200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10" t="n"/>
      <c r="AV8" s="10" t="n"/>
      <c r="AW8" s="10" t="n"/>
    </row>
    <row r="9" ht="34.5" customHeight="1" s="241">
      <c r="A9" s="38" t="n">
        <v>4</v>
      </c>
      <c r="B9" s="192" t="n"/>
      <c r="C9" s="192" t="n"/>
      <c r="D9" s="192" t="n"/>
      <c r="E9" s="10" t="n"/>
      <c r="F9" s="193" t="n"/>
      <c r="G9" s="10" t="n"/>
      <c r="H9" s="31">
        <f>IF(F9=0,TRUNC((TODAY()-DATE(D9,C9,B9))/365.25,0),F9)</f>
        <v/>
      </c>
      <c r="I9" s="10" t="n"/>
      <c r="J9" s="52" t="inlineStr">
        <is>
          <t>¿Es Anual?</t>
        </is>
      </c>
      <c r="K9" s="5" t="n"/>
      <c r="L9" s="273" t="inlineStr">
        <is>
          <t>Precios medios Año 1</t>
        </is>
      </c>
      <c r="AB9" s="274" t="n"/>
      <c r="AC9" s="58" t="n"/>
      <c r="AD9" s="58" t="n"/>
      <c r="AE9" s="58" t="n"/>
      <c r="AF9" s="58" t="n"/>
      <c r="AG9" s="58" t="n"/>
      <c r="AH9" s="58" t="n"/>
      <c r="AI9" s="58" t="n"/>
      <c r="AJ9" s="58" t="n"/>
      <c r="AK9" s="58" t="n"/>
      <c r="AL9" s="58" t="n"/>
      <c r="AM9" s="58" t="n"/>
      <c r="AN9" s="58" t="n"/>
      <c r="AO9" s="58" t="n"/>
      <c r="AP9" s="58" t="n"/>
      <c r="AQ9" s="58" t="n"/>
      <c r="AR9" s="58" t="n"/>
      <c r="AS9" s="58" t="n"/>
      <c r="AT9" s="58" t="n"/>
      <c r="AU9" s="10" t="n"/>
      <c r="AV9" s="10" t="n"/>
      <c r="AW9" s="10" t="n"/>
    </row>
    <row r="10" ht="34.5" customHeight="1" s="241">
      <c r="A10" s="38" t="n">
        <v>5</v>
      </c>
      <c r="B10" s="192" t="n"/>
      <c r="C10" s="192" t="n"/>
      <c r="D10" s="192" t="n"/>
      <c r="E10" s="10" t="n"/>
      <c r="F10" s="192" t="n"/>
      <c r="G10" s="10" t="n"/>
      <c r="H10" s="31">
        <f>IF(F10=0,TRUNC((TODAY()-DATE(D10,C10,B10))/365.25,0),F10)</f>
        <v/>
      </c>
      <c r="I10" s="10" t="n"/>
      <c r="J10" s="192" t="inlineStr">
        <is>
          <t>No</t>
        </is>
      </c>
      <c r="K10" s="5" t="n"/>
      <c r="L10" s="194" t="inlineStr">
        <is>
          <t>SIN DENTAL</t>
        </is>
      </c>
      <c r="M10" s="48" t="n">
        <v>0</v>
      </c>
      <c r="N10" s="48">
        <f>IF(N6="","",IF($H$2="Madrid",IF(OR($F$15=1,$F$15=2),((((N$6-(N$6/12))*12)-(50*$F$15))/12),IF(OR($F$15=3,$F$15=4,$F$15=5,$F$15=6),((((N$6-(N$6/12))*12)-(100*$F$15))/12))),IFERROR(IF(OR($F$15=1,$F$15=2),(((N$6*12)-(50*$F$15))/12),IF(OR($F$15=3,$F$15=4,$F$15=5,$F$15=6),(((N$6*12)-(100*$F$15))/12))),N$6)))</f>
        <v/>
      </c>
      <c r="O10" s="10">
        <f>IF(O6="","",O6)</f>
        <v/>
      </c>
      <c r="P10" s="48">
        <f>IF(P6="","",P6)</f>
        <v/>
      </c>
      <c r="Q10" s="48">
        <f>IF(Q6="","",Q6)</f>
        <v/>
      </c>
      <c r="R10" s="10">
        <f>IF(R6="","",R6)</f>
        <v/>
      </c>
      <c r="S10" s="48">
        <f>IF(S6="","",S6)</f>
        <v/>
      </c>
      <c r="T10" s="10">
        <f>IF(T6="","",T6)</f>
        <v/>
      </c>
      <c r="U10" s="10">
        <f>IF(U6="","",U6)</f>
        <v/>
      </c>
      <c r="V10" s="48">
        <f>IF(V6="","",V6)</f>
        <v/>
      </c>
      <c r="W10" s="10">
        <f>IF(W6="","",W6)</f>
        <v/>
      </c>
      <c r="X10" s="48">
        <f>IF(X6="","",X6)</f>
        <v/>
      </c>
      <c r="Y10" s="48">
        <f>IF(Y6="","",Y6)</f>
        <v/>
      </c>
      <c r="Z10" s="48">
        <f>IF(Z6="","",Z6)</f>
        <v/>
      </c>
      <c r="AA10" s="10">
        <f>IF(AA6="","",AA6)</f>
        <v/>
      </c>
      <c r="AB10" s="195">
        <f>IF(AB6="","",AB6)</f>
        <v/>
      </c>
      <c r="AC10" s="58" t="n"/>
      <c r="AD10" s="58" t="n"/>
      <c r="AE10" s="58" t="n"/>
      <c r="AF10" s="58" t="n"/>
      <c r="AG10" s="58" t="n"/>
      <c r="AH10" s="58" t="n"/>
      <c r="AI10" s="58" t="n"/>
      <c r="AJ10" s="58" t="n"/>
      <c r="AK10" s="58" t="n"/>
      <c r="AL10" s="58" t="n"/>
      <c r="AM10" s="58" t="n"/>
      <c r="AN10" s="58" t="n"/>
      <c r="AO10" s="58" t="n"/>
      <c r="AP10" s="58" t="n"/>
      <c r="AQ10" s="58" t="n"/>
      <c r="AR10" s="58" t="n"/>
      <c r="AS10" s="58" t="n"/>
      <c r="AT10" s="58" t="n"/>
      <c r="AU10" s="10" t="n"/>
      <c r="AV10" s="10" t="n"/>
      <c r="AW10" s="10" t="n"/>
    </row>
    <row r="11" ht="34.5" customHeight="1" s="241">
      <c r="A11" s="38" t="n">
        <v>6</v>
      </c>
      <c r="B11" s="192" t="n"/>
      <c r="C11" s="192" t="n"/>
      <c r="D11" s="192" t="n"/>
      <c r="E11" s="10" t="n"/>
      <c r="F11" s="192" t="n"/>
      <c r="G11" s="10" t="n"/>
      <c r="H11" s="31">
        <f>IF(F11=0,TRUNC((TODAY()-DATE(D11,C11,B11))/365.25,0),F11)</f>
        <v/>
      </c>
      <c r="I11" s="10" t="n"/>
      <c r="J11" s="75">
        <f>$J$6</f>
        <v/>
      </c>
      <c r="K11" s="5" t="n"/>
      <c r="L11" s="196" t="inlineStr">
        <is>
          <t>CON DENTAL</t>
        </is>
      </c>
      <c r="M11" s="54" t="n">
        <v>0</v>
      </c>
      <c r="N11" s="54">
        <f>IF(N7="","",IF($H$2="Madrid",IF(OR($F$15=1,$F$15=2),((((N$7-(N$7/12))*12)-(50*$F$15))/12),IF(OR($F$15=3,$F$15=4,$F$15=5,$F$15=6),((((N$7-(N$7/12))*12)-(100*$F$15))/12))),IFERROR(IF(OR($F$15=1,$F$15=2),(((N$7*12)-(50*$F$15))/12),IF(OR($F$15=3,$F$15=4,$F$15=5,$F$15=6),(((N$7*12)-(100*$F$15))/12))),N$7)))</f>
        <v/>
      </c>
      <c r="O11" s="54">
        <f>IF(O$7="","", IF(AND($F$15&gt;0,$F$15&lt;=6,$H$2="Madrid"),((((O$7-(O$7/12))*12)-(100*$F$15))/12),IF(AND($F$15&gt;0,$F$15&lt;=6),(((O$7*12)-(100*$F$15))/12),O$7)))</f>
        <v/>
      </c>
      <c r="P11" s="54">
        <f>IF(P7="","",IF($H$2="Madrid",IF(OR($F$15=1,$F$15=2),((((P$7-(P$7/12))*12)-(50*$F$15))/12),IF(OR($F$15=3,$F$15=4,$F$15=5,$F$15=6),((((P$7-(P$7/12))*12)-(100*$F$15))/12))),IFERROR(IF(OR($F$15=1,$F$15=2),(((P$7*12)-(50*$F$15))/12),IF(OR($F$15=3,$F$15=4,$F$15=5,$F$15=6),(((P$7*12)-(100*$F$15))/12))),P$7)))</f>
        <v/>
      </c>
      <c r="Q11" s="54">
        <f>IF(Q7="","",IF($H$2="Madrid",IF(OR($F$15=1,$F$15=2),((((Q$7-(Q$7/12))*12)-(50*$F$15))/12),IF(OR($F$15=3,$F$15=4,$F$15=5,$F$15=6),((((Q$7-(Q$7/12))*12)-(100*$F$15))/12))),IFERROR(IF(OR($F$15=1,$F$15=2),(((Q$7*12)-(50*$F$15))/12),IF(OR($F$15=3,$F$15=4,$F$15=5,$F$15=6),(((Q$7*12)-(100*$F$15))/12))),Q$7)))</f>
        <v/>
      </c>
      <c r="R11" s="54">
        <f>IF(R$7="","", IF(AND($F$15&gt;0,$F$15&lt;=6,$H$2="Madrid"),((((R$7-(R$7/12))*12)-(100*$F$15))/12),IF(AND($F$15&gt;0,$F$15&lt;=6),(((R$7*12)-(100*$F$15))/12),R$7)))</f>
        <v/>
      </c>
      <c r="S11" s="54">
        <f>IF(S7="","",IF($H$2="Madrid",IF(OR($F$15=1,$F$15=2),((((S$7-(S$7/12))*12)-(50*$F$15))/12),IF(OR($F$15=3,$F$15=4,$F$15=5,$F$15=6),((((S$7-(S$7/12))*12)-(100*$F$15))/12))),IFERROR(IF(OR($F$15=1,$F$15=2),(((S$7*12)-(50*$F$15))/12),IF(OR($F$15=3,$F$15=4,$F$15=5,$F$15=6),(((S$7*12)-(100*$F$15))/12))),S$7)))</f>
        <v/>
      </c>
      <c r="T11" s="54">
        <f>IF(T7="","",IF($H$2="Madrid",IF(OR($F$15=1,$F$15=2),((((T$7-(T$7/12))*12)-(50*$F$15))/12),IF(OR($F$15=3,$F$15=4,$F$15=5,$F$15=6),((((T$7-(T$7/12))*12)-(100*$F$15))/12))),IFERROR(IF(OR($F$15=1,$F$15=2),(((T$7*12)-(50*$F$15))/12),IF(OR($F$15=3,$F$15=4,$F$15=5,$F$15=6),(((T$7*12)-(100*$F$15))/12))),T$7)))</f>
        <v/>
      </c>
      <c r="U11" s="54">
        <f>IF(U$7="","", IF(AND($F$15&gt;0,$F$15&lt;=6,$H$2="Madrid"),((((U$7-(U$7/12))*12)-(100*$F$15))/12),IF(AND($F$15&gt;0,$F$15&lt;=6),(((U$7*12)-(100*$F$15))/12),U$7)))</f>
        <v/>
      </c>
      <c r="V11" s="54">
        <f>IF(V7="","",IF($H$2="Madrid",IF(OR($F$15=1,$F$15=2),((((V$7-(V$7/12))*12)-(50*$F$15))/12),IF(OR($F$15=3,$F$15=4,$F$15=5,$F$15=6),((((V$7-(V$7/12))*12)-(100*$F$15))/12))),IFERROR(IF(OR($F$15=1,$F$15=2),(((V$7*12)-(50*$F$15))/12),IF(OR($F$15=3,$F$15=4,$F$15=5,$F$15=6),(((V$7*12)-(100*$F$15))/12))),V$7)))</f>
        <v/>
      </c>
      <c r="W11" s="54">
        <f>W7</f>
        <v/>
      </c>
      <c r="X11" s="54">
        <f>IF(X7="","",IF($H$2="Madrid",IF(OR($F$15=1,$F$15=2),((((X$7-(X$7/12))*12)-(50*$F$15))/12),IF(OR($F$15=3,$F$15=4,$F$15=5,$F$15=6),((((X$7-(X$7/12))*12)-(100*$F$15))/12))),IFERROR(IF(OR($F$15=1,$F$15=2),(((X$7*12)-(50*$F$15))/12),IF(OR($F$15=3,$F$15=4,$F$15=5,$F$15=6),(((X$7*12)-(100*$F$15))/12))),X$7)))</f>
        <v/>
      </c>
      <c r="Y11" s="54">
        <f>IF(Y7="","",IF($H$2="Madrid",IF(OR($F$15=1,$F$15=2),((((Y$7-(Y$7/12))*12)-(50*$F$15))/12),IF(OR($F$15=3,$F$15=4,$F$15=5,$F$15=6),((((Y$7-(Y$7/12))*12)-(100*$F$15))/12))),IFERROR(IF(OR($F$15=1,$F$15=2),(((Y$7*12)-(50*$F$15))/12),IF(OR($F$15=3,$F$15=4,$F$15=5,$F$15=6),(((Y$7*12)-(100*$F$15))/12))),Y$7)))</f>
        <v/>
      </c>
      <c r="Z11" s="54">
        <f>IF(Z7="","",IF($H$2="Madrid",IF(OR($F$15=1,$F$15=2),((((Z$7-(Z$7/12))*12)-(50*$F$15))/12),IF(OR($F$15=3,$F$15=4,$F$15=5,$F$15=6),((((Z$7-(Z$7/12))*12)-(100*$F$15))/12))),IFERROR(IF(OR($F$15=1,$F$15=2),(((Z$7*12)-(50*$F$15))/12),IF(OR($F$15=3,$F$15=4,$F$15=5,$F$15=6),(((Z$7*12)-(100*$F$15))/12))),Z$7)))</f>
        <v/>
      </c>
      <c r="AA11" s="54">
        <f>IF(AA7="","",IF($H$2="Madrid",IF(OR($F$15=1,$F$15=2),((((AA$7-(AA$7/12))*12)-(50*$F$15))/12),IF(OR($F$15=3,$F$15=4,$F$15=5,$F$15=6),((((AA$7-(AA$7/12))*12)-(100*$F$15))/12))),IFERROR(IF(OR($F$15=1,$F$15=2),(((AA$7*12)-(50*$F$15))/12),IF(OR($F$15=3,$F$15=4,$F$15=5,$F$15=6),(((AA$7*12)-(100*$F$15))/12))),AA$7)))</f>
        <v/>
      </c>
      <c r="AB11" s="197">
        <f>IF(AB7="","",IF($H$2="Madrid",IF(OR($F$15=1,$F$15=2),((((AB$7-(AB$7/12))*12)-(50*$F$15))/12),IF(OR($F$15=3,$F$15=4,$F$15=5,$F$15=6),((((AB$7-(AB$7/12))*12)-(100*$F$15))/12))),IFERROR(IF(OR($F$15=1,$F$15=2),(((AB$7*12)-(50*$F$15))/12),IF(OR($F$15=3,$F$15=4,$F$15=5,$F$15=6),(((AB$7*12)-(100*$F$15))/12))),AB$7)))</f>
        <v/>
      </c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10" t="n"/>
      <c r="AV11" s="10" t="n"/>
      <c r="AW11" s="10" t="n"/>
    </row>
    <row r="12" ht="34.5" customHeight="1" s="241">
      <c r="A12" s="38" t="n">
        <v>7</v>
      </c>
      <c r="B12" s="192" t="n"/>
      <c r="C12" s="192" t="n"/>
      <c r="D12" s="192" t="n"/>
      <c r="E12" s="10" t="n"/>
      <c r="F12" s="192" t="n"/>
      <c r="G12" s="10" t="n"/>
      <c r="H12" s="31">
        <f>IF(F12=0,TRUNC((TODAY()-DATE(D12,C12,B12))/365.25,0),F12)</f>
        <v/>
      </c>
      <c r="I12" s="10" t="n"/>
      <c r="J12" s="75">
        <f>$J$6</f>
        <v/>
      </c>
      <c r="K12" s="5" t="n"/>
      <c r="L12" s="203" t="n"/>
      <c r="M12" s="10" t="n"/>
      <c r="N12" s="10" t="n"/>
      <c r="O12" s="10" t="n"/>
      <c r="P12" s="10" t="n"/>
      <c r="Q12" s="10" t="n"/>
      <c r="R12" s="103" t="n"/>
      <c r="S12" s="10" t="n"/>
      <c r="T12" s="10" t="n"/>
      <c r="U12" s="10" t="n"/>
      <c r="V12" s="10" t="n"/>
      <c r="W12" s="10" t="n"/>
      <c r="X12" s="10" t="n"/>
      <c r="Y12" s="10" t="n"/>
      <c r="Z12" s="58" t="n"/>
      <c r="AA12" s="58" t="n"/>
      <c r="AB12" s="204" t="n"/>
      <c r="AC12" s="58" t="n"/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10" t="n"/>
      <c r="AS12" s="10" t="n"/>
      <c r="AT12" s="10" t="n"/>
    </row>
    <row r="13" ht="34.5" customHeight="1" s="241">
      <c r="A13" s="38" t="n">
        <v>8</v>
      </c>
      <c r="B13" s="192" t="n"/>
      <c r="C13" s="192" t="n"/>
      <c r="D13" s="192" t="n"/>
      <c r="E13" s="10" t="n"/>
      <c r="F13" s="192" t="n"/>
      <c r="G13" s="10" t="n"/>
      <c r="H13" s="31">
        <f>IF(F13=0,TRUNC((TODAY()-DATE(D13,C13,B13))/365.25,0),F13)</f>
        <v/>
      </c>
      <c r="I13" s="10" t="n"/>
      <c r="J13" s="75">
        <f>$J$6</f>
        <v/>
      </c>
      <c r="K13" s="5" t="n"/>
      <c r="L13" s="275" t="inlineStr">
        <is>
          <t>OFERTA</t>
        </is>
      </c>
      <c r="M13" s="276" t="n"/>
      <c r="N13" s="276" t="n"/>
      <c r="O13" s="276" t="n"/>
      <c r="P13" s="276" t="n"/>
      <c r="Q13" s="276" t="n"/>
      <c r="R13" s="276" t="n"/>
      <c r="S13" s="276" t="n"/>
      <c r="T13" s="276" t="n"/>
      <c r="U13" s="276" t="n"/>
      <c r="V13" s="276" t="n"/>
      <c r="W13" s="276" t="n"/>
      <c r="X13" s="276" t="n"/>
      <c r="Y13" s="276" t="n"/>
      <c r="Z13" s="276" t="n"/>
      <c r="AA13" s="276" t="n"/>
      <c r="AB13" s="277" t="n"/>
      <c r="AC13" s="58" t="n"/>
      <c r="AD13" s="58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  <c r="AQ13" s="58" t="n"/>
      <c r="AR13" s="10" t="n"/>
      <c r="AS13" s="10" t="n"/>
      <c r="AT13" s="10" t="n"/>
    </row>
    <row r="14" ht="24.75" customHeight="1" s="241">
      <c r="K14" s="5" t="n"/>
      <c r="L14" s="194" t="inlineStr">
        <is>
          <t>DINERO</t>
        </is>
      </c>
      <c r="M14" s="48" t="n">
        <v>0</v>
      </c>
      <c r="N14" s="208">
        <f>IF(N11="","", IFERROR(IF(OR($F$15=1,$F$15=2),50*$F$15,IF(AND($F$15&gt;2,$F$15&lt;=6),100*$F$15)),0))</f>
        <v/>
      </c>
      <c r="O14" s="208">
        <f>IF(O$11="","",IF(AND($F$15&gt;0,$F$15&lt;=6),100*$F$15,0))</f>
        <v/>
      </c>
      <c r="P14" s="208">
        <f>IF(P11="","", IFERROR(IF(OR($F$15=1,$F$15=2),50*$F$15,IF(AND($F$15&gt;2,$F$15&lt;=6),100*$F$15)),0))</f>
        <v/>
      </c>
      <c r="Q14" s="208">
        <f>IF(Q11="","", IFERROR(IF(OR($F$15=1,$F$15=2),50*$F$15,IF(AND($F$15&gt;2,$F$15&lt;=6),100*$F$15)),0))</f>
        <v/>
      </c>
      <c r="R14" s="208">
        <f>IF(R$11="","",IF(AND($F$15&gt;0,$F$15&lt;=6),100*$F$15,0))</f>
        <v/>
      </c>
      <c r="S14" s="208">
        <f>IF(S11="","", IFERROR(IF(OR($F$15=1,$F$15=2),50*$F$15,IF(AND($F$15&gt;2,$F$15&lt;=6),100*$F$15)),0))</f>
        <v/>
      </c>
      <c r="T14" s="208">
        <f>IF(T11="","", IFERROR(IF(OR($F$15=1,$F$15=2),50*$F$15,IF(AND($F$15&gt;2,$F$15&lt;=6),100*$F$15)),0))</f>
        <v/>
      </c>
      <c r="U14" s="208">
        <f>IF(U$11="","",IF(AND($F$15&gt;0,$F$15&lt;=6),100*$F$15,0))</f>
        <v/>
      </c>
      <c r="V14" s="208">
        <f>IF(V11="","", IFERROR(IF(OR($F$15=1,$F$15=2),50*$F$15,IF(AND($F$15&gt;2,$F$15&lt;=6),100*$F$15)),0))</f>
        <v/>
      </c>
      <c r="W14" s="208" t="n"/>
      <c r="X14" s="208">
        <f>IF(X11="","", IFERROR(IF(OR($F$15=1,$F$15=2),50*$F$15,IF(AND($F$15&gt;2,$F$15&lt;=6),100*$F$15)),0))</f>
        <v/>
      </c>
      <c r="Y14" s="208">
        <f>IF(Y11="","", IFERROR(IF(OR($F$15=1,$F$15=2),50*$F$15,IF(AND($F$15&gt;2,$F$15&lt;=6),100*$F$15)),0))</f>
        <v/>
      </c>
      <c r="Z14" s="208">
        <f>IF(Z11="","", IFERROR(IF(OR($F$15=1,$F$15=2),50*$F$15,IF(AND($F$15&gt;2,$F$15&lt;=6),100*$F$15)),0))</f>
        <v/>
      </c>
      <c r="AA14" s="208">
        <f>IF(AA11="","", IFERROR(IF(OR($F$15=1,$F$15=2),50*$F$15,IF(AND($F$15&gt;2,$F$15&lt;=6),100*$F$15)),0))</f>
        <v/>
      </c>
      <c r="AB14" s="209">
        <f>IF(AB11="","", IFERROR(IF(OR($F$15=1,$F$15=2),50*$F$15,IF(AND($F$15&gt;2,$F$15&lt;=6),100*$F$15)),0))</f>
        <v/>
      </c>
      <c r="AC14" s="58" t="n"/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</row>
    <row r="15" ht="33.75" customHeight="1" s="241">
      <c r="B15" s="211" t="inlineStr">
        <is>
          <t>Nº Asegurados</t>
        </is>
      </c>
      <c r="E15" s="211" t="n"/>
      <c r="F15" s="212">
        <f>COUNT(H6:H13)</f>
        <v/>
      </c>
      <c r="K15" s="5" t="n"/>
      <c r="L15" s="213" t="inlineStr">
        <is>
          <t>CUANDO</t>
        </is>
      </c>
      <c r="M15" s="214" t="n">
        <v>0</v>
      </c>
      <c r="N15" s="215">
        <f>IF(N14="","", TEXT(EDATE(TODAY(),7),"mmmm"))</f>
        <v/>
      </c>
      <c r="O15" s="215">
        <f>IF(O14="","", TEXT(EDATE(TODAY(),7),"mmmm"))</f>
        <v/>
      </c>
      <c r="P15" s="215">
        <f>IF(P14="","", TEXT(EDATE(TODAY(),7),"mmmm"))</f>
        <v/>
      </c>
      <c r="Q15" s="215">
        <f>IF(Q14="","", TEXT(EDATE(TODAY(),7),"mmmm"))</f>
        <v/>
      </c>
      <c r="R15" s="215">
        <f>IF(R14="","", TEXT(EDATE(TODAY(),7),"mmmm"))</f>
        <v/>
      </c>
      <c r="S15" s="215">
        <f>IF(S14="","", TEXT(EDATE(TODAY(),7),"mmmm"))</f>
        <v/>
      </c>
      <c r="T15" s="214">
        <f>IF(T14="","", TEXT(EDATE(TODAY(),7),"mmmm"))</f>
        <v/>
      </c>
      <c r="U15" s="214">
        <f>IF(U14="","", TEXT(EDATE(TODAY(),7),"mmmm"))</f>
        <v/>
      </c>
      <c r="V15" s="214">
        <f>IF(V14="","", TEXT(EDATE(TODAY(),7),"mmmm"))</f>
        <v/>
      </c>
      <c r="W15" s="214" t="n"/>
      <c r="X15" s="214">
        <f>IF(X14="","", TEXT(EDATE(TODAY(),7),"mmmm"))</f>
        <v/>
      </c>
      <c r="Y15" s="214">
        <f>IF(Y14="","", TEXT(EDATE(TODAY(),7),"mmmm"))</f>
        <v/>
      </c>
      <c r="Z15" s="214">
        <f>IF(Z14="","", TEXT(EDATE(TODAY(),7),"mmmm"))</f>
        <v/>
      </c>
      <c r="AA15" s="214">
        <f>IF(AA14="","", TEXT(EDATE(TODAY(),7),"mmmm"))</f>
        <v/>
      </c>
      <c r="AB15" s="216">
        <f>IF(AB14="","", TEXT(EDATE(TODAY(),7),"mmmm"))</f>
        <v/>
      </c>
      <c r="AC15" s="58" t="n"/>
      <c r="AD15" s="58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  <c r="AQ15" s="58" t="n"/>
      <c r="AR15" s="58" t="n"/>
    </row>
    <row r="16" ht="33.75" customHeight="1" s="241">
      <c r="B16" s="217" t="inlineStr">
        <is>
          <t>Excepción Go</t>
        </is>
      </c>
      <c r="D16" s="217" t="n"/>
      <c r="E16" s="217" t="n"/>
      <c r="F16" s="218">
        <f>IFERROR(IF(H6&gt;70,-3,IF(H6&gt;59,0,1)),0)+IFERROR(IF(H7&gt;70,-3,IF(H7&gt;59,0,1)),0)+IFERROR(IF(H8&gt;70,-3,IF(H8&gt;59,0,1)),0)++IFERROR(IF(H9&gt;70,-3,IF(H9&gt;59,0,1)),0)+IFERROR(IF(H10&gt;70,-3,IF(H10&gt;59,0,1)),0)+IFERROR(IF(H11&gt;70,-3,IF(H11&gt;59,0,1)),0)+IFERROR(IF(H12&gt;70,-3,IF(H12&gt;59,0,1)),0)+IFERROR(IF(H13&gt;70,-3,IF(H13&gt;59,0,1)),0)</f>
        <v/>
      </c>
      <c r="G16" s="234" t="n"/>
      <c r="H16" s="217">
        <f>IFERROR(VLOOKUP("No Asegurable",M19:M26,1,0),0)</f>
        <v/>
      </c>
      <c r="J16" s="234">
        <f>IF(COUNTIF($H$6:$H$13,"&gt;70")&gt;0,IF(COUNTIF($H$6:$H$13,"&lt;60")&lt;3*COUNTIF($H$6:$H$13,"&gt;70"),-1,1),1)</f>
        <v/>
      </c>
      <c r="K16" s="5" t="n"/>
      <c r="L16" s="10" t="n"/>
      <c r="M16" s="10" t="n"/>
      <c r="N16" s="48" t="n"/>
      <c r="O16" s="10" t="n"/>
      <c r="P16" s="10" t="n"/>
      <c r="Q16" s="48" t="n"/>
      <c r="R16" s="103" t="n"/>
      <c r="S16" s="48" t="n"/>
      <c r="T16" s="48" t="n"/>
      <c r="U16" s="103" t="n"/>
      <c r="V16" s="10" t="n"/>
      <c r="W16" s="48" t="n"/>
      <c r="X16" s="10" t="n"/>
      <c r="Y16" s="10" t="n"/>
      <c r="Z16" s="58" t="n"/>
      <c r="AA16" s="58" t="n"/>
      <c r="AB16" s="58" t="n"/>
      <c r="AC16" s="58" t="n"/>
      <c r="AD16" s="48" t="n"/>
      <c r="AE16" s="48" t="n"/>
      <c r="AF16" s="48" t="n"/>
      <c r="AG16" s="48" t="n"/>
      <c r="AH16" s="48" t="n"/>
      <c r="AI16" s="48" t="n"/>
      <c r="AJ16" s="109" t="n"/>
      <c r="AK16" s="109" t="n"/>
      <c r="AL16" s="58" t="n"/>
      <c r="AM16" s="58" t="n"/>
      <c r="AN16" s="58" t="n"/>
      <c r="AO16" s="58" t="n"/>
      <c r="AP16" s="58" t="n"/>
      <c r="AQ16" s="58" t="n"/>
      <c r="AR16" s="58" t="n"/>
      <c r="AS16" s="58" t="n"/>
      <c r="AT16" s="58" t="n"/>
      <c r="AU16" s="58" t="n"/>
      <c r="AV16" s="58" t="n"/>
      <c r="AW16" s="58" t="n"/>
      <c r="AX16" s="58" t="n"/>
      <c r="AY16" s="58" t="n"/>
    </row>
    <row r="17" ht="33.75" customHeight="1" s="241">
      <c r="B17" s="227" t="inlineStr">
        <is>
          <t>Excepción Senior</t>
        </is>
      </c>
      <c r="C17" s="217" t="n"/>
      <c r="D17" s="217" t="n"/>
      <c r="E17" s="217" t="n"/>
      <c r="F17" s="218">
        <f>IF(AND(COUNTIF($H$6:$H$13,"&gt;=50")-COUNTIF($H$6:$H$13,"&gt;54")&gt;0, COUNTIF($H$6:$H$13,"&gt;=55")&gt;0), 1, IF(COUNTIF($H$6:$H$13,"&lt;55")&gt;0, -1, 1))</f>
        <v/>
      </c>
      <c r="G17" s="234" t="n"/>
      <c r="H17" s="217">
        <f>IFERROR(VLOOKUP("No Asegurable",T19:T26,1,0),0)</f>
        <v/>
      </c>
      <c r="J17" s="234">
        <f>IF(AND(COUNTIF($H$6:$H$13,"&gt;=50")-COUNTIF($H$6:$H$13,"&gt;54")&gt;0, COUNTIF($H$6:$H$13,"&gt;=55")-COUNTIF($H$6:$H$13,"&gt;59")&gt;0), 1, IF(COUNTIF($H$6:$H$13,"&lt;55")&gt;0, -1, 1))</f>
        <v/>
      </c>
      <c r="K17" s="220" t="n"/>
      <c r="L17" s="221" t="n"/>
      <c r="M17" s="278">
        <f>"Adeslas Go"&amp;" "&amp;J3</f>
        <v/>
      </c>
      <c r="N17" s="278">
        <f>"Adeslas Plena Vital"&amp;" "&amp;$J$3</f>
        <v/>
      </c>
      <c r="O17" s="278">
        <f>"Adeslas Plena Total vital"&amp;" "&amp;$J$3</f>
        <v/>
      </c>
      <c r="P17" s="278">
        <f>"Adeslas Plena"&amp;" "&amp;$J$3</f>
        <v/>
      </c>
      <c r="Q17" s="278">
        <f>"Adeslas Plena Plus"&amp;" "&amp;$J$3</f>
        <v/>
      </c>
      <c r="R17" s="260">
        <f>"Adeslas Plena Total"&amp;" "&amp;$J$3</f>
        <v/>
      </c>
      <c r="S17" s="278">
        <f>"Adeslas Plena Extra 150"&amp;" "&amp;$J$3</f>
        <v/>
      </c>
      <c r="T17" s="278">
        <f>"Adeslas Seniors"&amp;" "&amp;$J$3</f>
        <v/>
      </c>
      <c r="U17" s="260">
        <f>"Adeslas Plena Total Seniors"&amp;" "&amp;$J$3</f>
        <v/>
      </c>
      <c r="V17" s="278">
        <f>"Adeslas Negocios NIF"&amp;" "&amp;$J$3</f>
        <v/>
      </c>
      <c r="W17" s="260">
        <f>"Adeslas Pymes TOTAL"&amp;" "&amp;$J$3</f>
        <v/>
      </c>
      <c r="X17" s="278">
        <f>"Adeslas Extra Negocios NIF"&amp;" "&amp;$J$3</f>
        <v/>
      </c>
      <c r="Y17" s="278">
        <f>"Adeslas Negocios CIF"&amp;" "&amp;$J$3</f>
        <v/>
      </c>
      <c r="Z17" s="278">
        <f>"Adeslas Extra Negocios CIF"&amp;" "&amp;$J$3</f>
        <v/>
      </c>
      <c r="AA17" s="278">
        <f>"Adeslas Empresas"&amp;" "&amp;$J$3</f>
        <v/>
      </c>
      <c r="AB17" s="279">
        <f>"Adeslas Extra Empresas"&amp;" "&amp;$J$3</f>
        <v/>
      </c>
      <c r="AC17" s="58" t="n"/>
      <c r="AD17" s="58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  <c r="AQ17" s="58" t="n"/>
      <c r="AR17" s="58" t="n"/>
      <c r="AS17" s="58" t="n"/>
      <c r="AT17" s="58" t="n"/>
      <c r="AU17" s="58" t="n"/>
    </row>
    <row r="18" ht="33.75" customHeight="1" s="241">
      <c r="B18" s="227" t="inlineStr">
        <is>
          <t>Excepción Total</t>
        </is>
      </c>
      <c r="C18" s="217" t="n"/>
      <c r="D18" s="217" t="n"/>
      <c r="E18" s="217" t="n"/>
      <c r="F18" s="217">
        <f>IFERROR(IF(H6&gt;62,-3,IF(H6&gt;59,0,1)),0)+IFERROR(IF(H7&gt;62,-3,IF(H7&gt;59,0,1)),0)+IFERROR(IF(H8&gt;62,-3,IF(H8&gt;59,0,1)),0)++IFERROR(IF(H9&gt;62,-3,IF(H9&gt;59,0,1)),0)+IFERROR(IF(H10&gt;62,-3,IF(H10&gt;59,0,1)),0)+IFERROR(IF(H11&gt;62,-3,IF(H11&gt;59,0,1)),0)+IFERROR(IF(H12&gt;62,-3,IF(H12&gt;59,0,1)),0)+IFERROR(IF(H13&gt;62,-3,IF(H13&gt;59,0,1)),0)</f>
        <v/>
      </c>
      <c r="G18" s="234" t="n"/>
      <c r="H18" s="217">
        <f>IFERROR(VLOOKUP("No Asegurable",R19:R26,1,0),0)</f>
        <v/>
      </c>
      <c r="J18" s="224" t="n"/>
      <c r="K18" s="225" t="n"/>
      <c r="L18" s="226" t="n"/>
      <c r="M18" s="253" t="n"/>
      <c r="N18" s="253" t="n"/>
      <c r="O18" s="253" t="n"/>
      <c r="P18" s="253" t="n"/>
      <c r="Q18" s="253" t="n"/>
      <c r="R18" s="253" t="n"/>
      <c r="S18" s="253" t="n"/>
      <c r="T18" s="253" t="n"/>
      <c r="U18" s="253" t="n"/>
      <c r="V18" s="253" t="n"/>
      <c r="W18" s="253" t="n"/>
      <c r="X18" s="253" t="n"/>
      <c r="Y18" s="253" t="n"/>
      <c r="Z18" s="253" t="n"/>
      <c r="AA18" s="253" t="n"/>
      <c r="AB18" s="256" t="n"/>
      <c r="AC18" s="58" t="n"/>
      <c r="AD18" s="48" t="n"/>
      <c r="AE18" s="48" t="n"/>
      <c r="AF18" s="48" t="n"/>
      <c r="AG18" s="48" t="n"/>
      <c r="AH18" s="48" t="n"/>
      <c r="AI18" s="109" t="n"/>
      <c r="AJ18" s="109" t="n"/>
      <c r="AK18" s="58" t="n"/>
      <c r="AL18" s="58" t="n"/>
      <c r="AM18" s="58" t="n"/>
      <c r="AN18" s="58" t="n"/>
      <c r="AO18" s="58" t="n"/>
      <c r="AP18" s="58" t="n"/>
      <c r="AQ18" s="58" t="n"/>
      <c r="AR18" s="58" t="n"/>
      <c r="AS18" s="58" t="n"/>
      <c r="AT18" s="58" t="n"/>
      <c r="AU18" s="58" t="n"/>
    </row>
    <row r="19" ht="33.75" customHeight="1" s="241">
      <c r="B19" s="227" t="inlineStr">
        <is>
          <t>Excepción Plena VITAL</t>
        </is>
      </c>
      <c r="C19" s="217" t="n"/>
      <c r="D19" s="234" t="n"/>
      <c r="E19" s="234" t="n"/>
      <c r="F19" s="234">
        <f>IF(COUNTIF($H$6:$H$13,"&gt;70")&gt;0,IF(COUNTIF($H$6:$H$13,"&lt;60")&lt;3*COUNTIF($H$6:$H$13,"&gt;70"),-1,1),1)</f>
        <v/>
      </c>
      <c r="G19" s="234" t="n"/>
      <c r="H19" s="217">
        <f>IFERROR(VLOOKUP("No Asegurable",N19:N26,1,0),0)</f>
        <v/>
      </c>
      <c r="J19" s="234">
        <f>IF(COUNTIF($H$6:$H$13,"&gt;70")&gt;0,IF(COUNTIF($H$6:$H$13,"&lt;60")&lt;3*COUNTIF($H$6:$H$13,"&gt;70"),-1,1),1)</f>
        <v/>
      </c>
      <c r="K19" s="116" t="n">
        <v>1</v>
      </c>
      <c r="L19" s="48" t="n"/>
      <c r="M19" s="228">
        <f t="array" ref="M19">IFERROR(IF($H6="","",IF($F$16&gt;=0,IFERROR(INDEX('aux antiguo'!$B$2:$E$4,MATCH($H6,'aux antiguo'!$A$2:$A$4,1),MATCH(M$17,'aux antiguo'!$B$1:$E$1,0)),"No asegurable"),"No asegurable")),"")</f>
        <v/>
      </c>
      <c r="N19" s="228">
        <f t="array" ref="N19">IFERROR(IF($H6="","",IF($F$19&gt;=0,IFERROR(INDEX('aux antiguo'!$H$2:$K$8,MATCH($H6,'aux antiguo'!$G$2:$G$8,1),MATCH(N$17,'aux antiguo'!$H$1:$K$1,0))*(1-$J$6),"No asegurable"),"No asegurable")),"")</f>
        <v/>
      </c>
      <c r="O19" s="228">
        <f t="array" ref="O19">IFERROR(IF($H6="", "", 
    IF(AND($F$24&gt;=0, OR($J$6=0.01, $J$6=0.02, $J$6=0.03, $J$6=0.04, $J$6=0.05)),
        INDEX('aux antiguo'!$DA$2:$DD$7, 
               MATCH($H6, 'aux antiguo'!$CZ$2:$CZ$7, 1), 
               MATCH(O$17, 'aux antiguo'!$DA$1:$DD$1, 0)
        ) * (1 - ($J$6 * 2)),
        IF(AND($F$24&gt;=0, OR($J$6=0, $J$6&gt;=0.05)),
            INDEX('aux antiguo'!$DA$2:$DD$7, 
                   MATCH($H6, 'aux antiguo'!$CZ$2:$CZ$7, 1), 
                   MATCH(O$17, 'aux antiguo'!$DA$1:$DD$1, 0)
            ) * (1 - $J$6),
            "No asegurable"
        )
    )
),"")
</f>
        <v/>
      </c>
      <c r="P19" s="228">
        <f t="array" ref="P19">IFERROR(IF($H6="","",IF($F$20&gt;=0,IFERROR(INDEX('aux antiguo'!$N$2:$Q$8,MATCH($H6,'aux antiguo'!$M$2:$M$8,1),MATCH(P$17,'aux antiguo'!$N$1:$Q$1,0))*(1-$J$6),"No asegurable"),"No asegurable")),"")</f>
        <v/>
      </c>
      <c r="Q19" s="228">
        <f t="array" ref="Q19">IFERROR(IF($H6="","",IF($F$20&gt;=0,IFERROR(INDEX('aux antiguo'!$T$2:$W$8,MATCH($H6,'aux antiguo'!$S$2:$S$8,1),MATCH(Q$17,'aux antiguo'!$T$1:$W$1,0))*(1-$J$6),"No asegurable"),"No asegurable")),"")</f>
        <v/>
      </c>
      <c r="R19" s="228">
        <f t="array" ref="R19">IFERROR(IF($H6="", "", 
    IF(AND($F$24&gt;=0, OR($J$6=0.01, $J$6=0.02, $J$6=0.03, $J$6=0.04, $J$6=0.05)),
        INDEX('aux antiguo'!$Z$2:$AC$8, 
               MATCH($H6, 'aux antiguo'!$Y$2:$Y$8, 1), 
               MATCH(R$17, 'aux antiguo'!$Z$1:$AC$1, 0)
        ) * (1 - ($J$6 * 2)),
        IF(AND($F$24&gt;=0, OR($J$6=0, $J$6&gt;=0.05)),
            INDEX('aux antiguo'!$Z$2:$AC$8, 
                   MATCH($H6, 'aux antiguo'!$Y$2:$Y$8, 1), 
                   MATCH(R$17, 'aux antiguo'!$Z$1:$AC$1, 0)
            ) * (1 - $J$6),
            "No asegurable"
        )
    )
),"")
</f>
        <v/>
      </c>
      <c r="S19" s="228">
        <f t="array" ref="S19">IFERROR(IF($H6="","",IF($F$25&gt;=0,IFERROR(INDEX('aux antiguo'!$CU$2:$CX$8,MATCH($H6,'aux antiguo'!$CT$2:$CT$8,1),MATCH(S$17,'aux antiguo'!$CU$1:$CX$1,0))*(1-$J$6),"No asegurable"),"No asegurable")),"")</f>
        <v/>
      </c>
      <c r="T19" s="228">
        <f t="array" ref="T19">IFERROR(IF($H6="","",IF($F$17&gt;=0,IFERROR(INDEX('aux antiguo'!$BD$2:$BG$10,MATCH($H6,'aux antiguo'!$BC$2:$BC$10,1),MATCH(T$17,'aux antiguo'!$BD$1:$BG$1,0))*(1-$J$6),"No asegurable"),"No asegurable")),"")</f>
        <v/>
      </c>
      <c r="U19" s="228">
        <f t="array" ref="U19">IFERROR(IF($H6="", "", 
    IF(AND($F$23&gt;=0, OR($J$6=0.01, $J$6=0.02, $J$6=0.03, $J$6=0.04, $J$6=0.05)),
        INDEX('aux antiguo'!$BJ$2:$BM$8, 
               MATCH($H6, 'aux antiguo'!$BI$2:$BI$8, 1), 
               MATCH(U$17, 'aux antiguo'!$BJ$1:$BM$1, 0)
        ) * (1 - ($J$6 * 2)),
        IF(AND($F$23&gt;=0, OR($J$6=0, $J$6&gt;=0.05)),
            INDEX('aux antiguo'!$BJ$2:$BM$8, 
                   MATCH($H6, 'aux antiguo'!$BI$2:$BI$8, 1), 
                   MATCH(U$17, 'aux antiguo'!$BJ$1:$BM$1, 0)
            ) * (1 - $J$6),
            "No asegurable"
        )
    )
),"")
</f>
        <v/>
      </c>
      <c r="V19" s="228">
        <f t="array" ref="V19">IFERROR(IF($H6="","",IF($F$26&gt;=0,IFERROR(INDEX('aux antiguo'!$BZ$2:$CC$8,MATCH($H6,'aux antiguo'!$BY$2:$BY$8,1),MATCH(V$17,'aux antiguo'!$BZ$1:$CC$1,0))*(1-$J$6),"No asegurable"),"No asegurable")),"")</f>
        <v/>
      </c>
      <c r="W19" s="228">
        <f t="array" ref="W19">IFERROR(IF($H6="", "", 
    IF(AND($F$22&gt;=0, OR($J$6=0.01, $J$6=0.02, $J$6=0.03, $J$6=0.04, $J$6=0.05)),
        INDEX('aux antiguo'!$BT$11:$BW$15, 
               MATCH($H6, 'aux antiguo'!$BS$11:$BS$15, 1), 
               MATCH(W$17, 'aux antiguo'!$BT$10:$BW$10, 0)
        ) * (1 - ($J$6 * 2)),
        IF(AND($F$22&gt;=0, OR($J$6=0, $J$6&gt;=0.05)),
            INDEX('aux antiguo'!$BT$11:$BW$15, 
                   MATCH($H6, 'aux antiguo'!$BS$11:$BS$15, 1), 
                   MATCH(W$17, 'aux antiguo'!$BT$10:$BW$10, 0)
            ) * (1 - $J$6),
            "No asegurable"
        )
    )
),"")
</f>
        <v/>
      </c>
      <c r="X19" s="233">
        <f t="array" ref="X19">IFERROR(IF($H6="","",IF(OR($F$15=1,$F$15=2),IFERROR(IF($F$26&gt;=0,INDEX('aux antiguo'!$CF$2:$CI$8,MATCH($H6,'aux antiguo'!$CE$2:$CE$8,1),MATCH(X$17,'aux antiguo'!$CF$1:$CI$1,0))*(1-$J$6),"No asegurable"),""),IF($F$15&gt;=3,IFERROR(IF($F$26&gt;=0,INDEX('aux antiguo'!$CL$2:$CO$8, MATCH($H6, 'aux antiguo'!$CK$2:$CK$8, 1), MATCH(X$17, 'aux antiguo'!$CL$1:$CO$1, 0))*(1-$J$6),"No asegurable"),"")))),"")</f>
        <v/>
      </c>
      <c r="Y19" s="228">
        <f t="array" ref="Y19">IF($F$15&gt;4,"No asegurable",IFERROR(IF($H6="","",IF($F$28&gt;=0,IFERROR(INDEX('aux antiguo'!$AF$2:$AI$8,MATCH($H6,'aux antiguo'!$AE$2:$AE$8,1),MATCH(Y$17,'aux antiguo'!$AF$1:$AI$1,0))*(1-$J$6),"No asegurable"),"No asegurable")),""))</f>
        <v/>
      </c>
      <c r="Z19" s="228">
        <f t="array" ref="Z19">IF($F$15&gt;4,"No asegurable",IFERROR(IF($H6="","",IF($F$28&gt;=0,IFERROR(INDEX('aux antiguo'!$AL$2:$AO$8,MATCH($H6,'aux antiguo'!$AK$2:$AK$8,1),MATCH(Z$17,'aux antiguo'!$AL$1:$AO$1,0))*(1-$J$6),"No asegurable"),"No asegurable")),""))</f>
        <v/>
      </c>
      <c r="AA19" s="228">
        <f t="array" ref="AA19">IF(F6="","",IF($F$15&lt;5,"No asegurable",IFERROR(IF($H6="","",IF($F$27&gt;=0,IFERROR(INDEX('aux antiguo'!$AR$2:$AU$8,MATCH($H6,'aux antiguo'!$AQ$2:$AQ$8,1),MATCH(AA$17,'aux antiguo'!$AR$1:$AU$1,0))*(1-$J$6),"No asegurable"),"No asegurable")),"")))</f>
        <v/>
      </c>
      <c r="AB19" s="119">
        <f t="array" ref="AB19">IFERROR(IF(H6="","",IF($F$15&lt;5,"No asegurable",IFERROR(IF($H6="","",IF($F$27&gt;=0,IFERROR(INDEX('aux antiguo'!$AX$2:$BA$8,MATCH($H6,'aux antiguo'!$AW$2:$AW$8,1),MATCH(AB$17,'aux antiguo'!$AX$1:$BA$1,0))*(1-$J$6),"No asegurable"),"No asegurable")),""))),"")</f>
        <v/>
      </c>
      <c r="AC19" s="58" t="n"/>
      <c r="AI19" s="109" t="n"/>
      <c r="AJ19" s="109" t="n"/>
      <c r="AK19" s="58" t="n"/>
      <c r="AL19" s="58" t="n"/>
      <c r="AM19" s="58" t="n"/>
      <c r="AN19" s="58" t="n"/>
      <c r="AO19" s="58" t="n"/>
      <c r="AP19" s="58" t="n"/>
      <c r="AQ19" s="58" t="n"/>
      <c r="AR19" s="58" t="n"/>
      <c r="AS19" s="58" t="n"/>
      <c r="AT19" s="58" t="n"/>
      <c r="AU19" s="58" t="n"/>
    </row>
    <row r="20" ht="33.75" customHeight="1" s="241">
      <c r="B20" s="227" t="inlineStr">
        <is>
          <t>Excepción Plena y Plena PLUS</t>
        </is>
      </c>
      <c r="C20" s="234" t="n"/>
      <c r="D20" s="234" t="n"/>
      <c r="E20" s="234" t="n"/>
      <c r="F20" s="234">
        <f>IFERROR(IF(H6&gt;70,-3,IF(H6&gt;59,0,1)),0)+IFERROR(IF(H7&gt;70,-3,IF(H7&gt;59,0,1)),0)+IFERROR(IF(H8&gt;70,-3,IF(H8&gt;59,0,1)),0)+IFERROR(IF(H9&gt;70,-3,IF(H9&gt;59,0,1)),0)+IFERROR(IF(H10&gt;70,-3,IF(H10&gt;59,0,1)),0)+IFERROR(IF(H11&gt;70,-3,IF(H11&gt;59,0,1)),0)+IFERROR(IF(H12&gt;70,-3,IF(H12&gt;59,0,1)),0)+IFERROR(IF(H13&gt;70,-3,IF(H13&gt;59,0,1)),0)</f>
        <v/>
      </c>
      <c r="G20" s="234" t="n"/>
      <c r="H20" s="217">
        <f>IFERROR(VLOOKUP("No Asegurable",P19:Q26,1,0),0)</f>
        <v/>
      </c>
      <c r="J20" s="234">
        <f>IF(COUNTIF($H$6:$H$13,"&gt;70")&gt;0,IF(COUNTIF($H$6:$H$13,"&lt;60")&lt;3*COUNTIF($H$6:$H$13,"&gt;70"),-1,1),1)</f>
        <v/>
      </c>
      <c r="K20" s="116" t="n">
        <v>2</v>
      </c>
      <c r="L20" s="48" t="n"/>
      <c r="M20" s="228">
        <f t="array" ref="M20">IFERROR(IF($H7="","",IF($F$16&gt;=0,IFERROR(INDEX('aux antiguo'!$B$2:$E$4,MATCH($H7,'aux antiguo'!$A$2:$A$4,1),MATCH(M$17,'aux antiguo'!$B$1:$E$1,0)),"No asegurable"),"No asegurable")),"")</f>
        <v/>
      </c>
      <c r="N20" s="228">
        <f t="array" ref="N20">IFERROR(IF($H7="","",IF($F$19&gt;=0,IFERROR(INDEX('aux antiguo'!$H$2:$K$8,MATCH($H7,'aux antiguo'!$G$2:$G$8,1),MATCH(N$17,'aux antiguo'!$H$1:$K$1,0))*(1-$J$6),"No asegurable"),"No asegurable")),"")</f>
        <v/>
      </c>
      <c r="O20" s="228">
        <f t="array" ref="O20">IFERROR(IF($H7="", "", 
    IF(AND($F$24&gt;=0, OR($J$6=0.01, $J$6=0.02, $J$6=0.03, $J$6=0.04, $J$6=0.05)),
        INDEX('aux antiguo'!$DA$2:$DD$7, 
               MATCH($H7, 'aux antiguo'!$CZ$2:$CZ$7, 1), 
               MATCH(O$17, 'aux antiguo'!$DA$1:$DD$1, 0)
        ) * (1 - ($J$6 * 2)),
        IF(AND($F$24&gt;=0, OR($J$6=0, $J$6&gt;=0.05)),
            INDEX('aux antiguo'!$DA$2:$DD$7, 
                   MATCH($H7, 'aux antiguo'!$CZ$2:$CZ$7, 1), 
                   MATCH(O$17, 'aux antiguo'!$DA$1:$DD$1, 0)
            ) * (1 - $J$6),
            "No asegurable"
        )
    )
),"")
</f>
        <v/>
      </c>
      <c r="P20" s="228">
        <f t="array" ref="P20">IFERROR(IF($H7="","",IF($F$20&gt;=0,IFERROR(INDEX('aux antiguo'!$N$2:$Q$8,MATCH($H7,'aux antiguo'!$M$2:$M$8,1),MATCH(P$17,'aux antiguo'!$N$1:$Q$1,0))*(1-$J$6),"No asegurable"),"No asegurable")),"")</f>
        <v/>
      </c>
      <c r="Q20" s="228">
        <f t="array" ref="Q20">IFERROR(IF($H7="","",IF($F$20&gt;=0,IFERROR(INDEX('aux antiguo'!$T$2:$W$8,MATCH($H7,'aux antiguo'!$S$2:$S$8,1),MATCH(Q$17,'aux antiguo'!$T$1:$W$1,0))*(1-$J$6),"No asegurable"),"No asegurable")),"")</f>
        <v/>
      </c>
      <c r="R20" s="228">
        <f t="array" ref="R20">IFERROR(IF($H7="", "", 
    IF(AND($F$24&gt;=0, OR($J$6=0.01, $J$6=0.02, $J$6=0.03, $J$6=0.04, $J$6=0.05)),
        INDEX('aux antiguo'!$Z$2:$AC$8, 
               MATCH($H7, 'aux antiguo'!$Y$2:$Y$8, 1), 
               MATCH(R$17, 'aux antiguo'!$Z$1:$AC$1, 0)
        ) * (1 - ($J$6 * 2)),
        IF(AND($F$24&gt;=0, OR($J$6=0, $J$6&gt;=0.05)),
            INDEX('aux antiguo'!$Z$2:$AC$8, 
                   MATCH($H7, 'aux antiguo'!$Y$2:$Y$8, 1), 
                   MATCH(R$17, 'aux antiguo'!$Z$1:$AC$1, 0)
            ) * (1 - $J$6),
            "No asegurable"
        )
    )
),"")
</f>
        <v/>
      </c>
      <c r="S20" s="228">
        <f t="array" ref="S20">IFERROR(IF($H7="","",IF($F$25&gt;=0,IFERROR(INDEX('aux antiguo'!$CU$2:$CX$8,MATCH($H7,'aux antiguo'!$CT$2:$CT$8,1),MATCH(S$17,'aux antiguo'!$CU$1:$CX$1,0))*(1-$J$6),"No asegurable"),"No asegurable")),"")</f>
        <v/>
      </c>
      <c r="T20" s="228">
        <f t="array" ref="T20">IFERROR(IF($H7="","",IF($F$17&gt;=0,IFERROR(INDEX('aux antiguo'!$BD$2:$BG$10,MATCH($H7,'aux antiguo'!$BC$2:$BC$10,1),MATCH(T$17,'aux antiguo'!$BD$1:$BG$1,0))*(1-$J$6),"No asegurable"),"No asegurable")),"")</f>
        <v/>
      </c>
      <c r="U20" s="228">
        <f t="array" ref="U20">IFERROR(IF($H7="", "", 
    IF(AND($F$23&gt;=0, OR($J$6=0.01, $J$6=0.02, $J$6=0.03, $J$6=0.04, $J$6=0.05)),
        INDEX('aux antiguo'!$BJ$2:$BM$8, 
               MATCH($H7, 'aux antiguo'!$BI$2:$BI$8, 1), 
               MATCH(U$17, 'aux antiguo'!$BJ$1:$BM$1, 0)
        ) * (1 - ($J$6 * 2)),
        IF(AND($F$23&gt;=0, OR($J$6=0, $J$6&gt;=0.05)),
            INDEX('aux antiguo'!$BJ$2:$BM$8, 
                   MATCH($H7, 'aux antiguo'!$BI$2:$BI$8, 1), 
                   MATCH(U$17, 'aux antiguo'!$BJ$1:$BM$1, 0)
            ) * (1 - $J$6),
            "No asegurable"
        )
    )
),"")
</f>
        <v/>
      </c>
      <c r="V20" s="228">
        <f t="array" ref="V20">IFERROR(IF($H7="","",IF($F$26&gt;=0,IFERROR(INDEX('aux antiguo'!$BZ$2:$CC$8,MATCH($H7,'aux antiguo'!$BY$2:$BY$8,1),MATCH(V$17,'aux antiguo'!$BZ$1:$CC$1,0))*(1-$J$6),"No asegurable"),"No asegurable")),"")</f>
        <v/>
      </c>
      <c r="W20" s="228">
        <f t="array" ref="W20">IFERROR(IF($H7="", "", 
    IF(AND($F$22&gt;=0, OR($J$6=0.01, $J$6=0.02, $J$6=0.03, $J$6=0.04, $J$6=0.05)),
        INDEX('aux antiguo'!$BT$11:$BW$15, 
               MATCH($H7, 'aux antiguo'!$BS$11:$BS$15, 1), 
               MATCH(W$17, 'aux antiguo'!$BT$10:$BW$10, 0)
        ) * (1 - ($J$6 * 2)),
        IF(AND($F$22&gt;=0, OR($J$6=0, $J$6&gt;=0.05)),
            INDEX('aux antiguo'!$BT$11:$BW$15, 
                   MATCH($H7, 'aux antiguo'!$BS$11:$BS$15, 1), 
                   MATCH(W$17, 'aux antiguo'!$BT$10:$BW$10, 0)
            ) * (1 - $J$6),
            "No asegurable"
        )
    )
),"")
</f>
        <v/>
      </c>
      <c r="X20" s="233">
        <f t="array" ref="X20">IFERROR(IF($H7="","",IF(OR($F$15=1,$F$15=2),IFERROR(IF($F$21&gt;=0,INDEX('aux antiguo'!$CF$2:$CI$8,MATCH($H7,'aux antiguo'!$CE$2:$CE$8,1),MATCH(X$17,'aux antiguo'!$CF$1:$CI$1,0))*(1-$J$6),"No asegurable"),""),IF($F$15&gt;=3,IFERROR(IF($F$21&gt;=0,INDEX('aux antiguo'!$CL$2:$CO$8, MATCH($H7, 'aux antiguo'!$CK$2:$CK$8, 1), MATCH(X$17, 'aux antiguo'!$CL$1:$CO$1, 0))*(1-$J$6),"No asegurable"),"")))),"")</f>
        <v/>
      </c>
      <c r="Y20" s="233">
        <f t="array" ref="Y20">IF($F$15&gt;4,"No asegurable",IFERROR(IF($H7="","",IF($F$26&gt;=0,IFERROR(INDEX('aux antiguo'!$AF$2:$AI$8,MATCH($H7,'aux antiguo'!$AE$2:$AE$8,1),MATCH(Y$17,'aux antiguo'!$AF$1:$AI$1,0))*(1-$J$6),"No asegurable"),"No asegurable")),""))</f>
        <v/>
      </c>
      <c r="Z20" s="233">
        <f t="array" ref="Z20">IF($F$15&gt;4,"No asegurable",IFERROR(IF($H7="","",IF($F$26&gt;=0,IFERROR(INDEX('aux antiguo'!$AL$2:$AO$8,MATCH($H7,'aux antiguo'!$AK$2:$AK$8,1),MATCH(Z$17,'aux antiguo'!$AL$1:$AO$1,0))*(1-$J$6),"No asegurable"),"No asegurable")),""))</f>
        <v/>
      </c>
      <c r="AA20" s="74">
        <f t="array" ref="AA20">IF(F7="","",IF($F$15&lt;5,"No asegurable",IFERROR(IF($H7="","",IF($F$26&gt;=0,IFERROR(INDEX('aux antiguo'!$AR$2:$AU$8,MATCH($H7,'aux antiguo'!$AQ$2:$AQ$8,1),MATCH(AA$17,'aux antiguo'!$AR$1:$AU$1,0))*(1-$J$6),"No asegurable"),"No asegurable")),"")))</f>
        <v/>
      </c>
      <c r="AB20" s="49">
        <f t="array" ref="AB20">IFERROR(IF(H7="","",IF($F$15&lt;5,"No asegurable",IFERROR(IF($H7="","",IF($F$26&gt;=0,IFERROR(INDEX('aux antiguo'!$AX$2:$BA$8,MATCH($H7,'aux antiguo'!$AW$2:$AW$8,1),MATCH(AB$17,'aux antiguo'!$AX$1:$BA$1,0))*(1-$J$6),"No asegurable"),"No asegurable")),""))),"")</f>
        <v/>
      </c>
      <c r="AC20" s="48" t="n"/>
      <c r="AI20" s="109" t="n"/>
      <c r="AJ20" s="109" t="n"/>
      <c r="AK20" s="58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</row>
    <row r="21" ht="33.75" customHeight="1" s="241">
      <c r="B21" s="230" t="inlineStr">
        <is>
          <t>Excepción NIF</t>
        </is>
      </c>
      <c r="C21" s="231" t="n"/>
      <c r="D21" s="231" t="n"/>
      <c r="E21" s="231" t="n"/>
      <c r="F21" s="231">
        <f>IF(COUNTIF($H$6:$H$13,"&gt;69")&gt;0,IF(COUNTIF($H$6:$H$13,"&lt;60")&lt;3*COUNTIF($H$6:$H$13,"&gt;69"),-1,1),1)</f>
        <v/>
      </c>
      <c r="G21" s="231" t="n"/>
      <c r="H21" s="232">
        <f>IFERROR(VLOOKUP("No Asegurable",V19:V26,1,0),0)</f>
        <v/>
      </c>
      <c r="J21" s="231">
        <f>IF(COUNTIF($H$6:$H$13,"&gt;70")&gt;0,IF(COUNTIF($H$6:$H$13,"&lt;60")&lt;3*COUNTIF($H$6:$H$13,"&gt;70"),-1,1),1)</f>
        <v/>
      </c>
      <c r="K21" s="116" t="n">
        <v>3</v>
      </c>
      <c r="L21" s="48" t="n"/>
      <c r="M21" s="228">
        <f t="array" ref="M21">IFERROR(IF($H8="","",IF($F$16&gt;=0,IFERROR(INDEX('aux antiguo'!$B$2:$E$4,MATCH($H8,'aux antiguo'!$A$2:$A$4,1),MATCH(M$17,'aux antiguo'!$B$1:$E$1,0)),"No asegurable"),"No asegurable")),"")</f>
        <v/>
      </c>
      <c r="N21" s="228">
        <f t="array" ref="N21">IFERROR(IF($H8="","",IF($F$19&gt;=0,IFERROR(INDEX('aux antiguo'!$H$2:$K$8,MATCH($H8,'aux antiguo'!$G$2:$G$8,1),MATCH(N$17,'aux antiguo'!$H$1:$K$1,0))*(1-$J$6),"No asegurable"),"No asegurable")),"")</f>
        <v/>
      </c>
      <c r="O21" s="228">
        <f t="array" ref="O21">IFERROR(IF($H8="", "", 
    IF(AND($F$24&gt;=0, OR($J$6=0.01, $J$6=0.02, $J$6=0.03, $J$6=0.04, $J$6=0.05)),
        INDEX('aux antiguo'!$DA$2:$DD$7, 
               MATCH($H8, 'aux antiguo'!$CZ$2:$CZ$7, 1), 
               MATCH(O$17, 'aux antiguo'!$DA$1:$DD$1, 0)
        ) * (1 - ($J$6 * 2)),
        IF(AND($F$24&gt;=0, OR($J$6=0, $J$6&gt;=0.05)),
            INDEX('aux antiguo'!$DA$2:$DD$7, 
                   MATCH($H8, 'aux antiguo'!$CZ$2:$CZ$7, 1), 
                   MATCH(O$17, 'aux antiguo'!$DA$1:$DD$1, 0)
            ) * (1 - $J$6),
            "No asegurable"
        )
    )
),"")
</f>
        <v/>
      </c>
      <c r="P21" s="228">
        <f t="array" ref="P21">IFERROR(IF($H8="","",IF($F$20&gt;=0,IFERROR(INDEX('aux antiguo'!$N$2:$Q$8,MATCH($H8,'aux antiguo'!$M$2:$M$8,1),MATCH(P$17,'aux antiguo'!$N$1:$Q$1,0))*(1-$J$6),"No asegurable"),"No asegurable")),"")</f>
        <v/>
      </c>
      <c r="Q21" s="228">
        <f t="array" ref="Q21">IFERROR(IF($H8="","",IF($F$20&gt;=0,IFERROR(INDEX('aux antiguo'!$T$2:$W$8,MATCH($H8,'aux antiguo'!$S$2:$S$8,1),MATCH(Q$17,'aux antiguo'!$T$1:$W$1,0))*(1-$J$6),"No asegurable"),"No asegurable")),"")</f>
        <v/>
      </c>
      <c r="R21" s="228">
        <f t="array" ref="R21">IFERROR(IF($H8="", "", 
    IF(AND($F$24&gt;=0, OR($J$6=0.01, $J$6=0.02, $J$6=0.03, $J$6=0.04, $J$6=0.05)),
        INDEX('aux antiguo'!$Z$2:$AC$8, 
               MATCH($H8, 'aux antiguo'!$Y$2:$Y$8, 1), 
               MATCH(R$17, 'aux antiguo'!$Z$1:$AC$1, 0)
        ) * (1 - ($J$6 * 2)),
        IF(AND($F$24&gt;=0, OR($J$6=0, $J$6&gt;=0.05)),
            INDEX('aux antiguo'!$Z$2:$AC$8, 
                   MATCH($H8, 'aux antiguo'!$Y$2:$Y$8, 1), 
                   MATCH(R$17, 'aux antiguo'!$Z$1:$AC$1, 0)
            ) * (1 - $J$6),
            "No asegurable"
        )
    )
),"")
</f>
        <v/>
      </c>
      <c r="S21" s="228">
        <f t="array" ref="S21">IFERROR(IF($H8="","",IF($F$25&gt;=0,IFERROR(INDEX('aux antiguo'!$CU$2:$CX$8,MATCH($H8,'aux antiguo'!$CT$2:$CT$8,1),MATCH(S$17,'aux antiguo'!$CU$1:$CX$1,0))*(1-$J$6),"No asegurable"),"No asegurable")),"")</f>
        <v/>
      </c>
      <c r="T21" s="228">
        <f t="array" ref="T21">IFERROR(IF($H8="","",IF($F$17&gt;=0,IFERROR(INDEX('aux antiguo'!$BD$2:$BG$10,MATCH($H8,'aux antiguo'!$BC$2:$BC$10,1),MATCH(T$17,'aux antiguo'!$BD$1:$BG$1,0))*(1-$J$6),"No asegurable"),"No asegurable")),"")</f>
        <v/>
      </c>
      <c r="U21" s="228">
        <f t="array" ref="U21">IFERROR(IF($H8="", "", 
    IF(AND($F$23&gt;=0, OR($J$6=0.01, $J$6=0.02, $J$6=0.03, $J$6=0.04, $J$6=0.05)),
        INDEX('aux antiguo'!$BJ$2:$BM$8, 
               MATCH($H8, 'aux antiguo'!$BI$2:$BI$8, 1), 
               MATCH(U$17, 'aux antiguo'!$BJ$1:$BM$1, 0)
        ) * (1 - ($J$6 * 2)),
        IF(AND($F$23&gt;=0, OR($J$6=0, $J$6&gt;=0.05)),
            INDEX('aux antiguo'!$BJ$2:$BM$8, 
                   MATCH($H8, 'aux antiguo'!$BI$2:$BI$8, 1), 
                   MATCH(U$17, 'aux antiguo'!$BJ$1:$BM$1, 0)
            ) * (1 - $J$6),
            "No asegurable"
        )
    )
),"")
</f>
        <v/>
      </c>
      <c r="V21" s="228">
        <f t="array" ref="V21">IFERROR(IF($H8="","",IF($F$26&gt;=0,IFERROR(INDEX('aux antiguo'!$BZ$2:$CC$8,MATCH($H8,'aux antiguo'!$BY$2:$BY$8,1),MATCH(V$17,'aux antiguo'!$BZ$1:$CC$1,0))*(1-$J$6),"No asegurable"),"No asegurable")),"")</f>
        <v/>
      </c>
      <c r="W21" s="228">
        <f t="array" ref="W21">IFERROR(IF($H8="", "", 
    IF(AND($F$22&gt;=0, OR($J$6=0.01, $J$6=0.02, $J$6=0.03, $J$6=0.04, $J$6=0.05)),
        INDEX('aux antiguo'!$BT$11:$BW$15, 
               MATCH($H8, 'aux antiguo'!$BS$11:$BS$15, 1), 
               MATCH(W$17, 'aux antiguo'!$BT$10:$BW$10, 0)
        ) * (1 - ($J$6 * 2)),
        IF(AND($F$22&gt;=0, OR($J$6=0, $J$6&gt;=0.05)),
            INDEX('aux antiguo'!$BT$11:$BW$15, 
                   MATCH($H8, 'aux antiguo'!$BS$11:$BS$15, 1), 
                   MATCH(W$17, 'aux antiguo'!$BT$10:$BW$10, 0)
            ) * (1 - $J$6),
            "No asegurable"
        )
    )
),"")
</f>
        <v/>
      </c>
      <c r="X21" s="233">
        <f t="array" ref="X21">IFERROR(IF($H8="","",IF(OR($F$15=1,$F$15=2),IFERROR(IF($F$21&gt;=0,INDEX('aux antiguo'!$CF$2:$CI$8,MATCH($H8,'aux antiguo'!$CE$2:$CE$8,1),MATCH(X$17,'aux antiguo'!$CF$1:$CI$1,0))*(1-$J$6),"No asegurable"),""),IF($F$15&gt;=3,IFERROR(IF($F$21&gt;=0,INDEX('aux antiguo'!$CL$2:$CO$8, MATCH($H8, 'aux antiguo'!$CK$2:$CK$8, 1), MATCH(X$17, 'aux antiguo'!$CL$1:$CO$1, 0))*(1-$J$6),"No asegurable"),"")))),"")</f>
        <v/>
      </c>
      <c r="Y21" s="233">
        <f t="array" ref="Y21">IF($F$15&gt;4,"No asegurable",IFERROR(IF($H8="","",IF($F$26&gt;=0,IFERROR(INDEX('aux antiguo'!$AF$2:$AI$8,MATCH($H8,'aux antiguo'!$AE$2:$AE$8,1),MATCH(Y$17,'aux antiguo'!$AF$1:$AI$1,0))*(1-$J$6),"No asegurable"),"No asegurable")),""))</f>
        <v/>
      </c>
      <c r="Z21" s="233">
        <f t="array" ref="Z21">IF($F$15&gt;4,"No asegurable",IFERROR(IF($H8="","",IF($F$26&gt;=0,IFERROR(INDEX('aux antiguo'!$AL$2:$AO$8,MATCH($H8,'aux antiguo'!$AK$2:$AK$8,1),MATCH(Z$17,'aux antiguo'!$AL$1:$AO$1,0))*(1-$J$6),"No asegurable"),"No asegurable")),""))</f>
        <v/>
      </c>
      <c r="AA21" s="74">
        <f t="array" ref="AA21">IF(F8="","",IF($F$15&lt;5,"No asegurable",IFERROR(IF($H8="","",IF($F$26&gt;=0,IFERROR(INDEX('aux antiguo'!$AR$2:$AU$8,MATCH($H8,'aux antiguo'!$AQ$2:$AQ$8,1),MATCH(AA$17,'aux antiguo'!$AR$1:$AU$1,0))*(1-$J$6),"No asegurable"),"No asegurable")),"")))</f>
        <v/>
      </c>
      <c r="AB21" s="49">
        <f t="array" ref="AB21">IFERROR(IF(H8="","",IF($F$15&lt;5,"No asegurable",IFERROR(IF($H8="","",IF($F$26&gt;=0,IFERROR(INDEX('aux antiguo'!$AX$2:$BA$8,MATCH($H8,'aux antiguo'!$AW$2:$AW$8,1),MATCH(AB$17,'aux antiguo'!$AX$1:$BA$1,0))*(1-$J$6),"No asegurable"),"No asegurable")),""))),"")</f>
        <v/>
      </c>
      <c r="AC21" s="58" t="n"/>
      <c r="AI21" s="109" t="n"/>
      <c r="AJ21" s="109" t="n"/>
      <c r="AK21" s="58" t="n"/>
      <c r="AL21" s="58" t="n"/>
      <c r="AM21" s="58" t="n"/>
      <c r="AN21" s="58" t="n"/>
      <c r="AO21" s="58" t="n"/>
      <c r="AP21" s="58" t="n"/>
      <c r="AQ21" s="58" t="n"/>
      <c r="AR21" s="58" t="n"/>
      <c r="AS21" s="58" t="n"/>
      <c r="AT21" s="58" t="n"/>
      <c r="AU21" s="58" t="n"/>
    </row>
    <row r="22" ht="33.75" customHeight="1" s="241">
      <c r="B22" s="234" t="inlineStr">
        <is>
          <t>Excepción Pymes Total</t>
        </is>
      </c>
      <c r="C22" s="234" t="n"/>
      <c r="D22" s="234" t="n"/>
      <c r="E22" s="234" t="n"/>
      <c r="F22" s="234">
        <f>IFERROR(IF(H6&gt;67,-3,IF(H6&gt;59,0,1)),0)+IFERROR(IF(H7&gt;67,-3,IF(H7&gt;59,0,1)),0)+IFERROR(IF(H8&gt;67,-3,IF(H8&gt;59,0,1)),0)++IFERROR(IF(H9&gt;67,-3,IF(H9&gt;59,0,1)),0)+IFERROR(IF(H10&gt;67,-3,IF(H10&gt;59,0,1)),0)+IFERROR(IF(H11&gt;67,-3,IF(H11&gt;59,0,1)),0)+IFERROR(IF(H12&gt;67,-3,IF(H12&gt;59,0,1)),0)+IFERROR(IF(H13&gt;67,-3,IF(H13&gt;59,0,1)),0)</f>
        <v/>
      </c>
      <c r="G22" s="234" t="n"/>
      <c r="H22" s="217">
        <f>IFERROR(VLOOKUP("No Asegurable",$W$19:$W$26,1,0),0)</f>
        <v/>
      </c>
      <c r="J22" s="234">
        <f>IF(COUNTIF($H$6:$H$13,"&gt;67")&gt;0,IF(COUNTIF($H$6:$H$13,"&lt;60")&lt;3*COUNTIF($H$6:$H$13,"&gt;67"),-1,1),1)</f>
        <v/>
      </c>
      <c r="K22" s="116" t="n">
        <v>4</v>
      </c>
      <c r="L22" s="48" t="n"/>
      <c r="M22" s="228">
        <f t="array" ref="M22">IFERROR(IF($H9="","",IF($F$16&gt;=0,IFERROR(INDEX('aux antiguo'!$B$2:$E$4,MATCH($H9,'aux antiguo'!$A$2:$A$4,1),MATCH(M$17,'aux antiguo'!$B$1:$E$1,0)),"No asegurable"),"No asegurable")),"")</f>
        <v/>
      </c>
      <c r="N22" s="228">
        <f t="array" ref="N22">IFERROR(IF($H9="","",IF($F$19&gt;=0,IFERROR(INDEX('aux antiguo'!$H$2:$K$8,MATCH($H9,'aux antiguo'!$G$2:$G$8,1),MATCH(N$17,'aux antiguo'!$H$1:$K$1,0))*(1-$J$6),"No asegurable"),"No asegurable")),"")</f>
        <v/>
      </c>
      <c r="O22" s="228">
        <f t="array" ref="O22">IFERROR(IF($H9="", "", 
    IF(AND($F$24&gt;=0, OR($J$6=0.01, $J$6=0.02, $J$6=0.03, $J$6=0.04, $J$6=0.05)),
        INDEX('aux antiguo'!$DA$2:$DD$7, 
               MATCH($H9, 'aux antiguo'!$CZ$2:$CZ$7, 1), 
               MATCH(O$17, 'aux antiguo'!$DA$1:$DD$1, 0)
        ) * (1 - ($J$6 * 2)),
        IF(AND($F$24&gt;=0, OR($J$6=0, $J$6&gt;=0.05)),
            INDEX('aux antiguo'!$DA$2:$DD$7, 
                   MATCH($H9, 'aux antiguo'!$CZ$2:$CZ$7, 1), 
                   MATCH(O$17, 'aux antiguo'!$DA$1:$DD$1, 0)
            ) * (1 - $J$6),
            "No asegurable"
        )
    )
),"")
</f>
        <v/>
      </c>
      <c r="P22" s="228">
        <f t="array" ref="P22">IFERROR(IF($H9="","",IF($F$20&gt;=0,IFERROR(INDEX('aux antiguo'!$N$2:$Q$8,MATCH($H9,'aux antiguo'!$M$2:$M$8,1),MATCH(P$17,'aux antiguo'!$N$1:$Q$1,0))*(1-$J$6),"No asegurable"),"No asegurable")),"")</f>
        <v/>
      </c>
      <c r="Q22" s="228">
        <f t="array" ref="Q22">IFERROR(IF($H9="","",IF($F$20&gt;=0,IFERROR(INDEX('aux antiguo'!$T$2:$W$8,MATCH($H9,'aux antiguo'!$S$2:$S$8,1),MATCH(Q$17,'aux antiguo'!$T$1:$W$1,0))*(1-$J$6),"No asegurable"),"No asegurable")),"")</f>
        <v/>
      </c>
      <c r="R22" s="228">
        <f t="array" ref="R22">IFERROR(IF($H9="", "", 
    IF(AND($F$24&gt;=0, OR($J$6=0.01, $J$6=0.02, $J$6=0.03, $J$6=0.04, $J$6=0.05)),
        INDEX('aux antiguo'!$Z$2:$AC$8, 
               MATCH($H9, 'aux antiguo'!$Y$2:$Y$8, 1), 
               MATCH(R$17, 'aux antiguo'!$Z$1:$AC$1, 0)
        ) * (1 - ($J$6 * 2)),
        IF(AND($F$24&gt;=0, OR($J$6=0, $J$6&gt;=0.05)),
            INDEX('aux antiguo'!$Z$2:$AC$8, 
                   MATCH($H9, 'aux antiguo'!$Y$2:$Y$8, 1), 
                   MATCH(R$17, 'aux antiguo'!$Z$1:$AC$1, 0)
            ) * (1 - $J$6),
            "No asegurable"
        )
    )
),"")
</f>
        <v/>
      </c>
      <c r="S22" s="228">
        <f t="array" ref="S22">IFERROR(IF($H9="","",IF($F$25&gt;=0,IFERROR(INDEX('aux antiguo'!$CU$2:$CX$8,MATCH($H9,'aux antiguo'!$CT$2:$CT$8,1),MATCH(S$17,'aux antiguo'!$CU$1:$CX$1,0))*(1-$J$6),"No asegurable"),"No asegurable")),"")</f>
        <v/>
      </c>
      <c r="T22" s="228">
        <f t="array" ref="T22">IFERROR(IF($H9="","",IF($F$17&gt;=0,IFERROR(INDEX('aux antiguo'!$BD$2:$BG$10,MATCH($H9,'aux antiguo'!$BC$2:$BC$10,1),MATCH(T$17,'aux antiguo'!$BD$1:$BG$1,0))*(1-$J$6),"No asegurable"),"No asegurable")),"")</f>
        <v/>
      </c>
      <c r="U22" s="228">
        <f t="array" ref="U22">IFERROR(IF($H9="", "", 
    IF(AND($F$23&gt;=0, OR($J$6=0.01, $J$6=0.02, $J$6=0.03, $J$6=0.04, $J$6=0.05)),
        INDEX('aux antiguo'!$BJ$2:$BM$8, 
               MATCH($H9, 'aux antiguo'!$BI$2:$BI$8, 1), 
               MATCH(U$17, 'aux antiguo'!$BJ$1:$BM$1, 0)
        ) * (1 - ($J$6 * 2)),
        IF(AND($F$23&gt;=0, OR($J$6=0, $J$6&gt;=0.05)),
            INDEX('aux antiguo'!$BJ$2:$BM$8, 
                   MATCH($H9, 'aux antiguo'!$BI$2:$BI$8, 1), 
                   MATCH(U$17, 'aux antiguo'!$BJ$1:$BM$1, 0)
            ) * (1 - $J$6),
            "No asegurable"
        )
    )
),"")
</f>
        <v/>
      </c>
      <c r="V22" s="228">
        <f t="array" ref="V22">IFERROR(IF($H9="","",IF($F$26&gt;=0,IFERROR(INDEX('aux antiguo'!$BZ$2:$CC$8,MATCH($H9,'aux antiguo'!$BY$2:$BY$8,1),MATCH(V$17,'aux antiguo'!$BZ$1:$CC$1,0))*(1-$J$6),"No asegurable"),"No asegurable")),"")</f>
        <v/>
      </c>
      <c r="W22" s="228">
        <f t="array" ref="W22">IFERROR(IF($H9="", "", 
    IF(AND($F$22&gt;=0, OR($J$6=0.01, $J$6=0.02, $J$6=0.03, $J$6=0.04, $J$6=0.05)),
        INDEX('aux antiguo'!$BT$11:$BW$15, 
               MATCH($H9, 'aux antiguo'!$BS$11:$BS$15, 1), 
               MATCH(W$17, 'aux antiguo'!$BT$10:$BW$10, 0)
        ) * (1 - ($J$6 * 2)),
        IF(AND($F$22&gt;=0, OR($J$6=0, $J$6&gt;=0.05)),
            INDEX('aux antiguo'!$BT$11:$BW$15, 
                   MATCH($H9, 'aux antiguo'!$BS$11:$BS$15, 1), 
                   MATCH(W$17, 'aux antiguo'!$BT$10:$BW$10, 0)
            ) * (1 - $J$6),
            "No asegurable"
        )
    )
),"")
</f>
        <v/>
      </c>
      <c r="X22" s="233">
        <f t="array" ref="X22">IFERROR(IF($H9="","",IF(OR($F$15=1,$F$15=2),IFERROR(IF($F$21&gt;=0,INDEX('aux antiguo'!$CF$2:$CI$8,MATCH($H9,'aux antiguo'!$CE$2:$CE$8,1),MATCH(X$17,'aux antiguo'!$CF$1:$CI$1,0))*(1-$J$6),"No asegurable"),""),IF($F$15&gt;=3,IFERROR(IF($F$21&gt;=0,INDEX('aux antiguo'!$CL$2:$CO$8, MATCH($H9, 'aux antiguo'!$CK$2:$CK$8, 1), MATCH(X$17, 'aux antiguo'!$CL$1:$CO$1, 0))*(1-$J$6),"No asegurable"),"")))),"")</f>
        <v/>
      </c>
      <c r="Y22" s="233">
        <f t="array" ref="Y22">IF($F$15&gt;4,"No asegurable",IFERROR(IF($H9="","",IF($F$26&gt;=0,IFERROR(INDEX('aux antiguo'!$AF$2:$AI$8,MATCH($H9,'aux antiguo'!$AE$2:$AE$8,1),MATCH(Y$17,'aux antiguo'!$AF$1:$AI$1,0))*(1-$J$6),"No asegurable"),"No asegurable")),""))</f>
        <v/>
      </c>
      <c r="Z22" s="233">
        <f t="array" ref="Z22">IF($F$15&gt;4,"No asegurable",IFERROR(IF($H9="","",IF($F$26&gt;=0,IFERROR(INDEX('aux antiguo'!$AL$2:$AO$8,MATCH($H9,'aux antiguo'!$AK$2:$AK$8,1),MATCH(Z$17,'aux antiguo'!$AL$1:$AO$1,0))*(1-$J$6),"No asegurable"),"No asegurable")),""))</f>
        <v/>
      </c>
      <c r="AA22" s="74">
        <f t="array" ref="AA22">IF(F9="","",IF($F$15&lt;5,"No asegurable",IFERROR(IF($H9="","",IF($F$26&gt;=0,IFERROR(INDEX('aux antiguo'!$AR$2:$AU$8,MATCH($H9,'aux antiguo'!$AQ$2:$AQ$8,1),MATCH(AA$17,'aux antiguo'!$AR$1:$AU$1,0))*(1-$J$6),"No asegurable"),"No asegurable")),"")))</f>
        <v/>
      </c>
      <c r="AB22" s="49">
        <f t="array" ref="AB22">IFERROR(IF(H9="","",IF($F$15&lt;5,"No asegurable",IFERROR(IF($H9="","",IF($F$26&gt;=0,IFERROR(INDEX('aux antiguo'!$AX$2:$BA$8,MATCH($H9,'aux antiguo'!$AW$2:$AW$8,1),MATCH(AB$17,'aux antiguo'!$AX$1:$BA$1,0))*(1-$J$6),"No asegurable"),"No asegurable")),""))),"")</f>
        <v/>
      </c>
      <c r="AC22" s="48" t="n"/>
      <c r="AI22" s="109" t="n"/>
      <c r="AJ22" s="109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8" t="n"/>
      <c r="AT22" s="58" t="n"/>
      <c r="AU22" s="58" t="n"/>
    </row>
    <row r="23" ht="33.75" customHeight="1" s="241">
      <c r="B23" s="234" t="inlineStr">
        <is>
          <t>Excepción Senior Total</t>
        </is>
      </c>
      <c r="C23" s="234" t="n"/>
      <c r="D23" s="234" t="n"/>
      <c r="E23" s="234" t="n"/>
      <c r="F23" s="234">
        <f>IF(COUNTIF($H$6:$H$13,"&gt;84")&gt;0,-1,  
    IF(AND(AND(COUNTIF($H$6:$H$13,"&gt;=60"),COUNTIF($H$6:$H$13,"&lt;=62"))&gt;0,COUNTIF($H$6:$H$13,"&gt;=63")&gt;0,COUNTIF($H$6:$H$13,"&lt;60")=0),1,  
        -1))
</f>
        <v/>
      </c>
      <c r="G23" s="234" t="n"/>
      <c r="H23" s="217">
        <f>IFERROR(VLOOKUP("No Asegurable",$U$19:$U$26,1,0),0)</f>
        <v/>
      </c>
      <c r="J23" s="234" t="n"/>
      <c r="K23" s="116" t="n">
        <v>5</v>
      </c>
      <c r="L23" s="48" t="n"/>
      <c r="M23" s="228">
        <f t="array" ref="M23">IFERROR(IF($H10="","",IF($F$16&gt;=0,IFERROR(INDEX('aux antiguo'!$B$2:$E$4,MATCH($H10,'aux antiguo'!$A$2:$A$4,1),MATCH(M$17,'aux antiguo'!$B$1:$E$1,0)),"No asegurable"),"No asegurable")),"")</f>
        <v/>
      </c>
      <c r="N23" s="228">
        <f t="array" ref="N23">IFERROR(IF($H10="","",IF($F$19&gt;=0,IFERROR(INDEX('aux antiguo'!$H$2:$K$8,MATCH($H10,'aux antiguo'!$G$2:$G$8,1),MATCH(N$17,'aux antiguo'!$H$1:$K$1,0))*(1-$J$6),"No asegurable"),"No asegurable")),"")</f>
        <v/>
      </c>
      <c r="O23" s="228">
        <f t="array" ref="O23">IFERROR(IF($H10="", "", 
    IF(AND($F$24&gt;=0, OR($J$6=0.01, $J$6=0.02, $J$6=0.03, $J$6=0.04, $J$6=0.05)),
        INDEX('aux antiguo'!$DA$2:$DD$7, 
               MATCH($H10, 'aux antiguo'!$CZ$2:$CZ$7, 1), 
               MATCH(O$17, 'aux antiguo'!$DA$1:$DD$1, 0)
        ) * (1 - ($J$6 * 2)),
        IF(AND($F$24&gt;=0, OR($J$6=0, $J$6&gt;=0.05)),
            INDEX('aux antiguo'!$DA$2:$DD$7, 
                   MATCH($H10, 'aux antiguo'!$CZ$2:$CZ$7, 1), 
                   MATCH(O$17, 'aux antiguo'!$DA$1:$DD$1, 0)
            ) * (1 - $J$6),
            "No asegurable"
        )
    )
),"")
</f>
        <v/>
      </c>
      <c r="P23" s="228">
        <f t="array" ref="P23">IFERROR(IF($H10="","",IF($F$20&gt;=0,IFERROR(INDEX('aux antiguo'!$N$2:$Q$8,MATCH($H10,'aux antiguo'!$M$2:$M$8,1),MATCH(P$17,'aux antiguo'!$N$1:$Q$1,0))*(1-$J$6),"No asegurable"),"No asegurable")),"")</f>
        <v/>
      </c>
      <c r="Q23" s="228">
        <f t="array" ref="Q23">IFERROR(IF($H10="","",IF($F$20&gt;=0,IFERROR(INDEX('aux antiguo'!$T$2:$W$8,MATCH($H10,'aux antiguo'!$S$2:$S$8,1),MATCH(Q$17,'aux antiguo'!$T$1:$W$1,0))*(1-$J$6),"No asegurable"),"No asegurable")),"")</f>
        <v/>
      </c>
      <c r="R23" s="228">
        <f t="array" ref="R23">IFERROR(IF($H10="", "", 
    IF(AND($F$24&gt;=0, OR($J$6=0.01, $J$6=0.02, $J$6=0.03, $J$6=0.04, $J$6=0.05)),
        INDEX('aux antiguo'!$Z$2:$AC$8, 
               MATCH($H10, 'aux antiguo'!$Y$2:$Y$8, 1), 
               MATCH(R$17, 'aux antiguo'!$Z$1:$AC$1, 0)
        ) * (1 - ($J$6 * 2)),
        IF(AND($F$24&gt;=0, OR($J$6=0, $J$6&gt;=0.05)),
            INDEX('aux antiguo'!$Z$2:$AC$8, 
                   MATCH($H10, 'aux antiguo'!$Y$2:$Y$8, 1), 
                   MATCH(R$17, 'aux antiguo'!$Z$1:$AC$1, 0)
            ) * (1 - $J$6),
            "No asegurable"
        )
    )
),"")
</f>
        <v/>
      </c>
      <c r="S23" s="228">
        <f t="array" ref="S23">IFERROR(IF($H10="","",IF($F$25&gt;=0,IFERROR(INDEX('aux antiguo'!$CU$2:$CX$8,MATCH($H10,'aux antiguo'!$CT$2:$CT$8,1),MATCH(S$17,'aux antiguo'!$CU$1:$CX$1,0))*(1-$J$6),"No asegurable"),"No asegurable")),"")</f>
        <v/>
      </c>
      <c r="T23" s="228">
        <f t="array" ref="T23">IFERROR(IF($H10="","",IF($F$17&gt;=0,IFERROR(INDEX('aux antiguo'!$BD$2:$BG$10,MATCH($H10,'aux antiguo'!$BC$2:$BC$10,1),MATCH(T$17,'aux antiguo'!$BD$1:$BG$1,0))*(1-$J$6),"No asegurable"),"No asegurable")),"")</f>
        <v/>
      </c>
      <c r="U23" s="228">
        <f t="array" ref="U23">IFERROR(IF($H10="", "", 
    IF(AND($F$23&gt;=0, OR($J$6=0.01, $J$6=0.02, $J$6=0.03, $J$6=0.04, $J$6=0.05)),
        INDEX('aux antiguo'!$BJ$2:$BM$8, 
               MATCH($H10, 'aux antiguo'!$BI$2:$BI$8, 1), 
               MATCH(U$17, 'aux antiguo'!$BJ$1:$BM$1, 0)
        ) * (1 - ($J$6 * 2)),
        IF(AND($F$23&gt;=0, OR($J$6=0, $J$6&gt;=0.05)),
            INDEX('aux antiguo'!$BJ$2:$BM$8, 
                   MATCH($H10, 'aux antiguo'!$BI$2:$BI$8, 1), 
                   MATCH(U$17, 'aux antiguo'!$BJ$1:$BM$1, 0)
            ) * (1 - $J$6),
            "No asegurable"
        )
    )
),"")
</f>
        <v/>
      </c>
      <c r="V23" s="228">
        <f t="array" ref="V23">IFERROR(IF($H10="","",IF($F$26&gt;=0,IFERROR(INDEX('aux antiguo'!$BZ$2:$CC$8,MATCH($H10,'aux antiguo'!$BY$2:$BY$8,1),MATCH(V$17,'aux antiguo'!$BZ$1:$CC$1,0))*(1-$J$6),"No asegurable"),"No asegurable")),"")</f>
        <v/>
      </c>
      <c r="W23" s="228">
        <f t="array" ref="W23">IFERROR(IF($H10="", "", 
    IF(AND($F$22&gt;=0, OR($J$6=0.01, $J$6=0.02, $J$6=0.03, $J$6=0.04, $J$6=0.05)),
        INDEX('aux antiguo'!$BT$11:$BW$15, 
               MATCH($H10, 'aux antiguo'!$BS$11:$BS$15, 1), 
               MATCH(W$17, 'aux antiguo'!$BT$10:$BW$10, 0)
        ) * (1 - ($J$6 * 2)),
        IF(AND($F$22&gt;=0, OR($J$6=0, $J$6&gt;=0.05)),
            INDEX('aux antiguo'!$BT$11:$BW$15, 
                   MATCH($H10, 'aux antiguo'!$BS$11:$BS$15, 1), 
                   MATCH(W$17, 'aux antiguo'!$BT$10:$BW$10, 0)
            ) * (1 - $J$6),
            "No asegurable"
        )
    )
),"")
</f>
        <v/>
      </c>
      <c r="X23" s="233">
        <f t="array" ref="X23">IFERROR(IF($H10="","",IF(OR($F$15=1,$F$15=2),IFERROR(IF($F$21&gt;=0,INDEX('aux antiguo'!$CF$2:$CI$8,MATCH($H10,'aux antiguo'!$CE$2:$CE$8,1),MATCH(X$17,'aux antiguo'!$CF$1:$CI$1,0))*(1-$J$6),"No asegurable"),""),IF($F$15&gt;=3,IFERROR(IF($F$21&gt;=0,INDEX('aux antiguo'!$CL$2:$CO$8, MATCH($H10, 'aux antiguo'!$CK$2:$CK$8, 1), MATCH(X$17, 'aux antiguo'!$CL$1:$CO$1, 0))*(1-$J$6),"No asegurable"),"")))),"")</f>
        <v/>
      </c>
      <c r="Y23" s="233">
        <f t="array" ref="Y23">IF($F$15&gt;4,"No asegurable",IFERROR(IF($H10="","",IF($F$26&gt;=0,IFERROR(INDEX('aux antiguo'!$AF$2:$AI$8,MATCH($H10,'aux antiguo'!$AE$2:$AE$8,1),MATCH(Y$17,'aux antiguo'!$AF$1:$AI$1,0))*(1-$J$6),"No asegurable"),"No asegurable")),""))</f>
        <v/>
      </c>
      <c r="Z23" s="233">
        <f t="array" ref="Z23">IF($F$15&gt;4,"No asegurable",IFERROR(IF($H10="","",IF($F$26&gt;=0,IFERROR(INDEX('aux antiguo'!$AL$2:$AO$8,MATCH($H10,'aux antiguo'!$AK$2:$AK$8,1),MATCH(Z$17,'aux antiguo'!$AL$1:$AO$1,0))*(1-$J$6),"No asegurable"),"No asegurable")),""))</f>
        <v/>
      </c>
      <c r="AA23" s="74">
        <f t="array" ref="AA23">IF(F10="","",IF($F$15&lt;5,"No asegurable",IFERROR(IF($H10="","",IF($F$26&gt;=0,IFERROR(INDEX('aux antiguo'!$AR$2:$AU$8,MATCH($H10,'aux antiguo'!$AQ$2:$AQ$8,1),MATCH(AA$17,'aux antiguo'!$AR$1:$AU$1,0))*(1-$J$6),"No asegurable"),"No asegurable")),"")))</f>
        <v/>
      </c>
      <c r="AB23" s="49">
        <f t="array" ref="AB23">IFERROR(IF(H10="","",IF($F$15&lt;5,"No asegurable",IFERROR(IF($H10="","",IF($F$26&gt;=0,IFERROR(INDEX('aux antiguo'!$AX$2:$BA$8,MATCH($H10,'aux antiguo'!$AW$2:$AW$8,1),MATCH(AB$17,'aux antiguo'!$AX$1:$BA$1,0))*(1-$J$6),"No asegurable"),"No asegurable")),""))),"")</f>
        <v/>
      </c>
      <c r="AI23" s="109" t="n"/>
      <c r="AJ23" s="109" t="n"/>
      <c r="AK23" s="58" t="n"/>
      <c r="AL23" s="58" t="n"/>
      <c r="AM23" s="58" t="n"/>
      <c r="AN23" s="58" t="n"/>
      <c r="AO23" s="58" t="n"/>
      <c r="AP23" s="58" t="n"/>
      <c r="AQ23" s="58" t="n"/>
      <c r="AR23" s="58" t="n"/>
      <c r="AS23" s="58" t="n"/>
      <c r="AT23" s="58" t="n"/>
      <c r="AU23" s="58" t="n"/>
    </row>
    <row r="24" ht="32.25" customHeight="1" s="241">
      <c r="B24" s="234" t="inlineStr">
        <is>
          <t>Excepción Plena Total</t>
        </is>
      </c>
      <c r="C24" s="234" t="n"/>
      <c r="D24" s="234" t="n"/>
      <c r="E24" s="234" t="n"/>
      <c r="F24" s="234">
        <f>IF(COUNTIF($H$6:$H$13,"&gt;62")&gt;0,IF(COUNTIF($H$6:$H$13,"&lt;60")&lt;3*COUNTIF($H$6:$H$13,"&gt;62"),-1,1),1)</f>
        <v/>
      </c>
      <c r="G24" s="234" t="n"/>
      <c r="H24" s="217">
        <f>IFERROR(VLOOKUP("No Asegurable",$R$19:$R$26,1,0),0)</f>
        <v/>
      </c>
      <c r="J24" s="234">
        <f>IF(COUNTIF($H$6:$H$13,"&gt;62")&gt;0,IF(COUNTIF($H$6:$H$13,"&lt;60")&lt;3*COUNTIF($H$6:$H$13,"&gt;62"),-1,1),1)</f>
        <v/>
      </c>
      <c r="K24" s="116" t="n">
        <v>6</v>
      </c>
      <c r="L24" s="48" t="n"/>
      <c r="M24" s="228">
        <f t="array" ref="M24">IFERROR(IF($H11="","",IF($F$16&gt;=0,IFERROR(INDEX('aux antiguo'!$B$2:$E$4,MATCH($H11,'aux antiguo'!$A$2:$A$4,1),MATCH(M$17,'aux antiguo'!$B$1:$E$1,0)),"No asegurable"),"No asegurable")),"")</f>
        <v/>
      </c>
      <c r="N24" s="228">
        <f t="array" ref="N24">IFERROR(IF($H11="","",IF($F$19&gt;=0,IFERROR(INDEX('aux antiguo'!$H$2:$K$8,MATCH($H11,'aux antiguo'!$G$2:$G$8,1),MATCH(N$17,'aux antiguo'!$H$1:$K$1,0))*(1-$J$6),"No asegurable"),"No asegurable")),"")</f>
        <v/>
      </c>
      <c r="O24" s="228">
        <f t="array" ref="O24">IFERROR(IF($H11="", "", 
    IF(AND($F$24&gt;=0, OR($J$6=0.01, $J$6=0.02, $J$6=0.03, $J$6=0.04, $J$6=0.05)),
        INDEX('aux antiguo'!$DA$2:$DD$7, 
               MATCH($H11, 'aux antiguo'!$CZ$2:$CZ$7, 1), 
               MATCH(O$17, 'aux antiguo'!$DA$1:$DD$1, 0)
        ) * (1 - ($J$6 * 2)),
        IF(AND($F$24&gt;=0, OR($J$6=0, $J$6&gt;=0.05)),
            INDEX('aux antiguo'!$DA$2:$DD$7, 
                   MATCH($H11, 'aux antiguo'!$CZ$2:$CZ$7, 1), 
                   MATCH(O$17, 'aux antiguo'!$DA$1:$DD$1, 0)
            ) * (1 - $J$6),
            "No asegurable"
        )
    )
),"")
</f>
        <v/>
      </c>
      <c r="P24" s="228">
        <f t="array" ref="P24">IFERROR(IF($H11="","",IF($F$20&gt;=0,IFERROR(INDEX('aux antiguo'!$N$2:$Q$8,MATCH($H11,'aux antiguo'!$M$2:$M$8,1),MATCH(P$17,'aux antiguo'!$N$1:$Q$1,0))*(1-$J$6),"No asegurable"),"No asegurable")),"")</f>
        <v/>
      </c>
      <c r="Q24" s="228">
        <f t="array" ref="Q24">IFERROR(IF($H11="","",IF($F$20&gt;=0,IFERROR(INDEX('aux antiguo'!$T$2:$W$8,MATCH($H11,'aux antiguo'!$S$2:$S$8,1),MATCH(Q$17,'aux antiguo'!$T$1:$W$1,0))*(1-$J$6),"No asegurable"),"No asegurable")),"")</f>
        <v/>
      </c>
      <c r="R24" s="228">
        <f t="array" ref="R24">IFERROR(IF($H11="", "", 
    IF(AND($F$24&gt;=0, OR($J$6=0.01, $J$6=0.02, $J$6=0.03, $J$6=0.04, $J$6=0.05)),
        INDEX('aux antiguo'!$Z$2:$AC$8, 
               MATCH($H11, 'aux antiguo'!$Y$2:$Y$8, 1), 
               MATCH(R$17, 'aux antiguo'!$Z$1:$AC$1, 0)
        ) * (1 - ($J$6 * 2)),
        IF(AND($F$24&gt;=0, OR($J$6=0, $J$6&gt;=0.05)),
            INDEX('aux antiguo'!$Z$2:$AC$8, 
                   MATCH($H11, 'aux antiguo'!$Y$2:$Y$8, 1), 
                   MATCH(R$17, 'aux antiguo'!$Z$1:$AC$1, 0)
            ) * (1 - $J$6),
            "No asegurable"
        )
    )
),"")
</f>
        <v/>
      </c>
      <c r="S24" s="228">
        <f t="array" ref="S24">IFERROR(IF($H11="","",IF($F$25&gt;=0,IFERROR(INDEX('aux antiguo'!$CU$2:$CX$8,MATCH($H11,'aux antiguo'!$CT$2:$CT$8,1),MATCH(S$17,'aux antiguo'!$CU$1:$CX$1,0))*(1-$J$6),"No asegurable"),"No asegurable")),"")</f>
        <v/>
      </c>
      <c r="T24" s="228">
        <f t="array" ref="T24">IFERROR(IF($H11="","",IF($F$17&gt;=0,IFERROR(INDEX('aux antiguo'!$BD$2:$BG$10,MATCH($H11,'aux antiguo'!$BC$2:$BC$10,1),MATCH(T$17,'aux antiguo'!$BD$1:$BG$1,0))*(1-$J$6),"No asegurable"),"No asegurable")),"")</f>
        <v/>
      </c>
      <c r="U24" s="228">
        <f t="array" ref="U24">IFERROR(IF($H11="", "", 
    IF(AND($F$23&gt;=0, OR($J$6=0.01, $J$6=0.02, $J$6=0.03, $J$6=0.04, $J$6=0.05)),
        INDEX('aux antiguo'!$BJ$2:$BM$8, 
               MATCH($H11, 'aux antiguo'!$BI$2:$BI$8, 1), 
               MATCH(U$17, 'aux antiguo'!$BJ$1:$BM$1, 0)
        ) * (1 - ($J$6 * 2)),
        IF(AND($F$23&gt;=0, OR($J$6=0, $J$6&gt;=0.05)),
            INDEX('aux antiguo'!$BJ$2:$BM$8, 
                   MATCH($H11, 'aux antiguo'!$BI$2:$BI$8, 1), 
                   MATCH(U$17, 'aux antiguo'!$BJ$1:$BM$1, 0)
            ) * (1 - $J$6),
            "No asegurable"
        )
    )
),"")
</f>
        <v/>
      </c>
      <c r="V24" s="228">
        <f t="array" ref="V24">IFERROR(IF($H11="","",IF($F$26&gt;=0,IFERROR(INDEX('aux antiguo'!$BZ$2:$CC$8,MATCH($H11,'aux antiguo'!$BY$2:$BY$8,1),MATCH(V$17,'aux antiguo'!$BZ$1:$CC$1,0))*(1-$J$6),"No asegurable"),"No asegurable")),"")</f>
        <v/>
      </c>
      <c r="W24" s="228">
        <f t="array" ref="W24">IFERROR(IF($H11="", "", 
    IF(AND($F$22&gt;=0, OR($J$6=0.01, $J$6=0.02, $J$6=0.03, $J$6=0.04, $J$6=0.05)),
        INDEX('aux antiguo'!$BT$11:$BW$15, 
               MATCH($H11, 'aux antiguo'!$BS$11:$BS$15, 1), 
               MATCH(W$17, 'aux antiguo'!$BT$10:$BW$10, 0)
        ) * (1 - ($J$6 * 2)),
        IF(AND($F$22&gt;=0, OR($J$6=0, $J$6&gt;=0.05)),
            INDEX('aux antiguo'!$BT$11:$BW$15, 
                   MATCH($H11, 'aux antiguo'!$BS$11:$BS$15, 1), 
                   MATCH(W$17, 'aux antiguo'!$BT$10:$BW$10, 0)
            ) * (1 - $J$6),
            "No asegurable"
        )
    )
),"")
</f>
        <v/>
      </c>
      <c r="X24" s="233">
        <f t="array" ref="X24">IFERROR(IF($H11="","",IF(OR($F$15=1,$F$15=2),IFERROR(IF($F$21&gt;=0,INDEX('aux antiguo'!$CF$2:$CI$8,MATCH($H11,'aux antiguo'!$CE$2:$CE$8,1),MATCH(X$17,'aux antiguo'!$CF$1:$CI$1,0))*(1-$J$6),"No asegurable"),""),IF($F$15&gt;=3,IFERROR(IF($F$21&gt;=0,INDEX('aux antiguo'!$CL$2:$CO$8, MATCH($H11, 'aux antiguo'!$CK$2:$CK$8, 1), MATCH(X$17, 'aux antiguo'!$CL$1:$CO$1, 0))*(1-$J$6),"No asegurable"),"")))),"")</f>
        <v/>
      </c>
      <c r="Y24" s="233">
        <f t="array" ref="Y24">IF($F$15&gt;4,"No asegurable",IFERROR(IF($H11="","",IF($F$26&gt;=0,IFERROR(INDEX('aux antiguo'!$AF$2:$AI$8,MATCH($H11,'aux antiguo'!$AE$2:$AE$8,1),MATCH(Y$17,'aux antiguo'!$AF$1:$AI$1,0))*(1-$J$6),"No asegurable"),"No asegurable")),""))</f>
        <v/>
      </c>
      <c r="Z24" s="233">
        <f t="array" ref="Z24">IF($F$15&gt;4,"No asegurable",IFERROR(IF($H11="","",IF($F$26&gt;=0,IFERROR(INDEX('aux antiguo'!$AL$2:$AO$8,MATCH($H11,'aux antiguo'!$AK$2:$AK$8,1),MATCH(Z$17,'aux antiguo'!$AL$1:$AO$1,0))*(1-$J$6),"No asegurable"),"No asegurable")),""))</f>
        <v/>
      </c>
      <c r="AA24" s="74">
        <f t="array" ref="AA24">IF(F11="","",IF($F$15&lt;5,"No asegurable",IFERROR(IF($H11="","",IF($F$26&gt;=0,IFERROR(INDEX('aux antiguo'!$AR$2:$AU$8,MATCH($H11,'aux antiguo'!$AQ$2:$AQ$8,1),MATCH(AA$17,'aux antiguo'!$AR$1:$AU$1,0))*(1-$J$6),"No asegurable"),"No asegurable")),"")))</f>
        <v/>
      </c>
      <c r="AB24" s="49">
        <f t="array" ref="AB24">IFERROR(IF(H11="","",IF($F$15&lt;5,"No asegurable",IFERROR(IF($H11="","",IF($F$26&gt;=0,IFERROR(INDEX('aux antiguo'!$AX$2:$BA$8,MATCH($H11,'aux antiguo'!$AW$2:$AW$8,1),MATCH(AB$17,'aux antiguo'!$AX$1:$BA$1,0))*(1-$J$6),"No asegurable"),"No asegurable")),""))),"")</f>
        <v/>
      </c>
      <c r="AI24" s="109" t="n"/>
      <c r="AJ24" s="109" t="n"/>
      <c r="AK24" s="58" t="n"/>
      <c r="AL24" s="58" t="n"/>
      <c r="AM24" s="58" t="n"/>
      <c r="AN24" s="58" t="n"/>
      <c r="AO24" s="58" t="n"/>
      <c r="AP24" s="58" t="n"/>
      <c r="AQ24" s="58" t="n"/>
      <c r="AR24" s="58" t="n"/>
      <c r="AS24" s="58" t="n"/>
      <c r="AT24" s="58" t="n"/>
      <c r="AU24" s="58" t="n"/>
    </row>
    <row r="25" ht="32.25" customHeight="1" s="241">
      <c r="B25" s="234" t="inlineStr">
        <is>
          <t>Excepción Plena Extra</t>
        </is>
      </c>
      <c r="C25" s="234" t="n"/>
      <c r="D25" s="234" t="n"/>
      <c r="E25" s="234" t="n"/>
      <c r="F25" s="234">
        <f>IF(COUNTIF($H$6:$H$13,"&gt;64")&gt;0,IF(COUNTIF($H$6:$H$13,"&lt;60")&lt;3*COUNTIF($H$6:$H$13,"&gt;64"),-1,1),1)</f>
        <v/>
      </c>
      <c r="G25" s="234" t="n"/>
      <c r="H25" s="217">
        <f>IFERROR(VLOOKUP("No Asegurable",$S$19:$S$26,1,0),0)</f>
        <v/>
      </c>
      <c r="J25" s="234" t="n"/>
      <c r="K25" s="116" t="n">
        <v>7</v>
      </c>
      <c r="L25" s="48" t="n"/>
      <c r="M25" s="228">
        <f t="array" ref="M25">IFERROR(IF($H12="","",IF($F$16&gt;=0,IFERROR(INDEX('aux antiguo'!$B$2:$E$4,MATCH($H12,'aux antiguo'!$A$2:$A$4,1),MATCH(M$17,'aux antiguo'!$B$1:$E$1,0)),"No asegurable"),"No asegurable")),"")</f>
        <v/>
      </c>
      <c r="N25" s="228">
        <f t="array" ref="N25">IFERROR(IF($H12="","",IF($F$19&gt;=0,IFERROR(INDEX('aux antiguo'!$H$2:$K$8,MATCH($H12,'aux antiguo'!$G$2:$G$8,1),MATCH(N$17,'aux antiguo'!$H$1:$K$1,0))*(1-$J$6),"No asegurable"),"No asegurable")),"")</f>
        <v/>
      </c>
      <c r="O25" s="228">
        <f t="array" ref="O25">IFERROR(IF($H12="", "", 
    IF(AND($F$24&gt;=0, OR($J$6=0.01, $J$6=0.02, $J$6=0.03, $J$6=0.04, $J$6=0.05)),
        INDEX('aux antiguo'!$DA$2:$DD$7, 
               MATCH($H12, 'aux antiguo'!$CZ$2:$CZ$7, 1), 
               MATCH(O$17, 'aux antiguo'!$DA$1:$DD$1, 0)
        ) * (1 - ($J$6 * 2)),
        IF(AND($F$24&gt;=0, OR($J$6=0, $J$6&gt;=0.05)),
            INDEX('aux antiguo'!$DA$2:$DD$7, 
                   MATCH($H12, 'aux antiguo'!$CZ$2:$CZ$7, 1), 
                   MATCH(O$17, 'aux antiguo'!$DA$1:$DD$1, 0)
            ) * (1 - $J$6),
            "No asegurable"
        )
    )
),"")
</f>
        <v/>
      </c>
      <c r="P25" s="228">
        <f t="array" ref="P25">IFERROR(IF($H12="","",IF($F$20&gt;=0,IFERROR(INDEX('aux antiguo'!$N$2:$Q$8,MATCH($H12,'aux antiguo'!$M$2:$M$8,1),MATCH(P$17,'aux antiguo'!$N$1:$Q$1,0))*(1-$J$6),"No asegurable"),"No asegurable")),"")</f>
        <v/>
      </c>
      <c r="Q25" s="228">
        <f t="array" ref="Q25">IFERROR(IF($H12="","",IF($F$20&gt;=0,IFERROR(INDEX('aux antiguo'!$T$2:$W$8,MATCH($H12,'aux antiguo'!$S$2:$S$8,1),MATCH(Q$17,'aux antiguo'!$T$1:$W$1,0))*(1-$J$6),"No asegurable"),"No asegurable")),"")</f>
        <v/>
      </c>
      <c r="R25" s="228">
        <f t="array" ref="R25">IFERROR(IF($H12="", "", 
    IF(AND($F$24&gt;=0, OR($J$6=0.01, $J$6=0.02, $J$6=0.03, $J$6=0.04, $J$6=0.05)),
        INDEX('aux antiguo'!$Z$2:$AC$8, 
               MATCH($H12, 'aux antiguo'!$Y$2:$Y$8, 1), 
               MATCH(R$17, 'aux antiguo'!$Z$1:$AC$1, 0)
        ) * (1 - ($J$6 * 2)),
        IF(AND($F$24&gt;=0, OR($J$6=0, $J$6&gt;=0.05)),
            INDEX('aux antiguo'!$Z$2:$AC$8, 
                   MATCH($H12, 'aux antiguo'!$Y$2:$Y$8, 1), 
                   MATCH(R$17, 'aux antiguo'!$Z$1:$AC$1, 0)
            ) * (1 - $J$6),
            "No asegurable"
        )
    )
),"")
</f>
        <v/>
      </c>
      <c r="S25" s="228">
        <f t="array" ref="S25">IFERROR(IF($H12="","",IF($F$25&gt;=0,IFERROR(INDEX('aux antiguo'!$CU$2:$CX$8,MATCH($H12,'aux antiguo'!$CT$2:$CT$8,1),MATCH(S$17,'aux antiguo'!$CU$1:$CX$1,0))*(1-$J$6),"No asegurable"),"No asegurable")),"")</f>
        <v/>
      </c>
      <c r="T25" s="228">
        <f t="array" ref="T25">IFERROR(IF($H12="","",IF($F$17&gt;=0,IFERROR(INDEX('aux antiguo'!$BD$2:$BG$10,MATCH($H12,'aux antiguo'!$BC$2:$BC$10,1),MATCH(T$17,'aux antiguo'!$BD$1:$BG$1,0))*(1-$J$6),"No asegurable"),"No asegurable")),"")</f>
        <v/>
      </c>
      <c r="U25" s="228">
        <f t="array" ref="U25">IFERROR(IF($H12="", "", 
    IF(AND($F$23&gt;=0, OR($J$6=0.01, $J$6=0.02, $J$6=0.03, $J$6=0.04, $J$6=0.05)),
        INDEX('aux antiguo'!$BJ$2:$BM$8, 
               MATCH($H12, 'aux antiguo'!$BI$2:$BI$8, 1), 
               MATCH(U$17, 'aux antiguo'!$BJ$1:$BM$1, 0)
        ) * (1 - ($J$6 * 2)),
        IF(AND($F$23&gt;=0, OR($J$6=0, $J$6&gt;=0.05)),
            INDEX('aux antiguo'!$BJ$2:$BM$8, 
                   MATCH($H12, 'aux antiguo'!$BI$2:$BI$8, 1), 
                   MATCH(U$17, 'aux antiguo'!$BJ$1:$BM$1, 0)
            ) * (1 - $J$6),
            "No asegurable"
        )
    )
),"")
</f>
        <v/>
      </c>
      <c r="V25" s="228">
        <f t="array" ref="V25">IFERROR(IF($H12="","",IF($F$26&gt;=0,IFERROR(INDEX('aux antiguo'!$BZ$2:$CC$8,MATCH($H12,'aux antiguo'!$BY$2:$BY$8,1),MATCH(V$17,'aux antiguo'!$BZ$1:$CC$1,0))*(1-$J$6),"No asegurable"),"No asegurable")),"")</f>
        <v/>
      </c>
      <c r="W25" s="228">
        <f t="array" ref="W25">IFERROR(IF($H12="", "", 
    IF(AND($F$22&gt;=0, OR($J$6=0.01, $J$6=0.02, $J$6=0.03, $J$6=0.04, $J$6=0.05)),
        INDEX('aux antiguo'!$BT$11:$BW$15, 
               MATCH($H12, 'aux antiguo'!$BS$11:$BS$15, 1), 
               MATCH(W$17, 'aux antiguo'!$BT$10:$BW$10, 0)
        ) * (1 - ($J$6 * 2)),
        IF(AND($F$22&gt;=0, OR($J$6=0, $J$6&gt;=0.05)),
            INDEX('aux antiguo'!$BT$11:$BW$15, 
                   MATCH($H12, 'aux antiguo'!$BS$11:$BS$15, 1), 
                   MATCH(W$17, 'aux antiguo'!$BT$10:$BW$10, 0)
            ) * (1 - $J$6),
            "No asegurable"
        )
    )
),"")
</f>
        <v/>
      </c>
      <c r="X25" s="233">
        <f t="array" ref="X25">IFERROR(IF($H12="","",IF(OR($F$15=1,$F$15=2),IFERROR(IF($F$21&gt;=0,INDEX('aux antiguo'!$CF$2:$CI$8,MATCH($H12,'aux antiguo'!$CE$2:$CE$8,1),MATCH(X$17,'aux antiguo'!$CF$1:$CI$1,0))*(1-$J$6),"No asegurable"),""),IF($F$15&gt;=3,IFERROR(IF($F$21&gt;=0,INDEX('aux antiguo'!$CL$2:$CO$8, MATCH($H12, 'aux antiguo'!$CK$2:$CK$8, 1), MATCH(X$17, 'aux antiguo'!$CL$1:$CO$1, 0))*(1-$J$6),"No asegurable"),"")))),"")</f>
        <v/>
      </c>
      <c r="Y25" s="233">
        <f t="array" ref="Y25">IF($F$15&gt;4,"No asegurable",IFERROR(IF($H12="","",IF($F$26&gt;=0,IFERROR(INDEX('aux antiguo'!$AF$2:$AI$8,MATCH($H12,'aux antiguo'!$AE$2:$AE$8,1),MATCH(Y$17,'aux antiguo'!$AF$1:$AI$1,0))*(1-$J$6),"No asegurable"),"No asegurable")),""))</f>
        <v/>
      </c>
      <c r="Z25" s="233">
        <f t="array" ref="Z25">IF($F$15&gt;4,"No asegurable",IFERROR(IF($H12="","",IF($F$26&gt;=0,IFERROR(INDEX('aux antiguo'!$AL$2:$AO$8,MATCH($H12,'aux antiguo'!$AK$2:$AK$8,1),MATCH(Z$17,'aux antiguo'!$AL$1:$AO$1,0))*(1-$J$6),"No asegurable"),"No asegurable")),""))</f>
        <v/>
      </c>
      <c r="AA25" s="74">
        <f t="array" ref="AA25">IF(F12="","",IF($F$15&lt;5,"No asegurable",IFERROR(IF($H12="","",IF($F$26&gt;=0,IFERROR(INDEX('aux antiguo'!$AR$2:$AU$8,MATCH($H12,'aux antiguo'!$AQ$2:$AQ$8,1),MATCH(AA$17,'aux antiguo'!$AR$1:$AU$1,0))*(1-$J$6),"No asegurable"),"No asegurable")),"")))</f>
        <v/>
      </c>
      <c r="AB25" s="49">
        <f t="array" ref="AB25">IFERROR(IF(H12="","",IF($F$15&lt;5,"No asegurable",IFERROR(IF($H12="","",IF($F$26&gt;=0,IFERROR(INDEX('aux antiguo'!$AX$2:$BA$8,MATCH($H12,'aux antiguo'!$AW$2:$AW$8,1),MATCH(AB$17,'aux antiguo'!$AX$1:$BA$1,0))*(1-$J$6),"No asegurable"),"No asegurable")),""))),"")</f>
        <v/>
      </c>
      <c r="AI25" s="109" t="n"/>
      <c r="AJ25" s="109" t="n"/>
      <c r="AK25" s="58" t="n"/>
      <c r="AL25" s="58" t="n"/>
      <c r="AM25" s="58" t="n"/>
      <c r="AN25" s="58" t="n"/>
      <c r="AO25" s="58" t="n"/>
      <c r="AP25" s="58" t="n"/>
      <c r="AQ25" s="58" t="n"/>
      <c r="AR25" s="58" t="n"/>
      <c r="AS25" s="58" t="n"/>
      <c r="AT25" s="58" t="n"/>
      <c r="AU25" s="58" t="n"/>
    </row>
    <row r="26" ht="32.25" customHeight="1" s="241">
      <c r="B26" s="227" t="inlineStr">
        <is>
          <t>Excepción NIF</t>
        </is>
      </c>
      <c r="C26" s="234" t="n"/>
      <c r="D26" s="234" t="n"/>
      <c r="E26" s="234" t="n"/>
      <c r="F26" s="234">
        <f>IF(COUNTIF($H$6:$H$13,"&gt;69")&gt;0,IF(COUNTIF($H$6:$H$13,"&lt;60")&lt;3*COUNTIF($H$6:$H$13,"&gt;69"),-1,1),1)</f>
        <v/>
      </c>
      <c r="G26" s="234" t="n"/>
      <c r="H26" s="217">
        <f>IFERROR(VLOOKUP("No Asegurable",$V$19:$V$26,1,0),0)</f>
        <v/>
      </c>
      <c r="J26" s="234">
        <f>IF(COUNTIF($H$6:$H$13,"&gt;67")&gt;0,IF(COUNTIF($H$6:$H$13,"&lt;60")&lt;3*COUNTIF($H$6:$H$13,"&gt;67"),-1,1),1)</f>
        <v/>
      </c>
      <c r="K26" s="126" t="n">
        <v>8</v>
      </c>
      <c r="L26" s="128" t="n"/>
      <c r="M26" s="235">
        <f t="array" ref="M26">IFERROR(IF($H13="","",IF($F$16&gt;=0,IFERROR(INDEX('aux antiguo'!$B$2:$E$4,MATCH($H13,'aux antiguo'!$A$2:$A$4,1),MATCH(M$17,'aux antiguo'!$B$1:$E$1,0)),"No asegurable"),"No asegurable")),"")</f>
        <v/>
      </c>
      <c r="N26" s="235">
        <f t="array" ref="N26">IFERROR(IF($H13="","",IF($F$19&gt;=0,IFERROR(INDEX('aux antiguo'!$H$2:$K$8,MATCH($H13,'aux antiguo'!$G$2:$G$8,1),MATCH(N$17,'aux antiguo'!$H$1:$K$1,0))*(1-$J$6),"No asegurable"),"No asegurable")),"")</f>
        <v/>
      </c>
      <c r="O26" s="235">
        <f t="array" ref="O26">IFERROR(IF($H13="", "", 
    IF(AND($F$24&gt;=0, OR($J$6=0.01, $J$6=0.02, $J$6=0.03, $J$6=0.04, $J$6=0.05)),
        INDEX('aux antiguo'!$DA$2:$DD$7, 
               MATCH($H13, 'aux antiguo'!$CZ$2:$CZ$7, 1), 
               MATCH(O$17, 'aux antiguo'!$DA$1:$DD$1, 0)
        ) * (1 - ($J$6 * 2)),
        IF(AND($F$24&gt;=0, OR($J$6=0, $J$6&gt;=0.05)),
            INDEX('aux antiguo'!$DA$2:$DD$7, 
                   MATCH($H13, 'aux antiguo'!$CZ$2:$CZ$7, 1), 
                   MATCH(O$17, 'aux antiguo'!$DA$1:$DD$1, 0)
            ) * (1 - $J$6),
            "No asegurable"
        )
    )
),"")
</f>
        <v/>
      </c>
      <c r="P26" s="235">
        <f t="array" ref="P26">IFERROR(IF($H13="","",IF($F$20&gt;=0,IFERROR(INDEX('aux antiguo'!$N$2:$Q$8,MATCH($H13,'aux antiguo'!$M$2:$M$8,1),MATCH(P$17,'aux antiguo'!$N$1:$Q$1,0))*(1-$J$6),"No asegurable"),"No asegurable")),"")</f>
        <v/>
      </c>
      <c r="Q26" s="235">
        <f t="array" ref="Q26">IFERROR(IF($H13="","",IF($F$20&gt;=0,IFERROR(INDEX('aux antiguo'!$T$2:$W$8,MATCH($H13,'aux antiguo'!$S$2:$S$8,1),MATCH(Q$17,'aux antiguo'!$T$1:$W$1,0))*(1-$J$6),"No asegurable"),"No asegurable")),"")</f>
        <v/>
      </c>
      <c r="R26" s="235">
        <f t="array" ref="R26">IFERROR(IF($H13="", "", 
    IF(AND($F$24&gt;=0, OR($J$6=0.01, $J$6=0.02, $J$6=0.03, $J$6=0.04, $J$6=0.05)),
        INDEX('aux antiguo'!$Z$2:$AC$8, 
               MATCH($H13, 'aux antiguo'!$Y$2:$Y$8, 1), 
               MATCH(R$17, 'aux antiguo'!$Z$1:$AC$1, 0)
        ) * (1 - ($J$6 * 2)),
        IF(AND($F$24&gt;=0, OR($J$6=0, $J$6&gt;=0.05)),
            INDEX('aux antiguo'!$Z$2:$AC$8, 
                   MATCH($H13, 'aux antiguo'!$Y$2:$Y$8, 1), 
                   MATCH(R$17, 'aux antiguo'!$Z$1:$AC$1, 0)
            ) * (1 - $J$6),
            "No asegurable"
        )
    )
),"")
</f>
        <v/>
      </c>
      <c r="S26" s="235">
        <f t="array" ref="S26">IFERROR(IF($H13="","",IF($F$25&gt;=0,IFERROR(INDEX('aux antiguo'!$CU$2:$CX$8,MATCH($H13,'aux antiguo'!$CT$2:$CT$8,1),MATCH(S$17,'aux antiguo'!$CU$1:$CX$1,0))*(1-$J$6),"No asegurable"),"No asegurable")),"")</f>
        <v/>
      </c>
      <c r="T26" s="235">
        <f t="array" ref="T26">IFERROR(IF($H13="","",IF($F$17&gt;=0,IFERROR(INDEX('aux antiguo'!$BD$2:$BG$10,MATCH($H13,'aux antiguo'!$BC$2:$BC$10,1),MATCH(T$17,'aux antiguo'!$BD$1:$BG$1,0))*(1-$J$6),"No asegurable"),"No asegurable")),"")</f>
        <v/>
      </c>
      <c r="U26" s="235">
        <f t="array" ref="U26">IFERROR(IF($H13="", "", 
    IF(AND($F$23&gt;=0, OR($J$6=0.01, $J$6=0.02, $J$6=0.03, $J$6=0.04, $J$6=0.05)),
        INDEX('aux antiguo'!$BJ$2:$BM$8, 
               MATCH($H13, 'aux antiguo'!$BI$2:$BI$8, 1), 
               MATCH(U$17, 'aux antiguo'!$BJ$1:$BM$1, 0)
        ) * (1 - ($J$6 * 2)),
        IF(AND($F$23&gt;=0, OR($J$6=0, $J$6&gt;=0.05)),
            INDEX('aux antiguo'!$BJ$2:$BM$8, 
                   MATCH($H13, 'aux antiguo'!$BI$2:$BI$8, 1), 
                   MATCH(U$17, 'aux antiguo'!$BJ$1:$BM$1, 0)
            ) * (1 - $J$6),
            "No asegurable"
        )
    )
),"")
</f>
        <v/>
      </c>
      <c r="V26" s="235">
        <f t="array" ref="V26">IFERROR(IF($H13="","",IF($F$26&gt;=0,IFERROR(INDEX('aux antiguo'!$BZ$2:$CC$8,MATCH($H13,'aux antiguo'!$BY$2:$BY$8,1),MATCH(V$17,'aux antiguo'!$BZ$1:$CC$1,0))*(1-$J$6),"No asegurable"),"No asegurable")),"")</f>
        <v/>
      </c>
      <c r="W26" s="235">
        <f t="array" ref="W26">IFERROR(IF($H13="", "", 
    IF(AND($F$22&gt;=0, OR($J$6=0.01, $J$6=0.02, $J$6=0.03, $J$6=0.04, $J$6=0.05)),
        INDEX('aux antiguo'!$BT$11:$BW$15, 
               MATCH($H13, 'aux antiguo'!$BS$11:$BS$15, 1), 
               MATCH(W$17, 'aux antiguo'!$BT$10:$BW$10, 0)
        ) * (1 - ($J$6 * 2)),
        IF(AND($F$22&gt;=0, OR($J$6=0, $J$6&gt;=0.05)),
            INDEX('aux antiguo'!$BT$11:$BW$15, 
                   MATCH($H13, 'aux antiguo'!$BS$11:$BS$15, 1), 
                   MATCH(W$17, 'aux antiguo'!$BT$10:$BW$10, 0)
            ) * (1 - $J$6),
            "No asegurable"
        )
    )
),"")
</f>
        <v/>
      </c>
      <c r="X26" s="236">
        <f t="array" ref="X26">IFERROR(IF($H13="","",IF(OR($F$15=1,$F$15=2),IFERROR(IF($F$21&gt;=0,INDEX('aux antiguo'!$CF$2:$CI$8,MATCH($H13,'aux antiguo'!$CE$2:$CE$8,1),MATCH(X$17,'aux antiguo'!$CF$1:$CI$1,0))*(1-$J$6),"No asegurable"),""),IF($F$15&gt;=3,IFERROR(IF($F$21&gt;=0,INDEX('aux antiguo'!$CL$2:$CO$8, MATCH($H13, 'aux antiguo'!$CK$2:$CK$8, 1), MATCH(X$17, 'aux antiguo'!$CL$1:$CO$1, 0))*(1-$J$6),"No asegurable"),"")))),"")</f>
        <v/>
      </c>
      <c r="Y26" s="236">
        <f t="array" ref="Y26">IF($F$15&gt;4,"No asegurable",IFERROR(IF($H13="","",IF($F$26&gt;=0,IFERROR(INDEX('aux antiguo'!$AF$2:$AI$8,MATCH($H13,'aux antiguo'!$AE$2:$AE$8,1),MATCH(Y$17,'aux antiguo'!$AF$1:$AI$1,0))*(1-$J$6),"No asegurable"),"No asegurable")),""))</f>
        <v/>
      </c>
      <c r="Z26" s="236">
        <f t="array" ref="Z26">IF($F$15&gt;4,"No asegurable",IFERROR(IF($H13="","",IF($F$26&gt;=0,IFERROR(INDEX('aux antiguo'!$AL$2:$AO$8,MATCH($H13,'aux antiguo'!$AK$2:$AK$8,1),MATCH(Z$17,'aux antiguo'!$AL$1:$AO$1,0))*(1-$J$6),"No asegurable"),"No asegurable")),""))</f>
        <v/>
      </c>
      <c r="AA26" s="237">
        <f t="array" ref="AA26">IF(F13="","",IF($F$15&lt;5,"No asegurable",IFERROR(IF($H13="","",IF($F$26&gt;=0,IFERROR(INDEX('aux antiguo'!$AR$2:$AU$8,MATCH($H13,'aux antiguo'!$AQ$2:$AQ$8,1),MATCH(AA$17,'aux antiguo'!$AR$1:$AU$1,0))*(1-$J$6),"No asegurable"),"No asegurable")),"")))</f>
        <v/>
      </c>
      <c r="AB26" s="143">
        <f t="array" ref="AB26">IFERROR(IF(H13="","",IF($F$15&lt;5,"No asegurable",IFERROR(IF($H13="","",IF($F$26&gt;=0,IFERROR(INDEX('aux antiguo'!$AX$2:$BA$8,MATCH($H13,'aux antiguo'!$AW$2:$AW$8,1),MATCH(AB$17,'aux antiguo'!$AX$1:$BA$1,0))*(1-$J$6),"No asegurable"),"No asegurable")),""))),"")</f>
        <v/>
      </c>
      <c r="AI26" s="109" t="n"/>
      <c r="AJ26" s="109" t="n"/>
      <c r="AK26" s="58" t="n"/>
      <c r="AL26" s="58" t="n"/>
      <c r="AM26" s="58" t="n"/>
      <c r="AN26" s="58" t="n"/>
      <c r="AO26" s="58" t="n"/>
      <c r="AP26" s="58" t="n"/>
      <c r="AQ26" s="58" t="n"/>
      <c r="AR26" s="58" t="n"/>
      <c r="AS26" s="58" t="n"/>
      <c r="AT26" s="58" t="n"/>
      <c r="AU26" s="58" t="n"/>
    </row>
    <row r="27" ht="32.25" customHeight="1" s="241">
      <c r="B27" s="227" t="inlineStr">
        <is>
          <t>Excepción Empresas</t>
        </is>
      </c>
      <c r="C27" s="234" t="n"/>
      <c r="D27" s="234" t="n"/>
      <c r="E27" s="234" t="n"/>
      <c r="F27" s="234">
        <f>IF(COUNTIF($H$6:$H$13,"&gt;67")&gt;0,IF(COUNTIF($H$6:$H$13,"&lt;60")&lt;3*COUNTIF($H$6:$H$13,"&gt;67"),-1,1),1)</f>
        <v/>
      </c>
      <c r="G27" s="234" t="n"/>
      <c r="H27" s="217">
        <f>IFERROR(VLOOKUP("No Asegurable",$AA$19:$AA$26,1,0),0)</f>
        <v/>
      </c>
      <c r="J27" s="234">
        <f>IF(COUNTIF($H$6:$H$13,"&gt;67")&gt;0,IF(COUNTIF($H$6:$H$13,"&lt;60")&lt;3*COUNTIF($H$6:$H$13,"&gt;67"),-1,1),1)</f>
        <v/>
      </c>
      <c r="Z27" s="5" t="n"/>
      <c r="AA27" s="5" t="n"/>
      <c r="AB27" s="5" t="n"/>
      <c r="AI27" s="109" t="n"/>
      <c r="AJ27" s="109" t="n"/>
      <c r="AK27" s="58" t="n"/>
      <c r="AL27" s="58" t="n"/>
      <c r="AM27" s="58" t="n"/>
      <c r="AN27" s="58" t="n"/>
      <c r="AO27" s="58" t="n"/>
      <c r="AP27" s="58" t="n"/>
      <c r="AQ27" s="58" t="n"/>
      <c r="AR27" s="58" t="n"/>
      <c r="AS27" s="58" t="n"/>
      <c r="AT27" s="58" t="n"/>
      <c r="AU27" s="58" t="n"/>
    </row>
    <row r="28" ht="32.25" customHeight="1" s="241">
      <c r="B28" s="227" t="inlineStr">
        <is>
          <t>Excepción CIF</t>
        </is>
      </c>
      <c r="C28" s="234" t="n"/>
      <c r="D28" s="234" t="n"/>
      <c r="E28" s="234" t="n"/>
      <c r="F28" s="234">
        <f>IF(COUNTIF($H$6:$H$13,"&gt;67")&gt;0,IF(COUNTIF($H$6:$H$13,"&lt;60")&lt;3*COUNTIF($H$6:$H$13,"&gt;67"),-1,1),1)</f>
        <v/>
      </c>
      <c r="G28" s="234" t="n"/>
      <c r="H28" s="217">
        <f>IFERROR(VLOOKUP("No Asegurable",$Y$19:$Y$26,1,0),0)</f>
        <v/>
      </c>
      <c r="J28" s="234" t="n"/>
      <c r="Z28" s="5" t="n"/>
      <c r="AA28" s="5" t="n"/>
      <c r="AB28" s="5" t="n"/>
      <c r="AI28" s="109" t="n"/>
      <c r="AJ28" s="109" t="n"/>
      <c r="AK28" s="58" t="n"/>
      <c r="AL28" s="58" t="n"/>
      <c r="AM28" s="58" t="n"/>
      <c r="AN28" s="58" t="n"/>
      <c r="AO28" s="58" t="n"/>
      <c r="AP28" s="58" t="n"/>
      <c r="AQ28" s="58" t="n"/>
      <c r="AR28" s="58" t="n"/>
      <c r="AS28" s="58" t="n"/>
      <c r="AT28" s="58" t="n"/>
      <c r="AU28" s="58" t="n"/>
    </row>
    <row r="29" ht="34.5" customHeight="1" s="241">
      <c r="B29" s="227" t="inlineStr">
        <is>
          <t>Excepción Plena total vital</t>
        </is>
      </c>
      <c r="C29" s="217" t="n"/>
      <c r="D29" s="234" t="n"/>
      <c r="E29" s="234" t="n"/>
      <c r="F29" s="234">
        <f>IF(COUNTIF($H$6:$H$13,"&gt;62")&gt;0,IF(COUNTIF($H$6:$H$13,"&lt;60")&lt;3*COUNTIF($H$6:$H$13,"&gt;62"),-1,1),1)</f>
        <v/>
      </c>
      <c r="G29" s="234" t="n"/>
      <c r="H29" s="217">
        <f>IFERROR(VLOOKUP("No Asegurable",$O$19:$O$26,1,0),0)</f>
        <v/>
      </c>
      <c r="J29" s="234">
        <f>IF(COUNTIF($H$6:$H$13,"&gt;62")&gt;0,IF(COUNTIF($H$6:$H$13,"&lt;60")&lt;3*COUNTIF($H$6:$H$13,"&gt;62"),-1,1),1)</f>
        <v/>
      </c>
      <c r="T29" s="5" t="n"/>
      <c r="U29" s="5" t="n"/>
      <c r="W29" s="5" t="n"/>
      <c r="X29" s="5" t="n"/>
      <c r="Y29" s="5" t="n"/>
      <c r="Z29" s="5" t="n"/>
      <c r="AA29" s="5" t="n"/>
      <c r="AB29" s="5" t="n"/>
      <c r="AD29" s="5" t="n"/>
      <c r="AE29" s="5" t="n"/>
      <c r="AF29" s="5" t="n"/>
      <c r="AG29" s="125" t="n"/>
      <c r="AH29" s="125" t="n"/>
      <c r="AI29" s="5" t="n"/>
      <c r="AJ29" s="125" t="n"/>
      <c r="AK29" s="125" t="n"/>
    </row>
    <row r="30">
      <c r="B30" s="234" t="n"/>
      <c r="C30" s="234" t="n"/>
      <c r="D30" s="234" t="n"/>
      <c r="E30" s="234" t="n"/>
      <c r="F30" s="234" t="n"/>
      <c r="G30" s="234" t="n"/>
      <c r="H30" s="234" t="n"/>
      <c r="I30" s="234" t="n"/>
      <c r="J30" s="234" t="n"/>
      <c r="T30" s="5" t="n"/>
      <c r="U30" s="5" t="n"/>
      <c r="W30" s="5" t="n"/>
      <c r="X30" s="5" t="n"/>
      <c r="Y30" s="5" t="n"/>
      <c r="Z30" s="5" t="n"/>
      <c r="AA30" s="5" t="n"/>
      <c r="AB30" s="5" t="n"/>
      <c r="AD30" s="5" t="n"/>
      <c r="AE30" s="5" t="n"/>
      <c r="AF30" s="5" t="n"/>
      <c r="AG30" s="125" t="n"/>
      <c r="AH30" s="125" t="n"/>
      <c r="AI30" s="5" t="n"/>
      <c r="AJ30" s="125" t="n"/>
      <c r="AK30" s="125" t="n"/>
    </row>
    <row r="31">
      <c r="B31" s="234" t="n"/>
      <c r="C31" s="234" t="n"/>
      <c r="D31" s="234" t="n"/>
      <c r="E31" s="234" t="n"/>
      <c r="F31" s="234" t="n"/>
      <c r="G31" s="234" t="n"/>
      <c r="H31" s="234" t="n"/>
      <c r="I31" s="234" t="n"/>
      <c r="J31" s="234" t="n"/>
      <c r="T31" s="5" t="n"/>
      <c r="U31" s="5" t="n"/>
      <c r="W31" s="5" t="n"/>
      <c r="X31" s="5" t="n"/>
      <c r="Y31" s="5" t="n"/>
      <c r="Z31" s="5" t="n"/>
      <c r="AA31" s="5" t="n"/>
      <c r="AB31" s="5" t="n"/>
      <c r="AD31" s="5" t="n"/>
      <c r="AE31" s="5" t="n"/>
      <c r="AF31" s="5" t="n"/>
      <c r="AG31" s="125" t="n"/>
      <c r="AH31" s="125" t="n"/>
      <c r="AI31" s="5" t="n"/>
      <c r="AJ31" s="125" t="n"/>
      <c r="AK31" s="125" t="n"/>
    </row>
    <row r="32">
      <c r="B32" s="234" t="n"/>
      <c r="C32" s="234" t="n"/>
      <c r="D32" s="234" t="n"/>
      <c r="E32" s="234" t="n"/>
      <c r="F32" s="234" t="n"/>
      <c r="G32" s="234" t="n"/>
      <c r="H32" s="234" t="n"/>
      <c r="I32" s="234" t="n"/>
      <c r="J32" s="234" t="n"/>
      <c r="T32" s="5" t="n"/>
      <c r="U32" s="5" t="n"/>
      <c r="W32" s="5" t="n"/>
      <c r="X32" s="5" t="n"/>
      <c r="Y32" s="5" t="n"/>
      <c r="Z32" s="5" t="n"/>
      <c r="AA32" s="5" t="n"/>
      <c r="AB32" s="5" t="n"/>
      <c r="AD32" s="5" t="n"/>
      <c r="AE32" s="5" t="n"/>
      <c r="AF32" s="5" t="n"/>
      <c r="AG32" s="125" t="n"/>
      <c r="AH32" s="125" t="n"/>
      <c r="AI32" s="5" t="n"/>
      <c r="AJ32" s="125" t="n"/>
      <c r="AK32" s="125" t="n"/>
    </row>
    <row r="33">
      <c r="B33" s="234" t="n"/>
      <c r="C33" s="234" t="n"/>
      <c r="D33" s="234" t="n"/>
      <c r="E33" s="234" t="n"/>
      <c r="F33" s="234" t="n"/>
      <c r="G33" s="234" t="n"/>
      <c r="H33" s="234" t="n"/>
      <c r="I33" s="234" t="n"/>
      <c r="J33" s="234" t="n"/>
      <c r="T33" s="5" t="n"/>
      <c r="U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125" t="n"/>
      <c r="AH33" s="125" t="n"/>
      <c r="AI33" s="5" t="n"/>
      <c r="AJ33" s="125" t="n"/>
      <c r="AK33" s="125" t="n"/>
    </row>
    <row r="34">
      <c r="T34" s="5" t="n"/>
      <c r="U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125" t="n"/>
      <c r="AH34" s="125" t="n"/>
      <c r="AI34" s="5" t="n"/>
      <c r="AJ34" s="125" t="n"/>
      <c r="AK34" s="125" t="n"/>
    </row>
    <row r="35">
      <c r="T35" s="5" t="n"/>
      <c r="U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125" t="n"/>
      <c r="AH35" s="125" t="n"/>
      <c r="AI35" s="5" t="n"/>
      <c r="AJ35" s="125" t="n"/>
      <c r="AK35" s="125" t="n"/>
    </row>
    <row r="36"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125" t="n"/>
      <c r="AH36" s="125" t="n"/>
      <c r="AI36" s="5" t="n"/>
      <c r="AJ36" s="125" t="n"/>
      <c r="AK36" s="125" t="n"/>
    </row>
    <row r="37"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125" t="n"/>
      <c r="AH37" s="125" t="n"/>
      <c r="AI37" s="5" t="n"/>
      <c r="AJ37" s="125" t="n"/>
      <c r="AK37" s="125" t="n"/>
    </row>
    <row r="38"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125" t="n"/>
      <c r="AH38" s="125" t="n"/>
      <c r="AI38" s="5" t="n"/>
      <c r="AJ38" s="125" t="n"/>
      <c r="AK38" s="125" t="n"/>
    </row>
    <row r="39"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125" t="n"/>
      <c r="AH39" s="125" t="n"/>
      <c r="AI39" s="5" t="n"/>
      <c r="AJ39" s="125" t="n"/>
      <c r="AK39" s="125" t="n"/>
    </row>
    <row r="40"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125" t="n"/>
      <c r="AH40" s="125" t="n"/>
      <c r="AI40" s="5" t="n"/>
      <c r="AJ40" s="125" t="n"/>
      <c r="AK40" s="125" t="n"/>
    </row>
    <row r="41"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125" t="n"/>
      <c r="AH41" s="125" t="n"/>
      <c r="AI41" s="5" t="n"/>
      <c r="AJ41" s="125" t="n"/>
      <c r="AK41" s="125" t="n"/>
    </row>
    <row r="42"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125" t="n"/>
      <c r="AH42" s="125" t="n"/>
      <c r="AI42" s="5" t="n"/>
      <c r="AJ42" s="125" t="n"/>
      <c r="AK42" s="125" t="n"/>
    </row>
    <row r="43"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125" t="n"/>
      <c r="AH43" s="125" t="n"/>
      <c r="AI43" s="5" t="n"/>
      <c r="AJ43" s="125" t="n"/>
      <c r="AK43" s="125" t="n"/>
    </row>
    <row r="44"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125" t="n"/>
      <c r="AH44" s="125" t="n"/>
      <c r="AI44" s="5" t="n"/>
      <c r="AJ44" s="125" t="n"/>
      <c r="AK44" s="125" t="n"/>
    </row>
    <row r="45"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125" t="n"/>
      <c r="AH45" s="125" t="n"/>
      <c r="AI45" s="5" t="n"/>
      <c r="AJ45" s="125" t="n"/>
      <c r="AK45" s="125" t="n"/>
    </row>
    <row r="46"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125" t="n"/>
      <c r="AH46" s="125" t="n"/>
      <c r="AI46" s="5" t="n"/>
      <c r="AJ46" s="125" t="n"/>
      <c r="AK46" s="125" t="n"/>
    </row>
    <row r="47"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125" t="n"/>
      <c r="AH47" s="125" t="n"/>
      <c r="AI47" s="5" t="n"/>
      <c r="AJ47" s="125" t="n"/>
      <c r="AK47" s="125" t="n"/>
    </row>
    <row r="48"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125" t="n"/>
      <c r="AH48" s="125" t="n"/>
      <c r="AI48" s="5" t="n"/>
      <c r="AJ48" s="125" t="n"/>
      <c r="AK48" s="125" t="n"/>
    </row>
    <row r="49"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125" t="n"/>
      <c r="AH49" s="125" t="n"/>
      <c r="AI49" s="5" t="n"/>
      <c r="AJ49" s="125" t="n"/>
      <c r="AK49" s="125" t="n"/>
    </row>
    <row r="50"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125" t="n"/>
      <c r="AH50" s="125" t="n"/>
      <c r="AI50" s="5" t="n"/>
      <c r="AJ50" s="125" t="n"/>
      <c r="AK50" s="125" t="n"/>
    </row>
    <row r="51"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125" t="n"/>
      <c r="AH51" s="125" t="n"/>
      <c r="AI51" s="5" t="n"/>
      <c r="AJ51" s="125" t="n"/>
      <c r="AK51" s="125" t="n"/>
    </row>
    <row r="52"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125" t="n"/>
      <c r="AH52" s="125" t="n"/>
      <c r="AI52" s="5" t="n"/>
      <c r="AJ52" s="125" t="n"/>
      <c r="AK52" s="125" t="n"/>
    </row>
    <row r="53"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125" t="n"/>
      <c r="AH53" s="125" t="n"/>
      <c r="AI53" s="5" t="n"/>
      <c r="AJ53" s="125" t="n"/>
      <c r="AK53" s="125" t="n"/>
    </row>
    <row r="54"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125" t="n"/>
      <c r="AH54" s="125" t="n"/>
      <c r="AI54" s="5" t="n"/>
      <c r="AJ54" s="125" t="n"/>
      <c r="AK54" s="125" t="n"/>
    </row>
    <row r="55"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125" t="n"/>
      <c r="AH55" s="125" t="n"/>
      <c r="AI55" s="5" t="n"/>
      <c r="AJ55" s="125" t="n"/>
      <c r="AK55" s="125" t="n"/>
    </row>
    <row r="56"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125" t="n"/>
      <c r="AH56" s="125" t="n"/>
      <c r="AI56" s="5" t="n"/>
      <c r="AJ56" s="125" t="n"/>
      <c r="AK56" s="125" t="n"/>
    </row>
    <row r="57"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125" t="n"/>
      <c r="AH57" s="125" t="n"/>
      <c r="AI57" s="5" t="n"/>
      <c r="AJ57" s="125" t="n"/>
      <c r="AK57" s="125" t="n"/>
    </row>
    <row r="58"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125" t="n"/>
      <c r="AH58" s="125" t="n"/>
      <c r="AI58" s="5" t="n"/>
      <c r="AJ58" s="125" t="n"/>
      <c r="AK58" s="125" t="n"/>
    </row>
    <row r="59"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125" t="n"/>
      <c r="AH59" s="125" t="n"/>
      <c r="AI59" s="5" t="n"/>
      <c r="AJ59" s="125" t="n"/>
      <c r="AK59" s="125" t="n"/>
    </row>
    <row r="60"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125" t="n"/>
      <c r="AH60" s="125" t="n"/>
      <c r="AI60" s="5" t="n"/>
      <c r="AJ60" s="125" t="n"/>
      <c r="AK60" s="125" t="n"/>
    </row>
    <row r="61"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125" t="n"/>
      <c r="AH61" s="125" t="n"/>
      <c r="AI61" s="5" t="n"/>
      <c r="AJ61" s="125" t="n"/>
      <c r="AK61" s="125" t="n"/>
    </row>
    <row r="62"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125" t="n"/>
      <c r="AH62" s="125" t="n"/>
      <c r="AI62" s="5" t="n"/>
      <c r="AJ62" s="125" t="n"/>
      <c r="AK62" s="125" t="n"/>
    </row>
    <row r="63"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125" t="n"/>
      <c r="AH63" s="125" t="n"/>
      <c r="AI63" s="5" t="n"/>
      <c r="AJ63" s="125" t="n"/>
      <c r="AK63" s="125" t="n"/>
    </row>
    <row r="64"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125" t="n"/>
      <c r="AH64" s="125" t="n"/>
      <c r="AI64" s="5" t="n"/>
      <c r="AJ64" s="125" t="n"/>
      <c r="AK64" s="125" t="n"/>
    </row>
    <row r="65"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125" t="n"/>
      <c r="AH65" s="125" t="n"/>
      <c r="AI65" s="5" t="n"/>
      <c r="AJ65" s="125" t="n"/>
      <c r="AK65" s="125" t="n"/>
    </row>
    <row r="66"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125" t="n"/>
      <c r="AH66" s="125" t="n"/>
      <c r="AI66" s="5" t="n"/>
      <c r="AJ66" s="125" t="n"/>
      <c r="AK66" s="125" t="n"/>
    </row>
    <row r="67"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125" t="n"/>
      <c r="AH67" s="125" t="n"/>
      <c r="AI67" s="5" t="n"/>
      <c r="AJ67" s="125" t="n"/>
      <c r="AK67" s="125" t="n"/>
    </row>
    <row r="68"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125" t="n"/>
      <c r="AH68" s="125" t="n"/>
      <c r="AI68" s="5" t="n"/>
      <c r="AJ68" s="125" t="n"/>
      <c r="AK68" s="125" t="n"/>
    </row>
    <row r="69"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125" t="n"/>
      <c r="AH69" s="125" t="n"/>
      <c r="AI69" s="5" t="n"/>
      <c r="AJ69" s="125" t="n"/>
      <c r="AK69" s="125" t="n"/>
    </row>
    <row r="70"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125" t="n"/>
      <c r="AH70" s="125" t="n"/>
      <c r="AI70" s="5" t="n"/>
      <c r="AJ70" s="125" t="n"/>
      <c r="AK70" s="125" t="n"/>
    </row>
    <row r="71"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125" t="n"/>
      <c r="AH71" s="125" t="n"/>
      <c r="AI71" s="5" t="n"/>
      <c r="AJ71" s="125" t="n"/>
      <c r="AK71" s="125" t="n"/>
    </row>
    <row r="72"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125" t="n"/>
      <c r="AH72" s="125" t="n"/>
      <c r="AI72" s="5" t="n"/>
      <c r="AJ72" s="125" t="n"/>
      <c r="AK72" s="125" t="n"/>
    </row>
    <row r="73"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125" t="n"/>
      <c r="AH73" s="125" t="n"/>
      <c r="AI73" s="5" t="n"/>
      <c r="AJ73" s="125" t="n"/>
      <c r="AK73" s="125" t="n"/>
    </row>
    <row r="74"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125" t="n"/>
      <c r="AH74" s="125" t="n"/>
      <c r="AI74" s="5" t="n"/>
      <c r="AJ74" s="125" t="n"/>
      <c r="AK74" s="125" t="n"/>
    </row>
    <row r="75"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125" t="n"/>
      <c r="AH75" s="125" t="n"/>
      <c r="AI75" s="5" t="n"/>
      <c r="AJ75" s="125" t="n"/>
      <c r="AK75" s="125" t="n"/>
    </row>
    <row r="76"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125" t="n"/>
      <c r="AH76" s="125" t="n"/>
      <c r="AI76" s="5" t="n"/>
      <c r="AJ76" s="125" t="n"/>
      <c r="AK76" s="125" t="n"/>
    </row>
    <row r="77"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125" t="n"/>
      <c r="AH77" s="125" t="n"/>
      <c r="AI77" s="5" t="n"/>
      <c r="AJ77" s="125" t="n"/>
      <c r="AK77" s="125" t="n"/>
    </row>
    <row r="78"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125" t="n"/>
      <c r="AH78" s="125" t="n"/>
      <c r="AI78" s="5" t="n"/>
      <c r="AJ78" s="125" t="n"/>
      <c r="AK78" s="125" t="n"/>
    </row>
    <row r="79"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125" t="n"/>
      <c r="AH79" s="125" t="n"/>
      <c r="AI79" s="5" t="n"/>
      <c r="AJ79" s="125" t="n"/>
      <c r="AK79" s="125" t="n"/>
    </row>
    <row r="80"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125" t="n"/>
      <c r="AH80" s="125" t="n"/>
      <c r="AI80" s="5" t="n"/>
      <c r="AJ80" s="125" t="n"/>
      <c r="AK80" s="125" t="n"/>
    </row>
    <row r="81"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125" t="n"/>
      <c r="AH81" s="125" t="n"/>
      <c r="AI81" s="5" t="n"/>
      <c r="AJ81" s="125" t="n"/>
      <c r="AK81" s="125" t="n"/>
    </row>
    <row r="82"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125" t="n"/>
      <c r="AH82" s="125" t="n"/>
      <c r="AI82" s="5" t="n"/>
      <c r="AJ82" s="125" t="n"/>
      <c r="AK82" s="125" t="n"/>
    </row>
    <row r="83"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125" t="n"/>
      <c r="AH83" s="125" t="n"/>
      <c r="AI83" s="5" t="n"/>
      <c r="AJ83" s="125" t="n"/>
      <c r="AK83" s="125" t="n"/>
    </row>
    <row r="84"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125" t="n"/>
      <c r="AH84" s="125" t="n"/>
      <c r="AI84" s="5" t="n"/>
      <c r="AJ84" s="125" t="n"/>
      <c r="AK84" s="125" t="n"/>
    </row>
    <row r="85"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125" t="n"/>
      <c r="AH85" s="125" t="n"/>
      <c r="AI85" s="5" t="n"/>
      <c r="AJ85" s="125" t="n"/>
      <c r="AK85" s="125" t="n"/>
    </row>
    <row r="86"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125" t="n"/>
      <c r="AH86" s="125" t="n"/>
      <c r="AI86" s="5" t="n"/>
      <c r="AJ86" s="125" t="n"/>
      <c r="AK86" s="125" t="n"/>
    </row>
    <row r="87"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125" t="n"/>
      <c r="AH87" s="125" t="n"/>
      <c r="AI87" s="5" t="n"/>
      <c r="AJ87" s="125" t="n"/>
      <c r="AK87" s="125" t="n"/>
    </row>
    <row r="88"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125" t="n"/>
      <c r="AH88" s="125" t="n"/>
      <c r="AI88" s="5" t="n"/>
      <c r="AJ88" s="125" t="n"/>
      <c r="AK88" s="125" t="n"/>
    </row>
    <row r="89"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125" t="n"/>
      <c r="AH89" s="125" t="n"/>
      <c r="AI89" s="5" t="n"/>
      <c r="AJ89" s="125" t="n"/>
      <c r="AK89" s="125" t="n"/>
    </row>
    <row r="90"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125" t="n"/>
      <c r="AH90" s="125" t="n"/>
      <c r="AI90" s="5" t="n"/>
      <c r="AJ90" s="125" t="n"/>
      <c r="AK90" s="125" t="n"/>
    </row>
    <row r="91"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125" t="n"/>
      <c r="AH91" s="125" t="n"/>
      <c r="AI91" s="5" t="n"/>
      <c r="AJ91" s="125" t="n"/>
      <c r="AK91" s="125" t="n"/>
    </row>
    <row r="92"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125" t="n"/>
      <c r="AH92" s="125" t="n"/>
      <c r="AI92" s="5" t="n"/>
      <c r="AJ92" s="125" t="n"/>
      <c r="AK92" s="125" t="n"/>
    </row>
    <row r="93"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125" t="n"/>
      <c r="AH93" s="125" t="n"/>
      <c r="AI93" s="5" t="n"/>
      <c r="AJ93" s="125" t="n"/>
      <c r="AK93" s="125" t="n"/>
    </row>
    <row r="94"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125" t="n"/>
      <c r="AH94" s="125" t="n"/>
      <c r="AI94" s="5" t="n"/>
      <c r="AJ94" s="125" t="n"/>
      <c r="AK94" s="125" t="n"/>
    </row>
    <row r="95"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125" t="n"/>
      <c r="AH95" s="125" t="n"/>
      <c r="AI95" s="5" t="n"/>
      <c r="AJ95" s="125" t="n"/>
      <c r="AK95" s="125" t="n"/>
    </row>
    <row r="96"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125" t="n"/>
      <c r="AH96" s="125" t="n"/>
      <c r="AI96" s="5" t="n"/>
      <c r="AJ96" s="125" t="n"/>
      <c r="AK96" s="125" t="n"/>
    </row>
    <row r="97"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125" t="n"/>
      <c r="AH97" s="125" t="n"/>
      <c r="AI97" s="5" t="n"/>
      <c r="AJ97" s="125" t="n"/>
      <c r="AK97" s="125" t="n"/>
    </row>
    <row r="98"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125" t="n"/>
      <c r="AH98" s="125" t="n"/>
      <c r="AI98" s="5" t="n"/>
      <c r="AJ98" s="125" t="n"/>
      <c r="AK98" s="125" t="n"/>
    </row>
    <row r="99"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125" t="n"/>
      <c r="AH99" s="125" t="n"/>
      <c r="AI99" s="5" t="n"/>
      <c r="AJ99" s="125" t="n"/>
      <c r="AK99" s="125" t="n"/>
    </row>
    <row r="100"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125" t="n"/>
      <c r="AH100" s="125" t="n"/>
      <c r="AI100" s="5" t="n"/>
      <c r="AJ100" s="125" t="n"/>
      <c r="AK100" s="125" t="n"/>
    </row>
    <row r="101"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125" t="n"/>
      <c r="AH101" s="125" t="n"/>
      <c r="AI101" s="5" t="n"/>
      <c r="AJ101" s="125" t="n"/>
      <c r="AK101" s="125" t="n"/>
    </row>
    <row r="102"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125" t="n"/>
      <c r="AH102" s="125" t="n"/>
      <c r="AI102" s="5" t="n"/>
      <c r="AJ102" s="125" t="n"/>
      <c r="AK102" s="125" t="n"/>
    </row>
    <row r="103"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125" t="n"/>
      <c r="AH103" s="125" t="n"/>
      <c r="AI103" s="5" t="n"/>
      <c r="AJ103" s="125" t="n"/>
      <c r="AK103" s="125" t="n"/>
    </row>
    <row r="104"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125" t="n"/>
      <c r="AH104" s="125" t="n"/>
      <c r="AI104" s="5" t="n"/>
      <c r="AJ104" s="125" t="n"/>
      <c r="AK104" s="125" t="n"/>
    </row>
    <row r="105"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125" t="n"/>
      <c r="AH105" s="125" t="n"/>
      <c r="AI105" s="5" t="n"/>
      <c r="AJ105" s="125" t="n"/>
      <c r="AK105" s="125" t="n"/>
    </row>
    <row r="106"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125" t="n"/>
      <c r="AH106" s="125" t="n"/>
      <c r="AI106" s="5" t="n"/>
      <c r="AJ106" s="125" t="n"/>
      <c r="AK106" s="125" t="n"/>
    </row>
    <row r="107"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125" t="n"/>
      <c r="AH107" s="125" t="n"/>
      <c r="AI107" s="5" t="n"/>
      <c r="AJ107" s="125" t="n"/>
      <c r="AK107" s="125" t="n"/>
    </row>
    <row r="108"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125" t="n"/>
      <c r="AH108" s="125" t="n"/>
      <c r="AI108" s="5" t="n"/>
      <c r="AJ108" s="125" t="n"/>
      <c r="AK108" s="125" t="n"/>
    </row>
    <row r="109"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125" t="n"/>
      <c r="AH109" s="125" t="n"/>
      <c r="AI109" s="5" t="n"/>
      <c r="AJ109" s="125" t="n"/>
      <c r="AK109" s="125" t="n"/>
    </row>
    <row r="110"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125" t="n"/>
      <c r="AH110" s="125" t="n"/>
      <c r="AI110" s="5" t="n"/>
      <c r="AJ110" s="125" t="n"/>
      <c r="AK110" s="125" t="n"/>
    </row>
    <row r="111"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125" t="n"/>
      <c r="AH111" s="125" t="n"/>
      <c r="AI111" s="5" t="n"/>
      <c r="AJ111" s="125" t="n"/>
      <c r="AK111" s="125" t="n"/>
    </row>
    <row r="112"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125" t="n"/>
      <c r="AH112" s="125" t="n"/>
      <c r="AI112" s="5" t="n"/>
      <c r="AJ112" s="125" t="n"/>
      <c r="AK112" s="125" t="n"/>
    </row>
    <row r="113"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125" t="n"/>
      <c r="AH113" s="125" t="n"/>
      <c r="AI113" s="5" t="n"/>
      <c r="AJ113" s="125" t="n"/>
      <c r="AK113" s="125" t="n"/>
    </row>
    <row r="114"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125" t="n"/>
      <c r="AH114" s="125" t="n"/>
      <c r="AI114" s="5" t="n"/>
      <c r="AJ114" s="125" t="n"/>
      <c r="AK114" s="125" t="n"/>
    </row>
    <row r="115"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125" t="n"/>
      <c r="AH115" s="125" t="n"/>
      <c r="AI115" s="5" t="n"/>
      <c r="AJ115" s="125" t="n"/>
      <c r="AK115" s="125" t="n"/>
    </row>
    <row r="116"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125" t="n"/>
      <c r="AH116" s="125" t="n"/>
      <c r="AI116" s="5" t="n"/>
      <c r="AJ116" s="125" t="n"/>
      <c r="AK116" s="125" t="n"/>
    </row>
    <row r="117"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125" t="n"/>
      <c r="AH117" s="125" t="n"/>
      <c r="AI117" s="5" t="n"/>
      <c r="AJ117" s="125" t="n"/>
      <c r="AK117" s="125" t="n"/>
    </row>
    <row r="118"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125" t="n"/>
      <c r="AH118" s="125" t="n"/>
      <c r="AI118" s="5" t="n"/>
      <c r="AJ118" s="125" t="n"/>
      <c r="AK118" s="125" t="n"/>
    </row>
    <row r="119"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125" t="n"/>
      <c r="AH119" s="125" t="n"/>
      <c r="AI119" s="5" t="n"/>
      <c r="AJ119" s="125" t="n"/>
      <c r="AK119" s="125" t="n"/>
    </row>
    <row r="120"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125" t="n"/>
      <c r="AH120" s="125" t="n"/>
      <c r="AI120" s="5" t="n"/>
      <c r="AJ120" s="125" t="n"/>
      <c r="AK120" s="125" t="n"/>
    </row>
    <row r="121"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125" t="n"/>
      <c r="AH121" s="125" t="n"/>
      <c r="AI121" s="5" t="n"/>
      <c r="AJ121" s="125" t="n"/>
      <c r="AK121" s="125" t="n"/>
    </row>
    <row r="122"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125" t="n"/>
      <c r="AH122" s="125" t="n"/>
      <c r="AI122" s="5" t="n"/>
      <c r="AJ122" s="125" t="n"/>
      <c r="AK122" s="125" t="n"/>
    </row>
    <row r="123"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125" t="n"/>
      <c r="AH123" s="125" t="n"/>
      <c r="AI123" s="5" t="n"/>
      <c r="AJ123" s="125" t="n"/>
      <c r="AK123" s="125" t="n"/>
    </row>
    <row r="124"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125" t="n"/>
      <c r="AH124" s="125" t="n"/>
      <c r="AI124" s="5" t="n"/>
      <c r="AJ124" s="125" t="n"/>
      <c r="AK124" s="125" t="n"/>
    </row>
    <row r="125"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125" t="n"/>
      <c r="AH125" s="125" t="n"/>
      <c r="AI125" s="5" t="n"/>
      <c r="AJ125" s="125" t="n"/>
      <c r="AK125" s="125" t="n"/>
    </row>
    <row r="126"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125" t="n"/>
      <c r="AH126" s="125" t="n"/>
      <c r="AI126" s="5" t="n"/>
      <c r="AJ126" s="125" t="n"/>
      <c r="AK126" s="125" t="n"/>
    </row>
    <row r="127"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125" t="n"/>
      <c r="AH127" s="125" t="n"/>
      <c r="AI127" s="5" t="n"/>
      <c r="AJ127" s="125" t="n"/>
      <c r="AK127" s="125" t="n"/>
    </row>
    <row r="128"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125" t="n"/>
      <c r="AH128" s="125" t="n"/>
      <c r="AI128" s="5" t="n"/>
      <c r="AJ128" s="125" t="n"/>
      <c r="AK128" s="125" t="n"/>
    </row>
    <row r="129"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125" t="n"/>
      <c r="AH129" s="125" t="n"/>
      <c r="AI129" s="5" t="n"/>
      <c r="AJ129" s="125" t="n"/>
      <c r="AK129" s="125" t="n"/>
    </row>
    <row r="130"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125" t="n"/>
      <c r="AH130" s="125" t="n"/>
      <c r="AI130" s="5" t="n"/>
      <c r="AJ130" s="125" t="n"/>
      <c r="AK130" s="125" t="n"/>
    </row>
    <row r="131"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125" t="n"/>
      <c r="AH131" s="125" t="n"/>
      <c r="AI131" s="5" t="n"/>
      <c r="AJ131" s="125" t="n"/>
      <c r="AK131" s="125" t="n"/>
    </row>
    <row r="132"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125" t="n"/>
      <c r="AH132" s="125" t="n"/>
      <c r="AI132" s="5" t="n"/>
      <c r="AJ132" s="125" t="n"/>
      <c r="AK132" s="125" t="n"/>
    </row>
    <row r="133"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125" t="n"/>
      <c r="AH133" s="125" t="n"/>
      <c r="AI133" s="5" t="n"/>
      <c r="AJ133" s="125" t="n"/>
      <c r="AK133" s="125" t="n"/>
    </row>
    <row r="134"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125" t="n"/>
      <c r="AH134" s="125" t="n"/>
      <c r="AI134" s="5" t="n"/>
      <c r="AJ134" s="125" t="n"/>
      <c r="AK134" s="125" t="n"/>
    </row>
    <row r="135"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125" t="n"/>
      <c r="AH135" s="125" t="n"/>
      <c r="AI135" s="5" t="n"/>
      <c r="AJ135" s="125" t="n"/>
      <c r="AK135" s="125" t="n"/>
    </row>
    <row r="136"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125" t="n"/>
      <c r="AH136" s="125" t="n"/>
      <c r="AI136" s="5" t="n"/>
      <c r="AJ136" s="125" t="n"/>
      <c r="AK136" s="125" t="n"/>
    </row>
    <row r="137"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125" t="n"/>
      <c r="AH137" s="125" t="n"/>
      <c r="AI137" s="5" t="n"/>
      <c r="AJ137" s="125" t="n"/>
      <c r="AK137" s="125" t="n"/>
    </row>
    <row r="138"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125" t="n"/>
      <c r="AH138" s="125" t="n"/>
      <c r="AI138" s="5" t="n"/>
      <c r="AJ138" s="125" t="n"/>
      <c r="AK138" s="125" t="n"/>
    </row>
    <row r="139"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125" t="n"/>
      <c r="AH139" s="125" t="n"/>
      <c r="AI139" s="5" t="n"/>
      <c r="AJ139" s="125" t="n"/>
      <c r="AK139" s="125" t="n"/>
    </row>
    <row r="140"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125" t="n"/>
      <c r="AH140" s="125" t="n"/>
      <c r="AI140" s="5" t="n"/>
      <c r="AJ140" s="125" t="n"/>
      <c r="AK140" s="125" t="n"/>
    </row>
    <row r="141"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125" t="n"/>
      <c r="AH141" s="125" t="n"/>
      <c r="AI141" s="5" t="n"/>
      <c r="AJ141" s="125" t="n"/>
      <c r="AK141" s="125" t="n"/>
    </row>
    <row r="142"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125" t="n"/>
      <c r="AH142" s="125" t="n"/>
      <c r="AI142" s="5" t="n"/>
      <c r="AJ142" s="125" t="n"/>
      <c r="AK142" s="125" t="n"/>
    </row>
    <row r="143"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125" t="n"/>
      <c r="AH143" s="125" t="n"/>
      <c r="AI143" s="5" t="n"/>
      <c r="AJ143" s="125" t="n"/>
      <c r="AK143" s="125" t="n"/>
    </row>
    <row r="144"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125" t="n"/>
      <c r="AH144" s="125" t="n"/>
      <c r="AI144" s="5" t="n"/>
      <c r="AJ144" s="125" t="n"/>
      <c r="AK144" s="125" t="n"/>
    </row>
    <row r="145"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125" t="n"/>
      <c r="AH145" s="125" t="n"/>
      <c r="AI145" s="5" t="n"/>
      <c r="AJ145" s="125" t="n"/>
      <c r="AK145" s="125" t="n"/>
    </row>
    <row r="146"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125" t="n"/>
      <c r="AH146" s="125" t="n"/>
      <c r="AI146" s="5" t="n"/>
      <c r="AJ146" s="125" t="n"/>
      <c r="AK146" s="125" t="n"/>
    </row>
    <row r="147"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125" t="n"/>
      <c r="AH147" s="125" t="n"/>
      <c r="AI147" s="5" t="n"/>
      <c r="AJ147" s="125" t="n"/>
      <c r="AK147" s="125" t="n"/>
    </row>
    <row r="148"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125" t="n"/>
      <c r="AH148" s="125" t="n"/>
      <c r="AI148" s="5" t="n"/>
      <c r="AJ148" s="125" t="n"/>
      <c r="AK148" s="125" t="n"/>
    </row>
    <row r="149"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125" t="n"/>
      <c r="AH149" s="125" t="n"/>
      <c r="AI149" s="5" t="n"/>
      <c r="AJ149" s="125" t="n"/>
      <c r="AK149" s="125" t="n"/>
    </row>
    <row r="150"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125" t="n"/>
      <c r="AH150" s="125" t="n"/>
      <c r="AI150" s="5" t="n"/>
      <c r="AJ150" s="125" t="n"/>
      <c r="AK150" s="125" t="n"/>
    </row>
    <row r="151"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125" t="n"/>
      <c r="AH151" s="125" t="n"/>
      <c r="AI151" s="5" t="n"/>
      <c r="AJ151" s="125" t="n"/>
      <c r="AK151" s="125" t="n"/>
    </row>
    <row r="152"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125" t="n"/>
      <c r="AH152" s="125" t="n"/>
      <c r="AI152" s="5" t="n"/>
      <c r="AJ152" s="125" t="n"/>
      <c r="AK152" s="125" t="n"/>
    </row>
    <row r="153"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125" t="n"/>
      <c r="AH153" s="125" t="n"/>
      <c r="AI153" s="5" t="n"/>
      <c r="AJ153" s="125" t="n"/>
      <c r="AK153" s="125" t="n"/>
    </row>
    <row r="154"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125" t="n"/>
      <c r="AH154" s="125" t="n"/>
      <c r="AI154" s="5" t="n"/>
      <c r="AJ154" s="125" t="n"/>
      <c r="AK154" s="125" t="n"/>
    </row>
    <row r="155"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125" t="n"/>
      <c r="AH155" s="125" t="n"/>
      <c r="AI155" s="5" t="n"/>
      <c r="AJ155" s="125" t="n"/>
      <c r="AK155" s="125" t="n"/>
    </row>
    <row r="156"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125" t="n"/>
      <c r="AH156" s="125" t="n"/>
      <c r="AI156" s="5" t="n"/>
      <c r="AJ156" s="125" t="n"/>
      <c r="AK156" s="125" t="n"/>
    </row>
    <row r="157"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125" t="n"/>
      <c r="AH157" s="125" t="n"/>
      <c r="AI157" s="5" t="n"/>
      <c r="AJ157" s="125" t="n"/>
      <c r="AK157" s="125" t="n"/>
    </row>
    <row r="158"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125" t="n"/>
      <c r="AH158" s="125" t="n"/>
      <c r="AI158" s="5" t="n"/>
      <c r="AJ158" s="125" t="n"/>
      <c r="AK158" s="125" t="n"/>
    </row>
    <row r="159"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125" t="n"/>
      <c r="AH159" s="125" t="n"/>
      <c r="AI159" s="5" t="n"/>
      <c r="AJ159" s="125" t="n"/>
      <c r="AK159" s="125" t="n"/>
    </row>
    <row r="160"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125" t="n"/>
      <c r="AH160" s="125" t="n"/>
      <c r="AI160" s="5" t="n"/>
      <c r="AJ160" s="125" t="n"/>
      <c r="AK160" s="125" t="n"/>
    </row>
    <row r="161"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125" t="n"/>
      <c r="AH161" s="125" t="n"/>
      <c r="AI161" s="5" t="n"/>
      <c r="AJ161" s="125" t="n"/>
      <c r="AK161" s="125" t="n"/>
    </row>
    <row r="162"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125" t="n"/>
      <c r="AH162" s="125" t="n"/>
      <c r="AI162" s="5" t="n"/>
      <c r="AJ162" s="125" t="n"/>
      <c r="AK162" s="125" t="n"/>
    </row>
    <row r="163"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125" t="n"/>
      <c r="AH163" s="125" t="n"/>
      <c r="AI163" s="5" t="n"/>
      <c r="AJ163" s="125" t="n"/>
      <c r="AK163" s="125" t="n"/>
    </row>
    <row r="164"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125" t="n"/>
      <c r="AH164" s="125" t="n"/>
      <c r="AI164" s="5" t="n"/>
      <c r="AJ164" s="125" t="n"/>
      <c r="AK164" s="125" t="n"/>
    </row>
    <row r="165"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125" t="n"/>
      <c r="AH165" s="125" t="n"/>
      <c r="AI165" s="5" t="n"/>
      <c r="AJ165" s="125" t="n"/>
      <c r="AK165" s="125" t="n"/>
    </row>
    <row r="166"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125" t="n"/>
      <c r="AH166" s="125" t="n"/>
      <c r="AI166" s="5" t="n"/>
      <c r="AJ166" s="125" t="n"/>
      <c r="AK166" s="125" t="n"/>
    </row>
    <row r="167"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125" t="n"/>
      <c r="AH167" s="125" t="n"/>
      <c r="AI167" s="5" t="n"/>
      <c r="AJ167" s="125" t="n"/>
      <c r="AK167" s="125" t="n"/>
    </row>
    <row r="168"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125" t="n"/>
      <c r="AH168" s="125" t="n"/>
      <c r="AI168" s="5" t="n"/>
      <c r="AJ168" s="125" t="n"/>
      <c r="AK168" s="125" t="n"/>
    </row>
    <row r="169"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125" t="n"/>
      <c r="AH169" s="125" t="n"/>
      <c r="AI169" s="5" t="n"/>
      <c r="AJ169" s="125" t="n"/>
      <c r="AK169" s="125" t="n"/>
    </row>
    <row r="170"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125" t="n"/>
      <c r="AH170" s="125" t="n"/>
      <c r="AI170" s="5" t="n"/>
      <c r="AJ170" s="125" t="n"/>
      <c r="AK170" s="125" t="n"/>
    </row>
    <row r="171"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125" t="n"/>
      <c r="AH171" s="125" t="n"/>
      <c r="AI171" s="5" t="n"/>
      <c r="AJ171" s="125" t="n"/>
      <c r="AK171" s="125" t="n"/>
    </row>
    <row r="172"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125" t="n"/>
      <c r="AH172" s="125" t="n"/>
      <c r="AI172" s="5" t="n"/>
      <c r="AJ172" s="125" t="n"/>
      <c r="AK172" s="125" t="n"/>
    </row>
    <row r="173"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125" t="n"/>
      <c r="AH173" s="125" t="n"/>
      <c r="AI173" s="5" t="n"/>
      <c r="AJ173" s="125" t="n"/>
      <c r="AK173" s="125" t="n"/>
    </row>
    <row r="174"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125" t="n"/>
      <c r="AH174" s="125" t="n"/>
      <c r="AI174" s="5" t="n"/>
      <c r="AJ174" s="125" t="n"/>
      <c r="AK174" s="125" t="n"/>
    </row>
    <row r="175"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125" t="n"/>
      <c r="AH175" s="125" t="n"/>
      <c r="AI175" s="5" t="n"/>
      <c r="AJ175" s="125" t="n"/>
      <c r="AK175" s="125" t="n"/>
    </row>
    <row r="176"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125" t="n"/>
      <c r="AH176" s="125" t="n"/>
      <c r="AI176" s="5" t="n"/>
      <c r="AJ176" s="125" t="n"/>
      <c r="AK176" s="125" t="n"/>
    </row>
    <row r="177"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125" t="n"/>
      <c r="AH177" s="125" t="n"/>
      <c r="AI177" s="5" t="n"/>
      <c r="AJ177" s="125" t="n"/>
      <c r="AK177" s="125" t="n"/>
    </row>
    <row r="178"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125" t="n"/>
      <c r="AH178" s="125" t="n"/>
      <c r="AI178" s="5" t="n"/>
      <c r="AJ178" s="125" t="n"/>
      <c r="AK178" s="125" t="n"/>
    </row>
    <row r="179"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125" t="n"/>
      <c r="AH179" s="125" t="n"/>
      <c r="AI179" s="5" t="n"/>
      <c r="AJ179" s="125" t="n"/>
      <c r="AK179" s="125" t="n"/>
    </row>
    <row r="180"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125" t="n"/>
      <c r="AH180" s="125" t="n"/>
      <c r="AI180" s="5" t="n"/>
      <c r="AJ180" s="125" t="n"/>
      <c r="AK180" s="125" t="n"/>
    </row>
    <row r="181"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125" t="n"/>
      <c r="AH181" s="125" t="n"/>
      <c r="AI181" s="5" t="n"/>
      <c r="AJ181" s="125" t="n"/>
      <c r="AK181" s="125" t="n"/>
    </row>
    <row r="182"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125" t="n"/>
      <c r="AH182" s="125" t="n"/>
      <c r="AI182" s="5" t="n"/>
      <c r="AJ182" s="125" t="n"/>
      <c r="AK182" s="125" t="n"/>
    </row>
    <row r="183"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125" t="n"/>
      <c r="AH183" s="125" t="n"/>
      <c r="AI183" s="5" t="n"/>
      <c r="AJ183" s="125" t="n"/>
      <c r="AK183" s="125" t="n"/>
    </row>
    <row r="184"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125" t="n"/>
      <c r="AH184" s="125" t="n"/>
      <c r="AI184" s="5" t="n"/>
      <c r="AJ184" s="125" t="n"/>
      <c r="AK184" s="125" t="n"/>
    </row>
    <row r="185"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125" t="n"/>
      <c r="AH185" s="125" t="n"/>
      <c r="AI185" s="5" t="n"/>
      <c r="AJ185" s="125" t="n"/>
      <c r="AK185" s="125" t="n"/>
    </row>
    <row r="186"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125" t="n"/>
      <c r="AH186" s="125" t="n"/>
      <c r="AI186" s="5" t="n"/>
      <c r="AJ186" s="125" t="n"/>
      <c r="AK186" s="125" t="n"/>
    </row>
    <row r="187"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125" t="n"/>
      <c r="AH187" s="125" t="n"/>
      <c r="AI187" s="5" t="n"/>
      <c r="AJ187" s="125" t="n"/>
      <c r="AK187" s="125" t="n"/>
    </row>
    <row r="188"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125" t="n"/>
      <c r="AH188" s="125" t="n"/>
      <c r="AI188" s="5" t="n"/>
      <c r="AJ188" s="125" t="n"/>
      <c r="AK188" s="125" t="n"/>
    </row>
    <row r="189"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125" t="n"/>
      <c r="AH189" s="125" t="n"/>
      <c r="AI189" s="5" t="n"/>
      <c r="AJ189" s="125" t="n"/>
      <c r="AK189" s="125" t="n"/>
    </row>
    <row r="190"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125" t="n"/>
      <c r="AH190" s="125" t="n"/>
      <c r="AI190" s="5" t="n"/>
      <c r="AJ190" s="125" t="n"/>
      <c r="AK190" s="125" t="n"/>
    </row>
    <row r="191"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125" t="n"/>
      <c r="AH191" s="125" t="n"/>
      <c r="AI191" s="5" t="n"/>
      <c r="AJ191" s="125" t="n"/>
      <c r="AK191" s="125" t="n"/>
    </row>
    <row r="192"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125" t="n"/>
      <c r="AH192" s="125" t="n"/>
      <c r="AI192" s="5" t="n"/>
      <c r="AJ192" s="125" t="n"/>
      <c r="AK192" s="125" t="n"/>
    </row>
    <row r="193"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125" t="n"/>
      <c r="AH193" s="125" t="n"/>
      <c r="AI193" s="5" t="n"/>
      <c r="AJ193" s="125" t="n"/>
      <c r="AK193" s="125" t="n"/>
    </row>
    <row r="194"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125" t="n"/>
      <c r="AH194" s="125" t="n"/>
      <c r="AI194" s="5" t="n"/>
      <c r="AJ194" s="125" t="n"/>
      <c r="AK194" s="125" t="n"/>
    </row>
    <row r="195"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125" t="n"/>
      <c r="AH195" s="125" t="n"/>
      <c r="AI195" s="5" t="n"/>
      <c r="AJ195" s="125" t="n"/>
      <c r="AK195" s="125" t="n"/>
    </row>
    <row r="196"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125" t="n"/>
      <c r="AH196" s="125" t="n"/>
      <c r="AI196" s="5" t="n"/>
      <c r="AJ196" s="125" t="n"/>
      <c r="AK196" s="125" t="n"/>
    </row>
    <row r="197"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125" t="n"/>
      <c r="AH197" s="125" t="n"/>
      <c r="AI197" s="5" t="n"/>
      <c r="AJ197" s="125" t="n"/>
      <c r="AK197" s="125" t="n"/>
    </row>
    <row r="198"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125" t="n"/>
      <c r="AH198" s="125" t="n"/>
      <c r="AI198" s="5" t="n"/>
      <c r="AJ198" s="125" t="n"/>
      <c r="AK198" s="125" t="n"/>
    </row>
    <row r="199"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125" t="n"/>
      <c r="AH199" s="125" t="n"/>
      <c r="AI199" s="5" t="n"/>
      <c r="AJ199" s="125" t="n"/>
      <c r="AK199" s="125" t="n"/>
    </row>
    <row r="200"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125" t="n"/>
      <c r="AH200" s="125" t="n"/>
      <c r="AI200" s="5" t="n"/>
      <c r="AJ200" s="125" t="n"/>
      <c r="AK200" s="125" t="n"/>
    </row>
    <row r="201"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125" t="n"/>
      <c r="AH201" s="125" t="n"/>
      <c r="AI201" s="5" t="n"/>
      <c r="AJ201" s="125" t="n"/>
      <c r="AK201" s="125" t="n"/>
    </row>
    <row r="202"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125" t="n"/>
      <c r="AH202" s="125" t="n"/>
      <c r="AI202" s="5" t="n"/>
      <c r="AJ202" s="125" t="n"/>
      <c r="AK202" s="125" t="n"/>
    </row>
    <row r="203"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125" t="n"/>
      <c r="AH203" s="125" t="n"/>
      <c r="AI203" s="5" t="n"/>
      <c r="AJ203" s="125" t="n"/>
      <c r="AK203" s="125" t="n"/>
    </row>
    <row r="204"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125" t="n"/>
      <c r="AH204" s="125" t="n"/>
      <c r="AI204" s="5" t="n"/>
      <c r="AJ204" s="125" t="n"/>
      <c r="AK204" s="125" t="n"/>
    </row>
    <row r="205"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125" t="n"/>
      <c r="AH205" s="125" t="n"/>
      <c r="AI205" s="5" t="n"/>
      <c r="AJ205" s="125" t="n"/>
      <c r="AK205" s="125" t="n"/>
    </row>
    <row r="206"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125" t="n"/>
      <c r="AH206" s="125" t="n"/>
      <c r="AI206" s="5" t="n"/>
      <c r="AJ206" s="125" t="n"/>
      <c r="AK206" s="125" t="n"/>
    </row>
    <row r="207"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125" t="n"/>
      <c r="AH207" s="125" t="n"/>
      <c r="AI207" s="5" t="n"/>
      <c r="AJ207" s="125" t="n"/>
      <c r="AK207" s="125" t="n"/>
    </row>
    <row r="208"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125" t="n"/>
      <c r="AH208" s="125" t="n"/>
      <c r="AI208" s="5" t="n"/>
      <c r="AJ208" s="125" t="n"/>
      <c r="AK208" s="125" t="n"/>
    </row>
    <row r="209"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125" t="n"/>
      <c r="AH209" s="125" t="n"/>
      <c r="AI209" s="5" t="n"/>
      <c r="AJ209" s="125" t="n"/>
      <c r="AK209" s="125" t="n"/>
    </row>
    <row r="210"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125" t="n"/>
      <c r="AH210" s="125" t="n"/>
      <c r="AI210" s="5" t="n"/>
      <c r="AJ210" s="125" t="n"/>
      <c r="AK210" s="125" t="n"/>
    </row>
    <row r="211"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125" t="n"/>
      <c r="AH211" s="125" t="n"/>
      <c r="AI211" s="5" t="n"/>
      <c r="AJ211" s="125" t="n"/>
      <c r="AK211" s="125" t="n"/>
    </row>
    <row r="212"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125" t="n"/>
      <c r="AH212" s="125" t="n"/>
      <c r="AI212" s="5" t="n"/>
      <c r="AJ212" s="125" t="n"/>
      <c r="AK212" s="125" t="n"/>
    </row>
    <row r="213"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125" t="n"/>
      <c r="AH213" s="125" t="n"/>
      <c r="AI213" s="5" t="n"/>
      <c r="AJ213" s="125" t="n"/>
      <c r="AK213" s="125" t="n"/>
    </row>
    <row r="214"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125" t="n"/>
      <c r="AH214" s="125" t="n"/>
      <c r="AI214" s="5" t="n"/>
      <c r="AJ214" s="125" t="n"/>
      <c r="AK214" s="125" t="n"/>
    </row>
    <row r="215"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125" t="n"/>
      <c r="AH215" s="125" t="n"/>
      <c r="AI215" s="5" t="n"/>
      <c r="AJ215" s="125" t="n"/>
      <c r="AK215" s="125" t="n"/>
    </row>
    <row r="216"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125" t="n"/>
      <c r="AH216" s="125" t="n"/>
      <c r="AI216" s="5" t="n"/>
      <c r="AJ216" s="125" t="n"/>
      <c r="AK216" s="125" t="n"/>
    </row>
    <row r="217"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125" t="n"/>
      <c r="AH217" s="125" t="n"/>
      <c r="AI217" s="5" t="n"/>
      <c r="AJ217" s="125" t="n"/>
      <c r="AK217" s="125" t="n"/>
    </row>
    <row r="218"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125" t="n"/>
      <c r="AH218" s="125" t="n"/>
      <c r="AI218" s="5" t="n"/>
      <c r="AJ218" s="125" t="n"/>
      <c r="AK218" s="125" t="n"/>
    </row>
    <row r="219"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125" t="n"/>
      <c r="AH219" s="125" t="n"/>
      <c r="AI219" s="5" t="n"/>
      <c r="AJ219" s="125" t="n"/>
      <c r="AK219" s="125" t="n"/>
    </row>
    <row r="220"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125" t="n"/>
      <c r="AH220" s="125" t="n"/>
      <c r="AI220" s="5" t="n"/>
      <c r="AJ220" s="125" t="n"/>
      <c r="AK220" s="125" t="n"/>
    </row>
    <row r="221"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125" t="n"/>
      <c r="AH221" s="125" t="n"/>
      <c r="AI221" s="5" t="n"/>
      <c r="AJ221" s="125" t="n"/>
      <c r="AK221" s="125" t="n"/>
    </row>
    <row r="222"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125" t="n"/>
      <c r="AH222" s="125" t="n"/>
      <c r="AI222" s="5" t="n"/>
      <c r="AJ222" s="125" t="n"/>
      <c r="AK222" s="125" t="n"/>
    </row>
    <row r="223"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125" t="n"/>
      <c r="AH223" s="125" t="n"/>
      <c r="AI223" s="5" t="n"/>
      <c r="AJ223" s="125" t="n"/>
      <c r="AK223" s="125" t="n"/>
    </row>
    <row r="224"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125" t="n"/>
      <c r="AH224" s="125" t="n"/>
      <c r="AI224" s="5" t="n"/>
      <c r="AJ224" s="125" t="n"/>
      <c r="AK224" s="125" t="n"/>
    </row>
    <row r="225"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125" t="n"/>
      <c r="AH225" s="125" t="n"/>
      <c r="AI225" s="5" t="n"/>
      <c r="AJ225" s="125" t="n"/>
      <c r="AK225" s="125" t="n"/>
    </row>
    <row r="226"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125" t="n"/>
      <c r="AH226" s="125" t="n"/>
      <c r="AI226" s="5" t="n"/>
      <c r="AJ226" s="125" t="n"/>
      <c r="AK226" s="125" t="n"/>
    </row>
    <row r="227"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125" t="n"/>
      <c r="AH227" s="125" t="n"/>
      <c r="AI227" s="5" t="n"/>
      <c r="AJ227" s="125" t="n"/>
      <c r="AK227" s="125" t="n"/>
    </row>
    <row r="228"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125" t="n"/>
      <c r="AH228" s="125" t="n"/>
      <c r="AI228" s="5" t="n"/>
      <c r="AJ228" s="125" t="n"/>
      <c r="AK228" s="125" t="n"/>
    </row>
    <row r="229"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125" t="n"/>
      <c r="AH229" s="125" t="n"/>
      <c r="AI229" s="5" t="n"/>
      <c r="AJ229" s="125" t="n"/>
      <c r="AK229" s="125" t="n"/>
    </row>
    <row r="230"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125" t="n"/>
      <c r="AH230" s="125" t="n"/>
      <c r="AI230" s="5" t="n"/>
      <c r="AJ230" s="125" t="n"/>
      <c r="AK230" s="125" t="n"/>
    </row>
    <row r="231"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125" t="n"/>
      <c r="AH231" s="125" t="n"/>
      <c r="AI231" s="5" t="n"/>
      <c r="AJ231" s="125" t="n"/>
      <c r="AK231" s="125" t="n"/>
    </row>
    <row r="232"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125" t="n"/>
      <c r="AH232" s="125" t="n"/>
      <c r="AI232" s="5" t="n"/>
      <c r="AJ232" s="125" t="n"/>
      <c r="AK232" s="125" t="n"/>
    </row>
    <row r="233"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125" t="n"/>
      <c r="AH233" s="125" t="n"/>
      <c r="AI233" s="5" t="n"/>
      <c r="AJ233" s="125" t="n"/>
      <c r="AK233" s="125" t="n"/>
    </row>
    <row r="234"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125" t="n"/>
      <c r="AH234" s="125" t="n"/>
      <c r="AI234" s="5" t="n"/>
      <c r="AJ234" s="125" t="n"/>
      <c r="AK234" s="125" t="n"/>
    </row>
    <row r="235"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125" t="n"/>
      <c r="AH235" s="125" t="n"/>
      <c r="AI235" s="5" t="n"/>
      <c r="AJ235" s="125" t="n"/>
      <c r="AK235" s="125" t="n"/>
    </row>
    <row r="236"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125" t="n"/>
      <c r="AH236" s="125" t="n"/>
      <c r="AI236" s="5" t="n"/>
      <c r="AJ236" s="125" t="n"/>
      <c r="AK236" s="125" t="n"/>
    </row>
    <row r="237"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125" t="n"/>
      <c r="AH237" s="125" t="n"/>
      <c r="AI237" s="5" t="n"/>
      <c r="AJ237" s="125" t="n"/>
      <c r="AK237" s="125" t="n"/>
    </row>
    <row r="238"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125" t="n"/>
      <c r="AH238" s="125" t="n"/>
      <c r="AI238" s="5" t="n"/>
      <c r="AJ238" s="125" t="n"/>
      <c r="AK238" s="125" t="n"/>
    </row>
    <row r="239"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125" t="n"/>
      <c r="AH239" s="125" t="n"/>
      <c r="AI239" s="5" t="n"/>
      <c r="AJ239" s="125" t="n"/>
      <c r="AK239" s="125" t="n"/>
    </row>
    <row r="240"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125" t="n"/>
      <c r="AH240" s="125" t="n"/>
      <c r="AI240" s="5" t="n"/>
      <c r="AJ240" s="125" t="n"/>
      <c r="AK240" s="125" t="n"/>
    </row>
    <row r="241"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125" t="n"/>
      <c r="AH241" s="125" t="n"/>
      <c r="AI241" s="5" t="n"/>
      <c r="AJ241" s="125" t="n"/>
      <c r="AK241" s="125" t="n"/>
    </row>
    <row r="242"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125" t="n"/>
      <c r="AH242" s="125" t="n"/>
      <c r="AI242" s="5" t="n"/>
      <c r="AJ242" s="125" t="n"/>
      <c r="AK242" s="125" t="n"/>
    </row>
    <row r="243"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125" t="n"/>
      <c r="AH243" s="125" t="n"/>
      <c r="AI243" s="5" t="n"/>
      <c r="AJ243" s="125" t="n"/>
      <c r="AK243" s="125" t="n"/>
    </row>
    <row r="244"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125" t="n"/>
      <c r="AH244" s="125" t="n"/>
      <c r="AI244" s="5" t="n"/>
      <c r="AJ244" s="125" t="n"/>
      <c r="AK244" s="125" t="n"/>
    </row>
    <row r="245"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125" t="n"/>
      <c r="AH245" s="125" t="n"/>
      <c r="AI245" s="5" t="n"/>
      <c r="AJ245" s="125" t="n"/>
      <c r="AK245" s="125" t="n"/>
    </row>
    <row r="246"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125" t="n"/>
      <c r="AH246" s="125" t="n"/>
      <c r="AI246" s="5" t="n"/>
      <c r="AJ246" s="125" t="n"/>
      <c r="AK246" s="125" t="n"/>
    </row>
    <row r="247"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125" t="n"/>
      <c r="AH247" s="125" t="n"/>
      <c r="AI247" s="5" t="n"/>
      <c r="AJ247" s="125" t="n"/>
      <c r="AK247" s="125" t="n"/>
    </row>
    <row r="248"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125" t="n"/>
      <c r="AH248" s="125" t="n"/>
      <c r="AI248" s="5" t="n"/>
      <c r="AJ248" s="125" t="n"/>
      <c r="AK248" s="125" t="n"/>
    </row>
    <row r="249"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125" t="n"/>
      <c r="AH249" s="125" t="n"/>
      <c r="AI249" s="5" t="n"/>
      <c r="AJ249" s="125" t="n"/>
      <c r="AK249" s="125" t="n"/>
    </row>
    <row r="250"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125" t="n"/>
      <c r="AH250" s="125" t="n"/>
      <c r="AI250" s="5" t="n"/>
      <c r="AJ250" s="125" t="n"/>
      <c r="AK250" s="125" t="n"/>
    </row>
    <row r="251"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125" t="n"/>
      <c r="AH251" s="125" t="n"/>
      <c r="AI251" s="5" t="n"/>
      <c r="AJ251" s="125" t="n"/>
      <c r="AK251" s="125" t="n"/>
    </row>
    <row r="252"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125" t="n"/>
      <c r="AH252" s="125" t="n"/>
      <c r="AI252" s="5" t="n"/>
      <c r="AJ252" s="125" t="n"/>
      <c r="AK252" s="125" t="n"/>
    </row>
    <row r="253"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125" t="n"/>
      <c r="AH253" s="125" t="n"/>
      <c r="AI253" s="5" t="n"/>
      <c r="AJ253" s="125" t="n"/>
      <c r="AK253" s="125" t="n"/>
    </row>
    <row r="254"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125" t="n"/>
      <c r="AH254" s="125" t="n"/>
      <c r="AI254" s="5" t="n"/>
      <c r="AJ254" s="125" t="n"/>
      <c r="AK254" s="125" t="n"/>
    </row>
    <row r="255"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125" t="n"/>
      <c r="AH255" s="125" t="n"/>
      <c r="AI255" s="5" t="n"/>
      <c r="AJ255" s="125" t="n"/>
      <c r="AK255" s="125" t="n"/>
    </row>
    <row r="256"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125" t="n"/>
      <c r="AH256" s="125" t="n"/>
      <c r="AI256" s="5" t="n"/>
      <c r="AJ256" s="125" t="n"/>
      <c r="AK256" s="125" t="n"/>
    </row>
    <row r="257"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125" t="n"/>
      <c r="AH257" s="125" t="n"/>
      <c r="AI257" s="5" t="n"/>
      <c r="AJ257" s="125" t="n"/>
      <c r="AK257" s="125" t="n"/>
    </row>
    <row r="258"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125" t="n"/>
      <c r="AH258" s="125" t="n"/>
      <c r="AI258" s="5" t="n"/>
      <c r="AJ258" s="125" t="n"/>
      <c r="AK258" s="125" t="n"/>
    </row>
    <row r="259"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125" t="n"/>
      <c r="AH259" s="125" t="n"/>
      <c r="AI259" s="5" t="n"/>
      <c r="AJ259" s="125" t="n"/>
      <c r="AK259" s="125" t="n"/>
    </row>
    <row r="260"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125" t="n"/>
      <c r="AH260" s="125" t="n"/>
      <c r="AI260" s="5" t="n"/>
      <c r="AJ260" s="125" t="n"/>
      <c r="AK260" s="125" t="n"/>
    </row>
    <row r="261"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125" t="n"/>
      <c r="AH261" s="125" t="n"/>
      <c r="AI261" s="5" t="n"/>
      <c r="AJ261" s="125" t="n"/>
      <c r="AK261" s="125" t="n"/>
    </row>
    <row r="262"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125" t="n"/>
      <c r="AH262" s="125" t="n"/>
      <c r="AI262" s="5" t="n"/>
      <c r="AJ262" s="125" t="n"/>
      <c r="AK262" s="125" t="n"/>
    </row>
    <row r="263"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125" t="n"/>
      <c r="AH263" s="125" t="n"/>
      <c r="AI263" s="5" t="n"/>
      <c r="AJ263" s="125" t="n"/>
      <c r="AK263" s="125" t="n"/>
    </row>
    <row r="264"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125" t="n"/>
      <c r="AH264" s="125" t="n"/>
      <c r="AI264" s="5" t="n"/>
      <c r="AJ264" s="125" t="n"/>
      <c r="AK264" s="125" t="n"/>
    </row>
    <row r="265"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125" t="n"/>
      <c r="AH265" s="125" t="n"/>
      <c r="AI265" s="5" t="n"/>
      <c r="AJ265" s="125" t="n"/>
      <c r="AK265" s="125" t="n"/>
    </row>
    <row r="266"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125" t="n"/>
      <c r="AH266" s="125" t="n"/>
      <c r="AI266" s="5" t="n"/>
      <c r="AJ266" s="125" t="n"/>
      <c r="AK266" s="125" t="n"/>
    </row>
    <row r="267"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125" t="n"/>
      <c r="AH267" s="125" t="n"/>
      <c r="AI267" s="5" t="n"/>
      <c r="AJ267" s="125" t="n"/>
      <c r="AK267" s="125" t="n"/>
    </row>
    <row r="268"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125" t="n"/>
      <c r="AH268" s="125" t="n"/>
      <c r="AI268" s="5" t="n"/>
      <c r="AJ268" s="125" t="n"/>
      <c r="AK268" s="125" t="n"/>
    </row>
    <row r="269"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125" t="n"/>
      <c r="AH269" s="125" t="n"/>
      <c r="AI269" s="5" t="n"/>
      <c r="AJ269" s="125" t="n"/>
      <c r="AK269" s="125" t="n"/>
    </row>
    <row r="270"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125" t="n"/>
      <c r="AH270" s="125" t="n"/>
      <c r="AI270" s="5" t="n"/>
      <c r="AJ270" s="125" t="n"/>
      <c r="AK270" s="125" t="n"/>
    </row>
    <row r="271"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125" t="n"/>
      <c r="AH271" s="125" t="n"/>
      <c r="AI271" s="5" t="n"/>
      <c r="AJ271" s="125" t="n"/>
      <c r="AK271" s="125" t="n"/>
    </row>
    <row r="272"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125" t="n"/>
      <c r="AH272" s="125" t="n"/>
      <c r="AI272" s="5" t="n"/>
      <c r="AJ272" s="125" t="n"/>
      <c r="AK272" s="125" t="n"/>
    </row>
    <row r="273"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125" t="n"/>
      <c r="AH273" s="125" t="n"/>
      <c r="AI273" s="5" t="n"/>
      <c r="AJ273" s="125" t="n"/>
      <c r="AK273" s="125" t="n"/>
    </row>
    <row r="274"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125" t="n"/>
      <c r="AH274" s="125" t="n"/>
      <c r="AI274" s="5" t="n"/>
      <c r="AJ274" s="125" t="n"/>
      <c r="AK274" s="125" t="n"/>
    </row>
    <row r="275"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125" t="n"/>
      <c r="AH275" s="125" t="n"/>
      <c r="AI275" s="5" t="n"/>
      <c r="AJ275" s="125" t="n"/>
      <c r="AK275" s="125" t="n"/>
    </row>
    <row r="276"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125" t="n"/>
      <c r="AH276" s="125" t="n"/>
      <c r="AI276" s="5" t="n"/>
      <c r="AJ276" s="125" t="n"/>
      <c r="AK276" s="125" t="n"/>
    </row>
    <row r="277"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125" t="n"/>
      <c r="AH277" s="125" t="n"/>
      <c r="AI277" s="5" t="n"/>
      <c r="AJ277" s="125" t="n"/>
      <c r="AK277" s="125" t="n"/>
    </row>
    <row r="278"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125" t="n"/>
      <c r="AH278" s="125" t="n"/>
      <c r="AI278" s="5" t="n"/>
      <c r="AJ278" s="125" t="n"/>
      <c r="AK278" s="125" t="n"/>
    </row>
    <row r="279"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125" t="n"/>
      <c r="AH279" s="125" t="n"/>
      <c r="AI279" s="5" t="n"/>
      <c r="AJ279" s="125" t="n"/>
      <c r="AK279" s="125" t="n"/>
    </row>
    <row r="280"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125" t="n"/>
      <c r="AH280" s="125" t="n"/>
      <c r="AI280" s="5" t="n"/>
      <c r="AJ280" s="125" t="n"/>
      <c r="AK280" s="125" t="n"/>
    </row>
    <row r="281"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125" t="n"/>
      <c r="AH281" s="125" t="n"/>
      <c r="AI281" s="5" t="n"/>
      <c r="AJ281" s="125" t="n"/>
      <c r="AK281" s="125" t="n"/>
    </row>
    <row r="282"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125" t="n"/>
      <c r="AH282" s="125" t="n"/>
      <c r="AI282" s="5" t="n"/>
      <c r="AJ282" s="125" t="n"/>
      <c r="AK282" s="125" t="n"/>
    </row>
    <row r="283"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125" t="n"/>
      <c r="AH283" s="125" t="n"/>
      <c r="AI283" s="5" t="n"/>
      <c r="AJ283" s="125" t="n"/>
      <c r="AK283" s="125" t="n"/>
    </row>
    <row r="284"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125" t="n"/>
      <c r="AH284" s="125" t="n"/>
      <c r="AI284" s="5" t="n"/>
      <c r="AJ284" s="125" t="n"/>
      <c r="AK284" s="125" t="n"/>
    </row>
    <row r="285"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125" t="n"/>
      <c r="AH285" s="125" t="n"/>
      <c r="AI285" s="5" t="n"/>
      <c r="AJ285" s="125" t="n"/>
      <c r="AK285" s="125" t="n"/>
    </row>
    <row r="286"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125" t="n"/>
      <c r="AH286" s="125" t="n"/>
      <c r="AI286" s="5" t="n"/>
      <c r="AJ286" s="125" t="n"/>
      <c r="AK286" s="125" t="n"/>
    </row>
    <row r="287"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125" t="n"/>
      <c r="AH287" s="125" t="n"/>
      <c r="AI287" s="5" t="n"/>
      <c r="AJ287" s="125" t="n"/>
      <c r="AK287" s="125" t="n"/>
    </row>
    <row r="288"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125" t="n"/>
      <c r="AH288" s="125" t="n"/>
      <c r="AI288" s="5" t="n"/>
      <c r="AJ288" s="125" t="n"/>
      <c r="AK288" s="125" t="n"/>
    </row>
    <row r="289"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125" t="n"/>
      <c r="AH289" s="125" t="n"/>
      <c r="AI289" s="5" t="n"/>
      <c r="AJ289" s="125" t="n"/>
      <c r="AK289" s="125" t="n"/>
    </row>
    <row r="290"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125" t="n"/>
      <c r="AH290" s="125" t="n"/>
      <c r="AI290" s="5" t="n"/>
      <c r="AJ290" s="125" t="n"/>
      <c r="AK290" s="125" t="n"/>
    </row>
    <row r="291"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125" t="n"/>
      <c r="AH291" s="125" t="n"/>
      <c r="AI291" s="5" t="n"/>
      <c r="AJ291" s="125" t="n"/>
      <c r="AK291" s="125" t="n"/>
    </row>
    <row r="292"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125" t="n"/>
      <c r="AH292" s="125" t="n"/>
      <c r="AI292" s="5" t="n"/>
      <c r="AJ292" s="125" t="n"/>
      <c r="AK292" s="125" t="n"/>
    </row>
    <row r="293"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125" t="n"/>
      <c r="AH293" s="125" t="n"/>
      <c r="AI293" s="5" t="n"/>
      <c r="AJ293" s="125" t="n"/>
      <c r="AK293" s="125" t="n"/>
    </row>
    <row r="294"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125" t="n"/>
      <c r="AH294" s="125" t="n"/>
      <c r="AI294" s="5" t="n"/>
      <c r="AJ294" s="125" t="n"/>
      <c r="AK294" s="125" t="n"/>
    </row>
    <row r="295"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125" t="n"/>
      <c r="AH295" s="125" t="n"/>
      <c r="AI295" s="5" t="n"/>
      <c r="AJ295" s="125" t="n"/>
      <c r="AK295" s="125" t="n"/>
    </row>
    <row r="296"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125" t="n"/>
      <c r="AH296" s="125" t="n"/>
      <c r="AI296" s="5" t="n"/>
      <c r="AJ296" s="125" t="n"/>
      <c r="AK296" s="125" t="n"/>
    </row>
    <row r="297"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125" t="n"/>
      <c r="AH297" s="125" t="n"/>
      <c r="AI297" s="5" t="n"/>
      <c r="AJ297" s="125" t="n"/>
      <c r="AK297" s="125" t="n"/>
    </row>
    <row r="298"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125" t="n"/>
      <c r="AH298" s="125" t="n"/>
      <c r="AI298" s="5" t="n"/>
      <c r="AJ298" s="125" t="n"/>
      <c r="AK298" s="125" t="n"/>
    </row>
    <row r="299"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125" t="n"/>
      <c r="AH299" s="125" t="n"/>
      <c r="AI299" s="5" t="n"/>
      <c r="AJ299" s="125" t="n"/>
      <c r="AK299" s="125" t="n"/>
    </row>
    <row r="300"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125" t="n"/>
      <c r="AH300" s="125" t="n"/>
      <c r="AI300" s="5" t="n"/>
      <c r="AJ300" s="125" t="n"/>
      <c r="AK300" s="125" t="n"/>
    </row>
    <row r="301"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125" t="n"/>
      <c r="AH301" s="125" t="n"/>
      <c r="AI301" s="5" t="n"/>
      <c r="AJ301" s="125" t="n"/>
      <c r="AK301" s="125" t="n"/>
    </row>
    <row r="302"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125" t="n"/>
      <c r="AH302" s="125" t="n"/>
      <c r="AI302" s="5" t="n"/>
      <c r="AJ302" s="125" t="n"/>
      <c r="AK302" s="125" t="n"/>
    </row>
    <row r="303"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125" t="n"/>
      <c r="AH303" s="125" t="n"/>
      <c r="AI303" s="5" t="n"/>
      <c r="AJ303" s="125" t="n"/>
      <c r="AK303" s="125" t="n"/>
    </row>
    <row r="304"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125" t="n"/>
      <c r="AH304" s="125" t="n"/>
      <c r="AI304" s="5" t="n"/>
      <c r="AJ304" s="125" t="n"/>
      <c r="AK304" s="125" t="n"/>
    </row>
    <row r="305"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125" t="n"/>
      <c r="AH305" s="125" t="n"/>
      <c r="AI305" s="5" t="n"/>
      <c r="AJ305" s="125" t="n"/>
      <c r="AK305" s="125" t="n"/>
    </row>
    <row r="306"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125" t="n"/>
      <c r="AH306" s="125" t="n"/>
      <c r="AI306" s="5" t="n"/>
      <c r="AJ306" s="125" t="n"/>
      <c r="AK306" s="125" t="n"/>
    </row>
    <row r="307"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125" t="n"/>
      <c r="AH307" s="125" t="n"/>
      <c r="AI307" s="5" t="n"/>
      <c r="AJ307" s="125" t="n"/>
      <c r="AK307" s="125" t="n"/>
    </row>
    <row r="308"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125" t="n"/>
      <c r="AH308" s="125" t="n"/>
      <c r="AI308" s="5" t="n"/>
      <c r="AJ308" s="125" t="n"/>
      <c r="AK308" s="125" t="n"/>
    </row>
    <row r="309"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125" t="n"/>
      <c r="AH309" s="125" t="n"/>
      <c r="AI309" s="5" t="n"/>
      <c r="AJ309" s="125" t="n"/>
      <c r="AK309" s="125" t="n"/>
    </row>
    <row r="310"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125" t="n"/>
      <c r="AH310" s="125" t="n"/>
      <c r="AI310" s="5" t="n"/>
      <c r="AJ310" s="125" t="n"/>
      <c r="AK310" s="125" t="n"/>
    </row>
    <row r="311"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125" t="n"/>
      <c r="AH311" s="125" t="n"/>
      <c r="AI311" s="5" t="n"/>
      <c r="AJ311" s="125" t="n"/>
      <c r="AK311" s="125" t="n"/>
    </row>
    <row r="312"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125" t="n"/>
      <c r="AH312" s="125" t="n"/>
      <c r="AI312" s="5" t="n"/>
      <c r="AJ312" s="125" t="n"/>
      <c r="AK312" s="125" t="n"/>
    </row>
    <row r="313"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125" t="n"/>
      <c r="AH313" s="125" t="n"/>
      <c r="AI313" s="5" t="n"/>
      <c r="AJ313" s="125" t="n"/>
      <c r="AK313" s="125" t="n"/>
    </row>
    <row r="314"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125" t="n"/>
      <c r="AH314" s="125" t="n"/>
      <c r="AI314" s="5" t="n"/>
      <c r="AJ314" s="125" t="n"/>
      <c r="AK314" s="125" t="n"/>
    </row>
    <row r="315"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125" t="n"/>
      <c r="AH315" s="125" t="n"/>
      <c r="AI315" s="5" t="n"/>
      <c r="AJ315" s="125" t="n"/>
      <c r="AK315" s="125" t="n"/>
    </row>
    <row r="316"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125" t="n"/>
      <c r="AH316" s="125" t="n"/>
      <c r="AI316" s="5" t="n"/>
      <c r="AJ316" s="125" t="n"/>
      <c r="AK316" s="125" t="n"/>
    </row>
    <row r="317"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125" t="n"/>
      <c r="AH317" s="125" t="n"/>
      <c r="AI317" s="5" t="n"/>
      <c r="AJ317" s="125" t="n"/>
      <c r="AK317" s="125" t="n"/>
    </row>
    <row r="318"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125" t="n"/>
      <c r="AH318" s="125" t="n"/>
      <c r="AI318" s="5" t="n"/>
      <c r="AJ318" s="125" t="n"/>
      <c r="AK318" s="125" t="n"/>
    </row>
    <row r="319"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125" t="n"/>
      <c r="AH319" s="125" t="n"/>
      <c r="AI319" s="5" t="n"/>
      <c r="AJ319" s="125" t="n"/>
      <c r="AK319" s="125" t="n"/>
    </row>
    <row r="320"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125" t="n"/>
      <c r="AH320" s="125" t="n"/>
      <c r="AI320" s="5" t="n"/>
      <c r="AJ320" s="125" t="n"/>
      <c r="AK320" s="125" t="n"/>
    </row>
    <row r="321"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125" t="n"/>
      <c r="AH321" s="125" t="n"/>
      <c r="AI321" s="5" t="n"/>
      <c r="AJ321" s="125" t="n"/>
      <c r="AK321" s="125" t="n"/>
    </row>
    <row r="322"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125" t="n"/>
      <c r="AH322" s="125" t="n"/>
      <c r="AI322" s="5" t="n"/>
      <c r="AJ322" s="125" t="n"/>
      <c r="AK322" s="125" t="n"/>
    </row>
    <row r="323"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125" t="n"/>
      <c r="AH323" s="125" t="n"/>
      <c r="AI323" s="5" t="n"/>
      <c r="AJ323" s="125" t="n"/>
      <c r="AK323" s="125" t="n"/>
    </row>
    <row r="324"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125" t="n"/>
      <c r="AH324" s="125" t="n"/>
      <c r="AI324" s="5" t="n"/>
      <c r="AJ324" s="125" t="n"/>
      <c r="AK324" s="125" t="n"/>
    </row>
    <row r="325"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125" t="n"/>
      <c r="AH325" s="125" t="n"/>
      <c r="AI325" s="5" t="n"/>
      <c r="AJ325" s="125" t="n"/>
      <c r="AK325" s="125" t="n"/>
    </row>
    <row r="326"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125" t="n"/>
      <c r="AH326" s="125" t="n"/>
      <c r="AI326" s="5" t="n"/>
      <c r="AJ326" s="125" t="n"/>
      <c r="AK326" s="125" t="n"/>
    </row>
    <row r="327"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125" t="n"/>
      <c r="AH327" s="125" t="n"/>
      <c r="AI327" s="5" t="n"/>
      <c r="AJ327" s="125" t="n"/>
      <c r="AK327" s="125" t="n"/>
    </row>
    <row r="328"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125" t="n"/>
      <c r="AH328" s="125" t="n"/>
      <c r="AI328" s="5" t="n"/>
      <c r="AJ328" s="125" t="n"/>
      <c r="AK328" s="125" t="n"/>
    </row>
    <row r="329"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125" t="n"/>
      <c r="AH329" s="125" t="n"/>
      <c r="AI329" s="5" t="n"/>
      <c r="AJ329" s="125" t="n"/>
      <c r="AK329" s="125" t="n"/>
    </row>
    <row r="330"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125" t="n"/>
      <c r="AH330" s="125" t="n"/>
      <c r="AI330" s="5" t="n"/>
      <c r="AJ330" s="125" t="n"/>
      <c r="AK330" s="125" t="n"/>
    </row>
    <row r="331"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125" t="n"/>
      <c r="AH331" s="125" t="n"/>
      <c r="AI331" s="5" t="n"/>
      <c r="AJ331" s="125" t="n"/>
      <c r="AK331" s="125" t="n"/>
    </row>
    <row r="332"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125" t="n"/>
      <c r="AH332" s="125" t="n"/>
      <c r="AI332" s="5" t="n"/>
      <c r="AJ332" s="125" t="n"/>
      <c r="AK332" s="125" t="n"/>
    </row>
    <row r="333"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125" t="n"/>
      <c r="AH333" s="125" t="n"/>
      <c r="AI333" s="5" t="n"/>
      <c r="AJ333" s="125" t="n"/>
      <c r="AK333" s="125" t="n"/>
    </row>
    <row r="334"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125" t="n"/>
      <c r="AH334" s="125" t="n"/>
      <c r="AI334" s="5" t="n"/>
      <c r="AJ334" s="125" t="n"/>
      <c r="AK334" s="125" t="n"/>
    </row>
    <row r="335"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125" t="n"/>
      <c r="AH335" s="125" t="n"/>
      <c r="AI335" s="5" t="n"/>
      <c r="AJ335" s="125" t="n"/>
      <c r="AK335" s="125" t="n"/>
    </row>
    <row r="336"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125" t="n"/>
      <c r="AH336" s="125" t="n"/>
      <c r="AI336" s="5" t="n"/>
      <c r="AJ336" s="125" t="n"/>
      <c r="AK336" s="125" t="n"/>
    </row>
    <row r="337"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125" t="n"/>
      <c r="AH337" s="125" t="n"/>
      <c r="AI337" s="5" t="n"/>
      <c r="AJ337" s="125" t="n"/>
      <c r="AK337" s="125" t="n"/>
    </row>
    <row r="338"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125" t="n"/>
      <c r="AH338" s="125" t="n"/>
      <c r="AI338" s="5" t="n"/>
      <c r="AJ338" s="125" t="n"/>
      <c r="AK338" s="125" t="n"/>
    </row>
    <row r="339"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125" t="n"/>
      <c r="AH339" s="125" t="n"/>
      <c r="AI339" s="5" t="n"/>
      <c r="AJ339" s="125" t="n"/>
      <c r="AK339" s="125" t="n"/>
    </row>
    <row r="340"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125" t="n"/>
      <c r="AH340" s="125" t="n"/>
      <c r="AI340" s="5" t="n"/>
      <c r="AJ340" s="125" t="n"/>
      <c r="AK340" s="125" t="n"/>
    </row>
    <row r="341"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125" t="n"/>
      <c r="AH341" s="125" t="n"/>
      <c r="AI341" s="5" t="n"/>
      <c r="AJ341" s="125" t="n"/>
      <c r="AK341" s="125" t="n"/>
    </row>
    <row r="342"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125" t="n"/>
      <c r="AH342" s="125" t="n"/>
      <c r="AI342" s="5" t="n"/>
      <c r="AJ342" s="125" t="n"/>
      <c r="AK342" s="125" t="n"/>
    </row>
    <row r="343"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125" t="n"/>
      <c r="AH343" s="125" t="n"/>
      <c r="AI343" s="5" t="n"/>
      <c r="AJ343" s="125" t="n"/>
      <c r="AK343" s="125" t="n"/>
    </row>
    <row r="344"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125" t="n"/>
      <c r="AH344" s="125" t="n"/>
      <c r="AI344" s="5" t="n"/>
      <c r="AJ344" s="125" t="n"/>
      <c r="AK344" s="125" t="n"/>
    </row>
    <row r="345"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125" t="n"/>
      <c r="AH345" s="125" t="n"/>
      <c r="AI345" s="5" t="n"/>
      <c r="AJ345" s="125" t="n"/>
      <c r="AK345" s="125" t="n"/>
    </row>
    <row r="346"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125" t="n"/>
      <c r="AH346" s="125" t="n"/>
      <c r="AI346" s="5" t="n"/>
      <c r="AJ346" s="125" t="n"/>
      <c r="AK346" s="125" t="n"/>
    </row>
    <row r="347"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125" t="n"/>
      <c r="AH347" s="125" t="n"/>
      <c r="AI347" s="5" t="n"/>
      <c r="AJ347" s="125" t="n"/>
      <c r="AK347" s="125" t="n"/>
    </row>
    <row r="348"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125" t="n"/>
      <c r="AH348" s="125" t="n"/>
      <c r="AI348" s="5" t="n"/>
      <c r="AJ348" s="125" t="n"/>
      <c r="AK348" s="125" t="n"/>
    </row>
    <row r="349"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125" t="n"/>
      <c r="AH349" s="125" t="n"/>
      <c r="AI349" s="5" t="n"/>
      <c r="AJ349" s="125" t="n"/>
      <c r="AK349" s="125" t="n"/>
    </row>
    <row r="350"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125" t="n"/>
      <c r="AH350" s="125" t="n"/>
      <c r="AI350" s="5" t="n"/>
      <c r="AJ350" s="125" t="n"/>
      <c r="AK350" s="125" t="n"/>
    </row>
    <row r="351"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125" t="n"/>
      <c r="AH351" s="125" t="n"/>
      <c r="AI351" s="5" t="n"/>
      <c r="AJ351" s="125" t="n"/>
      <c r="AK351" s="125" t="n"/>
    </row>
    <row r="352"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125" t="n"/>
      <c r="AH352" s="125" t="n"/>
      <c r="AI352" s="5" t="n"/>
      <c r="AJ352" s="125" t="n"/>
      <c r="AK352" s="125" t="n"/>
    </row>
    <row r="353"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125" t="n"/>
      <c r="AH353" s="125" t="n"/>
      <c r="AI353" s="5" t="n"/>
      <c r="AJ353" s="125" t="n"/>
      <c r="AK353" s="125" t="n"/>
    </row>
    <row r="354"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125" t="n"/>
      <c r="AH354" s="125" t="n"/>
      <c r="AI354" s="5" t="n"/>
      <c r="AJ354" s="125" t="n"/>
      <c r="AK354" s="125" t="n"/>
    </row>
    <row r="355"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125" t="n"/>
      <c r="AH355" s="125" t="n"/>
      <c r="AI355" s="5" t="n"/>
      <c r="AJ355" s="125" t="n"/>
      <c r="AK355" s="125" t="n"/>
    </row>
    <row r="356"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125" t="n"/>
      <c r="AH356" s="125" t="n"/>
      <c r="AI356" s="5" t="n"/>
      <c r="AJ356" s="125" t="n"/>
      <c r="AK356" s="125" t="n"/>
    </row>
    <row r="357"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125" t="n"/>
      <c r="AH357" s="125" t="n"/>
      <c r="AI357" s="5" t="n"/>
      <c r="AJ357" s="125" t="n"/>
      <c r="AK357" s="125" t="n"/>
    </row>
    <row r="358"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125" t="n"/>
      <c r="AH358" s="125" t="n"/>
      <c r="AI358" s="5" t="n"/>
      <c r="AJ358" s="125" t="n"/>
      <c r="AK358" s="125" t="n"/>
    </row>
    <row r="359"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125" t="n"/>
      <c r="AH359" s="125" t="n"/>
      <c r="AI359" s="5" t="n"/>
      <c r="AJ359" s="125" t="n"/>
      <c r="AK359" s="125" t="n"/>
    </row>
    <row r="360"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125" t="n"/>
      <c r="AH360" s="125" t="n"/>
      <c r="AI360" s="5" t="n"/>
      <c r="AJ360" s="125" t="n"/>
      <c r="AK360" s="125" t="n"/>
    </row>
    <row r="361"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125" t="n"/>
      <c r="AH361" s="125" t="n"/>
      <c r="AI361" s="5" t="n"/>
      <c r="AJ361" s="125" t="n"/>
      <c r="AK361" s="125" t="n"/>
    </row>
    <row r="362"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125" t="n"/>
      <c r="AH362" s="125" t="n"/>
      <c r="AI362" s="5" t="n"/>
      <c r="AJ362" s="125" t="n"/>
      <c r="AK362" s="125" t="n"/>
    </row>
    <row r="363"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125" t="n"/>
      <c r="AH363" s="125" t="n"/>
      <c r="AI363" s="5" t="n"/>
      <c r="AJ363" s="125" t="n"/>
      <c r="AK363" s="125" t="n"/>
    </row>
    <row r="364"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125" t="n"/>
      <c r="AH364" s="125" t="n"/>
      <c r="AI364" s="5" t="n"/>
      <c r="AJ364" s="125" t="n"/>
      <c r="AK364" s="125" t="n"/>
    </row>
    <row r="365"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125" t="n"/>
      <c r="AH365" s="125" t="n"/>
      <c r="AI365" s="5" t="n"/>
      <c r="AJ365" s="125" t="n"/>
      <c r="AK365" s="125" t="n"/>
    </row>
    <row r="366"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125" t="n"/>
      <c r="AH366" s="125" t="n"/>
      <c r="AI366" s="5" t="n"/>
      <c r="AJ366" s="125" t="n"/>
      <c r="AK366" s="125" t="n"/>
    </row>
    <row r="367"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125" t="n"/>
      <c r="AH367" s="125" t="n"/>
      <c r="AI367" s="5" t="n"/>
      <c r="AJ367" s="125" t="n"/>
      <c r="AK367" s="125" t="n"/>
    </row>
    <row r="368"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125" t="n"/>
      <c r="AH368" s="125" t="n"/>
      <c r="AI368" s="5" t="n"/>
      <c r="AJ368" s="125" t="n"/>
      <c r="AK368" s="125" t="n"/>
    </row>
    <row r="369"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125" t="n"/>
      <c r="AH369" s="125" t="n"/>
      <c r="AI369" s="5" t="n"/>
      <c r="AJ369" s="125" t="n"/>
      <c r="AK369" s="125" t="n"/>
    </row>
    <row r="370"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125" t="n"/>
      <c r="AH370" s="125" t="n"/>
      <c r="AI370" s="5" t="n"/>
      <c r="AJ370" s="125" t="n"/>
      <c r="AK370" s="125" t="n"/>
    </row>
    <row r="371"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125" t="n"/>
      <c r="AH371" s="125" t="n"/>
      <c r="AI371" s="5" t="n"/>
      <c r="AJ371" s="125" t="n"/>
      <c r="AK371" s="125" t="n"/>
    </row>
    <row r="372"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125" t="n"/>
      <c r="AH372" s="125" t="n"/>
      <c r="AI372" s="5" t="n"/>
      <c r="AJ372" s="125" t="n"/>
      <c r="AK372" s="125" t="n"/>
    </row>
    <row r="373"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125" t="n"/>
      <c r="AH373" s="125" t="n"/>
      <c r="AI373" s="5" t="n"/>
      <c r="AJ373" s="125" t="n"/>
      <c r="AK373" s="125" t="n"/>
    </row>
    <row r="374"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125" t="n"/>
      <c r="AH374" s="125" t="n"/>
      <c r="AI374" s="5" t="n"/>
      <c r="AJ374" s="125" t="n"/>
      <c r="AK374" s="125" t="n"/>
    </row>
    <row r="375"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125" t="n"/>
      <c r="AH375" s="125" t="n"/>
      <c r="AI375" s="5" t="n"/>
      <c r="AJ375" s="125" t="n"/>
      <c r="AK375" s="125" t="n"/>
    </row>
    <row r="376"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125" t="n"/>
      <c r="AH376" s="125" t="n"/>
      <c r="AI376" s="5" t="n"/>
      <c r="AJ376" s="125" t="n"/>
      <c r="AK376" s="125" t="n"/>
    </row>
    <row r="377"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125" t="n"/>
      <c r="AH377" s="125" t="n"/>
      <c r="AI377" s="5" t="n"/>
      <c r="AJ377" s="125" t="n"/>
      <c r="AK377" s="125" t="n"/>
    </row>
    <row r="378"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125" t="n"/>
      <c r="AH378" s="125" t="n"/>
      <c r="AI378" s="5" t="n"/>
      <c r="AJ378" s="125" t="n"/>
      <c r="AK378" s="125" t="n"/>
    </row>
    <row r="379"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125" t="n"/>
      <c r="AH379" s="125" t="n"/>
      <c r="AI379" s="5" t="n"/>
      <c r="AJ379" s="125" t="n"/>
      <c r="AK379" s="125" t="n"/>
    </row>
    <row r="380"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125" t="n"/>
      <c r="AH380" s="125" t="n"/>
      <c r="AI380" s="5" t="n"/>
      <c r="AJ380" s="125" t="n"/>
      <c r="AK380" s="125" t="n"/>
    </row>
    <row r="381"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125" t="n"/>
      <c r="AH381" s="125" t="n"/>
      <c r="AI381" s="5" t="n"/>
      <c r="AJ381" s="125" t="n"/>
      <c r="AK381" s="125" t="n"/>
    </row>
    <row r="382"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125" t="n"/>
      <c r="AH382" s="125" t="n"/>
      <c r="AI382" s="5" t="n"/>
      <c r="AJ382" s="125" t="n"/>
      <c r="AK382" s="125" t="n"/>
    </row>
    <row r="383"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125" t="n"/>
      <c r="AH383" s="125" t="n"/>
      <c r="AI383" s="5" t="n"/>
      <c r="AJ383" s="125" t="n"/>
      <c r="AK383" s="125" t="n"/>
    </row>
    <row r="384"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125" t="n"/>
      <c r="AH384" s="125" t="n"/>
      <c r="AI384" s="5" t="n"/>
      <c r="AJ384" s="125" t="n"/>
      <c r="AK384" s="125" t="n"/>
    </row>
    <row r="385"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125" t="n"/>
      <c r="AH385" s="125" t="n"/>
      <c r="AI385" s="5" t="n"/>
      <c r="AJ385" s="125" t="n"/>
      <c r="AK385" s="125" t="n"/>
    </row>
    <row r="386"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125" t="n"/>
      <c r="AH386" s="125" t="n"/>
      <c r="AI386" s="5" t="n"/>
      <c r="AJ386" s="125" t="n"/>
      <c r="AK386" s="125" t="n"/>
    </row>
    <row r="387"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125" t="n"/>
      <c r="AH387" s="125" t="n"/>
      <c r="AI387" s="5" t="n"/>
      <c r="AJ387" s="125" t="n"/>
      <c r="AK387" s="125" t="n"/>
    </row>
    <row r="388"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125" t="n"/>
      <c r="AH388" s="125" t="n"/>
      <c r="AI388" s="5" t="n"/>
      <c r="AJ388" s="125" t="n"/>
      <c r="AK388" s="125" t="n"/>
    </row>
    <row r="389"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125" t="n"/>
      <c r="AH389" s="125" t="n"/>
      <c r="AI389" s="5" t="n"/>
      <c r="AJ389" s="125" t="n"/>
      <c r="AK389" s="125" t="n"/>
    </row>
    <row r="390"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125" t="n"/>
      <c r="AH390" s="125" t="n"/>
      <c r="AI390" s="5" t="n"/>
      <c r="AJ390" s="125" t="n"/>
      <c r="AK390" s="125" t="n"/>
    </row>
    <row r="391"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125" t="n"/>
      <c r="AH391" s="125" t="n"/>
      <c r="AI391" s="5" t="n"/>
      <c r="AJ391" s="125" t="n"/>
      <c r="AK391" s="125" t="n"/>
    </row>
    <row r="392"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125" t="n"/>
      <c r="AH392" s="125" t="n"/>
      <c r="AI392" s="5" t="n"/>
      <c r="AJ392" s="125" t="n"/>
      <c r="AK392" s="125" t="n"/>
    </row>
    <row r="393"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125" t="n"/>
      <c r="AH393" s="125" t="n"/>
      <c r="AI393" s="5" t="n"/>
      <c r="AJ393" s="125" t="n"/>
      <c r="AK393" s="125" t="n"/>
    </row>
    <row r="394"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125" t="n"/>
      <c r="AH394" s="125" t="n"/>
      <c r="AI394" s="5" t="n"/>
      <c r="AJ394" s="125" t="n"/>
      <c r="AK394" s="125" t="n"/>
    </row>
    <row r="395"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125" t="n"/>
      <c r="AH395" s="125" t="n"/>
      <c r="AI395" s="5" t="n"/>
      <c r="AJ395" s="125" t="n"/>
      <c r="AK395" s="125" t="n"/>
    </row>
    <row r="396"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125" t="n"/>
      <c r="AH396" s="125" t="n"/>
      <c r="AI396" s="5" t="n"/>
      <c r="AJ396" s="125" t="n"/>
      <c r="AK396" s="125" t="n"/>
    </row>
    <row r="397"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125" t="n"/>
      <c r="AH397" s="125" t="n"/>
      <c r="AI397" s="5" t="n"/>
      <c r="AJ397" s="125" t="n"/>
      <c r="AK397" s="125" t="n"/>
    </row>
    <row r="398"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125" t="n"/>
      <c r="AH398" s="125" t="n"/>
      <c r="AI398" s="5" t="n"/>
      <c r="AJ398" s="125" t="n"/>
      <c r="AK398" s="125" t="n"/>
    </row>
    <row r="399"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125" t="n"/>
      <c r="AH399" s="125" t="n"/>
      <c r="AI399" s="5" t="n"/>
      <c r="AJ399" s="125" t="n"/>
      <c r="AK399" s="125" t="n"/>
    </row>
    <row r="400"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125" t="n"/>
      <c r="AH400" s="125" t="n"/>
      <c r="AI400" s="5" t="n"/>
      <c r="AJ400" s="125" t="n"/>
      <c r="AK400" s="125" t="n"/>
    </row>
    <row r="401"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125" t="n"/>
      <c r="AH401" s="125" t="n"/>
      <c r="AI401" s="5" t="n"/>
      <c r="AJ401" s="125" t="n"/>
      <c r="AK401" s="125" t="n"/>
    </row>
    <row r="402"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125" t="n"/>
      <c r="AH402" s="125" t="n"/>
      <c r="AI402" s="5" t="n"/>
      <c r="AJ402" s="125" t="n"/>
      <c r="AK402" s="125" t="n"/>
    </row>
    <row r="403"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125" t="n"/>
      <c r="AH403" s="125" t="n"/>
      <c r="AI403" s="5" t="n"/>
      <c r="AJ403" s="125" t="n"/>
      <c r="AK403" s="125" t="n"/>
    </row>
    <row r="404"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125" t="n"/>
      <c r="AH404" s="125" t="n"/>
      <c r="AI404" s="5" t="n"/>
      <c r="AJ404" s="125" t="n"/>
      <c r="AK404" s="125" t="n"/>
    </row>
    <row r="405"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125" t="n"/>
      <c r="AH405" s="125" t="n"/>
      <c r="AI405" s="5" t="n"/>
      <c r="AJ405" s="125" t="n"/>
      <c r="AK405" s="125" t="n"/>
    </row>
    <row r="406"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125" t="n"/>
      <c r="AH406" s="125" t="n"/>
      <c r="AI406" s="5" t="n"/>
      <c r="AJ406" s="125" t="n"/>
      <c r="AK406" s="125" t="n"/>
    </row>
    <row r="407"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125" t="n"/>
      <c r="AH407" s="125" t="n"/>
      <c r="AI407" s="5" t="n"/>
      <c r="AJ407" s="125" t="n"/>
      <c r="AK407" s="125" t="n"/>
    </row>
    <row r="408"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125" t="n"/>
      <c r="AH408" s="125" t="n"/>
      <c r="AI408" s="5" t="n"/>
      <c r="AJ408" s="125" t="n"/>
      <c r="AK408" s="125" t="n"/>
    </row>
    <row r="409"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125" t="n"/>
      <c r="AH409" s="125" t="n"/>
      <c r="AI409" s="5" t="n"/>
      <c r="AJ409" s="125" t="n"/>
      <c r="AK409" s="125" t="n"/>
    </row>
    <row r="410"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125" t="n"/>
      <c r="AH410" s="125" t="n"/>
      <c r="AI410" s="5" t="n"/>
      <c r="AJ410" s="125" t="n"/>
      <c r="AK410" s="125" t="n"/>
    </row>
    <row r="411"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125" t="n"/>
      <c r="AH411" s="125" t="n"/>
      <c r="AI411" s="5" t="n"/>
      <c r="AJ411" s="125" t="n"/>
      <c r="AK411" s="125" t="n"/>
    </row>
    <row r="412"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125" t="n"/>
      <c r="AH412" s="125" t="n"/>
      <c r="AI412" s="5" t="n"/>
      <c r="AJ412" s="125" t="n"/>
      <c r="AK412" s="125" t="n"/>
    </row>
    <row r="413"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125" t="n"/>
      <c r="AH413" s="125" t="n"/>
      <c r="AI413" s="5" t="n"/>
      <c r="AJ413" s="125" t="n"/>
      <c r="AK413" s="125" t="n"/>
    </row>
    <row r="414"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125" t="n"/>
      <c r="AH414" s="125" t="n"/>
      <c r="AI414" s="5" t="n"/>
      <c r="AJ414" s="125" t="n"/>
      <c r="AK414" s="125" t="n"/>
    </row>
    <row r="415"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125" t="n"/>
      <c r="AH415" s="125" t="n"/>
      <c r="AI415" s="5" t="n"/>
      <c r="AJ415" s="125" t="n"/>
      <c r="AK415" s="125" t="n"/>
    </row>
    <row r="416"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125" t="n"/>
      <c r="AH416" s="125" t="n"/>
      <c r="AI416" s="5" t="n"/>
      <c r="AJ416" s="125" t="n"/>
      <c r="AK416" s="125" t="n"/>
    </row>
    <row r="417"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125" t="n"/>
      <c r="AH417" s="125" t="n"/>
      <c r="AI417" s="5" t="n"/>
      <c r="AJ417" s="125" t="n"/>
      <c r="AK417" s="125" t="n"/>
    </row>
    <row r="418"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125" t="n"/>
      <c r="AH418" s="125" t="n"/>
      <c r="AI418" s="5" t="n"/>
      <c r="AJ418" s="125" t="n"/>
      <c r="AK418" s="125" t="n"/>
    </row>
    <row r="419"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125" t="n"/>
      <c r="AH419" s="125" t="n"/>
      <c r="AI419" s="5" t="n"/>
      <c r="AJ419" s="125" t="n"/>
      <c r="AK419" s="125" t="n"/>
    </row>
    <row r="420"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125" t="n"/>
      <c r="AH420" s="125" t="n"/>
      <c r="AI420" s="5" t="n"/>
      <c r="AJ420" s="125" t="n"/>
      <c r="AK420" s="125" t="n"/>
    </row>
    <row r="421"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125" t="n"/>
      <c r="AH421" s="125" t="n"/>
      <c r="AI421" s="5" t="n"/>
      <c r="AJ421" s="125" t="n"/>
      <c r="AK421" s="125" t="n"/>
    </row>
    <row r="422"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125" t="n"/>
      <c r="AH422" s="125" t="n"/>
      <c r="AI422" s="5" t="n"/>
      <c r="AJ422" s="125" t="n"/>
      <c r="AK422" s="125" t="n"/>
    </row>
    <row r="423"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125" t="n"/>
      <c r="AH423" s="125" t="n"/>
      <c r="AI423" s="5" t="n"/>
      <c r="AJ423" s="125" t="n"/>
      <c r="AK423" s="125" t="n"/>
    </row>
    <row r="424"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125" t="n"/>
      <c r="AH424" s="125" t="n"/>
      <c r="AI424" s="5" t="n"/>
      <c r="AJ424" s="125" t="n"/>
      <c r="AK424" s="125" t="n"/>
    </row>
    <row r="425"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125" t="n"/>
      <c r="AH425" s="125" t="n"/>
      <c r="AI425" s="5" t="n"/>
      <c r="AJ425" s="125" t="n"/>
      <c r="AK425" s="125" t="n"/>
    </row>
    <row r="426"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125" t="n"/>
      <c r="AH426" s="125" t="n"/>
      <c r="AI426" s="5" t="n"/>
      <c r="AJ426" s="125" t="n"/>
      <c r="AK426" s="125" t="n"/>
    </row>
    <row r="427"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125" t="n"/>
      <c r="AH427" s="125" t="n"/>
      <c r="AI427" s="5" t="n"/>
      <c r="AJ427" s="125" t="n"/>
      <c r="AK427" s="125" t="n"/>
    </row>
    <row r="428"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125" t="n"/>
      <c r="AH428" s="125" t="n"/>
      <c r="AI428" s="5" t="n"/>
      <c r="AJ428" s="125" t="n"/>
      <c r="AK428" s="125" t="n"/>
    </row>
    <row r="429"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125" t="n"/>
      <c r="AH429" s="125" t="n"/>
      <c r="AI429" s="5" t="n"/>
      <c r="AJ429" s="125" t="n"/>
      <c r="AK429" s="125" t="n"/>
    </row>
    <row r="430"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125" t="n"/>
      <c r="AH430" s="125" t="n"/>
      <c r="AI430" s="5" t="n"/>
      <c r="AJ430" s="125" t="n"/>
      <c r="AK430" s="125" t="n"/>
    </row>
    <row r="431"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125" t="n"/>
      <c r="AH431" s="125" t="n"/>
      <c r="AI431" s="5" t="n"/>
      <c r="AJ431" s="125" t="n"/>
      <c r="AK431" s="125" t="n"/>
    </row>
    <row r="432"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125" t="n"/>
      <c r="AH432" s="125" t="n"/>
      <c r="AI432" s="5" t="n"/>
      <c r="AJ432" s="125" t="n"/>
      <c r="AK432" s="125" t="n"/>
    </row>
    <row r="433"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125" t="n"/>
      <c r="AH433" s="125" t="n"/>
      <c r="AI433" s="5" t="n"/>
      <c r="AJ433" s="125" t="n"/>
      <c r="AK433" s="125" t="n"/>
    </row>
    <row r="434"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125" t="n"/>
      <c r="AH434" s="125" t="n"/>
      <c r="AI434" s="5" t="n"/>
      <c r="AJ434" s="125" t="n"/>
      <c r="AK434" s="125" t="n"/>
    </row>
    <row r="435"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125" t="n"/>
      <c r="AH435" s="125" t="n"/>
      <c r="AI435" s="5" t="n"/>
      <c r="AJ435" s="125" t="n"/>
      <c r="AK435" s="125" t="n"/>
    </row>
    <row r="436"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125" t="n"/>
      <c r="AH436" s="125" t="n"/>
      <c r="AI436" s="5" t="n"/>
      <c r="AJ436" s="125" t="n"/>
      <c r="AK436" s="125" t="n"/>
    </row>
    <row r="437"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125" t="n"/>
      <c r="AH437" s="125" t="n"/>
      <c r="AI437" s="5" t="n"/>
      <c r="AJ437" s="125" t="n"/>
      <c r="AK437" s="125" t="n"/>
    </row>
    <row r="438"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125" t="n"/>
      <c r="AH438" s="125" t="n"/>
      <c r="AI438" s="5" t="n"/>
      <c r="AJ438" s="125" t="n"/>
      <c r="AK438" s="125" t="n"/>
    </row>
    <row r="439"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125" t="n"/>
      <c r="AH439" s="125" t="n"/>
      <c r="AI439" s="5" t="n"/>
      <c r="AJ439" s="125" t="n"/>
      <c r="AK439" s="125" t="n"/>
    </row>
    <row r="440"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125" t="n"/>
      <c r="AH440" s="125" t="n"/>
      <c r="AI440" s="5" t="n"/>
      <c r="AJ440" s="125" t="n"/>
      <c r="AK440" s="125" t="n"/>
    </row>
    <row r="441"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125" t="n"/>
      <c r="AH441" s="125" t="n"/>
      <c r="AI441" s="5" t="n"/>
      <c r="AJ441" s="125" t="n"/>
      <c r="AK441" s="125" t="n"/>
    </row>
    <row r="442"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125" t="n"/>
      <c r="AH442" s="125" t="n"/>
      <c r="AI442" s="5" t="n"/>
      <c r="AJ442" s="125" t="n"/>
      <c r="AK442" s="125" t="n"/>
    </row>
    <row r="443"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125" t="n"/>
      <c r="AH443" s="125" t="n"/>
      <c r="AI443" s="5" t="n"/>
      <c r="AJ443" s="125" t="n"/>
      <c r="AK443" s="125" t="n"/>
    </row>
    <row r="444"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125" t="n"/>
      <c r="AH444" s="125" t="n"/>
      <c r="AI444" s="5" t="n"/>
      <c r="AJ444" s="125" t="n"/>
      <c r="AK444" s="125" t="n"/>
    </row>
    <row r="445"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125" t="n"/>
      <c r="AH445" s="125" t="n"/>
      <c r="AI445" s="5" t="n"/>
      <c r="AJ445" s="125" t="n"/>
      <c r="AK445" s="125" t="n"/>
    </row>
    <row r="446"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125" t="n"/>
      <c r="AH446" s="125" t="n"/>
      <c r="AI446" s="5" t="n"/>
      <c r="AJ446" s="125" t="n"/>
      <c r="AK446" s="125" t="n"/>
    </row>
    <row r="447"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125" t="n"/>
      <c r="AH447" s="125" t="n"/>
      <c r="AI447" s="5" t="n"/>
      <c r="AJ447" s="125" t="n"/>
      <c r="AK447" s="125" t="n"/>
    </row>
    <row r="448"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125" t="n"/>
      <c r="AH448" s="125" t="n"/>
      <c r="AI448" s="5" t="n"/>
      <c r="AJ448" s="125" t="n"/>
      <c r="AK448" s="125" t="n"/>
    </row>
    <row r="449"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125" t="n"/>
      <c r="AH449" s="125" t="n"/>
      <c r="AI449" s="5" t="n"/>
      <c r="AJ449" s="125" t="n"/>
      <c r="AK449" s="125" t="n"/>
    </row>
    <row r="450"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125" t="n"/>
      <c r="AH450" s="125" t="n"/>
      <c r="AI450" s="5" t="n"/>
      <c r="AJ450" s="125" t="n"/>
      <c r="AK450" s="125" t="n"/>
    </row>
    <row r="451"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125" t="n"/>
      <c r="AH451" s="125" t="n"/>
      <c r="AI451" s="5" t="n"/>
      <c r="AJ451" s="125" t="n"/>
      <c r="AK451" s="125" t="n"/>
    </row>
    <row r="452"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125" t="n"/>
      <c r="AH452" s="125" t="n"/>
      <c r="AI452" s="5" t="n"/>
      <c r="AJ452" s="125" t="n"/>
      <c r="AK452" s="125" t="n"/>
    </row>
    <row r="453"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125" t="n"/>
      <c r="AH453" s="125" t="n"/>
      <c r="AI453" s="5" t="n"/>
      <c r="AJ453" s="125" t="n"/>
      <c r="AK453" s="125" t="n"/>
    </row>
    <row r="454"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125" t="n"/>
      <c r="AH454" s="125" t="n"/>
      <c r="AI454" s="5" t="n"/>
      <c r="AJ454" s="125" t="n"/>
      <c r="AK454" s="125" t="n"/>
    </row>
    <row r="455"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125" t="n"/>
      <c r="AH455" s="125" t="n"/>
      <c r="AI455" s="5" t="n"/>
      <c r="AJ455" s="125" t="n"/>
      <c r="AK455" s="125" t="n"/>
    </row>
    <row r="456"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125" t="n"/>
      <c r="AH456" s="125" t="n"/>
      <c r="AI456" s="5" t="n"/>
      <c r="AJ456" s="125" t="n"/>
      <c r="AK456" s="125" t="n"/>
    </row>
    <row r="457"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125" t="n"/>
      <c r="AH457" s="125" t="n"/>
      <c r="AI457" s="5" t="n"/>
      <c r="AJ457" s="125" t="n"/>
      <c r="AK457" s="125" t="n"/>
    </row>
    <row r="458"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125" t="n"/>
      <c r="AH458" s="125" t="n"/>
      <c r="AI458" s="5" t="n"/>
      <c r="AJ458" s="125" t="n"/>
      <c r="AK458" s="125" t="n"/>
    </row>
    <row r="459"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125" t="n"/>
      <c r="AH459" s="125" t="n"/>
      <c r="AI459" s="5" t="n"/>
      <c r="AJ459" s="125" t="n"/>
      <c r="AK459" s="125" t="n"/>
    </row>
    <row r="460"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125" t="n"/>
      <c r="AH460" s="125" t="n"/>
      <c r="AI460" s="5" t="n"/>
      <c r="AJ460" s="125" t="n"/>
      <c r="AK460" s="125" t="n"/>
    </row>
    <row r="461"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125" t="n"/>
      <c r="AH461" s="125" t="n"/>
      <c r="AI461" s="5" t="n"/>
      <c r="AJ461" s="125" t="n"/>
      <c r="AK461" s="125" t="n"/>
    </row>
    <row r="462"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125" t="n"/>
      <c r="AH462" s="125" t="n"/>
      <c r="AI462" s="5" t="n"/>
      <c r="AJ462" s="125" t="n"/>
      <c r="AK462" s="125" t="n"/>
    </row>
    <row r="463"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125" t="n"/>
      <c r="AH463" s="125" t="n"/>
      <c r="AI463" s="5" t="n"/>
      <c r="AJ463" s="125" t="n"/>
      <c r="AK463" s="125" t="n"/>
    </row>
    <row r="464"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125" t="n"/>
      <c r="AH464" s="125" t="n"/>
      <c r="AI464" s="5" t="n"/>
      <c r="AJ464" s="125" t="n"/>
      <c r="AK464" s="125" t="n"/>
    </row>
    <row r="465"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125" t="n"/>
      <c r="AH465" s="125" t="n"/>
      <c r="AI465" s="5" t="n"/>
      <c r="AJ465" s="125" t="n"/>
      <c r="AK465" s="125" t="n"/>
    </row>
    <row r="466"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125" t="n"/>
      <c r="AH466" s="125" t="n"/>
      <c r="AI466" s="5" t="n"/>
      <c r="AJ466" s="125" t="n"/>
      <c r="AK466" s="125" t="n"/>
    </row>
    <row r="467"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125" t="n"/>
      <c r="AH467" s="125" t="n"/>
      <c r="AI467" s="5" t="n"/>
      <c r="AJ467" s="125" t="n"/>
      <c r="AK467" s="125" t="n"/>
    </row>
    <row r="468"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125" t="n"/>
      <c r="AH468" s="125" t="n"/>
      <c r="AI468" s="5" t="n"/>
      <c r="AJ468" s="125" t="n"/>
      <c r="AK468" s="125" t="n"/>
    </row>
    <row r="469"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125" t="n"/>
      <c r="AH469" s="125" t="n"/>
      <c r="AI469" s="5" t="n"/>
      <c r="AJ469" s="125" t="n"/>
      <c r="AK469" s="125" t="n"/>
    </row>
    <row r="470"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125" t="n"/>
      <c r="AH470" s="125" t="n"/>
      <c r="AI470" s="5" t="n"/>
      <c r="AJ470" s="125" t="n"/>
      <c r="AK470" s="125" t="n"/>
    </row>
    <row r="471"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125" t="n"/>
      <c r="AH471" s="125" t="n"/>
      <c r="AI471" s="5" t="n"/>
      <c r="AJ471" s="125" t="n"/>
      <c r="AK471" s="125" t="n"/>
    </row>
    <row r="472"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125" t="n"/>
      <c r="AH472" s="125" t="n"/>
      <c r="AI472" s="5" t="n"/>
      <c r="AJ472" s="125" t="n"/>
      <c r="AK472" s="125" t="n"/>
    </row>
    <row r="473"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125" t="n"/>
      <c r="AH473" s="125" t="n"/>
      <c r="AI473" s="5" t="n"/>
      <c r="AJ473" s="125" t="n"/>
      <c r="AK473" s="125" t="n"/>
    </row>
    <row r="474"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125" t="n"/>
      <c r="AH474" s="125" t="n"/>
      <c r="AI474" s="5" t="n"/>
      <c r="AJ474" s="125" t="n"/>
      <c r="AK474" s="125" t="n"/>
    </row>
    <row r="475"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125" t="n"/>
      <c r="AH475" s="125" t="n"/>
      <c r="AI475" s="5" t="n"/>
      <c r="AJ475" s="125" t="n"/>
      <c r="AK475" s="125" t="n"/>
    </row>
    <row r="476"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125" t="n"/>
      <c r="AH476" s="125" t="n"/>
      <c r="AI476" s="5" t="n"/>
      <c r="AJ476" s="125" t="n"/>
      <c r="AK476" s="125" t="n"/>
    </row>
    <row r="477"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125" t="n"/>
      <c r="AH477" s="125" t="n"/>
      <c r="AI477" s="5" t="n"/>
      <c r="AJ477" s="125" t="n"/>
      <c r="AK477" s="125" t="n"/>
    </row>
    <row r="478"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125" t="n"/>
      <c r="AH478" s="125" t="n"/>
      <c r="AI478" s="5" t="n"/>
      <c r="AJ478" s="125" t="n"/>
      <c r="AK478" s="125" t="n"/>
    </row>
    <row r="479"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125" t="n"/>
      <c r="AH479" s="125" t="n"/>
      <c r="AI479" s="5" t="n"/>
      <c r="AJ479" s="125" t="n"/>
      <c r="AK479" s="125" t="n"/>
    </row>
    <row r="480"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125" t="n"/>
      <c r="AH480" s="125" t="n"/>
      <c r="AI480" s="5" t="n"/>
      <c r="AJ480" s="125" t="n"/>
      <c r="AK480" s="125" t="n"/>
    </row>
    <row r="481"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125" t="n"/>
      <c r="AH481" s="125" t="n"/>
      <c r="AI481" s="5" t="n"/>
      <c r="AJ481" s="125" t="n"/>
      <c r="AK481" s="125" t="n"/>
    </row>
    <row r="482"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125" t="n"/>
      <c r="AH482" s="125" t="n"/>
      <c r="AI482" s="5" t="n"/>
      <c r="AJ482" s="125" t="n"/>
      <c r="AK482" s="125" t="n"/>
    </row>
    <row r="483"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125" t="n"/>
      <c r="AH483" s="125" t="n"/>
      <c r="AI483" s="5" t="n"/>
      <c r="AJ483" s="125" t="n"/>
      <c r="AK483" s="125" t="n"/>
    </row>
    <row r="484"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125" t="n"/>
      <c r="AH484" s="125" t="n"/>
      <c r="AI484" s="5" t="n"/>
      <c r="AJ484" s="125" t="n"/>
      <c r="AK484" s="125" t="n"/>
    </row>
    <row r="485"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125" t="n"/>
      <c r="AH485" s="125" t="n"/>
      <c r="AI485" s="5" t="n"/>
      <c r="AJ485" s="125" t="n"/>
      <c r="AK485" s="125" t="n"/>
    </row>
    <row r="486"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125" t="n"/>
      <c r="AH486" s="125" t="n"/>
      <c r="AI486" s="5" t="n"/>
      <c r="AJ486" s="125" t="n"/>
      <c r="AK486" s="125" t="n"/>
    </row>
    <row r="487"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125" t="n"/>
      <c r="AH487" s="125" t="n"/>
      <c r="AI487" s="5" t="n"/>
      <c r="AJ487" s="125" t="n"/>
      <c r="AK487" s="125" t="n"/>
    </row>
    <row r="488"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125" t="n"/>
      <c r="AH488" s="125" t="n"/>
      <c r="AI488" s="5" t="n"/>
      <c r="AJ488" s="125" t="n"/>
      <c r="AK488" s="125" t="n"/>
    </row>
    <row r="489"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125" t="n"/>
      <c r="AH489" s="125" t="n"/>
      <c r="AI489" s="5" t="n"/>
      <c r="AJ489" s="125" t="n"/>
      <c r="AK489" s="125" t="n"/>
    </row>
    <row r="490"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125" t="n"/>
      <c r="AH490" s="125" t="n"/>
      <c r="AI490" s="5" t="n"/>
      <c r="AJ490" s="125" t="n"/>
      <c r="AK490" s="125" t="n"/>
    </row>
    <row r="491"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125" t="n"/>
      <c r="AH491" s="125" t="n"/>
      <c r="AI491" s="5" t="n"/>
      <c r="AJ491" s="125" t="n"/>
      <c r="AK491" s="125" t="n"/>
    </row>
    <row r="492"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125" t="n"/>
      <c r="AH492" s="125" t="n"/>
      <c r="AI492" s="5" t="n"/>
      <c r="AJ492" s="125" t="n"/>
      <c r="AK492" s="125" t="n"/>
    </row>
    <row r="493"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125" t="n"/>
      <c r="AH493" s="125" t="n"/>
      <c r="AI493" s="5" t="n"/>
      <c r="AJ493" s="125" t="n"/>
      <c r="AK493" s="125" t="n"/>
    </row>
    <row r="494"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125" t="n"/>
      <c r="AH494" s="125" t="n"/>
      <c r="AI494" s="5" t="n"/>
      <c r="AJ494" s="125" t="n"/>
      <c r="AK494" s="125" t="n"/>
    </row>
    <row r="495"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125" t="n"/>
      <c r="AH495" s="125" t="n"/>
      <c r="AI495" s="5" t="n"/>
      <c r="AJ495" s="125" t="n"/>
      <c r="AK495" s="125" t="n"/>
    </row>
    <row r="496"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125" t="n"/>
      <c r="AH496" s="125" t="n"/>
      <c r="AI496" s="5" t="n"/>
      <c r="AJ496" s="125" t="n"/>
      <c r="AK496" s="125" t="n"/>
    </row>
    <row r="497"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125" t="n"/>
      <c r="AH497" s="125" t="n"/>
      <c r="AI497" s="5" t="n"/>
      <c r="AJ497" s="125" t="n"/>
      <c r="AK497" s="125" t="n"/>
    </row>
    <row r="498"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125" t="n"/>
      <c r="AH498" s="125" t="n"/>
      <c r="AI498" s="5" t="n"/>
      <c r="AJ498" s="125" t="n"/>
      <c r="AK498" s="125" t="n"/>
    </row>
    <row r="499"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125" t="n"/>
      <c r="AH499" s="125" t="n"/>
      <c r="AI499" s="5" t="n"/>
      <c r="AJ499" s="125" t="n"/>
      <c r="AK499" s="125" t="n"/>
    </row>
    <row r="500"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125" t="n"/>
      <c r="AH500" s="125" t="n"/>
      <c r="AI500" s="5" t="n"/>
      <c r="AJ500" s="125" t="n"/>
      <c r="AK500" s="125" t="n"/>
    </row>
    <row r="501"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125" t="n"/>
      <c r="AH501" s="125" t="n"/>
      <c r="AI501" s="5" t="n"/>
      <c r="AJ501" s="125" t="n"/>
      <c r="AK501" s="125" t="n"/>
    </row>
    <row r="502"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125" t="n"/>
      <c r="AH502" s="125" t="n"/>
      <c r="AI502" s="5" t="n"/>
      <c r="AJ502" s="125" t="n"/>
      <c r="AK502" s="125" t="n"/>
    </row>
    <row r="503"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125" t="n"/>
      <c r="AH503" s="125" t="n"/>
      <c r="AI503" s="5" t="n"/>
      <c r="AJ503" s="125" t="n"/>
      <c r="AK503" s="125" t="n"/>
    </row>
    <row r="504"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125" t="n"/>
      <c r="AH504" s="125" t="n"/>
      <c r="AI504" s="5" t="n"/>
      <c r="AJ504" s="125" t="n"/>
      <c r="AK504" s="125" t="n"/>
    </row>
    <row r="505"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125" t="n"/>
      <c r="AH505" s="125" t="n"/>
      <c r="AI505" s="5" t="n"/>
      <c r="AJ505" s="125" t="n"/>
      <c r="AK505" s="125" t="n"/>
    </row>
    <row r="506"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125" t="n"/>
      <c r="AH506" s="125" t="n"/>
      <c r="AI506" s="5" t="n"/>
      <c r="AJ506" s="125" t="n"/>
      <c r="AK506" s="125" t="n"/>
    </row>
    <row r="507"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125" t="n"/>
      <c r="AH507" s="125" t="n"/>
      <c r="AI507" s="5" t="n"/>
      <c r="AJ507" s="125" t="n"/>
      <c r="AK507" s="125" t="n"/>
    </row>
    <row r="508"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125" t="n"/>
      <c r="AH508" s="125" t="n"/>
      <c r="AI508" s="5" t="n"/>
      <c r="AJ508" s="125" t="n"/>
      <c r="AK508" s="125" t="n"/>
    </row>
    <row r="509"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125" t="n"/>
      <c r="AH509" s="125" t="n"/>
      <c r="AI509" s="5" t="n"/>
      <c r="AJ509" s="125" t="n"/>
      <c r="AK509" s="125" t="n"/>
    </row>
    <row r="510"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125" t="n"/>
      <c r="AH510" s="125" t="n"/>
      <c r="AI510" s="5" t="n"/>
      <c r="AJ510" s="125" t="n"/>
      <c r="AK510" s="125" t="n"/>
    </row>
    <row r="511"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125" t="n"/>
      <c r="AH511" s="125" t="n"/>
      <c r="AI511" s="5" t="n"/>
      <c r="AJ511" s="125" t="n"/>
      <c r="AK511" s="125" t="n"/>
    </row>
    <row r="512"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125" t="n"/>
      <c r="AH512" s="125" t="n"/>
      <c r="AI512" s="5" t="n"/>
      <c r="AJ512" s="125" t="n"/>
      <c r="AK512" s="125" t="n"/>
    </row>
    <row r="513"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125" t="n"/>
      <c r="AH513" s="125" t="n"/>
      <c r="AI513" s="5" t="n"/>
      <c r="AJ513" s="125" t="n"/>
      <c r="AK513" s="125" t="n"/>
    </row>
    <row r="514"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125" t="n"/>
      <c r="AH514" s="125" t="n"/>
      <c r="AI514" s="5" t="n"/>
      <c r="AJ514" s="125" t="n"/>
      <c r="AK514" s="125" t="n"/>
    </row>
    <row r="515"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125" t="n"/>
      <c r="AH515" s="125" t="n"/>
      <c r="AI515" s="5" t="n"/>
      <c r="AJ515" s="125" t="n"/>
      <c r="AK515" s="125" t="n"/>
    </row>
    <row r="516"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125" t="n"/>
      <c r="AH516" s="125" t="n"/>
      <c r="AI516" s="5" t="n"/>
      <c r="AJ516" s="125" t="n"/>
      <c r="AK516" s="125" t="n"/>
    </row>
    <row r="517"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125" t="n"/>
      <c r="AH517" s="125" t="n"/>
      <c r="AI517" s="5" t="n"/>
      <c r="AJ517" s="125" t="n"/>
      <c r="AK517" s="125" t="n"/>
    </row>
    <row r="518"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125" t="n"/>
      <c r="AH518" s="125" t="n"/>
      <c r="AI518" s="5" t="n"/>
      <c r="AJ518" s="125" t="n"/>
      <c r="AK518" s="125" t="n"/>
    </row>
    <row r="519"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125" t="n"/>
      <c r="AH519" s="125" t="n"/>
      <c r="AI519" s="5" t="n"/>
      <c r="AJ519" s="125" t="n"/>
      <c r="AK519" s="125" t="n"/>
    </row>
    <row r="520"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125" t="n"/>
      <c r="AH520" s="125" t="n"/>
      <c r="AI520" s="5" t="n"/>
      <c r="AJ520" s="125" t="n"/>
      <c r="AK520" s="125" t="n"/>
    </row>
    <row r="521"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125" t="n"/>
      <c r="AH521" s="125" t="n"/>
      <c r="AI521" s="5" t="n"/>
      <c r="AJ521" s="125" t="n"/>
      <c r="AK521" s="125" t="n"/>
    </row>
    <row r="522"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125" t="n"/>
      <c r="AH522" s="125" t="n"/>
      <c r="AI522" s="5" t="n"/>
      <c r="AJ522" s="125" t="n"/>
      <c r="AK522" s="125" t="n"/>
    </row>
    <row r="523"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125" t="n"/>
      <c r="AH523" s="125" t="n"/>
      <c r="AI523" s="5" t="n"/>
      <c r="AJ523" s="125" t="n"/>
      <c r="AK523" s="125" t="n"/>
    </row>
    <row r="524"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125" t="n"/>
      <c r="AH524" s="125" t="n"/>
      <c r="AI524" s="5" t="n"/>
      <c r="AJ524" s="125" t="n"/>
      <c r="AK524" s="125" t="n"/>
    </row>
    <row r="525"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125" t="n"/>
      <c r="AH525" s="125" t="n"/>
      <c r="AI525" s="5" t="n"/>
      <c r="AJ525" s="125" t="n"/>
      <c r="AK525" s="125" t="n"/>
    </row>
    <row r="526"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125" t="n"/>
      <c r="AH526" s="125" t="n"/>
      <c r="AI526" s="5" t="n"/>
      <c r="AJ526" s="125" t="n"/>
      <c r="AK526" s="125" t="n"/>
    </row>
    <row r="527"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125" t="n"/>
      <c r="AH527" s="125" t="n"/>
      <c r="AI527" s="5" t="n"/>
      <c r="AJ527" s="125" t="n"/>
      <c r="AK527" s="125" t="n"/>
    </row>
    <row r="528"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125" t="n"/>
      <c r="AH528" s="125" t="n"/>
      <c r="AI528" s="5" t="n"/>
      <c r="AJ528" s="125" t="n"/>
      <c r="AK528" s="125" t="n"/>
    </row>
    <row r="529"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125" t="n"/>
      <c r="AH529" s="125" t="n"/>
      <c r="AI529" s="5" t="n"/>
      <c r="AJ529" s="125" t="n"/>
      <c r="AK529" s="125" t="n"/>
    </row>
    <row r="530"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125" t="n"/>
      <c r="AH530" s="125" t="n"/>
      <c r="AI530" s="5" t="n"/>
      <c r="AJ530" s="125" t="n"/>
      <c r="AK530" s="125" t="n"/>
    </row>
    <row r="531"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125" t="n"/>
      <c r="AH531" s="125" t="n"/>
      <c r="AI531" s="5" t="n"/>
      <c r="AJ531" s="125" t="n"/>
      <c r="AK531" s="125" t="n"/>
    </row>
    <row r="532"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125" t="n"/>
      <c r="AH532" s="125" t="n"/>
      <c r="AI532" s="5" t="n"/>
      <c r="AJ532" s="125" t="n"/>
      <c r="AK532" s="125" t="n"/>
    </row>
    <row r="533"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125" t="n"/>
      <c r="AH533" s="125" t="n"/>
      <c r="AI533" s="5" t="n"/>
      <c r="AJ533" s="125" t="n"/>
      <c r="AK533" s="125" t="n"/>
    </row>
    <row r="534"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125" t="n"/>
      <c r="AH534" s="125" t="n"/>
      <c r="AI534" s="5" t="n"/>
      <c r="AJ534" s="125" t="n"/>
      <c r="AK534" s="125" t="n"/>
    </row>
    <row r="535"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125" t="n"/>
      <c r="AH535" s="125" t="n"/>
      <c r="AI535" s="5" t="n"/>
      <c r="AJ535" s="125" t="n"/>
      <c r="AK535" s="125" t="n"/>
    </row>
    <row r="536"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125" t="n"/>
      <c r="AH536" s="125" t="n"/>
      <c r="AI536" s="5" t="n"/>
      <c r="AJ536" s="125" t="n"/>
      <c r="AK536" s="125" t="n"/>
    </row>
    <row r="537"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125" t="n"/>
      <c r="AH537" s="125" t="n"/>
      <c r="AI537" s="5" t="n"/>
      <c r="AJ537" s="125" t="n"/>
      <c r="AK537" s="125" t="n"/>
    </row>
    <row r="538"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125" t="n"/>
      <c r="AH538" s="125" t="n"/>
      <c r="AI538" s="5" t="n"/>
      <c r="AJ538" s="125" t="n"/>
      <c r="AK538" s="125" t="n"/>
    </row>
    <row r="539"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125" t="n"/>
      <c r="AH539" s="125" t="n"/>
      <c r="AI539" s="5" t="n"/>
      <c r="AJ539" s="125" t="n"/>
      <c r="AK539" s="125" t="n"/>
    </row>
    <row r="540"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125" t="n"/>
      <c r="AH540" s="125" t="n"/>
      <c r="AI540" s="5" t="n"/>
      <c r="AJ540" s="125" t="n"/>
      <c r="AK540" s="125" t="n"/>
    </row>
    <row r="541"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125" t="n"/>
      <c r="AH541" s="125" t="n"/>
      <c r="AI541" s="5" t="n"/>
      <c r="AJ541" s="125" t="n"/>
      <c r="AK541" s="125" t="n"/>
    </row>
    <row r="542"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125" t="n"/>
      <c r="AH542" s="125" t="n"/>
      <c r="AI542" s="5" t="n"/>
      <c r="AJ542" s="125" t="n"/>
      <c r="AK542" s="125" t="n"/>
    </row>
    <row r="543"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125" t="n"/>
      <c r="AH543" s="125" t="n"/>
      <c r="AI543" s="5" t="n"/>
      <c r="AJ543" s="125" t="n"/>
      <c r="AK543" s="125" t="n"/>
    </row>
    <row r="544"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125" t="n"/>
      <c r="AH544" s="125" t="n"/>
      <c r="AI544" s="5" t="n"/>
      <c r="AJ544" s="125" t="n"/>
      <c r="AK544" s="125" t="n"/>
    </row>
    <row r="545"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125" t="n"/>
      <c r="AH545" s="125" t="n"/>
      <c r="AI545" s="5" t="n"/>
      <c r="AJ545" s="125" t="n"/>
      <c r="AK545" s="125" t="n"/>
    </row>
    <row r="546"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125" t="n"/>
      <c r="AH546" s="125" t="n"/>
      <c r="AI546" s="5" t="n"/>
      <c r="AJ546" s="125" t="n"/>
      <c r="AK546" s="125" t="n"/>
    </row>
    <row r="547"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125" t="n"/>
      <c r="AH547" s="125" t="n"/>
      <c r="AI547" s="5" t="n"/>
      <c r="AJ547" s="125" t="n"/>
      <c r="AK547" s="125" t="n"/>
    </row>
    <row r="548"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125" t="n"/>
      <c r="AH548" s="125" t="n"/>
      <c r="AI548" s="5" t="n"/>
      <c r="AJ548" s="125" t="n"/>
      <c r="AK548" s="125" t="n"/>
    </row>
    <row r="549"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125" t="n"/>
      <c r="AH549" s="125" t="n"/>
      <c r="AI549" s="5" t="n"/>
      <c r="AJ549" s="125" t="n"/>
      <c r="AK549" s="125" t="n"/>
    </row>
    <row r="550"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125" t="n"/>
      <c r="AH550" s="125" t="n"/>
      <c r="AI550" s="5" t="n"/>
      <c r="AJ550" s="125" t="n"/>
      <c r="AK550" s="125" t="n"/>
    </row>
    <row r="551"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125" t="n"/>
      <c r="AH551" s="125" t="n"/>
      <c r="AI551" s="5" t="n"/>
      <c r="AJ551" s="125" t="n"/>
      <c r="AK551" s="125" t="n"/>
    </row>
    <row r="552"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125" t="n"/>
      <c r="AH552" s="125" t="n"/>
      <c r="AI552" s="5" t="n"/>
      <c r="AJ552" s="125" t="n"/>
      <c r="AK552" s="125" t="n"/>
    </row>
    <row r="553"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125" t="n"/>
      <c r="AH553" s="125" t="n"/>
      <c r="AI553" s="5" t="n"/>
      <c r="AJ553" s="125" t="n"/>
      <c r="AK553" s="125" t="n"/>
    </row>
    <row r="554"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125" t="n"/>
      <c r="AH554" s="125" t="n"/>
      <c r="AI554" s="5" t="n"/>
      <c r="AJ554" s="125" t="n"/>
      <c r="AK554" s="125" t="n"/>
    </row>
    <row r="555"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125" t="n"/>
      <c r="AH555" s="125" t="n"/>
      <c r="AI555" s="5" t="n"/>
      <c r="AJ555" s="125" t="n"/>
      <c r="AK555" s="125" t="n"/>
    </row>
    <row r="556"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125" t="n"/>
      <c r="AH556" s="125" t="n"/>
      <c r="AI556" s="5" t="n"/>
      <c r="AJ556" s="125" t="n"/>
      <c r="AK556" s="125" t="n"/>
    </row>
    <row r="557"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125" t="n"/>
      <c r="AH557" s="125" t="n"/>
      <c r="AI557" s="5" t="n"/>
      <c r="AJ557" s="125" t="n"/>
      <c r="AK557" s="125" t="n"/>
    </row>
    <row r="558"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125" t="n"/>
      <c r="AH558" s="125" t="n"/>
      <c r="AI558" s="5" t="n"/>
      <c r="AJ558" s="125" t="n"/>
      <c r="AK558" s="125" t="n"/>
    </row>
    <row r="559"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125" t="n"/>
      <c r="AH559" s="125" t="n"/>
      <c r="AI559" s="5" t="n"/>
      <c r="AJ559" s="125" t="n"/>
      <c r="AK559" s="125" t="n"/>
    </row>
    <row r="560"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125" t="n"/>
      <c r="AH560" s="125" t="n"/>
      <c r="AI560" s="5" t="n"/>
      <c r="AJ560" s="125" t="n"/>
      <c r="AK560" s="125" t="n"/>
    </row>
    <row r="561"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125" t="n"/>
      <c r="AH561" s="125" t="n"/>
      <c r="AI561" s="5" t="n"/>
      <c r="AJ561" s="125" t="n"/>
      <c r="AK561" s="125" t="n"/>
    </row>
    <row r="562"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125" t="n"/>
      <c r="AH562" s="125" t="n"/>
      <c r="AI562" s="5" t="n"/>
      <c r="AJ562" s="125" t="n"/>
      <c r="AK562" s="125" t="n"/>
    </row>
    <row r="563"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125" t="n"/>
      <c r="AH563" s="125" t="n"/>
      <c r="AI563" s="5" t="n"/>
      <c r="AJ563" s="125" t="n"/>
      <c r="AK563" s="125" t="n"/>
    </row>
    <row r="564"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125" t="n"/>
      <c r="AH564" s="125" t="n"/>
      <c r="AI564" s="5" t="n"/>
      <c r="AJ564" s="125" t="n"/>
      <c r="AK564" s="125" t="n"/>
    </row>
    <row r="565"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125" t="n"/>
      <c r="AH565" s="125" t="n"/>
      <c r="AI565" s="5" t="n"/>
      <c r="AJ565" s="125" t="n"/>
      <c r="AK565" s="125" t="n"/>
    </row>
    <row r="566"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125" t="n"/>
      <c r="AH566" s="125" t="n"/>
      <c r="AI566" s="5" t="n"/>
      <c r="AJ566" s="125" t="n"/>
      <c r="AK566" s="125" t="n"/>
    </row>
    <row r="567"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125" t="n"/>
      <c r="AH567" s="125" t="n"/>
      <c r="AI567" s="5" t="n"/>
      <c r="AJ567" s="125" t="n"/>
      <c r="AK567" s="125" t="n"/>
    </row>
    <row r="568"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125" t="n"/>
      <c r="AH568" s="125" t="n"/>
      <c r="AI568" s="5" t="n"/>
      <c r="AJ568" s="125" t="n"/>
      <c r="AK568" s="125" t="n"/>
    </row>
    <row r="569"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125" t="n"/>
      <c r="AH569" s="125" t="n"/>
      <c r="AI569" s="5" t="n"/>
      <c r="AJ569" s="125" t="n"/>
      <c r="AK569" s="125" t="n"/>
    </row>
    <row r="570"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125" t="n"/>
      <c r="AH570" s="125" t="n"/>
      <c r="AI570" s="5" t="n"/>
      <c r="AJ570" s="125" t="n"/>
      <c r="AK570" s="125" t="n"/>
    </row>
    <row r="571"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125" t="n"/>
      <c r="AH571" s="125" t="n"/>
      <c r="AI571" s="5" t="n"/>
      <c r="AJ571" s="125" t="n"/>
      <c r="AK571" s="125" t="n"/>
    </row>
    <row r="572"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125" t="n"/>
      <c r="AH572" s="125" t="n"/>
      <c r="AI572" s="5" t="n"/>
      <c r="AJ572" s="125" t="n"/>
      <c r="AK572" s="125" t="n"/>
    </row>
    <row r="573"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125" t="n"/>
      <c r="AH573" s="125" t="n"/>
      <c r="AI573" s="5" t="n"/>
      <c r="AJ573" s="125" t="n"/>
      <c r="AK573" s="125" t="n"/>
    </row>
    <row r="574"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125" t="n"/>
      <c r="AH574" s="125" t="n"/>
      <c r="AI574" s="5" t="n"/>
      <c r="AJ574" s="125" t="n"/>
      <c r="AK574" s="125" t="n"/>
    </row>
    <row r="575"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125" t="n"/>
      <c r="AH575" s="125" t="n"/>
      <c r="AI575" s="5" t="n"/>
      <c r="AJ575" s="125" t="n"/>
      <c r="AK575" s="125" t="n"/>
    </row>
    <row r="576"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125" t="n"/>
      <c r="AH576" s="125" t="n"/>
      <c r="AI576" s="5" t="n"/>
      <c r="AJ576" s="125" t="n"/>
      <c r="AK576" s="125" t="n"/>
    </row>
    <row r="577"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125" t="n"/>
      <c r="AH577" s="125" t="n"/>
      <c r="AI577" s="5" t="n"/>
      <c r="AJ577" s="125" t="n"/>
      <c r="AK577" s="125" t="n"/>
    </row>
    <row r="578"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125" t="n"/>
      <c r="AH578" s="125" t="n"/>
      <c r="AI578" s="5" t="n"/>
      <c r="AJ578" s="125" t="n"/>
      <c r="AK578" s="125" t="n"/>
    </row>
    <row r="579"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125" t="n"/>
      <c r="AH579" s="125" t="n"/>
      <c r="AI579" s="5" t="n"/>
      <c r="AJ579" s="125" t="n"/>
      <c r="AK579" s="125" t="n"/>
    </row>
    <row r="580"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125" t="n"/>
      <c r="AH580" s="125" t="n"/>
      <c r="AI580" s="5" t="n"/>
      <c r="AJ580" s="125" t="n"/>
      <c r="AK580" s="125" t="n"/>
    </row>
    <row r="581"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125" t="n"/>
      <c r="AH581" s="125" t="n"/>
      <c r="AI581" s="5" t="n"/>
      <c r="AJ581" s="125" t="n"/>
      <c r="AK581" s="125" t="n"/>
    </row>
    <row r="582"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125" t="n"/>
      <c r="AH582" s="125" t="n"/>
      <c r="AI582" s="5" t="n"/>
      <c r="AJ582" s="125" t="n"/>
      <c r="AK582" s="125" t="n"/>
    </row>
    <row r="583"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125" t="n"/>
      <c r="AH583" s="125" t="n"/>
      <c r="AI583" s="5" t="n"/>
      <c r="AJ583" s="125" t="n"/>
      <c r="AK583" s="125" t="n"/>
    </row>
    <row r="584"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125" t="n"/>
      <c r="AH584" s="125" t="n"/>
      <c r="AI584" s="5" t="n"/>
      <c r="AJ584" s="125" t="n"/>
      <c r="AK584" s="125" t="n"/>
    </row>
    <row r="585"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125" t="n"/>
      <c r="AH585" s="125" t="n"/>
      <c r="AI585" s="5" t="n"/>
      <c r="AJ585" s="125" t="n"/>
      <c r="AK585" s="125" t="n"/>
    </row>
    <row r="586"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125" t="n"/>
      <c r="AH586" s="125" t="n"/>
      <c r="AI586" s="5" t="n"/>
      <c r="AJ586" s="125" t="n"/>
      <c r="AK586" s="125" t="n"/>
    </row>
    <row r="587"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125" t="n"/>
      <c r="AH587" s="125" t="n"/>
      <c r="AI587" s="5" t="n"/>
      <c r="AJ587" s="125" t="n"/>
      <c r="AK587" s="125" t="n"/>
    </row>
    <row r="588"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125" t="n"/>
      <c r="AH588" s="125" t="n"/>
      <c r="AI588" s="5" t="n"/>
      <c r="AJ588" s="125" t="n"/>
      <c r="AK588" s="125" t="n"/>
    </row>
    <row r="589"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125" t="n"/>
      <c r="AH589" s="125" t="n"/>
      <c r="AI589" s="5" t="n"/>
      <c r="AJ589" s="125" t="n"/>
      <c r="AK589" s="125" t="n"/>
    </row>
    <row r="590"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125" t="n"/>
      <c r="AH590" s="125" t="n"/>
      <c r="AI590" s="5" t="n"/>
      <c r="AJ590" s="125" t="n"/>
      <c r="AK590" s="125" t="n"/>
    </row>
    <row r="591"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125" t="n"/>
      <c r="AH591" s="125" t="n"/>
      <c r="AI591" s="5" t="n"/>
      <c r="AJ591" s="125" t="n"/>
      <c r="AK591" s="125" t="n"/>
    </row>
    <row r="592"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125" t="n"/>
      <c r="AH592" s="125" t="n"/>
      <c r="AI592" s="5" t="n"/>
      <c r="AJ592" s="125" t="n"/>
      <c r="AK592" s="125" t="n"/>
    </row>
    <row r="593"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125" t="n"/>
      <c r="AH593" s="125" t="n"/>
      <c r="AI593" s="5" t="n"/>
      <c r="AJ593" s="125" t="n"/>
      <c r="AK593" s="125" t="n"/>
    </row>
    <row r="594"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125" t="n"/>
      <c r="AH594" s="125" t="n"/>
      <c r="AI594" s="5" t="n"/>
      <c r="AJ594" s="125" t="n"/>
      <c r="AK594" s="125" t="n"/>
    </row>
    <row r="595"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125" t="n"/>
      <c r="AH595" s="125" t="n"/>
      <c r="AI595" s="5" t="n"/>
      <c r="AJ595" s="125" t="n"/>
      <c r="AK595" s="125" t="n"/>
    </row>
    <row r="596"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125" t="n"/>
      <c r="AH596" s="125" t="n"/>
      <c r="AI596" s="5" t="n"/>
      <c r="AJ596" s="125" t="n"/>
      <c r="AK596" s="125" t="n"/>
    </row>
    <row r="597"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125" t="n"/>
      <c r="AH597" s="125" t="n"/>
      <c r="AI597" s="5" t="n"/>
      <c r="AJ597" s="125" t="n"/>
      <c r="AK597" s="125" t="n"/>
    </row>
    <row r="598"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125" t="n"/>
      <c r="AH598" s="125" t="n"/>
      <c r="AI598" s="5" t="n"/>
      <c r="AJ598" s="125" t="n"/>
      <c r="AK598" s="125" t="n"/>
    </row>
    <row r="599"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125" t="n"/>
      <c r="AH599" s="125" t="n"/>
      <c r="AI599" s="5" t="n"/>
      <c r="AJ599" s="125" t="n"/>
      <c r="AK599" s="125" t="n"/>
    </row>
    <row r="600"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125" t="n"/>
      <c r="AH600" s="125" t="n"/>
      <c r="AI600" s="5" t="n"/>
      <c r="AJ600" s="125" t="n"/>
      <c r="AK600" s="125" t="n"/>
    </row>
    <row r="601"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125" t="n"/>
      <c r="AH601" s="125" t="n"/>
      <c r="AI601" s="5" t="n"/>
      <c r="AJ601" s="125" t="n"/>
      <c r="AK601" s="125" t="n"/>
    </row>
    <row r="602"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125" t="n"/>
      <c r="AH602" s="125" t="n"/>
      <c r="AI602" s="5" t="n"/>
      <c r="AJ602" s="125" t="n"/>
      <c r="AK602" s="125" t="n"/>
    </row>
    <row r="603"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125" t="n"/>
      <c r="AH603" s="125" t="n"/>
      <c r="AI603" s="5" t="n"/>
      <c r="AJ603" s="125" t="n"/>
      <c r="AK603" s="125" t="n"/>
    </row>
    <row r="604"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125" t="n"/>
      <c r="AH604" s="125" t="n"/>
      <c r="AI604" s="5" t="n"/>
      <c r="AJ604" s="125" t="n"/>
      <c r="AK604" s="125" t="n"/>
    </row>
    <row r="605"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125" t="n"/>
      <c r="AH605" s="125" t="n"/>
      <c r="AI605" s="5" t="n"/>
      <c r="AJ605" s="125" t="n"/>
      <c r="AK605" s="125" t="n"/>
    </row>
    <row r="606"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125" t="n"/>
      <c r="AH606" s="125" t="n"/>
      <c r="AI606" s="5" t="n"/>
      <c r="AJ606" s="125" t="n"/>
      <c r="AK606" s="125" t="n"/>
    </row>
    <row r="607"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125" t="n"/>
      <c r="AH607" s="125" t="n"/>
      <c r="AI607" s="5" t="n"/>
      <c r="AJ607" s="125" t="n"/>
      <c r="AK607" s="125" t="n"/>
    </row>
    <row r="608"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125" t="n"/>
      <c r="AH608" s="125" t="n"/>
      <c r="AI608" s="5" t="n"/>
      <c r="AJ608" s="125" t="n"/>
      <c r="AK608" s="125" t="n"/>
    </row>
    <row r="609"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125" t="n"/>
      <c r="AH609" s="125" t="n"/>
      <c r="AI609" s="5" t="n"/>
      <c r="AJ609" s="125" t="n"/>
      <c r="AK609" s="125" t="n"/>
    </row>
    <row r="610"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125" t="n"/>
      <c r="AH610" s="125" t="n"/>
      <c r="AI610" s="5" t="n"/>
      <c r="AJ610" s="125" t="n"/>
      <c r="AK610" s="125" t="n"/>
    </row>
    <row r="611"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125" t="n"/>
      <c r="AH611" s="125" t="n"/>
      <c r="AI611" s="5" t="n"/>
      <c r="AJ611" s="125" t="n"/>
      <c r="AK611" s="125" t="n"/>
    </row>
    <row r="612"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125" t="n"/>
      <c r="AH612" s="125" t="n"/>
      <c r="AI612" s="5" t="n"/>
      <c r="AJ612" s="125" t="n"/>
      <c r="AK612" s="125" t="n"/>
    </row>
    <row r="613"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125" t="n"/>
      <c r="AH613" s="125" t="n"/>
      <c r="AI613" s="5" t="n"/>
      <c r="AJ613" s="125" t="n"/>
      <c r="AK613" s="125" t="n"/>
    </row>
    <row r="614"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125" t="n"/>
      <c r="AH614" s="125" t="n"/>
      <c r="AI614" s="5" t="n"/>
      <c r="AJ614" s="125" t="n"/>
      <c r="AK614" s="125" t="n"/>
    </row>
    <row r="615"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125" t="n"/>
      <c r="AH615" s="125" t="n"/>
      <c r="AI615" s="5" t="n"/>
      <c r="AJ615" s="125" t="n"/>
      <c r="AK615" s="125" t="n"/>
    </row>
    <row r="616"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125" t="n"/>
      <c r="AH616" s="125" t="n"/>
      <c r="AI616" s="5" t="n"/>
      <c r="AJ616" s="125" t="n"/>
      <c r="AK616" s="125" t="n"/>
    </row>
    <row r="617"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125" t="n"/>
      <c r="AH617" s="125" t="n"/>
      <c r="AI617" s="5" t="n"/>
      <c r="AJ617" s="125" t="n"/>
      <c r="AK617" s="125" t="n"/>
    </row>
    <row r="618"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125" t="n"/>
      <c r="AH618" s="125" t="n"/>
      <c r="AI618" s="5" t="n"/>
      <c r="AJ618" s="125" t="n"/>
      <c r="AK618" s="125" t="n"/>
    </row>
    <row r="619"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125" t="n"/>
      <c r="AH619" s="125" t="n"/>
      <c r="AI619" s="5" t="n"/>
      <c r="AJ619" s="125" t="n"/>
      <c r="AK619" s="125" t="n"/>
    </row>
    <row r="620"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125" t="n"/>
      <c r="AH620" s="125" t="n"/>
      <c r="AI620" s="5" t="n"/>
      <c r="AJ620" s="125" t="n"/>
      <c r="AK620" s="125" t="n"/>
    </row>
    <row r="621"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125" t="n"/>
      <c r="AH621" s="125" t="n"/>
      <c r="AI621" s="5" t="n"/>
      <c r="AJ621" s="125" t="n"/>
      <c r="AK621" s="125" t="n"/>
    </row>
    <row r="622"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125" t="n"/>
      <c r="AH622" s="125" t="n"/>
      <c r="AI622" s="5" t="n"/>
      <c r="AJ622" s="125" t="n"/>
      <c r="AK622" s="125" t="n"/>
    </row>
    <row r="623"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125" t="n"/>
      <c r="AH623" s="125" t="n"/>
      <c r="AI623" s="5" t="n"/>
      <c r="AJ623" s="125" t="n"/>
      <c r="AK623" s="125" t="n"/>
    </row>
    <row r="624"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125" t="n"/>
      <c r="AH624" s="125" t="n"/>
      <c r="AI624" s="5" t="n"/>
      <c r="AJ624" s="125" t="n"/>
      <c r="AK624" s="125" t="n"/>
    </row>
    <row r="625"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125" t="n"/>
      <c r="AH625" s="125" t="n"/>
      <c r="AI625" s="5" t="n"/>
      <c r="AJ625" s="125" t="n"/>
      <c r="AK625" s="125" t="n"/>
    </row>
    <row r="626"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125" t="n"/>
      <c r="AH626" s="125" t="n"/>
      <c r="AI626" s="5" t="n"/>
      <c r="AJ626" s="125" t="n"/>
      <c r="AK626" s="125" t="n"/>
    </row>
    <row r="627"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125" t="n"/>
      <c r="AH627" s="125" t="n"/>
      <c r="AI627" s="5" t="n"/>
      <c r="AJ627" s="125" t="n"/>
      <c r="AK627" s="125" t="n"/>
    </row>
    <row r="628"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125" t="n"/>
      <c r="AH628" s="125" t="n"/>
      <c r="AI628" s="5" t="n"/>
      <c r="AJ628" s="125" t="n"/>
      <c r="AK628" s="125" t="n"/>
    </row>
    <row r="629"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125" t="n"/>
      <c r="AH629" s="125" t="n"/>
      <c r="AI629" s="5" t="n"/>
      <c r="AJ629" s="125" t="n"/>
      <c r="AK629" s="125" t="n"/>
    </row>
    <row r="630"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125" t="n"/>
      <c r="AH630" s="125" t="n"/>
      <c r="AI630" s="5" t="n"/>
      <c r="AJ630" s="125" t="n"/>
      <c r="AK630" s="125" t="n"/>
    </row>
    <row r="631"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125" t="n"/>
      <c r="AH631" s="125" t="n"/>
      <c r="AI631" s="5" t="n"/>
      <c r="AJ631" s="125" t="n"/>
      <c r="AK631" s="125" t="n"/>
    </row>
    <row r="632"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125" t="n"/>
      <c r="AH632" s="125" t="n"/>
      <c r="AI632" s="5" t="n"/>
      <c r="AJ632" s="125" t="n"/>
      <c r="AK632" s="125" t="n"/>
    </row>
    <row r="633"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125" t="n"/>
      <c r="AH633" s="125" t="n"/>
      <c r="AI633" s="5" t="n"/>
      <c r="AJ633" s="125" t="n"/>
      <c r="AK633" s="125" t="n"/>
    </row>
    <row r="634"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125" t="n"/>
      <c r="AH634" s="125" t="n"/>
      <c r="AI634" s="5" t="n"/>
      <c r="AJ634" s="125" t="n"/>
      <c r="AK634" s="125" t="n"/>
    </row>
    <row r="635"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125" t="n"/>
      <c r="AH635" s="125" t="n"/>
      <c r="AI635" s="5" t="n"/>
      <c r="AJ635" s="125" t="n"/>
      <c r="AK635" s="125" t="n"/>
    </row>
    <row r="636"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125" t="n"/>
      <c r="AH636" s="125" t="n"/>
      <c r="AI636" s="5" t="n"/>
      <c r="AJ636" s="125" t="n"/>
      <c r="AK636" s="125" t="n"/>
    </row>
    <row r="637"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125" t="n"/>
      <c r="AH637" s="125" t="n"/>
      <c r="AI637" s="5" t="n"/>
      <c r="AJ637" s="125" t="n"/>
      <c r="AK637" s="125" t="n"/>
    </row>
    <row r="638"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125" t="n"/>
      <c r="AH638" s="125" t="n"/>
      <c r="AI638" s="5" t="n"/>
      <c r="AJ638" s="125" t="n"/>
      <c r="AK638" s="125" t="n"/>
    </row>
    <row r="639"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125" t="n"/>
      <c r="AH639" s="125" t="n"/>
      <c r="AI639" s="5" t="n"/>
      <c r="AJ639" s="125" t="n"/>
      <c r="AK639" s="125" t="n"/>
    </row>
    <row r="640"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125" t="n"/>
      <c r="AH640" s="125" t="n"/>
      <c r="AI640" s="5" t="n"/>
      <c r="AJ640" s="125" t="n"/>
      <c r="AK640" s="125" t="n"/>
    </row>
    <row r="641"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125" t="n"/>
      <c r="AH641" s="125" t="n"/>
      <c r="AI641" s="5" t="n"/>
      <c r="AJ641" s="125" t="n"/>
      <c r="AK641" s="125" t="n"/>
    </row>
    <row r="642"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125" t="n"/>
      <c r="AH642" s="125" t="n"/>
      <c r="AI642" s="5" t="n"/>
      <c r="AJ642" s="125" t="n"/>
      <c r="AK642" s="125" t="n"/>
    </row>
    <row r="643"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125" t="n"/>
      <c r="AH643" s="125" t="n"/>
      <c r="AI643" s="5" t="n"/>
      <c r="AJ643" s="125" t="n"/>
      <c r="AK643" s="125" t="n"/>
    </row>
    <row r="644"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125" t="n"/>
      <c r="AH644" s="125" t="n"/>
      <c r="AI644" s="5" t="n"/>
      <c r="AJ644" s="125" t="n"/>
      <c r="AK644" s="125" t="n"/>
    </row>
    <row r="645"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125" t="n"/>
      <c r="AH645" s="125" t="n"/>
      <c r="AI645" s="5" t="n"/>
      <c r="AJ645" s="125" t="n"/>
      <c r="AK645" s="125" t="n"/>
    </row>
    <row r="646"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125" t="n"/>
      <c r="AH646" s="125" t="n"/>
      <c r="AI646" s="5" t="n"/>
      <c r="AJ646" s="125" t="n"/>
      <c r="AK646" s="125" t="n"/>
    </row>
    <row r="647"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125" t="n"/>
      <c r="AH647" s="125" t="n"/>
      <c r="AI647" s="5" t="n"/>
      <c r="AJ647" s="125" t="n"/>
      <c r="AK647" s="125" t="n"/>
    </row>
    <row r="648"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125" t="n"/>
      <c r="AH648" s="125" t="n"/>
      <c r="AI648" s="5" t="n"/>
      <c r="AJ648" s="125" t="n"/>
      <c r="AK648" s="125" t="n"/>
    </row>
    <row r="649"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125" t="n"/>
      <c r="AH649" s="125" t="n"/>
      <c r="AI649" s="5" t="n"/>
      <c r="AJ649" s="125" t="n"/>
      <c r="AK649" s="125" t="n"/>
    </row>
    <row r="650"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125" t="n"/>
      <c r="AH650" s="125" t="n"/>
      <c r="AI650" s="5" t="n"/>
      <c r="AJ650" s="125" t="n"/>
      <c r="AK650" s="125" t="n"/>
    </row>
    <row r="651"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125" t="n"/>
      <c r="AH651" s="125" t="n"/>
      <c r="AI651" s="5" t="n"/>
      <c r="AJ651" s="125" t="n"/>
      <c r="AK651" s="125" t="n"/>
    </row>
    <row r="652"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125" t="n"/>
      <c r="AH652" s="125" t="n"/>
      <c r="AI652" s="5" t="n"/>
      <c r="AJ652" s="125" t="n"/>
      <c r="AK652" s="125" t="n"/>
    </row>
    <row r="653"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125" t="n"/>
      <c r="AH653" s="125" t="n"/>
      <c r="AI653" s="5" t="n"/>
      <c r="AJ653" s="125" t="n"/>
      <c r="AK653" s="125" t="n"/>
    </row>
    <row r="654"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125" t="n"/>
      <c r="AH654" s="125" t="n"/>
      <c r="AI654" s="5" t="n"/>
      <c r="AJ654" s="125" t="n"/>
      <c r="AK654" s="125" t="n"/>
    </row>
    <row r="655"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125" t="n"/>
      <c r="AH655" s="125" t="n"/>
      <c r="AI655" s="5" t="n"/>
      <c r="AJ655" s="125" t="n"/>
      <c r="AK655" s="125" t="n"/>
    </row>
    <row r="656"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125" t="n"/>
      <c r="AH656" s="125" t="n"/>
      <c r="AI656" s="5" t="n"/>
      <c r="AJ656" s="125" t="n"/>
      <c r="AK656" s="125" t="n"/>
    </row>
    <row r="657"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125" t="n"/>
      <c r="AH657" s="125" t="n"/>
      <c r="AI657" s="5" t="n"/>
      <c r="AJ657" s="125" t="n"/>
      <c r="AK657" s="125" t="n"/>
    </row>
    <row r="658"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125" t="n"/>
      <c r="AH658" s="125" t="n"/>
      <c r="AI658" s="5" t="n"/>
      <c r="AJ658" s="125" t="n"/>
      <c r="AK658" s="125" t="n"/>
    </row>
    <row r="659"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125" t="n"/>
      <c r="AH659" s="125" t="n"/>
      <c r="AI659" s="5" t="n"/>
      <c r="AJ659" s="125" t="n"/>
      <c r="AK659" s="125" t="n"/>
    </row>
    <row r="660"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125" t="n"/>
      <c r="AH660" s="125" t="n"/>
      <c r="AI660" s="5" t="n"/>
      <c r="AJ660" s="125" t="n"/>
      <c r="AK660" s="125" t="n"/>
    </row>
    <row r="661"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125" t="n"/>
      <c r="AH661" s="125" t="n"/>
      <c r="AI661" s="5" t="n"/>
      <c r="AJ661" s="125" t="n"/>
      <c r="AK661" s="125" t="n"/>
    </row>
    <row r="662"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125" t="n"/>
      <c r="AH662" s="125" t="n"/>
      <c r="AI662" s="5" t="n"/>
      <c r="AJ662" s="125" t="n"/>
      <c r="AK662" s="125" t="n"/>
    </row>
    <row r="663"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125" t="n"/>
      <c r="AH663" s="125" t="n"/>
      <c r="AI663" s="5" t="n"/>
      <c r="AJ663" s="125" t="n"/>
      <c r="AK663" s="125" t="n"/>
    </row>
    <row r="664"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125" t="n"/>
      <c r="AH664" s="125" t="n"/>
      <c r="AI664" s="5" t="n"/>
      <c r="AJ664" s="125" t="n"/>
      <c r="AK664" s="125" t="n"/>
    </row>
    <row r="665"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125" t="n"/>
      <c r="AH665" s="125" t="n"/>
      <c r="AI665" s="5" t="n"/>
      <c r="AJ665" s="125" t="n"/>
      <c r="AK665" s="125" t="n"/>
    </row>
    <row r="666"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125" t="n"/>
      <c r="AH666" s="125" t="n"/>
      <c r="AI666" s="5" t="n"/>
      <c r="AJ666" s="125" t="n"/>
      <c r="AK666" s="125" t="n"/>
    </row>
    <row r="667"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125" t="n"/>
      <c r="AH667" s="125" t="n"/>
      <c r="AI667" s="5" t="n"/>
      <c r="AJ667" s="125" t="n"/>
      <c r="AK667" s="125" t="n"/>
    </row>
    <row r="668"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125" t="n"/>
      <c r="AH668" s="125" t="n"/>
      <c r="AI668" s="5" t="n"/>
      <c r="AJ668" s="125" t="n"/>
      <c r="AK668" s="125" t="n"/>
    </row>
    <row r="669"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125" t="n"/>
      <c r="AH669" s="125" t="n"/>
      <c r="AI669" s="5" t="n"/>
      <c r="AJ669" s="125" t="n"/>
      <c r="AK669" s="125" t="n"/>
    </row>
    <row r="670"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125" t="n"/>
      <c r="AH670" s="125" t="n"/>
      <c r="AI670" s="5" t="n"/>
      <c r="AJ670" s="125" t="n"/>
      <c r="AK670" s="125" t="n"/>
    </row>
    <row r="671"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125" t="n"/>
      <c r="AH671" s="125" t="n"/>
      <c r="AI671" s="5" t="n"/>
      <c r="AJ671" s="125" t="n"/>
      <c r="AK671" s="125" t="n"/>
    </row>
    <row r="672"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125" t="n"/>
      <c r="AH672" s="125" t="n"/>
      <c r="AI672" s="5" t="n"/>
      <c r="AJ672" s="125" t="n"/>
      <c r="AK672" s="125" t="n"/>
    </row>
    <row r="673"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125" t="n"/>
      <c r="AH673" s="125" t="n"/>
      <c r="AI673" s="5" t="n"/>
      <c r="AJ673" s="125" t="n"/>
      <c r="AK673" s="125" t="n"/>
    </row>
    <row r="674"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125" t="n"/>
      <c r="AH674" s="125" t="n"/>
      <c r="AI674" s="5" t="n"/>
      <c r="AJ674" s="125" t="n"/>
      <c r="AK674" s="125" t="n"/>
    </row>
    <row r="675"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125" t="n"/>
      <c r="AH675" s="125" t="n"/>
      <c r="AI675" s="5" t="n"/>
      <c r="AJ675" s="125" t="n"/>
      <c r="AK675" s="125" t="n"/>
    </row>
    <row r="676"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125" t="n"/>
      <c r="AH676" s="125" t="n"/>
      <c r="AI676" s="5" t="n"/>
      <c r="AJ676" s="125" t="n"/>
      <c r="AK676" s="125" t="n"/>
    </row>
    <row r="677"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125" t="n"/>
      <c r="AH677" s="125" t="n"/>
      <c r="AI677" s="5" t="n"/>
      <c r="AJ677" s="125" t="n"/>
      <c r="AK677" s="125" t="n"/>
    </row>
    <row r="678"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125" t="n"/>
      <c r="AH678" s="125" t="n"/>
      <c r="AI678" s="5" t="n"/>
      <c r="AJ678" s="125" t="n"/>
      <c r="AK678" s="125" t="n"/>
    </row>
    <row r="679"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125" t="n"/>
      <c r="AH679" s="125" t="n"/>
      <c r="AI679" s="5" t="n"/>
      <c r="AJ679" s="125" t="n"/>
      <c r="AK679" s="125" t="n"/>
    </row>
    <row r="680"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125" t="n"/>
      <c r="AH680" s="125" t="n"/>
      <c r="AI680" s="5" t="n"/>
      <c r="AJ680" s="125" t="n"/>
      <c r="AK680" s="125" t="n"/>
    </row>
    <row r="681"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125" t="n"/>
      <c r="AH681" s="125" t="n"/>
      <c r="AI681" s="5" t="n"/>
      <c r="AJ681" s="125" t="n"/>
      <c r="AK681" s="125" t="n"/>
    </row>
    <row r="682"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125" t="n"/>
      <c r="AH682" s="125" t="n"/>
      <c r="AI682" s="5" t="n"/>
      <c r="AJ682" s="125" t="n"/>
      <c r="AK682" s="125" t="n"/>
    </row>
    <row r="683"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125" t="n"/>
      <c r="AH683" s="125" t="n"/>
      <c r="AI683" s="5" t="n"/>
      <c r="AJ683" s="125" t="n"/>
      <c r="AK683" s="125" t="n"/>
    </row>
    <row r="684"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125" t="n"/>
      <c r="AH684" s="125" t="n"/>
      <c r="AI684" s="5" t="n"/>
      <c r="AJ684" s="125" t="n"/>
      <c r="AK684" s="125" t="n"/>
    </row>
    <row r="685"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125" t="n"/>
      <c r="AH685" s="125" t="n"/>
      <c r="AI685" s="5" t="n"/>
      <c r="AJ685" s="125" t="n"/>
      <c r="AK685" s="125" t="n"/>
    </row>
    <row r="686"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125" t="n"/>
      <c r="AH686" s="125" t="n"/>
      <c r="AI686" s="5" t="n"/>
      <c r="AJ686" s="125" t="n"/>
      <c r="AK686" s="125" t="n"/>
    </row>
    <row r="687"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125" t="n"/>
      <c r="AH687" s="125" t="n"/>
      <c r="AI687" s="5" t="n"/>
      <c r="AJ687" s="125" t="n"/>
      <c r="AK687" s="125" t="n"/>
    </row>
    <row r="688"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125" t="n"/>
      <c r="AH688" s="125" t="n"/>
      <c r="AI688" s="5" t="n"/>
      <c r="AJ688" s="125" t="n"/>
      <c r="AK688" s="125" t="n"/>
    </row>
    <row r="689"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125" t="n"/>
      <c r="AH689" s="125" t="n"/>
      <c r="AI689" s="5" t="n"/>
      <c r="AJ689" s="125" t="n"/>
      <c r="AK689" s="125" t="n"/>
    </row>
    <row r="690"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125" t="n"/>
      <c r="AH690" s="125" t="n"/>
      <c r="AI690" s="5" t="n"/>
      <c r="AJ690" s="125" t="n"/>
      <c r="AK690" s="125" t="n"/>
    </row>
    <row r="691"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125" t="n"/>
      <c r="AH691" s="125" t="n"/>
      <c r="AI691" s="5" t="n"/>
      <c r="AJ691" s="125" t="n"/>
      <c r="AK691" s="125" t="n"/>
    </row>
    <row r="692"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125" t="n"/>
      <c r="AH692" s="125" t="n"/>
      <c r="AI692" s="5" t="n"/>
      <c r="AJ692" s="125" t="n"/>
      <c r="AK692" s="125" t="n"/>
    </row>
    <row r="693"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125" t="n"/>
      <c r="AH693" s="125" t="n"/>
      <c r="AI693" s="5" t="n"/>
      <c r="AJ693" s="125" t="n"/>
      <c r="AK693" s="125" t="n"/>
    </row>
    <row r="694"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125" t="n"/>
      <c r="AH694" s="125" t="n"/>
      <c r="AI694" s="5" t="n"/>
      <c r="AJ694" s="125" t="n"/>
      <c r="AK694" s="125" t="n"/>
    </row>
    <row r="695"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125" t="n"/>
      <c r="AH695" s="125" t="n"/>
      <c r="AI695" s="5" t="n"/>
      <c r="AJ695" s="125" t="n"/>
      <c r="AK695" s="125" t="n"/>
    </row>
    <row r="696"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125" t="n"/>
      <c r="AH696" s="125" t="n"/>
      <c r="AI696" s="5" t="n"/>
      <c r="AJ696" s="125" t="n"/>
      <c r="AK696" s="125" t="n"/>
    </row>
    <row r="697"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125" t="n"/>
      <c r="AH697" s="125" t="n"/>
      <c r="AI697" s="5" t="n"/>
      <c r="AJ697" s="125" t="n"/>
      <c r="AK697" s="125" t="n"/>
    </row>
    <row r="698"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125" t="n"/>
      <c r="AH698" s="125" t="n"/>
      <c r="AI698" s="5" t="n"/>
      <c r="AJ698" s="125" t="n"/>
      <c r="AK698" s="125" t="n"/>
    </row>
    <row r="699"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125" t="n"/>
      <c r="AH699" s="125" t="n"/>
      <c r="AI699" s="5" t="n"/>
      <c r="AJ699" s="125" t="n"/>
      <c r="AK699" s="125" t="n"/>
    </row>
    <row r="700"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125" t="n"/>
      <c r="AH700" s="125" t="n"/>
      <c r="AI700" s="5" t="n"/>
      <c r="AJ700" s="125" t="n"/>
      <c r="AK700" s="125" t="n"/>
    </row>
    <row r="701"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125" t="n"/>
      <c r="AH701" s="125" t="n"/>
      <c r="AI701" s="5" t="n"/>
      <c r="AJ701" s="125" t="n"/>
      <c r="AK701" s="125" t="n"/>
    </row>
    <row r="702"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125" t="n"/>
      <c r="AH702" s="125" t="n"/>
      <c r="AI702" s="5" t="n"/>
      <c r="AJ702" s="125" t="n"/>
      <c r="AK702" s="125" t="n"/>
    </row>
    <row r="703"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125" t="n"/>
      <c r="AH703" s="125" t="n"/>
      <c r="AI703" s="5" t="n"/>
      <c r="AJ703" s="125" t="n"/>
      <c r="AK703" s="125" t="n"/>
    </row>
    <row r="704"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125" t="n"/>
      <c r="AH704" s="125" t="n"/>
      <c r="AI704" s="5" t="n"/>
      <c r="AJ704" s="125" t="n"/>
      <c r="AK704" s="125" t="n"/>
    </row>
    <row r="705"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125" t="n"/>
      <c r="AH705" s="125" t="n"/>
      <c r="AI705" s="5" t="n"/>
      <c r="AJ705" s="125" t="n"/>
      <c r="AK705" s="125" t="n"/>
    </row>
    <row r="706"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125" t="n"/>
      <c r="AH706" s="125" t="n"/>
      <c r="AI706" s="5" t="n"/>
      <c r="AJ706" s="125" t="n"/>
      <c r="AK706" s="125" t="n"/>
    </row>
    <row r="707"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125" t="n"/>
      <c r="AH707" s="125" t="n"/>
      <c r="AI707" s="5" t="n"/>
      <c r="AJ707" s="125" t="n"/>
      <c r="AK707" s="125" t="n"/>
    </row>
    <row r="708"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125" t="n"/>
      <c r="AH708" s="125" t="n"/>
      <c r="AI708" s="5" t="n"/>
      <c r="AJ708" s="125" t="n"/>
      <c r="AK708" s="125" t="n"/>
    </row>
    <row r="709"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125" t="n"/>
      <c r="AH709" s="125" t="n"/>
      <c r="AI709" s="5" t="n"/>
      <c r="AJ709" s="125" t="n"/>
      <c r="AK709" s="125" t="n"/>
    </row>
    <row r="710"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125" t="n"/>
      <c r="AH710" s="125" t="n"/>
      <c r="AI710" s="5" t="n"/>
      <c r="AJ710" s="125" t="n"/>
      <c r="AK710" s="125" t="n"/>
    </row>
    <row r="711"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125" t="n"/>
      <c r="AH711" s="125" t="n"/>
      <c r="AI711" s="5" t="n"/>
      <c r="AJ711" s="125" t="n"/>
      <c r="AK711" s="125" t="n"/>
    </row>
    <row r="712"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125" t="n"/>
      <c r="AH712" s="125" t="n"/>
      <c r="AI712" s="5" t="n"/>
      <c r="AJ712" s="125" t="n"/>
      <c r="AK712" s="125" t="n"/>
    </row>
    <row r="713"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125" t="n"/>
      <c r="AH713" s="125" t="n"/>
      <c r="AI713" s="5" t="n"/>
      <c r="AJ713" s="125" t="n"/>
      <c r="AK713" s="125" t="n"/>
    </row>
    <row r="714"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125" t="n"/>
      <c r="AH714" s="125" t="n"/>
      <c r="AI714" s="5" t="n"/>
      <c r="AJ714" s="125" t="n"/>
      <c r="AK714" s="125" t="n"/>
    </row>
    <row r="715"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125" t="n"/>
      <c r="AH715" s="125" t="n"/>
      <c r="AI715" s="5" t="n"/>
      <c r="AJ715" s="125" t="n"/>
      <c r="AK715" s="125" t="n"/>
    </row>
    <row r="716"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125" t="n"/>
      <c r="AH716" s="125" t="n"/>
      <c r="AI716" s="5" t="n"/>
      <c r="AJ716" s="125" t="n"/>
      <c r="AK716" s="125" t="n"/>
    </row>
    <row r="717"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125" t="n"/>
      <c r="AH717" s="125" t="n"/>
      <c r="AI717" s="5" t="n"/>
      <c r="AJ717" s="125" t="n"/>
      <c r="AK717" s="125" t="n"/>
    </row>
    <row r="718"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125" t="n"/>
      <c r="AH718" s="125" t="n"/>
      <c r="AI718" s="5" t="n"/>
      <c r="AJ718" s="125" t="n"/>
      <c r="AK718" s="125" t="n"/>
    </row>
    <row r="719"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125" t="n"/>
      <c r="AH719" s="125" t="n"/>
      <c r="AI719" s="5" t="n"/>
      <c r="AJ719" s="125" t="n"/>
      <c r="AK719" s="125" t="n"/>
    </row>
    <row r="720"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125" t="n"/>
      <c r="AH720" s="125" t="n"/>
      <c r="AI720" s="5" t="n"/>
      <c r="AJ720" s="125" t="n"/>
      <c r="AK720" s="125" t="n"/>
    </row>
    <row r="721"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125" t="n"/>
      <c r="AH721" s="125" t="n"/>
      <c r="AI721" s="5" t="n"/>
      <c r="AJ721" s="125" t="n"/>
      <c r="AK721" s="125" t="n"/>
    </row>
    <row r="722"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125" t="n"/>
      <c r="AH722" s="125" t="n"/>
      <c r="AI722" s="5" t="n"/>
      <c r="AJ722" s="125" t="n"/>
      <c r="AK722" s="125" t="n"/>
    </row>
    <row r="723"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125" t="n"/>
      <c r="AH723" s="125" t="n"/>
      <c r="AI723" s="5" t="n"/>
      <c r="AJ723" s="125" t="n"/>
      <c r="AK723" s="125" t="n"/>
    </row>
    <row r="724"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125" t="n"/>
      <c r="AH724" s="125" t="n"/>
      <c r="AI724" s="5" t="n"/>
      <c r="AJ724" s="125" t="n"/>
      <c r="AK724" s="125" t="n"/>
    </row>
    <row r="725"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125" t="n"/>
      <c r="AH725" s="125" t="n"/>
      <c r="AI725" s="5" t="n"/>
      <c r="AJ725" s="125" t="n"/>
      <c r="AK725" s="125" t="n"/>
    </row>
    <row r="726"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125" t="n"/>
      <c r="AH726" s="125" t="n"/>
      <c r="AI726" s="5" t="n"/>
      <c r="AJ726" s="125" t="n"/>
      <c r="AK726" s="125" t="n"/>
    </row>
    <row r="727"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125" t="n"/>
      <c r="AH727" s="125" t="n"/>
      <c r="AI727" s="5" t="n"/>
      <c r="AJ727" s="125" t="n"/>
      <c r="AK727" s="125" t="n"/>
    </row>
    <row r="728"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125" t="n"/>
      <c r="AH728" s="125" t="n"/>
      <c r="AI728" s="5" t="n"/>
      <c r="AJ728" s="125" t="n"/>
      <c r="AK728" s="125" t="n"/>
    </row>
    <row r="729"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125" t="n"/>
      <c r="AH729" s="125" t="n"/>
      <c r="AI729" s="5" t="n"/>
      <c r="AJ729" s="125" t="n"/>
      <c r="AK729" s="125" t="n"/>
    </row>
    <row r="730"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125" t="n"/>
      <c r="AH730" s="125" t="n"/>
      <c r="AI730" s="5" t="n"/>
      <c r="AJ730" s="125" t="n"/>
      <c r="AK730" s="125" t="n"/>
    </row>
    <row r="731"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125" t="n"/>
      <c r="AH731" s="125" t="n"/>
      <c r="AI731" s="5" t="n"/>
      <c r="AJ731" s="125" t="n"/>
      <c r="AK731" s="125" t="n"/>
    </row>
    <row r="732"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125" t="n"/>
      <c r="AH732" s="125" t="n"/>
      <c r="AI732" s="5" t="n"/>
      <c r="AJ732" s="125" t="n"/>
      <c r="AK732" s="125" t="n"/>
    </row>
    <row r="733"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125" t="n"/>
      <c r="AH733" s="125" t="n"/>
      <c r="AI733" s="5" t="n"/>
      <c r="AJ733" s="125" t="n"/>
      <c r="AK733" s="125" t="n"/>
    </row>
    <row r="734"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125" t="n"/>
      <c r="AH734" s="125" t="n"/>
      <c r="AI734" s="5" t="n"/>
      <c r="AJ734" s="125" t="n"/>
      <c r="AK734" s="125" t="n"/>
    </row>
    <row r="735"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125" t="n"/>
      <c r="AH735" s="125" t="n"/>
      <c r="AI735" s="5" t="n"/>
      <c r="AJ735" s="125" t="n"/>
      <c r="AK735" s="125" t="n"/>
    </row>
    <row r="736"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125" t="n"/>
      <c r="AH736" s="125" t="n"/>
      <c r="AI736" s="5" t="n"/>
      <c r="AJ736" s="125" t="n"/>
      <c r="AK736" s="125" t="n"/>
    </row>
    <row r="737"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125" t="n"/>
      <c r="AH737" s="125" t="n"/>
      <c r="AI737" s="5" t="n"/>
      <c r="AJ737" s="125" t="n"/>
      <c r="AK737" s="125" t="n"/>
    </row>
    <row r="738"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125" t="n"/>
      <c r="AH738" s="125" t="n"/>
      <c r="AI738" s="5" t="n"/>
      <c r="AJ738" s="125" t="n"/>
      <c r="AK738" s="125" t="n"/>
    </row>
    <row r="739"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125" t="n"/>
      <c r="AH739" s="125" t="n"/>
      <c r="AI739" s="5" t="n"/>
      <c r="AJ739" s="125" t="n"/>
      <c r="AK739" s="125" t="n"/>
    </row>
    <row r="740"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125" t="n"/>
      <c r="AH740" s="125" t="n"/>
      <c r="AI740" s="5" t="n"/>
      <c r="AJ740" s="125" t="n"/>
      <c r="AK740" s="125" t="n"/>
    </row>
    <row r="741"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125" t="n"/>
      <c r="AH741" s="125" t="n"/>
      <c r="AI741" s="5" t="n"/>
      <c r="AJ741" s="125" t="n"/>
      <c r="AK741" s="125" t="n"/>
    </row>
    <row r="742"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125" t="n"/>
      <c r="AH742" s="125" t="n"/>
      <c r="AI742" s="5" t="n"/>
      <c r="AJ742" s="125" t="n"/>
      <c r="AK742" s="125" t="n"/>
    </row>
    <row r="743"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125" t="n"/>
      <c r="AH743" s="125" t="n"/>
      <c r="AI743" s="5" t="n"/>
      <c r="AJ743" s="125" t="n"/>
      <c r="AK743" s="125" t="n"/>
    </row>
    <row r="744"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125" t="n"/>
      <c r="AH744" s="125" t="n"/>
      <c r="AI744" s="5" t="n"/>
      <c r="AJ744" s="125" t="n"/>
      <c r="AK744" s="125" t="n"/>
    </row>
    <row r="745"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125" t="n"/>
      <c r="AH745" s="125" t="n"/>
      <c r="AI745" s="5" t="n"/>
      <c r="AJ745" s="125" t="n"/>
      <c r="AK745" s="125" t="n"/>
    </row>
    <row r="746"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125" t="n"/>
      <c r="AH746" s="125" t="n"/>
      <c r="AI746" s="5" t="n"/>
      <c r="AJ746" s="125" t="n"/>
      <c r="AK746" s="125" t="n"/>
    </row>
    <row r="747"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125" t="n"/>
      <c r="AH747" s="125" t="n"/>
      <c r="AI747" s="5" t="n"/>
      <c r="AJ747" s="125" t="n"/>
      <c r="AK747" s="125" t="n"/>
    </row>
    <row r="748"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125" t="n"/>
      <c r="AH748" s="125" t="n"/>
      <c r="AI748" s="5" t="n"/>
      <c r="AJ748" s="125" t="n"/>
      <c r="AK748" s="125" t="n"/>
    </row>
    <row r="749"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125" t="n"/>
      <c r="AH749" s="125" t="n"/>
      <c r="AI749" s="5" t="n"/>
      <c r="AJ749" s="125" t="n"/>
      <c r="AK749" s="125" t="n"/>
    </row>
    <row r="750"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125" t="n"/>
      <c r="AH750" s="125" t="n"/>
      <c r="AI750" s="5" t="n"/>
      <c r="AJ750" s="125" t="n"/>
      <c r="AK750" s="125" t="n"/>
    </row>
    <row r="751"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125" t="n"/>
      <c r="AH751" s="125" t="n"/>
      <c r="AI751" s="5" t="n"/>
      <c r="AJ751" s="125" t="n"/>
      <c r="AK751" s="125" t="n"/>
    </row>
    <row r="752"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125" t="n"/>
      <c r="AH752" s="125" t="n"/>
      <c r="AI752" s="5" t="n"/>
      <c r="AJ752" s="125" t="n"/>
      <c r="AK752" s="125" t="n"/>
    </row>
    <row r="753"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125" t="n"/>
      <c r="AH753" s="125" t="n"/>
      <c r="AI753" s="5" t="n"/>
      <c r="AJ753" s="125" t="n"/>
      <c r="AK753" s="125" t="n"/>
    </row>
    <row r="754"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125" t="n"/>
      <c r="AH754" s="125" t="n"/>
      <c r="AI754" s="5" t="n"/>
      <c r="AJ754" s="125" t="n"/>
      <c r="AK754" s="125" t="n"/>
    </row>
    <row r="755"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125" t="n"/>
      <c r="AH755" s="125" t="n"/>
      <c r="AI755" s="5" t="n"/>
      <c r="AJ755" s="125" t="n"/>
      <c r="AK755" s="125" t="n"/>
    </row>
    <row r="756"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125" t="n"/>
      <c r="AH756" s="125" t="n"/>
      <c r="AI756" s="5" t="n"/>
      <c r="AJ756" s="125" t="n"/>
      <c r="AK756" s="125" t="n"/>
    </row>
    <row r="757"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125" t="n"/>
      <c r="AH757" s="125" t="n"/>
      <c r="AI757" s="5" t="n"/>
      <c r="AJ757" s="125" t="n"/>
      <c r="AK757" s="125" t="n"/>
    </row>
    <row r="758"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125" t="n"/>
      <c r="AH758" s="125" t="n"/>
      <c r="AI758" s="5" t="n"/>
      <c r="AJ758" s="125" t="n"/>
      <c r="AK758" s="125" t="n"/>
    </row>
    <row r="759"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125" t="n"/>
      <c r="AH759" s="125" t="n"/>
      <c r="AI759" s="5" t="n"/>
      <c r="AJ759" s="125" t="n"/>
      <c r="AK759" s="125" t="n"/>
    </row>
    <row r="760"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125" t="n"/>
      <c r="AH760" s="125" t="n"/>
      <c r="AI760" s="5" t="n"/>
      <c r="AJ760" s="125" t="n"/>
      <c r="AK760" s="125" t="n"/>
    </row>
    <row r="761"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125" t="n"/>
      <c r="AH761" s="125" t="n"/>
      <c r="AI761" s="5" t="n"/>
      <c r="AJ761" s="125" t="n"/>
      <c r="AK761" s="125" t="n"/>
    </row>
    <row r="762"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125" t="n"/>
      <c r="AH762" s="125" t="n"/>
      <c r="AI762" s="5" t="n"/>
      <c r="AJ762" s="125" t="n"/>
      <c r="AK762" s="125" t="n"/>
    </row>
    <row r="763"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125" t="n"/>
      <c r="AH763" s="125" t="n"/>
      <c r="AI763" s="5" t="n"/>
      <c r="AJ763" s="125" t="n"/>
      <c r="AK763" s="125" t="n"/>
    </row>
    <row r="764"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125" t="n"/>
      <c r="AH764" s="125" t="n"/>
      <c r="AI764" s="5" t="n"/>
      <c r="AJ764" s="125" t="n"/>
      <c r="AK764" s="125" t="n"/>
    </row>
    <row r="765"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125" t="n"/>
      <c r="AH765" s="125" t="n"/>
      <c r="AI765" s="5" t="n"/>
      <c r="AJ765" s="125" t="n"/>
      <c r="AK765" s="125" t="n"/>
    </row>
    <row r="766"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125" t="n"/>
      <c r="AH766" s="125" t="n"/>
      <c r="AI766" s="5" t="n"/>
      <c r="AJ766" s="125" t="n"/>
      <c r="AK766" s="125" t="n"/>
    </row>
    <row r="767"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125" t="n"/>
      <c r="AH767" s="125" t="n"/>
      <c r="AI767" s="5" t="n"/>
      <c r="AJ767" s="125" t="n"/>
      <c r="AK767" s="125" t="n"/>
    </row>
    <row r="768"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125" t="n"/>
      <c r="AH768" s="125" t="n"/>
      <c r="AI768" s="5" t="n"/>
      <c r="AJ768" s="125" t="n"/>
      <c r="AK768" s="125" t="n"/>
    </row>
    <row r="769"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125" t="n"/>
      <c r="AH769" s="125" t="n"/>
      <c r="AI769" s="5" t="n"/>
      <c r="AJ769" s="125" t="n"/>
      <c r="AK769" s="125" t="n"/>
    </row>
    <row r="770"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125" t="n"/>
      <c r="AH770" s="125" t="n"/>
      <c r="AI770" s="5" t="n"/>
      <c r="AJ770" s="125" t="n"/>
      <c r="AK770" s="125" t="n"/>
    </row>
    <row r="771"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125" t="n"/>
      <c r="AH771" s="125" t="n"/>
      <c r="AI771" s="5" t="n"/>
      <c r="AJ771" s="125" t="n"/>
      <c r="AK771" s="125" t="n"/>
    </row>
    <row r="772"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125" t="n"/>
      <c r="AH772" s="125" t="n"/>
      <c r="AI772" s="5" t="n"/>
      <c r="AJ772" s="125" t="n"/>
      <c r="AK772" s="125" t="n"/>
    </row>
    <row r="773"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125" t="n"/>
      <c r="AH773" s="125" t="n"/>
      <c r="AI773" s="5" t="n"/>
      <c r="AJ773" s="125" t="n"/>
      <c r="AK773" s="125" t="n"/>
    </row>
    <row r="774"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125" t="n"/>
      <c r="AH774" s="125" t="n"/>
      <c r="AI774" s="5" t="n"/>
      <c r="AJ774" s="125" t="n"/>
      <c r="AK774" s="125" t="n"/>
    </row>
    <row r="775"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125" t="n"/>
      <c r="AH775" s="125" t="n"/>
      <c r="AI775" s="5" t="n"/>
      <c r="AJ775" s="125" t="n"/>
      <c r="AK775" s="125" t="n"/>
    </row>
    <row r="776"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125" t="n"/>
      <c r="AH776" s="125" t="n"/>
      <c r="AI776" s="5" t="n"/>
      <c r="AJ776" s="125" t="n"/>
      <c r="AK776" s="125" t="n"/>
    </row>
    <row r="777"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125" t="n"/>
      <c r="AH777" s="125" t="n"/>
      <c r="AI777" s="5" t="n"/>
      <c r="AJ777" s="125" t="n"/>
      <c r="AK777" s="125" t="n"/>
    </row>
    <row r="778"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125" t="n"/>
      <c r="AH778" s="125" t="n"/>
      <c r="AI778" s="5" t="n"/>
      <c r="AJ778" s="125" t="n"/>
      <c r="AK778" s="125" t="n"/>
    </row>
    <row r="779"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125" t="n"/>
      <c r="AH779" s="125" t="n"/>
      <c r="AI779" s="5" t="n"/>
      <c r="AJ779" s="125" t="n"/>
      <c r="AK779" s="125" t="n"/>
    </row>
    <row r="780"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125" t="n"/>
      <c r="AH780" s="125" t="n"/>
      <c r="AI780" s="5" t="n"/>
      <c r="AJ780" s="125" t="n"/>
      <c r="AK780" s="125" t="n"/>
    </row>
    <row r="781"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125" t="n"/>
      <c r="AH781" s="125" t="n"/>
      <c r="AI781" s="5" t="n"/>
      <c r="AJ781" s="125" t="n"/>
      <c r="AK781" s="125" t="n"/>
    </row>
    <row r="782"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125" t="n"/>
      <c r="AH782" s="125" t="n"/>
      <c r="AI782" s="5" t="n"/>
      <c r="AJ782" s="125" t="n"/>
      <c r="AK782" s="125" t="n"/>
    </row>
    <row r="783"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125" t="n"/>
      <c r="AH783" s="125" t="n"/>
      <c r="AI783" s="5" t="n"/>
      <c r="AJ783" s="125" t="n"/>
      <c r="AK783" s="125" t="n"/>
    </row>
    <row r="784"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125" t="n"/>
      <c r="AH784" s="125" t="n"/>
      <c r="AI784" s="5" t="n"/>
      <c r="AJ784" s="125" t="n"/>
      <c r="AK784" s="125" t="n"/>
    </row>
    <row r="785"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125" t="n"/>
      <c r="AH785" s="125" t="n"/>
      <c r="AI785" s="5" t="n"/>
      <c r="AJ785" s="125" t="n"/>
      <c r="AK785" s="125" t="n"/>
    </row>
    <row r="786"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125" t="n"/>
      <c r="AH786" s="125" t="n"/>
      <c r="AI786" s="5" t="n"/>
      <c r="AJ786" s="125" t="n"/>
      <c r="AK786" s="125" t="n"/>
    </row>
    <row r="787"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125" t="n"/>
      <c r="AH787" s="125" t="n"/>
      <c r="AI787" s="5" t="n"/>
      <c r="AJ787" s="125" t="n"/>
      <c r="AK787" s="125" t="n"/>
    </row>
    <row r="788"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125" t="n"/>
      <c r="AH788" s="125" t="n"/>
      <c r="AI788" s="5" t="n"/>
      <c r="AJ788" s="125" t="n"/>
      <c r="AK788" s="125" t="n"/>
    </row>
    <row r="789"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125" t="n"/>
      <c r="AH789" s="125" t="n"/>
      <c r="AI789" s="5" t="n"/>
      <c r="AJ789" s="125" t="n"/>
      <c r="AK789" s="125" t="n"/>
    </row>
    <row r="790"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125" t="n"/>
      <c r="AH790" s="125" t="n"/>
      <c r="AI790" s="5" t="n"/>
      <c r="AJ790" s="125" t="n"/>
      <c r="AK790" s="125" t="n"/>
    </row>
    <row r="791"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125" t="n"/>
      <c r="AH791" s="125" t="n"/>
      <c r="AI791" s="5" t="n"/>
      <c r="AJ791" s="125" t="n"/>
      <c r="AK791" s="125" t="n"/>
    </row>
    <row r="792"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125" t="n"/>
      <c r="AH792" s="125" t="n"/>
      <c r="AI792" s="5" t="n"/>
      <c r="AJ792" s="125" t="n"/>
      <c r="AK792" s="125" t="n"/>
    </row>
    <row r="793"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125" t="n"/>
      <c r="AH793" s="125" t="n"/>
      <c r="AI793" s="5" t="n"/>
      <c r="AJ793" s="125" t="n"/>
      <c r="AK793" s="125" t="n"/>
    </row>
    <row r="794"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125" t="n"/>
      <c r="AH794" s="125" t="n"/>
      <c r="AI794" s="5" t="n"/>
      <c r="AJ794" s="125" t="n"/>
      <c r="AK794" s="125" t="n"/>
    </row>
    <row r="795"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125" t="n"/>
      <c r="AH795" s="125" t="n"/>
      <c r="AI795" s="5" t="n"/>
      <c r="AJ795" s="125" t="n"/>
      <c r="AK795" s="125" t="n"/>
    </row>
    <row r="796"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125" t="n"/>
      <c r="AH796" s="125" t="n"/>
      <c r="AI796" s="5" t="n"/>
      <c r="AJ796" s="125" t="n"/>
      <c r="AK796" s="125" t="n"/>
    </row>
    <row r="797"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125" t="n"/>
      <c r="AH797" s="125" t="n"/>
      <c r="AI797" s="5" t="n"/>
      <c r="AJ797" s="125" t="n"/>
      <c r="AK797" s="125" t="n"/>
    </row>
    <row r="798"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125" t="n"/>
      <c r="AH798" s="125" t="n"/>
      <c r="AI798" s="5" t="n"/>
      <c r="AJ798" s="125" t="n"/>
      <c r="AK798" s="125" t="n"/>
    </row>
    <row r="799"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125" t="n"/>
      <c r="AH799" s="125" t="n"/>
      <c r="AI799" s="5" t="n"/>
      <c r="AJ799" s="125" t="n"/>
      <c r="AK799" s="125" t="n"/>
    </row>
    <row r="800"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125" t="n"/>
      <c r="AH800" s="125" t="n"/>
      <c r="AI800" s="5" t="n"/>
      <c r="AJ800" s="125" t="n"/>
      <c r="AK800" s="125" t="n"/>
    </row>
    <row r="801"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125" t="n"/>
      <c r="AH801" s="125" t="n"/>
      <c r="AI801" s="5" t="n"/>
      <c r="AJ801" s="125" t="n"/>
      <c r="AK801" s="125" t="n"/>
    </row>
    <row r="802"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125" t="n"/>
      <c r="AH802" s="125" t="n"/>
      <c r="AI802" s="5" t="n"/>
      <c r="AJ802" s="125" t="n"/>
      <c r="AK802" s="125" t="n"/>
    </row>
    <row r="803"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125" t="n"/>
      <c r="AH803" s="125" t="n"/>
      <c r="AI803" s="5" t="n"/>
      <c r="AJ803" s="125" t="n"/>
      <c r="AK803" s="125" t="n"/>
    </row>
    <row r="804"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125" t="n"/>
      <c r="AH804" s="125" t="n"/>
      <c r="AI804" s="5" t="n"/>
      <c r="AJ804" s="125" t="n"/>
      <c r="AK804" s="125" t="n"/>
    </row>
    <row r="805"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125" t="n"/>
      <c r="AH805" s="125" t="n"/>
      <c r="AI805" s="5" t="n"/>
      <c r="AJ805" s="125" t="n"/>
      <c r="AK805" s="125" t="n"/>
    </row>
    <row r="806"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125" t="n"/>
      <c r="AH806" s="125" t="n"/>
      <c r="AI806" s="5" t="n"/>
      <c r="AJ806" s="125" t="n"/>
      <c r="AK806" s="125" t="n"/>
    </row>
    <row r="807"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125" t="n"/>
      <c r="AH807" s="125" t="n"/>
      <c r="AI807" s="5" t="n"/>
      <c r="AJ807" s="125" t="n"/>
      <c r="AK807" s="125" t="n"/>
    </row>
    <row r="808"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125" t="n"/>
      <c r="AH808" s="125" t="n"/>
      <c r="AI808" s="5" t="n"/>
      <c r="AJ808" s="125" t="n"/>
      <c r="AK808" s="125" t="n"/>
    </row>
    <row r="809"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125" t="n"/>
      <c r="AH809" s="125" t="n"/>
      <c r="AI809" s="5" t="n"/>
      <c r="AJ809" s="125" t="n"/>
      <c r="AK809" s="125" t="n"/>
    </row>
    <row r="810"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125" t="n"/>
      <c r="AH810" s="125" t="n"/>
      <c r="AI810" s="5" t="n"/>
      <c r="AJ810" s="125" t="n"/>
      <c r="AK810" s="125" t="n"/>
    </row>
    <row r="811"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125" t="n"/>
      <c r="AH811" s="125" t="n"/>
      <c r="AI811" s="5" t="n"/>
      <c r="AJ811" s="125" t="n"/>
      <c r="AK811" s="125" t="n"/>
    </row>
    <row r="812"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125" t="n"/>
      <c r="AH812" s="125" t="n"/>
      <c r="AI812" s="5" t="n"/>
      <c r="AJ812" s="125" t="n"/>
      <c r="AK812" s="125" t="n"/>
    </row>
    <row r="813"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125" t="n"/>
      <c r="AH813" s="125" t="n"/>
      <c r="AI813" s="5" t="n"/>
      <c r="AJ813" s="125" t="n"/>
      <c r="AK813" s="125" t="n"/>
    </row>
    <row r="814"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125" t="n"/>
      <c r="AH814" s="125" t="n"/>
      <c r="AI814" s="5" t="n"/>
      <c r="AJ814" s="125" t="n"/>
      <c r="AK814" s="125" t="n"/>
    </row>
    <row r="815"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125" t="n"/>
      <c r="AH815" s="125" t="n"/>
      <c r="AI815" s="5" t="n"/>
      <c r="AJ815" s="125" t="n"/>
      <c r="AK815" s="125" t="n"/>
    </row>
    <row r="816"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125" t="n"/>
      <c r="AH816" s="125" t="n"/>
      <c r="AI816" s="5" t="n"/>
      <c r="AJ816" s="125" t="n"/>
      <c r="AK816" s="125" t="n"/>
    </row>
    <row r="817"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125" t="n"/>
      <c r="AH817" s="125" t="n"/>
      <c r="AI817" s="5" t="n"/>
      <c r="AJ817" s="125" t="n"/>
      <c r="AK817" s="125" t="n"/>
    </row>
    <row r="818"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125" t="n"/>
      <c r="AH818" s="125" t="n"/>
      <c r="AI818" s="5" t="n"/>
      <c r="AJ818" s="125" t="n"/>
      <c r="AK818" s="125" t="n"/>
    </row>
    <row r="819"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125" t="n"/>
      <c r="AH819" s="125" t="n"/>
      <c r="AI819" s="5" t="n"/>
      <c r="AJ819" s="125" t="n"/>
      <c r="AK819" s="125" t="n"/>
    </row>
    <row r="820"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125" t="n"/>
      <c r="AH820" s="125" t="n"/>
      <c r="AI820" s="5" t="n"/>
      <c r="AJ820" s="125" t="n"/>
      <c r="AK820" s="125" t="n"/>
    </row>
    <row r="821"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125" t="n"/>
      <c r="AH821" s="125" t="n"/>
      <c r="AI821" s="5" t="n"/>
      <c r="AJ821" s="125" t="n"/>
      <c r="AK821" s="125" t="n"/>
    </row>
    <row r="822"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125" t="n"/>
      <c r="AH822" s="125" t="n"/>
      <c r="AI822" s="5" t="n"/>
      <c r="AJ822" s="125" t="n"/>
      <c r="AK822" s="125" t="n"/>
    </row>
    <row r="823"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125" t="n"/>
      <c r="AH823" s="125" t="n"/>
      <c r="AI823" s="5" t="n"/>
      <c r="AJ823" s="125" t="n"/>
      <c r="AK823" s="125" t="n"/>
    </row>
    <row r="824"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125" t="n"/>
      <c r="AH824" s="125" t="n"/>
      <c r="AI824" s="5" t="n"/>
      <c r="AJ824" s="125" t="n"/>
      <c r="AK824" s="125" t="n"/>
    </row>
    <row r="825"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125" t="n"/>
      <c r="AH825" s="125" t="n"/>
      <c r="AI825" s="5" t="n"/>
      <c r="AJ825" s="125" t="n"/>
      <c r="AK825" s="125" t="n"/>
    </row>
    <row r="826"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125" t="n"/>
      <c r="AH826" s="125" t="n"/>
      <c r="AI826" s="5" t="n"/>
      <c r="AJ826" s="125" t="n"/>
      <c r="AK826" s="125" t="n"/>
    </row>
    <row r="827"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125" t="n"/>
      <c r="AH827" s="125" t="n"/>
      <c r="AI827" s="5" t="n"/>
      <c r="AJ827" s="125" t="n"/>
      <c r="AK827" s="125" t="n"/>
    </row>
    <row r="828"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125" t="n"/>
      <c r="AH828" s="125" t="n"/>
      <c r="AI828" s="5" t="n"/>
      <c r="AJ828" s="125" t="n"/>
      <c r="AK828" s="125" t="n"/>
    </row>
    <row r="829"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125" t="n"/>
      <c r="AH829" s="125" t="n"/>
      <c r="AI829" s="5" t="n"/>
      <c r="AJ829" s="125" t="n"/>
      <c r="AK829" s="125" t="n"/>
    </row>
    <row r="830"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125" t="n"/>
      <c r="AH830" s="125" t="n"/>
      <c r="AI830" s="5" t="n"/>
      <c r="AJ830" s="125" t="n"/>
      <c r="AK830" s="125" t="n"/>
    </row>
    <row r="831"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125" t="n"/>
      <c r="AH831" s="125" t="n"/>
      <c r="AI831" s="5" t="n"/>
      <c r="AJ831" s="125" t="n"/>
      <c r="AK831" s="125" t="n"/>
    </row>
    <row r="832"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125" t="n"/>
      <c r="AH832" s="125" t="n"/>
      <c r="AI832" s="5" t="n"/>
      <c r="AJ832" s="125" t="n"/>
      <c r="AK832" s="125" t="n"/>
    </row>
    <row r="833"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125" t="n"/>
      <c r="AH833" s="125" t="n"/>
      <c r="AI833" s="5" t="n"/>
      <c r="AJ833" s="125" t="n"/>
      <c r="AK833" s="125" t="n"/>
    </row>
    <row r="834"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125" t="n"/>
      <c r="AH834" s="125" t="n"/>
      <c r="AI834" s="5" t="n"/>
      <c r="AJ834" s="125" t="n"/>
      <c r="AK834" s="125" t="n"/>
    </row>
    <row r="835"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125" t="n"/>
      <c r="AH835" s="125" t="n"/>
      <c r="AI835" s="5" t="n"/>
      <c r="AJ835" s="125" t="n"/>
      <c r="AK835" s="125" t="n"/>
    </row>
    <row r="836"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125" t="n"/>
      <c r="AH836" s="125" t="n"/>
      <c r="AI836" s="5" t="n"/>
      <c r="AJ836" s="125" t="n"/>
      <c r="AK836" s="125" t="n"/>
    </row>
    <row r="837"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125" t="n"/>
      <c r="AH837" s="125" t="n"/>
      <c r="AI837" s="5" t="n"/>
      <c r="AJ837" s="125" t="n"/>
      <c r="AK837" s="125" t="n"/>
    </row>
    <row r="838"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125" t="n"/>
      <c r="AH838" s="125" t="n"/>
      <c r="AI838" s="5" t="n"/>
      <c r="AJ838" s="125" t="n"/>
      <c r="AK838" s="125" t="n"/>
    </row>
    <row r="839"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125" t="n"/>
      <c r="AH839" s="125" t="n"/>
      <c r="AI839" s="5" t="n"/>
      <c r="AJ839" s="125" t="n"/>
      <c r="AK839" s="125" t="n"/>
    </row>
    <row r="840"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125" t="n"/>
      <c r="AH840" s="125" t="n"/>
      <c r="AI840" s="5" t="n"/>
      <c r="AJ840" s="125" t="n"/>
      <c r="AK840" s="125" t="n"/>
    </row>
    <row r="841"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125" t="n"/>
      <c r="AH841" s="125" t="n"/>
      <c r="AI841" s="5" t="n"/>
      <c r="AJ841" s="125" t="n"/>
      <c r="AK841" s="125" t="n"/>
    </row>
    <row r="842"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125" t="n"/>
      <c r="AH842" s="125" t="n"/>
      <c r="AI842" s="5" t="n"/>
      <c r="AJ842" s="125" t="n"/>
      <c r="AK842" s="125" t="n"/>
    </row>
    <row r="843"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125" t="n"/>
      <c r="AH843" s="125" t="n"/>
      <c r="AI843" s="5" t="n"/>
      <c r="AJ843" s="125" t="n"/>
      <c r="AK843" s="125" t="n"/>
    </row>
    <row r="844"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125" t="n"/>
      <c r="AH844" s="125" t="n"/>
      <c r="AI844" s="5" t="n"/>
      <c r="AJ844" s="125" t="n"/>
      <c r="AK844" s="125" t="n"/>
    </row>
    <row r="845"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125" t="n"/>
      <c r="AH845" s="125" t="n"/>
      <c r="AI845" s="5" t="n"/>
      <c r="AJ845" s="125" t="n"/>
      <c r="AK845" s="125" t="n"/>
    </row>
    <row r="846"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125" t="n"/>
      <c r="AH846" s="125" t="n"/>
      <c r="AI846" s="5" t="n"/>
      <c r="AJ846" s="125" t="n"/>
      <c r="AK846" s="125" t="n"/>
    </row>
    <row r="847"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125" t="n"/>
      <c r="AH847" s="125" t="n"/>
      <c r="AI847" s="5" t="n"/>
      <c r="AJ847" s="125" t="n"/>
      <c r="AK847" s="125" t="n"/>
    </row>
    <row r="848"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125" t="n"/>
      <c r="AH848" s="125" t="n"/>
      <c r="AI848" s="5" t="n"/>
      <c r="AJ848" s="125" t="n"/>
      <c r="AK848" s="125" t="n"/>
    </row>
    <row r="849"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125" t="n"/>
      <c r="AH849" s="125" t="n"/>
      <c r="AI849" s="5" t="n"/>
      <c r="AJ849" s="125" t="n"/>
      <c r="AK849" s="125" t="n"/>
    </row>
    <row r="850"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125" t="n"/>
      <c r="AH850" s="125" t="n"/>
      <c r="AI850" s="5" t="n"/>
      <c r="AJ850" s="125" t="n"/>
      <c r="AK850" s="125" t="n"/>
    </row>
    <row r="851"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125" t="n"/>
      <c r="AH851" s="125" t="n"/>
      <c r="AI851" s="5" t="n"/>
      <c r="AJ851" s="125" t="n"/>
      <c r="AK851" s="125" t="n"/>
    </row>
    <row r="852"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125" t="n"/>
      <c r="AH852" s="125" t="n"/>
      <c r="AI852" s="5" t="n"/>
      <c r="AJ852" s="125" t="n"/>
      <c r="AK852" s="125" t="n"/>
    </row>
    <row r="853"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125" t="n"/>
      <c r="AH853" s="125" t="n"/>
      <c r="AI853" s="5" t="n"/>
      <c r="AJ853" s="125" t="n"/>
      <c r="AK853" s="125" t="n"/>
    </row>
    <row r="854"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125" t="n"/>
      <c r="AH854" s="125" t="n"/>
      <c r="AI854" s="5" t="n"/>
      <c r="AJ854" s="125" t="n"/>
      <c r="AK854" s="125" t="n"/>
    </row>
    <row r="855"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125" t="n"/>
      <c r="AH855" s="125" t="n"/>
      <c r="AI855" s="5" t="n"/>
      <c r="AJ855" s="125" t="n"/>
      <c r="AK855" s="125" t="n"/>
    </row>
    <row r="856"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125" t="n"/>
      <c r="AH856" s="125" t="n"/>
      <c r="AI856" s="5" t="n"/>
      <c r="AJ856" s="125" t="n"/>
      <c r="AK856" s="125" t="n"/>
    </row>
    <row r="857"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125" t="n"/>
      <c r="AH857" s="125" t="n"/>
      <c r="AI857" s="5" t="n"/>
      <c r="AJ857" s="125" t="n"/>
      <c r="AK857" s="125" t="n"/>
    </row>
    <row r="858"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125" t="n"/>
      <c r="AH858" s="125" t="n"/>
      <c r="AI858" s="5" t="n"/>
      <c r="AJ858" s="125" t="n"/>
      <c r="AK858" s="125" t="n"/>
    </row>
    <row r="859"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125" t="n"/>
      <c r="AH859" s="125" t="n"/>
      <c r="AI859" s="5" t="n"/>
      <c r="AJ859" s="125" t="n"/>
      <c r="AK859" s="125" t="n"/>
    </row>
    <row r="860"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125" t="n"/>
      <c r="AH860" s="125" t="n"/>
      <c r="AI860" s="5" t="n"/>
      <c r="AJ860" s="125" t="n"/>
      <c r="AK860" s="125" t="n"/>
    </row>
    <row r="861"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125" t="n"/>
      <c r="AH861" s="125" t="n"/>
      <c r="AI861" s="5" t="n"/>
      <c r="AJ861" s="125" t="n"/>
      <c r="AK861" s="125" t="n"/>
    </row>
    <row r="862"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125" t="n"/>
      <c r="AH862" s="125" t="n"/>
      <c r="AI862" s="5" t="n"/>
      <c r="AJ862" s="125" t="n"/>
      <c r="AK862" s="125" t="n"/>
    </row>
    <row r="863"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125" t="n"/>
      <c r="AH863" s="125" t="n"/>
      <c r="AI863" s="5" t="n"/>
      <c r="AJ863" s="125" t="n"/>
      <c r="AK863" s="125" t="n"/>
    </row>
    <row r="864"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125" t="n"/>
      <c r="AH864" s="125" t="n"/>
      <c r="AI864" s="5" t="n"/>
      <c r="AJ864" s="125" t="n"/>
      <c r="AK864" s="125" t="n"/>
    </row>
    <row r="865"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125" t="n"/>
      <c r="AH865" s="125" t="n"/>
      <c r="AI865" s="5" t="n"/>
      <c r="AJ865" s="125" t="n"/>
      <c r="AK865" s="125" t="n"/>
    </row>
    <row r="866"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125" t="n"/>
      <c r="AH866" s="125" t="n"/>
      <c r="AI866" s="5" t="n"/>
      <c r="AJ866" s="125" t="n"/>
      <c r="AK866" s="125" t="n"/>
    </row>
    <row r="867"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125" t="n"/>
      <c r="AH867" s="125" t="n"/>
      <c r="AI867" s="5" t="n"/>
      <c r="AJ867" s="125" t="n"/>
      <c r="AK867" s="125" t="n"/>
    </row>
    <row r="868"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125" t="n"/>
      <c r="AH868" s="125" t="n"/>
      <c r="AI868" s="5" t="n"/>
      <c r="AJ868" s="125" t="n"/>
      <c r="AK868" s="125" t="n"/>
    </row>
    <row r="869"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125" t="n"/>
      <c r="AH869" s="125" t="n"/>
      <c r="AI869" s="5" t="n"/>
      <c r="AJ869" s="125" t="n"/>
      <c r="AK869" s="125" t="n"/>
    </row>
    <row r="870"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125" t="n"/>
      <c r="AH870" s="125" t="n"/>
      <c r="AI870" s="5" t="n"/>
      <c r="AJ870" s="125" t="n"/>
      <c r="AK870" s="125" t="n"/>
    </row>
    <row r="871"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125" t="n"/>
      <c r="AH871" s="125" t="n"/>
      <c r="AI871" s="5" t="n"/>
      <c r="AJ871" s="125" t="n"/>
      <c r="AK871" s="125" t="n"/>
    </row>
    <row r="872"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125" t="n"/>
      <c r="AH872" s="125" t="n"/>
      <c r="AI872" s="5" t="n"/>
      <c r="AJ872" s="125" t="n"/>
      <c r="AK872" s="125" t="n"/>
    </row>
    <row r="873"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125" t="n"/>
      <c r="AH873" s="125" t="n"/>
      <c r="AI873" s="5" t="n"/>
      <c r="AJ873" s="125" t="n"/>
      <c r="AK873" s="125" t="n"/>
    </row>
    <row r="874"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125" t="n"/>
      <c r="AH874" s="125" t="n"/>
      <c r="AI874" s="5" t="n"/>
      <c r="AJ874" s="125" t="n"/>
      <c r="AK874" s="125" t="n"/>
    </row>
    <row r="875"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125" t="n"/>
      <c r="AH875" s="125" t="n"/>
      <c r="AI875" s="5" t="n"/>
      <c r="AJ875" s="125" t="n"/>
      <c r="AK875" s="125" t="n"/>
    </row>
    <row r="876"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125" t="n"/>
      <c r="AH876" s="125" t="n"/>
      <c r="AI876" s="5" t="n"/>
      <c r="AJ876" s="125" t="n"/>
      <c r="AK876" s="125" t="n"/>
    </row>
    <row r="877"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125" t="n"/>
      <c r="AH877" s="125" t="n"/>
      <c r="AI877" s="5" t="n"/>
      <c r="AJ877" s="125" t="n"/>
      <c r="AK877" s="125" t="n"/>
    </row>
    <row r="878"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125" t="n"/>
      <c r="AH878" s="125" t="n"/>
      <c r="AI878" s="5" t="n"/>
      <c r="AJ878" s="125" t="n"/>
      <c r="AK878" s="125" t="n"/>
    </row>
    <row r="879"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125" t="n"/>
      <c r="AH879" s="125" t="n"/>
      <c r="AI879" s="5" t="n"/>
      <c r="AJ879" s="125" t="n"/>
      <c r="AK879" s="125" t="n"/>
    </row>
    <row r="880"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125" t="n"/>
      <c r="AH880" s="125" t="n"/>
      <c r="AI880" s="5" t="n"/>
      <c r="AJ880" s="125" t="n"/>
      <c r="AK880" s="125" t="n"/>
    </row>
    <row r="881"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125" t="n"/>
      <c r="AH881" s="125" t="n"/>
      <c r="AI881" s="5" t="n"/>
      <c r="AJ881" s="125" t="n"/>
      <c r="AK881" s="125" t="n"/>
    </row>
    <row r="882"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125" t="n"/>
      <c r="AH882" s="125" t="n"/>
      <c r="AI882" s="5" t="n"/>
      <c r="AJ882" s="125" t="n"/>
      <c r="AK882" s="125" t="n"/>
    </row>
    <row r="883"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125" t="n"/>
      <c r="AH883" s="125" t="n"/>
      <c r="AI883" s="5" t="n"/>
      <c r="AJ883" s="125" t="n"/>
      <c r="AK883" s="125" t="n"/>
    </row>
    <row r="884"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125" t="n"/>
      <c r="AH884" s="125" t="n"/>
      <c r="AI884" s="5" t="n"/>
      <c r="AJ884" s="125" t="n"/>
      <c r="AK884" s="125" t="n"/>
    </row>
    <row r="885"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125" t="n"/>
      <c r="AH885" s="125" t="n"/>
      <c r="AI885" s="5" t="n"/>
      <c r="AJ885" s="125" t="n"/>
      <c r="AK885" s="125" t="n"/>
    </row>
    <row r="886"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125" t="n"/>
      <c r="AH886" s="125" t="n"/>
      <c r="AI886" s="5" t="n"/>
      <c r="AJ886" s="125" t="n"/>
      <c r="AK886" s="125" t="n"/>
    </row>
    <row r="887"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125" t="n"/>
      <c r="AH887" s="125" t="n"/>
      <c r="AI887" s="5" t="n"/>
      <c r="AJ887" s="125" t="n"/>
      <c r="AK887" s="125" t="n"/>
    </row>
    <row r="888"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125" t="n"/>
      <c r="AH888" s="125" t="n"/>
      <c r="AI888" s="5" t="n"/>
      <c r="AJ888" s="125" t="n"/>
      <c r="AK888" s="125" t="n"/>
    </row>
    <row r="889"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125" t="n"/>
      <c r="AH889" s="125" t="n"/>
      <c r="AI889" s="5" t="n"/>
      <c r="AJ889" s="125" t="n"/>
      <c r="AK889" s="125" t="n"/>
    </row>
    <row r="890"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125" t="n"/>
      <c r="AH890" s="125" t="n"/>
      <c r="AI890" s="5" t="n"/>
      <c r="AJ890" s="125" t="n"/>
      <c r="AK890" s="125" t="n"/>
    </row>
    <row r="891"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125" t="n"/>
      <c r="AH891" s="125" t="n"/>
      <c r="AI891" s="5" t="n"/>
      <c r="AJ891" s="125" t="n"/>
      <c r="AK891" s="125" t="n"/>
    </row>
    <row r="892"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125" t="n"/>
      <c r="AH892" s="125" t="n"/>
      <c r="AI892" s="5" t="n"/>
      <c r="AJ892" s="125" t="n"/>
      <c r="AK892" s="125" t="n"/>
    </row>
    <row r="893"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125" t="n"/>
      <c r="AH893" s="125" t="n"/>
      <c r="AI893" s="5" t="n"/>
      <c r="AJ893" s="125" t="n"/>
      <c r="AK893" s="125" t="n"/>
    </row>
    <row r="894"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125" t="n"/>
      <c r="AH894" s="125" t="n"/>
      <c r="AI894" s="5" t="n"/>
      <c r="AJ894" s="125" t="n"/>
      <c r="AK894" s="125" t="n"/>
    </row>
    <row r="895"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125" t="n"/>
      <c r="AH895" s="125" t="n"/>
      <c r="AI895" s="5" t="n"/>
      <c r="AJ895" s="125" t="n"/>
      <c r="AK895" s="125" t="n"/>
    </row>
    <row r="896"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125" t="n"/>
      <c r="AH896" s="125" t="n"/>
      <c r="AI896" s="5" t="n"/>
      <c r="AJ896" s="125" t="n"/>
      <c r="AK896" s="125" t="n"/>
    </row>
    <row r="897"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125" t="n"/>
      <c r="AH897" s="125" t="n"/>
      <c r="AI897" s="5" t="n"/>
      <c r="AJ897" s="125" t="n"/>
      <c r="AK897" s="125" t="n"/>
    </row>
    <row r="898"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125" t="n"/>
      <c r="AH898" s="125" t="n"/>
      <c r="AI898" s="5" t="n"/>
      <c r="AJ898" s="125" t="n"/>
      <c r="AK898" s="125" t="n"/>
    </row>
    <row r="899"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125" t="n"/>
      <c r="AH899" s="125" t="n"/>
      <c r="AI899" s="5" t="n"/>
      <c r="AJ899" s="125" t="n"/>
      <c r="AK899" s="125" t="n"/>
    </row>
    <row r="900"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125" t="n"/>
      <c r="AH900" s="125" t="n"/>
      <c r="AI900" s="5" t="n"/>
      <c r="AJ900" s="125" t="n"/>
      <c r="AK900" s="125" t="n"/>
    </row>
    <row r="901"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125" t="n"/>
      <c r="AH901" s="125" t="n"/>
      <c r="AI901" s="5" t="n"/>
      <c r="AJ901" s="125" t="n"/>
      <c r="AK901" s="125" t="n"/>
    </row>
    <row r="902"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125" t="n"/>
      <c r="AH902" s="125" t="n"/>
      <c r="AI902" s="5" t="n"/>
      <c r="AJ902" s="125" t="n"/>
      <c r="AK902" s="125" t="n"/>
    </row>
    <row r="903"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125" t="n"/>
      <c r="AH903" s="125" t="n"/>
      <c r="AI903" s="5" t="n"/>
      <c r="AJ903" s="125" t="n"/>
      <c r="AK903" s="125" t="n"/>
    </row>
    <row r="904"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125" t="n"/>
      <c r="AH904" s="125" t="n"/>
      <c r="AI904" s="5" t="n"/>
      <c r="AJ904" s="125" t="n"/>
      <c r="AK904" s="125" t="n"/>
    </row>
    <row r="905"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125" t="n"/>
      <c r="AH905" s="125" t="n"/>
      <c r="AI905" s="5" t="n"/>
      <c r="AJ905" s="125" t="n"/>
      <c r="AK905" s="125" t="n"/>
    </row>
    <row r="906"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125" t="n"/>
      <c r="AH906" s="125" t="n"/>
      <c r="AI906" s="5" t="n"/>
      <c r="AJ906" s="125" t="n"/>
      <c r="AK906" s="125" t="n"/>
    </row>
    <row r="907"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125" t="n"/>
      <c r="AH907" s="125" t="n"/>
      <c r="AI907" s="5" t="n"/>
      <c r="AJ907" s="125" t="n"/>
      <c r="AK907" s="125" t="n"/>
    </row>
    <row r="908"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125" t="n"/>
      <c r="AH908" s="125" t="n"/>
      <c r="AI908" s="5" t="n"/>
      <c r="AJ908" s="125" t="n"/>
      <c r="AK908" s="125" t="n"/>
    </row>
    <row r="909"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125" t="n"/>
      <c r="AH909" s="125" t="n"/>
      <c r="AI909" s="5" t="n"/>
      <c r="AJ909" s="125" t="n"/>
      <c r="AK909" s="125" t="n"/>
    </row>
    <row r="910"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125" t="n"/>
      <c r="AH910" s="125" t="n"/>
      <c r="AI910" s="5" t="n"/>
      <c r="AJ910" s="125" t="n"/>
      <c r="AK910" s="125" t="n"/>
    </row>
    <row r="911"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125" t="n"/>
      <c r="AH911" s="125" t="n"/>
      <c r="AI911" s="5" t="n"/>
      <c r="AJ911" s="125" t="n"/>
      <c r="AK911" s="125" t="n"/>
    </row>
    <row r="912"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125" t="n"/>
      <c r="AH912" s="125" t="n"/>
      <c r="AI912" s="5" t="n"/>
      <c r="AJ912" s="125" t="n"/>
      <c r="AK912" s="125" t="n"/>
    </row>
    <row r="913"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125" t="n"/>
      <c r="AH913" s="125" t="n"/>
      <c r="AI913" s="5" t="n"/>
      <c r="AJ913" s="125" t="n"/>
      <c r="AK913" s="125" t="n"/>
    </row>
    <row r="914"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125" t="n"/>
      <c r="AH914" s="125" t="n"/>
      <c r="AI914" s="5" t="n"/>
      <c r="AJ914" s="125" t="n"/>
      <c r="AK914" s="125" t="n"/>
    </row>
    <row r="915"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125" t="n"/>
      <c r="AH915" s="125" t="n"/>
      <c r="AI915" s="5" t="n"/>
      <c r="AJ915" s="125" t="n"/>
      <c r="AK915" s="125" t="n"/>
    </row>
    <row r="916"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125" t="n"/>
      <c r="AH916" s="125" t="n"/>
      <c r="AI916" s="5" t="n"/>
      <c r="AJ916" s="125" t="n"/>
      <c r="AK916" s="125" t="n"/>
    </row>
    <row r="917"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125" t="n"/>
      <c r="AH917" s="125" t="n"/>
      <c r="AI917" s="5" t="n"/>
      <c r="AJ917" s="125" t="n"/>
      <c r="AK917" s="125" t="n"/>
    </row>
    <row r="918"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125" t="n"/>
      <c r="AH918" s="125" t="n"/>
      <c r="AI918" s="5" t="n"/>
      <c r="AJ918" s="125" t="n"/>
      <c r="AK918" s="125" t="n"/>
    </row>
    <row r="919"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125" t="n"/>
      <c r="AH919" s="125" t="n"/>
      <c r="AI919" s="5" t="n"/>
      <c r="AJ919" s="125" t="n"/>
      <c r="AK919" s="125" t="n"/>
    </row>
    <row r="920"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125" t="n"/>
      <c r="AH920" s="125" t="n"/>
      <c r="AI920" s="5" t="n"/>
      <c r="AJ920" s="125" t="n"/>
      <c r="AK920" s="125" t="n"/>
    </row>
    <row r="921"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125" t="n"/>
      <c r="AH921" s="125" t="n"/>
      <c r="AI921" s="5" t="n"/>
      <c r="AJ921" s="125" t="n"/>
      <c r="AK921" s="125" t="n"/>
    </row>
    <row r="922"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125" t="n"/>
      <c r="AH922" s="125" t="n"/>
      <c r="AI922" s="5" t="n"/>
      <c r="AJ922" s="125" t="n"/>
      <c r="AK922" s="125" t="n"/>
    </row>
    <row r="923"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125" t="n"/>
      <c r="AH923" s="125" t="n"/>
      <c r="AI923" s="5" t="n"/>
      <c r="AJ923" s="125" t="n"/>
      <c r="AK923" s="125" t="n"/>
    </row>
    <row r="924"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125" t="n"/>
      <c r="AH924" s="125" t="n"/>
      <c r="AI924" s="5" t="n"/>
      <c r="AJ924" s="125" t="n"/>
      <c r="AK924" s="125" t="n"/>
    </row>
    <row r="925"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125" t="n"/>
      <c r="AH925" s="125" t="n"/>
      <c r="AI925" s="5" t="n"/>
      <c r="AJ925" s="125" t="n"/>
      <c r="AK925" s="125" t="n"/>
    </row>
    <row r="926"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125" t="n"/>
      <c r="AH926" s="125" t="n"/>
      <c r="AI926" s="5" t="n"/>
      <c r="AJ926" s="125" t="n"/>
      <c r="AK926" s="125" t="n"/>
    </row>
    <row r="927"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125" t="n"/>
      <c r="AH927" s="125" t="n"/>
      <c r="AI927" s="5" t="n"/>
      <c r="AJ927" s="125" t="n"/>
      <c r="AK927" s="125" t="n"/>
    </row>
    <row r="928"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125" t="n"/>
      <c r="AH928" s="125" t="n"/>
      <c r="AI928" s="5" t="n"/>
      <c r="AJ928" s="125" t="n"/>
      <c r="AK928" s="125" t="n"/>
    </row>
    <row r="929"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125" t="n"/>
      <c r="AH929" s="125" t="n"/>
      <c r="AI929" s="5" t="n"/>
      <c r="AJ929" s="125" t="n"/>
      <c r="AK929" s="125" t="n"/>
    </row>
    <row r="930"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125" t="n"/>
      <c r="AH930" s="125" t="n"/>
      <c r="AI930" s="5" t="n"/>
      <c r="AJ930" s="125" t="n"/>
      <c r="AK930" s="125" t="n"/>
    </row>
    <row r="931"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125" t="n"/>
      <c r="AH931" s="125" t="n"/>
      <c r="AI931" s="5" t="n"/>
      <c r="AJ931" s="125" t="n"/>
      <c r="AK931" s="125" t="n"/>
    </row>
    <row r="932"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125" t="n"/>
      <c r="AH932" s="125" t="n"/>
      <c r="AI932" s="5" t="n"/>
      <c r="AJ932" s="125" t="n"/>
      <c r="AK932" s="125" t="n"/>
    </row>
    <row r="933"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125" t="n"/>
      <c r="AH933" s="125" t="n"/>
      <c r="AI933" s="5" t="n"/>
      <c r="AJ933" s="125" t="n"/>
      <c r="AK933" s="125" t="n"/>
    </row>
    <row r="934"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125" t="n"/>
      <c r="AH934" s="125" t="n"/>
      <c r="AI934" s="5" t="n"/>
      <c r="AJ934" s="125" t="n"/>
      <c r="AK934" s="125" t="n"/>
    </row>
    <row r="935"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125" t="n"/>
      <c r="AH935" s="125" t="n"/>
      <c r="AI935" s="5" t="n"/>
      <c r="AJ935" s="125" t="n"/>
      <c r="AK935" s="125" t="n"/>
    </row>
    <row r="936"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125" t="n"/>
      <c r="AH936" s="125" t="n"/>
      <c r="AI936" s="5" t="n"/>
      <c r="AJ936" s="125" t="n"/>
      <c r="AK936" s="125" t="n"/>
    </row>
    <row r="937"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125" t="n"/>
      <c r="AH937" s="125" t="n"/>
      <c r="AI937" s="5" t="n"/>
      <c r="AJ937" s="125" t="n"/>
      <c r="AK937" s="125" t="n"/>
    </row>
    <row r="938"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125" t="n"/>
      <c r="AH938" s="125" t="n"/>
      <c r="AI938" s="5" t="n"/>
      <c r="AJ938" s="125" t="n"/>
      <c r="AK938" s="125" t="n"/>
    </row>
    <row r="939"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125" t="n"/>
      <c r="AH939" s="125" t="n"/>
      <c r="AI939" s="5" t="n"/>
      <c r="AJ939" s="125" t="n"/>
      <c r="AK939" s="125" t="n"/>
    </row>
    <row r="940"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125" t="n"/>
      <c r="AH940" s="125" t="n"/>
      <c r="AI940" s="5" t="n"/>
      <c r="AJ940" s="125" t="n"/>
      <c r="AK940" s="125" t="n"/>
    </row>
    <row r="941"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125" t="n"/>
      <c r="AH941" s="125" t="n"/>
      <c r="AI941" s="5" t="n"/>
      <c r="AJ941" s="125" t="n"/>
      <c r="AK941" s="125" t="n"/>
    </row>
    <row r="942"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125" t="n"/>
      <c r="AH942" s="125" t="n"/>
      <c r="AI942" s="5" t="n"/>
      <c r="AJ942" s="125" t="n"/>
      <c r="AK942" s="125" t="n"/>
    </row>
    <row r="943"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125" t="n"/>
      <c r="AH943" s="125" t="n"/>
      <c r="AI943" s="5" t="n"/>
      <c r="AJ943" s="125" t="n"/>
      <c r="AK943" s="125" t="n"/>
    </row>
    <row r="944"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125" t="n"/>
      <c r="AH944" s="125" t="n"/>
      <c r="AI944" s="5" t="n"/>
      <c r="AJ944" s="125" t="n"/>
      <c r="AK944" s="125" t="n"/>
    </row>
    <row r="945"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125" t="n"/>
      <c r="AH945" s="125" t="n"/>
      <c r="AI945" s="5" t="n"/>
      <c r="AJ945" s="125" t="n"/>
      <c r="AK945" s="125" t="n"/>
    </row>
    <row r="946"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125" t="n"/>
      <c r="AH946" s="125" t="n"/>
      <c r="AI946" s="5" t="n"/>
      <c r="AJ946" s="125" t="n"/>
      <c r="AK946" s="125" t="n"/>
    </row>
    <row r="947"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125" t="n"/>
      <c r="AH947" s="125" t="n"/>
      <c r="AI947" s="5" t="n"/>
      <c r="AJ947" s="125" t="n"/>
      <c r="AK947" s="125" t="n"/>
    </row>
    <row r="948"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125" t="n"/>
      <c r="AH948" s="125" t="n"/>
      <c r="AI948" s="5" t="n"/>
      <c r="AJ948" s="125" t="n"/>
      <c r="AK948" s="125" t="n"/>
    </row>
    <row r="949"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125" t="n"/>
      <c r="AH949" s="125" t="n"/>
      <c r="AI949" s="5" t="n"/>
      <c r="AJ949" s="125" t="n"/>
      <c r="AK949" s="125" t="n"/>
    </row>
    <row r="950"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125" t="n"/>
      <c r="AH950" s="125" t="n"/>
      <c r="AI950" s="5" t="n"/>
      <c r="AJ950" s="125" t="n"/>
      <c r="AK950" s="125" t="n"/>
    </row>
    <row r="951"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125" t="n"/>
      <c r="AH951" s="125" t="n"/>
      <c r="AI951" s="5" t="n"/>
      <c r="AJ951" s="125" t="n"/>
      <c r="AK951" s="125" t="n"/>
    </row>
    <row r="952"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125" t="n"/>
      <c r="AH952" s="125" t="n"/>
      <c r="AI952" s="5" t="n"/>
      <c r="AJ952" s="125" t="n"/>
      <c r="AK952" s="125" t="n"/>
    </row>
    <row r="953"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125" t="n"/>
      <c r="AH953" s="125" t="n"/>
      <c r="AI953" s="5" t="n"/>
      <c r="AJ953" s="125" t="n"/>
      <c r="AK953" s="125" t="n"/>
    </row>
    <row r="954"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125" t="n"/>
      <c r="AH954" s="125" t="n"/>
      <c r="AI954" s="5" t="n"/>
      <c r="AJ954" s="125" t="n"/>
      <c r="AK954" s="125" t="n"/>
    </row>
    <row r="955"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125" t="n"/>
      <c r="AH955" s="125" t="n"/>
      <c r="AI955" s="5" t="n"/>
      <c r="AJ955" s="125" t="n"/>
      <c r="AK955" s="125" t="n"/>
    </row>
    <row r="956"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125" t="n"/>
      <c r="AH956" s="125" t="n"/>
      <c r="AI956" s="5" t="n"/>
      <c r="AJ956" s="125" t="n"/>
      <c r="AK956" s="125" t="n"/>
    </row>
    <row r="957"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125" t="n"/>
      <c r="AH957" s="125" t="n"/>
      <c r="AI957" s="5" t="n"/>
      <c r="AJ957" s="125" t="n"/>
      <c r="AK957" s="125" t="n"/>
    </row>
    <row r="958"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125" t="n"/>
      <c r="AH958" s="125" t="n"/>
      <c r="AI958" s="5" t="n"/>
      <c r="AJ958" s="125" t="n"/>
      <c r="AK958" s="125" t="n"/>
    </row>
    <row r="959"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125" t="n"/>
      <c r="AH959" s="125" t="n"/>
      <c r="AI959" s="5" t="n"/>
      <c r="AJ959" s="125" t="n"/>
      <c r="AK959" s="125" t="n"/>
    </row>
    <row r="960"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125" t="n"/>
      <c r="AH960" s="125" t="n"/>
      <c r="AI960" s="5" t="n"/>
      <c r="AJ960" s="125" t="n"/>
      <c r="AK960" s="125" t="n"/>
    </row>
    <row r="961"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125" t="n"/>
      <c r="AH961" s="125" t="n"/>
      <c r="AI961" s="5" t="n"/>
      <c r="AJ961" s="125" t="n"/>
      <c r="AK961" s="125" t="n"/>
    </row>
    <row r="962"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125" t="n"/>
      <c r="AH962" s="125" t="n"/>
      <c r="AI962" s="5" t="n"/>
      <c r="AJ962" s="125" t="n"/>
      <c r="AK962" s="125" t="n"/>
    </row>
    <row r="963"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125" t="n"/>
      <c r="AH963" s="125" t="n"/>
      <c r="AI963" s="5" t="n"/>
      <c r="AJ963" s="125" t="n"/>
      <c r="AK963" s="125" t="n"/>
    </row>
    <row r="964"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125" t="n"/>
      <c r="AH964" s="125" t="n"/>
      <c r="AI964" s="5" t="n"/>
      <c r="AJ964" s="125" t="n"/>
      <c r="AK964" s="125" t="n"/>
    </row>
    <row r="965"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125" t="n"/>
      <c r="AH965" s="125" t="n"/>
      <c r="AI965" s="5" t="n"/>
      <c r="AJ965" s="125" t="n"/>
      <c r="AK965" s="125" t="n"/>
    </row>
    <row r="966"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125" t="n"/>
      <c r="AH966" s="125" t="n"/>
      <c r="AI966" s="5" t="n"/>
      <c r="AJ966" s="125" t="n"/>
      <c r="AK966" s="125" t="n"/>
    </row>
    <row r="967"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125" t="n"/>
      <c r="AH967" s="125" t="n"/>
      <c r="AI967" s="5" t="n"/>
      <c r="AJ967" s="125" t="n"/>
      <c r="AK967" s="125" t="n"/>
    </row>
    <row r="968"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125" t="n"/>
      <c r="AH968" s="125" t="n"/>
      <c r="AI968" s="5" t="n"/>
      <c r="AJ968" s="125" t="n"/>
      <c r="AK968" s="125" t="n"/>
    </row>
    <row r="969"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125" t="n"/>
      <c r="AH969" s="125" t="n"/>
      <c r="AI969" s="5" t="n"/>
      <c r="AJ969" s="125" t="n"/>
      <c r="AK969" s="125" t="n"/>
    </row>
    <row r="970"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125" t="n"/>
      <c r="AH970" s="125" t="n"/>
      <c r="AI970" s="5" t="n"/>
      <c r="AJ970" s="125" t="n"/>
      <c r="AK970" s="125" t="n"/>
    </row>
    <row r="971"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125" t="n"/>
      <c r="AH971" s="125" t="n"/>
      <c r="AI971" s="5" t="n"/>
      <c r="AJ971" s="125" t="n"/>
      <c r="AK971" s="125" t="n"/>
    </row>
    <row r="972"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125" t="n"/>
      <c r="AH972" s="125" t="n"/>
      <c r="AI972" s="5" t="n"/>
      <c r="AJ972" s="125" t="n"/>
      <c r="AK972" s="125" t="n"/>
    </row>
    <row r="973"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125" t="n"/>
      <c r="AH973" s="125" t="n"/>
      <c r="AI973" s="5" t="n"/>
      <c r="AJ973" s="125" t="n"/>
      <c r="AK973" s="125" t="n"/>
    </row>
    <row r="974"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125" t="n"/>
      <c r="AH974" s="125" t="n"/>
      <c r="AI974" s="5" t="n"/>
      <c r="AJ974" s="125" t="n"/>
      <c r="AK974" s="125" t="n"/>
    </row>
    <row r="975"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125" t="n"/>
      <c r="AH975" s="125" t="n"/>
      <c r="AI975" s="5" t="n"/>
      <c r="AJ975" s="125" t="n"/>
      <c r="AK975" s="125" t="n"/>
    </row>
    <row r="976"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125" t="n"/>
      <c r="AH976" s="125" t="n"/>
      <c r="AI976" s="5" t="n"/>
      <c r="AJ976" s="125" t="n"/>
      <c r="AK976" s="125" t="n"/>
    </row>
    <row r="977"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125" t="n"/>
      <c r="AH977" s="125" t="n"/>
      <c r="AI977" s="5" t="n"/>
      <c r="AJ977" s="125" t="n"/>
      <c r="AK977" s="125" t="n"/>
    </row>
    <row r="978"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125" t="n"/>
      <c r="AH978" s="125" t="n"/>
      <c r="AI978" s="5" t="n"/>
      <c r="AJ978" s="125" t="n"/>
      <c r="AK978" s="125" t="n"/>
    </row>
    <row r="979"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125" t="n"/>
      <c r="AH979" s="125" t="n"/>
      <c r="AI979" s="5" t="n"/>
      <c r="AJ979" s="125" t="n"/>
      <c r="AK979" s="125" t="n"/>
    </row>
    <row r="980"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125" t="n"/>
      <c r="AH980" s="125" t="n"/>
      <c r="AI980" s="5" t="n"/>
      <c r="AJ980" s="125" t="n"/>
      <c r="AK980" s="125" t="n"/>
    </row>
    <row r="981"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125" t="n"/>
      <c r="AH981" s="125" t="n"/>
      <c r="AI981" s="5" t="n"/>
      <c r="AJ981" s="125" t="n"/>
      <c r="AK981" s="125" t="n"/>
    </row>
    <row r="982"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125" t="n"/>
      <c r="AH982" s="125" t="n"/>
      <c r="AI982" s="5" t="n"/>
      <c r="AJ982" s="125" t="n"/>
      <c r="AK982" s="125" t="n"/>
    </row>
    <row r="983"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125" t="n"/>
      <c r="AH983" s="125" t="n"/>
      <c r="AI983" s="5" t="n"/>
      <c r="AJ983" s="125" t="n"/>
      <c r="AK983" s="125" t="n"/>
    </row>
    <row r="984"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125" t="n"/>
      <c r="AH984" s="125" t="n"/>
      <c r="AI984" s="5" t="n"/>
      <c r="AJ984" s="125" t="n"/>
      <c r="AK984" s="125" t="n"/>
    </row>
    <row r="985"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125" t="n"/>
      <c r="AH985" s="125" t="n"/>
      <c r="AI985" s="5" t="n"/>
      <c r="AJ985" s="125" t="n"/>
      <c r="AK985" s="125" t="n"/>
    </row>
    <row r="986"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125" t="n"/>
      <c r="AH986" s="125" t="n"/>
      <c r="AI986" s="5" t="n"/>
      <c r="AJ986" s="125" t="n"/>
      <c r="AK986" s="125" t="n"/>
    </row>
    <row r="987"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125" t="n"/>
      <c r="AH987" s="125" t="n"/>
      <c r="AI987" s="5" t="n"/>
      <c r="AJ987" s="125" t="n"/>
      <c r="AK987" s="125" t="n"/>
    </row>
    <row r="988"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125" t="n"/>
      <c r="AH988" s="125" t="n"/>
      <c r="AI988" s="5" t="n"/>
      <c r="AJ988" s="125" t="n"/>
      <c r="AK988" s="125" t="n"/>
    </row>
    <row r="989"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125" t="n"/>
      <c r="AH989" s="125" t="n"/>
      <c r="AI989" s="5" t="n"/>
      <c r="AJ989" s="125" t="n"/>
      <c r="AK989" s="125" t="n"/>
    </row>
    <row r="990"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125" t="n"/>
      <c r="AH990" s="125" t="n"/>
      <c r="AI990" s="5" t="n"/>
      <c r="AJ990" s="125" t="n"/>
      <c r="AK990" s="125" t="n"/>
    </row>
    <row r="991"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125" t="n"/>
      <c r="AH991" s="125" t="n"/>
      <c r="AI991" s="5" t="n"/>
      <c r="AJ991" s="125" t="n"/>
      <c r="AK991" s="125" t="n"/>
    </row>
    <row r="992"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125" t="n"/>
      <c r="AH992" s="125" t="n"/>
      <c r="AI992" s="5" t="n"/>
      <c r="AJ992" s="125" t="n"/>
      <c r="AK992" s="125" t="n"/>
    </row>
    <row r="993"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125" t="n"/>
      <c r="AH993" s="125" t="n"/>
      <c r="AI993" s="5" t="n"/>
      <c r="AJ993" s="125" t="n"/>
      <c r="AK993" s="125" t="n"/>
    </row>
    <row r="994"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125" t="n"/>
      <c r="AH994" s="125" t="n"/>
      <c r="AI994" s="5" t="n"/>
      <c r="AJ994" s="125" t="n"/>
      <c r="AK994" s="125" t="n"/>
    </row>
    <row r="995"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125" t="n"/>
      <c r="AH995" s="125" t="n"/>
      <c r="AI995" s="5" t="n"/>
      <c r="AJ995" s="125" t="n"/>
      <c r="AK995" s="125" t="n"/>
    </row>
    <row r="996"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125" t="n"/>
      <c r="AH996" s="125" t="n"/>
      <c r="AI996" s="5" t="n"/>
      <c r="AJ996" s="125" t="n"/>
      <c r="AK996" s="125" t="n"/>
    </row>
    <row r="997"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125" t="n"/>
      <c r="AH997" s="125" t="n"/>
      <c r="AI997" s="5" t="n"/>
      <c r="AJ997" s="125" t="n"/>
      <c r="AK997" s="125" t="n"/>
    </row>
    <row r="998"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125" t="n"/>
      <c r="AH998" s="125" t="n"/>
      <c r="AI998" s="5" t="n"/>
      <c r="AJ998" s="125" t="n"/>
      <c r="AK998" s="125" t="n"/>
    </row>
    <row r="999"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125" t="n"/>
      <c r="AH999" s="125" t="n"/>
      <c r="AI999" s="5" t="n"/>
      <c r="AJ999" s="125" t="n"/>
      <c r="AK999" s="125" t="n"/>
    </row>
    <row r="1000"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125" t="n"/>
      <c r="AH1000" s="125" t="n"/>
      <c r="AI1000" s="5" t="n"/>
      <c r="AJ1000" s="125" t="n"/>
      <c r="AK1000" s="125" t="n"/>
    </row>
    <row r="1001"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125" t="n"/>
      <c r="AH1001" s="125" t="n"/>
      <c r="AI1001" s="5" t="n"/>
      <c r="AJ1001" s="125" t="n"/>
      <c r="AK1001" s="125" t="n"/>
    </row>
    <row r="1002"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125" t="n"/>
      <c r="AH1002" s="125" t="n"/>
      <c r="AI1002" s="5" t="n"/>
      <c r="AJ1002" s="125" t="n"/>
      <c r="AK1002" s="125" t="n"/>
    </row>
    <row r="1003"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125" t="n"/>
      <c r="AH1003" s="125" t="n"/>
      <c r="AI1003" s="5" t="n"/>
      <c r="AJ1003" s="125" t="n"/>
      <c r="AK1003" s="125" t="n"/>
    </row>
    <row r="1004"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125" t="n"/>
      <c r="AH1004" s="125" t="n"/>
      <c r="AI1004" s="5" t="n"/>
      <c r="AJ1004" s="125" t="n"/>
      <c r="AK1004" s="125" t="n"/>
    </row>
    <row r="1005"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125" t="n"/>
      <c r="AH1005" s="125" t="n"/>
      <c r="AI1005" s="5" t="n"/>
      <c r="AJ1005" s="125" t="n"/>
      <c r="AK1005" s="125" t="n"/>
    </row>
    <row r="1006"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125" t="n"/>
      <c r="AH1006" s="125" t="n"/>
      <c r="AI1006" s="5" t="n"/>
      <c r="AJ1006" s="125" t="n"/>
      <c r="AK1006" s="125" t="n"/>
    </row>
    <row r="1007"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125" t="n"/>
      <c r="AH1007" s="125" t="n"/>
      <c r="AI1007" s="5" t="n"/>
      <c r="AJ1007" s="125" t="n"/>
      <c r="AK1007" s="125" t="n"/>
    </row>
    <row r="1008"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125" t="n"/>
      <c r="AH1008" s="125" t="n"/>
      <c r="AI1008" s="5" t="n"/>
      <c r="AJ1008" s="125" t="n"/>
      <c r="AK1008" s="125" t="n"/>
    </row>
    <row r="1009"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125" t="n"/>
      <c r="AH1009" s="125" t="n"/>
      <c r="AI1009" s="5" t="n"/>
      <c r="AJ1009" s="125" t="n"/>
      <c r="AK1009" s="125" t="n"/>
    </row>
    <row r="1010"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125" t="n"/>
      <c r="AH1010" s="125" t="n"/>
      <c r="AI1010" s="5" t="n"/>
      <c r="AJ1010" s="125" t="n"/>
      <c r="AK1010" s="125" t="n"/>
    </row>
    <row r="1011"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125" t="n"/>
      <c r="AH1011" s="125" t="n"/>
      <c r="AI1011" s="5" t="n"/>
      <c r="AJ1011" s="125" t="n"/>
      <c r="AK1011" s="125" t="n"/>
    </row>
    <row r="1012"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125" t="n"/>
      <c r="AH1012" s="125" t="n"/>
      <c r="AI1012" s="5" t="n"/>
      <c r="AJ1012" s="125" t="n"/>
      <c r="AK1012" s="125" t="n"/>
    </row>
  </sheetData>
  <mergeCells count="54">
    <mergeCell ref="B16:C16"/>
    <mergeCell ref="R4:R5"/>
    <mergeCell ref="H20:I20"/>
    <mergeCell ref="T4:T5"/>
    <mergeCell ref="H29:I29"/>
    <mergeCell ref="V4:V5"/>
    <mergeCell ref="AB4:AB5"/>
    <mergeCell ref="S17:S18"/>
    <mergeCell ref="U17:U18"/>
    <mergeCell ref="O4:O5"/>
    <mergeCell ref="H25:I25"/>
    <mergeCell ref="L13:AB13"/>
    <mergeCell ref="H21:I21"/>
    <mergeCell ref="B2:C2"/>
    <mergeCell ref="Q4:Q5"/>
    <mergeCell ref="Y17:Y18"/>
    <mergeCell ref="N17:N18"/>
    <mergeCell ref="P17:P18"/>
    <mergeCell ref="L3:AB3"/>
    <mergeCell ref="R17:R18"/>
    <mergeCell ref="J4:J5"/>
    <mergeCell ref="AA4:AA5"/>
    <mergeCell ref="T17:T18"/>
    <mergeCell ref="Z17:Z18"/>
    <mergeCell ref="AB17:AB18"/>
    <mergeCell ref="B15:D15"/>
    <mergeCell ref="H17:I17"/>
    <mergeCell ref="H16:I16"/>
    <mergeCell ref="M17:M18"/>
    <mergeCell ref="X4:X5"/>
    <mergeCell ref="O17:O18"/>
    <mergeCell ref="B4:D4"/>
    <mergeCell ref="Z4:Z5"/>
    <mergeCell ref="Q17:Q18"/>
    <mergeCell ref="W17:W18"/>
    <mergeCell ref="H19:I19"/>
    <mergeCell ref="S4:S5"/>
    <mergeCell ref="H28:I28"/>
    <mergeCell ref="H22:I22"/>
    <mergeCell ref="U4:U5"/>
    <mergeCell ref="H27:I27"/>
    <mergeCell ref="L9:AB9"/>
    <mergeCell ref="M4:M5"/>
    <mergeCell ref="AA17:AA18"/>
    <mergeCell ref="H24:I24"/>
    <mergeCell ref="W4:W5"/>
    <mergeCell ref="H18:I18"/>
    <mergeCell ref="Y4:Y5"/>
    <mergeCell ref="N4:N5"/>
    <mergeCell ref="V17:V18"/>
    <mergeCell ref="P4:P5"/>
    <mergeCell ref="X17:X18"/>
    <mergeCell ref="H23:I23"/>
    <mergeCell ref="H26:I26"/>
  </mergeCells>
  <conditionalFormatting sqref="AC1:AC2 AC12:AC20 AC29:AC1012 AF3:AF11">
    <cfRule type="notContainsBlanks" priority="1" dxfId="4">
      <formula>LEN(TRIM(AC1))&gt;0</formula>
    </cfRule>
  </conditionalFormatting>
  <conditionalFormatting sqref="Z8:AE8">
    <cfRule type="cellIs" priority="2" operator="equal" dxfId="0">
      <formula>0</formula>
    </cfRule>
  </conditionalFormatting>
  <conditionalFormatting sqref="M6:AB6 M10 M14 N10:AA11 N14:AA15 AB10 AB14">
    <cfRule type="cellIs" priority="3" operator="equal" dxfId="0">
      <formula>0</formula>
    </cfRule>
  </conditionalFormatting>
  <conditionalFormatting sqref="M7:AB7 M11:S11 M15:S15 T10:T11 T14:T15 U11:AB11 U15:AB15">
    <cfRule type="cellIs" priority="4" operator="equal" dxfId="5">
      <formula>0</formula>
    </cfRule>
  </conditionalFormatting>
  <conditionalFormatting sqref="H6:H13">
    <cfRule type="cellIs" priority="5" operator="greaterThan" dxfId="1">
      <formula>0</formula>
    </cfRule>
  </conditionalFormatting>
  <conditionalFormatting sqref="V4:V8 V10:V12 V14:V15">
    <cfRule type="expression" priority="6" dxfId="2">
      <formula>$F$15&gt;=3</formula>
    </cfRule>
  </conditionalFormatting>
  <dataValidations count="2">
    <dataValidation sqref="J10" showDropDown="0" showInputMessage="0" showErrorMessage="1" allowBlank="1" type="list">
      <formula1>"Sí,No"</formula1>
    </dataValidation>
    <dataValidation sqref="J8" showDropDown="0" showInputMessage="0" showErrorMessage="1" allowBlank="1" type="list">
      <formula1>"1%,2%,3%,4%,5%,0%"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660000"/>
    <outlinePr summaryBelow="0" summaryRight="0"/>
    <pageSetUpPr/>
  </sheetPr>
  <dimension ref="A1:DD10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13" customWidth="1" style="241" min="1" max="1"/>
    <col width="12" customWidth="1" style="241" min="2" max="2"/>
    <col width="11" customWidth="1" style="241" min="3" max="5"/>
    <col width="2.88" customWidth="1" style="241" min="6" max="6"/>
    <col width="17.13" customWidth="1" style="241" min="7" max="11"/>
    <col width="2.88" customWidth="1" style="241" min="12" max="12"/>
    <col width="12.13" customWidth="1" style="241" min="13" max="13"/>
    <col width="13.88" customWidth="1" style="241" min="14" max="17"/>
    <col width="2.88" customWidth="1" style="241" min="18" max="18"/>
    <col width="12.13" customWidth="1" style="241" min="19" max="19"/>
    <col width="15.38" customWidth="1" style="241" min="20" max="23"/>
    <col width="2.88" customWidth="1" style="241" min="24" max="24"/>
    <col width="12.13" customWidth="1" style="241" min="25" max="25"/>
    <col width="15.63" customWidth="1" style="241" min="26" max="29"/>
    <col width="2.38" customWidth="1" style="241" min="30" max="30"/>
    <col width="18.88" customWidth="1" style="241" min="31" max="31"/>
    <col width="19" customWidth="1" style="241" min="32" max="35"/>
    <col width="3.88" customWidth="1" style="241" min="36" max="36"/>
    <col width="16.88" customWidth="1" style="241" min="38" max="38"/>
    <col width="15.75" customWidth="1" style="241" min="56" max="59"/>
    <col width="3.88" customWidth="1" style="241" min="60" max="60"/>
    <col width="17.13" customWidth="1" style="241" min="61" max="65"/>
    <col width="5.63" customWidth="1" style="241" min="66" max="66"/>
    <col width="17.13" customWidth="1" style="241" min="67" max="67"/>
    <col width="13.63" customWidth="1" style="241" min="68" max="68"/>
    <col width="4.25" customWidth="1" style="241" min="70" max="70"/>
    <col width="18.88" customWidth="1" style="241" min="71" max="71"/>
    <col width="19" customWidth="1" style="241" min="72" max="75"/>
    <col width="3.75" customWidth="1" style="241" min="76" max="76"/>
    <col width="19.25" customWidth="1" style="241" min="83" max="83"/>
    <col width="19.38" customWidth="1" style="241" min="89" max="89"/>
    <col width="24.5" customWidth="1" style="241" min="96" max="96"/>
    <col width="3.38" customWidth="1" style="241" min="97" max="97"/>
    <col width="24.5" customWidth="1" style="241" min="99" max="102"/>
    <col width="3.75" customWidth="1" style="241" min="103" max="103"/>
    <col width="24.5" customWidth="1" style="241" min="105" max="108"/>
  </cols>
  <sheetData>
    <row r="1">
      <c r="A1" s="148" t="inlineStr">
        <is>
          <t>Tramo edad</t>
        </is>
      </c>
      <c r="B1" s="148" t="inlineStr">
        <is>
          <t>Adeslas Go 1</t>
        </is>
      </c>
      <c r="C1" s="148" t="inlineStr">
        <is>
          <t>Adeslas Go 2</t>
        </is>
      </c>
      <c r="D1" s="148" t="inlineStr">
        <is>
          <t>Adeslas Go 3</t>
        </is>
      </c>
      <c r="E1" s="148" t="inlineStr">
        <is>
          <t>Adeslas Go 4</t>
        </is>
      </c>
      <c r="F1" s="5" t="n"/>
      <c r="G1" s="147" t="inlineStr">
        <is>
          <t>Tramo edad</t>
        </is>
      </c>
      <c r="H1" s="147" t="inlineStr">
        <is>
          <t>Adeslas Plena Vital 1</t>
        </is>
      </c>
      <c r="I1" s="147" t="inlineStr">
        <is>
          <t>Adeslas Plena Vital 2</t>
        </is>
      </c>
      <c r="J1" s="147" t="inlineStr">
        <is>
          <t>Adeslas Plena Vital 3</t>
        </is>
      </c>
      <c r="K1" s="147" t="inlineStr">
        <is>
          <t>Adeslas Plena Vital 4</t>
        </is>
      </c>
      <c r="L1" s="5" t="n"/>
      <c r="M1" s="147" t="inlineStr">
        <is>
          <t>Tramo edad</t>
        </is>
      </c>
      <c r="N1" s="147" t="inlineStr">
        <is>
          <t>Adeslas Plena 1</t>
        </is>
      </c>
      <c r="O1" s="147" t="inlineStr">
        <is>
          <t>Adeslas Plena 2</t>
        </is>
      </c>
      <c r="P1" s="147" t="inlineStr">
        <is>
          <t>Adeslas Plena 3</t>
        </is>
      </c>
      <c r="Q1" s="147" t="inlineStr">
        <is>
          <t>Adeslas Plena 4</t>
        </is>
      </c>
      <c r="R1" s="5" t="n"/>
      <c r="S1" s="147" t="inlineStr">
        <is>
          <t>Tramo edad</t>
        </is>
      </c>
      <c r="T1" s="147" t="inlineStr">
        <is>
          <t>Adeslas Plena Plus 1</t>
        </is>
      </c>
      <c r="U1" s="147" t="inlineStr">
        <is>
          <t>Adeslas Plena Plus 2</t>
        </is>
      </c>
      <c r="V1" s="147" t="inlineStr">
        <is>
          <t>Adeslas Plena Plus 3</t>
        </is>
      </c>
      <c r="W1" s="147" t="inlineStr">
        <is>
          <t>Adeslas Plena Plus 4</t>
        </is>
      </c>
      <c r="X1" s="5" t="n"/>
      <c r="Y1" s="147" t="inlineStr">
        <is>
          <t>Tramo edad</t>
        </is>
      </c>
      <c r="Z1" s="147" t="inlineStr">
        <is>
          <t>Adeslas Plena Total 1</t>
        </is>
      </c>
      <c r="AA1" s="147" t="inlineStr">
        <is>
          <t>Adeslas Plena Total 2</t>
        </is>
      </c>
      <c r="AB1" s="147" t="inlineStr">
        <is>
          <t>Adeslas Plena Total 3</t>
        </is>
      </c>
      <c r="AC1" s="147" t="inlineStr">
        <is>
          <t>Adeslas Plena Total 4</t>
        </is>
      </c>
      <c r="AD1" s="5" t="n"/>
      <c r="AE1" s="147" t="inlineStr">
        <is>
          <t>Tramo edad (1 a 4 aseg)</t>
        </is>
      </c>
      <c r="AF1" s="147" t="inlineStr">
        <is>
          <t>Adeslas Negocios CIF 1</t>
        </is>
      </c>
      <c r="AG1" s="147" t="inlineStr">
        <is>
          <t>Adeslas Negocios CIF 2</t>
        </is>
      </c>
      <c r="AH1" s="147" t="inlineStr">
        <is>
          <t>Adeslas Negocios CIF 3</t>
        </is>
      </c>
      <c r="AI1" s="147" t="inlineStr">
        <is>
          <t>Adeslas Negocios CIF 4</t>
        </is>
      </c>
      <c r="AJ1" s="5" t="n"/>
      <c r="AK1" s="147" t="inlineStr">
        <is>
          <t>Tramo edad (1 a 4 aseg)</t>
        </is>
      </c>
      <c r="AL1" s="147" t="inlineStr">
        <is>
          <t>Adeslas Extra Negocios CIF 1</t>
        </is>
      </c>
      <c r="AM1" s="147" t="inlineStr">
        <is>
          <t>Adeslas Extra Negocios CIF 2</t>
        </is>
      </c>
      <c r="AN1" s="147" t="inlineStr">
        <is>
          <t>Adeslas Extra Negocios CIF 3</t>
        </is>
      </c>
      <c r="AO1" s="147" t="inlineStr">
        <is>
          <t>Adeslas Extra Negocios CIF 4</t>
        </is>
      </c>
      <c r="AP1" s="148" t="n"/>
      <c r="AQ1" s="147" t="inlineStr">
        <is>
          <t>Tramo edad (5 o + aseg)</t>
        </is>
      </c>
      <c r="AR1" s="147" t="inlineStr">
        <is>
          <t>Adeslas Empresas 1</t>
        </is>
      </c>
      <c r="AS1" s="147" t="inlineStr">
        <is>
          <t>Adeslas Empresas 2</t>
        </is>
      </c>
      <c r="AT1" s="147" t="inlineStr">
        <is>
          <t>Adeslas Empresas 3</t>
        </is>
      </c>
      <c r="AU1" s="147" t="inlineStr">
        <is>
          <t>Adeslas Empresas 4</t>
        </is>
      </c>
      <c r="AV1" s="148" t="n"/>
      <c r="AW1" s="147" t="inlineStr">
        <is>
          <t>Tramo edad (5 o + aseg)</t>
        </is>
      </c>
      <c r="AX1" s="147" t="inlineStr">
        <is>
          <t>Adeslas Extra Empresas 1</t>
        </is>
      </c>
      <c r="AY1" s="147" t="inlineStr">
        <is>
          <t>Adeslas Extra Empresas 2</t>
        </is>
      </c>
      <c r="AZ1" s="147" t="inlineStr">
        <is>
          <t>Adeslas Extra Empresas 3</t>
        </is>
      </c>
      <c r="BA1" s="147" t="inlineStr">
        <is>
          <t>Adeslas Extra Empresas 4</t>
        </is>
      </c>
      <c r="BB1" s="148" t="n"/>
      <c r="BC1" s="147" t="inlineStr">
        <is>
          <t>Tramo edad</t>
        </is>
      </c>
      <c r="BD1" s="147" t="inlineStr">
        <is>
          <t>Adeslas Seniors 1</t>
        </is>
      </c>
      <c r="BE1" s="147" t="inlineStr">
        <is>
          <t>Adeslas Seniors 2</t>
        </is>
      </c>
      <c r="BF1" s="147" t="inlineStr">
        <is>
          <t>Adeslas Seniors 3</t>
        </is>
      </c>
      <c r="BG1" s="147" t="inlineStr">
        <is>
          <t>Adeslas Seniors 4</t>
        </is>
      </c>
      <c r="BH1" s="5" t="n"/>
      <c r="BI1" s="147" t="inlineStr">
        <is>
          <t>Tramo edad</t>
        </is>
      </c>
      <c r="BJ1" s="147" t="inlineStr">
        <is>
          <t>Adeslas Plena Total Seniors 1</t>
        </is>
      </c>
      <c r="BK1" s="147" t="inlineStr">
        <is>
          <t>Adeslas Plena Total Seniors 2</t>
        </is>
      </c>
      <c r="BL1" s="147" t="inlineStr">
        <is>
          <t>Adeslas Plena Total Seniors 3</t>
        </is>
      </c>
      <c r="BM1" s="147" t="inlineStr">
        <is>
          <t>Adeslas Plena Total Seniors 4</t>
        </is>
      </c>
      <c r="BN1" s="5" t="n"/>
      <c r="BO1" s="147" t="inlineStr">
        <is>
          <t>Nº Asegurados</t>
        </is>
      </c>
      <c r="BP1" s="147" t="inlineStr">
        <is>
          <t>DENTAL</t>
        </is>
      </c>
      <c r="BQ1" s="147" t="inlineStr">
        <is>
          <t>TOTAL</t>
        </is>
      </c>
      <c r="BR1" s="5" t="n"/>
      <c r="BS1" s="147" t="inlineStr">
        <is>
          <t>Tramo edad</t>
        </is>
      </c>
      <c r="BT1" s="147" t="inlineStr">
        <is>
          <t>Adeslas Pymes Total 1</t>
        </is>
      </c>
      <c r="BU1" s="147" t="inlineStr">
        <is>
          <t>Adeslas Pymes Total 2</t>
        </is>
      </c>
      <c r="BV1" s="147" t="inlineStr">
        <is>
          <t>Adeslas Pymes Total 3</t>
        </is>
      </c>
      <c r="BW1" s="147" t="inlineStr">
        <is>
          <t>Adeslas Pymes Total 4</t>
        </is>
      </c>
      <c r="BY1" s="147" t="inlineStr">
        <is>
          <t>Tramo edad</t>
        </is>
      </c>
      <c r="BZ1" s="147" t="inlineStr">
        <is>
          <t>Adeslas Negocios NIF 1</t>
        </is>
      </c>
      <c r="CA1" s="147" t="inlineStr">
        <is>
          <t>Adeslas Negocios NIF 2</t>
        </is>
      </c>
      <c r="CB1" s="147" t="inlineStr">
        <is>
          <t>Adeslas Negocios NIF 3</t>
        </is>
      </c>
      <c r="CC1" s="147" t="inlineStr">
        <is>
          <t>Adeslas Negocios NIF 4</t>
        </is>
      </c>
      <c r="CD1" s="148" t="n"/>
      <c r="CE1" s="147" t="inlineStr">
        <is>
          <t>Tramo edad (1 o 2 aseg)</t>
        </is>
      </c>
      <c r="CF1" s="147" t="inlineStr">
        <is>
          <t>Adeslas Extra Negocios NIF 1</t>
        </is>
      </c>
      <c r="CG1" s="147" t="inlineStr">
        <is>
          <t>Adeslas Extra Negocios NIF 2</t>
        </is>
      </c>
      <c r="CH1" s="147" t="inlineStr">
        <is>
          <t>Adeslas Extra Negocios NIF 3</t>
        </is>
      </c>
      <c r="CI1" s="147" t="inlineStr">
        <is>
          <t>Adeslas Extra Negocios NIF 4</t>
        </is>
      </c>
      <c r="CJ1" s="148" t="n"/>
      <c r="CK1" s="147" t="inlineStr">
        <is>
          <t>Tramo edad (3 o + aseg)</t>
        </is>
      </c>
      <c r="CL1" s="147" t="inlineStr">
        <is>
          <t>Adeslas Extra Negocios NIF 1</t>
        </is>
      </c>
      <c r="CM1" s="147" t="inlineStr">
        <is>
          <t>Adeslas Extra Negocios NIF 2</t>
        </is>
      </c>
      <c r="CN1" s="147" t="inlineStr">
        <is>
          <t>Adeslas Extra Negocios NIF 3</t>
        </is>
      </c>
      <c r="CO1" s="147" t="inlineStr">
        <is>
          <t>Adeslas Extra Negocios NIF 4</t>
        </is>
      </c>
      <c r="CP1" s="148" t="n"/>
      <c r="CQ1" s="149" t="n"/>
      <c r="CR1" s="149" t="n"/>
      <c r="CT1" s="147" t="inlineStr">
        <is>
          <t>Tramo edad</t>
        </is>
      </c>
      <c r="CU1" s="147" t="inlineStr">
        <is>
          <t>Adeslas Plena Extra 150 1</t>
        </is>
      </c>
      <c r="CV1" s="147" t="inlineStr">
        <is>
          <t>Adeslas Plena Extra 150 2</t>
        </is>
      </c>
      <c r="CW1" s="147" t="inlineStr">
        <is>
          <t>Adeslas Plena Extra 150 3</t>
        </is>
      </c>
      <c r="CX1" s="147" t="inlineStr">
        <is>
          <t>Adeslas Plena Extra 150 4</t>
        </is>
      </c>
      <c r="CZ1" s="147" t="inlineStr">
        <is>
          <t>Tramo edad</t>
        </is>
      </c>
      <c r="DA1" s="147" t="inlineStr">
        <is>
          <t>Adeslas Plena Total Vital 1</t>
        </is>
      </c>
      <c r="DB1" s="147" t="inlineStr">
        <is>
          <t>Adeslas Plena Total Vital 2</t>
        </is>
      </c>
      <c r="DC1" s="147" t="inlineStr">
        <is>
          <t>Adeslas Plena Total Vital 3</t>
        </is>
      </c>
      <c r="DD1" s="147" t="inlineStr">
        <is>
          <t>Adeslas Plena Total Vital 4</t>
        </is>
      </c>
    </row>
    <row r="2">
      <c r="A2" s="151" t="n">
        <v>0</v>
      </c>
      <c r="B2" s="152" t="n">
        <v>20</v>
      </c>
      <c r="C2" s="152" t="n">
        <v>21</v>
      </c>
      <c r="D2" s="152" t="n">
        <v>21</v>
      </c>
      <c r="E2" s="152" t="n">
        <v>22</v>
      </c>
      <c r="F2" s="5" t="n"/>
      <c r="G2" s="153" t="n">
        <v>0</v>
      </c>
      <c r="H2" s="152" t="n">
        <v>37</v>
      </c>
      <c r="I2" s="152" t="n">
        <v>38</v>
      </c>
      <c r="J2" s="152" t="n">
        <v>39</v>
      </c>
      <c r="K2" s="152" t="n">
        <v>40</v>
      </c>
      <c r="L2" s="5" t="n"/>
      <c r="M2" s="153" t="n">
        <v>0</v>
      </c>
      <c r="N2" s="152" t="n">
        <v>49</v>
      </c>
      <c r="O2" s="152" t="n">
        <v>50</v>
      </c>
      <c r="P2" s="152" t="n">
        <v>51</v>
      </c>
      <c r="Q2" s="152" t="n">
        <v>52</v>
      </c>
      <c r="R2" s="5" t="n"/>
      <c r="S2" s="153" t="n">
        <v>0</v>
      </c>
      <c r="T2" s="152" t="n">
        <v>59</v>
      </c>
      <c r="U2" s="152" t="n">
        <v>61</v>
      </c>
      <c r="V2" s="152" t="n">
        <v>63</v>
      </c>
      <c r="W2" s="152" t="n">
        <v>64</v>
      </c>
      <c r="X2" s="5" t="n"/>
      <c r="Y2" s="153" t="n">
        <v>0</v>
      </c>
      <c r="Z2" s="152" t="n">
        <v>80</v>
      </c>
      <c r="AA2" s="152" t="n">
        <v>81</v>
      </c>
      <c r="AB2" s="152" t="n">
        <v>83</v>
      </c>
      <c r="AC2" s="152" t="n">
        <v>84</v>
      </c>
      <c r="AD2" s="5" t="n"/>
      <c r="AE2" s="153" t="n">
        <v>0</v>
      </c>
      <c r="AF2" s="154" t="n">
        <v>49</v>
      </c>
      <c r="AG2" s="154" t="n">
        <v>50</v>
      </c>
      <c r="AH2" s="154" t="n">
        <v>52</v>
      </c>
      <c r="AI2" s="154" t="n">
        <v>53</v>
      </c>
      <c r="AJ2" s="5" t="n"/>
      <c r="AK2" s="153" t="n">
        <v>0</v>
      </c>
      <c r="AL2" s="154" t="n">
        <v>72</v>
      </c>
      <c r="AM2" s="154" t="n">
        <v>73</v>
      </c>
      <c r="AN2" s="154" t="n">
        <v>76</v>
      </c>
      <c r="AO2" s="154" t="n">
        <v>77</v>
      </c>
      <c r="AP2" s="5" t="n"/>
      <c r="AQ2" s="153" t="n">
        <v>0</v>
      </c>
      <c r="AR2" s="154" t="n">
        <v>53.5</v>
      </c>
      <c r="AS2" s="154" t="n">
        <v>55.5</v>
      </c>
      <c r="AT2" s="154" t="n">
        <v>57</v>
      </c>
      <c r="AU2" s="154" t="n">
        <v>58</v>
      </c>
      <c r="AV2" s="5" t="n"/>
      <c r="AW2" s="153" t="n">
        <v>0</v>
      </c>
      <c r="AX2" s="154" t="n">
        <v>75.5</v>
      </c>
      <c r="AY2" s="154" t="n">
        <v>77.5</v>
      </c>
      <c r="AZ2" s="154" t="n">
        <v>80.5</v>
      </c>
      <c r="BA2" s="154" t="n">
        <v>82</v>
      </c>
      <c r="BB2" s="5" t="n"/>
      <c r="BC2" s="155" t="n">
        <v>0</v>
      </c>
      <c r="BD2" s="156" t="inlineStr">
        <is>
          <t>No asegurable</t>
        </is>
      </c>
      <c r="BE2" s="156" t="inlineStr">
        <is>
          <t>No asegurable</t>
        </is>
      </c>
      <c r="BF2" s="156" t="inlineStr">
        <is>
          <t>No asegurable</t>
        </is>
      </c>
      <c r="BG2" s="156" t="inlineStr">
        <is>
          <t>No asegurable</t>
        </is>
      </c>
      <c r="BH2" s="5" t="n"/>
      <c r="BI2" s="155" t="n">
        <v>0</v>
      </c>
      <c r="BJ2" s="152" t="inlineStr">
        <is>
          <t>No asegurable</t>
        </is>
      </c>
      <c r="BK2" s="152" t="inlineStr">
        <is>
          <t>No asegurable</t>
        </is>
      </c>
      <c r="BL2" s="152" t="inlineStr">
        <is>
          <t>No asegurable</t>
        </is>
      </c>
      <c r="BM2" s="152" t="inlineStr">
        <is>
          <t>No asegurable</t>
        </is>
      </c>
      <c r="BN2" s="5" t="n"/>
      <c r="BO2" s="155" t="n">
        <v>1</v>
      </c>
      <c r="BP2" s="157" t="n">
        <v>8.93</v>
      </c>
      <c r="BQ2" s="157">
        <f>BP2*BO2</f>
        <v/>
      </c>
      <c r="BR2" s="5" t="n"/>
      <c r="BS2" s="153" t="n">
        <v>0</v>
      </c>
      <c r="BT2" s="152" t="n">
        <v>58</v>
      </c>
      <c r="BU2" s="152" t="n">
        <v>60</v>
      </c>
      <c r="BV2" s="152" t="n">
        <v>62</v>
      </c>
      <c r="BW2" s="152" t="n">
        <v>63</v>
      </c>
      <c r="BY2" s="153" t="n">
        <v>0</v>
      </c>
      <c r="BZ2" s="154" t="n">
        <v>53.5</v>
      </c>
      <c r="CA2" s="154" t="n">
        <v>54.5</v>
      </c>
      <c r="CB2" s="154" t="n">
        <v>56.5</v>
      </c>
      <c r="CC2" s="154" t="n">
        <v>58</v>
      </c>
      <c r="CD2" s="158" t="n"/>
      <c r="CE2" s="153" t="n">
        <v>0</v>
      </c>
      <c r="CF2" s="152" t="n">
        <v>87</v>
      </c>
      <c r="CG2" s="152" t="n">
        <v>90</v>
      </c>
      <c r="CH2" s="152" t="n">
        <v>98</v>
      </c>
      <c r="CI2" s="152" t="n">
        <v>98</v>
      </c>
      <c r="CJ2" s="158" t="n"/>
      <c r="CK2" s="153" t="n">
        <v>0</v>
      </c>
      <c r="CL2" s="154" t="n">
        <v>78.3</v>
      </c>
      <c r="CM2" s="154" t="n">
        <v>81</v>
      </c>
      <c r="CN2" s="154" t="n">
        <v>88.2</v>
      </c>
      <c r="CO2" s="154" t="n">
        <v>88.2</v>
      </c>
      <c r="CP2" s="158" t="n"/>
      <c r="CQ2" s="159" t="n"/>
      <c r="CR2" s="160" t="n"/>
      <c r="CT2" s="153" t="n">
        <v>0</v>
      </c>
      <c r="CU2" s="152" t="n">
        <v>87</v>
      </c>
      <c r="CV2" s="152" t="n">
        <v>90</v>
      </c>
      <c r="CW2" s="152" t="n">
        <v>98</v>
      </c>
      <c r="CX2" s="152" t="n">
        <v>98</v>
      </c>
      <c r="CZ2" s="153" t="n">
        <v>0</v>
      </c>
      <c r="DA2" s="152" t="n">
        <v>47</v>
      </c>
      <c r="DB2" s="152" t="n">
        <v>48</v>
      </c>
      <c r="DC2" s="152" t="n">
        <v>49</v>
      </c>
      <c r="DD2" s="152" t="n">
        <v>50</v>
      </c>
    </row>
    <row r="3">
      <c r="A3" s="153" t="n">
        <v>55</v>
      </c>
      <c r="B3" s="152" t="n">
        <v>37</v>
      </c>
      <c r="C3" s="152" t="n">
        <v>37</v>
      </c>
      <c r="D3" s="152" t="n">
        <v>38</v>
      </c>
      <c r="E3" s="152" t="n">
        <v>38</v>
      </c>
      <c r="F3" s="5" t="n"/>
      <c r="G3" s="153" t="n">
        <v>25</v>
      </c>
      <c r="H3" s="152" t="n">
        <v>48</v>
      </c>
      <c r="I3" s="152" t="n">
        <v>49</v>
      </c>
      <c r="J3" s="152" t="n">
        <v>50</v>
      </c>
      <c r="K3" s="152" t="n">
        <v>51</v>
      </c>
      <c r="L3" s="5" t="n"/>
      <c r="M3" s="153" t="n">
        <v>25</v>
      </c>
      <c r="N3" s="152" t="n">
        <v>58</v>
      </c>
      <c r="O3" s="152" t="n">
        <v>59</v>
      </c>
      <c r="P3" s="152" t="n">
        <v>61</v>
      </c>
      <c r="Q3" s="152" t="n">
        <v>62</v>
      </c>
      <c r="R3" s="5" t="n"/>
      <c r="S3" s="153" t="n">
        <v>25</v>
      </c>
      <c r="T3" s="152" t="n">
        <v>69</v>
      </c>
      <c r="U3" s="152" t="n">
        <v>71</v>
      </c>
      <c r="V3" s="152" t="n">
        <v>73</v>
      </c>
      <c r="W3" s="152" t="n">
        <v>75</v>
      </c>
      <c r="X3" s="5" t="n"/>
      <c r="Y3" s="153" t="n">
        <v>25</v>
      </c>
      <c r="Z3" s="152" t="n">
        <v>95</v>
      </c>
      <c r="AA3" s="152" t="n">
        <v>98</v>
      </c>
      <c r="AB3" s="152" t="n">
        <v>100</v>
      </c>
      <c r="AC3" s="152" t="n">
        <v>103</v>
      </c>
      <c r="AD3" s="5" t="n"/>
      <c r="AE3" s="153" t="n">
        <v>45</v>
      </c>
      <c r="AF3" s="154" t="n">
        <v>56.5</v>
      </c>
      <c r="AG3" s="154" t="n">
        <v>58.5</v>
      </c>
      <c r="AH3" s="154" t="n">
        <v>60.5</v>
      </c>
      <c r="AI3" s="154" t="n">
        <v>61.5</v>
      </c>
      <c r="AJ3" s="5" t="n"/>
      <c r="AK3" s="153" t="n">
        <v>45</v>
      </c>
      <c r="AL3" s="154" t="n">
        <v>73.5</v>
      </c>
      <c r="AM3" s="154" t="n">
        <v>75.5</v>
      </c>
      <c r="AN3" s="154" t="n">
        <v>78.5</v>
      </c>
      <c r="AO3" s="154" t="n">
        <v>79.5</v>
      </c>
      <c r="AP3" s="5" t="n"/>
      <c r="AQ3" s="153" t="n">
        <v>66</v>
      </c>
      <c r="AR3" s="154" t="n">
        <v>82</v>
      </c>
      <c r="AS3" s="154" t="n">
        <v>84</v>
      </c>
      <c r="AT3" s="154" t="n">
        <v>87</v>
      </c>
      <c r="AU3" s="154" t="n">
        <v>89</v>
      </c>
      <c r="AV3" s="5" t="n"/>
      <c r="AW3" s="153" t="n">
        <v>66</v>
      </c>
      <c r="AX3" s="154" t="n">
        <v>97</v>
      </c>
      <c r="AY3" s="154" t="n">
        <v>100</v>
      </c>
      <c r="AZ3" s="154" t="n">
        <v>103</v>
      </c>
      <c r="BA3" s="154" t="n">
        <v>105</v>
      </c>
      <c r="BB3" s="5" t="n"/>
      <c r="BC3" s="155" t="n">
        <v>50</v>
      </c>
      <c r="BD3" s="152" t="n">
        <v>65</v>
      </c>
      <c r="BE3" s="152" t="n">
        <v>67</v>
      </c>
      <c r="BF3" s="152" t="n">
        <v>69</v>
      </c>
      <c r="BG3" s="152" t="n">
        <v>70</v>
      </c>
      <c r="BH3" s="5" t="n"/>
      <c r="BI3" s="155" t="n">
        <v>60</v>
      </c>
      <c r="BJ3" s="152" t="n">
        <v>99</v>
      </c>
      <c r="BK3" s="152" t="n">
        <v>100</v>
      </c>
      <c r="BL3" s="152" t="n">
        <v>107</v>
      </c>
      <c r="BM3" s="152" t="n">
        <v>109</v>
      </c>
      <c r="BN3" s="5" t="n"/>
      <c r="BO3" s="155" t="n">
        <v>2</v>
      </c>
      <c r="BP3" s="157" t="n">
        <v>6.37</v>
      </c>
      <c r="BQ3" s="157">
        <f>BP3*BO3</f>
        <v/>
      </c>
      <c r="BR3" s="5" t="n"/>
      <c r="BS3" s="153" t="n">
        <v>45</v>
      </c>
      <c r="BT3" s="152" t="n">
        <v>69</v>
      </c>
      <c r="BU3" s="152" t="n">
        <v>71</v>
      </c>
      <c r="BV3" s="152" t="n">
        <v>74</v>
      </c>
      <c r="BW3" s="152" t="n">
        <v>75</v>
      </c>
      <c r="BY3" s="153" t="n">
        <v>25</v>
      </c>
      <c r="BZ3" s="154" t="n">
        <v>58.5</v>
      </c>
      <c r="CA3" s="154" t="n">
        <v>60.5</v>
      </c>
      <c r="CB3" s="154" t="n">
        <v>62.5</v>
      </c>
      <c r="CC3" s="154" t="n">
        <v>63.5</v>
      </c>
      <c r="CD3" s="158" t="n"/>
      <c r="CE3" s="153" t="n">
        <v>25</v>
      </c>
      <c r="CF3" s="152" t="n">
        <v>103</v>
      </c>
      <c r="CG3" s="152" t="n">
        <v>105</v>
      </c>
      <c r="CH3" s="152" t="n">
        <v>115</v>
      </c>
      <c r="CI3" s="152" t="n">
        <v>115</v>
      </c>
      <c r="CJ3" s="158" t="n"/>
      <c r="CK3" s="153" t="n">
        <v>25</v>
      </c>
      <c r="CL3" s="154" t="n">
        <v>92.7</v>
      </c>
      <c r="CM3" s="154" t="n">
        <v>94.5</v>
      </c>
      <c r="CN3" s="154" t="n">
        <v>103.5</v>
      </c>
      <c r="CO3" s="154" t="n">
        <v>103.5</v>
      </c>
      <c r="CP3" s="158" t="n"/>
      <c r="CQ3" s="159" t="n"/>
      <c r="CR3" s="160" t="n"/>
      <c r="CT3" s="153" t="n">
        <v>25</v>
      </c>
      <c r="CU3" s="152" t="n">
        <v>103</v>
      </c>
      <c r="CV3" s="152" t="n">
        <v>105</v>
      </c>
      <c r="CW3" s="152" t="n">
        <v>115</v>
      </c>
      <c r="CX3" s="152" t="n">
        <v>115</v>
      </c>
      <c r="CZ3" s="153" t="n">
        <v>25</v>
      </c>
      <c r="DA3" s="152" t="n">
        <v>58</v>
      </c>
      <c r="DB3" s="152" t="n">
        <v>59</v>
      </c>
      <c r="DC3" s="152" t="n">
        <v>60</v>
      </c>
      <c r="DD3" s="152" t="n">
        <v>61</v>
      </c>
    </row>
    <row r="4">
      <c r="A4" s="153" t="n">
        <v>70</v>
      </c>
      <c r="B4" s="152" t="n">
        <v>45</v>
      </c>
      <c r="C4" s="152" t="n">
        <v>45</v>
      </c>
      <c r="D4" s="152" t="n">
        <v>45</v>
      </c>
      <c r="E4" s="152" t="n">
        <v>45</v>
      </c>
      <c r="F4" s="5" t="n"/>
      <c r="G4" s="153" t="n">
        <v>45</v>
      </c>
      <c r="H4" s="152" t="n">
        <v>59</v>
      </c>
      <c r="I4" s="152" t="n">
        <v>60</v>
      </c>
      <c r="J4" s="152" t="n">
        <v>61</v>
      </c>
      <c r="K4" s="152" t="n">
        <v>62</v>
      </c>
      <c r="L4" s="5" t="n"/>
      <c r="M4" s="153" t="n">
        <v>45</v>
      </c>
      <c r="N4" s="152" t="n">
        <v>69</v>
      </c>
      <c r="O4" s="152" t="n">
        <v>70</v>
      </c>
      <c r="P4" s="152" t="n">
        <v>72</v>
      </c>
      <c r="Q4" s="152" t="n">
        <v>74</v>
      </c>
      <c r="R4" s="5" t="n"/>
      <c r="S4" s="153" t="n">
        <v>45</v>
      </c>
      <c r="T4" s="152" t="n">
        <v>88</v>
      </c>
      <c r="U4" s="152" t="n">
        <v>89</v>
      </c>
      <c r="V4" s="152" t="n">
        <v>93</v>
      </c>
      <c r="W4" s="152" t="n">
        <v>94</v>
      </c>
      <c r="X4" s="5" t="n"/>
      <c r="Y4" s="153" t="n">
        <v>45</v>
      </c>
      <c r="Z4" s="152" t="n">
        <v>114</v>
      </c>
      <c r="AA4" s="152" t="n">
        <v>117</v>
      </c>
      <c r="AB4" s="152" t="n">
        <v>122</v>
      </c>
      <c r="AC4" s="152" t="n">
        <v>125</v>
      </c>
      <c r="AD4" s="5" t="n"/>
      <c r="AE4" s="153" t="n">
        <v>55</v>
      </c>
      <c r="AF4" s="154" t="n">
        <v>71.5</v>
      </c>
      <c r="AG4" s="154" t="n">
        <v>74.5</v>
      </c>
      <c r="AH4" s="154" t="n">
        <v>76.5</v>
      </c>
      <c r="AI4" s="154" t="n">
        <v>79.5</v>
      </c>
      <c r="AJ4" s="5" t="n"/>
      <c r="AK4" s="153" t="n">
        <v>55</v>
      </c>
      <c r="AL4" s="154" t="n">
        <v>102</v>
      </c>
      <c r="AM4" s="154" t="n">
        <v>106</v>
      </c>
      <c r="AN4" s="154" t="n">
        <v>109</v>
      </c>
      <c r="AO4" s="154" t="n">
        <v>111</v>
      </c>
      <c r="AP4" s="5" t="n"/>
      <c r="AQ4" s="153" t="n">
        <v>68</v>
      </c>
      <c r="AR4" s="154" t="n">
        <v>153</v>
      </c>
      <c r="AS4" s="154" t="n">
        <v>159</v>
      </c>
      <c r="AT4" s="154" t="n">
        <v>166</v>
      </c>
      <c r="AU4" s="154" t="n">
        <v>170</v>
      </c>
      <c r="AV4" s="5" t="n"/>
      <c r="AW4" s="153" t="n">
        <v>68</v>
      </c>
      <c r="AX4" s="154" t="n">
        <v>182</v>
      </c>
      <c r="AY4" s="154" t="n">
        <v>190</v>
      </c>
      <c r="AZ4" s="154" t="n">
        <v>197</v>
      </c>
      <c r="BA4" s="154" t="n">
        <v>200</v>
      </c>
      <c r="BB4" s="5" t="n"/>
      <c r="BC4" s="155" t="n">
        <v>55</v>
      </c>
      <c r="BD4" s="152" t="n">
        <v>65</v>
      </c>
      <c r="BE4" s="152" t="n">
        <v>67</v>
      </c>
      <c r="BF4" s="152" t="n">
        <v>69</v>
      </c>
      <c r="BG4" s="152" t="n">
        <v>70</v>
      </c>
      <c r="BH4" s="5" t="n"/>
      <c r="BI4" s="155" t="n">
        <v>63</v>
      </c>
      <c r="BJ4" s="152" t="n">
        <v>99</v>
      </c>
      <c r="BK4" s="152" t="n">
        <v>100</v>
      </c>
      <c r="BL4" s="152" t="n">
        <v>107</v>
      </c>
      <c r="BM4" s="152" t="n">
        <v>109</v>
      </c>
      <c r="BN4" s="5" t="n"/>
      <c r="BO4" s="155" t="n">
        <v>3</v>
      </c>
      <c r="BP4" s="157">
        <f>17.85/3</f>
        <v/>
      </c>
      <c r="BQ4" s="157">
        <f>BP4*BO4</f>
        <v/>
      </c>
      <c r="BR4" s="5" t="n"/>
      <c r="BS4" s="153" t="n">
        <v>55</v>
      </c>
      <c r="BT4" s="152" t="n">
        <v>88</v>
      </c>
      <c r="BU4" s="152" t="n">
        <v>89</v>
      </c>
      <c r="BV4" s="152" t="n">
        <v>94</v>
      </c>
      <c r="BW4" s="152" t="n">
        <v>96</v>
      </c>
      <c r="BY4" s="153" t="n">
        <v>45</v>
      </c>
      <c r="BZ4" s="152" t="n">
        <v>75</v>
      </c>
      <c r="CA4" s="152" t="n">
        <v>77</v>
      </c>
      <c r="CB4" s="152" t="n">
        <v>80</v>
      </c>
      <c r="CC4" s="152" t="n">
        <v>81</v>
      </c>
      <c r="CD4" s="158" t="n"/>
      <c r="CE4" s="153" t="n">
        <v>45</v>
      </c>
      <c r="CF4" s="152" t="n">
        <v>108</v>
      </c>
      <c r="CG4" s="152" t="n">
        <v>112</v>
      </c>
      <c r="CH4" s="152" t="n">
        <v>122</v>
      </c>
      <c r="CI4" s="152" t="n">
        <v>122</v>
      </c>
      <c r="CJ4" s="158" t="n"/>
      <c r="CK4" s="153" t="n">
        <v>45</v>
      </c>
      <c r="CL4" s="154" t="n">
        <v>97.2</v>
      </c>
      <c r="CM4" s="154" t="n">
        <v>100.8</v>
      </c>
      <c r="CN4" s="154" t="n">
        <v>109.8</v>
      </c>
      <c r="CO4" s="154" t="n">
        <v>109.8</v>
      </c>
      <c r="CP4" s="158" t="n"/>
      <c r="CQ4" s="159" t="n"/>
      <c r="CR4" s="160" t="n"/>
      <c r="CT4" s="153" t="n">
        <v>45</v>
      </c>
      <c r="CU4" s="152" t="n">
        <v>108</v>
      </c>
      <c r="CV4" s="152" t="n">
        <v>112</v>
      </c>
      <c r="CW4" s="152" t="n">
        <v>122</v>
      </c>
      <c r="CX4" s="152" t="n">
        <v>122</v>
      </c>
      <c r="CZ4" s="153" t="n">
        <v>45</v>
      </c>
      <c r="DA4" s="152" t="n">
        <v>69</v>
      </c>
      <c r="DB4" s="152" t="n">
        <v>70</v>
      </c>
      <c r="DC4" s="152" t="n">
        <v>71</v>
      </c>
      <c r="DD4" s="152" t="n">
        <v>72</v>
      </c>
    </row>
    <row r="5">
      <c r="A5" s="5" t="n"/>
      <c r="B5" s="5" t="n"/>
      <c r="C5" s="5" t="n"/>
      <c r="D5" s="5" t="n"/>
      <c r="E5" s="5" t="n"/>
      <c r="F5" s="5" t="n"/>
      <c r="G5" s="153" t="n">
        <v>55</v>
      </c>
      <c r="H5" s="152" t="n">
        <v>90</v>
      </c>
      <c r="I5" s="152" t="n">
        <v>91</v>
      </c>
      <c r="J5" s="152" t="n">
        <v>93</v>
      </c>
      <c r="K5" s="152" t="n">
        <v>94</v>
      </c>
      <c r="L5" s="5" t="n"/>
      <c r="M5" s="153" t="n">
        <v>55</v>
      </c>
      <c r="N5" s="152" t="n">
        <v>100</v>
      </c>
      <c r="O5" s="152" t="n">
        <v>102</v>
      </c>
      <c r="P5" s="152" t="n">
        <v>103</v>
      </c>
      <c r="Q5" s="152" t="n">
        <v>105</v>
      </c>
      <c r="R5" s="5" t="n"/>
      <c r="S5" s="153" t="n">
        <v>55</v>
      </c>
      <c r="T5" s="152" t="n">
        <v>141</v>
      </c>
      <c r="U5" s="152" t="n">
        <v>145</v>
      </c>
      <c r="V5" s="152" t="n">
        <v>150</v>
      </c>
      <c r="W5" s="152" t="n">
        <v>151</v>
      </c>
      <c r="X5" s="5" t="n"/>
      <c r="Y5" s="153" t="n">
        <v>55</v>
      </c>
      <c r="Z5" s="152" t="n">
        <v>155</v>
      </c>
      <c r="AA5" s="152" t="n">
        <v>160</v>
      </c>
      <c r="AB5" s="152" t="n">
        <v>165</v>
      </c>
      <c r="AC5" s="152" t="n">
        <v>170</v>
      </c>
      <c r="AD5" s="5" t="n"/>
      <c r="AE5" s="153" t="n">
        <v>60</v>
      </c>
      <c r="AF5" s="154" t="n">
        <v>90.5</v>
      </c>
      <c r="AG5" s="154" t="n">
        <v>94.5</v>
      </c>
      <c r="AH5" s="154" t="n">
        <v>97.5</v>
      </c>
      <c r="AI5" s="154" t="n">
        <v>99.5</v>
      </c>
      <c r="AJ5" s="5" t="n"/>
      <c r="AK5" s="153" t="n">
        <v>60</v>
      </c>
      <c r="AL5" s="154" t="n">
        <v>122</v>
      </c>
      <c r="AM5" s="154" t="n">
        <v>127</v>
      </c>
      <c r="AN5" s="154" t="n">
        <v>131</v>
      </c>
      <c r="AO5" s="154" t="n">
        <v>133</v>
      </c>
      <c r="AP5" s="5" t="n"/>
      <c r="AQ5" s="161" t="n"/>
      <c r="AR5" s="162" t="n"/>
      <c r="AS5" s="162" t="n"/>
      <c r="AT5" s="162" t="n"/>
      <c r="AU5" s="162" t="n"/>
      <c r="AV5" s="5" t="n"/>
      <c r="AW5" s="5" t="n"/>
      <c r="AX5" s="5" t="n"/>
      <c r="AY5" s="5" t="n"/>
      <c r="AZ5" s="5" t="n"/>
      <c r="BA5" s="5" t="n"/>
      <c r="BB5" s="5" t="n"/>
      <c r="BC5" s="155" t="n">
        <v>60</v>
      </c>
      <c r="BD5" s="152" t="n">
        <v>82</v>
      </c>
      <c r="BE5" s="152" t="n">
        <v>85</v>
      </c>
      <c r="BF5" s="152" t="n">
        <v>88</v>
      </c>
      <c r="BG5" s="152" t="n">
        <v>89</v>
      </c>
      <c r="BH5" s="5" t="n"/>
      <c r="BI5" s="155" t="n">
        <v>65</v>
      </c>
      <c r="BJ5" s="152" t="n">
        <v>134</v>
      </c>
      <c r="BK5" s="152" t="n">
        <v>137</v>
      </c>
      <c r="BL5" s="152" t="n">
        <v>139</v>
      </c>
      <c r="BM5" s="152" t="n">
        <v>146</v>
      </c>
      <c r="BN5" s="5" t="n"/>
      <c r="BO5" s="155" t="n">
        <v>4</v>
      </c>
      <c r="BP5" s="157">
        <f>17.85/4</f>
        <v/>
      </c>
      <c r="BQ5" s="157">
        <f>BP5*BO5</f>
        <v/>
      </c>
      <c r="BR5" s="5" t="n"/>
      <c r="BS5" s="153" t="n">
        <v>60</v>
      </c>
      <c r="BT5" s="152" t="n">
        <v>112</v>
      </c>
      <c r="BU5" s="152" t="n">
        <v>116</v>
      </c>
      <c r="BV5" s="152" t="n">
        <v>121</v>
      </c>
      <c r="BW5" s="152" t="n">
        <v>125</v>
      </c>
      <c r="BY5" s="153" t="n">
        <v>55</v>
      </c>
      <c r="BZ5" s="152" t="n">
        <v>115</v>
      </c>
      <c r="CA5" s="152" t="n">
        <v>118</v>
      </c>
      <c r="CB5" s="152" t="n">
        <v>123</v>
      </c>
      <c r="CC5" s="152" t="n">
        <v>126</v>
      </c>
      <c r="CD5" s="158" t="n"/>
      <c r="CE5" s="153" t="n">
        <v>55</v>
      </c>
      <c r="CF5" s="152" t="n">
        <v>159</v>
      </c>
      <c r="CG5" s="152" t="n">
        <v>164</v>
      </c>
      <c r="CH5" s="152" t="n">
        <v>179</v>
      </c>
      <c r="CI5" s="152" t="n">
        <v>179</v>
      </c>
      <c r="CJ5" s="158" t="n"/>
      <c r="CK5" s="153" t="n">
        <v>55</v>
      </c>
      <c r="CL5" s="154" t="n">
        <v>143.1</v>
      </c>
      <c r="CM5" s="154" t="n">
        <v>147.6</v>
      </c>
      <c r="CN5" s="154" t="n">
        <v>161.1</v>
      </c>
      <c r="CO5" s="154" t="n">
        <v>161.1</v>
      </c>
      <c r="CP5" s="158" t="n"/>
      <c r="CQ5" s="159" t="n"/>
      <c r="CR5" s="160" t="n"/>
      <c r="CT5" s="153" t="n">
        <v>55</v>
      </c>
      <c r="CU5" s="152" t="n">
        <v>159</v>
      </c>
      <c r="CV5" s="152" t="n">
        <v>164</v>
      </c>
      <c r="CW5" s="152" t="n">
        <v>179</v>
      </c>
      <c r="CX5" s="152" t="n">
        <v>179</v>
      </c>
      <c r="CZ5" s="153" t="n">
        <v>55</v>
      </c>
      <c r="DA5" s="152" t="n">
        <v>100</v>
      </c>
      <c r="DB5" s="152" t="n">
        <v>101</v>
      </c>
      <c r="DC5" s="152" t="n">
        <v>103</v>
      </c>
      <c r="DD5" s="152" t="n">
        <v>104</v>
      </c>
    </row>
    <row r="6">
      <c r="A6" s="5" t="n"/>
      <c r="B6" s="5" t="n"/>
      <c r="C6" s="5" t="n"/>
      <c r="D6" s="5" t="n"/>
      <c r="E6" s="5" t="n"/>
      <c r="F6" s="5" t="n"/>
      <c r="G6" s="153" t="n">
        <v>60</v>
      </c>
      <c r="H6" s="152" t="n">
        <v>110</v>
      </c>
      <c r="I6" s="152" t="n">
        <v>111</v>
      </c>
      <c r="J6" s="152" t="n">
        <v>113</v>
      </c>
      <c r="K6" s="152" t="n">
        <v>114</v>
      </c>
      <c r="L6" s="5" t="n"/>
      <c r="M6" s="153" t="n">
        <v>60</v>
      </c>
      <c r="N6" s="152" t="n">
        <v>120</v>
      </c>
      <c r="O6" s="152" t="n">
        <v>122</v>
      </c>
      <c r="P6" s="152" t="n">
        <v>124</v>
      </c>
      <c r="Q6" s="152" t="n">
        <v>126</v>
      </c>
      <c r="R6" s="5" t="n"/>
      <c r="S6" s="153" t="n">
        <v>60</v>
      </c>
      <c r="T6" s="152" t="n">
        <v>163</v>
      </c>
      <c r="U6" s="152" t="n">
        <v>167</v>
      </c>
      <c r="V6" s="152" t="n">
        <v>179</v>
      </c>
      <c r="W6" s="152" t="n">
        <v>181</v>
      </c>
      <c r="X6" s="5" t="n"/>
      <c r="Y6" s="153" t="n">
        <v>60</v>
      </c>
      <c r="Z6" s="152" t="n">
        <v>190</v>
      </c>
      <c r="AA6" s="152" t="n">
        <v>200</v>
      </c>
      <c r="AB6" s="152" t="n">
        <v>210</v>
      </c>
      <c r="AC6" s="152" t="n">
        <v>220</v>
      </c>
      <c r="AD6" s="5" t="n"/>
      <c r="AE6" s="153" t="n">
        <v>68</v>
      </c>
      <c r="AF6" s="154" t="n">
        <v>147</v>
      </c>
      <c r="AG6" s="154" t="n">
        <v>154</v>
      </c>
      <c r="AH6" s="154" t="n">
        <v>160</v>
      </c>
      <c r="AI6" s="154" t="n">
        <v>166</v>
      </c>
      <c r="AJ6" s="5" t="n"/>
      <c r="AK6" s="153" t="n">
        <v>68</v>
      </c>
      <c r="AL6" s="154" t="n">
        <v>187</v>
      </c>
      <c r="AM6" s="154" t="n">
        <v>196</v>
      </c>
      <c r="AN6" s="154" t="n">
        <v>203</v>
      </c>
      <c r="AO6" s="154" t="n">
        <v>207</v>
      </c>
      <c r="AP6" s="5" t="n"/>
      <c r="AQ6" s="161" t="n"/>
      <c r="AR6" s="162" t="n"/>
      <c r="AS6" s="162" t="n"/>
      <c r="AT6" s="162" t="n"/>
      <c r="AU6" s="162" t="n"/>
      <c r="AV6" s="5" t="n"/>
      <c r="AW6" s="5" t="n"/>
      <c r="AX6" s="5" t="n"/>
      <c r="AY6" s="5" t="n"/>
      <c r="AZ6" s="5" t="n"/>
      <c r="BA6" s="5" t="n"/>
      <c r="BB6" s="5" t="n"/>
      <c r="BC6" s="155" t="n">
        <v>65</v>
      </c>
      <c r="BD6" s="152" t="n">
        <v>98</v>
      </c>
      <c r="BE6" s="152" t="n">
        <v>101</v>
      </c>
      <c r="BF6" s="152" t="n">
        <v>105</v>
      </c>
      <c r="BG6" s="152" t="n">
        <v>107</v>
      </c>
      <c r="BH6" s="5" t="n"/>
      <c r="BI6" s="155" t="n">
        <v>70</v>
      </c>
      <c r="BJ6" s="152" t="n">
        <v>164</v>
      </c>
      <c r="BK6" s="152" t="n">
        <v>169</v>
      </c>
      <c r="BL6" s="152" t="n">
        <v>177</v>
      </c>
      <c r="BM6" s="152" t="n">
        <v>179</v>
      </c>
      <c r="BN6" s="5" t="n"/>
      <c r="BO6" s="155" t="n">
        <v>5</v>
      </c>
      <c r="BP6" s="157">
        <f>21.25/5</f>
        <v/>
      </c>
      <c r="BQ6" s="157">
        <f>BP6*BO6</f>
        <v/>
      </c>
      <c r="BR6" s="5" t="n"/>
      <c r="BS6" s="153" t="n">
        <v>68</v>
      </c>
      <c r="BT6" s="152" t="n">
        <v>167</v>
      </c>
      <c r="BU6" s="152" t="n">
        <v>175</v>
      </c>
      <c r="BV6" s="152" t="n">
        <v>185</v>
      </c>
      <c r="BW6" s="152" t="n">
        <v>187</v>
      </c>
      <c r="BY6" s="153" t="n">
        <v>60</v>
      </c>
      <c r="BZ6" s="152" t="n">
        <v>140</v>
      </c>
      <c r="CA6" s="152" t="n">
        <v>147</v>
      </c>
      <c r="CB6" s="152" t="n">
        <v>159</v>
      </c>
      <c r="CC6" s="152" t="n">
        <v>159</v>
      </c>
      <c r="CD6" s="158" t="n"/>
      <c r="CE6" s="153" t="n">
        <v>60</v>
      </c>
      <c r="CF6" s="152" t="n">
        <v>185</v>
      </c>
      <c r="CG6" s="152" t="n">
        <v>190</v>
      </c>
      <c r="CH6" s="152" t="n">
        <v>205</v>
      </c>
      <c r="CI6" s="152" t="n">
        <v>205</v>
      </c>
      <c r="CJ6" s="158" t="n"/>
      <c r="CK6" s="153" t="n">
        <v>60</v>
      </c>
      <c r="CL6" s="154" t="n">
        <v>166.5</v>
      </c>
      <c r="CM6" s="154" t="n">
        <v>171</v>
      </c>
      <c r="CN6" s="154" t="n">
        <v>184.5</v>
      </c>
      <c r="CO6" s="154" t="n">
        <v>184.5</v>
      </c>
      <c r="CP6" s="158" t="n"/>
      <c r="CQ6" s="159" t="n"/>
      <c r="CR6" s="160" t="n"/>
      <c r="CT6" s="153" t="n">
        <v>60</v>
      </c>
      <c r="CU6" s="152" t="n">
        <v>185</v>
      </c>
      <c r="CV6" s="152" t="n">
        <v>190</v>
      </c>
      <c r="CW6" s="152" t="n">
        <v>205</v>
      </c>
      <c r="CX6" s="152" t="n">
        <v>205</v>
      </c>
      <c r="CZ6" s="153" t="n">
        <v>60</v>
      </c>
      <c r="DA6" s="152" t="n">
        <v>120</v>
      </c>
      <c r="DB6" s="152" t="n">
        <v>121</v>
      </c>
      <c r="DC6" s="152" t="n">
        <v>123</v>
      </c>
      <c r="DD6" s="152" t="n">
        <v>124</v>
      </c>
    </row>
    <row r="7">
      <c r="A7" s="5" t="n"/>
      <c r="B7" s="5" t="n"/>
      <c r="C7" s="5" t="n"/>
      <c r="D7" s="5" t="n"/>
      <c r="E7" s="5" t="n"/>
      <c r="F7" s="5" t="n"/>
      <c r="G7" s="153" t="n">
        <v>65</v>
      </c>
      <c r="H7" s="152" t="n">
        <v>146</v>
      </c>
      <c r="I7" s="152" t="n">
        <v>148</v>
      </c>
      <c r="J7" s="152" t="n">
        <v>149</v>
      </c>
      <c r="K7" s="152" t="n">
        <v>150</v>
      </c>
      <c r="L7" s="5" t="n"/>
      <c r="M7" s="153" t="n">
        <v>65</v>
      </c>
      <c r="N7" s="152" t="n">
        <v>156</v>
      </c>
      <c r="O7" s="152" t="n">
        <v>158</v>
      </c>
      <c r="P7" s="152" t="n">
        <v>160</v>
      </c>
      <c r="Q7" s="152" t="n">
        <v>162</v>
      </c>
      <c r="R7" s="5" t="n"/>
      <c r="S7" s="153" t="n">
        <v>65</v>
      </c>
      <c r="T7" s="152" t="n">
        <v>224</v>
      </c>
      <c r="U7" s="152" t="n">
        <v>236</v>
      </c>
      <c r="V7" s="152" t="n">
        <v>253</v>
      </c>
      <c r="W7" s="152" t="n">
        <v>255</v>
      </c>
      <c r="X7" s="5" t="n"/>
      <c r="Y7" s="153" t="n">
        <v>63</v>
      </c>
      <c r="Z7" s="152" t="n">
        <v>250</v>
      </c>
      <c r="AA7" s="152" t="n">
        <v>260</v>
      </c>
      <c r="AB7" s="152" t="n">
        <v>270</v>
      </c>
      <c r="AC7" s="152" t="n">
        <v>285</v>
      </c>
      <c r="AD7" s="5" t="n"/>
      <c r="AE7" s="161" t="n"/>
      <c r="AF7" s="163" t="n"/>
      <c r="AG7" s="163" t="n"/>
      <c r="AH7" s="163" t="n"/>
      <c r="AI7" s="163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155" t="n">
        <v>70</v>
      </c>
      <c r="BD7" s="152" t="n">
        <v>129</v>
      </c>
      <c r="BE7" s="152" t="n">
        <v>132</v>
      </c>
      <c r="BF7" s="152" t="n">
        <v>137</v>
      </c>
      <c r="BG7" s="152" t="n">
        <v>140</v>
      </c>
      <c r="BH7" s="5" t="n"/>
      <c r="BI7" s="155" t="n">
        <v>75</v>
      </c>
      <c r="BJ7" s="152" t="n">
        <v>220</v>
      </c>
      <c r="BK7" s="152" t="n">
        <v>229</v>
      </c>
      <c r="BL7" s="152" t="n">
        <v>237</v>
      </c>
      <c r="BM7" s="152" t="n">
        <v>239</v>
      </c>
      <c r="BN7" s="5" t="n"/>
      <c r="BO7" s="155" t="n">
        <v>6</v>
      </c>
      <c r="BP7" s="157">
        <f>21.25/6</f>
        <v/>
      </c>
      <c r="BQ7" s="157">
        <f>BP7*BO7</f>
        <v/>
      </c>
      <c r="BR7" s="5" t="n"/>
      <c r="BS7" s="161" t="n"/>
      <c r="BT7" s="162" t="n"/>
      <c r="BU7" s="162" t="n"/>
      <c r="BV7" s="162" t="n"/>
      <c r="BW7" s="162" t="n"/>
      <c r="BY7" s="164" t="n">
        <v>65</v>
      </c>
      <c r="BZ7" s="152" t="n">
        <v>215</v>
      </c>
      <c r="CA7" s="152" t="n">
        <v>221</v>
      </c>
      <c r="CB7" s="152" t="n">
        <v>234</v>
      </c>
      <c r="CC7" s="152" t="n">
        <v>234</v>
      </c>
      <c r="CD7" s="158" t="n"/>
      <c r="CE7" s="164" t="n">
        <v>65</v>
      </c>
      <c r="CF7" s="152" t="n">
        <v>265</v>
      </c>
      <c r="CG7" s="152" t="n">
        <v>272</v>
      </c>
      <c r="CH7" s="152" t="n">
        <v>289</v>
      </c>
      <c r="CI7" s="152" t="n">
        <v>289</v>
      </c>
      <c r="CJ7" s="158" t="n"/>
      <c r="CK7" s="164" t="n">
        <v>65</v>
      </c>
      <c r="CL7" s="154" t="n">
        <v>238.5</v>
      </c>
      <c r="CM7" s="154" t="n">
        <v>244.8</v>
      </c>
      <c r="CN7" s="154" t="n">
        <v>260.1</v>
      </c>
      <c r="CO7" s="154" t="n">
        <v>260.1</v>
      </c>
      <c r="CP7" s="158" t="n"/>
      <c r="CQ7" s="159" t="n"/>
      <c r="CR7" s="160" t="n"/>
      <c r="CT7" s="153" t="n">
        <v>65</v>
      </c>
      <c r="CU7" s="152" t="n">
        <v>265</v>
      </c>
      <c r="CV7" s="152" t="n">
        <v>272</v>
      </c>
      <c r="CW7" s="152" t="n">
        <v>289</v>
      </c>
      <c r="CX7" s="152" t="n">
        <v>289</v>
      </c>
      <c r="CZ7" s="153" t="n">
        <v>63</v>
      </c>
      <c r="DA7" s="152" t="n">
        <v>180</v>
      </c>
      <c r="DB7" s="152" t="n">
        <v>185</v>
      </c>
      <c r="DC7" s="152" t="n">
        <v>190</v>
      </c>
      <c r="DD7" s="152" t="n">
        <v>200</v>
      </c>
    </row>
    <row r="8">
      <c r="A8" s="5" t="n"/>
      <c r="B8" s="5" t="n"/>
      <c r="C8" s="5" t="n"/>
      <c r="D8" s="5" t="n"/>
      <c r="E8" s="5" t="n"/>
      <c r="F8" s="5" t="n"/>
      <c r="G8" s="153" t="n">
        <v>70</v>
      </c>
      <c r="H8" s="152" t="n">
        <v>156</v>
      </c>
      <c r="I8" s="152" t="n">
        <v>158</v>
      </c>
      <c r="J8" s="152" t="n">
        <v>159</v>
      </c>
      <c r="K8" s="152" t="n">
        <v>161</v>
      </c>
      <c r="L8" s="5" t="n"/>
      <c r="M8" s="153" t="n">
        <v>70</v>
      </c>
      <c r="N8" s="152" t="n">
        <v>211</v>
      </c>
      <c r="O8" s="152" t="n">
        <v>213</v>
      </c>
      <c r="P8" s="152" t="n">
        <v>215</v>
      </c>
      <c r="Q8" s="152" t="n">
        <v>217</v>
      </c>
      <c r="R8" s="5" t="n"/>
      <c r="S8" s="153" t="n">
        <v>70</v>
      </c>
      <c r="T8" s="152" t="n">
        <v>235</v>
      </c>
      <c r="U8" s="152" t="n">
        <v>245</v>
      </c>
      <c r="V8" s="152" t="n">
        <v>259</v>
      </c>
      <c r="W8" s="152" t="n">
        <v>260</v>
      </c>
      <c r="X8" s="5" t="n"/>
      <c r="Y8" s="5" t="n"/>
      <c r="Z8" s="5" t="n"/>
      <c r="AA8" s="5" t="n"/>
      <c r="AB8" s="5" t="n"/>
      <c r="AC8" s="5" t="n"/>
      <c r="AD8" s="5" t="n"/>
      <c r="AE8" s="161" t="n"/>
      <c r="AF8" s="163" t="n"/>
      <c r="AG8" s="163" t="n"/>
      <c r="AH8" s="163" t="n"/>
      <c r="AI8" s="163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155" t="n">
        <v>75</v>
      </c>
      <c r="BD8" s="152" t="n">
        <v>155</v>
      </c>
      <c r="BE8" s="152" t="n">
        <v>159</v>
      </c>
      <c r="BF8" s="152" t="n">
        <v>165</v>
      </c>
      <c r="BG8" s="152" t="n">
        <v>168</v>
      </c>
      <c r="BH8" s="5" t="n"/>
      <c r="BI8" s="155" t="n">
        <v>85</v>
      </c>
      <c r="BJ8" s="152" t="inlineStr">
        <is>
          <t>No asegurable</t>
        </is>
      </c>
      <c r="BK8" s="152" t="inlineStr">
        <is>
          <t>No asegurable</t>
        </is>
      </c>
      <c r="BL8" s="152" t="inlineStr">
        <is>
          <t>No asegurable</t>
        </is>
      </c>
      <c r="BM8" s="152" t="inlineStr">
        <is>
          <t>No asegurable</t>
        </is>
      </c>
      <c r="BN8" s="5" t="n"/>
      <c r="BO8" s="155" t="n">
        <v>7</v>
      </c>
      <c r="BP8" s="157">
        <f>21.25/6</f>
        <v/>
      </c>
      <c r="BQ8" s="157">
        <f>BP8*BO8</f>
        <v/>
      </c>
      <c r="BR8" s="5" t="n"/>
      <c r="BS8" s="161" t="n"/>
      <c r="BT8" s="162" t="n"/>
      <c r="BU8" s="162" t="n"/>
      <c r="BV8" s="162" t="n"/>
      <c r="BW8" s="162" t="n"/>
      <c r="BY8" s="164" t="n">
        <v>70</v>
      </c>
      <c r="BZ8" s="152" t="n">
        <v>220</v>
      </c>
      <c r="CA8" s="152" t="n">
        <v>229</v>
      </c>
      <c r="CB8" s="152" t="n">
        <v>241</v>
      </c>
      <c r="CC8" s="152" t="n">
        <v>242</v>
      </c>
      <c r="CE8" s="164" t="n">
        <v>70</v>
      </c>
      <c r="CF8" s="152" t="n">
        <v>275</v>
      </c>
      <c r="CG8" s="152" t="n">
        <v>282</v>
      </c>
      <c r="CH8" s="152" t="n">
        <v>299</v>
      </c>
      <c r="CI8" s="152" t="n">
        <v>299</v>
      </c>
      <c r="CK8" s="164" t="n">
        <v>70</v>
      </c>
      <c r="CL8" s="154" t="n">
        <v>247.5</v>
      </c>
      <c r="CM8" s="154" t="n">
        <v>253.8</v>
      </c>
      <c r="CN8" s="154" t="n">
        <v>269.1</v>
      </c>
      <c r="CO8" s="154" t="n">
        <v>269.1</v>
      </c>
      <c r="CT8" s="153" t="n">
        <v>70</v>
      </c>
      <c r="CU8" s="152" t="n">
        <v>275</v>
      </c>
      <c r="CV8" s="152" t="n">
        <v>282</v>
      </c>
      <c r="CW8" s="152" t="n">
        <v>299</v>
      </c>
      <c r="CX8" s="152" t="n">
        <v>299</v>
      </c>
      <c r="CZ8" s="153" t="n"/>
      <c r="DA8" s="152" t="n"/>
      <c r="DB8" s="152" t="n"/>
      <c r="DC8" s="152" t="n"/>
      <c r="DD8" s="152" t="n"/>
    </row>
    <row r="9">
      <c r="A9" s="5" t="n"/>
      <c r="B9" s="5" t="n"/>
      <c r="C9" s="5" t="n"/>
      <c r="D9" s="5" t="n"/>
      <c r="E9" s="5" t="n"/>
      <c r="F9" s="5" t="n"/>
      <c r="G9" s="5" t="n"/>
      <c r="L9" s="5" t="n"/>
      <c r="M9" s="5" t="n"/>
      <c r="R9" s="5" t="n"/>
      <c r="S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163" t="n"/>
      <c r="AG9" s="163" t="n"/>
      <c r="AH9" s="163" t="n"/>
      <c r="AI9" s="163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155" t="n">
        <v>80</v>
      </c>
      <c r="BD9" s="152" t="n">
        <v>160</v>
      </c>
      <c r="BE9" s="152" t="n">
        <v>165</v>
      </c>
      <c r="BF9" s="152" t="n">
        <v>171</v>
      </c>
      <c r="BG9" s="152" t="n">
        <v>174</v>
      </c>
      <c r="BH9" s="5" t="n"/>
      <c r="BI9" s="5" t="n"/>
      <c r="BJ9" s="5" t="n"/>
      <c r="BK9" s="5" t="n"/>
      <c r="BL9" s="5" t="n"/>
      <c r="BM9" s="5" t="n"/>
      <c r="BN9" s="5" t="n"/>
      <c r="BO9" s="155" t="n">
        <v>8</v>
      </c>
      <c r="BP9" s="157">
        <f>21.25/6</f>
        <v/>
      </c>
      <c r="BQ9" s="157">
        <f>BP9*BO9</f>
        <v/>
      </c>
      <c r="BR9" s="5" t="n"/>
      <c r="BS9" s="5" t="inlineStr">
        <is>
          <t>PRECIO NUEVO CON 7,02% DTO</t>
        </is>
      </c>
      <c r="BU9" s="163" t="n"/>
      <c r="BV9" s="163" t="n"/>
      <c r="BW9" s="163" t="n"/>
    </row>
    <row r="10" ht="18" customHeight="1" s="24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147" t="inlineStr">
        <is>
          <t>Tramo edad (1 a 4 aseg)</t>
        </is>
      </c>
      <c r="AF10" s="147" t="inlineStr">
        <is>
          <t>Adeslas Negocios CIF y Dental 1</t>
        </is>
      </c>
      <c r="AG10" s="147" t="inlineStr">
        <is>
          <t>Adeslas Negocios CIF y Dental 2</t>
        </is>
      </c>
      <c r="AH10" s="147" t="inlineStr">
        <is>
          <t>Adeslas Negocios CIF y Dental 3</t>
        </is>
      </c>
      <c r="AI10" s="147" t="inlineStr">
        <is>
          <t>Adeslas Negocios CIF y Dental 4</t>
        </is>
      </c>
      <c r="AJ10" s="5" t="n"/>
      <c r="AK10" s="147" t="inlineStr">
        <is>
          <t>Tramo edad (1 a 4 aseg)</t>
        </is>
      </c>
      <c r="AL10" s="147" t="inlineStr">
        <is>
          <t>Adeslas Extra Negocios CIF y dental 1</t>
        </is>
      </c>
      <c r="AM10" s="147" t="inlineStr">
        <is>
          <t>Adeslas Extra Negocios CIF y dental 2</t>
        </is>
      </c>
      <c r="AN10" s="147" t="inlineStr">
        <is>
          <t>Adeslas Extra Negocios CIF y dental 3</t>
        </is>
      </c>
      <c r="AO10" s="147" t="inlineStr">
        <is>
          <t>Adeslas Extra Negocios CIF y dental 4</t>
        </is>
      </c>
      <c r="AP10" s="5" t="n"/>
      <c r="AQ10" s="147" t="inlineStr">
        <is>
          <t>Tramo edad (5 o + aseg)</t>
        </is>
      </c>
      <c r="AR10" s="147" t="inlineStr">
        <is>
          <t>Adeslas Empresas  y dental 1</t>
        </is>
      </c>
      <c r="AS10" s="147" t="inlineStr">
        <is>
          <t>Adeslas Empresas  y dental 2</t>
        </is>
      </c>
      <c r="AT10" s="147" t="inlineStr">
        <is>
          <t>Adeslas Empresas  y dental 3</t>
        </is>
      </c>
      <c r="AU10" s="147" t="inlineStr">
        <is>
          <t>Adeslas Empresas  y dental 4</t>
        </is>
      </c>
      <c r="AV10" s="5" t="n"/>
      <c r="AW10" s="147" t="inlineStr">
        <is>
          <t>Tramo edad (5 o + aseg)</t>
        </is>
      </c>
      <c r="AX10" s="147" t="inlineStr">
        <is>
          <t>Adeslas Extra Empresas  y dental 1</t>
        </is>
      </c>
      <c r="AY10" s="147" t="inlineStr">
        <is>
          <t>Adeslas Extra Empresas  y dental 2</t>
        </is>
      </c>
      <c r="AZ10" s="147" t="inlineStr">
        <is>
          <t>Adeslas Extra Empresas  y dental 3</t>
        </is>
      </c>
      <c r="BA10" s="147" t="inlineStr">
        <is>
          <t>Adeslas Extra Empresas  y dental 4</t>
        </is>
      </c>
      <c r="BB10" s="5" t="n"/>
      <c r="BC10" s="155" t="n">
        <v>85</v>
      </c>
      <c r="BD10" s="156" t="inlineStr">
        <is>
          <t>No asegurable</t>
        </is>
      </c>
      <c r="BE10" s="156" t="inlineStr">
        <is>
          <t>No asegurable</t>
        </is>
      </c>
      <c r="BF10" s="156" t="inlineStr">
        <is>
          <t>No asegurable</t>
        </is>
      </c>
      <c r="BG10" s="156" t="inlineStr">
        <is>
          <t>No asegurable</t>
        </is>
      </c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inlineStr">
        <is>
          <t>Tramo edad</t>
        </is>
      </c>
      <c r="BT10" s="165" t="inlineStr">
        <is>
          <t>Adeslas Pymes Total 1</t>
        </is>
      </c>
      <c r="BU10" s="165" t="inlineStr">
        <is>
          <t>Adeslas Pymes Total 2</t>
        </is>
      </c>
      <c r="BV10" s="165" t="inlineStr">
        <is>
          <t>Adeslas Pymes Total 3</t>
        </is>
      </c>
      <c r="BW10" s="165" t="inlineStr">
        <is>
          <t>Adeslas Pymes Total 4</t>
        </is>
      </c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149" t="n"/>
      <c r="CR10" s="149" t="n"/>
    </row>
    <row r="11">
      <c r="A11" s="5" t="n"/>
      <c r="B11" s="5" t="n"/>
      <c r="C11" s="5" t="n"/>
      <c r="D11" s="5" t="n"/>
      <c r="E11" s="5" t="n"/>
      <c r="F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153" t="n">
        <v>0</v>
      </c>
      <c r="AF11" s="154" t="n">
        <v>53.5</v>
      </c>
      <c r="AG11" s="154" t="n">
        <v>54.5</v>
      </c>
      <c r="AH11" s="154" t="n">
        <v>56.5</v>
      </c>
      <c r="AI11" s="154" t="n">
        <v>57.5</v>
      </c>
      <c r="AJ11" s="5" t="n"/>
      <c r="AK11" s="153" t="n">
        <v>0</v>
      </c>
      <c r="AL11" s="154" t="n">
        <v>76.5</v>
      </c>
      <c r="AM11" s="154" t="n">
        <v>77.5</v>
      </c>
      <c r="AN11" s="154" t="n">
        <v>80.5</v>
      </c>
      <c r="AO11" s="154" t="n">
        <v>81.5</v>
      </c>
      <c r="AP11" s="5" t="n"/>
      <c r="AQ11" s="153" t="n">
        <v>0</v>
      </c>
      <c r="AR11" s="154" t="n">
        <v>58</v>
      </c>
      <c r="AS11" s="154" t="n">
        <v>60</v>
      </c>
      <c r="AT11" s="154" t="n">
        <v>61.5</v>
      </c>
      <c r="AU11" s="154" t="n">
        <v>62.5</v>
      </c>
      <c r="AV11" s="5" t="n"/>
      <c r="AW11" s="153" t="n">
        <v>0</v>
      </c>
      <c r="AX11" s="154" t="n">
        <v>80</v>
      </c>
      <c r="AY11" s="154" t="n">
        <v>82</v>
      </c>
      <c r="AZ11" s="154" t="n">
        <v>85</v>
      </c>
      <c r="BA11" s="154" t="n">
        <v>86.5</v>
      </c>
      <c r="BB11" s="5" t="n"/>
      <c r="BC11" s="5" t="n"/>
      <c r="BD11" s="163" t="n"/>
      <c r="BE11" s="163" t="n"/>
      <c r="BF11" s="163" t="n"/>
      <c r="BG11" s="163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>
        <v>0</v>
      </c>
      <c r="BT11" s="162" t="n">
        <v>53.95</v>
      </c>
      <c r="BU11" s="162" t="n">
        <v>55.8</v>
      </c>
      <c r="BV11" s="162" t="n">
        <v>57.6476</v>
      </c>
      <c r="BW11" s="162" t="n">
        <v>58.6</v>
      </c>
      <c r="BY11" s="158" t="n"/>
      <c r="BZ11" s="158" t="n"/>
      <c r="CA11" s="158" t="n"/>
      <c r="CB11" s="158" t="n"/>
      <c r="CC11" s="158" t="n"/>
      <c r="CD11" s="158" t="n"/>
      <c r="CE11" s="158" t="n"/>
      <c r="CF11" s="158" t="n"/>
      <c r="CG11" s="158" t="n"/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9" t="n"/>
      <c r="CR11" s="167" t="n"/>
    </row>
    <row r="12" ht="20.25" customHeight="1" s="24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38" t="inlineStr">
        <is>
          <t>Nº Asegurados</t>
        </is>
      </c>
      <c r="Z12" s="238" t="n"/>
      <c r="AA12" s="238" t="n"/>
      <c r="AB12" s="238" t="n"/>
      <c r="AC12" s="238" t="inlineStr">
        <is>
          <t>Dto</t>
        </is>
      </c>
      <c r="AD12" s="5" t="n"/>
      <c r="AE12" s="153" t="n">
        <v>45</v>
      </c>
      <c r="AF12" s="154" t="n">
        <v>61</v>
      </c>
      <c r="AG12" s="154" t="n">
        <v>63</v>
      </c>
      <c r="AH12" s="154" t="n">
        <v>65</v>
      </c>
      <c r="AI12" s="154" t="n">
        <v>66</v>
      </c>
      <c r="AJ12" s="5" t="n"/>
      <c r="AK12" s="153" t="n">
        <v>45</v>
      </c>
      <c r="AL12" s="154" t="n">
        <v>78</v>
      </c>
      <c r="AM12" s="154" t="n">
        <v>80</v>
      </c>
      <c r="AN12" s="154" t="n">
        <v>83</v>
      </c>
      <c r="AO12" s="154" t="n">
        <v>84</v>
      </c>
      <c r="AP12" s="5" t="n"/>
      <c r="AQ12" s="153" t="n">
        <v>66</v>
      </c>
      <c r="AR12" s="154" t="n">
        <v>86.5</v>
      </c>
      <c r="AS12" s="154" t="n">
        <v>88.5</v>
      </c>
      <c r="AT12" s="154" t="n">
        <v>92.5</v>
      </c>
      <c r="AU12" s="154" t="n">
        <v>93.5</v>
      </c>
      <c r="AV12" s="5" t="n"/>
      <c r="AW12" s="153" t="n">
        <v>66</v>
      </c>
      <c r="AX12" s="154" t="n">
        <v>101.5</v>
      </c>
      <c r="AY12" s="154" t="n">
        <v>104.5</v>
      </c>
      <c r="AZ12" s="154" t="n">
        <v>107.5</v>
      </c>
      <c r="BA12" s="154" t="n">
        <v>109.5</v>
      </c>
      <c r="BB12" s="5" t="n"/>
      <c r="BC12" s="5" t="n"/>
      <c r="BD12" s="163" t="n"/>
      <c r="BE12" s="163" t="n"/>
      <c r="BF12" s="163" t="n"/>
      <c r="BG12" s="163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>
        <v>45</v>
      </c>
      <c r="BT12" s="162" t="n">
        <v>64.2</v>
      </c>
      <c r="BU12" s="162" t="n">
        <v>66</v>
      </c>
      <c r="BV12" s="162" t="n">
        <v>68.84999999999999</v>
      </c>
      <c r="BW12" s="162" t="n">
        <v>69.75</v>
      </c>
      <c r="BY12" s="158" t="n"/>
      <c r="BZ12" s="158" t="n"/>
      <c r="CA12" s="158" t="n"/>
      <c r="CB12" s="158" t="n"/>
      <c r="CC12" s="158" t="n"/>
      <c r="CD12" s="158" t="n"/>
      <c r="CE12" s="158" t="n"/>
      <c r="CF12" s="158" t="n"/>
      <c r="CG12" s="158" t="n"/>
      <c r="CH12" s="158" t="n"/>
      <c r="CI12" s="158" t="n"/>
      <c r="CJ12" s="158" t="n"/>
      <c r="CK12" s="158" t="n"/>
      <c r="CL12" s="158" t="n"/>
      <c r="CM12" s="158" t="n"/>
      <c r="CN12" s="158" t="n"/>
      <c r="CO12" s="158" t="n"/>
      <c r="CP12" s="158" t="n"/>
      <c r="CQ12" s="159" t="n"/>
      <c r="CR12" s="167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39" t="n">
        <v>1</v>
      </c>
      <c r="Z13" s="239" t="n"/>
      <c r="AA13" s="239" t="n"/>
      <c r="AB13" s="239" t="n"/>
      <c r="AC13" s="239" t="n">
        <v>0</v>
      </c>
      <c r="AD13" s="5" t="n"/>
      <c r="AE13" s="153" t="n">
        <v>55</v>
      </c>
      <c r="AF13" s="154" t="n">
        <v>76</v>
      </c>
      <c r="AG13" s="154" t="n">
        <v>79</v>
      </c>
      <c r="AH13" s="154" t="n">
        <v>81</v>
      </c>
      <c r="AI13" s="154" t="n">
        <v>84</v>
      </c>
      <c r="AJ13" s="5" t="n"/>
      <c r="AK13" s="153" t="n">
        <v>55</v>
      </c>
      <c r="AL13" s="154" t="n">
        <v>106.5</v>
      </c>
      <c r="AM13" s="154" t="n">
        <v>110.5</v>
      </c>
      <c r="AN13" s="154" t="n">
        <v>113.5</v>
      </c>
      <c r="AO13" s="154" t="n">
        <v>115.5</v>
      </c>
      <c r="AP13" s="5" t="n"/>
      <c r="AQ13" s="153" t="n">
        <v>68</v>
      </c>
      <c r="AR13" s="154" t="n">
        <v>157.5</v>
      </c>
      <c r="AS13" s="154" t="n">
        <v>163.5</v>
      </c>
      <c r="AT13" s="154" t="n">
        <v>170.5</v>
      </c>
      <c r="AU13" s="154" t="n">
        <v>174.5</v>
      </c>
      <c r="AV13" s="5" t="n"/>
      <c r="AW13" s="153" t="n">
        <v>68</v>
      </c>
      <c r="AX13" s="154" t="n">
        <v>186.5</v>
      </c>
      <c r="AY13" s="154" t="n">
        <v>194.5</v>
      </c>
      <c r="AZ13" s="154" t="n">
        <v>201.5</v>
      </c>
      <c r="BA13" s="154" t="n">
        <v>204.5</v>
      </c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>
        <v>55</v>
      </c>
      <c r="BT13" s="162" t="n">
        <v>81.84999999999999</v>
      </c>
      <c r="BU13" s="162" t="n">
        <v>82.7522</v>
      </c>
      <c r="BV13" s="162" t="n">
        <v>87.4012</v>
      </c>
      <c r="BW13" s="162" t="n">
        <v>89.3</v>
      </c>
      <c r="BY13" s="158" t="n"/>
      <c r="BZ13" s="158" t="n"/>
      <c r="CA13" s="158" t="n"/>
      <c r="CB13" s="158" t="n"/>
      <c r="CC13" s="158" t="n"/>
      <c r="CD13" s="158" t="n"/>
      <c r="CE13" s="158" t="n"/>
      <c r="CF13" s="158" t="n"/>
      <c r="CG13" s="158" t="n"/>
      <c r="CH13" s="158" t="n"/>
      <c r="CI13" s="158" t="n"/>
      <c r="CJ13" s="158" t="n"/>
      <c r="CK13" s="158" t="n"/>
      <c r="CL13" s="158" t="n"/>
      <c r="CM13" s="158" t="n"/>
      <c r="CN13" s="158" t="n"/>
      <c r="CO13" s="158" t="n"/>
      <c r="CP13" s="158" t="n"/>
      <c r="CQ13" s="159" t="n"/>
      <c r="CR13" s="16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39" t="n">
        <v>2</v>
      </c>
      <c r="Z14" s="239" t="n"/>
      <c r="AA14" s="239" t="n"/>
      <c r="AB14" s="239" t="n"/>
      <c r="AC14" s="239" t="n">
        <v>0</v>
      </c>
      <c r="AD14" s="5" t="n"/>
      <c r="AE14" s="153" t="n">
        <v>60</v>
      </c>
      <c r="AF14" s="154" t="n">
        <v>95</v>
      </c>
      <c r="AG14" s="154" t="n">
        <v>99</v>
      </c>
      <c r="AH14" s="154" t="n">
        <v>102</v>
      </c>
      <c r="AI14" s="154" t="n">
        <v>104</v>
      </c>
      <c r="AJ14" s="5" t="n"/>
      <c r="AK14" s="153" t="n">
        <v>60</v>
      </c>
      <c r="AL14" s="154" t="n">
        <v>126.5</v>
      </c>
      <c r="AM14" s="154" t="n">
        <v>131.5</v>
      </c>
      <c r="AN14" s="154" t="n">
        <v>135.5</v>
      </c>
      <c r="AO14" s="154" t="n">
        <v>137.5</v>
      </c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>
        <v>60</v>
      </c>
      <c r="BT14" s="162" t="n">
        <v>104.15</v>
      </c>
      <c r="BU14" s="162" t="n">
        <v>107.9</v>
      </c>
      <c r="BV14" s="162" t="n">
        <v>112.5</v>
      </c>
      <c r="BW14" s="162" t="n">
        <v>116.25</v>
      </c>
      <c r="BY14" s="158" t="n"/>
      <c r="BZ14" s="158" t="n"/>
      <c r="CA14" s="158" t="n"/>
      <c r="CB14" s="158" t="n"/>
      <c r="CC14" s="158" t="n"/>
      <c r="CD14" s="158" t="n"/>
      <c r="CE14" s="158" t="n"/>
      <c r="CF14" s="158" t="n"/>
      <c r="CG14" s="158" t="n"/>
      <c r="CH14" s="158" t="n"/>
      <c r="CI14" s="158" t="n"/>
      <c r="CJ14" s="158" t="n"/>
      <c r="CK14" s="158" t="n"/>
      <c r="CL14" s="158" t="n"/>
      <c r="CM14" s="158" t="n"/>
      <c r="CN14" s="158" t="n"/>
      <c r="CO14" s="158" t="n"/>
      <c r="CP14" s="158" t="n"/>
      <c r="CQ14" s="159" t="n"/>
      <c r="CR14" s="16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39" t="n">
        <v>3</v>
      </c>
      <c r="Z15" s="239" t="n"/>
      <c r="AA15" s="239" t="n"/>
      <c r="AB15" s="239" t="n"/>
      <c r="AC15" s="239" t="n">
        <v>0</v>
      </c>
      <c r="AD15" s="5" t="n"/>
      <c r="AE15" s="153" t="n">
        <v>68</v>
      </c>
      <c r="AF15" s="154" t="n">
        <v>151.5</v>
      </c>
      <c r="AG15" s="154" t="n">
        <v>158.5</v>
      </c>
      <c r="AH15" s="154" t="n">
        <v>164.5</v>
      </c>
      <c r="AI15" s="154" t="n">
        <v>170.5</v>
      </c>
      <c r="AJ15" s="5" t="n"/>
      <c r="AK15" s="153" t="n">
        <v>68</v>
      </c>
      <c r="AL15" s="154" t="n">
        <v>191.5</v>
      </c>
      <c r="AM15" s="154" t="n">
        <v>200.5</v>
      </c>
      <c r="AN15" s="154" t="n">
        <v>207.5</v>
      </c>
      <c r="AO15" s="154" t="n">
        <v>211.5</v>
      </c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>
        <v>68</v>
      </c>
      <c r="BT15" s="162" t="n">
        <v>155.3</v>
      </c>
      <c r="BU15" s="162" t="n">
        <v>162.75</v>
      </c>
      <c r="BV15" s="162" t="n">
        <v>172</v>
      </c>
      <c r="BW15" s="162" t="n">
        <v>173.9</v>
      </c>
      <c r="BY15" s="158" t="n"/>
      <c r="BZ15" s="158" t="n"/>
      <c r="CA15" s="158" t="n"/>
      <c r="CB15" s="158" t="n"/>
      <c r="CC15" s="158" t="n"/>
      <c r="CD15" s="158" t="n"/>
      <c r="CE15" s="158" t="n"/>
      <c r="CF15" s="158" t="n"/>
      <c r="CG15" s="158" t="n"/>
      <c r="CH15" s="158" t="n"/>
      <c r="CI15" s="158" t="n"/>
      <c r="CJ15" s="158" t="n"/>
      <c r="CK15" s="158" t="n"/>
      <c r="CL15" s="158" t="n"/>
      <c r="CM15" s="158" t="n"/>
      <c r="CN15" s="158" t="n"/>
      <c r="CO15" s="158" t="n"/>
      <c r="CP15" s="158" t="n"/>
      <c r="CQ15" s="159" t="n"/>
      <c r="CR15" s="16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39" t="n">
        <v>4</v>
      </c>
      <c r="Z16" s="240" t="n"/>
      <c r="AA16" s="240" t="n"/>
      <c r="AB16" s="240" t="n"/>
      <c r="AC16" s="240" t="n">
        <v>0.1</v>
      </c>
      <c r="AD16" s="5" t="n"/>
      <c r="AE16" s="161" t="n"/>
      <c r="AF16" s="162" t="n"/>
      <c r="AG16" s="162" t="n"/>
      <c r="AH16" s="162" t="n"/>
      <c r="AI16" s="162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Y16" s="158" t="n"/>
      <c r="BZ16" s="158" t="n"/>
      <c r="CA16" s="158" t="n"/>
      <c r="CB16" s="158" t="n"/>
      <c r="CC16" s="158" t="n"/>
      <c r="CD16" s="158" t="n"/>
      <c r="CE16" s="158" t="n"/>
      <c r="CF16" s="158" t="n"/>
      <c r="CG16" s="158" t="n"/>
      <c r="CH16" s="158" t="n"/>
      <c r="CI16" s="158" t="n"/>
      <c r="CJ16" s="158" t="n"/>
      <c r="CK16" s="158" t="n"/>
      <c r="CL16" s="158" t="n"/>
      <c r="CM16" s="158" t="n"/>
      <c r="CN16" s="158" t="n"/>
      <c r="CO16" s="158" t="n"/>
      <c r="CP16" s="158" t="n"/>
      <c r="CQ16" s="159" t="n"/>
      <c r="CR16" s="167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39" t="n">
        <v>5</v>
      </c>
      <c r="Z17" s="240" t="n"/>
      <c r="AA17" s="240" t="n"/>
      <c r="AB17" s="240" t="n"/>
      <c r="AC17" s="240" t="n">
        <v>0.1</v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39" t="n">
        <v>6</v>
      </c>
      <c r="Z18" s="240" t="n"/>
      <c r="AA18" s="240" t="n"/>
      <c r="AB18" s="240" t="n"/>
      <c r="AC18" s="240" t="n">
        <v>0.1</v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39" t="n">
        <v>7</v>
      </c>
      <c r="Z19" s="240" t="n"/>
      <c r="AA19" s="240" t="n"/>
      <c r="AB19" s="240" t="n"/>
      <c r="AC19" s="240" t="n">
        <v>0.1</v>
      </c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39" t="n">
        <v>8</v>
      </c>
      <c r="Z20" s="240" t="n"/>
      <c r="AA20" s="240" t="n"/>
      <c r="AB20" s="240" t="n"/>
      <c r="AC20" s="240" t="n">
        <v>0.1</v>
      </c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U21" s="5" t="n"/>
      <c r="BV21" s="5" t="n"/>
      <c r="BW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168" t="n"/>
      <c r="BU22" s="168" t="n"/>
      <c r="BV22" s="168" t="n"/>
      <c r="BW22" s="168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168" t="n"/>
      <c r="BU23" s="168" t="n"/>
      <c r="BV23" s="168" t="n"/>
      <c r="BW23" s="16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168" t="n"/>
      <c r="BU24" s="168" t="n"/>
      <c r="BV24" s="168" t="n"/>
      <c r="BW24" s="168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168" t="n"/>
      <c r="BU25" s="168" t="n"/>
      <c r="BV25" s="168" t="n"/>
      <c r="BW25" s="16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168" t="n"/>
      <c r="BU26" s="168" t="n"/>
      <c r="BV26" s="168" t="n"/>
      <c r="BW26" s="168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/>
      <c r="BJ1001" s="5" t="n"/>
      <c r="BK1001" s="5" t="n"/>
      <c r="BL1001" s="5" t="n"/>
      <c r="BM1001" s="5" t="n"/>
      <c r="BN1001" s="5" t="n"/>
      <c r="BO1001" s="5" t="n"/>
      <c r="BP1001" s="5" t="n"/>
      <c r="BQ1001" s="5" t="n"/>
      <c r="BR1001" s="5" t="n"/>
      <c r="BS1001" s="5" t="n"/>
      <c r="BT1001" s="5" t="n"/>
      <c r="BU1001" s="5" t="n"/>
      <c r="BV1001" s="5" t="n"/>
      <c r="BW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/>
      <c r="BJ1002" s="5" t="n"/>
      <c r="BK1002" s="5" t="n"/>
      <c r="BL1002" s="5" t="n"/>
      <c r="BM1002" s="5" t="n"/>
      <c r="BN1002" s="5" t="n"/>
      <c r="BO1002" s="5" t="n"/>
      <c r="BP1002" s="5" t="n"/>
      <c r="BQ1002" s="5" t="n"/>
      <c r="BR1002" s="5" t="n"/>
      <c r="BS1002" s="5" t="n"/>
      <c r="BT1002" s="5" t="n"/>
      <c r="BU1002" s="5" t="n"/>
      <c r="BV1002" s="5" t="n"/>
      <c r="BW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/>
      <c r="BJ1003" s="5" t="n"/>
      <c r="BK1003" s="5" t="n"/>
      <c r="BL1003" s="5" t="n"/>
      <c r="BM1003" s="5" t="n"/>
      <c r="BN1003" s="5" t="n"/>
      <c r="BO1003" s="5" t="n"/>
      <c r="BP1003" s="5" t="n"/>
      <c r="BQ1003" s="5" t="n"/>
      <c r="BR1003" s="5" t="n"/>
      <c r="BS1003" s="5" t="n"/>
      <c r="BT1003" s="5" t="n"/>
      <c r="BU1003" s="5" t="n"/>
      <c r="BV1003" s="5" t="n"/>
      <c r="BW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/>
      <c r="BJ1004" s="5" t="n"/>
      <c r="BK1004" s="5" t="n"/>
      <c r="BL1004" s="5" t="n"/>
      <c r="BM1004" s="5" t="n"/>
      <c r="BN1004" s="5" t="n"/>
      <c r="BO1004" s="5" t="n"/>
      <c r="BP1004" s="5" t="n"/>
      <c r="BQ1004" s="5" t="n"/>
      <c r="BR1004" s="5" t="n"/>
      <c r="BS1004" s="5" t="n"/>
      <c r="BT1004" s="5" t="n"/>
      <c r="BU1004" s="5" t="n"/>
      <c r="BV1004" s="5" t="n"/>
      <c r="BW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/>
      <c r="BJ1005" s="5" t="n"/>
      <c r="BK1005" s="5" t="n"/>
      <c r="BL1005" s="5" t="n"/>
      <c r="BM1005" s="5" t="n"/>
      <c r="BN1005" s="5" t="n"/>
      <c r="BO1005" s="5" t="n"/>
      <c r="BP1005" s="5" t="n"/>
      <c r="BQ1005" s="5" t="n"/>
      <c r="BR1005" s="5" t="n"/>
      <c r="BS1005" s="5" t="n"/>
      <c r="BT1005" s="5" t="n"/>
      <c r="BU1005" s="5" t="n"/>
      <c r="BV1005" s="5" t="n"/>
      <c r="BW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/>
      <c r="BJ1006" s="5" t="n"/>
      <c r="BK1006" s="5" t="n"/>
      <c r="BL1006" s="5" t="n"/>
      <c r="BM1006" s="5" t="n"/>
      <c r="BN1006" s="5" t="n"/>
      <c r="BO1006" s="5" t="n"/>
      <c r="BP1006" s="5" t="n"/>
      <c r="BQ1006" s="5" t="n"/>
      <c r="BR1006" s="5" t="n"/>
      <c r="BS1006" s="5" t="n"/>
      <c r="BT1006" s="5" t="n"/>
      <c r="BU1006" s="5" t="n"/>
      <c r="BV1006" s="5" t="n"/>
      <c r="BW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/>
      <c r="BJ1007" s="5" t="n"/>
      <c r="BK1007" s="5" t="n"/>
      <c r="BL1007" s="5" t="n"/>
      <c r="BM1007" s="5" t="n"/>
      <c r="BN1007" s="5" t="n"/>
      <c r="BO1007" s="5" t="n"/>
      <c r="BP1007" s="5" t="n"/>
      <c r="BQ1007" s="5" t="n"/>
      <c r="BR1007" s="5" t="n"/>
      <c r="BS1007" s="5" t="n"/>
      <c r="BT1007" s="5" t="n"/>
      <c r="BU1007" s="5" t="n"/>
      <c r="BV1007" s="5" t="n"/>
      <c r="BW1007" s="5" t="n"/>
    </row>
  </sheetData>
  <mergeCells count="1">
    <mergeCell ref="BS9:BT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2026-03-09T10:22:02Z</dcterms:created>
  <dcterms:modified xsi:type="dcterms:W3CDTF">2026-03-09T10:22:03Z</dcterms:modified>
</cp:coreProperties>
</file>