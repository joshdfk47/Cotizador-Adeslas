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tizador" sheetId="1" state="visible" r:id="rId1"/>
    <sheet name="Excepciones" sheetId="2" state="visible" r:id="rId2"/>
    <sheet name="Precios" sheetId="3" state="visible" r:id="rId3"/>
    <sheet name="AuxCP" sheetId="4" state="visible" r:id="rId4"/>
    <sheet name="coti antiguo" sheetId="5" state="visible" r:id="rId5"/>
    <sheet name="aux antigu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\ [$€-1]"/>
    <numFmt numFmtId="165" formatCode="#,##0.00&quot;€&quot;"/>
    <numFmt numFmtId="166" formatCode="#,##0&quot;€&quot;"/>
    <numFmt numFmtId="167" formatCode="#,##0\ [$€-1]"/>
  </numFmts>
  <fonts count="38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  <scheme val="minor"/>
    </font>
    <font>
      <name val="Arial"/>
      <b val="1"/>
      <color rgb="FFFFFFFF"/>
      <sz val="14"/>
      <scheme val="minor"/>
    </font>
    <font/>
    <font>
      <name val="Arial"/>
      <color theme="1"/>
      <sz val="9"/>
      <scheme val="minor"/>
    </font>
    <font>
      <name val="Arial"/>
      <b val="1"/>
      <color rgb="FFFF9900"/>
      <scheme val="minor"/>
    </font>
    <font>
      <name val="Arial"/>
      <b val="1"/>
      <color rgb="FFA64D79"/>
      <scheme val="minor"/>
    </font>
    <font>
      <name val="Arial"/>
      <b val="1"/>
      <color rgb="FF39B4E1"/>
      <scheme val="minor"/>
    </font>
    <font>
      <name val="Arial"/>
      <b val="1"/>
      <color rgb="FF38761D"/>
      <scheme val="minor"/>
    </font>
    <font>
      <name val="Arial"/>
      <b val="1"/>
      <color rgb="FFBF9000"/>
      <scheme val="minor"/>
    </font>
    <font>
      <name val="Arial"/>
      <b val="1"/>
      <color rgb="FFA64D79"/>
      <sz val="10"/>
      <scheme val="minor"/>
    </font>
    <font>
      <name val="Arial"/>
      <color rgb="FFFFFFFF"/>
      <scheme val="minor"/>
    </font>
    <font>
      <name val="Arial"/>
      <color rgb="FFCCCCCC"/>
      <scheme val="minor"/>
    </font>
    <font>
      <name val="Arial"/>
      <color theme="1"/>
    </font>
    <font>
      <name val="Arial"/>
      <b val="1"/>
      <color theme="1"/>
      <scheme val="minor"/>
    </font>
    <font>
      <name val="Arial"/>
      <color rgb="FF000000"/>
      <sz val="8"/>
      <scheme val="minor"/>
    </font>
    <font>
      <name val="Arial"/>
      <color rgb="FFFF0000"/>
      <scheme val="minor"/>
    </font>
    <font>
      <name val="Arial"/>
      <b val="1"/>
      <i val="1"/>
      <color theme="1"/>
      <scheme val="minor"/>
    </font>
    <font>
      <name val="Arial"/>
      <b val="1"/>
      <color rgb="FFFFFFFF"/>
      <sz val="16"/>
      <u val="single"/>
      <scheme val="minor"/>
    </font>
    <font>
      <name val="Arial"/>
      <b val="1"/>
      <color rgb="FFFFFFFF"/>
      <sz val="16"/>
      <u val="single"/>
      <scheme val="minor"/>
    </font>
    <font>
      <name val="Arial"/>
      <b val="1"/>
      <color rgb="FFFFFFFF"/>
      <sz val="16"/>
      <u val="single"/>
      <scheme val="minor"/>
    </font>
    <font>
      <name val="Arial"/>
      <b val="1"/>
      <i val="1"/>
      <color theme="1"/>
    </font>
    <font>
      <name val="Arial"/>
      <b val="1"/>
      <color theme="1"/>
      <sz val="12"/>
      <scheme val="minor"/>
    </font>
    <font>
      <name val="Arial"/>
      <color rgb="FF434343"/>
      <scheme val="minor"/>
    </font>
    <font>
      <name val="Arial"/>
      <color rgb="FF434343"/>
    </font>
    <font>
      <name val="Arial"/>
      <color rgb="FFD9D9D9"/>
      <scheme val="minor"/>
    </font>
    <font>
      <name val="Arial"/>
      <color theme="1"/>
      <sz val="10"/>
    </font>
    <font>
      <name val="Calibri"/>
      <color rgb="FF000000"/>
      <sz val="14"/>
    </font>
    <font>
      <name val="Helvetica"/>
      <i val="1"/>
      <color rgb="FF4D4D4D"/>
      <sz val="14"/>
    </font>
    <font>
      <name val="Arial"/>
      <color rgb="FF000000"/>
      <sz val="10"/>
    </font>
    <font>
      <name val="Arial"/>
      <b val="1"/>
      <color rgb="FF000000"/>
      <sz val="8"/>
    </font>
    <font>
      <name val="Calibri"/>
      <color rgb="FF000000"/>
      <sz val="8"/>
    </font>
    <font>
      <name val="Arial"/>
      <color rgb="FF000000"/>
      <sz val="8"/>
    </font>
    <font>
      <name val="Arial"/>
      <b val="1"/>
      <color rgb="FFFF0000"/>
      <scheme val="minor"/>
    </font>
    <font>
      <name val="Arial"/>
      <color rgb="FFD9D9D9"/>
    </font>
    <font>
      <name val="Arial"/>
      <b val="1"/>
      <color rgb="FFD9D9D9"/>
    </font>
    <font>
      <name val="Arial"/>
      <b val="1"/>
      <color rgb="FFD9D9D9"/>
      <scheme val="minor"/>
    </font>
  </fonts>
  <fills count="13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9B4E1"/>
        <bgColor rgb="FF39B4E1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D9D9D9"/>
      </right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ck">
        <color rgb="FF000000"/>
      </left>
      <top style="thick">
        <color rgb="FF000000"/>
      </top>
      <bottom style="dotted">
        <color rgb="FF434343"/>
      </bottom>
    </border>
    <border>
      <top style="thick">
        <color rgb="FF000000"/>
      </top>
      <bottom style="dotted">
        <color rgb="FF434343"/>
      </bottom>
    </border>
    <border>
      <right style="thick">
        <color rgb="FF000000"/>
      </right>
      <top style="thick">
        <color rgb="FF000000"/>
      </top>
      <bottom style="dotted">
        <color rgb="FF434343"/>
      </bottom>
    </border>
    <border>
      <left style="thick">
        <color rgb="FF000000"/>
      </left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dotted">
        <color rgb="FF434343"/>
      </bottom>
    </border>
    <border>
      <bottom style="dotted">
        <color rgb="FF434343"/>
      </bottom>
    </border>
    <border>
      <right style="thick">
        <color rgb="FF000000"/>
      </right>
      <bottom style="dotted">
        <color rgb="FF434343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dotted">
        <color rgb="FFEFEFEF"/>
      </right>
    </border>
    <border>
      <right style="dotted">
        <color rgb="FFEFEFEF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dotted">
        <color rgb="FF434343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dotted">
        <color rgb="FF434343"/>
      </bottom>
    </border>
  </borders>
  <cellStyleXfs count="1">
    <xf numFmtId="0" fontId="0" fillId="0" borderId="0"/>
  </cellStyleXfs>
  <cellXfs count="28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4" pivotButton="0" quotePrefix="0" xfId="0"/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6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4" fillId="0" borderId="11" pivotButton="0" quotePrefix="0" xfId="0"/>
    <xf numFmtId="0" fontId="1" fillId="0" borderId="12" applyAlignment="1" pivotButton="0" quotePrefix="0" xfId="0">
      <alignment horizontal="center" wrapText="1"/>
    </xf>
    <xf numFmtId="0" fontId="4" fillId="0" borderId="13" pivotButton="0" quotePrefix="0" xfId="0"/>
    <xf numFmtId="0" fontId="4" fillId="0" borderId="14" pivotButton="0" quotePrefix="0" xfId="0"/>
    <xf numFmtId="0" fontId="4" fillId="0" borderId="15" pivotButton="0" quotePrefix="0" xfId="0"/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3" fontId="14" fillId="2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9" fontId="1" fillId="6" borderId="1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 wrapText="1"/>
    </xf>
    <xf numFmtId="164" fontId="1" fillId="0" borderId="8" applyAlignment="1" pivotButton="0" quotePrefix="0" xfId="0">
      <alignment horizontal="center" vertical="center"/>
    </xf>
    <xf numFmtId="164" fontId="1" fillId="7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4" fontId="1" fillId="7" borderId="9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2" fillId="0" borderId="10" applyAlignment="1" pivotButton="0" quotePrefix="0" xfId="0">
      <alignment horizontal="center" vertical="center"/>
    </xf>
    <xf numFmtId="0" fontId="1" fillId="4" borderId="1" pivotButton="0" quotePrefix="0" xfId="0"/>
    <xf numFmtId="0" fontId="1" fillId="4" borderId="1" applyAlignment="1" pivotButton="0" quotePrefix="0" xfId="0">
      <alignment horizontal="center"/>
    </xf>
    <xf numFmtId="0" fontId="16" fillId="0" borderId="0" applyAlignment="1" pivotButton="0" quotePrefix="0" xfId="0">
      <alignment horizontal="center" vertical="bottom" wrapText="1"/>
    </xf>
    <xf numFmtId="0" fontId="15" fillId="7" borderId="16" applyAlignment="1" pivotButton="0" quotePrefix="0" xfId="0">
      <alignment horizontal="center" vertical="center" wrapText="1"/>
    </xf>
    <xf numFmtId="164" fontId="1" fillId="7" borderId="0" applyAlignment="1" pivotButton="0" quotePrefix="0" xfId="0">
      <alignment horizontal="center" vertical="center"/>
    </xf>
    <xf numFmtId="164" fontId="1" fillId="7" borderId="17" applyAlignment="1" pivotButton="0" quotePrefix="0" xfId="0">
      <alignment horizontal="center" vertical="center"/>
    </xf>
    <xf numFmtId="164" fontId="17" fillId="7" borderId="0" applyAlignment="1" pivotButton="0" quotePrefix="0" xfId="0">
      <alignment horizontal="center" vertical="center"/>
    </xf>
    <xf numFmtId="164" fontId="17" fillId="7" borderId="1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9" fontId="1" fillId="2" borderId="0" applyAlignment="1" pivotButton="0" quotePrefix="0" xfId="0">
      <alignment horizontal="center" vertical="center"/>
    </xf>
    <xf numFmtId="0" fontId="18" fillId="8" borderId="12" applyAlignment="1" pivotButton="0" quotePrefix="0" xfId="0">
      <alignment horizontal="center" vertical="center" wrapText="1"/>
    </xf>
    <xf numFmtId="0" fontId="18" fillId="8" borderId="13" applyAlignment="1" pivotButton="0" quotePrefix="0" xfId="0">
      <alignment horizontal="center" vertical="center"/>
    </xf>
    <xf numFmtId="164" fontId="18" fillId="8" borderId="13" applyAlignment="1" pivotButton="0" quotePrefix="0" xfId="0">
      <alignment horizontal="center" vertical="center"/>
    </xf>
    <xf numFmtId="164" fontId="18" fillId="8" borderId="14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10" applyAlignment="1" pivotButton="0" quotePrefix="0" xfId="0">
      <alignment horizontal="center" vertical="center"/>
    </xf>
    <xf numFmtId="0" fontId="19" fillId="9" borderId="12" applyAlignment="1" pivotButton="0" quotePrefix="0" xfId="0">
      <alignment horizontal="center" vertical="center" wrapText="1"/>
    </xf>
    <xf numFmtId="0" fontId="20" fillId="9" borderId="18" applyAlignment="1" pivotButton="0" quotePrefix="0" xfId="0">
      <alignment horizontal="center" vertical="center" wrapText="1"/>
    </xf>
    <xf numFmtId="0" fontId="21" fillId="9" borderId="19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4" fontId="14" fillId="0" borderId="8" applyAlignment="1" pivotButton="0" quotePrefix="0" xfId="0">
      <alignment vertical="center"/>
    </xf>
    <xf numFmtId="164" fontId="14" fillId="0" borderId="8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 vertical="center"/>
    </xf>
    <xf numFmtId="0" fontId="18" fillId="8" borderId="16" applyAlignment="1" pivotButton="0" quotePrefix="0" xfId="0">
      <alignment horizontal="center" vertical="center" wrapText="1"/>
    </xf>
    <xf numFmtId="164" fontId="22" fillId="8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 wrapText="1"/>
    </xf>
    <xf numFmtId="164" fontId="18" fillId="8" borderId="0" applyAlignment="1" pivotButton="0" quotePrefix="0" xfId="0">
      <alignment horizontal="center" vertical="center" wrapText="1"/>
    </xf>
    <xf numFmtId="164" fontId="18" fillId="8" borderId="10" applyAlignment="1" pivotButton="0" quotePrefix="0" xfId="0">
      <alignment horizontal="center" vertical="center" wrapText="1"/>
    </xf>
    <xf numFmtId="0" fontId="15" fillId="10" borderId="16" applyAlignment="1" pivotButton="0" quotePrefix="0" xfId="0">
      <alignment horizontal="center" vertical="center" wrapText="1"/>
    </xf>
    <xf numFmtId="164" fontId="14" fillId="10" borderId="0" applyAlignment="1" pivotButton="0" quotePrefix="0" xfId="0">
      <alignment vertical="center"/>
    </xf>
    <xf numFmtId="164" fontId="14" fillId="10" borderId="0" applyAlignment="1" pivotButton="0" quotePrefix="0" xfId="0">
      <alignment horizontal="center" vertical="center"/>
    </xf>
    <xf numFmtId="164" fontId="1" fillId="10" borderId="0" applyAlignment="1" pivotButton="0" quotePrefix="0" xfId="0">
      <alignment horizontal="center" vertical="center"/>
    </xf>
    <xf numFmtId="164" fontId="1" fillId="10" borderId="10" applyAlignment="1" pivotButton="0" quotePrefix="0" xfId="0">
      <alignment horizontal="center" vertical="center"/>
    </xf>
    <xf numFmtId="0" fontId="15" fillId="6" borderId="12" applyAlignment="1" pivotButton="0" quotePrefix="0" xfId="0">
      <alignment horizontal="center" vertical="center" wrapText="1"/>
    </xf>
    <xf numFmtId="164" fontId="14" fillId="6" borderId="13" applyAlignment="1" pivotButton="0" quotePrefix="0" xfId="0">
      <alignment vertical="center"/>
    </xf>
    <xf numFmtId="164" fontId="1" fillId="6" borderId="13" applyAlignment="1" pivotButton="0" quotePrefix="0" xfId="0">
      <alignment horizontal="center" vertical="center"/>
    </xf>
    <xf numFmtId="164" fontId="1" fillId="7" borderId="13" applyAlignment="1" pivotButton="0" quotePrefix="0" xfId="0">
      <alignment horizontal="center" vertical="center"/>
    </xf>
    <xf numFmtId="164" fontId="1" fillId="7" borderId="14" applyAlignment="1" pivotButton="0" quotePrefix="0" xfId="0">
      <alignment horizontal="center" vertical="center"/>
    </xf>
    <xf numFmtId="164" fontId="1" fillId="6" borderId="0" applyAlignment="1" pivotButton="0" quotePrefix="0" xfId="0">
      <alignment horizontal="center" vertical="center"/>
    </xf>
    <xf numFmtId="164" fontId="1" fillId="6" borderId="10" applyAlignment="1" pivotButton="0" quotePrefix="0" xfId="0">
      <alignment horizontal="center" vertical="center"/>
    </xf>
    <xf numFmtId="0" fontId="15" fillId="11" borderId="7" applyAlignment="1" pivotButton="0" quotePrefix="0" xfId="0">
      <alignment horizontal="center" vertical="center" wrapText="1"/>
    </xf>
    <xf numFmtId="164" fontId="1" fillId="11" borderId="8" applyAlignment="1" pivotButton="0" quotePrefix="0" xfId="0">
      <alignment horizontal="center" vertical="center"/>
    </xf>
    <xf numFmtId="164" fontId="1" fillId="11" borderId="0" applyAlignment="1" pivotButton="0" quotePrefix="0" xfId="0">
      <alignment horizontal="center" vertical="center"/>
    </xf>
    <xf numFmtId="164" fontId="1" fillId="11" borderId="9" applyAlignment="1" pivotButton="0" quotePrefix="0" xfId="0">
      <alignment horizontal="center" vertical="center"/>
    </xf>
    <xf numFmtId="164" fontId="1" fillId="11" borderId="20" applyAlignment="1" pivotButton="0" quotePrefix="0" xfId="0">
      <alignment horizontal="center" vertical="center"/>
    </xf>
    <xf numFmtId="164" fontId="1" fillId="11" borderId="21" applyAlignment="1" pivotButton="0" quotePrefix="0" xfId="0">
      <alignment horizontal="center" vertical="center"/>
    </xf>
    <xf numFmtId="164" fontId="18" fillId="8" borderId="17" applyAlignment="1" pivotButton="0" quotePrefix="0" xfId="0">
      <alignment horizontal="center" vertical="center" wrapText="1"/>
    </xf>
    <xf numFmtId="0" fontId="18" fillId="8" borderId="10" applyAlignment="1" pivotButton="0" quotePrefix="0" xfId="0">
      <alignment horizontal="center" vertical="center" wrapText="1"/>
    </xf>
    <xf numFmtId="164" fontId="1" fillId="10" borderId="17" applyAlignment="1" pivotButton="0" quotePrefix="0" xfId="0">
      <alignment horizontal="center" vertical="center"/>
    </xf>
    <xf numFmtId="164" fontId="1" fillId="6" borderId="14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23" fillId="4" borderId="22" applyAlignment="1" pivotButton="0" quotePrefix="0" xfId="0">
      <alignment horizontal="center" vertical="center"/>
    </xf>
    <xf numFmtId="0" fontId="4" fillId="0" borderId="23" pivotButton="0" quotePrefix="0" xfId="0"/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10" borderId="23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4" fillId="0" borderId="25" pivotButton="0" quotePrefix="0" xfId="0"/>
    <xf numFmtId="0" fontId="1" fillId="0" borderId="22" applyAlignment="1" pivotButton="0" quotePrefix="0" xfId="0">
      <alignment horizontal="center" vertical="center"/>
    </xf>
    <xf numFmtId="164" fontId="1" fillId="0" borderId="23" applyAlignment="1" pivotButton="0" quotePrefix="0" xfId="0">
      <alignment horizontal="center" vertical="center"/>
    </xf>
    <xf numFmtId="164" fontId="1" fillId="12" borderId="23" applyAlignment="1" pivotButton="0" quotePrefix="0" xfId="0">
      <alignment horizontal="center" vertical="center"/>
    </xf>
    <xf numFmtId="164" fontId="1" fillId="12" borderId="24" applyAlignment="1" pivotButton="0" quotePrefix="0" xfId="0">
      <alignment horizontal="center" vertical="center"/>
    </xf>
    <xf numFmtId="164" fontId="1" fillId="0" borderId="24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164" fontId="1" fillId="12" borderId="0" applyAlignment="1" pivotButton="0" quotePrefix="0" xfId="0">
      <alignment horizontal="center" vertical="center"/>
    </xf>
    <xf numFmtId="164" fontId="1" fillId="12" borderId="10" applyAlignment="1" pivotButton="0" quotePrefix="0" xfId="0">
      <alignment horizontal="center" vertical="center"/>
    </xf>
    <xf numFmtId="164" fontId="1" fillId="0" borderId="10" applyAlignment="1" pivotButton="0" quotePrefix="0" xfId="0">
      <alignment horizontal="center" vertical="center"/>
    </xf>
    <xf numFmtId="0" fontId="24" fillId="0" borderId="0" pivotButton="0" quotePrefix="0" xfId="0"/>
    <xf numFmtId="0" fontId="24" fillId="0" borderId="0" pivotButton="0" quotePrefix="0" xfId="0"/>
    <xf numFmtId="0" fontId="25" fillId="0" borderId="0" applyAlignment="1" pivotButton="0" quotePrefix="0" xfId="0">
      <alignment vertical="bottom"/>
    </xf>
    <xf numFmtId="0" fontId="26" fillId="0" borderId="0" pivotButton="0" quotePrefix="0" xfId="0"/>
    <xf numFmtId="0" fontId="25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" fillId="0" borderId="25" applyAlignment="1" pivotButton="0" quotePrefix="0" xfId="0">
      <alignment horizontal="center" vertical="center"/>
    </xf>
    <xf numFmtId="0" fontId="1" fillId="0" borderId="11" pivotButton="0" quotePrefix="0" xfId="0"/>
    <xf numFmtId="164" fontId="1" fillId="0" borderId="11" applyAlignment="1" pivotButton="0" quotePrefix="0" xfId="0">
      <alignment horizontal="center" vertical="center"/>
    </xf>
    <xf numFmtId="164" fontId="1" fillId="12" borderId="11" applyAlignment="1" pivotButton="0" quotePrefix="0" xfId="0">
      <alignment horizontal="center" vertical="center"/>
    </xf>
    <xf numFmtId="164" fontId="1" fillId="12" borderId="15" applyAlignment="1" pivotButton="0" quotePrefix="0" xfId="0">
      <alignment horizontal="center" vertical="center"/>
    </xf>
    <xf numFmtId="164" fontId="1" fillId="0" borderId="15" applyAlignment="1" pivotButton="0" quotePrefix="0" xfId="0">
      <alignment horizontal="center" vertical="center"/>
    </xf>
    <xf numFmtId="0" fontId="15" fillId="0" borderId="0" pivotButton="0" quotePrefix="0" xfId="0"/>
    <xf numFmtId="0" fontId="1" fillId="12" borderId="23" applyAlignment="1" pivotButton="0" quotePrefix="0" xfId="0">
      <alignment horizontal="center" vertical="center"/>
    </xf>
    <xf numFmtId="0" fontId="1" fillId="12" borderId="24" applyAlignment="1" pivotButton="0" quotePrefix="0" xfId="0">
      <alignment horizontal="center" vertical="center"/>
    </xf>
    <xf numFmtId="164" fontId="2" fillId="12" borderId="24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2" borderId="10" applyAlignment="1" pivotButton="0" quotePrefix="0" xfId="0">
      <alignment horizontal="center" vertical="center"/>
    </xf>
    <xf numFmtId="164" fontId="2" fillId="12" borderId="10" applyAlignment="1" pivotButton="0" quotePrefix="0" xfId="0">
      <alignment horizontal="center" vertical="center"/>
    </xf>
    <xf numFmtId="0" fontId="1" fillId="12" borderId="11" applyAlignment="1" pivotButton="0" quotePrefix="0" xfId="0">
      <alignment horizontal="center" vertical="center"/>
    </xf>
    <xf numFmtId="0" fontId="1" fillId="12" borderId="15" applyAlignment="1" pivotButton="0" quotePrefix="0" xfId="0">
      <alignment horizontal="center" vertical="center"/>
    </xf>
    <xf numFmtId="164" fontId="2" fillId="12" borderId="15" applyAlignment="1" pivotButton="0" quotePrefix="0" xfId="0">
      <alignment horizontal="center" vertical="center"/>
    </xf>
    <xf numFmtId="164" fontId="2" fillId="0" borderId="24" applyAlignment="1" pivotButton="0" quotePrefix="0" xfId="0">
      <alignment horizontal="center" vertical="center"/>
    </xf>
    <xf numFmtId="164" fontId="2" fillId="0" borderId="15" applyAlignment="1" pivotButton="0" quotePrefix="0" xfId="0">
      <alignment horizontal="center" vertical="center"/>
    </xf>
    <xf numFmtId="0" fontId="1" fillId="0" borderId="0" pivotButton="0" quotePrefix="0" xfId="0"/>
    <xf numFmtId="0" fontId="27" fillId="0" borderId="0" applyAlignment="1" pivotButton="0" quotePrefix="0" xfId="0">
      <alignment horizontal="left"/>
    </xf>
    <xf numFmtId="164" fontId="27" fillId="0" borderId="0" applyAlignment="1" pivotButton="0" quotePrefix="0" xfId="0">
      <alignment horizontal="left"/>
    </xf>
    <xf numFmtId="0" fontId="1" fillId="4" borderId="11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10" borderId="11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3" fontId="28" fillId="4" borderId="27" applyAlignment="1" pivotButton="0" quotePrefix="0" xfId="0">
      <alignment horizontal="center"/>
    </xf>
    <xf numFmtId="166" fontId="29" fillId="4" borderId="0" applyAlignment="1" pivotButton="0" quotePrefix="0" xfId="0">
      <alignment horizontal="center" vertical="bottom"/>
    </xf>
    <xf numFmtId="0" fontId="28" fillId="4" borderId="27" applyAlignment="1" pivotButton="0" quotePrefix="0" xfId="0">
      <alignment horizontal="center"/>
    </xf>
    <xf numFmtId="165" fontId="29" fillId="4" borderId="0" applyAlignment="1" pivotButton="0" quotePrefix="0" xfId="0">
      <alignment horizontal="center" vertical="bottom"/>
    </xf>
    <xf numFmtId="0" fontId="1" fillId="4" borderId="0" applyAlignment="1" pivotButton="0" quotePrefix="0" xfId="0">
      <alignment horizontal="center"/>
    </xf>
    <xf numFmtId="0" fontId="1" fillId="4" borderId="0" pivotButton="0" quotePrefix="0" xfId="0"/>
    <xf numFmtId="164" fontId="1" fillId="4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10" borderId="27" applyAlignment="1" pivotButton="0" quotePrefix="0" xfId="0">
      <alignment horizontal="center"/>
    </xf>
    <xf numFmtId="166" fontId="29" fillId="10" borderId="0" applyAlignment="1" pivotButton="0" quotePrefix="0" xfId="0">
      <alignment horizontal="center" vertical="bottom"/>
    </xf>
    <xf numFmtId="0" fontId="28" fillId="0" borderId="27" applyAlignment="1" pivotButton="0" quotePrefix="0" xfId="0">
      <alignment horizontal="center"/>
    </xf>
    <xf numFmtId="165" fontId="29" fillId="0" borderId="0" applyAlignment="1" pivotButton="0" quotePrefix="0" xfId="0">
      <alignment horizontal="center" vertical="bottom"/>
    </xf>
    <xf numFmtId="166" fontId="29" fillId="0" borderId="0" applyAlignment="1" pivotButton="0" quotePrefix="0" xfId="0">
      <alignment horizontal="center" vertical="bottom"/>
    </xf>
    <xf numFmtId="0" fontId="28" fillId="4" borderId="0" applyAlignment="1" pivotButton="0" quotePrefix="0" xfId="0">
      <alignment horizontal="center"/>
    </xf>
    <xf numFmtId="0" fontId="29" fillId="0" borderId="0" applyAlignment="1" pivotButton="0" quotePrefix="0" xfId="0">
      <alignment horizontal="center" vertical="bottom"/>
    </xf>
    <xf numFmtId="166" fontId="1" fillId="0" borderId="0" applyAlignment="1" pivotButton="0" quotePrefix="0" xfId="0">
      <alignment horizontal="center"/>
    </xf>
    <xf numFmtId="165" fontId="29" fillId="10" borderId="0" applyAlignment="1" pivotButton="0" quotePrefix="0" xfId="0">
      <alignment horizontal="center" vertical="bottom"/>
    </xf>
    <xf numFmtId="165" fontId="1" fillId="0" borderId="0" applyAlignment="1" pivotButton="0" quotePrefix="0" xfId="0">
      <alignment horizontal="center"/>
    </xf>
    <xf numFmtId="164" fontId="30" fillId="0" borderId="0" applyAlignment="1" pivotButton="0" quotePrefix="0" xfId="0">
      <alignment horizontal="left"/>
    </xf>
    <xf numFmtId="164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64" fontId="1" fillId="0" borderId="0" pivotButton="0" quotePrefix="0" xfId="0"/>
    <xf numFmtId="0" fontId="31" fillId="0" borderId="28" applyAlignment="1" pivotButton="0" quotePrefix="0" xfId="0">
      <alignment vertical="bottom"/>
    </xf>
    <xf numFmtId="0" fontId="2" fillId="0" borderId="28" applyAlignment="1" pivotButton="0" quotePrefix="0" xfId="0">
      <alignment vertical="bottom"/>
    </xf>
    <xf numFmtId="0" fontId="32" fillId="0" borderId="1" applyAlignment="1" pivotButton="0" quotePrefix="0" xfId="0">
      <alignment vertical="bottom"/>
    </xf>
    <xf numFmtId="0" fontId="32" fillId="0" borderId="28" applyAlignment="1" pivotButton="0" quotePrefix="0" xfId="0">
      <alignment vertical="bottom"/>
    </xf>
    <xf numFmtId="0" fontId="33" fillId="0" borderId="28" applyAlignment="1" pivotButton="0" quotePrefix="0" xfId="0">
      <alignment horizontal="right" vertical="bottom"/>
    </xf>
    <xf numFmtId="4" fontId="32" fillId="0" borderId="1" applyAlignment="1" pivotButton="0" quotePrefix="0" xfId="0">
      <alignment vertical="bottom"/>
    </xf>
    <xf numFmtId="0" fontId="3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wrapText="1"/>
    </xf>
    <xf numFmtId="9" fontId="1" fillId="0" borderId="0" applyAlignment="1" pivotButton="0" quotePrefix="0" xfId="0">
      <alignment horizontal="center" wrapText="1"/>
    </xf>
    <xf numFmtId="0" fontId="3" fillId="3" borderId="29" applyAlignment="1" pivotButton="0" quotePrefix="0" xfId="0">
      <alignment horizontal="center" vertical="center" wrapText="1"/>
    </xf>
    <xf numFmtId="0" fontId="4" fillId="0" borderId="30" pivotButton="0" quotePrefix="0" xfId="0"/>
    <xf numFmtId="0" fontId="4" fillId="0" borderId="31" pivotButton="0" quotePrefix="0" xfId="0"/>
    <xf numFmtId="0" fontId="1" fillId="0" borderId="32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4" fillId="0" borderId="34" pivotButton="0" quotePrefix="0" xfId="0"/>
    <xf numFmtId="0" fontId="1" fillId="2" borderId="0" applyAlignment="1" pivotButton="0" quotePrefix="0" xfId="0">
      <alignment horizontal="center" vertical="center"/>
    </xf>
    <xf numFmtId="3" fontId="1" fillId="2" borderId="0" applyAlignment="1" pivotButton="0" quotePrefix="0" xfId="0">
      <alignment horizontal="center" vertical="center"/>
    </xf>
    <xf numFmtId="0" fontId="15" fillId="0" borderId="32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/>
    </xf>
    <xf numFmtId="0" fontId="15" fillId="7" borderId="32" applyAlignment="1" pivotButton="0" quotePrefix="0" xfId="0">
      <alignment horizontal="center" vertical="center" wrapText="1"/>
    </xf>
    <xf numFmtId="164" fontId="17" fillId="7" borderId="33" applyAlignment="1" pivotButton="0" quotePrefix="0" xfId="0">
      <alignment horizontal="center" vertical="center"/>
    </xf>
    <xf numFmtId="0" fontId="18" fillId="8" borderId="32" applyAlignment="1" pivotButton="0" quotePrefix="0" xfId="0">
      <alignment horizontal="center" vertical="center" wrapText="1"/>
    </xf>
    <xf numFmtId="164" fontId="18" fillId="8" borderId="0" applyAlignment="1" pivotButton="0" quotePrefix="0" xfId="0">
      <alignment horizontal="center" vertical="center"/>
    </xf>
    <xf numFmtId="0" fontId="18" fillId="8" borderId="33" applyAlignment="1" pivotButton="0" quotePrefix="0" xfId="0">
      <alignment horizontal="center" vertical="center"/>
    </xf>
    <xf numFmtId="0" fontId="3" fillId="3" borderId="32" applyAlignment="1" pivotButton="0" quotePrefix="0" xfId="0">
      <alignment horizontal="center" vertical="center" wrapText="1"/>
    </xf>
    <xf numFmtId="0" fontId="4" fillId="0" borderId="33" pivotButton="0" quotePrefix="0" xfId="0"/>
    <xf numFmtId="0" fontId="1" fillId="0" borderId="32" applyAlignment="1" pivotButton="0" quotePrefix="0" xfId="0">
      <alignment horizontal="center" vertical="center"/>
    </xf>
    <xf numFmtId="0" fontId="1" fillId="0" borderId="33" applyAlignment="1" pivotButton="0" quotePrefix="0" xfId="0">
      <alignment vertical="center"/>
    </xf>
    <xf numFmtId="0" fontId="3" fillId="3" borderId="35" applyAlignment="1" pivotButton="0" quotePrefix="0" xfId="0">
      <alignment horizontal="center" vertical="center" wrapText="1"/>
    </xf>
    <xf numFmtId="0" fontId="4" fillId="0" borderId="36" pivotButton="0" quotePrefix="0" xfId="0"/>
    <xf numFmtId="0" fontId="4" fillId="0" borderId="37" pivotButton="0" quotePrefix="0" xfId="0"/>
    <xf numFmtId="167" fontId="1" fillId="0" borderId="0" applyAlignment="1" pivotButton="0" quotePrefix="0" xfId="0">
      <alignment horizontal="center" vertical="center"/>
    </xf>
    <xf numFmtId="167" fontId="2" fillId="0" borderId="3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15" fillId="7" borderId="38" applyAlignment="1" pivotButton="0" quotePrefix="0" xfId="0">
      <alignment horizontal="center" vertical="center" wrapText="1"/>
    </xf>
    <xf numFmtId="164" fontId="1" fillId="7" borderId="39" applyAlignment="1" pivotButton="0" quotePrefix="0" xfId="0">
      <alignment horizontal="center" vertical="center"/>
    </xf>
    <xf numFmtId="49" fontId="1" fillId="7" borderId="39" applyAlignment="1" pivotButton="0" quotePrefix="0" xfId="0">
      <alignment horizontal="center" vertical="center"/>
    </xf>
    <xf numFmtId="164" fontId="1" fillId="7" borderId="40" applyAlignment="1" pivotButton="0" quotePrefix="0" xfId="0">
      <alignment horizontal="center" vertical="center"/>
    </xf>
    <xf numFmtId="0" fontId="35" fillId="0" borderId="0" applyAlignment="1" pivotButton="0" quotePrefix="0" xfId="0">
      <alignment vertical="bottom"/>
    </xf>
    <xf numFmtId="0" fontId="35" fillId="0" borderId="0" applyAlignment="1" pivotButton="0" quotePrefix="0" xfId="0">
      <alignment horizontal="right" vertical="bottom"/>
    </xf>
    <xf numFmtId="0" fontId="35" fillId="0" borderId="0" applyAlignment="1" pivotButton="0" quotePrefix="0" xfId="0">
      <alignment vertical="bottom"/>
    </xf>
    <xf numFmtId="0" fontId="1" fillId="0" borderId="22" pivotButton="0" quotePrefix="0" xfId="0"/>
    <xf numFmtId="0" fontId="1" fillId="0" borderId="23" applyAlignment="1" pivotButton="0" quotePrefix="0" xfId="0">
      <alignment horizontal="center" wrapText="1"/>
    </xf>
    <xf numFmtId="0" fontId="1" fillId="6" borderId="23" applyAlignment="1" pivotButton="0" quotePrefix="0" xfId="0">
      <alignment horizontal="center" vertical="center" wrapText="1"/>
    </xf>
    <xf numFmtId="0" fontId="1" fillId="6" borderId="24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1" fillId="0" borderId="25" pivotButton="0" quotePrefix="0" xfId="0"/>
    <xf numFmtId="0" fontId="1" fillId="0" borderId="11" applyAlignment="1" pivotButton="0" quotePrefix="0" xfId="0">
      <alignment horizontal="center" wrapText="1"/>
    </xf>
    <xf numFmtId="0" fontId="35" fillId="0" borderId="0" applyAlignment="1" pivotButton="0" quotePrefix="0" xfId="0">
      <alignment vertical="bottom"/>
    </xf>
    <xf numFmtId="164" fontId="1" fillId="0" borderId="41" applyAlignment="1" pivotButton="0" quotePrefix="0" xfId="0">
      <alignment horizontal="center" vertical="center"/>
    </xf>
    <xf numFmtId="164" fontId="2" fillId="0" borderId="41" applyAlignment="1" pivotButton="0" quotePrefix="0" xfId="0">
      <alignment horizontal="center" vertical="center"/>
    </xf>
    <xf numFmtId="0" fontId="36" fillId="0" borderId="0" applyAlignment="1" pivotButton="0" quotePrefix="0" xfId="0">
      <alignment vertical="bottom"/>
    </xf>
    <xf numFmtId="0" fontId="37" fillId="0" borderId="0" pivotButton="0" quotePrefix="0" xfId="0"/>
    <xf numFmtId="0" fontId="36" fillId="0" borderId="0" applyAlignment="1" pivotButton="0" quotePrefix="0" xfId="0">
      <alignment vertical="bottom"/>
    </xf>
    <xf numFmtId="164" fontId="2" fillId="0" borderId="41" applyAlignment="1" pivotButton="0" quotePrefix="0" xfId="0">
      <alignment horizontal="center" vertical="center"/>
    </xf>
    <xf numFmtId="0" fontId="26" fillId="0" borderId="0" pivotButton="0" quotePrefix="0" xfId="0"/>
    <xf numFmtId="164" fontId="1" fillId="0" borderId="42" applyAlignment="1" pivotButton="0" quotePrefix="0" xfId="0">
      <alignment horizontal="center" vertical="center"/>
    </xf>
    <xf numFmtId="164" fontId="2" fillId="0" borderId="42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  <xf numFmtId="0" fontId="1" fillId="10" borderId="1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/>
    </xf>
    <xf numFmtId="9" fontId="1" fillId="10" borderId="0" applyAlignment="1" pivotButton="0" quotePrefix="0" xfId="0">
      <alignment horizontal="center"/>
    </xf>
    <xf numFmtId="0" fontId="0" fillId="0" borderId="0" pivotButton="0" quotePrefix="0" xfId="0"/>
    <xf numFmtId="0" fontId="3" fillId="3" borderId="4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0" borderId="11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9" fillId="9" borderId="43" applyAlignment="1" pivotButton="0" quotePrefix="0" xfId="0">
      <alignment horizontal="center" vertical="center" wrapText="1"/>
    </xf>
    <xf numFmtId="0" fontId="23" fillId="4" borderId="45" applyAlignment="1" pivotButton="0" quotePrefix="0" xfId="0">
      <alignment horizontal="center" vertical="center"/>
    </xf>
    <xf numFmtId="0" fontId="0" fillId="0" borderId="23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10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3" fillId="3" borderId="46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6" fillId="0" borderId="1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1" fillId="0" borderId="34" applyAlignment="1" pivotButton="0" quotePrefix="0" xfId="0">
      <alignment horizontal="center" vertical="center" wrapText="1"/>
    </xf>
    <xf numFmtId="0" fontId="0" fillId="0" borderId="34" pivotButton="0" quotePrefix="0" xfId="0"/>
    <xf numFmtId="0" fontId="3" fillId="3" borderId="48" applyAlignment="1" pivotButton="0" quotePrefix="0" xfId="0">
      <alignment horizontal="center" vertical="center" wrapText="1"/>
    </xf>
    <xf numFmtId="0" fontId="0" fillId="0" borderId="33" pivotButton="0" quotePrefix="0" xfId="0"/>
    <xf numFmtId="0" fontId="3" fillId="3" borderId="49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1" fillId="6" borderId="5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</cellXfs>
  <cellStyles count="1">
    <cellStyle name="Normal" xfId="0" builtinId="0"/>
  </cellStyles>
  <dxfs count="6">
    <dxf>
      <font>
        <color rgb="FFFFFFFF"/>
      </font>
      <fill>
        <patternFill/>
      </fill>
      <border/>
    </dxf>
    <dxf>
      <font>
        <color rgb="FF000000"/>
      </font>
      <fill>
        <patternFill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 val="1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EFEFEF"/>
      </font>
      <fill>
        <patternFill patternType="solid">
          <fgColor rgb="FFEFEFEF"/>
          <bgColor rgb="FFEFEFE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Z1032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38" customWidth="1" style="241" min="1" max="1"/>
    <col width="6.88" customWidth="1" style="241" min="2" max="4"/>
    <col width="2.63" customWidth="1" style="241" min="5" max="6"/>
    <col width="2.38" customWidth="1" style="241" min="8" max="8"/>
    <col width="4.25" customWidth="1" style="241" min="10" max="10"/>
    <col width="11.75" customWidth="1" style="241" min="11" max="11"/>
    <col width="4.13" customWidth="1" style="241" min="12" max="12"/>
    <col width="14.75" customWidth="1" style="241" min="13" max="13"/>
    <col width="10.63" customWidth="1" style="241" min="14" max="14"/>
    <col width="12.38" customWidth="1" style="241" min="15" max="15"/>
    <col width="12.25" customWidth="1" style="241" min="16" max="16"/>
    <col width="12.38" customWidth="1" style="241" min="17" max="18"/>
    <col width="12.25" customWidth="1" style="241" min="19" max="19"/>
    <col width="12.38" customWidth="1" style="241" min="20" max="20"/>
    <col width="11.75" customWidth="1" style="241" min="21" max="21"/>
    <col width="12.25" customWidth="1" style="241" min="22" max="22"/>
    <col width="12" customWidth="1" style="241" min="23" max="23"/>
    <col width="12.5" customWidth="1" style="241" min="24" max="24"/>
    <col hidden="1" width="10.63" customWidth="1" style="241" min="25" max="26"/>
    <col hidden="1" width="13.5" customWidth="1" style="241" min="27" max="29"/>
    <col hidden="1" width="69" customWidth="1" style="241" min="30" max="30"/>
    <col hidden="1" width="28.5" customWidth="1" style="241" min="31" max="31"/>
    <col hidden="1" width="12.25" customWidth="1" style="241" min="32" max="32"/>
    <col hidden="1" width="24.5" customWidth="1" style="241" min="33" max="33"/>
    <col hidden="1" width="7" customWidth="1" style="241" min="34" max="41"/>
    <col hidden="1" width="12.63" customWidth="1" style="241" min="42" max="52"/>
  </cols>
  <sheetData>
    <row r="1" ht="29.25" customHeight="1" s="241">
      <c r="A1" s="144" t="inlineStr">
        <is>
          <t>!</t>
        </is>
      </c>
      <c r="B1" s="2" t="n"/>
      <c r="C1" s="2" t="n"/>
      <c r="D1" s="5" t="n"/>
      <c r="E1" s="10" t="n"/>
      <c r="F1" s="10" t="n"/>
      <c r="G1" s="10" t="n"/>
      <c r="H1" s="5" t="n"/>
      <c r="I1" s="5" t="n"/>
      <c r="K1" s="6" t="n"/>
      <c r="L1" s="5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</row>
    <row r="2" ht="18.75" customHeight="1" s="241">
      <c r="B2" s="2" t="n"/>
      <c r="D2" s="5" t="n"/>
      <c r="E2" s="10" t="n"/>
      <c r="F2" s="10" t="n"/>
      <c r="G2" s="5" t="n"/>
      <c r="H2" s="5" t="n"/>
      <c r="I2" s="7">
        <f>IF(LEN(I3)=5,VLOOKUP(LEFT(I3,2),AuxCP!C:E,3,0),VLOOKUP("0"&amp;LEFT(I3,1),AuxCP!C:E,3,0))</f>
        <v/>
      </c>
      <c r="K2" s="6" t="inlineStr">
        <is>
          <t>Zona</t>
        </is>
      </c>
      <c r="L2" s="5" t="n"/>
      <c r="N2" s="144" t="inlineStr">
        <is>
          <t>COPAGO</t>
        </is>
      </c>
      <c r="O2" s="180" t="inlineStr">
        <is>
          <t>COPAGO</t>
        </is>
      </c>
      <c r="P2" s="180" t="inlineStr">
        <is>
          <t>COPAGO</t>
        </is>
      </c>
      <c r="Q2" s="6" t="inlineStr">
        <is>
          <t>COPAGO</t>
        </is>
      </c>
      <c r="R2" s="6" t="n"/>
      <c r="S2" s="6" t="n"/>
      <c r="T2" s="6" t="n"/>
      <c r="U2" s="6" t="inlineStr">
        <is>
          <t>COPAGO</t>
        </is>
      </c>
      <c r="V2" s="6" t="inlineStr">
        <is>
          <t>COPAGO</t>
        </is>
      </c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</row>
    <row r="3" ht="27" customHeight="1" s="241">
      <c r="A3" s="58" t="n"/>
      <c r="B3" s="10" t="n"/>
      <c r="C3" s="10" t="n"/>
      <c r="D3" s="10" t="n"/>
      <c r="E3" s="10" t="n"/>
      <c r="F3" s="10" t="n"/>
      <c r="G3" s="10" t="inlineStr">
        <is>
          <t>CP</t>
        </is>
      </c>
      <c r="H3" s="10" t="n"/>
      <c r="I3" s="11" t="n">
        <v>46019</v>
      </c>
      <c r="J3" s="10" t="n"/>
      <c r="K3" s="12" t="n">
        <v>2</v>
      </c>
      <c r="L3" s="10" t="n"/>
      <c r="M3" s="242" t="inlineStr">
        <is>
          <t>COTIZACIÓN</t>
        </is>
      </c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4" t="n"/>
      <c r="Y3" s="16" t="n"/>
      <c r="Z3" s="16" t="n"/>
      <c r="AA3" s="16" t="n"/>
      <c r="AB3" s="16" t="n"/>
      <c r="AC3" s="17" t="n"/>
      <c r="AD3" s="58" t="n"/>
      <c r="AE3" s="18" t="inlineStr">
        <is>
          <t>PROMOCIONES ACTUALES</t>
        </is>
      </c>
      <c r="AF3" s="18" t="inlineStr">
        <is>
          <t>Asegurados</t>
        </is>
      </c>
      <c r="AG3" s="18" t="inlineStr">
        <is>
          <t>Promo</t>
        </is>
      </c>
      <c r="AH3" s="58" t="n"/>
      <c r="AI3" s="58" t="n"/>
      <c r="AJ3" s="58" t="n"/>
      <c r="AK3" s="58" t="n"/>
      <c r="AL3" s="58" t="n"/>
      <c r="AM3" s="58" t="n"/>
      <c r="AN3" s="58" t="n"/>
      <c r="AO3" s="58" t="n"/>
      <c r="AP3" s="58" t="n"/>
      <c r="AQ3" s="58" t="n"/>
      <c r="AR3" s="58" t="n"/>
      <c r="AS3" s="58" t="n"/>
      <c r="AT3" s="58" t="n"/>
      <c r="AU3" s="58" t="n"/>
      <c r="AV3" s="58" t="n"/>
      <c r="AW3" s="58" t="n"/>
      <c r="AX3" s="58" t="n"/>
      <c r="AY3" s="58" t="n"/>
      <c r="AZ3" s="58" t="n"/>
    </row>
    <row r="4" ht="20.25" customHeight="1" s="241">
      <c r="B4" s="5" t="inlineStr">
        <is>
          <t>Fecha nacimiento</t>
        </is>
      </c>
      <c r="E4" s="10" t="n"/>
      <c r="F4" s="10" t="n"/>
      <c r="G4" s="5" t="inlineStr">
        <is>
          <t>Edad</t>
        </is>
      </c>
      <c r="H4" s="5" t="n"/>
      <c r="I4" s="5" t="n"/>
      <c r="K4" s="245" t="inlineStr">
        <is>
          <t>DESCUENTOS</t>
        </is>
      </c>
      <c r="L4" s="5" t="n"/>
      <c r="M4" s="20" t="n"/>
      <c r="N4" s="246" t="inlineStr">
        <is>
          <t>Go</t>
        </is>
      </c>
      <c r="O4" s="247" t="inlineStr">
        <is>
          <t>Plena Vital</t>
        </is>
      </c>
      <c r="P4" s="248" t="inlineStr">
        <is>
          <t>Plena Total Vital</t>
        </is>
      </c>
      <c r="Q4" s="247" t="inlineStr">
        <is>
          <t>Adeslas Plena</t>
        </is>
      </c>
      <c r="R4" s="247" t="inlineStr">
        <is>
          <t>Adeslas Plena Plus</t>
        </is>
      </c>
      <c r="S4" s="248" t="inlineStr">
        <is>
          <t>Adeslas Plena Total</t>
        </is>
      </c>
      <c r="T4" s="247" t="inlineStr">
        <is>
          <t>Adeslas Plena Extra 150</t>
        </is>
      </c>
      <c r="U4" s="249" t="inlineStr">
        <is>
          <t>Adeslas Seniors</t>
        </is>
      </c>
      <c r="V4" s="249" t="inlineStr">
        <is>
          <t>Adeslas Plena Total Seniors</t>
        </is>
      </c>
      <c r="W4" s="247" t="inlineStr">
        <is>
          <t>Adeslas NIF</t>
        </is>
      </c>
      <c r="X4" s="250" t="inlineStr">
        <is>
          <t>Adeslas Pymes TOTAL</t>
        </is>
      </c>
      <c r="Y4" s="251" t="inlineStr">
        <is>
          <t>Adeslas Extra NIF</t>
        </is>
      </c>
      <c r="Z4" s="251" t="inlineStr">
        <is>
          <t>Adeslas CIF</t>
        </is>
      </c>
      <c r="AA4" s="251" t="inlineStr">
        <is>
          <t>Adeslas Extra CIF</t>
        </is>
      </c>
      <c r="AB4" s="251" t="inlineStr">
        <is>
          <t>Adeslas Empresas</t>
        </is>
      </c>
      <c r="AC4" s="252" t="inlineStr">
        <is>
          <t>Adeslas Extra Empresas</t>
        </is>
      </c>
      <c r="AD4" s="58" t="n"/>
      <c r="AE4" s="28" t="inlineStr">
        <is>
          <t>Plurianuales</t>
        </is>
      </c>
      <c r="AF4" s="29" t="n">
        <v>1</v>
      </c>
      <c r="AG4" s="28" t="inlineStr">
        <is>
          <t>2 meses gratis</t>
        </is>
      </c>
      <c r="AH4" s="58" t="n"/>
      <c r="AI4" s="58" t="n"/>
      <c r="AJ4" s="58" t="n"/>
      <c r="AK4" s="58" t="n"/>
      <c r="AL4" s="58" t="n"/>
      <c r="AM4" s="58" t="n"/>
      <c r="AN4" s="58" t="n"/>
      <c r="AO4" s="58" t="n"/>
      <c r="AP4" s="58" t="n"/>
    </row>
    <row r="5" ht="20.25" customHeight="1" s="241">
      <c r="A5" s="58" t="n"/>
      <c r="B5" s="30" t="inlineStr">
        <is>
          <t>Día</t>
        </is>
      </c>
      <c r="C5" s="30" t="inlineStr">
        <is>
          <t>Mes</t>
        </is>
      </c>
      <c r="D5" s="30" t="inlineStr">
        <is>
          <t>Año</t>
        </is>
      </c>
      <c r="E5" s="10" t="n"/>
      <c r="F5" s="10" t="n"/>
      <c r="G5" s="30" t="n"/>
      <c r="H5" s="31" t="n"/>
      <c r="I5" s="32" t="inlineStr">
        <is>
          <t>Edad</t>
        </is>
      </c>
      <c r="J5" s="58" t="n"/>
      <c r="K5" s="253" t="n"/>
      <c r="L5" s="10" t="n"/>
      <c r="M5" s="34" t="n"/>
      <c r="N5" s="254" t="n"/>
      <c r="O5" s="254" t="n"/>
      <c r="P5" s="254" t="n"/>
      <c r="Q5" s="254" t="n"/>
      <c r="R5" s="254" t="n"/>
      <c r="S5" s="254" t="n"/>
      <c r="T5" s="254" t="n"/>
      <c r="U5" s="254" t="n"/>
      <c r="V5" s="254" t="n"/>
      <c r="W5" s="254" t="n"/>
      <c r="X5" s="255" t="n"/>
      <c r="Y5" s="253" t="n"/>
      <c r="Z5" s="253" t="n"/>
      <c r="AA5" s="253" t="n"/>
      <c r="AB5" s="253" t="n"/>
      <c r="AC5" s="256" t="n"/>
      <c r="AD5" s="58" t="n"/>
      <c r="AE5" s="28" t="inlineStr">
        <is>
          <t>Plurianuales</t>
        </is>
      </c>
      <c r="AF5" s="29" t="inlineStr">
        <is>
          <t>&gt;=2</t>
        </is>
      </c>
      <c r="AG5" s="28" t="inlineStr">
        <is>
          <t>3 meses gratis (2 el primer año)</t>
        </is>
      </c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R5" s="58" t="n"/>
      <c r="AS5" s="58" t="n"/>
      <c r="AT5" s="58" t="n"/>
      <c r="AU5" s="58" t="n"/>
      <c r="AV5" s="58" t="n"/>
      <c r="AW5" s="58" t="n"/>
      <c r="AX5" s="58" t="n"/>
      <c r="AY5" s="58" t="n"/>
    </row>
    <row r="6" ht="34.5" customHeight="1" s="241">
      <c r="A6" s="38" t="n">
        <v>1</v>
      </c>
      <c r="B6" s="69" t="n"/>
      <c r="C6" s="69" t="n"/>
      <c r="D6" s="69" t="n"/>
      <c r="E6" s="10" t="n"/>
      <c r="F6" s="10" t="n"/>
      <c r="G6" s="40" t="n">
        <v>33</v>
      </c>
      <c r="H6" s="10" t="n"/>
      <c r="I6" s="41" t="n">
        <v>33</v>
      </c>
      <c r="J6" s="10" t="n"/>
      <c r="K6" s="42">
        <f>IF(K10="Sí",0.06+K8,K8)</f>
        <v/>
      </c>
      <c r="L6" s="5" t="n"/>
      <c r="M6" s="43" t="inlineStr">
        <is>
          <t>SIN DENTAL</t>
        </is>
      </c>
      <c r="N6" s="44">
        <f>IF((SUM(N57:N71))=0,"",SUM(N57:N71))</f>
        <v/>
      </c>
      <c r="O6" s="44">
        <f>IF((SUM(O21:O35))=0,"",SUM(O21:O35))</f>
        <v/>
      </c>
      <c r="P6" s="45" t="n"/>
      <c r="Q6" s="44">
        <f>IF((SUM(Q21:Q35))=0,"",SUM(Q21:Q35))</f>
        <v/>
      </c>
      <c r="R6" s="44">
        <f>IF((SUM(R21:R35))=0,"",SUM(R21:R35))</f>
        <v/>
      </c>
      <c r="S6" s="45" t="n"/>
      <c r="T6" s="44">
        <f>IF((SUM(T21:T35))=0,"",SUM(T21:T35))</f>
        <v/>
      </c>
      <c r="U6" s="46">
        <f>IF(SUM(U21:U35)=0,"",IF(COUNT($I$6:$I$20)&gt;=4,SUM(U21:U35)*0.9, SUM(U21:U35)))</f>
        <v/>
      </c>
      <c r="V6" s="45" t="n"/>
      <c r="W6" s="44">
        <f>IF((SUM(W21:W35))=0,"",SUM(W21:W35))</f>
        <v/>
      </c>
      <c r="X6" s="47" t="n"/>
      <c r="Y6" s="48">
        <f>IF(COUNT($I$6:$I$13)&gt;4,SUM(Y21:Y28)*0.9, SUM(Y21:Y28))</f>
        <v/>
      </c>
      <c r="Z6" s="48">
        <f>IF(COUNT($I$6:$I$13)&gt;4,SUM(Z21:Z28)*0.9, SUM(Z21:Z28))</f>
        <v/>
      </c>
      <c r="AA6" s="48">
        <f>IF(COUNT($I$6:$I$13)&gt;4,SUM(AA21:AA28)*0.9, SUM(AA21:AA28))</f>
        <v/>
      </c>
      <c r="AB6" s="48">
        <f>IF(COUNT($I$6:$I$13)&gt;4,SUM(AB21:AB28)*0.9, SUM(AB21:AB28))</f>
        <v/>
      </c>
      <c r="AC6" s="49">
        <f>IF(COUNT($I$6:$I$13)&gt;4,SUM(AC21:AC28)*0.9, SUM(AC21:AC28))</f>
        <v/>
      </c>
      <c r="AE6" s="50" t="inlineStr">
        <is>
          <t>Anuales Sin dental</t>
        </is>
      </c>
      <c r="AF6" s="51" t="n">
        <v>1</v>
      </c>
      <c r="AG6" s="28" t="inlineStr">
        <is>
          <t>1 mes gratis</t>
        </is>
      </c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8" t="n"/>
      <c r="AT6" s="58" t="n"/>
      <c r="AU6" s="58" t="n"/>
      <c r="AV6" s="10" t="n"/>
      <c r="AW6" s="10" t="n"/>
      <c r="AX6" s="10" t="n"/>
    </row>
    <row r="7" ht="34.5" customHeight="1" s="241">
      <c r="A7" s="38" t="n">
        <v>2</v>
      </c>
      <c r="B7" s="69" t="n"/>
      <c r="C7" s="69" t="n"/>
      <c r="D7" s="69" t="n"/>
      <c r="E7" s="10" t="n"/>
      <c r="F7" s="10" t="n"/>
      <c r="G7" s="40" t="n">
        <v>43</v>
      </c>
      <c r="H7" s="10" t="n"/>
      <c r="I7" s="41" t="n">
        <v>43</v>
      </c>
      <c r="J7" s="10" t="n"/>
      <c r="K7" s="52" t="inlineStr">
        <is>
          <t>Descuento contra comisión</t>
        </is>
      </c>
      <c r="L7" s="5" t="n"/>
      <c r="M7" s="53" t="inlineStr">
        <is>
          <t>CON DENTAL</t>
        </is>
      </c>
      <c r="N7" s="54">
        <f>IF((SUM(N75:N89))=0,"",SUM(N75:N89))</f>
        <v/>
      </c>
      <c r="O7" s="54">
        <f>IF((SUM(O39:O53))=0,"",SUM(O39:O53))</f>
        <v/>
      </c>
      <c r="P7" s="54">
        <f>IF((SUM(P39:P53))=0,"",SUM(P39:P53))</f>
        <v/>
      </c>
      <c r="Q7" s="54">
        <f>IF((SUM(Q39:Q53))=0,"",SUM(Q39:Q53))</f>
        <v/>
      </c>
      <c r="R7" s="54">
        <f>IF((SUM(R39:R53))=0,"",SUM(R39:R53))</f>
        <v/>
      </c>
      <c r="S7" s="54">
        <f>IF((SUM(S39:S53))=0,"",SUM(S39:S53))</f>
        <v/>
      </c>
      <c r="T7" s="54">
        <f>IF((SUM(T39:T53))=0,"",SUM(T39:T53))</f>
        <v/>
      </c>
      <c r="U7" s="54">
        <f>IF((SUM(U39:U53))=0,"",SUM(U39:U53))</f>
        <v/>
      </c>
      <c r="V7" s="54">
        <f>IF((SUM(V39:V53))=0,"",SUM(V39:V53))</f>
        <v/>
      </c>
      <c r="W7" s="54">
        <f>IF((SUM(W39:W53))=0,"",SUM(W39:W53))</f>
        <v/>
      </c>
      <c r="X7" s="55">
        <f>IF((SUM(X39:X53))=0,"",SUM(X39:X53))</f>
        <v/>
      </c>
      <c r="Y7" s="54">
        <f>IF(OR(Y$6="",Y$6=0),"",Y6+VLOOKUP(COUNT($I$6:$I$13),Precios!$F:$H,3,0))</f>
        <v/>
      </c>
      <c r="Z7" s="56" t="n"/>
      <c r="AA7" s="56" t="n"/>
      <c r="AB7" s="56" t="n"/>
      <c r="AC7" s="57" t="n"/>
      <c r="AD7" s="58" t="n"/>
      <c r="AE7" s="50" t="inlineStr">
        <is>
          <t>Anuales Sin dental</t>
        </is>
      </c>
      <c r="AF7" s="29" t="inlineStr">
        <is>
          <t>&gt;=2</t>
        </is>
      </c>
      <c r="AG7" s="28" t="inlineStr">
        <is>
          <t>2 meses gratis (1 el primer año)</t>
        </is>
      </c>
      <c r="AH7" s="58" t="n"/>
      <c r="AI7" s="58" t="n"/>
      <c r="AJ7" s="58" t="n"/>
      <c r="AK7" s="58" t="n"/>
      <c r="AL7" s="58" t="n"/>
      <c r="AM7" s="58" t="n"/>
      <c r="AN7" s="58" t="n"/>
      <c r="AO7" s="58" t="n"/>
      <c r="AP7" s="58" t="n"/>
      <c r="AQ7" s="58" t="n"/>
      <c r="AR7" s="58" t="n"/>
      <c r="AS7" s="58" t="n"/>
      <c r="AT7" s="58" t="n"/>
      <c r="AU7" s="58" t="n"/>
      <c r="AV7" s="10" t="n"/>
      <c r="AW7" s="10" t="n"/>
      <c r="AX7" s="10" t="n"/>
    </row>
    <row r="8" ht="34.5" customHeight="1" s="241">
      <c r="A8" s="38" t="n">
        <v>3</v>
      </c>
      <c r="B8" s="69" t="n"/>
      <c r="C8" s="69" t="n"/>
      <c r="D8" s="69" t="n"/>
      <c r="E8" s="10" t="n"/>
      <c r="F8" s="10" t="n"/>
      <c r="G8" s="40" t="n">
        <v>55</v>
      </c>
      <c r="H8" s="10" t="n"/>
      <c r="I8" s="41" t="n">
        <v>55</v>
      </c>
      <c r="J8" s="10" t="n"/>
      <c r="K8" s="59" t="n">
        <v>0</v>
      </c>
      <c r="L8" s="5" t="n"/>
      <c r="M8" s="60" t="inlineStr">
        <is>
          <t>PRECIO SIN DESCUENTO</t>
        </is>
      </c>
      <c r="N8" s="61" t="n"/>
      <c r="O8" s="61" t="n"/>
      <c r="P8" s="62">
        <f>IF(SUM(P75:P89)=0,"",SUM(P75:P89))</f>
        <v/>
      </c>
      <c r="Q8" s="61" t="n"/>
      <c r="R8" s="61" t="n"/>
      <c r="S8" s="62">
        <f>IF(SUM(S75:S89)=0,"",SUM(S75:S89))</f>
        <v/>
      </c>
      <c r="T8" s="61" t="n"/>
      <c r="U8" s="61" t="n"/>
      <c r="V8" s="61">
        <f>IF(SUM(V75:V89)=0,"",SUM(V75:V89))</f>
        <v/>
      </c>
      <c r="W8" s="61" t="n"/>
      <c r="X8" s="63">
        <f>IF(SUM(X75:X89)=0,"",SUM(X75:X89))</f>
        <v/>
      </c>
      <c r="Y8" s="64" t="n"/>
      <c r="Z8" s="64" t="n"/>
      <c r="AA8" s="64" t="n"/>
      <c r="AB8" s="64" t="n"/>
      <c r="AC8" s="65" t="n"/>
      <c r="AD8" s="58" t="n"/>
      <c r="AE8" s="50" t="inlineStr">
        <is>
          <t>Anuales Con dental</t>
        </is>
      </c>
      <c r="AF8" s="51" t="n">
        <v>1</v>
      </c>
      <c r="AG8" s="28" t="inlineStr">
        <is>
          <t>2 meses gratis</t>
        </is>
      </c>
      <c r="AH8" s="58" t="n"/>
      <c r="AI8" s="58" t="n"/>
      <c r="AJ8" s="58" t="n"/>
      <c r="AK8" s="58" t="n"/>
      <c r="AL8" s="58" t="n"/>
      <c r="AM8" s="58" t="n"/>
      <c r="AN8" s="58" t="n"/>
      <c r="AO8" s="58" t="n"/>
      <c r="AP8" s="58" t="n"/>
      <c r="AQ8" s="58" t="n"/>
      <c r="AR8" s="58" t="n"/>
      <c r="AS8" s="58" t="n"/>
      <c r="AT8" s="58" t="n"/>
      <c r="AU8" s="58" t="n"/>
      <c r="AV8" s="10" t="n"/>
      <c r="AW8" s="10" t="n"/>
      <c r="AX8" s="10" t="n"/>
    </row>
    <row r="9" ht="34.5" customHeight="1" s="241">
      <c r="A9" s="38" t="n">
        <v>4</v>
      </c>
      <c r="B9" s="69" t="n"/>
      <c r="C9" s="69" t="n"/>
      <c r="D9" s="69" t="n"/>
      <c r="E9" s="10" t="n"/>
      <c r="F9" s="10" t="n"/>
      <c r="G9" s="40" t="n">
        <v>66</v>
      </c>
      <c r="H9" s="10" t="n"/>
      <c r="I9" s="41" t="n">
        <v>66</v>
      </c>
      <c r="J9" s="10" t="n"/>
      <c r="K9" s="52" t="inlineStr">
        <is>
          <t>¿Es Anual?</t>
        </is>
      </c>
      <c r="L9" s="5" t="n"/>
      <c r="M9" s="257" t="inlineStr">
        <is>
          <t>PRIMA ANUAL</t>
        </is>
      </c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5" t="n"/>
      <c r="Y9" s="67" t="n"/>
      <c r="Z9" s="67" t="n"/>
      <c r="AA9" s="67" t="n"/>
      <c r="AB9" s="67" t="n"/>
      <c r="AC9" s="68" t="n"/>
      <c r="AD9" s="58" t="n"/>
      <c r="AE9" s="58" t="n"/>
      <c r="AF9" s="58" t="n"/>
      <c r="AG9" s="58" t="n"/>
      <c r="AH9" s="58" t="n"/>
      <c r="AI9" s="58" t="n"/>
      <c r="AJ9" s="58" t="n"/>
      <c r="AK9" s="58" t="n"/>
      <c r="AL9" s="58" t="n"/>
      <c r="AM9" s="58" t="n"/>
      <c r="AN9" s="58" t="n"/>
      <c r="AO9" s="58" t="n"/>
      <c r="AP9" s="58" t="n"/>
      <c r="AQ9" s="58" t="n"/>
      <c r="AR9" s="58" t="n"/>
      <c r="AS9" s="10" t="n"/>
      <c r="AT9" s="10" t="n"/>
      <c r="AU9" s="10" t="n"/>
    </row>
    <row r="10" ht="39.75" customHeight="1" s="241">
      <c r="A10" s="38" t="n">
        <v>5</v>
      </c>
      <c r="B10" s="69" t="n"/>
      <c r="C10" s="69" t="n"/>
      <c r="D10" s="69" t="n"/>
      <c r="E10" s="10" t="n"/>
      <c r="F10" s="10" t="n"/>
      <c r="G10" s="69" t="n"/>
      <c r="H10" s="10" t="n"/>
      <c r="I10" s="31" t="n"/>
      <c r="J10" s="10" t="n"/>
      <c r="K10" s="192" t="inlineStr">
        <is>
          <t>No</t>
        </is>
      </c>
      <c r="L10" s="71" t="n"/>
      <c r="M10" s="43" t="inlineStr">
        <is>
          <t>SIN DENTAL</t>
        </is>
      </c>
      <c r="N10" s="72">
        <f>IF((SUM(N57:N71)*12)=0,"",SUM(N57:N71)*12)</f>
        <v/>
      </c>
      <c r="O10" s="73">
        <f>IF((SUM(O21:O35)*12)=0,"",SUM(O21:O35)*12)</f>
        <v/>
      </c>
      <c r="P10" s="45" t="n"/>
      <c r="Q10" s="73">
        <f>IF((SUM(Q21:Q35)*12)=0,"",SUM(Q21:Q35)*12)</f>
        <v/>
      </c>
      <c r="R10" s="73">
        <f>IF((SUM(R21:R35)*12)=0,"",SUM(R21:R35)*12)</f>
        <v/>
      </c>
      <c r="S10" s="45" t="n"/>
      <c r="T10" s="73">
        <f>IF((SUM(T21:T35)*12)=0,"",SUM(T21:T35)*12)</f>
        <v/>
      </c>
      <c r="U10" s="73">
        <f>IF(IFERROR(IF(AND($K$8&gt;1%,$K$10="Sí"),U$57*(1-($K$6-$K$8))*(1-$K$8)*12,IF(AND($K$6&gt;0%,$K$6&lt;11%),U$57*(1-$K$6)*12,IF($K$6=0,U$57*12))),"")=0,"",IFERROR(IF(AND($K$8&gt;1%,$K$10="Sí"),U$57*(1-($K$6-$K$8))*(1-$K$8)*12,IF(AND($K$6&gt;0%,$K$6&lt;11%),U$57*(1-$K$6)*12,IF($K$6=0,U$57*12))),""))</f>
        <v/>
      </c>
      <c r="V10" s="45" t="n"/>
      <c r="W10" s="73">
        <f>IF((SUM(W21:W35)*12)=0,"",SUM(W21:W35)*12)</f>
        <v/>
      </c>
      <c r="X10" s="47" t="n"/>
      <c r="Y10" s="74">
        <f>IFERROR(IF(IF(AND($K$8&gt;1%,$K$10="Sí"),Y$57*(1-($K$6-$K$8))*(1-$K$8)*12,IF(AND($K$6&gt;0%,$K$6&lt;11%),Y$57*(1-$K$6)*12,IF($K$6=0,Y$57*12)))=0,"",IF(AND($K$8&gt;1%,$K$10="Sí"),Y$57*(1-($K$6-$K$8))*(1-$K$8)*12,IF(AND($K$6&gt;0%,$K$6&lt;11%),Y$57*(1-$K$6)*12,IF($K$6=0,Y$57*12)))),"")</f>
        <v/>
      </c>
      <c r="Z10" s="74">
        <f>IFERROR(IF(AND($K$8&gt;1%,$K$10="Sí"),Z$57*(1-($K$6-$K$8))*(1-$K$8)*12,IF(AND($K$6&gt;0%,$K$6&lt;11%),Z$57*(1-$K$6)*12,IF($K$6=0,Z$57*12))),"")</f>
        <v/>
      </c>
      <c r="AA10" s="74">
        <f>IFERROR(IF(AND($K$8&gt;1%,$K$10="Sí"),AA$57*(1-($K$6-$K$8))*(1-$K$8)*12,IF(AND($K$6&gt;0%,$K$6&lt;11%),AA$57*(1-$K$6)*12,IF($K$6=0,AA$57*12))),"")</f>
        <v/>
      </c>
      <c r="AB10" s="74">
        <f>IFERROR(IF(AND($K$8&gt;1%,$K$10="Sí"),AB$57*(1-($K$6-$K$8))*(1-$K$8)*12,IF(AND($K$6&gt;0%,$K$6&lt;11%),AB$57*(1-$K$6)*12,IF($K$6=0,AB$57*12))),"")</f>
        <v/>
      </c>
      <c r="AC10" s="49">
        <f>IFERROR(IF(AND($K$8&gt;1%,$K$10="Sí"),AC$57*(1-($K$6-$K$8))*(1-$K$8)*12,IF(AND($K$6&gt;0%,$K$6&lt;11%),AC$57*(1-$K$6)*12,IF($K$6=0,AC$57*12))),"")</f>
        <v/>
      </c>
      <c r="AD10" s="58" t="n"/>
      <c r="AE10" s="58" t="n"/>
      <c r="AF10" s="58" t="n"/>
      <c r="AG10" s="58" t="n"/>
      <c r="AH10" s="58" t="n"/>
      <c r="AI10" s="58" t="n"/>
      <c r="AJ10" s="58" t="n"/>
      <c r="AK10" s="58" t="n"/>
      <c r="AL10" s="58" t="n"/>
      <c r="AM10" s="58" t="n"/>
      <c r="AN10" s="58" t="n"/>
      <c r="AO10" s="58" t="n"/>
      <c r="AP10" s="58" t="n"/>
      <c r="AQ10" s="58" t="n"/>
      <c r="AR10" s="58" t="n"/>
      <c r="AS10" s="58" t="n"/>
    </row>
    <row r="11" ht="39.75" customHeight="1" s="241">
      <c r="A11" s="38" t="n">
        <v>6</v>
      </c>
      <c r="B11" s="69" t="n"/>
      <c r="C11" s="69" t="n"/>
      <c r="D11" s="69" t="n"/>
      <c r="E11" s="10" t="n"/>
      <c r="F11" s="10" t="n"/>
      <c r="G11" s="69" t="n"/>
      <c r="H11" s="10" t="n"/>
      <c r="I11" s="31" t="n"/>
      <c r="J11" s="10" t="n"/>
      <c r="K11" s="75">
        <f>$K$6</f>
        <v/>
      </c>
      <c r="L11" s="71" t="n"/>
      <c r="M11" s="76" t="inlineStr">
        <is>
          <t>SIN DESCUENTO</t>
        </is>
      </c>
      <c r="N11" s="77">
        <f>IF((SUM(N57:N71)*12)=0,"",SUM(N57:N71)*12)</f>
        <v/>
      </c>
      <c r="O11" s="77">
        <f>IF((SUM(O57:O71)*12)=0,"",SUM(O57:O71)*12)</f>
        <v/>
      </c>
      <c r="P11" s="54" t="n"/>
      <c r="Q11" s="77">
        <f>IF((SUM(Q57:Q71)*12)=0,"",SUM(Q57:Q71)*12)</f>
        <v/>
      </c>
      <c r="R11" s="77">
        <f>IF((SUM(R57:R71)*12)=0,"",SUM(R57:R71)*12)</f>
        <v/>
      </c>
      <c r="S11" s="54" t="n"/>
      <c r="T11" s="77">
        <f>IF((SUM(T57:T71)*12)=0,"",SUM(T57:T71)*12)</f>
        <v/>
      </c>
      <c r="U11" s="77">
        <f>IFERROR(__xludf.DUMMYFUNCTION("IFERROR(IF($U$10="""","""",IF($K$10=""Sí"",IF($I6="""","""",IF(VLOOKUP(LEFT(U$37,SEARCH(""☃"",SUBSTITUTE(U$37,"" "",""☃"",LEN(U$37)-LEN(SUBSTITUTE(U$37,"" "",""""))))-1),Excepciones!$A:$B,2,0)&gt;=0,IFERROR(INDEX(filter(Precios!$D:$D,(Precios!$A:$A&lt;=$I6)*(Pr"&amp;"ecios!$B:$B&gt;=$I6)*(Precios!$C:$C=U$37))*12,1),""""),""""))*0.94,IF($I6="""","""",IF(VLOOKUP(LEFT(U$37,SEARCH(""☃"",SUBSTITUTE(U$37,"" "",""☃"",LEN(U$37)-LEN(SUBSTITUTE(U$37,"" "",""""))))-1),Excepciones!$A:$B,2,0)&gt;=0,IFERROR(INDEX(filter(Precios!$D:$D,(Pr"&amp;"ecios!$A:$A&lt;=$I6)*(Precios!$B:$B&gt;=$I6)*(Precios!$C:$C=U$37))*12,1),""""),"""")))),"""")"),"")</f>
        <v/>
      </c>
      <c r="V11" s="54" t="n"/>
      <c r="W11" s="77">
        <f>IF((SUM(W57:W71)*12)=0,"",SUM(W57:W71)*12)</f>
        <v/>
      </c>
      <c r="X11" s="55" t="n"/>
      <c r="Y11" s="78">
        <f>IF(OR(Y8="",Y8=0),"",Y8*12)</f>
        <v/>
      </c>
      <c r="Z11" s="79">
        <f>IFERROR(__xludf.DUMMYFUNCTION("IFERROR(IF($K$10=""Sí"",IF($I6="""","""",IF(VLOOKUP(LEFT(Z$37,SEARCH(""☃"",SUBSTITUTE(Z$37,"" "",""☃"",LEN(Z$37)-LEN(SUBSTITUTE(Z$37,"" "",""""))))-1),Excepciones!$A:$B,2,0)&gt;=0,IFERROR(INDEX(filter(Precios!$D:$D,(Precios!$A:$A&lt;=$I6)*(Precios!$B:$B&gt;=$I6)*("&amp;"Precios!$C:$C=Z$37))*12,1),""""),""""))*0.94,IF($I6="""","""",IF(VLOOKUP(LEFT(Z$37,SEARCH(""☃"",SUBSTITUTE(Z$37,"" "",""☃"",LEN(Z$37)-LEN(SUBSTITUTE(Z$37,"" "",""""))))-1),Excepciones!$A:$B,2,0)&gt;=0,IFERROR(INDEX(filter(Precios!$D:$D,(Precios!$A:$A&lt;=$I6)*("&amp;"Precios!$B:$B&gt;=$I6)*(Precios!$C:$C=Z$37))*12,1),""""),""""))),"""")"),624.0)</f>
        <v/>
      </c>
      <c r="AA11" s="79">
        <f>IFERROR(__xludf.DUMMYFUNCTION("IFERROR(IF($K$10=""Sí"",IF($I6="""","""",IF(VLOOKUP(LEFT(AA$37,SEARCH(""☃"",SUBSTITUTE(AA$37,"" "",""☃"",LEN(AA$37)-LEN(SUBSTITUTE(AA$37,"" "",""""))))-1),Excepciones!$A:$B,2,0)&gt;=0,IFERROR(INDEX(filter(Precios!$D:$D,(Precios!$A:$A&lt;=$I6)*(Precios!$B:$B&gt;=$I"&amp;"6)*(Precios!$C:$C=AA$37))*12,1),""""),""""))*0.94,IF($I6="""","""",IF(VLOOKUP(LEFT(AA$37,SEARCH(""☃"",SUBSTITUTE(AA$37,"" "",""☃"",LEN(AA$37)-LEN(SUBSTITUTE(AA$37,"" "",""""))))-1),Excepciones!$A:$B,2,0)&gt;=0,IFERROR(INDEX(filter(Precios!$D:$D,(Precios!$A:$"&amp;"A&lt;=$I6)*(Precios!$B:$B&gt;=$I6)*(Precios!$C:$C=AA$37))*12,1),""""),""""))),"""")"),918.0)</f>
        <v/>
      </c>
      <c r="AB11" s="79">
        <f>IFERROR(__xludf.DUMMYFUNCTION("IFERROR(IF($K$10=""Sí"",IF($I6="""","""",IF(VLOOKUP(LEFT(AB$37,SEARCH(""☃"",SUBSTITUTE(AB$37,"" "",""☃"",LEN(AB$37)-LEN(SUBSTITUTE(AB$37,"" "",""""))))-1),Excepciones!$A:$B,2,0)&gt;=0,IFERROR(INDEX(filter(Precios!$D:$D,(Precios!$A:$A&lt;=$I6)*(Precios!$B:$B&gt;=$I"&amp;"6)*(Precios!$C:$C=AB$37))*12,1),""""),""""))*0.94,IF($I6="""","""",IF(VLOOKUP(LEFT(AB$37,SEARCH(""☃"",SUBSTITUTE(AB$37,"" "",""☃"",LEN(AB$37)-LEN(SUBSTITUTE(AB$37,"" "",""""))))-1),Excepciones!$A:$B,2,0)&gt;=0,IFERROR(INDEX(filter(Precios!$D:$D,(Precios!$A:$"&amp;"A&lt;=$I6)*(Precios!$B:$B&gt;=$I6)*(Precios!$C:$C=AB$37))*12,1),""""),""""))),"""")"),702.0)</f>
        <v/>
      </c>
      <c r="AC11" s="80">
        <f>IFERROR(__xludf.DUMMYFUNCTION("IFERROR(IF($K$10=""Sí"",IF($I6="""","""",IF(VLOOKUP(LEFT(AC$37,SEARCH(""☃"",SUBSTITUTE(AC$37,"" "",""☃"",LEN(AC$37)-LEN(SUBSTITUTE(AC$37,"" "",""""))))-1),Excepciones!$A:$B,2,0)&gt;=0,IFERROR(INDEX(filter(Precios!$D:$D,(Precios!$A:$A&lt;=$I6)*(Precios!$B:$B&gt;=$I"&amp;"6)*(Precios!$C:$C=AC$37))*12,1),""""),""""))*0.94,IF($I6="""","""",IF(VLOOKUP(LEFT(AC$37,SEARCH(""☃"",SUBSTITUTE(AC$37,"" "",""☃"",LEN(AC$37)-LEN(SUBSTITUTE(AC$37,"" "",""""))))-1),Excepciones!$A:$B,2,0)&gt;=0,IFERROR(INDEX(filter(Precios!$D:$D,(Precios!$A:$"&amp;"A&lt;=$I6)*(Precios!$B:$B&gt;=$I6)*(Precios!$C:$C=AC$37))*12,1),""""),""""))),"""")"),978.0)</f>
        <v/>
      </c>
      <c r="AD11" s="58" t="n"/>
      <c r="AE11" s="58" t="n"/>
      <c r="AF11" s="58" t="n"/>
      <c r="AG11" s="58" t="n"/>
      <c r="AH11" s="58" t="n"/>
      <c r="AI11" s="58" t="n"/>
      <c r="AJ11" s="58" t="n"/>
      <c r="AK11" s="58" t="n"/>
      <c r="AL11" s="58" t="n"/>
      <c r="AM11" s="58" t="n"/>
      <c r="AN11" s="58" t="n"/>
      <c r="AO11" s="58" t="n"/>
      <c r="AP11" s="58" t="n"/>
      <c r="AQ11" s="58" t="n"/>
      <c r="AR11" s="58" t="n"/>
      <c r="AS11" s="58" t="n"/>
    </row>
    <row r="12" ht="39.75" customHeight="1" s="241">
      <c r="A12" s="38" t="n">
        <v>7</v>
      </c>
      <c r="B12" s="69" t="n"/>
      <c r="C12" s="69" t="n"/>
      <c r="D12" s="69" t="n"/>
      <c r="E12" s="10" t="n"/>
      <c r="F12" s="10" t="n"/>
      <c r="G12" s="69" t="n"/>
      <c r="H12" s="10" t="n"/>
      <c r="I12" s="31" t="n"/>
      <c r="J12" s="10" t="n"/>
      <c r="K12" s="75">
        <f>$K$6</f>
        <v/>
      </c>
      <c r="L12" s="71" t="n"/>
      <c r="M12" s="81" t="inlineStr">
        <is>
          <t>🔻</t>
        </is>
      </c>
      <c r="N12" s="82">
        <f>IF(N10="","",N13-N11)</f>
        <v/>
      </c>
      <c r="O12" s="83">
        <f>IF(O10="","",O13-O11)</f>
        <v/>
      </c>
      <c r="P12" s="54" t="n"/>
      <c r="Q12" s="83">
        <f>IF(Q10="","",Q13-Q11)</f>
        <v/>
      </c>
      <c r="R12" s="83">
        <f>IF(R10="","",R13-R11)</f>
        <v/>
      </c>
      <c r="S12" s="54" t="n"/>
      <c r="T12" s="83">
        <f>IF(T10="","",T13-T11)</f>
        <v/>
      </c>
      <c r="U12" s="83">
        <f>IF(U10="","",U13-U11)</f>
        <v/>
      </c>
      <c r="V12" s="54" t="n"/>
      <c r="W12" s="83">
        <f>IF(W10="","",W13-W11)</f>
        <v/>
      </c>
      <c r="X12" s="55" t="n"/>
      <c r="Y12" s="84">
        <f>IF(Y10="","",Y13-Y11)</f>
        <v/>
      </c>
      <c r="Z12" s="84">
        <f>IF(Z10="","",Z13-Z11)</f>
        <v/>
      </c>
      <c r="AA12" s="84">
        <f>IF(AA10="","",AA13-AA11)</f>
        <v/>
      </c>
      <c r="AB12" s="84">
        <f>IF(AB10="","",AB13-AB11)</f>
        <v/>
      </c>
      <c r="AC12" s="85">
        <f>IF(AC10="","",AC13-AC11)</f>
        <v/>
      </c>
      <c r="AD12" s="58" t="n"/>
      <c r="AE12" s="58" t="n"/>
      <c r="AF12" s="58" t="n"/>
      <c r="AG12" s="58" t="n"/>
      <c r="AH12" s="58" t="n"/>
      <c r="AI12" s="58" t="n"/>
      <c r="AJ12" s="58" t="n"/>
      <c r="AK12" s="58" t="n"/>
      <c r="AL12" s="58" t="n"/>
      <c r="AM12" s="58" t="n"/>
      <c r="AN12" s="58" t="n"/>
      <c r="AO12" s="58" t="n"/>
      <c r="AP12" s="58" t="n"/>
      <c r="AQ12" s="58" t="n"/>
      <c r="AR12" s="58" t="n"/>
      <c r="AS12" s="58" t="n"/>
    </row>
    <row r="13" ht="39.75" customHeight="1" s="241">
      <c r="A13" s="38" t="n">
        <v>8</v>
      </c>
      <c r="B13" s="69" t="n"/>
      <c r="C13" s="69" t="n"/>
      <c r="D13" s="69" t="n"/>
      <c r="E13" s="10" t="n"/>
      <c r="F13" s="10" t="n"/>
      <c r="G13" s="69" t="n"/>
      <c r="H13" s="10" t="n"/>
      <c r="I13" s="31" t="n"/>
      <c r="J13" s="10" t="n"/>
      <c r="K13" s="75">
        <f>$K$6</f>
        <v/>
      </c>
      <c r="L13" s="71" t="n"/>
      <c r="M13" s="86" t="inlineStr">
        <is>
          <t>VALOR DE VENTA</t>
        </is>
      </c>
      <c r="N13" s="87">
        <f>N11</f>
        <v/>
      </c>
      <c r="O13" s="88">
        <f>IF($K$10="Sí",IF($K$6=0.11,O10*0.82,IF($K$6=0.1,O10*0.84,IF($K$6=0.09,O10*0.86,IF($K$6=0.08,O10*0.88,IF($K$6=0.07,O10*0.89,O10))))),IF($K$6=0.05,O10*0.82,IF($K$6=0.04,O10*0.84,IF($K$6=0.03,O10*0.86,IF($K$6=0.02,O10*0.88,IF($K$6=0.01,O10*0.89,O10))))))</f>
        <v/>
      </c>
      <c r="P13" s="89" t="n"/>
      <c r="Q13" s="88">
        <f>IF($K$10="Sí",IF($K$6=0.11,Q10*0.82,IF($K$6=0.1,Q10*0.84,IF($K$6=0.09,Q10*0.86,IF($K$6=0.08,Q10*0.88,IF($K$6=0.07,Q10*0.89,Q10))))),IF($K$6=0.05,Q10*0.82,IF($K$6=0.04,Q10*0.84,IF($K$6=0.03,Q10*0.86,IF($K$6=0.02,Q10*0.88,IF($K$6=0.01,Q10*0.89,Q10))))))</f>
        <v/>
      </c>
      <c r="R13" s="88">
        <f>IF($K$10="Sí",IF($K$6=0.11,R10*0.82,IF($K$6=0.1,R10*0.84,IF($K$6=0.09,R10*0.86,IF($K$6=0.08,R10*0.88,IF($K$6=0.07,R10*0.89,R10))))),IF($K$6=0.05,R10*0.82,IF($K$6=0.04,R10*0.84,IF($K$6=0.03,R10*0.86,IF($K$6=0.02,R10*0.88,IF($K$6=0.01,R10*0.89,R10))))))</f>
        <v/>
      </c>
      <c r="S13" s="89" t="n"/>
      <c r="T13" s="88">
        <f>IF($K$10="Sí",IF($K$6=0.11,T10*0.82,IF($K$6=0.1,T10*0.84,IF($K$6=0.09,T10*0.86,IF($K$6=0.08,T10*0.88,IF($K$6=0.07,T10*0.89,T10))))),IF($K$6=0.05,T10*0.82,IF($K$6=0.04,T10*0.84,IF($K$6=0.03,T10*0.86,IF($K$6=0.02,T10*0.88,IF($K$6=0.01,T10*0.89,T10))))))</f>
        <v/>
      </c>
      <c r="U13" s="88">
        <f>IF($K$10="Sí",IF($K$6=0.11,U10*0.82,IF($K$6=0.1,U10*0.84,IF($K$6=0.09,U10*0.86,IF($K$6=0.08,U10*0.88,IF($K$6=0.07,U10*0.89,U10))))),IF($K$6=0.05,U10*0.82,IF($K$6=0.04,U10*0.84,IF($K$6=0.03,U10*0.86,IF($K$6=0.02,U10*0.88,IF($K$6=0.01,U10*0.89,U10))))))</f>
        <v/>
      </c>
      <c r="V13" s="89" t="n"/>
      <c r="W13" s="88">
        <f>IF($K$10="Sí",IF($K$6=0.11,W10*0.82,IF($K$6=0.1,W10*0.84,IF($K$6=0.09,W10*0.86,IF($K$6=0.08,W10*0.88,IF($K$6=0.07,W10*0.89,W10))))),IF($K$6=0.05,W10*0.82,IF($K$6=0.04,W10*0.84,IF($K$6=0.03,W10*0.86,IF($K$6=0.02,W10*0.88,IF($K$6=0.01,W10*0.89,W10))))))</f>
        <v/>
      </c>
      <c r="X13" s="90" t="n"/>
      <c r="Y13" s="91" t="n"/>
      <c r="Z13" s="91">
        <f>IF($K$10="Sí",IF($K$6=0.16,Z10*0.82,IF($K$6=0.15,Z10*0.84,IF($K$6=0.14,Z10*0.86,IF($K$6=0.13,Z10*0.88,IF($K$6=0.12,Z10*0.89,IF($K$6=0.11,Z10*0.91,IF($K$6=0.1,Z10*0.93,IF($K$6=0.09,Z10*0.95,IF($K$6=0.08,Z10*0.96,IF($K$6=0.07,Z10*0.98,Z10)))))))))),IF($K$6=0.1,Z10*0.82,IF($K$6=0.09,Z10*0.84,IF($K$6=0.08,Z10*0.86,IF($K$6=0.07,Z10*0.88,IF($K$6=0.06,Z10*0.89,IF($K$6=0.05,Z10*0.91,IF($K$6=0.04,Z10*0.93,IF($K$6=0.03,Z10*0.95,IF($K$6=0.02,Z10*0.96,IF($K$6=0.01,Z10*0.98,Z10)))))))))))</f>
        <v/>
      </c>
      <c r="AA13" s="91">
        <f>IF($K$10="Sí",IF($K$6=0.16,AA10*0.82,IF($K$6=0.15,AA10*0.84,IF($K$6=0.14,AA10*0.86,IF($K$6=0.13,AA10*0.88,IF($K$6=0.12,AA10*0.89,IF($K$6=0.11,AA10*0.91,IF($K$6=0.1,AA10*0.93,IF($K$6=0.09,AA10*0.95,IF($K$6=0.08,AA10*0.96,IF($K$6=0.07,AA10*0.98,AA10)))))))))),IF($K$6=0.1,AA10*0.82,IF($K$6=0.09,AA10*0.84,IF($K$6=0.08,AA10*0.86,IF($K$6=0.07,AA10*0.88,IF($K$6=0.06,AA10*0.89,IF($K$6=0.05,AA10*0.91,IF($K$6=0.04,AA10*0.93,IF($K$6=0.03,AA10*0.95,IF($K$6=0.02,AA10*0.96,IF($K$6=0.01,AA10*0.98,AA10)))))))))))</f>
        <v/>
      </c>
      <c r="AB13" s="91">
        <f>IF($K$10="Sí",IF($K$6=0.16,AB10*0.82,IF($K$6=0.15,AB10*0.84,IF($K$6=0.14,AB10*0.86,IF($K$6=0.13,AB10*0.88,IF($K$6=0.12,AB10*0.89,IF($K$6=0.11,AB10*0.91,IF($K$6=0.1,AB10*0.93,IF($K$6=0.09,AB10*0.95,IF($K$6=0.08,AB10*0.96,IF($K$6=0.07,AB10*0.98,AB10)))))))))),IF($K$6=0.1,AB10*0.82,IF($K$6=0.09,AB10*0.84,IF($K$6=0.08,AB10*0.86,IF($K$6=0.07,AB10*0.88,IF($K$6=0.06,AB10*0.89,IF($K$6=0.05,AB10*0.91,IF($K$6=0.04,AB10*0.93,IF($K$6=0.03,AB10*0.95,IF($K$6=0.02,AB10*0.96,IF($K$6=0.01,AB10*0.98,AB10)))))))))))</f>
        <v/>
      </c>
      <c r="AC13" s="92">
        <f>IF($K$10="Sí",IF($K$6=0.16,AC10*0.82,IF($K$6=0.15,AC10*0.84,IF($K$6=0.14,AC10*0.86,IF($K$6=0.13,AC10*0.88,IF($K$6=0.12,AC10*0.89,IF($K$6=0.11,AC10*0.91,IF($K$6=0.1,AC10*0.93,IF($K$6=0.09,AC10*0.95,IF($K$6=0.08,AC10*0.96,IF($K$6=0.07,AC10*0.98,AC10)))))))))),IF($K$6=0.1,AC10*0.82,IF($K$6=0.09,AC10*0.84,IF($K$6=0.08,AC10*0.86,IF($K$6=0.07,AC10*0.88,IF($K$6=0.06,AC10*0.89,IF($K$6=0.05,AC10*0.91,IF($K$6=0.04,AC10*0.93,IF($K$6=0.03,AC10*0.95,IF($K$6=0.02,AC10*0.96,IF($K$6=0.01,AC10*0.98,AC10)))))))))))</f>
        <v/>
      </c>
      <c r="AD13" s="58" t="n"/>
      <c r="AE13" s="58" t="n"/>
      <c r="AF13" s="58" t="n"/>
      <c r="AG13" s="58" t="n"/>
      <c r="AH13" s="58" t="n"/>
      <c r="AI13" s="58" t="n"/>
      <c r="AJ13" s="58" t="n"/>
      <c r="AK13" s="58" t="n"/>
      <c r="AL13" s="58" t="n"/>
      <c r="AM13" s="58" t="n"/>
      <c r="AN13" s="58" t="n"/>
      <c r="AO13" s="58" t="n"/>
      <c r="AP13" s="58" t="n"/>
      <c r="AQ13" s="58" t="n"/>
      <c r="AR13" s="58" t="n"/>
      <c r="AS13" s="58" t="n"/>
    </row>
    <row r="14" ht="39.75" customHeight="1" s="241">
      <c r="A14" s="38" t="n">
        <v>9</v>
      </c>
      <c r="B14" s="69" t="n"/>
      <c r="C14" s="69" t="n"/>
      <c r="D14" s="69" t="n"/>
      <c r="E14" s="10" t="n"/>
      <c r="F14" s="10" t="n"/>
      <c r="G14" s="69" t="n"/>
      <c r="I14" s="31">
        <f>IF(G14=0,TRUNC((TODAY()-DATE(D14,C14,B14))/365.25,0),G14)</f>
        <v/>
      </c>
      <c r="L14" s="71" t="n"/>
      <c r="M14" s="93" t="inlineStr">
        <is>
          <t>CON DENTAL</t>
        </is>
      </c>
      <c r="N14" s="94">
        <f>IF((SUM(N75:N89)*12)=0,"",SUM(N75:N89)*12)</f>
        <v/>
      </c>
      <c r="O14" s="94">
        <f>IF((SUM(O39:O53)*12)=0,"",SUM(O39:O53)*12)</f>
        <v/>
      </c>
      <c r="P14" s="95">
        <f>IF((SUM(P39:P53)*12)=0,"",SUM(P39:P53)*12)</f>
        <v/>
      </c>
      <c r="Q14" s="94">
        <f>IF((SUM(Q39:Q53)*12)=0,"",SUM(Q39:Q53)*12)</f>
        <v/>
      </c>
      <c r="R14" s="94">
        <f>IF((SUM(R39:R53)*12)=0,"",SUM(R39:R53)*12)</f>
        <v/>
      </c>
      <c r="S14" s="94">
        <f>IF((SUM(S39:S53)*12)=0,"",SUM(S39:S53)*12)</f>
        <v/>
      </c>
      <c r="T14" s="94">
        <f>IF((SUM(T39:T53)*12)=0,"",SUM(T39:T53)*12)</f>
        <v/>
      </c>
      <c r="U14" s="94">
        <f>IF((SUM(U39:U53)*12)=0,"",SUM(U39:U53)*12)</f>
        <v/>
      </c>
      <c r="V14" s="94">
        <f>IF((SUM(V39:V53)*12)=0,"",SUM(V39:V53)*12)</f>
        <v/>
      </c>
      <c r="W14" s="94">
        <f>IF((SUM(W39:W53)*12)=0,"",SUM(W39:W53)*12)</f>
        <v/>
      </c>
      <c r="X14" s="96">
        <f>IF((SUM(X39:X53)*12*0.9)=0,"",SUM(X39:X53)*12*0.9)</f>
        <v/>
      </c>
      <c r="Y14" s="97">
        <f>IF(OR(Y7="",Y7=0),"",Y7*12)</f>
        <v/>
      </c>
      <c r="Z14" s="97">
        <f>IF(OR(Z7="",Z7=0),"",Z7*12)</f>
        <v/>
      </c>
      <c r="AA14" s="97">
        <f>IF(OR(AA7="",AA7=0),"",AA7*12)</f>
        <v/>
      </c>
      <c r="AB14" s="97">
        <f>IF(OR(AB7="",AB7=0),"",AB7*12)</f>
        <v/>
      </c>
      <c r="AC14" s="98">
        <f>IF(OR(AC7="",AC7=0),"",AC7*12)</f>
        <v/>
      </c>
      <c r="AD14" s="58" t="n"/>
      <c r="AE14" s="58" t="n"/>
      <c r="AF14" s="58" t="n"/>
      <c r="AG14" s="58" t="n"/>
      <c r="AH14" s="58" t="n"/>
      <c r="AI14" s="58" t="n"/>
      <c r="AJ14" s="58" t="n"/>
      <c r="AK14" s="58" t="n"/>
      <c r="AL14" s="58" t="n"/>
      <c r="AM14" s="58" t="n"/>
      <c r="AN14" s="58" t="n"/>
      <c r="AO14" s="58" t="n"/>
      <c r="AP14" s="58" t="n"/>
      <c r="AQ14" s="58" t="n"/>
      <c r="AR14" s="58" t="n"/>
      <c r="AS14" s="58" t="n"/>
    </row>
    <row r="15" ht="39.75" customHeight="1" s="241">
      <c r="A15" s="38" t="n">
        <v>10</v>
      </c>
      <c r="B15" s="69" t="n"/>
      <c r="C15" s="69" t="n"/>
      <c r="D15" s="69" t="n"/>
      <c r="E15" s="10" t="n"/>
      <c r="F15" s="10" t="n"/>
      <c r="G15" s="69" t="n"/>
      <c r="I15" s="31">
        <f>IF(G15=0,TRUNC((TODAY()-DATE(D15,C15,B15))/365.25,0),G15)</f>
        <v/>
      </c>
      <c r="L15" s="71" t="n"/>
      <c r="M15" s="76" t="inlineStr">
        <is>
          <t>SIN DESCUENTO</t>
        </is>
      </c>
      <c r="N15" s="79">
        <f>IF((SUM(N75:N89)*12)=0,"",SUM(N75:N89)*12)</f>
        <v/>
      </c>
      <c r="O15" s="79">
        <f>IF((SUM(O75:O89)*12)=0,"",SUM(O75:O89)*12)</f>
        <v/>
      </c>
      <c r="P15" s="79">
        <f>IF((SUM(P75:P89)*12)=0,"",SUM(P75:P89)*12)</f>
        <v/>
      </c>
      <c r="Q15" s="79">
        <f>IF((SUM(Q75:Q89)*12)=0,"",SUM(Q75:Q89)*12)</f>
        <v/>
      </c>
      <c r="R15" s="79">
        <f>IF((SUM(R75:R89)*12)=0,"",SUM(R75:R89)*12)</f>
        <v/>
      </c>
      <c r="S15" s="79">
        <f>IF((SUM(S75:S89)*12)=0,"",SUM(S75:S89)*12)</f>
        <v/>
      </c>
      <c r="T15" s="79">
        <f>IF((SUM(T75:T89)*12)=0,"",SUM(T75:T89)*12)</f>
        <v/>
      </c>
      <c r="U15" s="79">
        <f>IF((SUM(U75:U89)*12)=0,"",SUM(U75:U89)*12)</f>
        <v/>
      </c>
      <c r="V15" s="79">
        <f>IF((SUM(V75:V89)*12)=0,"",SUM(V75:V89)*12)</f>
        <v/>
      </c>
      <c r="W15" s="79">
        <f>IF((SUM(W75:W89)*12)=0,"",SUM(W75:W89)*12)</f>
        <v/>
      </c>
      <c r="X15" s="99">
        <f>IF((SUM(X75:X89)*12)=0,"",SUM(X75:X89)*12)</f>
        <v/>
      </c>
      <c r="Y15" s="78" t="n"/>
      <c r="Z15" s="78" t="n"/>
      <c r="AA15" s="78" t="n"/>
      <c r="AB15" s="78" t="n"/>
      <c r="AC15" s="100" t="n"/>
      <c r="AD15" s="58" t="n"/>
      <c r="AE15" s="58" t="n"/>
      <c r="AF15" s="58" t="n"/>
      <c r="AG15" s="58" t="n"/>
      <c r="AH15" s="58" t="n"/>
      <c r="AI15" s="58" t="n"/>
      <c r="AJ15" s="58" t="n"/>
      <c r="AK15" s="58" t="n"/>
      <c r="AL15" s="58" t="n"/>
      <c r="AM15" s="58" t="n"/>
      <c r="AN15" s="58" t="n"/>
      <c r="AO15" s="58" t="n"/>
      <c r="AP15" s="58" t="n"/>
      <c r="AQ15" s="58" t="n"/>
      <c r="AR15" s="58" t="n"/>
      <c r="AS15" s="58" t="n"/>
    </row>
    <row r="16" ht="39.75" customHeight="1" s="241">
      <c r="A16" s="38" t="n">
        <v>11</v>
      </c>
      <c r="B16" s="69" t="n"/>
      <c r="C16" s="69" t="n"/>
      <c r="D16" s="69" t="n"/>
      <c r="E16" s="10" t="n"/>
      <c r="F16" s="10" t="n"/>
      <c r="G16" s="69" t="n"/>
      <c r="I16" s="31">
        <f>IF(G16=0,TRUNC((TODAY()-DATE(D16,C16,B16))/365.25,0),G16)</f>
        <v/>
      </c>
      <c r="L16" s="71" t="n"/>
      <c r="M16" s="81" t="inlineStr">
        <is>
          <t>🔻</t>
        </is>
      </c>
      <c r="N16" s="84">
        <f>IF(N14="","",N17-N15)</f>
        <v/>
      </c>
      <c r="O16" s="84">
        <f>IF(O14="","",O17-O15)</f>
        <v/>
      </c>
      <c r="P16" s="84">
        <f>IF(P14="","",P17-P15)</f>
        <v/>
      </c>
      <c r="Q16" s="84">
        <f>IF(Q14="","",Q17-Q15)</f>
        <v/>
      </c>
      <c r="R16" s="84">
        <f>IF(R14="","",R17-R15)</f>
        <v/>
      </c>
      <c r="S16" s="84">
        <f>IF(S14="","",S17-S15)</f>
        <v/>
      </c>
      <c r="T16" s="84">
        <f>IF(T14="","",T17-T15)</f>
        <v/>
      </c>
      <c r="U16" s="84">
        <f>IF(U14="","",U17-U15)</f>
        <v/>
      </c>
      <c r="V16" s="84">
        <f>IF(V14="","",V17-V15)</f>
        <v/>
      </c>
      <c r="W16" s="84">
        <f>IF(W14="","",W17-W15)</f>
        <v/>
      </c>
      <c r="X16" s="101">
        <f>IF(X14="","",X17-X15)</f>
        <v/>
      </c>
      <c r="Y16" s="84" t="n"/>
      <c r="Z16" s="84" t="n"/>
      <c r="AA16" s="84" t="n"/>
      <c r="AB16" s="84" t="n"/>
      <c r="AC16" s="85" t="n"/>
      <c r="AD16" s="58" t="n"/>
      <c r="AE16" s="58" t="n"/>
      <c r="AF16" s="58" t="n"/>
      <c r="AG16" s="58" t="n"/>
      <c r="AH16" s="58" t="n"/>
      <c r="AI16" s="58" t="n"/>
      <c r="AJ16" s="58" t="n"/>
      <c r="AK16" s="58" t="n"/>
      <c r="AL16" s="58" t="n"/>
      <c r="AM16" s="58" t="n"/>
      <c r="AN16" s="58" t="n"/>
      <c r="AO16" s="58" t="n"/>
      <c r="AP16" s="58" t="n"/>
      <c r="AQ16" s="58" t="n"/>
      <c r="AR16" s="58" t="n"/>
      <c r="AS16" s="58" t="n"/>
    </row>
    <row r="17" ht="39.75" customHeight="1" s="241">
      <c r="A17" s="38" t="n">
        <v>12</v>
      </c>
      <c r="B17" s="69" t="n"/>
      <c r="C17" s="69" t="n"/>
      <c r="D17" s="69" t="n"/>
      <c r="E17" s="10" t="n"/>
      <c r="F17" s="10" t="n"/>
      <c r="G17" s="69" t="n"/>
      <c r="I17" s="31">
        <f>IF(G17=0,TRUNC((TODAY()-DATE(D17,C17,B17))/365.25,0),G17)</f>
        <v/>
      </c>
      <c r="L17" s="71" t="n"/>
      <c r="M17" s="86" t="inlineStr">
        <is>
          <t>VALOR DE VENTA</t>
        </is>
      </c>
      <c r="N17" s="88">
        <f>N14</f>
        <v/>
      </c>
      <c r="O17" s="88">
        <f>IF($K$10="Sí",IF($K$6=0.11,O14*0.82,IF($K$6=0.1,O14*0.84,IF($K$6=0.09,O14*0.86,IF($K$6=0.08,O14*0.88,IF($K$6=0.07,O14*0.89,O14))))),IF($K$6=0.05,O14*0.82,IF($K$6=0.04,O14*0.84,IF($K$6=0.03,O14*0.86,IF($K$6=0.02,O14*0.88,IF($K$6=0.01,O14*0.89,O14))))))</f>
        <v/>
      </c>
      <c r="P17" s="88">
        <f>P14</f>
        <v/>
      </c>
      <c r="Q17" s="88">
        <f>IF($K$10="Sí",IF($K$6=0.11,Q14*0.82,IF($K$6=0.1,Q14*0.84,IF($K$6=0.09,Q14*0.86,IF($K$6=0.08,Q14*0.88,IF($K$6=0.07,Q14*0.89,Q14))))),IF($K$6=0.05,Q14*0.82,IF($K$6=0.04,Q14*0.84,IF($K$6=0.03,Q14*0.86,IF($K$6=0.02,Q14*0.88,IF($K$6=0.01,Q14*0.89,Q14))))))</f>
        <v/>
      </c>
      <c r="R17" s="88">
        <f>IF($K$10="Sí",IF($K$6=0.11,R14*0.82,IF($K$6=0.1,R14*0.84,IF($K$6=0.09,R14*0.86,IF($K$6=0.08,R14*0.88,IF($K$6=0.07,R14*0.89,R14))))),IF($K$6=0.05,R14*0.82,IF($K$6=0.04,R14*0.84,IF($K$6=0.03,R14*0.86,IF($K$6=0.02,R14*0.88,IF($K$6=0.01,R14*0.89,R14))))))</f>
        <v/>
      </c>
      <c r="S17" s="88">
        <f>S14</f>
        <v/>
      </c>
      <c r="T17" s="88">
        <f>IF($K$10="Sí",IF($K$6=0.11,T14*0.82,IF($K$6=0.1,T14*0.84,IF($K$6=0.09,T14*0.86,IF($K$6=0.08,T14*0.88,IF($K$6=0.07,T14*0.89,T14))))),IF($K$6=0.05,T14*0.82,IF($K$6=0.04,T14*0.84,IF($K$6=0.03,T14*0.86,IF($K$6=0.02,T14*0.88,IF($K$6=0.01,T14*0.89,T14))))))</f>
        <v/>
      </c>
      <c r="U17" s="88">
        <f>IF($K$10="Sí",IF($K$6=0.11,U14*0.82,IF($K$6=0.1,U14*0.84,IF($K$6=0.09,U14*0.86,IF($K$6=0.08,U14*0.88,IF($K$6=0.07,U14*0.89,U14))))),IF($K$6=0.05,U14*0.82,IF($K$6=0.04,U14*0.84,IF($K$6=0.03,U14*0.86,IF($K$6=0.02,U14*0.88,IF($K$6=0.01,U14*0.89,U14))))))</f>
        <v/>
      </c>
      <c r="V17" s="88">
        <f>V14</f>
        <v/>
      </c>
      <c r="W17" s="88">
        <f>IF($K$10="Sí",IF($K$6=0.11,W14*0.82,IF($K$6=0.1,W14*0.84,IF($K$6=0.09,W14*0.86,IF($K$6=0.08,W14*0.88,IF($K$6=0.07,W14*0.89,W14))))),IF($K$6=0.05,W14*0.82,IF($K$6=0.04,W14*0.84,IF($K$6=0.03,W14*0.86,IF($K$6=0.02,W14*0.88,IF($K$6=0.01,W14*0.89,W14))))))</f>
        <v/>
      </c>
      <c r="X17" s="102">
        <f>X14</f>
        <v/>
      </c>
      <c r="Y17" s="91" t="n"/>
      <c r="Z17" s="91" t="n"/>
      <c r="AA17" s="91" t="n"/>
      <c r="AB17" s="91" t="n"/>
      <c r="AC17" s="92" t="n"/>
      <c r="AD17" s="58" t="n"/>
      <c r="AE17" s="58" t="n"/>
      <c r="AF17" s="58" t="n"/>
      <c r="AG17" s="58" t="n"/>
      <c r="AH17" s="58" t="n"/>
      <c r="AI17" s="58" t="n"/>
      <c r="AJ17" s="58" t="n"/>
      <c r="AK17" s="58" t="n"/>
      <c r="AL17" s="58" t="n"/>
      <c r="AM17" s="58" t="n"/>
      <c r="AN17" s="58" t="n"/>
      <c r="AO17" s="58" t="n"/>
      <c r="AP17" s="58" t="n"/>
      <c r="AQ17" s="58" t="n"/>
      <c r="AR17" s="58" t="n"/>
      <c r="AS17" s="58" t="n"/>
    </row>
    <row r="18" ht="33.75" customHeight="1" s="241">
      <c r="A18" s="38" t="n">
        <v>13</v>
      </c>
      <c r="B18" s="69" t="n"/>
      <c r="C18" s="69" t="n"/>
      <c r="D18" s="69" t="n"/>
      <c r="E18" s="10" t="n"/>
      <c r="F18" s="10" t="n"/>
      <c r="G18" s="69" t="n"/>
      <c r="I18" s="31">
        <f>IF(G18=0,TRUNC((TODAY()-DATE(D18,C18,B18))/365.25,0),G18)</f>
        <v/>
      </c>
      <c r="L18" s="5" t="n"/>
      <c r="M18" s="10" t="n"/>
      <c r="N18" s="10" t="n"/>
      <c r="O18" s="10" t="n"/>
      <c r="P18" s="10" t="n"/>
      <c r="Q18" s="10" t="n"/>
      <c r="R18" s="10" t="n"/>
      <c r="S18" s="103" t="n"/>
      <c r="T18" s="10" t="n"/>
      <c r="U18" s="10" t="n"/>
      <c r="V18" s="103" t="n"/>
      <c r="W18" s="10" t="n"/>
      <c r="X18" s="48" t="n"/>
      <c r="Y18" s="10" t="n"/>
      <c r="Z18" s="10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8" t="n"/>
      <c r="AS18" s="58" t="n"/>
      <c r="AT18" s="58" t="n"/>
      <c r="AU18" s="58" t="n"/>
      <c r="AV18" s="58" t="n"/>
    </row>
    <row r="19" ht="33.75" customHeight="1" s="241">
      <c r="A19" s="38" t="n">
        <v>14</v>
      </c>
      <c r="B19" s="69" t="n"/>
      <c r="C19" s="69" t="n"/>
      <c r="D19" s="69" t="n"/>
      <c r="E19" s="10" t="n"/>
      <c r="F19" s="10" t="n"/>
      <c r="G19" s="69" t="n"/>
      <c r="I19" s="31">
        <f>IF(G19=0,TRUNC((TODAY()-DATE(D19,C19,B19))/365.25,0),G19)</f>
        <v/>
      </c>
      <c r="L19" s="258" t="inlineStr">
        <is>
          <t>SIN DENTAL</t>
        </is>
      </c>
      <c r="M19" s="259" t="n"/>
      <c r="N19" s="260">
        <f>"Go"&amp;" "&amp;$K$3</f>
        <v/>
      </c>
      <c r="O19" s="260">
        <f>"Plena Vital"&amp;" "&amp;$K$3</f>
        <v/>
      </c>
      <c r="P19" s="260">
        <f>"Plena Total vital"&amp;" "&amp;$K$3</f>
        <v/>
      </c>
      <c r="Q19" s="260">
        <f>"Plena"&amp;" "&amp;$K$3</f>
        <v/>
      </c>
      <c r="R19" s="260">
        <f>"Plena Plus"&amp;" "&amp;$K$3</f>
        <v/>
      </c>
      <c r="S19" s="260">
        <f>"Plena Total"&amp;" "&amp;$K$3</f>
        <v/>
      </c>
      <c r="T19" s="260">
        <f>"Plena Extra 150"&amp;" "&amp;$K$3</f>
        <v/>
      </c>
      <c r="U19" s="260">
        <f>"Seniors"&amp;" "&amp;$K$3</f>
        <v/>
      </c>
      <c r="V19" s="260">
        <f>"Seniors total"&amp;" "&amp;$K$3</f>
        <v/>
      </c>
      <c r="W19" s="260">
        <f>"Negocios NIF"&amp;" "&amp;$K$3</f>
        <v/>
      </c>
      <c r="X19" s="261">
        <f>"Pymes TOTAL"&amp;" "&amp;$K$3</f>
        <v/>
      </c>
      <c r="Y19" s="262">
        <f>IF(OR(COUNT(#REF!)=1,COUNT(#REF!)=2),"Extra Negocios NIF"&amp;" "&amp;$K$3&amp;" "&amp;COUNT(#REF!),"Extra Negocios NIF"&amp;" "&amp;$K$3)</f>
        <v/>
      </c>
      <c r="Z19" s="260">
        <f>"Negocios CIF"&amp;" "&amp;$K$3</f>
        <v/>
      </c>
      <c r="AA19" s="260">
        <f>"Extra Negocios CIF"&amp;" "&amp;$K$3</f>
        <v/>
      </c>
      <c r="AB19" s="260">
        <f>"Empresas"&amp;" "&amp;$K$3</f>
        <v/>
      </c>
      <c r="AC19" s="261">
        <f>"Extra Empresas"&amp;" "&amp;$K$3</f>
        <v/>
      </c>
      <c r="AD19" s="58" t="n"/>
      <c r="AE19" s="48" t="n"/>
      <c r="AF19" s="48" t="n"/>
      <c r="AG19" s="48" t="n"/>
      <c r="AH19" s="48" t="n"/>
      <c r="AI19" s="48" t="n"/>
      <c r="AJ19" s="109" t="n"/>
      <c r="AK19" s="109" t="n"/>
      <c r="AL19" s="58" t="n"/>
      <c r="AM19" s="58" t="n"/>
      <c r="AN19" s="58" t="n"/>
      <c r="AO19" s="58" t="n"/>
      <c r="AP19" s="58" t="n"/>
      <c r="AQ19" s="58" t="n"/>
      <c r="AR19" s="58" t="n"/>
      <c r="AS19" s="58" t="n"/>
      <c r="AT19" s="58" t="n"/>
      <c r="AU19" s="58" t="n"/>
      <c r="AV19" s="58" t="n"/>
    </row>
    <row r="20" ht="33.75" customHeight="1" s="241">
      <c r="A20" s="38" t="n">
        <v>15</v>
      </c>
      <c r="B20" s="69" t="n"/>
      <c r="C20" s="69" t="n"/>
      <c r="D20" s="69" t="n"/>
      <c r="E20" s="10" t="n"/>
      <c r="F20" s="10" t="n"/>
      <c r="G20" s="69" t="n"/>
      <c r="I20" s="31">
        <f>IF(G20=0,TRUNC((TODAY()-DATE(D20,C20,B20))/365.25,0),G20)</f>
        <v/>
      </c>
      <c r="L20" s="263" t="n"/>
      <c r="M20" s="253" t="n"/>
      <c r="N20" s="253" t="n"/>
      <c r="O20" s="253" t="n"/>
      <c r="P20" s="253" t="n"/>
      <c r="Q20" s="253" t="n"/>
      <c r="R20" s="253" t="n"/>
      <c r="S20" s="253" t="n"/>
      <c r="T20" s="253" t="n"/>
      <c r="U20" s="253" t="n"/>
      <c r="V20" s="253" t="n"/>
      <c r="W20" s="253" t="n"/>
      <c r="X20" s="256" t="n"/>
      <c r="Y20" s="253" t="n"/>
      <c r="Z20" s="253" t="n"/>
      <c r="AA20" s="253" t="n"/>
      <c r="AB20" s="253" t="n"/>
      <c r="AC20" s="256" t="n"/>
      <c r="AD20" s="58" t="n"/>
      <c r="AJ20" s="109" t="n"/>
      <c r="AK20" s="109" t="n"/>
      <c r="AL20" s="58" t="n"/>
      <c r="AM20" s="58" t="n"/>
      <c r="AN20" s="58" t="n"/>
      <c r="AO20" s="58" t="n"/>
      <c r="AP20" s="58" t="n"/>
      <c r="AQ20" s="58" t="n"/>
      <c r="AR20" s="58" t="n"/>
      <c r="AS20" s="58" t="n"/>
      <c r="AT20" s="58" t="n"/>
      <c r="AU20" s="58" t="n"/>
      <c r="AV20" s="58" t="n"/>
    </row>
    <row r="21" ht="33.75" customHeight="1" s="241">
      <c r="L21" s="111" t="n">
        <v>1</v>
      </c>
      <c r="M21" s="112" t="n"/>
      <c r="N21" s="112">
        <f>N57</f>
        <v/>
      </c>
      <c r="O21" s="112">
        <f>IF(OR(O57="",O57=0),"",O57*(1-$K$8))</f>
        <v/>
      </c>
      <c r="P21" s="113" t="n"/>
      <c r="Q21" s="112">
        <f>IF(OR(Q57="",Q57=0),"",Q57*(1-$K$8))</f>
        <v/>
      </c>
      <c r="R21" s="112">
        <f>IF(OR(R57="",R57=0),"",R57*(1-$K$8))</f>
        <v/>
      </c>
      <c r="S21" s="113" t="n"/>
      <c r="T21" s="112">
        <f>IF(OR(T57="",T57=0),"",T57*(1-$K$8))</f>
        <v/>
      </c>
      <c r="U21" s="112">
        <f>IF(OR(U57="",U57=0),"",U57*(1-$K$8))</f>
        <v/>
      </c>
      <c r="V21" s="113" t="n"/>
      <c r="W21" s="112">
        <f>IFERROR(__xludf.DUMMYFUNCTION("IFERROR(IF($I6="""","""",IF(VLOOKUP(LEFT(W$37,SEARCH(""☃"",SUBSTITUTE(W$37,"" "",""☃"",LEN(W$37)-LEN(SUBSTITUTE(W$37,"" "",""""))))-1),Excepciones!$A:$B,2,0)&gt;=0,IFERROR(INDEX(filter(Precios!$D:$D,(Precios!$A:$A&lt;=$I6)*(Precios!$B:$B&gt;=$I6)*(Precios!$C:$C=W$"&amp;"37)),1)*(1-$K$6),""No asegurable""),""No asegurable"")),"""")"),63.5)</f>
        <v/>
      </c>
      <c r="X21" s="114" t="n"/>
      <c r="Y21" s="112">
        <f>IFERROR(__xludf.DUMMYFUNCTION("IFERROR(IF($I6="""","""",IF(VLOOKUP(LEFT(Y$37,SEARCH(""☃"",SUBSTITUTE(Y$37,"" "",""☃"",LEN(Y$37)-LEN(SUBSTITUTE(Y$37,"" "",""""))))-1),Excepciones!$A:$B,2,0)&gt;=0,IFERROR((INDEX(filter(Precios!$D:$D,(Precios!$A:$A&lt;=$I6)*(Precios!$B:$B&gt;=$I6)*(Precios!$C:$C=Y"&amp;"$37)),1)*(1-$K$6)+VLOOKUP($L21,Precios!$F:$G,2,0)),""No asegurable""),""No asegurable"")),"""")"),"")</f>
        <v/>
      </c>
      <c r="Z21" s="112">
        <f>IFERROR(__xludf.DUMMYFUNCTION("IFERROR(IF($I6="""","""",IF(VLOOKUP(LEFT(Z$37,SEARCH(""☃"",SUBSTITUTE(Z$37,"" "",""☃"",LEN(Z$37)-LEN(SUBSTITUTE(Z$37,"" "",""""))))-1),Excepciones!$A:$B,2,0)&gt;=0,IFERROR(INDEX(filter(Precios!$D:$D,(Precios!$A:$A&lt;=$I6)*(Precios!$B:$B&gt;=$I6)*(Precios!$C:$C=Z$"&amp;"37)),1)*(1-$K$6),""No asegurable""),""No asegurable"")),"""")"),52.0)</f>
        <v/>
      </c>
      <c r="AA21" s="112">
        <f>IFERROR(__xludf.DUMMYFUNCTION("IFERROR(IF($I6="""","""",IF(VLOOKUP(LEFT(AA$37,SEARCH(""☃"",SUBSTITUTE(AA$37,"" "",""☃"",LEN(AA$37)-LEN(SUBSTITUTE(AA$37,"" "",""""))))-1),Excepciones!$A:$B,2,0)&gt;=0,IFERROR(INDEX(filter(Precios!$D:$D,(Precios!$A:$A&lt;=$I6)*(Precios!$B:$B&gt;=$I6)*(Precios!$C:$"&amp;"C=AA$37)),1)*(1-$K$6),""No asegurable""),""No asegurable"")),"""")"),76.5)</f>
        <v/>
      </c>
      <c r="AB21" s="112">
        <f>IFERROR(__xludf.DUMMYFUNCTION("IFERROR(IF($I6="""","""",IF(VLOOKUP(LEFT(AB$37,SEARCH(""☃"",SUBSTITUTE(AB$37,"" "",""☃"",LEN(AB$37)-LEN(SUBSTITUTE(AB$37,"" "",""""))))-1),Excepciones!$A:$B,2,0)&gt;=0,IFERROR(INDEX(filter(Precios!$D:$D,(Precios!$A:$A&lt;=$I6)*(Precios!$B:$B&gt;=$I6)*(Precios!$C:$"&amp;"C=AB$37)),1)*(1-$K$6),""No asegurable""),""No asegurable"")),"""")"),58.5)</f>
        <v/>
      </c>
      <c r="AC21" s="115">
        <f>IFERROR(__xludf.DUMMYFUNCTION("IFERROR(IF($I6="""","""",IF(VLOOKUP(LEFT(AC$37,SEARCH(""☃"",SUBSTITUTE(AC$37,"" "",""☃"",LEN(AC$37)-LEN(SUBSTITUTE(AC$37,"" "",""""))))-1),Excepciones!$A:$B,2,0)&gt;=0,IFERROR(INDEX(filter(Precios!$D:$D,(Precios!$A:$A&lt;=$I6)*(Precios!$B:$B&gt;=$I6)*(Precios!$C:$"&amp;"C=AC$37)),1)*(1-$K$6),""No asegurable""),""No asegurable"")),"""")"),81.5)</f>
        <v/>
      </c>
      <c r="AD21" s="58" t="n"/>
      <c r="AJ21" s="109" t="n"/>
      <c r="AK21" s="109" t="n"/>
      <c r="AL21" s="58" t="n"/>
      <c r="AM21" s="58" t="n"/>
      <c r="AN21" s="58" t="n"/>
      <c r="AO21" s="58" t="n"/>
      <c r="AP21" s="58" t="n"/>
      <c r="AQ21" s="58" t="n"/>
      <c r="AR21" s="58" t="n"/>
      <c r="AS21" s="58" t="n"/>
      <c r="AT21" s="58" t="n"/>
      <c r="AU21" s="58" t="n"/>
      <c r="AV21" s="58" t="n"/>
    </row>
    <row r="22" ht="33.75" customHeight="1" s="241">
      <c r="L22" s="116" t="n">
        <v>2</v>
      </c>
      <c r="M22" s="48" t="n"/>
      <c r="N22" s="48">
        <f>N58</f>
        <v/>
      </c>
      <c r="O22" s="48">
        <f>IF(OR(O58="",O58=0),"",O58*(1-$K$8))</f>
        <v/>
      </c>
      <c r="P22" s="117" t="n"/>
      <c r="Q22" s="48">
        <f>IF(OR(Q58="",Q58=0),"",Q58*(1-$K$8))</f>
        <v/>
      </c>
      <c r="R22" s="48">
        <f>IF(OR(R58="",R58=0),"",R58*(1-$K$8))</f>
        <v/>
      </c>
      <c r="S22" s="117" t="n"/>
      <c r="T22" s="48">
        <f>IF(OR(T58="",T58=0),"",T58*(1-$K$8))</f>
        <v/>
      </c>
      <c r="U22" s="48">
        <f>IF(OR(U58="",U58=0),"",U58*(1-$K$8))</f>
        <v/>
      </c>
      <c r="V22" s="117" t="n"/>
      <c r="W22" s="48">
        <f>IFERROR(__xludf.DUMMYFUNCTION("IFERROR(IF($I7="""","""",IF(VLOOKUP(LEFT(W$37,SEARCH(""☃"",SUBSTITUTE(W$37,"" "",""☃"",LEN(W$37)-LEN(SUBSTITUTE(W$37,"" "",""""))))-1),Excepciones!$A:$B,2,0)&gt;=0,IFERROR(INDEX(filter(Precios!$D:$D,(Precios!$A:$A&lt;=$I7)*(Precios!$B:$B&gt;=$I7)*(Precios!$C:$C=W$"&amp;"37)),1)*(1-$K$6),""No asegurable""),""No asegurable"")),"""")"),63.5)</f>
        <v/>
      </c>
      <c r="X22" s="118" t="n"/>
      <c r="Y22" s="48">
        <f>IFERROR(__xludf.DUMMYFUNCTION("IFERROR(IF($I7="""","""",IF(VLOOKUP(LEFT(Y$37,SEARCH(""☃"",SUBSTITUTE(Y$37,"" "",""☃"",LEN(Y$37)-LEN(SUBSTITUTE(Y$37,"" "",""""))))-1),Excepciones!$A:$B,2,0)&gt;=0,IFERROR((INDEX(filter(Precios!$D:$D,(Precios!$A:$A&lt;=$I7)*(Precios!$B:$B&gt;=$I7)*(Precios!$C:$C=Y"&amp;"$37)),1)*(1-$K$6)+VLOOKUP($L22,Precios!$F:$G,2,0)),""No asegurable""),""No asegurable"")),"""")"),"")</f>
        <v/>
      </c>
      <c r="Z22" s="48">
        <f>IFERROR(__xludf.DUMMYFUNCTION("IFERROR(IF($I7="""","""",IF(VLOOKUP(LEFT(Z$37,SEARCH(""☃"",SUBSTITUTE(Z$37,"" "",""☃"",LEN(Z$37)-LEN(SUBSTITUTE(Z$37,"" "",""""))))-1),Excepciones!$A:$B,2,0)&gt;=0,IFERROR(INDEX(filter(Precios!$D:$D,(Precios!$A:$A&lt;=$I7)*(Precios!$B:$B&gt;=$I7)*(Precios!$C:$C=Z$"&amp;"37)),1)*(1-$K$6),""No asegurable""),""No asegurable"")),"""")"),52.0)</f>
        <v/>
      </c>
      <c r="AA22" s="48">
        <f>IFERROR(__xludf.DUMMYFUNCTION("IFERROR(IF($I7="""","""",IF(VLOOKUP(LEFT(AA$37,SEARCH(""☃"",SUBSTITUTE(AA$37,"" "",""☃"",LEN(AA$37)-LEN(SUBSTITUTE(AA$37,"" "",""""))))-1),Excepciones!$A:$B,2,0)&gt;=0,IFERROR(INDEX(filter(Precios!$D:$D,(Precios!$A:$A&lt;=$I7)*(Precios!$B:$B&gt;=$I7)*(Precios!$C:$"&amp;"C=AA$37)),1)*(1-$K$6),""No asegurable""),""No asegurable"")),"""")"),76.5)</f>
        <v/>
      </c>
      <c r="AB22" s="48">
        <f>IFERROR(__xludf.DUMMYFUNCTION("IFERROR(IF($I7="""","""",IF(VLOOKUP(LEFT(AB$37,SEARCH(""☃"",SUBSTITUTE(AB$37,"" "",""☃"",LEN(AB$37)-LEN(SUBSTITUTE(AB$37,"" "",""""))))-1),Excepciones!$A:$B,2,0)&gt;=0,IFERROR(INDEX(filter(Precios!$D:$D,(Precios!$A:$A&lt;=$I7)*(Precios!$B:$B&gt;=$I7)*(Precios!$C:$"&amp;"C=AB$37)),1)*(1-$K$6),""No asegurable""),""No asegurable"")),"""")"),58.5)</f>
        <v/>
      </c>
      <c r="AC22" s="119">
        <f>IFERROR(__xludf.DUMMYFUNCTION("IFERROR(IF($I7="""","""",IF(VLOOKUP(LEFT(AC$37,SEARCH(""☃"",SUBSTITUTE(AC$37,"" "",""☃"",LEN(AC$37)-LEN(SUBSTITUTE(AC$37,"" "",""""))))-1),Excepciones!$A:$B,2,0)&gt;=0,IFERROR(INDEX(filter(Precios!$D:$D,(Precios!$A:$A&lt;=$I7)*(Precios!$B:$B&gt;=$I7)*(Precios!$C:$"&amp;"C=AC$37)),1)*(1-$K$6),""No asegurable""),""No asegurable"")),"""")"),81.5)</f>
        <v/>
      </c>
      <c r="AD22" s="48" t="n"/>
      <c r="AJ22" s="109" t="n"/>
      <c r="AK22" s="109" t="n"/>
      <c r="AL22" s="58" t="n"/>
      <c r="AM22" s="58" t="n"/>
      <c r="AN22" s="58" t="n"/>
      <c r="AO22" s="58" t="n"/>
      <c r="AP22" s="58" t="n"/>
      <c r="AQ22" s="58" t="n"/>
      <c r="AR22" s="58" t="n"/>
      <c r="AS22" s="58" t="n"/>
      <c r="AT22" s="58" t="n"/>
      <c r="AU22" s="58" t="n"/>
      <c r="AV22" s="58" t="n"/>
    </row>
    <row r="23" ht="33.75" customHeight="1" s="241">
      <c r="L23" s="116" t="n">
        <v>3</v>
      </c>
      <c r="M23" s="48" t="n"/>
      <c r="N23" s="48">
        <f>N59</f>
        <v/>
      </c>
      <c r="O23" s="48">
        <f>IF(OR(O59="",O59=0),"",O59*(1-$K$8))</f>
        <v/>
      </c>
      <c r="P23" s="117" t="n"/>
      <c r="Q23" s="48">
        <f>IF(OR(Q59="",Q59=0),"",Q59*(1-$K$8))</f>
        <v/>
      </c>
      <c r="R23" s="48">
        <f>IF(OR(R59="",R59=0),"",R59*(1-$K$8))</f>
        <v/>
      </c>
      <c r="S23" s="117" t="n"/>
      <c r="T23" s="48">
        <f>IF(OR(T59="",T59=0),"",T59*(1-$K$8))</f>
        <v/>
      </c>
      <c r="U23" s="48">
        <f>IF(OR(U59="",U59=0),"",U59*(1-$K$8))</f>
        <v/>
      </c>
      <c r="V23" s="117" t="n"/>
      <c r="W23" s="48">
        <f>IFERROR(__xludf.DUMMYFUNCTION("IFERROR(IF($I8="""","""",IF(VLOOKUP(LEFT(W$37,SEARCH(""☃"",SUBSTITUTE(W$37,"" "",""☃"",LEN(W$37)-LEN(SUBSTITUTE(W$37,"" "",""""))))-1),Excepciones!$A:$B,2,0)&gt;=0,IFERROR(INDEX(filter(Precios!$D:$D,(Precios!$A:$A&lt;=$I8)*(Precios!$B:$B&gt;=$I8)*(Precios!$C:$C=W$"&amp;"37)),1)*(1-$K$6),""No asegurable""),""No asegurable"")),"""")"),127.0)</f>
        <v/>
      </c>
      <c r="X23" s="118" t="n"/>
      <c r="Y23" s="48">
        <f>IFERROR(__xludf.DUMMYFUNCTION("IFERROR(IF($I8="""","""",IF(VLOOKUP(LEFT(Y$37,SEARCH(""☃"",SUBSTITUTE(Y$37,"" "",""☃"",LEN(Y$37)-LEN(SUBSTITUTE(Y$37,"" "",""""))))-1),Excepciones!$A:$B,2,0)&gt;=0,IFERROR((INDEX(filter(Precios!$D:$D,(Precios!$A:$A&lt;=$I8)*(Precios!$B:$B&gt;=$I8)*(Precios!$C:$C=Y"&amp;"$37)),1)*(1-$K$6)+VLOOKUP($L23,Precios!$F:$G,2,0)),""No asegurable""),""No asegurable"")),"""")"),"")</f>
        <v/>
      </c>
      <c r="Z23" s="48">
        <f>IFERROR(__xludf.DUMMYFUNCTION("IFERROR(IF($I8="""","""",IF(VLOOKUP(LEFT(Z$37,SEARCH(""☃"",SUBSTITUTE(Z$37,"" "",""☃"",LEN(Z$37)-LEN(SUBSTITUTE(Z$37,"" "",""""))))-1),Excepciones!$A:$B,2,0)&gt;=0,IFERROR(INDEX(filter(Precios!$D:$D,(Precios!$A:$A&lt;=$I8)*(Precios!$B:$B&gt;=$I8)*(Precios!$C:$C=Z$"&amp;"37)),1)*(1-$K$6),""No asegurable""),""No asegurable"")),"""")"),81.0)</f>
        <v/>
      </c>
      <c r="AA23" s="48">
        <f>IFERROR(__xludf.DUMMYFUNCTION("IFERROR(IF($I8="""","""",IF(VLOOKUP(LEFT(AA$37,SEARCH(""☃"",SUBSTITUTE(AA$37,"" "",""☃"",LEN(AA$37)-LEN(SUBSTITUTE(AA$37,"" "",""""))))-1),Excepciones!$A:$B,2,0)&gt;=0,IFERROR(INDEX(filter(Precios!$D:$D,(Precios!$A:$A&lt;=$I8)*(Precios!$B:$B&gt;=$I8)*(Precios!$C:$"&amp;"C=AA$37)),1)*(1-$K$6),""No asegurable""),""No asegurable"")),"""")"),115.0)</f>
        <v/>
      </c>
      <c r="AB23" s="48">
        <f>IFERROR(__xludf.DUMMYFUNCTION("IFERROR(IF($I8="""","""",IF(VLOOKUP(LEFT(AB$37,SEARCH(""☃"",SUBSTITUTE(AB$37,"" "",""☃"",LEN(AB$37)-LEN(SUBSTITUTE(AB$37,"" "",""""))))-1),Excepciones!$A:$B,2,0)&gt;=0,IFERROR(INDEX(filter(Precios!$D:$D,(Precios!$A:$A&lt;=$I8)*(Precios!$B:$B&gt;=$I8)*(Precios!$C:$"&amp;"C=AB$37)),1)*(1-$K$6),""No asegurable""),""No asegurable"")),"""")"),58.5)</f>
        <v/>
      </c>
      <c r="AC23" s="119">
        <f>IFERROR(__xludf.DUMMYFUNCTION("IFERROR(IF($I8="""","""",IF(VLOOKUP(LEFT(AC$37,SEARCH(""☃"",SUBSTITUTE(AC$37,"" "",""☃"",LEN(AC$37)-LEN(SUBSTITUTE(AC$37,"" "",""""))))-1),Excepciones!$A:$B,2,0)&gt;=0,IFERROR(INDEX(filter(Precios!$D:$D,(Precios!$A:$A&lt;=$I8)*(Precios!$B:$B&gt;=$I8)*(Precios!$C:$"&amp;"C=AC$37)),1)*(1-$K$6),""No asegurable""),""No asegurable"")),"""")"),81.5)</f>
        <v/>
      </c>
      <c r="AD23" s="58" t="n"/>
      <c r="AJ23" s="109" t="n"/>
      <c r="AK23" s="109" t="n"/>
      <c r="AL23" s="58" t="n"/>
      <c r="AM23" s="58" t="n"/>
      <c r="AN23" s="58" t="n"/>
      <c r="AO23" s="58" t="n"/>
      <c r="AP23" s="58" t="n"/>
      <c r="AQ23" s="58" t="n"/>
      <c r="AR23" s="58" t="n"/>
      <c r="AS23" s="58" t="n"/>
      <c r="AT23" s="58" t="n"/>
      <c r="AU23" s="58" t="n"/>
      <c r="AV23" s="58" t="n"/>
    </row>
    <row r="24" ht="33.75" customHeight="1" s="241">
      <c r="L24" s="116" t="n">
        <v>4</v>
      </c>
      <c r="M24" s="48" t="n"/>
      <c r="N24" s="48">
        <f>N60</f>
        <v/>
      </c>
      <c r="O24" s="48">
        <f>IF(OR(O60="",O60=0),"",O60*(1-$K$8))</f>
        <v/>
      </c>
      <c r="P24" s="117" t="n"/>
      <c r="Q24" s="48">
        <f>IF(OR(Q60="",Q60=0),"",Q60*(1-$K$8))</f>
        <v/>
      </c>
      <c r="R24" s="48">
        <f>IF(OR(R60="",R60=0),"",R60*(1-$K$8))</f>
        <v/>
      </c>
      <c r="S24" s="117" t="n"/>
      <c r="T24" s="48">
        <f>IF(OR(T60="",T60=0),"",T60*(1-$K$8))</f>
        <v/>
      </c>
      <c r="U24" s="48">
        <f>IF(OR(U60="",U60=0),"",U60*(1-$K$8))</f>
        <v/>
      </c>
      <c r="V24" s="117" t="n"/>
      <c r="W24" s="48">
        <f>IFERROR(__xludf.DUMMYFUNCTION("IFERROR(IF($I9="""","""",IF(VLOOKUP(LEFT(W$37,SEARCH(""☃"",SUBSTITUTE(W$37,"" "",""☃"",LEN(W$37)-LEN(SUBSTITUTE(W$37,"" "",""""))))-1),Excepciones!$A:$B,2,0)&gt;=0,IFERROR(INDEX(filter(Precios!$D:$D,(Precios!$A:$A&lt;=$I9)*(Precios!$B:$B&gt;=$I9)*(Precios!$C:$C=W$"&amp;"37)),1)*(1-$K$6),""No asegurable""),""No asegurable"")),"""")"),238.0)</f>
        <v/>
      </c>
      <c r="X24" s="118" t="n"/>
      <c r="Y24" s="48">
        <f>IFERROR(__xludf.DUMMYFUNCTION("IFERROR(IF($I9="""","""",IF(VLOOKUP(LEFT(Y$37,SEARCH(""☃"",SUBSTITUTE(Y$37,"" "",""☃"",LEN(Y$37)-LEN(SUBSTITUTE(Y$37,"" "",""""))))-1),Excepciones!$A:$B,2,0)&gt;=0,IFERROR((INDEX(filter(Precios!$D:$D,(Precios!$A:$A&lt;=$I9)*(Precios!$B:$B&gt;=$I9)*(Precios!$C:$C=Y"&amp;"$37)),1)*(1-$K$6)+VLOOKUP($L24,Precios!$F:$G,2,0)),""No asegurable""),""No asegurable"")),"""")"),"")</f>
        <v/>
      </c>
      <c r="Z24" s="48">
        <f>IFERROR(__xludf.DUMMYFUNCTION("IFERROR(IF($I9="""","""",IF(VLOOKUP(LEFT(Z$37,SEARCH(""☃"",SUBSTITUTE(Z$37,"" "",""☃"",LEN(Z$37)-LEN(SUBSTITUTE(Z$37,"" "",""""))))-1),Excepciones!$A:$B,2,0)&gt;=0,IFERROR(INDEX(filter(Precios!$D:$D,(Precios!$A:$A&lt;=$I9)*(Precios!$B:$B&gt;=$I9)*(Precios!$C:$C=Z$"&amp;"37)),1)*(1-$K$6),""No asegurable""),""No asegurable"")),"""")"),105.0)</f>
        <v/>
      </c>
      <c r="AA24" s="48">
        <f>IFERROR(__xludf.DUMMYFUNCTION("IFERROR(IF($I9="""","""",IF(VLOOKUP(LEFT(AA$37,SEARCH(""☃"",SUBSTITUTE(AA$37,"" "",""☃"",LEN(AA$37)-LEN(SUBSTITUTE(AA$37,"" "",""""))))-1),Excepciones!$A:$B,2,0)&gt;=0,IFERROR(INDEX(filter(Precios!$D:$D,(Precios!$A:$A&lt;=$I9)*(Precios!$B:$B&gt;=$I9)*(Precios!$C:$"&amp;"C=AA$37)),1)*(1-$K$6),""No asegurable""),""No asegurable"")),"""")"),137.0)</f>
        <v/>
      </c>
      <c r="AB24" s="48">
        <f>IFERROR(__xludf.DUMMYFUNCTION("IFERROR(IF($I9="""","""",IF(VLOOKUP(LEFT(AB$37,SEARCH(""☃"",SUBSTITUTE(AB$37,"" "",""☃"",LEN(AB$37)-LEN(SUBSTITUTE(AB$37,"" "",""""))))-1),Excepciones!$A:$B,2,0)&gt;=0,IFERROR(INDEX(filter(Precios!$D:$D,(Precios!$A:$A&lt;=$I9)*(Precios!$B:$B&gt;=$I9)*(Precios!$C:$"&amp;"C=AB$37)),1)*(1-$K$6),""No asegurable""),""No asegurable"")),"""")"),92.0)</f>
        <v/>
      </c>
      <c r="AC24" s="119">
        <f>IFERROR(__xludf.DUMMYFUNCTION("IFERROR(IF($I9="""","""",IF(VLOOKUP(LEFT(AC$37,SEARCH(""☃"",SUBSTITUTE(AC$37,"" "",""☃"",LEN(AC$37)-LEN(SUBSTITUTE(AC$37,"" "",""""))))-1),Excepciones!$A:$B,2,0)&gt;=0,IFERROR(INDEX(filter(Precios!$D:$D,(Precios!$A:$A&lt;=$I9)*(Precios!$B:$B&gt;=$I9)*(Precios!$C:$"&amp;"C=AC$37)),1)*(1-$K$6),""No asegurable""),""No asegurable"")),"""")"),115.0)</f>
        <v/>
      </c>
      <c r="AD24" s="48" t="n"/>
      <c r="AJ24" s="109" t="n"/>
      <c r="AK24" s="109" t="n"/>
      <c r="AL24" s="58" t="n"/>
      <c r="AM24" s="58" t="n"/>
      <c r="AN24" s="58" t="n"/>
      <c r="AO24" s="58" t="n"/>
      <c r="AP24" s="58" t="n"/>
      <c r="AQ24" s="58" t="n"/>
      <c r="AR24" s="58" t="n"/>
      <c r="AS24" s="58" t="n"/>
      <c r="AT24" s="58" t="n"/>
      <c r="AU24" s="58" t="n"/>
      <c r="AV24" s="58" t="n"/>
    </row>
    <row r="25" ht="32.25" customHeight="1" s="241">
      <c r="L25" s="116" t="n">
        <v>5</v>
      </c>
      <c r="M25" s="48" t="n"/>
      <c r="N25" s="48">
        <f>N61</f>
        <v/>
      </c>
      <c r="O25" s="48">
        <f>IF(OR(O61="",O61=0),"",O61*(1-$K$8))</f>
        <v/>
      </c>
      <c r="P25" s="117" t="n"/>
      <c r="Q25" s="48">
        <f>IF(OR(Q61="",Q61=0),"",Q61*(1-$K$8))</f>
        <v/>
      </c>
      <c r="R25" s="48">
        <f>IF(OR(R61="",R61=0),"",R61*(1-$K$8))</f>
        <v/>
      </c>
      <c r="S25" s="117" t="n"/>
      <c r="T25" s="48">
        <f>IF(OR(T61="",T61=0),"",T61*(1-$K$8))</f>
        <v/>
      </c>
      <c r="U25" s="48">
        <f>IF(OR(U61="",U61=0),"",U61*(1-$K$8))</f>
        <v/>
      </c>
      <c r="V25" s="117" t="n"/>
      <c r="W25" s="48">
        <f>IFERROR(__xludf.DUMMYFUNCTION("IFERROR(IF($I10="""","""",IF(VLOOKUP(LEFT(W$37,SEARCH(""☃"",SUBSTITUTE(W$37,"" "",""☃"",LEN(W$37)-LEN(SUBSTITUTE(W$37,"" "",""""))))-1),Excepciones!$A:$B,2,0)&gt;=0,IFERROR(INDEX(filter(Precios!$D:$D,(Precios!$A:$A&lt;=$I10)*(Precios!$B:$B&gt;=$I10)*(Precios!$C:$C"&amp;"=W$37)),1)*(1-$K$6),""No asegurable""),""No asegurable"")),"""")"),"")</f>
        <v/>
      </c>
      <c r="X25" s="118" t="n"/>
      <c r="Y25" s="48">
        <f>IFERROR(__xludf.DUMMYFUNCTION("IFERROR(IF($I10="""","""",IF(VLOOKUP(LEFT(Y$37,SEARCH(""☃"",SUBSTITUTE(Y$37,"" "",""☃"",LEN(Y$37)-LEN(SUBSTITUTE(Y$37,"" "",""""))))-1),Excepciones!$A:$B,2,0)&gt;=0,IFERROR((INDEX(filter(Precios!$D:$D,(Precios!$A:$A&lt;=$I10)*(Precios!$B:$B&gt;=$I10)*(Precios!$C:$"&amp;"C=Y$37)),1)*(1-$K$6)+VLOOKUP($L25,Precios!$F:$G,2,0)),""No asegurable""),""No asegurable"")),"""")"),"")</f>
        <v/>
      </c>
      <c r="Z25" s="48">
        <f>IFERROR(__xludf.DUMMYFUNCTION("IFERROR(IF($I10="""","""",IF(VLOOKUP(LEFT(Z$37,SEARCH(""☃"",SUBSTITUTE(Z$37,"" "",""☃"",LEN(Z$37)-LEN(SUBSTITUTE(Z$37,"" "",""""))))-1),Excepciones!$A:$B,2,0)&gt;=0,IFERROR(INDEX(filter(Precios!$D:$D,(Precios!$A:$A&lt;=$I10)*(Precios!$B:$B&gt;=$I10)*(Precios!$C:$C"&amp;"=Z$37)),1)*(1-$K$6),""No asegurable""),""No asegurable"")),"""")"),"")</f>
        <v/>
      </c>
      <c r="AA25" s="48">
        <f>IFERROR(__xludf.DUMMYFUNCTION("IFERROR(IF($I10="""","""",IF(VLOOKUP(LEFT(AA$37,SEARCH(""☃"",SUBSTITUTE(AA$37,"" "",""☃"",LEN(AA$37)-LEN(SUBSTITUTE(AA$37,"" "",""""))))-1),Excepciones!$A:$B,2,0)&gt;=0,IFERROR(INDEX(filter(Precios!$D:$D,(Precios!$A:$A&lt;=$I10)*(Precios!$B:$B&gt;=$I10)*(Precios!$"&amp;"C:$C=AA$37)),1)*(1-$K$6),""No asegurable""),""No asegurable"")),"""")"),"")</f>
        <v/>
      </c>
      <c r="AB25" s="48">
        <f>IFERROR(__xludf.DUMMYFUNCTION("IFERROR(IF($I10="""","""",IF(VLOOKUP(LEFT(AB$37,SEARCH(""☃"",SUBSTITUTE(AB$37,"" "",""☃"",LEN(AB$37)-LEN(SUBSTITUTE(AB$37,"" "",""""))))-1),Excepciones!$A:$B,2,0)&gt;=0,IFERROR(INDEX(filter(Precios!$D:$D,(Precios!$A:$A&lt;=$I10)*(Precios!$B:$B&gt;=$I10)*(Precios!$"&amp;"C:$C=AB$37)),1)*(1-$K$6),""No asegurable""),""No asegurable"")),"""")"),"")</f>
        <v/>
      </c>
      <c r="AC25" s="119">
        <f>IFERROR(__xludf.DUMMYFUNCTION("IFERROR(IF($I10="""","""",IF(VLOOKUP(LEFT(AC$37,SEARCH(""☃"",SUBSTITUTE(AC$37,"" "",""☃"",LEN(AC$37)-LEN(SUBSTITUTE(AC$37,"" "",""""))))-1),Excepciones!$A:$B,2,0)&gt;=0,IFERROR(INDEX(filter(Precios!$D:$D,(Precios!$A:$A&lt;=$I10)*(Precios!$B:$B&gt;=$I10)*(Precios!$"&amp;"C:$C=AC$37)),1)*(1-$K$6),""No asegurable""),""No asegurable"")),"""")"),"")</f>
        <v/>
      </c>
      <c r="AJ25" s="109" t="n"/>
      <c r="AK25" s="109" t="n"/>
      <c r="AL25" s="58" t="n"/>
      <c r="AM25" s="58" t="n"/>
      <c r="AN25" s="58" t="n"/>
      <c r="AO25" s="58" t="n"/>
      <c r="AP25" s="58" t="n"/>
      <c r="AQ25" s="58" t="n"/>
      <c r="AR25" s="58" t="n"/>
      <c r="AS25" s="58" t="n"/>
      <c r="AT25" s="58" t="n"/>
      <c r="AU25" s="58" t="n"/>
      <c r="AV25" s="58" t="n"/>
    </row>
    <row r="26" ht="32.25" customHeight="1" s="241">
      <c r="B26" s="121" t="n"/>
      <c r="C26" s="121" t="n"/>
      <c r="D26" s="121" t="n"/>
      <c r="E26" s="121" t="n"/>
      <c r="F26" s="121" t="n"/>
      <c r="G26" s="121" t="n"/>
      <c r="H26" s="121" t="n"/>
      <c r="I26" s="122" t="n"/>
      <c r="K26" s="234" t="n"/>
      <c r="L26" s="116" t="n">
        <v>6</v>
      </c>
      <c r="M26" s="48" t="n"/>
      <c r="N26" s="48">
        <f>N62</f>
        <v/>
      </c>
      <c r="O26" s="48">
        <f>IF(OR(O62="",O62=0),"",O62*(1-$K$8))</f>
        <v/>
      </c>
      <c r="P26" s="117" t="n"/>
      <c r="Q26" s="48">
        <f>IF(OR(Q62="",Q62=0),"",Q62*(1-$K$8))</f>
        <v/>
      </c>
      <c r="R26" s="48">
        <f>IF(OR(R62="",R62=0),"",R62*(1-$K$8))</f>
        <v/>
      </c>
      <c r="S26" s="117" t="n"/>
      <c r="T26" s="48">
        <f>IF(OR(T62="",T62=0),"",T62*(1-$K$8))</f>
        <v/>
      </c>
      <c r="U26" s="48">
        <f>IF(OR(U62="",U62=0),"",U62*(1-$K$8))</f>
        <v/>
      </c>
      <c r="V26" s="117" t="n"/>
      <c r="W26" s="48">
        <f>IFERROR(__xludf.DUMMYFUNCTION("IFERROR(IF($I11="""","""",IF(VLOOKUP(LEFT(W$37,SEARCH(""☃"",SUBSTITUTE(W$37,"" "",""☃"",LEN(W$37)-LEN(SUBSTITUTE(W$37,"" "",""""))))-1),Excepciones!$A:$B,2,0)&gt;=0,IFERROR(INDEX(filter(Precios!$D:$D,(Precios!$A:$A&lt;=$I11)*(Precios!$B:$B&gt;=$I11)*(Precios!$C:$C"&amp;"=W$37)),1)*(1-$K$6),""No asegurable""),""No asegurable"")),"""")"),"")</f>
        <v/>
      </c>
      <c r="X26" s="118" t="n"/>
      <c r="Y26" s="48">
        <f>IFERROR(__xludf.DUMMYFUNCTION("IFERROR(IF($I11="""","""",IF(VLOOKUP(LEFT(Y$37,SEARCH(""☃"",SUBSTITUTE(Y$37,"" "",""☃"",LEN(Y$37)-LEN(SUBSTITUTE(Y$37,"" "",""""))))-1),Excepciones!$A:$B,2,0)&gt;=0,IFERROR((INDEX(filter(Precios!$D:$D,(Precios!$A:$A&lt;=$I11)*(Precios!$B:$B&gt;=$I11)*(Precios!$C:$"&amp;"C=Y$37)),1)*(1-$K$6)+VLOOKUP($L26,Precios!$F:$G,2,0)),""No asegurable""),""No asegurable"")),"""")"),"")</f>
        <v/>
      </c>
      <c r="Z26" s="48">
        <f>IFERROR(__xludf.DUMMYFUNCTION("IFERROR(IF($I11="""","""",IF(VLOOKUP(LEFT(Z$37,SEARCH(""☃"",SUBSTITUTE(Z$37,"" "",""☃"",LEN(Z$37)-LEN(SUBSTITUTE(Z$37,"" "",""""))))-1),Excepciones!$A:$B,2,0)&gt;=0,IFERROR(INDEX(filter(Precios!$D:$D,(Precios!$A:$A&lt;=$I11)*(Precios!$B:$B&gt;=$I11)*(Precios!$C:$C"&amp;"=Z$37)),1)*(1-$K$6),""No asegurable""),""No asegurable"")),"""")"),"")</f>
        <v/>
      </c>
      <c r="AA26" s="48">
        <f>IFERROR(__xludf.DUMMYFUNCTION("IFERROR(IF($I11="""","""",IF(VLOOKUP(LEFT(AA$37,SEARCH(""☃"",SUBSTITUTE(AA$37,"" "",""☃"",LEN(AA$37)-LEN(SUBSTITUTE(AA$37,"" "",""""))))-1),Excepciones!$A:$B,2,0)&gt;=0,IFERROR(INDEX(filter(Precios!$D:$D,(Precios!$A:$A&lt;=$I11)*(Precios!$B:$B&gt;=$I11)*(Precios!$"&amp;"C:$C=AA$37)),1)*(1-$K$6),""No asegurable""),""No asegurable"")),"""")"),"")</f>
        <v/>
      </c>
      <c r="AB26" s="48">
        <f>IFERROR(__xludf.DUMMYFUNCTION("IFERROR(IF($I11="""","""",IF(VLOOKUP(LEFT(AB$37,SEARCH(""☃"",SUBSTITUTE(AB$37,"" "",""☃"",LEN(AB$37)-LEN(SUBSTITUTE(AB$37,"" "",""""))))-1),Excepciones!$A:$B,2,0)&gt;=0,IFERROR(INDEX(filter(Precios!$D:$D,(Precios!$A:$A&lt;=$I11)*(Precios!$B:$B&gt;=$I11)*(Precios!$"&amp;"C:$C=AB$37)),1)*(1-$K$6),""No asegurable""),""No asegurable"")),"""")"),"")</f>
        <v/>
      </c>
      <c r="AC26" s="119">
        <f>IFERROR(__xludf.DUMMYFUNCTION("IFERROR(IF($I11="""","""",IF(VLOOKUP(LEFT(AC$37,SEARCH(""☃"",SUBSTITUTE(AC$37,"" "",""☃"",LEN(AC$37)-LEN(SUBSTITUTE(AC$37,"" "",""""))))-1),Excepciones!$A:$B,2,0)&gt;=0,IFERROR(INDEX(filter(Precios!$D:$D,(Precios!$A:$A&lt;=$I11)*(Precios!$B:$B&gt;=$I11)*(Precios!$"&amp;"C:$C=AC$37)),1)*(1-$K$6),""No asegurable""),""No asegurable"")),"""")"),"")</f>
        <v/>
      </c>
      <c r="AJ26" s="109" t="n"/>
      <c r="AK26" s="109" t="n"/>
      <c r="AL26" s="58" t="n"/>
      <c r="AM26" s="58" t="n"/>
      <c r="AN26" s="58" t="n"/>
      <c r="AO26" s="58" t="n"/>
      <c r="AP26" s="58" t="n"/>
      <c r="AQ26" s="58" t="n"/>
      <c r="AR26" s="58" t="n"/>
      <c r="AS26" s="58" t="n"/>
      <c r="AT26" s="58" t="n"/>
      <c r="AU26" s="58" t="n"/>
      <c r="AV26" s="58" t="n"/>
    </row>
    <row r="27" ht="32.25" customHeight="1" s="241">
      <c r="B27" s="124" t="n"/>
      <c r="C27" s="121" t="n"/>
      <c r="D27" s="121" t="n"/>
      <c r="E27" s="121" t="n"/>
      <c r="F27" s="121" t="n"/>
      <c r="G27" s="121" t="n"/>
      <c r="H27" s="121" t="n"/>
      <c r="I27" s="122" t="n"/>
      <c r="K27" s="234" t="n"/>
      <c r="L27" s="116" t="n">
        <v>7</v>
      </c>
      <c r="M27" s="48" t="n"/>
      <c r="N27" s="48">
        <f>N63</f>
        <v/>
      </c>
      <c r="O27" s="48">
        <f>IF(OR(O63="",O63=0),"",O63*(1-$K$8))</f>
        <v/>
      </c>
      <c r="P27" s="117" t="n"/>
      <c r="Q27" s="48">
        <f>IF(OR(Q63="",Q63=0),"",Q63*(1-$K$8))</f>
        <v/>
      </c>
      <c r="R27" s="48">
        <f>IF(OR(R63="",R63=0),"",R63*(1-$K$8))</f>
        <v/>
      </c>
      <c r="S27" s="117" t="n"/>
      <c r="T27" s="48">
        <f>IF(OR(T63="",T63=0),"",T63*(1-$K$8))</f>
        <v/>
      </c>
      <c r="U27" s="48">
        <f>IF(OR(U63="",U63=0),"",U63*(1-$K$8))</f>
        <v/>
      </c>
      <c r="V27" s="117" t="n"/>
      <c r="W27" s="48">
        <f>IFERROR(__xludf.DUMMYFUNCTION("IFERROR(IF($I12="""","""",IF(VLOOKUP(LEFT(W$37,SEARCH(""☃"",SUBSTITUTE(W$37,"" "",""☃"",LEN(W$37)-LEN(SUBSTITUTE(W$37,"" "",""""))))-1),Excepciones!$A:$B,2,0)&gt;=0,IFERROR(INDEX(filter(Precios!$D:$D,(Precios!$A:$A&lt;=$I12)*(Precios!$B:$B&gt;=$I12)*(Precios!$C:$C"&amp;"=W$37)),1)*(1-$K$6),""No asegurable""),""No asegurable"")),"""")"),"")</f>
        <v/>
      </c>
      <c r="X27" s="118" t="n"/>
      <c r="Y27" s="48">
        <f>IFERROR(__xludf.DUMMYFUNCTION("IFERROR(IF($I12="""","""",IF(VLOOKUP(LEFT(Y$37,SEARCH(""☃"",SUBSTITUTE(Y$37,"" "",""☃"",LEN(Y$37)-LEN(SUBSTITUTE(Y$37,"" "",""""))))-1),Excepciones!$A:$B,2,0)&gt;=0,IFERROR((INDEX(filter(Precios!$D:$D,(Precios!$A:$A&lt;=$I12)*(Precios!$B:$B&gt;=$I12)*(Precios!$C:$"&amp;"C=Y$37)),1)*(1-$K$6)+VLOOKUP($L27,Precios!$F:$G,2,0)),""No asegurable""),""No asegurable"")),"""")"),"")</f>
        <v/>
      </c>
      <c r="Z27" s="48">
        <f>IFERROR(__xludf.DUMMYFUNCTION("IFERROR(IF($I12="""","""",IF(VLOOKUP(LEFT(Z$37,SEARCH(""☃"",SUBSTITUTE(Z$37,"" "",""☃"",LEN(Z$37)-LEN(SUBSTITUTE(Z$37,"" "",""""))))-1),Excepciones!$A:$B,2,0)&gt;=0,IFERROR(INDEX(filter(Precios!$D:$D,(Precios!$A:$A&lt;=$I12)*(Precios!$B:$B&gt;=$I12)*(Precios!$C:$C"&amp;"=Z$37)),1)*(1-$K$6),""No asegurable""),""No asegurable"")),"""")"),"")</f>
        <v/>
      </c>
      <c r="AA27" s="48">
        <f>IFERROR(__xludf.DUMMYFUNCTION("IFERROR(IF($I12="""","""",IF(VLOOKUP(LEFT(AA$37,SEARCH(""☃"",SUBSTITUTE(AA$37,"" "",""☃"",LEN(AA$37)-LEN(SUBSTITUTE(AA$37,"" "",""""))))-1),Excepciones!$A:$B,2,0)&gt;=0,IFERROR(INDEX(filter(Precios!$D:$D,(Precios!$A:$A&lt;=$I12)*(Precios!$B:$B&gt;=$I12)*(Precios!$"&amp;"C:$C=AA$37)),1)*(1-$K$6),""No asegurable""),""No asegurable"")),"""")"),"")</f>
        <v/>
      </c>
      <c r="AB27" s="48">
        <f>IFERROR(__xludf.DUMMYFUNCTION("IFERROR(IF($I12="""","""",IF(VLOOKUP(LEFT(AB$37,SEARCH(""☃"",SUBSTITUTE(AB$37,"" "",""☃"",LEN(AB$37)-LEN(SUBSTITUTE(AB$37,"" "",""""))))-1),Excepciones!$A:$B,2,0)&gt;=0,IFERROR(INDEX(filter(Precios!$D:$D,(Precios!$A:$A&lt;=$I12)*(Precios!$B:$B&gt;=$I12)*(Precios!$"&amp;"C:$C=AB$37)),1)*(1-$K$6),""No asegurable""),""No asegurable"")),"""")"),"")</f>
        <v/>
      </c>
      <c r="AC27" s="119">
        <f>IFERROR(__xludf.DUMMYFUNCTION("IFERROR(IF($I12="""","""",IF(VLOOKUP(LEFT(AC$37,SEARCH(""☃"",SUBSTITUTE(AC$37,"" "",""☃"",LEN(AC$37)-LEN(SUBSTITUTE(AC$37,"" "",""""))))-1),Excepciones!$A:$B,2,0)&gt;=0,IFERROR(INDEX(filter(Precios!$D:$D,(Precios!$A:$A&lt;=$I12)*(Precios!$B:$B&gt;=$I12)*(Precios!$"&amp;"C:$C=AC$37)),1)*(1-$K$6),""No asegurable""),""No asegurable"")),"""")"),"")</f>
        <v/>
      </c>
      <c r="AJ27" s="109" t="n"/>
      <c r="AK27" s="109" t="n"/>
      <c r="AL27" s="58" t="n"/>
      <c r="AM27" s="58" t="n"/>
      <c r="AN27" s="58" t="n"/>
      <c r="AO27" s="58" t="n"/>
      <c r="AP27" s="58" t="n"/>
      <c r="AQ27" s="58" t="n"/>
      <c r="AR27" s="58" t="n"/>
      <c r="AS27" s="58" t="n"/>
      <c r="AT27" s="58" t="n"/>
      <c r="AU27" s="58" t="n"/>
      <c r="AV27" s="58" t="n"/>
    </row>
    <row r="28" ht="32.25" customHeight="1" s="241">
      <c r="B28" s="124" t="n"/>
      <c r="C28" s="121" t="n"/>
      <c r="D28" s="121" t="n"/>
      <c r="E28" s="121" t="n"/>
      <c r="F28" s="121" t="n"/>
      <c r="G28" s="121" t="n"/>
      <c r="H28" s="121" t="n"/>
      <c r="I28" s="122" t="n"/>
      <c r="K28" s="234" t="n"/>
      <c r="L28" s="116" t="n">
        <v>8</v>
      </c>
      <c r="M28" s="48" t="n"/>
      <c r="N28" s="48">
        <f>N64</f>
        <v/>
      </c>
      <c r="O28" s="48">
        <f>IF(OR(O64="",O64=0),"",O64*(1-$K$8))</f>
        <v/>
      </c>
      <c r="P28" s="117" t="n"/>
      <c r="Q28" s="48">
        <f>IF(OR(Q64="",Q64=0),"",Q64*(1-$K$8))</f>
        <v/>
      </c>
      <c r="R28" s="48">
        <f>IF(OR(R64="",R64=0),"",R64*(1-$K$8))</f>
        <v/>
      </c>
      <c r="S28" s="117" t="n"/>
      <c r="T28" s="48">
        <f>IF(OR(T64="",T64=0),"",T64*(1-$K$8))</f>
        <v/>
      </c>
      <c r="U28" s="48">
        <f>IF(OR(U64="",U64=0),"",U64*(1-$K$8))</f>
        <v/>
      </c>
      <c r="V28" s="117" t="n"/>
      <c r="W28" s="48">
        <f>IFERROR(__xludf.DUMMYFUNCTION("IFERROR(IF($I13="""","""",IF(VLOOKUP(LEFT(W$37,SEARCH(""☃"",SUBSTITUTE(W$37,"" "",""☃"",LEN(W$37)-LEN(SUBSTITUTE(W$37,"" "",""""))))-1),Excepciones!$A:$B,2,0)&gt;=0,IFERROR(INDEX(filter(Precios!$D:$D,(Precios!$A:$A&lt;=$I13)*(Precios!$B:$B&gt;=$I13)*(Precios!$C:$C"&amp;"=W$37)),1)*(1-$K$6),""No asegurable""),""No asegurable"")),"""")"),"")</f>
        <v/>
      </c>
      <c r="X28" s="118" t="n"/>
      <c r="Y28" s="48">
        <f>IFERROR(__xludf.DUMMYFUNCTION("IFERROR(IF($I13="""","""",IF(VLOOKUP(LEFT(Y$37,SEARCH(""☃"",SUBSTITUTE(Y$37,"" "",""☃"",LEN(Y$37)-LEN(SUBSTITUTE(Y$37,"" "",""""))))-1),Excepciones!$A:$B,2,0)&gt;=0,IFERROR((INDEX(filter(Precios!$D:$D,(Precios!$A:$A&lt;=$I13)*(Precios!$B:$B&gt;=$I13)*(Precios!$C:$"&amp;"C=Y$37)),1)*(1-$K$6)+VLOOKUP($L28,Precios!$F:$G,2,0)),""No asegurable""),""No asegurable"")),"""")"),"")</f>
        <v/>
      </c>
      <c r="Z28" s="48">
        <f>IFERROR(__xludf.DUMMYFUNCTION("IFERROR(IF($I13="""","""",IF(VLOOKUP(LEFT(Z$37,SEARCH(""☃"",SUBSTITUTE(Z$37,"" "",""☃"",LEN(Z$37)-LEN(SUBSTITUTE(Z$37,"" "",""""))))-1),Excepciones!$A:$B,2,0)&gt;=0,IFERROR(INDEX(filter(Precios!$D:$D,(Precios!$A:$A&lt;=$I13)*(Precios!$B:$B&gt;=$I13)*(Precios!$C:$C"&amp;"=Z$37)),1)*(1-$K$6),""No asegurable""),""No asegurable"")),"""")"),"")</f>
        <v/>
      </c>
      <c r="AA28" s="48">
        <f>IFERROR(__xludf.DUMMYFUNCTION("IFERROR(IF($I13="""","""",IF(VLOOKUP(LEFT(AA$37,SEARCH(""☃"",SUBSTITUTE(AA$37,"" "",""☃"",LEN(AA$37)-LEN(SUBSTITUTE(AA$37,"" "",""""))))-1),Excepciones!$A:$B,2,0)&gt;=0,IFERROR(INDEX(filter(Precios!$D:$D,(Precios!$A:$A&lt;=$I13)*(Precios!$B:$B&gt;=$I13)*(Precios!$"&amp;"C:$C=AA$37)),1)*(1-$K$6),""No asegurable""),""No asegurable"")),"""")"),"")</f>
        <v/>
      </c>
      <c r="AB28" s="48">
        <f>IFERROR(__xludf.DUMMYFUNCTION("IFERROR(IF($I13="""","""",IF(VLOOKUP(LEFT(AB$37,SEARCH(""☃"",SUBSTITUTE(AB$37,"" "",""☃"",LEN(AB$37)-LEN(SUBSTITUTE(AB$37,"" "",""""))))-1),Excepciones!$A:$B,2,0)&gt;=0,IFERROR(INDEX(filter(Precios!$D:$D,(Precios!$A:$A&lt;=$I13)*(Precios!$B:$B&gt;=$I13)*(Precios!$"&amp;"C:$C=AB$37)),1)*(1-$K$6),""No asegurable""),""No asegurable"")),"""")"),"")</f>
        <v/>
      </c>
      <c r="AC28" s="119">
        <f>IFERROR(__xludf.DUMMYFUNCTION("IFERROR(IF($I13="""","""",IF(VLOOKUP(LEFT(AC$37,SEARCH(""☃"",SUBSTITUTE(AC$37,"" "",""☃"",LEN(AC$37)-LEN(SUBSTITUTE(AC$37,"" "",""""))))-1),Excepciones!$A:$B,2,0)&gt;=0,IFERROR(INDEX(filter(Precios!$D:$D,(Precios!$A:$A&lt;=$I13)*(Precios!$B:$B&gt;=$I13)*(Precios!$"&amp;"C:$C=AC$37)),1)*(1-$K$6),""No asegurable""),""No asegurable"")),"""")"),"")</f>
        <v/>
      </c>
      <c r="AJ28" s="109" t="n"/>
      <c r="AK28" s="109" t="n"/>
      <c r="AL28" s="58" t="n"/>
      <c r="AM28" s="58" t="n"/>
      <c r="AN28" s="58" t="n"/>
      <c r="AO28" s="58" t="n"/>
      <c r="AP28" s="58" t="n"/>
      <c r="AQ28" s="58" t="n"/>
      <c r="AR28" s="58" t="n"/>
      <c r="AS28" s="58" t="n"/>
      <c r="AT28" s="58" t="n"/>
      <c r="AU28" s="58" t="n"/>
      <c r="AV28" s="58" t="n"/>
    </row>
    <row r="29" ht="28.5" customHeight="1" s="241">
      <c r="B29" s="124" t="n"/>
      <c r="C29" s="122" t="n"/>
      <c r="D29" s="121" t="n"/>
      <c r="E29" s="121" t="n"/>
      <c r="F29" s="121" t="n"/>
      <c r="G29" s="121" t="n"/>
      <c r="H29" s="121" t="n"/>
      <c r="I29" s="122" t="n"/>
      <c r="J29" s="122" t="n"/>
      <c r="K29" s="234" t="n"/>
      <c r="L29" s="116" t="n">
        <v>9</v>
      </c>
      <c r="N29" s="48">
        <f>N65</f>
        <v/>
      </c>
      <c r="O29" s="48">
        <f>IF(OR(O65="",O65=0),"",O65*(1-$K$8))</f>
        <v/>
      </c>
      <c r="P29" s="117" t="n"/>
      <c r="Q29" s="48">
        <f>IF(OR(Q65="",Q65=0),"",Q65*(1-$K$8))</f>
        <v/>
      </c>
      <c r="R29" s="48">
        <f>IF(OR(R65="",R65=0),"",R65*(1-$K$8))</f>
        <v/>
      </c>
      <c r="S29" s="117" t="n"/>
      <c r="T29" s="48">
        <f>IF(OR(T65="",T65=0),"",T65*(1-$K$8))</f>
        <v/>
      </c>
      <c r="U29" s="48">
        <f>IF(OR(U65="",U65=0),"",U65*(1-$K$8))</f>
        <v/>
      </c>
      <c r="V29" s="117" t="n"/>
      <c r="W29" s="48">
        <f>IFERROR(__xludf.DUMMYFUNCTION("IFERROR(IF($I14="""","""",IF(VLOOKUP(LEFT(W$37,SEARCH(""☃"",SUBSTITUTE(W$37,"" "",""☃"",LEN(W$37)-LEN(SUBSTITUTE(W$37,"" "",""""))))-1),Excepciones!$A:$B,2,0)&gt;=0,IFERROR(INDEX(filter(Precios!$D:$D,(Precios!$A:$A&lt;=$I14)*(Precios!$B:$B&gt;=$I14)*(Precios!$C:$C"&amp;"=W$37)),1)*(1-$K$6),""No asegurable""),""No asegurable"")),"""")"),"")</f>
        <v/>
      </c>
      <c r="X29" s="118" t="n"/>
      <c r="Y29" s="48">
        <f>IFERROR(__xludf.DUMMYFUNCTION("IFERROR(IF($I14="""","""",IF(VLOOKUP(LEFT(Y$37,SEARCH(""☃"",SUBSTITUTE(Y$37,"" "",""☃"",LEN(Y$37)-LEN(SUBSTITUTE(Y$37,"" "",""""))))-1),Excepciones!$A:$B,2,0)&gt;=0,IFERROR((INDEX(filter(Precios!$D:$D,(Precios!$A:$A&lt;=$I14)*(Precios!$B:$B&gt;=$I14)*(Precios!$C:$"&amp;"C=Y$37)),1)*(1-$K$6)+VLOOKUP($L29,Precios!$F:$G,2,0)),""No asegurable""),""No asegurable"")),"""")"),"")</f>
        <v/>
      </c>
      <c r="Z29" s="48">
        <f>IFERROR(__xludf.DUMMYFUNCTION("IFERROR(IF($I14="""","""",IF(VLOOKUP(LEFT(Z$37,SEARCH(""☃"",SUBSTITUTE(Z$37,"" "",""☃"",LEN(Z$37)-LEN(SUBSTITUTE(Z$37,"" "",""""))))-1),Excepciones!$A:$B,2,0)&gt;=0,IFERROR(INDEX(filter(Precios!$D:$D,(Precios!$A:$A&lt;=$I14)*(Precios!$B:$B&gt;=$I14)*(Precios!$C:$C"&amp;"=Z$37)),1)*(1-$K$6),""No asegurable""),""No asegurable"")),"""")"),"")</f>
        <v/>
      </c>
      <c r="AA29" s="48">
        <f>IFERROR(__xludf.DUMMYFUNCTION("IFERROR(IF($I14="""","""",IF(VLOOKUP(LEFT(AA$37,SEARCH(""☃"",SUBSTITUTE(AA$37,"" "",""☃"",LEN(AA$37)-LEN(SUBSTITUTE(AA$37,"" "",""""))))-1),Excepciones!$A:$B,2,0)&gt;=0,IFERROR(INDEX(filter(Precios!$D:$D,(Precios!$A:$A&lt;=$I14)*(Precios!$B:$B&gt;=$I14)*(Precios!$"&amp;"C:$C=AA$37)),1)*(1-$K$6),""No asegurable""),""No asegurable"")),"""")"),"")</f>
        <v/>
      </c>
      <c r="AB29" s="48">
        <f>IFERROR(__xludf.DUMMYFUNCTION("IFERROR(IF($I14="""","""",IF(VLOOKUP(LEFT(AB$37,SEARCH(""☃"",SUBSTITUTE(AB$37,"" "",""☃"",LEN(AB$37)-LEN(SUBSTITUTE(AB$37,"" "",""""))))-1),Excepciones!$A:$B,2,0)&gt;=0,IFERROR(INDEX(filter(Precios!$D:$D,(Precios!$A:$A&lt;=$I14)*(Precios!$B:$B&gt;=$I14)*(Precios!$"&amp;"C:$C=AB$37)),1)*(1-$K$6),""No asegurable""),""No asegurable"")),"""")"),"")</f>
        <v/>
      </c>
      <c r="AC29" s="119">
        <f>IFERROR(__xludf.DUMMYFUNCTION("IFERROR(IF($I14="""","""",IF(VLOOKUP(LEFT(AC$37,SEARCH(""☃"",SUBSTITUTE(AC$37,"" "",""☃"",LEN(AC$37)-LEN(SUBSTITUTE(AC$37,"" "",""""))))-1),Excepciones!$A:$B,2,0)&gt;=0,IFERROR(INDEX(filter(Precios!$D:$D,(Precios!$A:$A&lt;=$I14)*(Precios!$B:$B&gt;=$I14)*(Precios!$"&amp;"C:$C=AC$37)),1)*(1-$K$6),""No asegurable""),""No asegurable"")),"""")"),"")</f>
        <v/>
      </c>
      <c r="AE29" s="5" t="n"/>
      <c r="AF29" s="5" t="n"/>
      <c r="AG29" s="5" t="n"/>
      <c r="AH29" s="125" t="n"/>
      <c r="AI29" s="125" t="n"/>
      <c r="AJ29" s="5" t="n"/>
      <c r="AK29" s="125" t="n"/>
      <c r="AL29" s="125" t="n"/>
    </row>
    <row r="30" ht="28.5" customHeight="1" s="241">
      <c r="B30" s="124" t="n"/>
      <c r="C30" s="122" t="n"/>
      <c r="D30" s="121" t="n"/>
      <c r="E30" s="121" t="n"/>
      <c r="F30" s="121" t="n"/>
      <c r="G30" s="121" t="n"/>
      <c r="H30" s="121" t="n"/>
      <c r="I30" s="122" t="n"/>
      <c r="J30" s="122" t="n"/>
      <c r="K30" s="234" t="n"/>
      <c r="L30" s="116" t="n">
        <v>10</v>
      </c>
      <c r="N30" s="48">
        <f>N66</f>
        <v/>
      </c>
      <c r="O30" s="48">
        <f>IF(OR(O66="",O66=0),"",O66*(1-$K$8))</f>
        <v/>
      </c>
      <c r="P30" s="117" t="n"/>
      <c r="Q30" s="48">
        <f>IF(OR(Q66="",Q66=0),"",Q66*(1-$K$8))</f>
        <v/>
      </c>
      <c r="R30" s="48">
        <f>IF(OR(R66="",R66=0),"",R66*(1-$K$8))</f>
        <v/>
      </c>
      <c r="S30" s="117" t="n"/>
      <c r="T30" s="48">
        <f>IF(OR(T66="",T66=0),"",T66*(1-$K$8))</f>
        <v/>
      </c>
      <c r="U30" s="48">
        <f>IF(OR(U66="",U66=0),"",U66*(1-$K$8))</f>
        <v/>
      </c>
      <c r="V30" s="117" t="n"/>
      <c r="W30" s="48">
        <f>IFERROR(__xludf.DUMMYFUNCTION("IFERROR(IF($I15="""","""",IF(VLOOKUP(LEFT(W$37,SEARCH(""☃"",SUBSTITUTE(W$37,"" "",""☃"",LEN(W$37)-LEN(SUBSTITUTE(W$37,"" "",""""))))-1),Excepciones!$A:$B,2,0)&gt;=0,IFERROR(INDEX(filter(Precios!$D:$D,(Precios!$A:$A&lt;=$I15)*(Precios!$B:$B&gt;=$I15)*(Precios!$C:$C"&amp;"=W$37)),1)*(1-$K$6),""No asegurable""),""No asegurable"")),"""")"),"")</f>
        <v/>
      </c>
      <c r="X30" s="118" t="n"/>
      <c r="Y30" s="48">
        <f>IFERROR(__xludf.DUMMYFUNCTION("IFERROR(IF($I15="""","""",IF(VLOOKUP(LEFT(Y$37,SEARCH(""☃"",SUBSTITUTE(Y$37,"" "",""☃"",LEN(Y$37)-LEN(SUBSTITUTE(Y$37,"" "",""""))))-1),Excepciones!$A:$B,2,0)&gt;=0,IFERROR((INDEX(filter(Precios!$D:$D,(Precios!$A:$A&lt;=$I15)*(Precios!$B:$B&gt;=$I15)*(Precios!$C:$"&amp;"C=Y$37)),1)*(1-$K$6)+VLOOKUP($L30,Precios!$F:$G,2,0)),""No asegurable""),""No asegurable"")),"""")"),"")</f>
        <v/>
      </c>
      <c r="Z30" s="48">
        <f>IFERROR(__xludf.DUMMYFUNCTION("IFERROR(IF($I15="""","""",IF(VLOOKUP(LEFT(Z$37,SEARCH(""☃"",SUBSTITUTE(Z$37,"" "",""☃"",LEN(Z$37)-LEN(SUBSTITUTE(Z$37,"" "",""""))))-1),Excepciones!$A:$B,2,0)&gt;=0,IFERROR(INDEX(filter(Precios!$D:$D,(Precios!$A:$A&lt;=$I15)*(Precios!$B:$B&gt;=$I15)*(Precios!$C:$C"&amp;"=Z$37)),1)*(1-$K$6),""No asegurable""),""No asegurable"")),"""")"),"")</f>
        <v/>
      </c>
      <c r="AA30" s="48">
        <f>IFERROR(__xludf.DUMMYFUNCTION("IFERROR(IF($I15="""","""",IF(VLOOKUP(LEFT(AA$37,SEARCH(""☃"",SUBSTITUTE(AA$37,"" "",""☃"",LEN(AA$37)-LEN(SUBSTITUTE(AA$37,"" "",""""))))-1),Excepciones!$A:$B,2,0)&gt;=0,IFERROR(INDEX(filter(Precios!$D:$D,(Precios!$A:$A&lt;=$I15)*(Precios!$B:$B&gt;=$I15)*(Precios!$"&amp;"C:$C=AA$37)),1)*(1-$K$6),""No asegurable""),""No asegurable"")),"""")"),"")</f>
        <v/>
      </c>
      <c r="AB30" s="48">
        <f>IFERROR(__xludf.DUMMYFUNCTION("IFERROR(IF($I15="""","""",IF(VLOOKUP(LEFT(AB$37,SEARCH(""☃"",SUBSTITUTE(AB$37,"" "",""☃"",LEN(AB$37)-LEN(SUBSTITUTE(AB$37,"" "",""""))))-1),Excepciones!$A:$B,2,0)&gt;=0,IFERROR(INDEX(filter(Precios!$D:$D,(Precios!$A:$A&lt;=$I15)*(Precios!$B:$B&gt;=$I15)*(Precios!$"&amp;"C:$C=AB$37)),1)*(1-$K$6),""No asegurable""),""No asegurable"")),"""")"),"")</f>
        <v/>
      </c>
      <c r="AC30" s="119">
        <f>IFERROR(__xludf.DUMMYFUNCTION("IFERROR(IF($I15="""","""",IF(VLOOKUP(LEFT(AC$37,SEARCH(""☃"",SUBSTITUTE(AC$37,"" "",""☃"",LEN(AC$37)-LEN(SUBSTITUTE(AC$37,"" "",""""))))-1),Excepciones!$A:$B,2,0)&gt;=0,IFERROR(INDEX(filter(Precios!$D:$D,(Precios!$A:$A&lt;=$I15)*(Precios!$B:$B&gt;=$I15)*(Precios!$"&amp;"C:$C=AC$37)),1)*(1-$K$6),""No asegurable""),""No asegurable"")),"""")"),"")</f>
        <v/>
      </c>
      <c r="AE30" s="5" t="n"/>
      <c r="AF30" s="5" t="n"/>
      <c r="AG30" s="5" t="n"/>
      <c r="AH30" s="125" t="n"/>
      <c r="AI30" s="125" t="n"/>
      <c r="AJ30" s="5" t="n"/>
      <c r="AK30" s="125" t="n"/>
      <c r="AL30" s="125" t="n"/>
    </row>
    <row r="31" ht="28.5" customHeight="1" s="241">
      <c r="B31" s="124" t="n"/>
      <c r="C31" s="122" t="n"/>
      <c r="D31" s="121" t="n"/>
      <c r="E31" s="121" t="n"/>
      <c r="F31" s="121" t="n"/>
      <c r="G31" s="121" t="n"/>
      <c r="H31" s="121" t="n"/>
      <c r="I31" s="122" t="n"/>
      <c r="J31" s="122" t="n"/>
      <c r="K31" s="234" t="n"/>
      <c r="L31" s="116" t="n">
        <v>11</v>
      </c>
      <c r="N31" s="48">
        <f>N67</f>
        <v/>
      </c>
      <c r="O31" s="48">
        <f>IF(OR(O67="",O67=0),"",O67*(1-$K$8))</f>
        <v/>
      </c>
      <c r="P31" s="117" t="n"/>
      <c r="Q31" s="48">
        <f>IF(OR(Q67="",Q67=0),"",Q67*(1-$K$8))</f>
        <v/>
      </c>
      <c r="R31" s="48">
        <f>IF(OR(R67="",R67=0),"",R67*(1-$K$8))</f>
        <v/>
      </c>
      <c r="S31" s="117" t="n"/>
      <c r="T31" s="48">
        <f>IF(OR(T67="",T67=0),"",T67*(1-$K$8))</f>
        <v/>
      </c>
      <c r="U31" s="48">
        <f>IF(OR(U67="",U67=0),"",U67*(1-$K$8))</f>
        <v/>
      </c>
      <c r="V31" s="117" t="n"/>
      <c r="W31" s="48">
        <f>IFERROR(__xludf.DUMMYFUNCTION("IFERROR(IF($I16="""","""",IF(VLOOKUP(LEFT(W$37,SEARCH(""☃"",SUBSTITUTE(W$37,"" "",""☃"",LEN(W$37)-LEN(SUBSTITUTE(W$37,"" "",""""))))-1),Excepciones!$A:$B,2,0)&gt;=0,IFERROR(INDEX(filter(Precios!$D:$D,(Precios!$A:$A&lt;=$I16)*(Precios!$B:$B&gt;=$I16)*(Precios!$C:$C"&amp;"=W$37)),1)*(1-$K$6),""No asegurable""),""No asegurable"")),"""")"),"")</f>
        <v/>
      </c>
      <c r="X31" s="118" t="n"/>
      <c r="Y31" s="48">
        <f>IFERROR(__xludf.DUMMYFUNCTION("IFERROR(IF($I16="""","""",IF(VLOOKUP(LEFT(Y$37,SEARCH(""☃"",SUBSTITUTE(Y$37,"" "",""☃"",LEN(Y$37)-LEN(SUBSTITUTE(Y$37,"" "",""""))))-1),Excepciones!$A:$B,2,0)&gt;=0,IFERROR((INDEX(filter(Precios!$D:$D,(Precios!$A:$A&lt;=$I16)*(Precios!$B:$B&gt;=$I16)*(Precios!$C:$"&amp;"C=Y$37)),1)*(1-$K$6)+VLOOKUP($L31,Precios!$F:$G,2,0)),""No asegurable""),""No asegurable"")),"""")"),"")</f>
        <v/>
      </c>
      <c r="Z31" s="48">
        <f>IFERROR(__xludf.DUMMYFUNCTION("IFERROR(IF($I16="""","""",IF(VLOOKUP(LEFT(Z$37,SEARCH(""☃"",SUBSTITUTE(Z$37,"" "",""☃"",LEN(Z$37)-LEN(SUBSTITUTE(Z$37,"" "",""""))))-1),Excepciones!$A:$B,2,0)&gt;=0,IFERROR(INDEX(filter(Precios!$D:$D,(Precios!$A:$A&lt;=$I16)*(Precios!$B:$B&gt;=$I16)*(Precios!$C:$C"&amp;"=Z$37)),1)*(1-$K$6),""No asegurable""),""No asegurable"")),"""")"),"")</f>
        <v/>
      </c>
      <c r="AA31" s="48">
        <f>IFERROR(__xludf.DUMMYFUNCTION("IFERROR(IF($I16="""","""",IF(VLOOKUP(LEFT(AA$37,SEARCH(""☃"",SUBSTITUTE(AA$37,"" "",""☃"",LEN(AA$37)-LEN(SUBSTITUTE(AA$37,"" "",""""))))-1),Excepciones!$A:$B,2,0)&gt;=0,IFERROR(INDEX(filter(Precios!$D:$D,(Precios!$A:$A&lt;=$I16)*(Precios!$B:$B&gt;=$I16)*(Precios!$"&amp;"C:$C=AA$37)),1)*(1-$K$6),""No asegurable""),""No asegurable"")),"""")"),"")</f>
        <v/>
      </c>
      <c r="AB31" s="48">
        <f>IFERROR(__xludf.DUMMYFUNCTION("IFERROR(IF($I16="""","""",IF(VLOOKUP(LEFT(AB$37,SEARCH(""☃"",SUBSTITUTE(AB$37,"" "",""☃"",LEN(AB$37)-LEN(SUBSTITUTE(AB$37,"" "",""""))))-1),Excepciones!$A:$B,2,0)&gt;=0,IFERROR(INDEX(filter(Precios!$D:$D,(Precios!$A:$A&lt;=$I16)*(Precios!$B:$B&gt;=$I16)*(Precios!$"&amp;"C:$C=AB$37)),1)*(1-$K$6),""No asegurable""),""No asegurable"")),"""")"),"")</f>
        <v/>
      </c>
      <c r="AC31" s="119">
        <f>IFERROR(__xludf.DUMMYFUNCTION("IFERROR(IF($I16="""","""",IF(VLOOKUP(LEFT(AC$37,SEARCH(""☃"",SUBSTITUTE(AC$37,"" "",""☃"",LEN(AC$37)-LEN(SUBSTITUTE(AC$37,"" "",""""))))-1),Excepciones!$A:$B,2,0)&gt;=0,IFERROR(INDEX(filter(Precios!$D:$D,(Precios!$A:$A&lt;=$I16)*(Precios!$B:$B&gt;=$I16)*(Precios!$"&amp;"C:$C=AC$37)),1)*(1-$K$6),""No asegurable""),""No asegurable"")),"""")"),"")</f>
        <v/>
      </c>
      <c r="AE31" s="5" t="n"/>
      <c r="AF31" s="5" t="n"/>
      <c r="AG31" s="5" t="n"/>
      <c r="AH31" s="125" t="n"/>
      <c r="AI31" s="125" t="n"/>
      <c r="AJ31" s="5" t="n"/>
      <c r="AK31" s="125" t="n"/>
      <c r="AL31" s="125" t="n"/>
    </row>
    <row r="32" ht="28.5" customHeight="1" s="241">
      <c r="B32" s="124" t="n"/>
      <c r="C32" s="122" t="n"/>
      <c r="D32" s="121" t="n"/>
      <c r="E32" s="121" t="n"/>
      <c r="F32" s="121" t="n"/>
      <c r="G32" s="121" t="n"/>
      <c r="H32" s="121" t="n"/>
      <c r="I32" s="122" t="n"/>
      <c r="J32" s="122" t="n"/>
      <c r="K32" s="234" t="n"/>
      <c r="L32" s="116" t="n">
        <v>12</v>
      </c>
      <c r="N32" s="48">
        <f>N68</f>
        <v/>
      </c>
      <c r="O32" s="48">
        <f>IF(OR(O68="",O68=0),"",O68*(1-$K$8))</f>
        <v/>
      </c>
      <c r="P32" s="117" t="n"/>
      <c r="Q32" s="48">
        <f>IF(OR(Q68="",Q68=0),"",Q68*(1-$K$8))</f>
        <v/>
      </c>
      <c r="R32" s="48">
        <f>IF(OR(R68="",R68=0),"",R68*(1-$K$8))</f>
        <v/>
      </c>
      <c r="S32" s="117" t="n"/>
      <c r="T32" s="48">
        <f>IF(OR(T68="",T68=0),"",T68*(1-$K$8))</f>
        <v/>
      </c>
      <c r="U32" s="48">
        <f>IF(OR(U68="",U68=0),"",U68*(1-$K$8))</f>
        <v/>
      </c>
      <c r="V32" s="117" t="n"/>
      <c r="W32" s="48">
        <f>IFERROR(__xludf.DUMMYFUNCTION("IFERROR(IF($I17="""","""",IF(VLOOKUP(LEFT(W$37,SEARCH(""☃"",SUBSTITUTE(W$37,"" "",""☃"",LEN(W$37)-LEN(SUBSTITUTE(W$37,"" "",""""))))-1),Excepciones!$A:$B,2,0)&gt;=0,IFERROR(INDEX(filter(Precios!$D:$D,(Precios!$A:$A&lt;=$I17)*(Precios!$B:$B&gt;=$I17)*(Precios!$C:$C"&amp;"=W$37)),1)*(1-$K$6),""No asegurable""),""No asegurable"")),"""")"),"")</f>
        <v/>
      </c>
      <c r="X32" s="118" t="n"/>
      <c r="Y32" s="48">
        <f>IFERROR(__xludf.DUMMYFUNCTION("IFERROR(IF($I17="""","""",IF(VLOOKUP(LEFT(Y$37,SEARCH(""☃"",SUBSTITUTE(Y$37,"" "",""☃"",LEN(Y$37)-LEN(SUBSTITUTE(Y$37,"" "",""""))))-1),Excepciones!$A:$B,2,0)&gt;=0,IFERROR((INDEX(filter(Precios!$D:$D,(Precios!$A:$A&lt;=$I17)*(Precios!$B:$B&gt;=$I17)*(Precios!$C:$"&amp;"C=Y$37)),1)*(1-$K$6)+VLOOKUP($L32,Precios!$F:$G,2,0)),""No asegurable""),""No asegurable"")),"""")"),"")</f>
        <v/>
      </c>
      <c r="Z32" s="48">
        <f>IFERROR(__xludf.DUMMYFUNCTION("IFERROR(IF($I17="""","""",IF(VLOOKUP(LEFT(Z$37,SEARCH(""☃"",SUBSTITUTE(Z$37,"" "",""☃"",LEN(Z$37)-LEN(SUBSTITUTE(Z$37,"" "",""""))))-1),Excepciones!$A:$B,2,0)&gt;=0,IFERROR(INDEX(filter(Precios!$D:$D,(Precios!$A:$A&lt;=$I17)*(Precios!$B:$B&gt;=$I17)*(Precios!$C:$C"&amp;"=Z$37)),1)*(1-$K$6),""No asegurable""),""No asegurable"")),"""")"),"")</f>
        <v/>
      </c>
      <c r="AA32" s="48">
        <f>IFERROR(__xludf.DUMMYFUNCTION("IFERROR(IF($I17="""","""",IF(VLOOKUP(LEFT(AA$37,SEARCH(""☃"",SUBSTITUTE(AA$37,"" "",""☃"",LEN(AA$37)-LEN(SUBSTITUTE(AA$37,"" "",""""))))-1),Excepciones!$A:$B,2,0)&gt;=0,IFERROR(INDEX(filter(Precios!$D:$D,(Precios!$A:$A&lt;=$I17)*(Precios!$B:$B&gt;=$I17)*(Precios!$"&amp;"C:$C=AA$37)),1)*(1-$K$6),""No asegurable""),""No asegurable"")),"""")"),"")</f>
        <v/>
      </c>
      <c r="AB32" s="48">
        <f>IFERROR(__xludf.DUMMYFUNCTION("IFERROR(IF($I17="""","""",IF(VLOOKUP(LEFT(AB$37,SEARCH(""☃"",SUBSTITUTE(AB$37,"" "",""☃"",LEN(AB$37)-LEN(SUBSTITUTE(AB$37,"" "",""""))))-1),Excepciones!$A:$B,2,0)&gt;=0,IFERROR(INDEX(filter(Precios!$D:$D,(Precios!$A:$A&lt;=$I17)*(Precios!$B:$B&gt;=$I17)*(Precios!$"&amp;"C:$C=AB$37)),1)*(1-$K$6),""No asegurable""),""No asegurable"")),"""")"),"")</f>
        <v/>
      </c>
      <c r="AC32" s="119">
        <f>IFERROR(__xludf.DUMMYFUNCTION("IFERROR(IF($I17="""","""",IF(VLOOKUP(LEFT(AC$37,SEARCH(""☃"",SUBSTITUTE(AC$37,"" "",""☃"",LEN(AC$37)-LEN(SUBSTITUTE(AC$37,"" "",""""))))-1),Excepciones!$A:$B,2,0)&gt;=0,IFERROR(INDEX(filter(Precios!$D:$D,(Precios!$A:$A&lt;=$I17)*(Precios!$B:$B&gt;=$I17)*(Precios!$"&amp;"C:$C=AC$37)),1)*(1-$K$6),""No asegurable""),""No asegurable"")),"""")"),"")</f>
        <v/>
      </c>
      <c r="AE32" s="5" t="n"/>
      <c r="AF32" s="5" t="n"/>
      <c r="AG32" s="5" t="n"/>
      <c r="AH32" s="125" t="n"/>
      <c r="AI32" s="125" t="n"/>
      <c r="AJ32" s="5" t="n"/>
      <c r="AK32" s="125" t="n"/>
      <c r="AL32" s="125" t="n"/>
    </row>
    <row r="33" ht="28.5" customHeight="1" s="241">
      <c r="B33" s="124" t="n"/>
      <c r="C33" s="122" t="n"/>
      <c r="D33" s="121" t="n"/>
      <c r="E33" s="121" t="n"/>
      <c r="F33" s="121" t="n"/>
      <c r="G33" s="121" t="n"/>
      <c r="H33" s="121" t="n"/>
      <c r="I33" s="122" t="n"/>
      <c r="J33" s="122" t="n"/>
      <c r="K33" s="234" t="n"/>
      <c r="L33" s="116" t="n">
        <v>13</v>
      </c>
      <c r="N33" s="48">
        <f>N69</f>
        <v/>
      </c>
      <c r="O33" s="48">
        <f>IF(OR(O69="",O69=0),"",O69*(1-$K$8))</f>
        <v/>
      </c>
      <c r="P33" s="117" t="n"/>
      <c r="Q33" s="48">
        <f>IF(OR(Q69="",Q69=0),"",Q69*(1-$K$8))</f>
        <v/>
      </c>
      <c r="R33" s="48">
        <f>IF(OR(R69="",R69=0),"",R69*(1-$K$8))</f>
        <v/>
      </c>
      <c r="S33" s="117" t="n"/>
      <c r="T33" s="48">
        <f>IF(OR(T69="",T69=0),"",T69*(1-$K$8))</f>
        <v/>
      </c>
      <c r="U33" s="48">
        <f>IF(OR(U69="",U69=0),"",U69*(1-$K$8))</f>
        <v/>
      </c>
      <c r="V33" s="117" t="n"/>
      <c r="W33" s="48">
        <f>IFERROR(__xludf.DUMMYFUNCTION("IFERROR(IF($I18="""","""",IF(VLOOKUP(LEFT(W$37,SEARCH(""☃"",SUBSTITUTE(W$37,"" "",""☃"",LEN(W$37)-LEN(SUBSTITUTE(W$37,"" "",""""))))-1),Excepciones!$A:$B,2,0)&gt;=0,IFERROR(INDEX(filter(Precios!$D:$D,(Precios!$A:$A&lt;=$I18)*(Precios!$B:$B&gt;=$I18)*(Precios!$C:$C"&amp;"=W$37)),1)*(1-$K$6),""No asegurable""),""No asegurable"")),"""")"),"")</f>
        <v/>
      </c>
      <c r="X33" s="118" t="n"/>
      <c r="Y33" s="48">
        <f>IFERROR(__xludf.DUMMYFUNCTION("IFERROR(IF($I18="""","""",IF(VLOOKUP(LEFT(Y$37,SEARCH(""☃"",SUBSTITUTE(Y$37,"" "",""☃"",LEN(Y$37)-LEN(SUBSTITUTE(Y$37,"" "",""""))))-1),Excepciones!$A:$B,2,0)&gt;=0,IFERROR((INDEX(filter(Precios!$D:$D,(Precios!$A:$A&lt;=$I18)*(Precios!$B:$B&gt;=$I18)*(Precios!$C:$"&amp;"C=Y$37)),1)*(1-$K$6)+VLOOKUP($L33,Precios!$F:$G,2,0)),""No asegurable""),""No asegurable"")),"""")"),"")</f>
        <v/>
      </c>
      <c r="Z33" s="48">
        <f>IFERROR(__xludf.DUMMYFUNCTION("IFERROR(IF($I18="""","""",IF(VLOOKUP(LEFT(Z$37,SEARCH(""☃"",SUBSTITUTE(Z$37,"" "",""☃"",LEN(Z$37)-LEN(SUBSTITUTE(Z$37,"" "",""""))))-1),Excepciones!$A:$B,2,0)&gt;=0,IFERROR(INDEX(filter(Precios!$D:$D,(Precios!$A:$A&lt;=$I18)*(Precios!$B:$B&gt;=$I18)*(Precios!$C:$C"&amp;"=Z$37)),1)*(1-$K$6),""No asegurable""),""No asegurable"")),"""")"),"")</f>
        <v/>
      </c>
      <c r="AA33" s="48">
        <f>IFERROR(__xludf.DUMMYFUNCTION("IFERROR(IF($I18="""","""",IF(VLOOKUP(LEFT(AA$37,SEARCH(""☃"",SUBSTITUTE(AA$37,"" "",""☃"",LEN(AA$37)-LEN(SUBSTITUTE(AA$37,"" "",""""))))-1),Excepciones!$A:$B,2,0)&gt;=0,IFERROR(INDEX(filter(Precios!$D:$D,(Precios!$A:$A&lt;=$I18)*(Precios!$B:$B&gt;=$I18)*(Precios!$"&amp;"C:$C=AA$37)),1)*(1-$K$6),""No asegurable""),""No asegurable"")),"""")"),"")</f>
        <v/>
      </c>
      <c r="AB33" s="48">
        <f>IFERROR(__xludf.DUMMYFUNCTION("IFERROR(IF($I18="""","""",IF(VLOOKUP(LEFT(AB$37,SEARCH(""☃"",SUBSTITUTE(AB$37,"" "",""☃"",LEN(AB$37)-LEN(SUBSTITUTE(AB$37,"" "",""""))))-1),Excepciones!$A:$B,2,0)&gt;=0,IFERROR(INDEX(filter(Precios!$D:$D,(Precios!$A:$A&lt;=$I18)*(Precios!$B:$B&gt;=$I18)*(Precios!$"&amp;"C:$C=AB$37)),1)*(1-$K$6),""No asegurable""),""No asegurable"")),"""")"),"")</f>
        <v/>
      </c>
      <c r="AC33" s="119">
        <f>IFERROR(__xludf.DUMMYFUNCTION("IFERROR(IF($I18="""","""",IF(VLOOKUP(LEFT(AC$37,SEARCH(""☃"",SUBSTITUTE(AC$37,"" "",""☃"",LEN(AC$37)-LEN(SUBSTITUTE(AC$37,"" "",""""))))-1),Excepciones!$A:$B,2,0)&gt;=0,IFERROR(INDEX(filter(Precios!$D:$D,(Precios!$A:$A&lt;=$I18)*(Precios!$B:$B&gt;=$I18)*(Precios!$"&amp;"C:$C=AC$37)),1)*(1-$K$6),""No asegurable""),""No asegurable"")),"""")"),"")</f>
        <v/>
      </c>
      <c r="AE33" s="5" t="n"/>
      <c r="AF33" s="5" t="n"/>
      <c r="AG33" s="5" t="n"/>
      <c r="AH33" s="125" t="n"/>
      <c r="AI33" s="125" t="n"/>
      <c r="AJ33" s="5" t="n"/>
      <c r="AK33" s="125" t="n"/>
      <c r="AL33" s="125" t="n"/>
    </row>
    <row r="34" ht="28.5" customHeight="1" s="241">
      <c r="B34" s="124" t="n"/>
      <c r="C34" s="122" t="n"/>
      <c r="D34" s="121" t="n"/>
      <c r="E34" s="121" t="n"/>
      <c r="F34" s="121" t="n"/>
      <c r="G34" s="121" t="n"/>
      <c r="H34" s="121" t="n"/>
      <c r="I34" s="122" t="n"/>
      <c r="J34" s="122" t="n"/>
      <c r="K34" s="234" t="n"/>
      <c r="L34" s="116" t="n">
        <v>14</v>
      </c>
      <c r="N34" s="48">
        <f>N70</f>
        <v/>
      </c>
      <c r="O34" s="48">
        <f>IF(OR(O70="",O70=0),"",O70*(1-$K$8))</f>
        <v/>
      </c>
      <c r="P34" s="117" t="n"/>
      <c r="Q34" s="48">
        <f>IF(OR(Q70="",Q70=0),"",Q70*(1-$K$8))</f>
        <v/>
      </c>
      <c r="R34" s="48">
        <f>IF(OR(R70="",R70=0),"",R70*(1-$K$8))</f>
        <v/>
      </c>
      <c r="S34" s="117" t="n"/>
      <c r="T34" s="48">
        <f>IF(OR(T70="",T70=0),"",T70*(1-$K$8))</f>
        <v/>
      </c>
      <c r="U34" s="48">
        <f>IF(OR(U70="",U70=0),"",U70*(1-$K$8))</f>
        <v/>
      </c>
      <c r="V34" s="117" t="n"/>
      <c r="W34" s="48">
        <f>IFERROR(__xludf.DUMMYFUNCTION("IFERROR(IF($I19="""","""",IF(VLOOKUP(LEFT(W$37,SEARCH(""☃"",SUBSTITUTE(W$37,"" "",""☃"",LEN(W$37)-LEN(SUBSTITUTE(W$37,"" "",""""))))-1),Excepciones!$A:$B,2,0)&gt;=0,IFERROR(INDEX(filter(Precios!$D:$D,(Precios!$A:$A&lt;=$I19)*(Precios!$B:$B&gt;=$I19)*(Precios!$C:$C"&amp;"=W$37)),1)*(1-$K$6),""No asegurable""),""No asegurable"")),"""")"),"")</f>
        <v/>
      </c>
      <c r="X34" s="118" t="n"/>
      <c r="Y34" s="48">
        <f>IFERROR(__xludf.DUMMYFUNCTION("IFERROR(IF($I19="""","""",IF(VLOOKUP(LEFT(Y$37,SEARCH(""☃"",SUBSTITUTE(Y$37,"" "",""☃"",LEN(Y$37)-LEN(SUBSTITUTE(Y$37,"" "",""""))))-1),Excepciones!$A:$B,2,0)&gt;=0,IFERROR((INDEX(filter(Precios!$D:$D,(Precios!$A:$A&lt;=$I19)*(Precios!$B:$B&gt;=$I19)*(Precios!$C:$"&amp;"C=Y$37)),1)*(1-$K$6)+VLOOKUP($L34,Precios!$F:$G,2,0)),""No asegurable""),""No asegurable"")),"""")"),"")</f>
        <v/>
      </c>
      <c r="Z34" s="48">
        <f>IFERROR(__xludf.DUMMYFUNCTION("IFERROR(IF($I19="""","""",IF(VLOOKUP(LEFT(Z$37,SEARCH(""☃"",SUBSTITUTE(Z$37,"" "",""☃"",LEN(Z$37)-LEN(SUBSTITUTE(Z$37,"" "",""""))))-1),Excepciones!$A:$B,2,0)&gt;=0,IFERROR(INDEX(filter(Precios!$D:$D,(Precios!$A:$A&lt;=$I19)*(Precios!$B:$B&gt;=$I19)*(Precios!$C:$C"&amp;"=Z$37)),1)*(1-$K$6),""No asegurable""),""No asegurable"")),"""")"),"")</f>
        <v/>
      </c>
      <c r="AA34" s="48">
        <f>IFERROR(__xludf.DUMMYFUNCTION("IFERROR(IF($I19="""","""",IF(VLOOKUP(LEFT(AA$37,SEARCH(""☃"",SUBSTITUTE(AA$37,"" "",""☃"",LEN(AA$37)-LEN(SUBSTITUTE(AA$37,"" "",""""))))-1),Excepciones!$A:$B,2,0)&gt;=0,IFERROR(INDEX(filter(Precios!$D:$D,(Precios!$A:$A&lt;=$I19)*(Precios!$B:$B&gt;=$I19)*(Precios!$"&amp;"C:$C=AA$37)),1)*(1-$K$6),""No asegurable""),""No asegurable"")),"""")"),"")</f>
        <v/>
      </c>
      <c r="AB34" s="48">
        <f>IFERROR(__xludf.DUMMYFUNCTION("IFERROR(IF($I19="""","""",IF(VLOOKUP(LEFT(AB$37,SEARCH(""☃"",SUBSTITUTE(AB$37,"" "",""☃"",LEN(AB$37)-LEN(SUBSTITUTE(AB$37,"" "",""""))))-1),Excepciones!$A:$B,2,0)&gt;=0,IFERROR(INDEX(filter(Precios!$D:$D,(Precios!$A:$A&lt;=$I19)*(Precios!$B:$B&gt;=$I19)*(Precios!$"&amp;"C:$C=AB$37)),1)*(1-$K$6),""No asegurable""),""No asegurable"")),"""")"),"")</f>
        <v/>
      </c>
      <c r="AC34" s="119">
        <f>IFERROR(__xludf.DUMMYFUNCTION("IFERROR(IF($I19="""","""",IF(VLOOKUP(LEFT(AC$37,SEARCH(""☃"",SUBSTITUTE(AC$37,"" "",""☃"",LEN(AC$37)-LEN(SUBSTITUTE(AC$37,"" "",""""))))-1),Excepciones!$A:$B,2,0)&gt;=0,IFERROR(INDEX(filter(Precios!$D:$D,(Precios!$A:$A&lt;=$I19)*(Precios!$B:$B&gt;=$I19)*(Precios!$"&amp;"C:$C=AC$37)),1)*(1-$K$6),""No asegurable""),""No asegurable"")),"""")"),"")</f>
        <v/>
      </c>
      <c r="AE34" s="5" t="n"/>
      <c r="AF34" s="5" t="n"/>
      <c r="AG34" s="5" t="n"/>
      <c r="AH34" s="125" t="n"/>
      <c r="AI34" s="125" t="n"/>
      <c r="AJ34" s="5" t="n"/>
      <c r="AK34" s="125" t="n"/>
      <c r="AL34" s="125" t="n"/>
    </row>
    <row r="35" ht="28.5" customHeight="1" s="241">
      <c r="B35" s="124" t="n"/>
      <c r="C35" s="122" t="n"/>
      <c r="D35" s="121" t="n"/>
      <c r="E35" s="121" t="n"/>
      <c r="F35" s="121" t="n"/>
      <c r="G35" s="121" t="n"/>
      <c r="H35" s="121" t="n"/>
      <c r="I35" s="122" t="n"/>
      <c r="J35" s="122" t="n"/>
      <c r="K35" s="234" t="n"/>
      <c r="L35" s="126" t="n">
        <v>15</v>
      </c>
      <c r="M35" s="127" t="n"/>
      <c r="N35" s="128">
        <f>N71</f>
        <v/>
      </c>
      <c r="O35" s="128">
        <f>IF(OR(O71="",O71=0),"",O71*(1-$K$8))</f>
        <v/>
      </c>
      <c r="P35" s="129" t="n"/>
      <c r="Q35" s="128">
        <f>IF(OR(Q71="",Q71=0),"",Q71*(1-$K$8))</f>
        <v/>
      </c>
      <c r="R35" s="128">
        <f>IF(OR(R71="",R71=0),"",R71*(1-$K$8))</f>
        <v/>
      </c>
      <c r="S35" s="129" t="n"/>
      <c r="T35" s="128">
        <f>IF(OR(T71="",T71=0),"",T71*(1-$K$8))</f>
        <v/>
      </c>
      <c r="U35" s="128">
        <f>IF(OR(U71="",U71=0),"",U71*(1-$K$8))</f>
        <v/>
      </c>
      <c r="V35" s="129" t="n"/>
      <c r="W35" s="128">
        <f>IFERROR(__xludf.DUMMYFUNCTION("IFERROR(IF($I20="""","""",IF(VLOOKUP(LEFT(W$37,SEARCH(""☃"",SUBSTITUTE(W$37,"" "",""☃"",LEN(W$37)-LEN(SUBSTITUTE(W$37,"" "",""""))))-1),Excepciones!$A:$B,2,0)&gt;=0,IFERROR(INDEX(filter(Precios!$D:$D,(Precios!$A:$A&lt;=$I20)*(Precios!$B:$B&gt;=$I20)*(Precios!$C:$C"&amp;"=W$37)),1)*(1-$K$6),""No asegurable""),""No asegurable"")),"""")"),"")</f>
        <v/>
      </c>
      <c r="X35" s="130" t="n"/>
      <c r="Y35" s="128">
        <f>IFERROR(__xludf.DUMMYFUNCTION("IFERROR(IF($I20="""","""",IF(VLOOKUP(LEFT(Y$37,SEARCH(""☃"",SUBSTITUTE(Y$37,"" "",""☃"",LEN(Y$37)-LEN(SUBSTITUTE(Y$37,"" "",""""))))-1),Excepciones!$A:$B,2,0)&gt;=0,IFERROR((INDEX(filter(Precios!$D:$D,(Precios!$A:$A&lt;=$I20)*(Precios!$B:$B&gt;=$I20)*(Precios!$C:$"&amp;"C=Y$37)),1)*(1-$K$6)+VLOOKUP($L35,Precios!$F:$G,2,0)),""No asegurable""),""No asegurable"")),"""")"),"")</f>
        <v/>
      </c>
      <c r="Z35" s="128">
        <f>IFERROR(__xludf.DUMMYFUNCTION("IFERROR(IF($I20="""","""",IF(VLOOKUP(LEFT(Z$37,SEARCH(""☃"",SUBSTITUTE(Z$37,"" "",""☃"",LEN(Z$37)-LEN(SUBSTITUTE(Z$37,"" "",""""))))-1),Excepciones!$A:$B,2,0)&gt;=0,IFERROR(INDEX(filter(Precios!$D:$D,(Precios!$A:$A&lt;=$I20)*(Precios!$B:$B&gt;=$I20)*(Precios!$C:$C"&amp;"=Z$37)),1)*(1-$K$6),""No asegurable""),""No asegurable"")),"""")"),"")</f>
        <v/>
      </c>
      <c r="AA35" s="128">
        <f>IFERROR(__xludf.DUMMYFUNCTION("IFERROR(IF($I20="""","""",IF(VLOOKUP(LEFT(AA$37,SEARCH(""☃"",SUBSTITUTE(AA$37,"" "",""☃"",LEN(AA$37)-LEN(SUBSTITUTE(AA$37,"" "",""""))))-1),Excepciones!$A:$B,2,0)&gt;=0,IFERROR(INDEX(filter(Precios!$D:$D,(Precios!$A:$A&lt;=$I20)*(Precios!$B:$B&gt;=$I20)*(Precios!$"&amp;"C:$C=AA$37)),1)*(1-$K$6),""No asegurable""),""No asegurable"")),"""")"),"")</f>
        <v/>
      </c>
      <c r="AB35" s="128">
        <f>IFERROR(__xludf.DUMMYFUNCTION("IFERROR(IF($I20="""","""",IF(VLOOKUP(LEFT(AB$37,SEARCH(""☃"",SUBSTITUTE(AB$37,"" "",""☃"",LEN(AB$37)-LEN(SUBSTITUTE(AB$37,"" "",""""))))-1),Excepciones!$A:$B,2,0)&gt;=0,IFERROR(INDEX(filter(Precios!$D:$D,(Precios!$A:$A&lt;=$I20)*(Precios!$B:$B&gt;=$I20)*(Precios!$"&amp;"C:$C=AB$37)),1)*(1-$K$6),""No asegurable""),""No asegurable"")),"""")"),"")</f>
        <v/>
      </c>
      <c r="AC35" s="131">
        <f>IFERROR(__xludf.DUMMYFUNCTION("IFERROR(IF($I20="""","""",IF(VLOOKUP(LEFT(AC$37,SEARCH(""☃"",SUBSTITUTE(AC$37,"" "",""☃"",LEN(AC$37)-LEN(SUBSTITUTE(AC$37,"" "",""""))))-1),Excepciones!$A:$B,2,0)&gt;=0,IFERROR(INDEX(filter(Precios!$D:$D,(Precios!$A:$A&lt;=$I20)*(Precios!$B:$B&gt;=$I20)*(Precios!$"&amp;"C:$C=AC$37)),1)*(1-$K$6),""No asegurable""),""No asegurable"")),"""")"),"")</f>
        <v/>
      </c>
      <c r="AE35" s="5" t="n"/>
      <c r="AF35" s="5" t="n"/>
      <c r="AG35" s="5" t="n"/>
      <c r="AH35" s="125" t="n"/>
      <c r="AI35" s="125" t="n"/>
      <c r="AJ35" s="5" t="n"/>
      <c r="AK35" s="125" t="n"/>
      <c r="AL35" s="125" t="n"/>
    </row>
    <row r="36" ht="28.5" customHeight="1" s="241">
      <c r="B36" s="124" t="n"/>
      <c r="C36" s="122" t="n"/>
      <c r="D36" s="121" t="n"/>
      <c r="E36" s="121" t="n"/>
      <c r="F36" s="121" t="n"/>
      <c r="G36" s="121" t="n"/>
      <c r="H36" s="121" t="n"/>
      <c r="I36" s="122" t="n"/>
      <c r="K36" s="234" t="n"/>
      <c r="L36" s="132" t="n"/>
      <c r="AE36" s="5" t="n"/>
      <c r="AF36" s="5" t="n"/>
      <c r="AG36" s="5" t="n"/>
      <c r="AH36" s="125" t="n"/>
      <c r="AI36" s="125" t="n"/>
      <c r="AJ36" s="5" t="n"/>
      <c r="AK36" s="125" t="n"/>
      <c r="AL36" s="125" t="n"/>
    </row>
    <row r="37" ht="27.75" customHeight="1" s="241">
      <c r="B37" s="121" t="n"/>
      <c r="C37" s="121" t="n"/>
      <c r="D37" s="121" t="n"/>
      <c r="E37" s="121" t="n"/>
      <c r="F37" s="121" t="n"/>
      <c r="G37" s="121" t="n"/>
      <c r="H37" s="121" t="n"/>
      <c r="I37" s="121" t="n"/>
      <c r="J37" s="121" t="n"/>
      <c r="K37" s="234" t="n"/>
      <c r="L37" s="258" t="inlineStr">
        <is>
          <t>CON DENTAL</t>
        </is>
      </c>
      <c r="M37" s="259" t="n"/>
      <c r="N37" s="260">
        <f>"Go"&amp;" "&amp;$K$3</f>
        <v/>
      </c>
      <c r="O37" s="260">
        <f>"Plena Vital"&amp;" "&amp;$K$3</f>
        <v/>
      </c>
      <c r="P37" s="260">
        <f>"Plena Total vital"&amp;" "&amp;$K$3</f>
        <v/>
      </c>
      <c r="Q37" s="260">
        <f>"Plena"&amp;" "&amp;$K$3</f>
        <v/>
      </c>
      <c r="R37" s="260">
        <f>"Plena Plus"&amp;" "&amp;$K$3</f>
        <v/>
      </c>
      <c r="S37" s="260">
        <f>"Plena Total"&amp;" "&amp;$K$3</f>
        <v/>
      </c>
      <c r="T37" s="260">
        <f>"Plena Extra 150"&amp;" "&amp;$K$3</f>
        <v/>
      </c>
      <c r="U37" s="260">
        <f>"Seniors"&amp;" "&amp;$K$3</f>
        <v/>
      </c>
      <c r="V37" s="260">
        <f>"Seniors total"&amp;" "&amp;$K$3</f>
        <v/>
      </c>
      <c r="W37" s="260">
        <f>"Negocios NIF"&amp;" "&amp;$K$3</f>
        <v/>
      </c>
      <c r="X37" s="261">
        <f>"Pymes TOTAL"&amp;" "&amp;$K$3</f>
        <v/>
      </c>
      <c r="Y37" s="262">
        <f>IF(OR(COUNT(I6:I13)=1,COUNT(I6:I13)=2),"Extra Negocios NIF"&amp;" "&amp;$K$3&amp;" "&amp;COUNT(I6:I13),"Extra Negocios NIF"&amp;" "&amp;$K$3)</f>
        <v/>
      </c>
      <c r="Z37" s="260">
        <f>"Negocios CIF"&amp;" "&amp;$K$3</f>
        <v/>
      </c>
      <c r="AA37" s="260">
        <f>"Extra Negocios CIF"&amp;" "&amp;$K$3</f>
        <v/>
      </c>
      <c r="AB37" s="260">
        <f>"Empresas"&amp;" "&amp;$K$3</f>
        <v/>
      </c>
      <c r="AC37" s="261">
        <f>"Extra Empresas"&amp;" "&amp;$K$3</f>
        <v/>
      </c>
      <c r="AE37" s="5" t="n"/>
      <c r="AF37" s="5" t="n"/>
      <c r="AG37" s="5" t="n"/>
      <c r="AH37" s="125" t="n"/>
      <c r="AI37" s="125" t="n"/>
      <c r="AJ37" s="5" t="n"/>
      <c r="AK37" s="125" t="n"/>
      <c r="AL37" s="125" t="n"/>
    </row>
    <row r="38" ht="27.75" customHeight="1" s="241">
      <c r="B38" s="234" t="n"/>
      <c r="C38" s="234" t="n"/>
      <c r="D38" s="234" t="n"/>
      <c r="E38" s="234" t="n"/>
      <c r="F38" s="234" t="n"/>
      <c r="G38" s="234" t="n"/>
      <c r="H38" s="234" t="n"/>
      <c r="I38" s="234" t="n"/>
      <c r="J38" s="234" t="n"/>
      <c r="K38" s="234" t="n"/>
      <c r="L38" s="263" t="n"/>
      <c r="M38" s="253" t="n"/>
      <c r="N38" s="253" t="n"/>
      <c r="O38" s="253" t="n"/>
      <c r="P38" s="253" t="n"/>
      <c r="Q38" s="253" t="n"/>
      <c r="R38" s="253" t="n"/>
      <c r="S38" s="253" t="n"/>
      <c r="T38" s="253" t="n"/>
      <c r="U38" s="253" t="n"/>
      <c r="V38" s="253" t="n"/>
      <c r="W38" s="253" t="n"/>
      <c r="X38" s="256" t="n"/>
      <c r="Y38" s="253" t="n"/>
      <c r="Z38" s="253" t="n"/>
      <c r="AA38" s="253" t="n"/>
      <c r="AB38" s="253" t="n"/>
      <c r="AC38" s="256" t="n"/>
      <c r="AE38" s="5" t="n"/>
      <c r="AF38" s="5" t="n"/>
      <c r="AG38" s="5" t="n"/>
      <c r="AH38" s="125" t="n"/>
      <c r="AI38" s="125" t="n"/>
      <c r="AJ38" s="5" t="n"/>
      <c r="AK38" s="125" t="n"/>
      <c r="AL38" s="125" t="n"/>
    </row>
    <row r="39" ht="27.75" customHeight="1" s="241">
      <c r="B39" s="234" t="n"/>
      <c r="C39" s="234" t="n"/>
      <c r="D39" s="234" t="n"/>
      <c r="E39" s="234" t="n"/>
      <c r="F39" s="234" t="n"/>
      <c r="G39" s="234" t="n"/>
      <c r="H39" s="234" t="n"/>
      <c r="I39" s="234" t="n"/>
      <c r="J39" s="234" t="n"/>
      <c r="K39" s="234" t="n"/>
      <c r="L39" s="111" t="n">
        <v>1</v>
      </c>
      <c r="M39" s="112" t="n"/>
      <c r="N39" s="112">
        <f>N75</f>
        <v/>
      </c>
      <c r="O39" s="112">
        <f>IF(OR(O75="",O75=0),"",O75*(1-$K$8))</f>
        <v/>
      </c>
      <c r="P39" s="112">
        <f>IF(OR(P75="",P75=0),"",P75*(1-$K$8))</f>
        <v/>
      </c>
      <c r="Q39" s="112">
        <f>IF(OR(Q75="",Q75=0),"",Q75*(1-$K$8))</f>
        <v/>
      </c>
      <c r="R39" s="112">
        <f>IF(OR(R75="",R75=0),"",R75*(1-$K$8))</f>
        <v/>
      </c>
      <c r="S39" s="112">
        <f>IF(OR(S75="",S75=0),"",S75*(1-$K$8))</f>
        <v/>
      </c>
      <c r="T39" s="112">
        <f>IF(OR(T75="",T75=0),"",T75*(1-$K$8))</f>
        <v/>
      </c>
      <c r="U39" s="112">
        <f>IF(OR(U75="",U75=0),"",U75*(1-$K$8))</f>
        <v/>
      </c>
      <c r="V39" s="112">
        <f>IF(OR(V75="",V75=0),"",V75*(1-$K$8))</f>
        <v/>
      </c>
      <c r="W39" s="112">
        <f>IFERROR(__xludf.DUMMYFUNCTION("IFERROR(IF($I6="""","""",IF(VLOOKUP(LEFT(W$37,SEARCH(""☃"",SUBSTITUTE(W$37,"" "",""☃"",LEN(W$37)-LEN(SUBSTITUTE(W$37,"" "",""""))))-1),Excepciones!$A:$B,2,0)&gt;=0,IFERROR((INDEX(filter(Precios!$D:$D,(Precios!$A:$A&lt;=$I6)*(Precios!$B:$B&gt;=$I6)*(Precios!$C:$C=W"&amp;"$37)),1)*(1-$K$6)+VLOOKUP(COUNT($I$6:$I$13),Precios!$F:$G,2,0)),""No asegurable""),""No asegurable"")),"""")"),67.9625)</f>
        <v/>
      </c>
      <c r="X39" s="115">
        <f>IF(OR($K$10="Sí",X75=""),"",IF($K$8&gt;0,X75*(1-($K$8)*2),X75))</f>
        <v/>
      </c>
      <c r="Y39" s="112">
        <f>IFERROR(__xludf.DUMMYFUNCTION("IFERROR(IF($I6="""","""",IF(VLOOKUP(LEFT(Y$37,SEARCH(""☃"",SUBSTITUTE(Y$37,"" "",""☃"",LEN(Y$37)-LEN(SUBSTITUTE(Y$37,"" "",""""))))-1),Excepciones!$A:$B,2,0)&gt;=0,IFERROR(INDEX(filter(Precios!$D:$D,(Precios!$A:$A&lt;=$I6)*(Precios!$B:$B&gt;=$I6)*(Precios!$C:$C=Y$"&amp;"37)),1)*(1-$K$6),""No asegurable""),""No asegurable"")),"""")"),"")</f>
        <v/>
      </c>
      <c r="Z39" s="113" t="n"/>
      <c r="AA39" s="113" t="n"/>
      <c r="AB39" s="113" t="n"/>
      <c r="AC39" s="114" t="n"/>
      <c r="AE39" s="5" t="n"/>
      <c r="AF39" s="5" t="n"/>
      <c r="AG39" s="5" t="n"/>
      <c r="AH39" s="125" t="n"/>
      <c r="AI39" s="125" t="n"/>
      <c r="AJ39" s="5" t="n"/>
      <c r="AK39" s="125" t="n"/>
      <c r="AL39" s="125" t="n"/>
    </row>
    <row r="40" ht="27.75" customHeight="1" s="241">
      <c r="B40" s="234" t="n"/>
      <c r="C40" s="234" t="n"/>
      <c r="D40" s="234" t="n"/>
      <c r="E40" s="234" t="n"/>
      <c r="F40" s="234" t="n"/>
      <c r="G40" s="234" t="n"/>
      <c r="H40" s="234" t="n"/>
      <c r="I40" s="234" t="n"/>
      <c r="J40" s="234" t="n"/>
      <c r="K40" s="234" t="n"/>
      <c r="L40" s="116" t="n">
        <v>2</v>
      </c>
      <c r="M40" s="48" t="n"/>
      <c r="N40" s="48">
        <f>N76</f>
        <v/>
      </c>
      <c r="O40" s="48">
        <f>IF(OR(O76="",O76=0),"",O76*(1-$K$8))</f>
        <v/>
      </c>
      <c r="P40" s="48">
        <f>IF(OR(P76="",P76=0),"",P76*(1-$K$8))</f>
        <v/>
      </c>
      <c r="Q40" s="48">
        <f>IF(OR(Q76="",Q76=0),"",Q76*(1-$K$8))</f>
        <v/>
      </c>
      <c r="R40" s="48">
        <f>IF(OR(R76="",R76=0),"",R76*(1-$K$8))</f>
        <v/>
      </c>
      <c r="S40" s="48">
        <f>IF(OR(S76="",S76=0),"",S76*(1-$K$8))</f>
        <v/>
      </c>
      <c r="T40" s="48">
        <f>IF(OR(T76="",T76=0),"",T76*(1-$K$8))</f>
        <v/>
      </c>
      <c r="U40" s="48">
        <f>IF(OR(U76="",U76=0),"",U76*(1-$K$8))</f>
        <v/>
      </c>
      <c r="V40" s="48">
        <f>IF(OR(V76="",V76=0),"",V76*(1-$K$8))</f>
        <v/>
      </c>
      <c r="W40" s="48">
        <f>IFERROR(__xludf.DUMMYFUNCTION("IFERROR(IF($I7="""","""",IF(VLOOKUP(LEFT(W$37,SEARCH(""☃"",SUBSTITUTE(W$37,"" "",""☃"",LEN(W$37)-LEN(SUBSTITUTE(W$37,"" "",""""))))-1),Excepciones!$A:$B,2,0)&gt;=0,IFERROR((INDEX(filter(Precios!$D:$D,(Precios!$A:$A&lt;=$I7)*(Precios!$B:$B&gt;=$I7)*(Precios!$C:$C=W"&amp;"$37)),1)*(1-$K$6)+VLOOKUP(COUNT($I$6:$I$13),Precios!$F:$G,2,0)),""No asegurable""),""No asegurable"")),"""")"),67.9625)</f>
        <v/>
      </c>
      <c r="X40" s="119">
        <f>IF(OR($K$10="Sí",X76=""),"",IF($K$8&gt;0,X76*(1-($K$8)*2),X76))</f>
        <v/>
      </c>
      <c r="Y40" s="48">
        <f>IFERROR(__xludf.DUMMYFUNCTION("IFERROR(IF($I7="""","""",IF(VLOOKUP(LEFT(Y$37,SEARCH(""☃"",SUBSTITUTE(Y$37,"" "",""☃"",LEN(Y$37)-LEN(SUBSTITUTE(Y$37,"" "",""""))))-1),Excepciones!$A:$B,2,0)&gt;=0,IFERROR(INDEX(filter(Precios!$D:$D,(Precios!$A:$A&lt;=$I7)*(Precios!$B:$B&gt;=$I7)*(Precios!$C:$C=Y$"&amp;"37)),1)*(1-$K$6),""No asegurable""),""No asegurable"")),"""")"),"")</f>
        <v/>
      </c>
      <c r="Z40" s="117" t="n"/>
      <c r="AA40" s="117" t="n"/>
      <c r="AB40" s="117" t="n"/>
      <c r="AC40" s="118" t="n"/>
      <c r="AE40" s="5" t="n"/>
      <c r="AF40" s="5" t="n"/>
      <c r="AG40" s="5" t="n"/>
      <c r="AH40" s="125" t="n"/>
      <c r="AI40" s="125" t="n"/>
      <c r="AJ40" s="5" t="n"/>
      <c r="AK40" s="125" t="n"/>
      <c r="AL40" s="125" t="n"/>
    </row>
    <row r="41" ht="27.75" customHeight="1" s="241">
      <c r="K41" s="234" t="n"/>
      <c r="L41" s="116" t="n">
        <v>3</v>
      </c>
      <c r="M41" s="48" t="n"/>
      <c r="N41" s="48">
        <f>N77</f>
        <v/>
      </c>
      <c r="O41" s="48">
        <f>IF(OR(O77="",O77=0),"",O77*(1-$K$8))</f>
        <v/>
      </c>
      <c r="P41" s="48">
        <f>IF(OR(P77="",P77=0),"",P77*(1-$K$8))</f>
        <v/>
      </c>
      <c r="Q41" s="48">
        <f>IF(OR(Q77="",Q77=0),"",Q77*(1-$K$8))</f>
        <v/>
      </c>
      <c r="R41" s="48">
        <f>IF(OR(R77="",R77=0),"",R77*(1-$K$8))</f>
        <v/>
      </c>
      <c r="S41" s="48">
        <f>IF(OR(S77="",S77=0),"",S77*(1-$K$8))</f>
        <v/>
      </c>
      <c r="T41" s="48">
        <f>IF(OR(T77="",T77=0),"",T77*(1-$K$8))</f>
        <v/>
      </c>
      <c r="U41" s="48">
        <f>IF(OR(U77="",U77=0),"",U77*(1-$K$8))</f>
        <v/>
      </c>
      <c r="V41" s="48">
        <f>IF(OR(V77="",V77=0),"",V77*(1-$K$8))</f>
        <v/>
      </c>
      <c r="W41" s="48">
        <f>IFERROR(__xludf.DUMMYFUNCTION("IFERROR(IF($I8="""","""",IF(VLOOKUP(LEFT(W$37,SEARCH(""☃"",SUBSTITUTE(W$37,"" "",""☃"",LEN(W$37)-LEN(SUBSTITUTE(W$37,"" "",""""))))-1),Excepciones!$A:$B,2,0)&gt;=0,IFERROR((INDEX(filter(Precios!$D:$D,(Precios!$A:$A&lt;=$I8)*(Precios!$B:$B&gt;=$I8)*(Precios!$C:$C=W"&amp;"$37)),1)*(1-$K$6)+VLOOKUP(COUNT($I$6:$I$13),Precios!$F:$G,2,0)),""No asegurable""),""No asegurable"")),"""")"),131.4625)</f>
        <v/>
      </c>
      <c r="X41" s="119">
        <f>IF(OR($K$10="Sí",X77=""),"",IF($K$8&gt;0,X77*(1-($K$8)*2),X77))</f>
        <v/>
      </c>
      <c r="Y41" s="48">
        <f>IFERROR(__xludf.DUMMYFUNCTION("IFERROR(IF($I8="""","""",IF(VLOOKUP(LEFT(Y$37,SEARCH(""☃"",SUBSTITUTE(Y$37,"" "",""☃"",LEN(Y$37)-LEN(SUBSTITUTE(Y$37,"" "",""""))))-1),Excepciones!$A:$B,2,0)&gt;=0,IFERROR(INDEX(filter(Precios!$D:$D,(Precios!$A:$A&lt;=$I8)*(Precios!$B:$B&gt;=$I8)*(Precios!$C:$C=Y$"&amp;"37)),1)*(1-$K$6),""No asegurable""),""No asegurable"")),"""")"),"")</f>
        <v/>
      </c>
      <c r="Z41" s="117" t="n"/>
      <c r="AA41" s="117" t="n"/>
      <c r="AB41" s="117" t="n"/>
      <c r="AC41" s="118" t="n"/>
      <c r="AD41" s="5" t="n"/>
      <c r="AE41" s="5" t="n"/>
      <c r="AF41" s="5" t="n"/>
      <c r="AG41" s="5" t="n"/>
      <c r="AH41" s="125" t="n"/>
      <c r="AI41" s="125" t="n"/>
      <c r="AJ41" s="5" t="n"/>
      <c r="AK41" s="125" t="n"/>
      <c r="AL41" s="125" t="n"/>
    </row>
    <row r="42" ht="27.75" customHeight="1" s="241">
      <c r="L42" s="116" t="n">
        <v>4</v>
      </c>
      <c r="M42" s="48" t="n"/>
      <c r="N42" s="48">
        <f>N78</f>
        <v/>
      </c>
      <c r="O42" s="48">
        <f>IF(OR(O78="",O78=0),"",O78*(1-$K$8))</f>
        <v/>
      </c>
      <c r="P42" s="48">
        <f>IF(OR(P78="",P78=0),"",P78*(1-$K$8))</f>
        <v/>
      </c>
      <c r="Q42" s="48">
        <f>IF(OR(Q78="",Q78=0),"",Q78*(1-$K$8))</f>
        <v/>
      </c>
      <c r="R42" s="48">
        <f>IF(OR(R78="",R78=0),"",R78*(1-$K$8))</f>
        <v/>
      </c>
      <c r="S42" s="48">
        <f>IF(OR(S78="",S78=0),"",S78*(1-$K$8))</f>
        <v/>
      </c>
      <c r="T42" s="48">
        <f>IF(OR(T78="",T78=0),"",T78*(1-$K$8))</f>
        <v/>
      </c>
      <c r="U42" s="48">
        <f>IF(OR(U78="",U78=0),"",U78*(1-$K$8))</f>
        <v/>
      </c>
      <c r="V42" s="48">
        <f>IF(OR(V78="",V78=0),"",V78*(1-$K$8))</f>
        <v/>
      </c>
      <c r="W42" s="48">
        <f>IFERROR(__xludf.DUMMYFUNCTION("IFERROR(IF($I9="""","""",IF(VLOOKUP(LEFT(W$37,SEARCH(""☃"",SUBSTITUTE(W$37,"" "",""☃"",LEN(W$37)-LEN(SUBSTITUTE(W$37,"" "",""""))))-1),Excepciones!$A:$B,2,0)&gt;=0,IFERROR((INDEX(filter(Precios!$D:$D,(Precios!$A:$A&lt;=$I9)*(Precios!$B:$B&gt;=$I9)*(Precios!$C:$C=W"&amp;"$37)),1)*(1-$K$6)+VLOOKUP(COUNT($I$6:$I$13),Precios!$F:$G,2,0)),""No asegurable""),""No asegurable"")),"""")"),242.4625)</f>
        <v/>
      </c>
      <c r="X42" s="119">
        <f>IF(OR($K$10="Sí",X78=""),"",IF($K$8&gt;0,X78*(1-($K$8)*2),X78))</f>
        <v/>
      </c>
      <c r="Y42" s="48">
        <f>IFERROR(__xludf.DUMMYFUNCTION("IFERROR(IF($I9="""","""",IF(VLOOKUP(LEFT(Y$37,SEARCH(""☃"",SUBSTITUTE(Y$37,"" "",""☃"",LEN(Y$37)-LEN(SUBSTITUTE(Y$37,"" "",""""))))-1),Excepciones!$A:$B,2,0)&gt;=0,IFERROR(INDEX(filter(Precios!$D:$D,(Precios!$A:$A&lt;=$I9)*(Precios!$B:$B&gt;=$I9)*(Precios!$C:$C=Y$"&amp;"37)),1)*(1-$K$6),""No asegurable""),""No asegurable"")),"""")"),"")</f>
        <v/>
      </c>
      <c r="Z42" s="117" t="n"/>
      <c r="AA42" s="117" t="n"/>
      <c r="AB42" s="117" t="n"/>
      <c r="AC42" s="118" t="n"/>
      <c r="AD42" s="5" t="n"/>
      <c r="AE42" s="5" t="n"/>
      <c r="AF42" s="5" t="n"/>
      <c r="AG42" s="5" t="n"/>
      <c r="AH42" s="125" t="n"/>
      <c r="AI42" s="125" t="n"/>
      <c r="AJ42" s="5" t="n"/>
      <c r="AK42" s="125" t="n"/>
      <c r="AL42" s="125" t="n"/>
    </row>
    <row r="43" ht="27.75" customHeight="1" s="241">
      <c r="L43" s="116" t="n">
        <v>5</v>
      </c>
      <c r="M43" s="48" t="n"/>
      <c r="N43" s="48">
        <f>N79</f>
        <v/>
      </c>
      <c r="O43" s="48">
        <f>IF(OR(O79="",O79=0),"",O79*(1-$K$8))</f>
        <v/>
      </c>
      <c r="P43" s="48">
        <f>IF(OR(P79="",P79=0),"",P79*(1-$K$8))</f>
        <v/>
      </c>
      <c r="Q43" s="48">
        <f>IF(OR(Q79="",Q79=0),"",Q79*(1-$K$8))</f>
        <v/>
      </c>
      <c r="R43" s="48">
        <f>IF(OR(R79="",R79=0),"",R79*(1-$K$8))</f>
        <v/>
      </c>
      <c r="S43" s="48">
        <f>IF(OR(S79="",S79=0),"",S79*(1-$K$8))</f>
        <v/>
      </c>
      <c r="T43" s="48">
        <f>IF(OR(T79="",T79=0),"",T79*(1-$K$8))</f>
        <v/>
      </c>
      <c r="U43" s="48">
        <f>IF(OR(U79="",U79=0),"",U79*(1-$K$8))</f>
        <v/>
      </c>
      <c r="V43" s="48">
        <f>IF(OR(V79="",V79=0),"",V79*(1-$K$8))</f>
        <v/>
      </c>
      <c r="W43" s="48">
        <f>IFERROR(__xludf.DUMMYFUNCTION("IFERROR(IF($I10="""","""",IF(VLOOKUP(LEFT(W$37,SEARCH(""☃"",SUBSTITUTE(W$37,"" "",""☃"",LEN(W$37)-LEN(SUBSTITUTE(W$37,"" "",""""))))-1),Excepciones!$A:$B,2,0)&gt;=0,IFERROR((INDEX(filter(Precios!$D:$D,(Precios!$A:$A&lt;=$I10)*(Precios!$B:$B&gt;=$I10)*(Precios!$C:$"&amp;"C=W$37)),1)*(1-$K$6)+VLOOKUP(COUNT($I$6:$I$13),Precios!$F:$G,2,0)),""No asegurable""),""No asegurable"")),"""")"),"")</f>
        <v/>
      </c>
      <c r="X43" s="119">
        <f>IF(OR($K$10="Sí",X79=""),"",IF($K$8&gt;0,X79*(1-($K$8)*2),X79))</f>
        <v/>
      </c>
      <c r="Y43" s="48">
        <f>IFERROR(__xludf.DUMMYFUNCTION("IFERROR(IF($I10="""","""",IF(VLOOKUP(LEFT(Y$37,SEARCH(""☃"",SUBSTITUTE(Y$37,"" "",""☃"",LEN(Y$37)-LEN(SUBSTITUTE(Y$37,"" "",""""))))-1),Excepciones!$A:$B,2,0)&gt;=0,IFERROR(INDEX(filter(Precios!$D:$D,(Precios!$A:$A&lt;=$I10)*(Precios!$B:$B&gt;=$I10)*(Precios!$C:$C"&amp;"=Y$37)),1)*(1-$K$6),""No asegurable""),""No asegurable"")),"""")"),"")</f>
        <v/>
      </c>
      <c r="Z43" s="117" t="n"/>
      <c r="AA43" s="117" t="n"/>
      <c r="AB43" s="117" t="n"/>
      <c r="AC43" s="118" t="n"/>
      <c r="AD43" s="5" t="n"/>
      <c r="AE43" s="5" t="n"/>
      <c r="AF43" s="5" t="n"/>
      <c r="AG43" s="5" t="n"/>
      <c r="AH43" s="125" t="n"/>
      <c r="AI43" s="125" t="n"/>
      <c r="AJ43" s="5" t="n"/>
      <c r="AK43" s="125" t="n"/>
      <c r="AL43" s="125" t="n"/>
    </row>
    <row r="44" ht="27.75" customHeight="1" s="241">
      <c r="L44" s="116" t="n">
        <v>6</v>
      </c>
      <c r="M44" s="48" t="n"/>
      <c r="N44" s="48">
        <f>N80</f>
        <v/>
      </c>
      <c r="O44" s="48">
        <f>IF(OR(O80="",O80=0),"",O80*(1-$K$8))</f>
        <v/>
      </c>
      <c r="P44" s="48">
        <f>IF(OR(P80="",P80=0),"",P80*(1-$K$8))</f>
        <v/>
      </c>
      <c r="Q44" s="48">
        <f>IF(OR(Q80="",Q80=0),"",Q80*(1-$K$8))</f>
        <v/>
      </c>
      <c r="R44" s="48">
        <f>IF(OR(R80="",R80=0),"",R80*(1-$K$8))</f>
        <v/>
      </c>
      <c r="S44" s="48">
        <f>IF(OR(S80="",S80=0),"",S80*(1-$K$8))</f>
        <v/>
      </c>
      <c r="T44" s="48">
        <f>IF(OR(T80="",T80=0),"",T80*(1-$K$8))</f>
        <v/>
      </c>
      <c r="U44" s="48">
        <f>IF(OR(U80="",U80=0),"",U80*(1-$K$8))</f>
        <v/>
      </c>
      <c r="V44" s="48">
        <f>IF(OR(V80="",V80=0),"",V80*(1-$K$8))</f>
        <v/>
      </c>
      <c r="W44" s="48">
        <f>IFERROR(__xludf.DUMMYFUNCTION("IFERROR(IF($I11="""","""",IF(VLOOKUP(LEFT(W$37,SEARCH(""☃"",SUBSTITUTE(W$37,"" "",""☃"",LEN(W$37)-LEN(SUBSTITUTE(W$37,"" "",""""))))-1),Excepciones!$A:$B,2,0)&gt;=0,IFERROR((INDEX(filter(Precios!$D:$D,(Precios!$A:$A&lt;=$I11)*(Precios!$B:$B&gt;=$I11)*(Precios!$C:$"&amp;"C=W$37)),1)*(1-$K$6)+VLOOKUP(COUNT($I$6:$I$13),Precios!$F:$G,2,0)),""No asegurable""),""No asegurable"")),"""")"),"")</f>
        <v/>
      </c>
      <c r="X44" s="119">
        <f>IF(OR($K$10="Sí",X80=""),"",IF($K$8&gt;0,X80*(1-($K$8)*2),X80))</f>
        <v/>
      </c>
      <c r="Y44" s="48">
        <f>IFERROR(__xludf.DUMMYFUNCTION("IFERROR(IF($I11="""","""",IF(VLOOKUP(LEFT(Y$37,SEARCH(""☃"",SUBSTITUTE(Y$37,"" "",""☃"",LEN(Y$37)-LEN(SUBSTITUTE(Y$37,"" "",""""))))-1),Excepciones!$A:$B,2,0)&gt;=0,IFERROR(INDEX(filter(Precios!$D:$D,(Precios!$A:$A&lt;=$I11)*(Precios!$B:$B&gt;=$I11)*(Precios!$C:$C"&amp;"=Y$37)),1)*(1-$K$6),""No asegurable""),""No asegurable"")),"""")"),"")</f>
        <v/>
      </c>
      <c r="Z44" s="117" t="n"/>
      <c r="AA44" s="117" t="n"/>
      <c r="AB44" s="117" t="n"/>
      <c r="AC44" s="118" t="n"/>
      <c r="AD44" s="5" t="n"/>
      <c r="AE44" s="5" t="n"/>
      <c r="AF44" s="5" t="n"/>
      <c r="AG44" s="5" t="n"/>
      <c r="AH44" s="125" t="n"/>
      <c r="AI44" s="125" t="n"/>
      <c r="AJ44" s="5" t="n"/>
      <c r="AK44" s="125" t="n"/>
      <c r="AL44" s="125" t="n"/>
    </row>
    <row r="45" ht="27.75" customHeight="1" s="241">
      <c r="L45" s="116" t="n">
        <v>7</v>
      </c>
      <c r="M45" s="48" t="n"/>
      <c r="N45" s="48">
        <f>N81</f>
        <v/>
      </c>
      <c r="O45" s="48">
        <f>IF(OR(O81="",O81=0),"",O81*(1-$K$8))</f>
        <v/>
      </c>
      <c r="P45" s="48">
        <f>IF(OR(P81="",P81=0),"",P81*(1-$K$8))</f>
        <v/>
      </c>
      <c r="Q45" s="48">
        <f>IF(OR(Q81="",Q81=0),"",Q81*(1-$K$8))</f>
        <v/>
      </c>
      <c r="R45" s="48">
        <f>IF(OR(R81="",R81=0),"",R81*(1-$K$8))</f>
        <v/>
      </c>
      <c r="S45" s="48">
        <f>IF(OR(S81="",S81=0),"",S81*(1-$K$8))</f>
        <v/>
      </c>
      <c r="T45" s="48">
        <f>IF(OR(T81="",T81=0),"",T81*(1-$K$8))</f>
        <v/>
      </c>
      <c r="U45" s="48">
        <f>IF(OR(U81="",U81=0),"",U81*(1-$K$8))</f>
        <v/>
      </c>
      <c r="V45" s="48">
        <f>IF(OR(V81="",V81=0),"",V81*(1-$K$8))</f>
        <v/>
      </c>
      <c r="W45" s="48">
        <f>IFERROR(__xludf.DUMMYFUNCTION("IFERROR(IF($I12="""","""",IF(VLOOKUP(LEFT(W$37,SEARCH(""☃"",SUBSTITUTE(W$37,"" "",""☃"",LEN(W$37)-LEN(SUBSTITUTE(W$37,"" "",""""))))-1),Excepciones!$A:$B,2,0)&gt;=0,IFERROR((INDEX(filter(Precios!$D:$D,(Precios!$A:$A&lt;=$I12)*(Precios!$B:$B&gt;=$I12)*(Precios!$C:$"&amp;"C=W$37)),1)*(1-$K$6)+VLOOKUP(COUNT($I$6:$I$13),Precios!$F:$G,2,0)),""No asegurable""),""No asegurable"")),"""")"),"")</f>
        <v/>
      </c>
      <c r="X45" s="119">
        <f>IF(OR($K$10="Sí",X81=""),"",IF($K$8&gt;0,X81*(1-($K$8)*2),X81))</f>
        <v/>
      </c>
      <c r="Y45" s="48">
        <f>IFERROR(__xludf.DUMMYFUNCTION("IFERROR(IF($I12="""","""",IF(VLOOKUP(LEFT(Y$37,SEARCH(""☃"",SUBSTITUTE(Y$37,"" "",""☃"",LEN(Y$37)-LEN(SUBSTITUTE(Y$37,"" "",""""))))-1),Excepciones!$A:$B,2,0)&gt;=0,IFERROR(INDEX(filter(Precios!$D:$D,(Precios!$A:$A&lt;=$I12)*(Precios!$B:$B&gt;=$I12)*(Precios!$C:$C"&amp;"=Y$37)),1)*(1-$K$6),""No asegurable""),""No asegurable"")),"""")"),"")</f>
        <v/>
      </c>
      <c r="Z45" s="117" t="n"/>
      <c r="AA45" s="117" t="n"/>
      <c r="AB45" s="117" t="n"/>
      <c r="AC45" s="118" t="n"/>
      <c r="AD45" s="5" t="n"/>
      <c r="AE45" s="5" t="n"/>
      <c r="AF45" s="5" t="n"/>
      <c r="AG45" s="5" t="n"/>
      <c r="AH45" s="125" t="n"/>
      <c r="AI45" s="125" t="n"/>
      <c r="AJ45" s="5" t="n"/>
      <c r="AK45" s="125" t="n"/>
      <c r="AL45" s="125" t="n"/>
    </row>
    <row r="46" ht="24.75" customHeight="1" s="241">
      <c r="L46" s="116" t="n">
        <v>8</v>
      </c>
      <c r="M46" s="48" t="n"/>
      <c r="N46" s="48">
        <f>N82</f>
        <v/>
      </c>
      <c r="O46" s="48">
        <f>IF(OR(O82="",O82=0),"",O82*(1-$K$8))</f>
        <v/>
      </c>
      <c r="P46" s="48">
        <f>IF(OR(P82="",P82=0),"",P82*(1-$K$8))</f>
        <v/>
      </c>
      <c r="Q46" s="48">
        <f>IF(OR(Q82="",Q82=0),"",Q82*(1-$K$8))</f>
        <v/>
      </c>
      <c r="R46" s="48">
        <f>IF(OR(R82="",R82=0),"",R82*(1-$K$8))</f>
        <v/>
      </c>
      <c r="S46" s="48">
        <f>IF(OR(S82="",S82=0),"",S82*(1-$K$8))</f>
        <v/>
      </c>
      <c r="T46" s="48">
        <f>IF(OR(T82="",T82=0),"",T82*(1-$K$8))</f>
        <v/>
      </c>
      <c r="U46" s="48">
        <f>IF(OR(U82="",U82=0),"",U82*(1-$K$8))</f>
        <v/>
      </c>
      <c r="V46" s="48">
        <f>IF(OR(V82="",V82=0),"",V82*(1-$K$8))</f>
        <v/>
      </c>
      <c r="W46" s="48">
        <f>IFERROR(__xludf.DUMMYFUNCTION("IFERROR(IF($I13="""","""",IF(VLOOKUP(LEFT(W$37,SEARCH(""☃"",SUBSTITUTE(W$37,"" "",""☃"",LEN(W$37)-LEN(SUBSTITUTE(W$37,"" "",""""))))-1),Excepciones!$A:$B,2,0)&gt;=0,IFERROR((INDEX(filter(Precios!$D:$D,(Precios!$A:$A&lt;=$I13)*(Precios!$B:$B&gt;=$I13)*(Precios!$C:$"&amp;"C=W$37)),1)*(1-$K$6)+VLOOKUP(COUNT($I$6:$I$13),Precios!$F:$G,2,0)),""No asegurable""),""No asegurable"")),"""")"),"")</f>
        <v/>
      </c>
      <c r="X46" s="119">
        <f>IF(OR($K$10="Sí",X82=""),"",IF($K$8&gt;0,X82*(1-($K$8)*2),X82))</f>
        <v/>
      </c>
      <c r="Y46" s="48">
        <f>IFERROR(__xludf.DUMMYFUNCTION("IFERROR(IF($I13="""","""",IF(VLOOKUP(LEFT(Y$37,SEARCH(""☃"",SUBSTITUTE(Y$37,"" "",""☃"",LEN(Y$37)-LEN(SUBSTITUTE(Y$37,"" "",""""))))-1),Excepciones!$A:$B,2,0)&gt;=0,IFERROR(INDEX(filter(Precios!$D:$D,(Precios!$A:$A&lt;=$I13)*(Precios!$B:$B&gt;=$I13)*(Precios!$C:$C"&amp;"=Y$37)),1)*(1-$K$6),""No asegurable""),""No asegurable"")),"""")"),"")</f>
        <v/>
      </c>
      <c r="Z46" s="117" t="n"/>
      <c r="AA46" s="117" t="n"/>
      <c r="AB46" s="117" t="n"/>
      <c r="AC46" s="118" t="n"/>
      <c r="AD46" s="5" t="n"/>
      <c r="AE46" s="5" t="n"/>
      <c r="AF46" s="5" t="n"/>
      <c r="AG46" s="5" t="n"/>
      <c r="AH46" s="125" t="n"/>
      <c r="AI46" s="125" t="n"/>
      <c r="AJ46" s="5" t="n"/>
      <c r="AK46" s="125" t="n"/>
      <c r="AL46" s="125" t="n"/>
    </row>
    <row r="47" ht="24.75" customHeight="1" s="241">
      <c r="L47" s="116" t="n">
        <v>9</v>
      </c>
      <c r="M47" s="48" t="n"/>
      <c r="N47" s="48">
        <f>N83</f>
        <v/>
      </c>
      <c r="O47" s="48">
        <f>IF(OR(O83="",O83=0),"",O83*(1-$K$8))</f>
        <v/>
      </c>
      <c r="P47" s="48">
        <f>IF(OR(P83="",P83=0),"",P83*(1-$K$8))</f>
        <v/>
      </c>
      <c r="Q47" s="48">
        <f>IF(OR(Q83="",Q83=0),"",Q83*(1-$K$8))</f>
        <v/>
      </c>
      <c r="R47" s="48">
        <f>IF(OR(R83="",R83=0),"",R83*(1-$K$8))</f>
        <v/>
      </c>
      <c r="S47" s="48">
        <f>IF(OR(S83="",S83=0),"",S83*(1-$K$8))</f>
        <v/>
      </c>
      <c r="T47" s="48">
        <f>IF(OR(T83="",T83=0),"",T83*(1-$K$8))</f>
        <v/>
      </c>
      <c r="U47" s="48">
        <f>IF(OR(U83="",U83=0),"",U83*(1-$K$8))</f>
        <v/>
      </c>
      <c r="V47" s="48">
        <f>IF(OR(V83="",V83=0),"",V83*(1-$K$8))</f>
        <v/>
      </c>
      <c r="W47" s="48">
        <f>IFERROR(__xludf.DUMMYFUNCTION("IFERROR(IF($I14="""","""",IF(VLOOKUP(LEFT(W$37,SEARCH(""☃"",SUBSTITUTE(W$37,"" "",""☃"",LEN(W$37)-LEN(SUBSTITUTE(W$37,"" "",""""))))-1),Excepciones!$A:$B,2,0)&gt;=0,IFERROR((INDEX(filter(Precios!$D:$D,(Precios!$A:$A&lt;=$I14)*(Precios!$B:$B&gt;=$I14)*(Precios!$C:$"&amp;"C=W$37)),1)*(1-$K$6)+VLOOKUP(COUNT($I$6:$I$13),Precios!$F:$G,2,0)),""No asegurable""),""No asegurable"")),"""")"),"")</f>
        <v/>
      </c>
      <c r="X47" s="119">
        <f>IF(OR($K$10="Sí",X83=""),"",IF($K$8&gt;0,X83*(1-($K$8)*2),X83))</f>
        <v/>
      </c>
      <c r="Y47" s="48">
        <f>IFERROR(__xludf.DUMMYFUNCTION("IFERROR(IF($I14="""","""",IF(VLOOKUP(LEFT(Y$37,SEARCH(""☃"",SUBSTITUTE(Y$37,"" "",""☃"",LEN(Y$37)-LEN(SUBSTITUTE(Y$37,"" "",""""))))-1),Excepciones!$A:$B,2,0)&gt;=0,IFERROR(INDEX(filter(Precios!$D:$D,(Precios!$A:$A&lt;=$I14)*(Precios!$B:$B&gt;=$I14)*(Precios!$C:$C"&amp;"=Y$37)),1)*(1-$K$6),""No asegurable""),""No asegurable"")),"""")"),"")</f>
        <v/>
      </c>
      <c r="Z47" s="117" t="n"/>
      <c r="AA47" s="117" t="n"/>
      <c r="AB47" s="117" t="n"/>
      <c r="AC47" s="118" t="n"/>
      <c r="AD47" s="5" t="n"/>
      <c r="AE47" s="5" t="n"/>
      <c r="AF47" s="5" t="n"/>
      <c r="AG47" s="5" t="n"/>
      <c r="AH47" s="125" t="n"/>
      <c r="AI47" s="125" t="n"/>
      <c r="AJ47" s="5" t="n"/>
      <c r="AK47" s="125" t="n"/>
      <c r="AL47" s="125" t="n"/>
    </row>
    <row r="48" ht="24.75" customHeight="1" s="241">
      <c r="L48" s="116" t="n">
        <v>10</v>
      </c>
      <c r="M48" s="48" t="n"/>
      <c r="N48" s="48">
        <f>N84</f>
        <v/>
      </c>
      <c r="O48" s="48">
        <f>IF(OR(O84="",O84=0),"",O84*(1-$K$8))</f>
        <v/>
      </c>
      <c r="P48" s="48">
        <f>IF(OR(P84="",P84=0),"",P84*(1-$K$8))</f>
        <v/>
      </c>
      <c r="Q48" s="48">
        <f>IF(OR(Q84="",Q84=0),"",Q84*(1-$K$8))</f>
        <v/>
      </c>
      <c r="R48" s="48">
        <f>IF(OR(R84="",R84=0),"",R84*(1-$K$8))</f>
        <v/>
      </c>
      <c r="S48" s="48">
        <f>IF(OR(S84="",S84=0),"",S84*(1-$K$8))</f>
        <v/>
      </c>
      <c r="T48" s="48">
        <f>IF(OR(T84="",T84=0),"",T84*(1-$K$8))</f>
        <v/>
      </c>
      <c r="U48" s="48">
        <f>IF(OR(U84="",U84=0),"",U84*(1-$K$8))</f>
        <v/>
      </c>
      <c r="V48" s="48">
        <f>IF(OR(V84="",V84=0),"",V84*(1-$K$8))</f>
        <v/>
      </c>
      <c r="W48" s="48">
        <f>IFERROR(__xludf.DUMMYFUNCTION("IFERROR(IF($I15="""","""",IF(VLOOKUP(LEFT(W$37,SEARCH(""☃"",SUBSTITUTE(W$37,"" "",""☃"",LEN(W$37)-LEN(SUBSTITUTE(W$37,"" "",""""))))-1),Excepciones!$A:$B,2,0)&gt;=0,IFERROR((INDEX(filter(Precios!$D:$D,(Precios!$A:$A&lt;=$I15)*(Precios!$B:$B&gt;=$I15)*(Precios!$C:$"&amp;"C=W$37)),1)*(1-$K$6)+VLOOKUP(COUNT($I$6:$I$13),Precios!$F:$G,2,0)),""No asegurable""),""No asegurable"")),"""")"),"")</f>
        <v/>
      </c>
      <c r="X48" s="119">
        <f>IF(OR($K$10="Sí",X84=""),"",IF($K$8&gt;0,X84*(1-($K$8)*2),X84))</f>
        <v/>
      </c>
      <c r="Y48" s="48">
        <f>IFERROR(__xludf.DUMMYFUNCTION("IFERROR(IF($I15="""","""",IF(VLOOKUP(LEFT(Y$37,SEARCH(""☃"",SUBSTITUTE(Y$37,"" "",""☃"",LEN(Y$37)-LEN(SUBSTITUTE(Y$37,"" "",""""))))-1),Excepciones!$A:$B,2,0)&gt;=0,IFERROR(INDEX(filter(Precios!$D:$D,(Precios!$A:$A&lt;=$I15)*(Precios!$B:$B&gt;=$I15)*(Precios!$C:$C"&amp;"=Y$37)),1)*(1-$K$6),""No asegurable""),""No asegurable"")),"""")"),"")</f>
        <v/>
      </c>
      <c r="Z48" s="117" t="n"/>
      <c r="AA48" s="117" t="n"/>
      <c r="AB48" s="117" t="n"/>
      <c r="AC48" s="118" t="n"/>
      <c r="AD48" s="5" t="n"/>
      <c r="AE48" s="5" t="n"/>
      <c r="AF48" s="5" t="n"/>
      <c r="AG48" s="5" t="n"/>
      <c r="AH48" s="125" t="n"/>
      <c r="AI48" s="125" t="n"/>
      <c r="AJ48" s="5" t="n"/>
      <c r="AK48" s="125" t="n"/>
      <c r="AL48" s="125" t="n"/>
    </row>
    <row r="49" ht="24.75" customHeight="1" s="241">
      <c r="L49" s="116" t="n">
        <v>11</v>
      </c>
      <c r="M49" s="48" t="n"/>
      <c r="N49" s="48">
        <f>N85</f>
        <v/>
      </c>
      <c r="O49" s="48">
        <f>IF(OR(O85="",O85=0),"",O85*(1-$K$8))</f>
        <v/>
      </c>
      <c r="P49" s="48">
        <f>IF(OR(P85="",P85=0),"",P85*(1-$K$8))</f>
        <v/>
      </c>
      <c r="Q49" s="48">
        <f>IF(OR(Q85="",Q85=0),"",Q85*(1-$K$8))</f>
        <v/>
      </c>
      <c r="R49" s="48">
        <f>IF(OR(R85="",R85=0),"",R85*(1-$K$8))</f>
        <v/>
      </c>
      <c r="S49" s="48">
        <f>IF(OR(S85="",S85=0),"",S85*(1-$K$8))</f>
        <v/>
      </c>
      <c r="T49" s="48">
        <f>IF(OR(T85="",T85=0),"",T85*(1-$K$8))</f>
        <v/>
      </c>
      <c r="U49" s="48">
        <f>IF(OR(U85="",U85=0),"",U85*(1-$K$8))</f>
        <v/>
      </c>
      <c r="V49" s="48">
        <f>IF(OR(V85="",V85=0),"",V85*(1-$K$8))</f>
        <v/>
      </c>
      <c r="W49" s="48">
        <f>IFERROR(__xludf.DUMMYFUNCTION("IFERROR(IF($I16="""","""",IF(VLOOKUP(LEFT(W$37,SEARCH(""☃"",SUBSTITUTE(W$37,"" "",""☃"",LEN(W$37)-LEN(SUBSTITUTE(W$37,"" "",""""))))-1),Excepciones!$A:$B,2,0)&gt;=0,IFERROR((INDEX(filter(Precios!$D:$D,(Precios!$A:$A&lt;=$I16)*(Precios!$B:$B&gt;=$I16)*(Precios!$C:$"&amp;"C=W$37)),1)*(1-$K$6)+VLOOKUP(COUNT($I$6:$I$13),Precios!$F:$G,2,0)),""No asegurable""),""No asegurable"")),"""")"),"")</f>
        <v/>
      </c>
      <c r="X49" s="119">
        <f>IF(OR($K$10="Sí",X85=""),"",IF($K$8&gt;0,X85*(1-($K$8)*2),X85))</f>
        <v/>
      </c>
      <c r="Y49" s="48">
        <f>IFERROR(__xludf.DUMMYFUNCTION("IFERROR(IF($I16="""","""",IF(VLOOKUP(LEFT(Y$37,SEARCH(""☃"",SUBSTITUTE(Y$37,"" "",""☃"",LEN(Y$37)-LEN(SUBSTITUTE(Y$37,"" "",""""))))-1),Excepciones!$A:$B,2,0)&gt;=0,IFERROR(INDEX(filter(Precios!$D:$D,(Precios!$A:$A&lt;=$I16)*(Precios!$B:$B&gt;=$I16)*(Precios!$C:$C"&amp;"=Y$37)),1)*(1-$K$6),""No asegurable""),""No asegurable"")),"""")"),"")</f>
        <v/>
      </c>
      <c r="Z49" s="117" t="n"/>
      <c r="AA49" s="117" t="n"/>
      <c r="AB49" s="117" t="n"/>
      <c r="AC49" s="118" t="n"/>
      <c r="AD49" s="5" t="n"/>
      <c r="AE49" s="5" t="n"/>
      <c r="AF49" s="5" t="n"/>
      <c r="AG49" s="5" t="n"/>
      <c r="AH49" s="125" t="n"/>
      <c r="AI49" s="125" t="n"/>
      <c r="AJ49" s="5" t="n"/>
      <c r="AK49" s="125" t="n"/>
      <c r="AL49" s="125" t="n"/>
    </row>
    <row r="50" ht="24.75" customHeight="1" s="241">
      <c r="L50" s="116" t="n">
        <v>12</v>
      </c>
      <c r="M50" s="48" t="n"/>
      <c r="N50" s="48">
        <f>N86</f>
        <v/>
      </c>
      <c r="O50" s="48">
        <f>IF(OR(O86="",O86=0),"",O86*(1-$K$8))</f>
        <v/>
      </c>
      <c r="P50" s="48">
        <f>IF(OR(P86="",P86=0),"",P86*(1-$K$8))</f>
        <v/>
      </c>
      <c r="Q50" s="48">
        <f>IF(OR(Q86="",Q86=0),"",Q86*(1-$K$8))</f>
        <v/>
      </c>
      <c r="R50" s="48">
        <f>IF(OR(R86="",R86=0),"",R86*(1-$K$8))</f>
        <v/>
      </c>
      <c r="S50" s="48">
        <f>IF(OR(S86="",S86=0),"",S86*(1-$K$8))</f>
        <v/>
      </c>
      <c r="T50" s="48">
        <f>IF(OR(T86="",T86=0),"",T86*(1-$K$8))</f>
        <v/>
      </c>
      <c r="U50" s="48">
        <f>IF(OR(U86="",U86=0),"",U86*(1-$K$8))</f>
        <v/>
      </c>
      <c r="V50" s="48">
        <f>IF(OR(V86="",V86=0),"",V86*(1-$K$8))</f>
        <v/>
      </c>
      <c r="W50" s="48">
        <f>IFERROR(__xludf.DUMMYFUNCTION("IFERROR(IF($I17="""","""",IF(VLOOKUP(LEFT(W$37,SEARCH(""☃"",SUBSTITUTE(W$37,"" "",""☃"",LEN(W$37)-LEN(SUBSTITUTE(W$37,"" "",""""))))-1),Excepciones!$A:$B,2,0)&gt;=0,IFERROR((INDEX(filter(Precios!$D:$D,(Precios!$A:$A&lt;=$I17)*(Precios!$B:$B&gt;=$I17)*(Precios!$C:$"&amp;"C=W$37)),1)*(1-$K$6)+VLOOKUP(COUNT($I$6:$I$13),Precios!$F:$G,2,0)),""No asegurable""),""No asegurable"")),"""")"),"")</f>
        <v/>
      </c>
      <c r="X50" s="119">
        <f>IF(OR($K$10="Sí",X86=""),"",IF($K$8&gt;0,X86*(1-($K$8)*2),X86))</f>
        <v/>
      </c>
      <c r="Y50" s="48">
        <f>IFERROR(__xludf.DUMMYFUNCTION("IFERROR(IF($I17="""","""",IF(VLOOKUP(LEFT(Y$37,SEARCH(""☃"",SUBSTITUTE(Y$37,"" "",""☃"",LEN(Y$37)-LEN(SUBSTITUTE(Y$37,"" "",""""))))-1),Excepciones!$A:$B,2,0)&gt;=0,IFERROR(INDEX(filter(Precios!$D:$D,(Precios!$A:$A&lt;=$I17)*(Precios!$B:$B&gt;=$I17)*(Precios!$C:$C"&amp;"=Y$37)),1)*(1-$K$6),""No asegurable""),""No asegurable"")),"""")"),"")</f>
        <v/>
      </c>
      <c r="Z50" s="117" t="n"/>
      <c r="AA50" s="117" t="n"/>
      <c r="AB50" s="117" t="n"/>
      <c r="AC50" s="118" t="n"/>
      <c r="AD50" s="5" t="n"/>
      <c r="AE50" s="5" t="n"/>
      <c r="AF50" s="5" t="n"/>
      <c r="AG50" s="5" t="n"/>
      <c r="AH50" s="125" t="n"/>
      <c r="AI50" s="125" t="n"/>
      <c r="AJ50" s="5" t="n"/>
      <c r="AK50" s="125" t="n"/>
      <c r="AL50" s="125" t="n"/>
    </row>
    <row r="51" ht="24.75" customHeight="1" s="241">
      <c r="L51" s="116" t="n">
        <v>13</v>
      </c>
      <c r="M51" s="48" t="n"/>
      <c r="N51" s="48">
        <f>N87</f>
        <v/>
      </c>
      <c r="O51" s="48">
        <f>IF(OR(O87="",O87=0),"",O87*(1-$K$8))</f>
        <v/>
      </c>
      <c r="P51" s="48">
        <f>IF(OR(P87="",P87=0),"",P87*(1-$K$8))</f>
        <v/>
      </c>
      <c r="Q51" s="48">
        <f>IF(OR(Q87="",Q87=0),"",Q87*(1-$K$8))</f>
        <v/>
      </c>
      <c r="R51" s="48">
        <f>IF(OR(R87="",R87=0),"",R87*(1-$K$8))</f>
        <v/>
      </c>
      <c r="S51" s="48">
        <f>IF(OR(S87="",S87=0),"",S87*(1-$K$8))</f>
        <v/>
      </c>
      <c r="T51" s="48">
        <f>IF(OR(T87="",T87=0),"",T87*(1-$K$8))</f>
        <v/>
      </c>
      <c r="U51" s="48">
        <f>IF(OR(U87="",U87=0),"",U87*(1-$K$8))</f>
        <v/>
      </c>
      <c r="V51" s="48">
        <f>IF(OR(V87="",V87=0),"",V87*(1-$K$8))</f>
        <v/>
      </c>
      <c r="W51" s="48">
        <f>IFERROR(__xludf.DUMMYFUNCTION("IFERROR(IF($I18="""","""",IF(VLOOKUP(LEFT(W$37,SEARCH(""☃"",SUBSTITUTE(W$37,"" "",""☃"",LEN(W$37)-LEN(SUBSTITUTE(W$37,"" "",""""))))-1),Excepciones!$A:$B,2,0)&gt;=0,IFERROR((INDEX(filter(Precios!$D:$D,(Precios!$A:$A&lt;=$I18)*(Precios!$B:$B&gt;=$I18)*(Precios!$C:$"&amp;"C=W$37)),1)*(1-$K$6)+VLOOKUP(COUNT($I$6:$I$13),Precios!$F:$G,2,0)),""No asegurable""),""No asegurable"")),"""")"),"")</f>
        <v/>
      </c>
      <c r="X51" s="119">
        <f>IF(OR($K$10="Sí",X87=""),"",IF($K$8&gt;0,X87*(1-($K$8)*2),X87))</f>
        <v/>
      </c>
      <c r="Y51" s="48">
        <f>IFERROR(__xludf.DUMMYFUNCTION("IFERROR(IF($I18="""","""",IF(VLOOKUP(LEFT(Y$37,SEARCH(""☃"",SUBSTITUTE(Y$37,"" "",""☃"",LEN(Y$37)-LEN(SUBSTITUTE(Y$37,"" "",""""))))-1),Excepciones!$A:$B,2,0)&gt;=0,IFERROR(INDEX(filter(Precios!$D:$D,(Precios!$A:$A&lt;=$I18)*(Precios!$B:$B&gt;=$I18)*(Precios!$C:$C"&amp;"=Y$37)),1)*(1-$K$6),""No asegurable""),""No asegurable"")),"""")"),"")</f>
        <v/>
      </c>
      <c r="Z51" s="117" t="n"/>
      <c r="AA51" s="117" t="n"/>
      <c r="AB51" s="117" t="n"/>
      <c r="AC51" s="118" t="n"/>
      <c r="AD51" s="5" t="n"/>
      <c r="AE51" s="5" t="n"/>
      <c r="AF51" s="5" t="n"/>
      <c r="AG51" s="5" t="n"/>
      <c r="AH51" s="125" t="n"/>
      <c r="AI51" s="125" t="n"/>
      <c r="AJ51" s="5" t="n"/>
      <c r="AK51" s="125" t="n"/>
      <c r="AL51" s="125" t="n"/>
    </row>
    <row r="52" ht="24.75" customHeight="1" s="241">
      <c r="L52" s="116" t="n">
        <v>14</v>
      </c>
      <c r="M52" s="48" t="n"/>
      <c r="N52" s="48">
        <f>N88</f>
        <v/>
      </c>
      <c r="O52" s="48">
        <f>IF(OR(O88="",O88=0),"",O88*(1-$K$8))</f>
        <v/>
      </c>
      <c r="P52" s="48">
        <f>IF(OR(P88="",P88=0),"",P88*(1-$K$8))</f>
        <v/>
      </c>
      <c r="Q52" s="48">
        <f>IF(OR(Q88="",Q88=0),"",Q88*(1-$K$8))</f>
        <v/>
      </c>
      <c r="R52" s="48">
        <f>IF(OR(R88="",R88=0),"",R88*(1-$K$8))</f>
        <v/>
      </c>
      <c r="S52" s="48">
        <f>IF(OR(S88="",S88=0),"",S88*(1-$K$8))</f>
        <v/>
      </c>
      <c r="T52" s="48">
        <f>IF(OR(T88="",T88=0),"",T88*(1-$K$8))</f>
        <v/>
      </c>
      <c r="U52" s="48">
        <f>IF(OR(U88="",U88=0),"",U88*(1-$K$8))</f>
        <v/>
      </c>
      <c r="V52" s="48">
        <f>IF(OR(V88="",V88=0),"",V88*(1-$K$8))</f>
        <v/>
      </c>
      <c r="W52" s="48">
        <f>IFERROR(__xludf.DUMMYFUNCTION("IFERROR(IF($I19="""","""",IF(VLOOKUP(LEFT(W$37,SEARCH(""☃"",SUBSTITUTE(W$37,"" "",""☃"",LEN(W$37)-LEN(SUBSTITUTE(W$37,"" "",""""))))-1),Excepciones!$A:$B,2,0)&gt;=0,IFERROR((INDEX(filter(Precios!$D:$D,(Precios!$A:$A&lt;=$I19)*(Precios!$B:$B&gt;=$I19)*(Precios!$C:$"&amp;"C=W$37)),1)*(1-$K$6)+VLOOKUP(COUNT($I$6:$I$13),Precios!$F:$G,2,0)),""No asegurable""),""No asegurable"")),"""")"),"")</f>
        <v/>
      </c>
      <c r="X52" s="119">
        <f>IF(OR($K$10="Sí",X88=""),"",IF($K$8&gt;0,X88*(1-($K$8)*2),X88))</f>
        <v/>
      </c>
      <c r="Y52" s="48">
        <f>IFERROR(__xludf.DUMMYFUNCTION("IFERROR(IF($I19="""","""",IF(VLOOKUP(LEFT(Y$37,SEARCH(""☃"",SUBSTITUTE(Y$37,"" "",""☃"",LEN(Y$37)-LEN(SUBSTITUTE(Y$37,"" "",""""))))-1),Excepciones!$A:$B,2,0)&gt;=0,IFERROR(INDEX(filter(Precios!$D:$D,(Precios!$A:$A&lt;=$I19)*(Precios!$B:$B&gt;=$I19)*(Precios!$C:$C"&amp;"=Y$37)),1)*(1-$K$6),""No asegurable""),""No asegurable"")),"""")"),"")</f>
        <v/>
      </c>
      <c r="Z52" s="117" t="n"/>
      <c r="AA52" s="117" t="n"/>
      <c r="AB52" s="117" t="n"/>
      <c r="AC52" s="118" t="n"/>
      <c r="AD52" s="5" t="n"/>
      <c r="AE52" s="5" t="n"/>
      <c r="AF52" s="5" t="n"/>
      <c r="AG52" s="5" t="n"/>
      <c r="AH52" s="125" t="n"/>
      <c r="AI52" s="125" t="n"/>
      <c r="AJ52" s="5" t="n"/>
      <c r="AK52" s="125" t="n"/>
      <c r="AL52" s="125" t="n"/>
    </row>
    <row r="53" ht="24.75" customHeight="1" s="241">
      <c r="L53" s="126" t="n">
        <v>15</v>
      </c>
      <c r="M53" s="128" t="n"/>
      <c r="N53" s="128">
        <f>N89</f>
        <v/>
      </c>
      <c r="O53" s="128">
        <f>IF(OR(O89="",O89=0),"",O89*(1-$K$8))</f>
        <v/>
      </c>
      <c r="P53" s="128">
        <f>IF(OR(P89="",P89=0),"",P89*(1-$K$8))</f>
        <v/>
      </c>
      <c r="Q53" s="128">
        <f>IF(OR(Q89="",Q89=0),"",Q89*(1-$K$8))</f>
        <v/>
      </c>
      <c r="R53" s="128">
        <f>IF(OR(R89="",R89=0),"",R89*(1-$K$8))</f>
        <v/>
      </c>
      <c r="S53" s="128">
        <f>IF(OR(S89="",S89=0),"",S89*(1-$K$8))</f>
        <v/>
      </c>
      <c r="T53" s="128">
        <f>IF(OR(T89="",T89=0),"",T89*(1-$K$8))</f>
        <v/>
      </c>
      <c r="U53" s="128">
        <f>IF(OR(U89="",U89=0),"",U89*(1-$K$8))</f>
        <v/>
      </c>
      <c r="V53" s="128">
        <f>IF(OR(V89="",V89=0),"",V89*(1-$K$8))</f>
        <v/>
      </c>
      <c r="W53" s="128">
        <f>IFERROR(__xludf.DUMMYFUNCTION("IFERROR(IF($I20="""","""",IF(VLOOKUP(LEFT(W$37,SEARCH(""☃"",SUBSTITUTE(W$37,"" "",""☃"",LEN(W$37)-LEN(SUBSTITUTE(W$37,"" "",""""))))-1),Excepciones!$A:$B,2,0)&gt;=0,IFERROR((INDEX(filter(Precios!$D:$D,(Precios!$A:$A&lt;=$I20)*(Precios!$B:$B&gt;=$I20)*(Precios!$C:$"&amp;"C=W$37)),1)*(1-$K$6)+VLOOKUP(COUNT($I$6:$I$13),Precios!$F:$G,2,0)),""No asegurable""),""No asegurable"")),"""")"),"")</f>
        <v/>
      </c>
      <c r="X53" s="131">
        <f>IF(OR($K$10="Sí",X89=""),"",IF($K$8&gt;0,X89*(1-($K$8)*2),X89))</f>
        <v/>
      </c>
      <c r="Y53" s="128">
        <f>IFERROR(__xludf.DUMMYFUNCTION("IFERROR(IF($I20="""","""",IF(VLOOKUP(LEFT(Y$37,SEARCH(""☃"",SUBSTITUTE(Y$37,"" "",""☃"",LEN(Y$37)-LEN(SUBSTITUTE(Y$37,"" "",""""))))-1),Excepciones!$A:$B,2,0)&gt;=0,IFERROR(INDEX(filter(Precios!$D:$D,(Precios!$A:$A&lt;=$I20)*(Precios!$B:$B&gt;=$I20)*(Precios!$C:$C"&amp;"=Y$37)),1)*(1-$K$6),""No asegurable""),""No asegurable"")),"""")"),"")</f>
        <v/>
      </c>
      <c r="Z53" s="129" t="n"/>
      <c r="AA53" s="129" t="n"/>
      <c r="AB53" s="129" t="n"/>
      <c r="AC53" s="130" t="n"/>
      <c r="AD53" s="5" t="n"/>
      <c r="AE53" s="5" t="n"/>
      <c r="AF53" s="5" t="n"/>
      <c r="AG53" s="5" t="n"/>
      <c r="AH53" s="125" t="n"/>
      <c r="AI53" s="125" t="n"/>
      <c r="AJ53" s="5" t="n"/>
      <c r="AK53" s="125" t="n"/>
      <c r="AL53" s="125" t="n"/>
    </row>
    <row r="54" ht="28.5" customHeight="1" s="241"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125" t="n"/>
      <c r="AI54" s="125" t="n"/>
      <c r="AJ54" s="5" t="n"/>
      <c r="AK54" s="125" t="n"/>
      <c r="AL54" s="125" t="n"/>
    </row>
    <row r="55" ht="26.25" customHeight="1" s="241">
      <c r="L55" s="258" t="inlineStr">
        <is>
          <t>SIN DTO
SIN DENTAL</t>
        </is>
      </c>
      <c r="M55" s="259" t="n"/>
      <c r="N55" s="260">
        <f>"Go"&amp;" "&amp;$K$3</f>
        <v/>
      </c>
      <c r="O55" s="260">
        <f>"Plena Vital"&amp;" "&amp;$K$3</f>
        <v/>
      </c>
      <c r="P55" s="260">
        <f>"Plena Total vital"&amp;" "&amp;$K$3</f>
        <v/>
      </c>
      <c r="Q55" s="260">
        <f>"Plena"&amp;" "&amp;$K$3</f>
        <v/>
      </c>
      <c r="R55" s="260">
        <f>"Plena Plus"&amp;" "&amp;$K$3</f>
        <v/>
      </c>
      <c r="S55" s="260">
        <f>"Plena Total"&amp;" "&amp;$K$3</f>
        <v/>
      </c>
      <c r="T55" s="260">
        <f>"Plena Extra 150"&amp;" "&amp;$K$3</f>
        <v/>
      </c>
      <c r="U55" s="260">
        <f>"Seniors"&amp;" "&amp;$K$3</f>
        <v/>
      </c>
      <c r="V55" s="260">
        <f>"Seniors total"&amp;" "&amp;$K$3</f>
        <v/>
      </c>
      <c r="W55" s="260">
        <f>"Negocios NIF"&amp;" "&amp;$K$3</f>
        <v/>
      </c>
      <c r="X55" s="261">
        <f>"Pymes TOTAL"&amp;" "&amp;$K$3</f>
        <v/>
      </c>
      <c r="Y55" s="260">
        <f>IF(OR(COUNT(I36:I42)=1,COUNT(I36:I42)=2),"Extra Negocios NIF"&amp;" "&amp;$K$3&amp;" "&amp;COUNT(I36:I42),"Extra Negocios NIF"&amp;" "&amp;$K$3)</f>
        <v/>
      </c>
      <c r="Z55" s="260">
        <f>"Negocios CIF"&amp;" "&amp;$K$3</f>
        <v/>
      </c>
      <c r="AA55" s="260">
        <f>"Extra Negocios CIF"&amp;" "&amp;$K$3</f>
        <v/>
      </c>
      <c r="AB55" s="260">
        <f>"Empresas"&amp;" "&amp;$K$3</f>
        <v/>
      </c>
      <c r="AC55" s="261">
        <f>"Extra Empresas"&amp;" "&amp;$K$3</f>
        <v/>
      </c>
      <c r="AD55" s="5" t="n"/>
      <c r="AE55" s="5" t="n"/>
      <c r="AF55" s="5" t="n"/>
      <c r="AG55" s="5" t="n"/>
      <c r="AH55" s="125" t="n"/>
      <c r="AI55" s="125" t="n"/>
      <c r="AJ55" s="5" t="n"/>
      <c r="AK55" s="125" t="n"/>
      <c r="AL55" s="125" t="n"/>
    </row>
    <row r="56" ht="26.25" customHeight="1" s="241">
      <c r="L56" s="263" t="n"/>
      <c r="M56" s="253" t="n"/>
      <c r="N56" s="253" t="n"/>
      <c r="O56" s="253" t="n"/>
      <c r="P56" s="253" t="n"/>
      <c r="Q56" s="253" t="n"/>
      <c r="R56" s="253" t="n"/>
      <c r="S56" s="253" t="n"/>
      <c r="T56" s="253" t="n"/>
      <c r="U56" s="253" t="n"/>
      <c r="V56" s="253" t="n"/>
      <c r="W56" s="253" t="n"/>
      <c r="X56" s="256" t="n"/>
      <c r="Y56" s="253" t="n"/>
      <c r="Z56" s="253" t="n"/>
      <c r="AA56" s="253" t="n"/>
      <c r="AB56" s="253" t="n"/>
      <c r="AC56" s="256" t="n"/>
      <c r="AD56" s="5" t="n"/>
      <c r="AE56" s="5" t="n"/>
      <c r="AF56" s="5" t="n"/>
      <c r="AG56" s="5" t="n"/>
      <c r="AH56" s="125" t="n"/>
      <c r="AI56" s="125" t="n"/>
      <c r="AJ56" s="5" t="n"/>
      <c r="AK56" s="125" t="n"/>
      <c r="AL56" s="125" t="n"/>
    </row>
    <row r="57" ht="26.25" customHeight="1" s="241">
      <c r="L57" s="111" t="n">
        <v>1</v>
      </c>
      <c r="M57" s="112" t="n"/>
      <c r="N57" s="112">
        <f>IFERROR(__xludf.DUMMYFUNCTION("IFERROR(IF($I6="""","""",IF($K$8&gt;0,"""",IF(COUNT($I$6:$I$13)&gt;1,0.9,1)*IF(VLOOKUP(LEFT(N$37,SEARCH(""☃"",SUBSTITUTE(N$37,"" "",""☃"",LEN(N$37)-LEN(SUBSTITUTE(N$37,"" "",""""))))-1),Excepciones!$A:$B,2,0)&gt;=0,IFERROR(INDEX(FILTER(Precios!$D:$D,(Precios!$A:$A"&amp;"&lt;=$I6)*(Precios!$B:$B&gt;=$I6)*(Precios!$C:$C=N$37)),1)*(1-$K$6),""No asegurable""),""No asegurable""))),"""")
"),19.35)</f>
        <v/>
      </c>
      <c r="O57" s="112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6)*(Precios!$B:$B&gt;=$I6)*("&amp;"Precios!$C:$C=O$37)),1)*(IF($K$10=""Sí"",0.94,1)),""""),"""")=0,"""",IF(COUNT($I$6:$I$13)&gt;3,0.9,1)*IF(VLOOKUP(LEFT(O$37,SEARCH(""☃"",SUBSTITUTE(O$37,"" "",""☃"",LEN(O$37)-LEN(SUBSTITUTE(O$37,"" "",""""))))-1),Excepciones!$A:$B,2,0)&gt;=0,IFERROR(INDEX(FILTER"&amp;"(Precios!$D:$D,(Precios!$A:$A&lt;=$I6)*(Precios!$B:$B&gt;=$I6)*(Precios!$C:$C=O$37)),1)*(IF($K$10=""Sí"",0.94,1)),""""),"""")),"""")
"),45.45)</f>
        <v/>
      </c>
      <c r="P57" s="133" t="n"/>
      <c r="Q57" s="112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6)*(Precios!$B:$B&gt;=$I6)*("&amp;"Precios!$C:$C=Q$37)),1)*(IF($K$10=""Sí"",0.94,1)),""""),"""")=0,"""",IF(COUNT($I$6:$I$13)&gt;3,0.9,1)*IF(VLOOKUP(LEFT(Q$37,SEARCH(""☃"",SUBSTITUTE(Q$37,"" "",""☃"",LEN(Q$37)-LEN(SUBSTITUTE(Q$37,"" "",""""))))-1),Excepciones!$A:$B,2,0)&gt;=0,IFERROR(INDEX(FILTER"&amp;"(Precios!$D:$D,(Precios!$A:$A&lt;=$I6)*(Precios!$B:$B&gt;=$I6)*(Precios!$C:$C=Q$37)),1)*(IF($K$10=""Sí"",0.94,1)),""""),"""")),"""")
"),55.800000000000004)</f>
        <v/>
      </c>
      <c r="R57" s="112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6)*(Precios!$B:$B&gt;=$I6)*("&amp;"Precios!$C:$C=R$37)),1)*(IF($K$10=""Sí"",0.94,1)),""""),"""")=0,"""",IF(COUNT($I$6:$I$13)&gt;3,0.9,1)*IF(VLOOKUP(LEFT(R$37,SEARCH(""☃"",SUBSTITUTE(R$37,"" "",""☃"",LEN(R$37)-LEN(SUBSTITUTE(R$37,"" "",""""))))-1),Excepciones!$A:$B,2,0)&gt;=0,IFERROR(INDEX(FILTER"&amp;"(Precios!$D:$D,(Precios!$A:$A&lt;=$I6)*(Precios!$B:$B&gt;=$I6)*(Precios!$C:$C=R$37)),1)*(IF($K$10=""Sí"",0.94,1)),""""),"""")),"""")
"),67.5)</f>
        <v/>
      </c>
      <c r="S57" s="133" t="n"/>
      <c r="T57" s="112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6)*(Precios!$B:$B&gt;=$I6)*("&amp;"Precios!$C:$C=T$37)),1)*(IF($K$10=""Sí"",0.94,1)),""""),"""")=0,"""",IF(COUNT($I$6:$I$13)&gt;3,0.9,1)*IF(VLOOKUP(LEFT(T$37,SEARCH(""☃"",SUBSTITUTE(T$37,"" "",""☃"",LEN(T$37)-LEN(SUBSTITUTE(T$37,"" "",""""))))-1),Excepciones!$A:$B,2,0)&gt;=0,IFERROR(INDEX(FILTER"&amp;"(Precios!$D:$D,(Precios!$A:$A&lt;=$I6)*(Precios!$B:$B&gt;=$I6)*(Precios!$C:$C=T$37)),1)*(IF($K$10=""Sí"",0.94,1)),""""),"""")),"""")
"),99.0)</f>
        <v/>
      </c>
      <c r="U57" s="112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6)*(Precios!$B:$B&gt;=$I6)*"&amp;"(Precios!$C:$C=U$37)),1)*(IF($K$10=""Sí"",0.94,1)),""""),"""")=0,"""",IF(COUNT($I$6:$I$13)&gt;=3,0.9,1)*IF(VLOOKUP(LEFT(U$37,SEARCH(""☃"",SUBSTITUTE(U$37,"" "",""☃"",LEN(U$37)-LEN(SUBSTITUTE(U$37,"" "",""""))))-1),Excepciones!$A:$B,2,0)&gt;=0,IFERROR(INDEX(FILT"&amp;"ER(Precios!$D:$D,(Precios!$A:$A&lt;=$I6)*(Precios!$B:$B&gt;=$I6)*(Precios!$C:$C=U$37)),1)*(IF($K$10=""Sí"",0.94,1)),""""),"""")),"""")
"),"")</f>
        <v/>
      </c>
      <c r="V57" s="112" t="n"/>
      <c r="W57" s="112">
        <f>IFERROR(__xludf.DUMMYFUNCTION("IFERROR(IF($I6="""","""",IF(VLOOKUP(LEFT(W$37,SEARCH(""☃"",SUBSTITUTE(W$37,"" "",""☃"",LEN(W$37)-LEN(SUBSTITUTE(W$37,"" "",""""))))-1),Excepciones!$A:$B,2,0)&gt;=0,IFERROR(INDEX(filter(Precios!$D:$D,(Precios!$A:$A&lt;=$I6)*(Precios!$B:$B&gt;=$I6)*(Precios!$C:$C=W$"&amp;"37)),1)*1,""""),"""")),"""")"),63.5)</f>
        <v/>
      </c>
      <c r="X57" s="134" t="n"/>
      <c r="Y57" s="112">
        <f>IFERROR(__xludf.DUMMYFUNCTION("IFERROR(IF($I6="""","""",IF(VLOOKUP(LEFT(Y$37,SEARCH(""☃"",SUBSTITUTE(Y$37,"" "",""☃"",LEN(Y$37)-LEN(SUBSTITUTE(Y$37,"" "",""""))))-1),Excepciones!$A:$B,2,0)&gt;=0,IFERROR(INDEX(filter(Precios!$D:$D,(Precios!$A:$A&lt;=$I6)*(Precios!$B:$B&gt;=$I6)*(Precios!$C:$C=Y$"&amp;"37)),1)*1,""No asegurable""),""No asegurable"")),"""")"),"")</f>
        <v/>
      </c>
      <c r="Z57" s="112">
        <f>IFERROR(__xludf.DUMMYFUNCTION("IFERROR(IF($I6="""","""",IF(VLOOKUP(LEFT(Z$37,SEARCH(""☃"",SUBSTITUTE(Z$37,"" "",""☃"",LEN(Z$37)-LEN(SUBSTITUTE(Z$37,"" "",""""))))-1),Excepciones!$A:$B,2,0)&gt;=0,IFERROR(INDEX(filter(Precios!$D:$D,(Precios!$A:$A&lt;=$I6)*(Precios!$B:$B&gt;=$I6)*(Precios!$C:$C=Z$"&amp;"37)),1)*1,""No asegurable""),""No asegurable"")),"""")"),52.0)</f>
        <v/>
      </c>
      <c r="AA57" s="112">
        <f>IFERROR(__xludf.DUMMYFUNCTION("IFERROR(IF($I6="""","""",IF(VLOOKUP(LEFT(AA$37,SEARCH(""☃"",SUBSTITUTE(AA$37,"" "",""☃"",LEN(AA$37)-LEN(SUBSTITUTE(AA$37,"" "",""""))))-1),Excepciones!$A:$B,2,0)&gt;=0,IFERROR(INDEX(filter(Precios!$D:$D,(Precios!$A:$A&lt;=$I6)*(Precios!$B:$B&gt;=$I6)*(Precios!$C:$"&amp;"C=AA$37)),1)*1,""No asegurable""),""No asegurable"")),"""")"),76.5)</f>
        <v/>
      </c>
      <c r="AB57" s="112">
        <f>IFERROR(__xludf.DUMMYFUNCTION("IFERROR(IF($I6="""","""",IF(VLOOKUP(LEFT(AB$37,SEARCH(""☃"",SUBSTITUTE(AB$37,"" "",""☃"",LEN(AB$37)-LEN(SUBSTITUTE(AB$37,"" "",""""))))-1),Excepciones!$A:$B,2,0)&gt;=0,IFERROR(INDEX(filter(Precios!$D:$D,(Precios!$A:$A&lt;=$I6)*(Precios!$B:$B&gt;=$I6)*(Precios!$C:$"&amp;"C=AB$37)),1)*1,""No asegurable""),""No asegurable"")),"""")"),58.5)</f>
        <v/>
      </c>
      <c r="AC57" s="135">
        <f>IFERROR(__xludf.DUMMYFUNCTION("IFERROR(IF($I6="""","""",IF(VLOOKUP(LEFT(AC$37,SEARCH(""☃"",SUBSTITUTE(AC$37,"" "",""☃"",LEN(AC$37)-LEN(SUBSTITUTE(AC$37,"" "",""""))))-1),Excepciones!$A:$B,2,0)&gt;=0,IFERROR(INDEX(filter(Precios!$D:$D,(Precios!$A:$A&lt;=$I6)*(Precios!$B:$B&gt;=$I6)*(Precios!$C:$"&amp;"C=AC$37)),1)*1,""No asegurable""),""No asegurable"")),"""")"),81.5)</f>
        <v/>
      </c>
      <c r="AD57" s="5" t="n"/>
      <c r="AE57" s="5" t="n"/>
      <c r="AF57" s="5" t="n"/>
      <c r="AG57" s="5" t="n"/>
      <c r="AH57" s="125" t="n"/>
      <c r="AI57" s="125" t="n"/>
      <c r="AJ57" s="5" t="n"/>
      <c r="AK57" s="125" t="n"/>
      <c r="AL57" s="125" t="n"/>
    </row>
    <row r="58" ht="26.25" customHeight="1" s="241">
      <c r="L58" s="116" t="n">
        <v>2</v>
      </c>
      <c r="M58" s="48" t="n"/>
      <c r="N58" s="48">
        <f>IFERROR(__xludf.DUMMYFUNCTION("IFERROR(IF($I7="""","""",IF($K$8&gt;0,"""",IF(COUNT($I$6:$I$13)&gt;1,0.9,1)*IF(VLOOKUP(LEFT(N$37,SEARCH(""☃"",SUBSTITUTE(N$37,"" "",""☃"",LEN(N$37)-LEN(SUBSTITUTE(N$37,"" "",""""))))-1),Excepciones!$A:$B,2,0)&gt;=0,IFERROR(INDEX(FILTER(Precios!$D:$D,(Precios!$A:$A"&amp;"&lt;=$I7)*(Precios!$B:$B&gt;=$I7)*(Precios!$C:$C=N$37)),1)*(1-$K$6),""No asegurable""),""No asegurable""))),"""")
"),19.35)</f>
        <v/>
      </c>
      <c r="O58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7)*(Precios!$B:$B&gt;=$I7)*("&amp;"Precios!$C:$C=O$37)),1)*(IF($K$10=""Sí"",0.94,1)),""""),"""")=0,"""",IF(COUNT($I$6:$I$13)&gt;3,0.9,1)*IF(VLOOKUP(LEFT(O$37,SEARCH(""☃"",SUBSTITUTE(O$37,"" "",""☃"",LEN(O$37)-LEN(SUBSTITUTE(O$37,"" "",""""))))-1),Excepciones!$A:$B,2,0)&gt;=0,IFERROR(INDEX(FILTER"&amp;"(Precios!$D:$D,(Precios!$A:$A&lt;=$I7)*(Precios!$B:$B&gt;=$I7)*(Precios!$C:$C=O$37)),1)*(IF($K$10=""Sí"",0.94,1)),""""),"""")),"""")
"),45.45)</f>
        <v/>
      </c>
      <c r="P58" s="136" t="n"/>
      <c r="Q58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7)*(Precios!$B:$B&gt;=$I7)*("&amp;"Precios!$C:$C=Q$37)),1)*(IF($K$10=""Sí"",0.94,1)),""""),"""")=0,"""",IF(COUNT($I$6:$I$13)&gt;3,0.9,1)*IF(VLOOKUP(LEFT(Q$37,SEARCH(""☃"",SUBSTITUTE(Q$37,"" "",""☃"",LEN(Q$37)-LEN(SUBSTITUTE(Q$37,"" "",""""))))-1),Excepciones!$A:$B,2,0)&gt;=0,IFERROR(INDEX(FILTER"&amp;"(Precios!$D:$D,(Precios!$A:$A&lt;=$I7)*(Precios!$B:$B&gt;=$I7)*(Precios!$C:$C=Q$37)),1)*(IF($K$10=""Sí"",0.94,1)),""""),"""")),"""")
"),55.800000000000004)</f>
        <v/>
      </c>
      <c r="R58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7)*(Precios!$B:$B&gt;=$I7)*("&amp;"Precios!$C:$C=R$37)),1)*(IF($K$10=""Sí"",0.94,1)),""""),"""")=0,"""",IF(COUNT($I$6:$I$13)&gt;3,0.9,1)*IF(VLOOKUP(LEFT(R$37,SEARCH(""☃"",SUBSTITUTE(R$37,"" "",""☃"",LEN(R$37)-LEN(SUBSTITUTE(R$37,"" "",""""))))-1),Excepciones!$A:$B,2,0)&gt;=0,IFERROR(INDEX(FILTER"&amp;"(Precios!$D:$D,(Precios!$A:$A&lt;=$I7)*(Precios!$B:$B&gt;=$I7)*(Precios!$C:$C=R$37)),1)*(IF($K$10=""Sí"",0.94,1)),""""),"""")),"""")
"),67.5)</f>
        <v/>
      </c>
      <c r="S58" s="136" t="n"/>
      <c r="T58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7)*(Precios!$B:$B&gt;=$I7)*("&amp;"Precios!$C:$C=T$37)),1)*(IF($K$10=""Sí"",0.94,1)),""""),"""")=0,"""",IF(COUNT($I$6:$I$13)&gt;3,0.9,1)*IF(VLOOKUP(LEFT(T$37,SEARCH(""☃"",SUBSTITUTE(T$37,"" "",""☃"",LEN(T$37)-LEN(SUBSTITUTE(T$37,"" "",""""))))-1),Excepciones!$A:$B,2,0)&gt;=0,IFERROR(INDEX(FILTER"&amp;"(Precios!$D:$D,(Precios!$A:$A&lt;=$I7)*(Precios!$B:$B&gt;=$I7)*(Precios!$C:$C=T$37)),1)*(IF($K$10=""Sí"",0.94,1)),""""),"""")),"""")
"),99.0)</f>
        <v/>
      </c>
      <c r="U58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7)*(Precios!$B:$B&gt;=$I7)*"&amp;"(Precios!$C:$C=U$37)),1)*(IF($K$10=""Sí"",0.94,1)),""""),"""")=0,"""",IF(COUNT($I$6:$I$13)&gt;=3,0.9,1)*IF(VLOOKUP(LEFT(U$37,SEARCH(""☃"",SUBSTITUTE(U$37,"" "",""☃"",LEN(U$37)-LEN(SUBSTITUTE(U$37,"" "",""""))))-1),Excepciones!$A:$B,2,0)&gt;=0,IFERROR(INDEX(FILT"&amp;"ER(Precios!$D:$D,(Precios!$A:$A&lt;=$I7)*(Precios!$B:$B&gt;=$I7)*(Precios!$C:$C=U$37)),1)*(IF($K$10=""Sí"",0.94,1)),""""),"""")),"""")
"),"")</f>
        <v/>
      </c>
      <c r="V58" s="48" t="n"/>
      <c r="W58" s="48">
        <f>IFERROR(__xludf.DUMMYFUNCTION("IFERROR(IF($I7="""","""",IF(VLOOKUP(LEFT(W$37,SEARCH(""☃"",SUBSTITUTE(W$37,"" "",""☃"",LEN(W$37)-LEN(SUBSTITUTE(W$37,"" "",""""))))-1),Excepciones!$A:$B,2,0)&gt;=0,IFERROR(INDEX(filter(Precios!$D:$D,(Precios!$A:$A&lt;=$I7)*(Precios!$B:$B&gt;=$I7)*(Precios!$C:$C=W$"&amp;"37)),1)*1,""""),"""")),"""")"),63.5)</f>
        <v/>
      </c>
      <c r="X58" s="137" t="n"/>
      <c r="Y58" s="48">
        <f>IFERROR(__xludf.DUMMYFUNCTION("IFERROR(IF($I7="""","""",IF(VLOOKUP(LEFT(Y$37,SEARCH(""☃"",SUBSTITUTE(Y$37,"" "",""☃"",LEN(Y$37)-LEN(SUBSTITUTE(Y$37,"" "",""""))))-1),Excepciones!$A:$B,2,0)&gt;=0,IFERROR(INDEX(filter(Precios!$D:$D,(Precios!$A:$A&lt;=$I7)*(Precios!$B:$B&gt;=$I7)*(Precios!$C:$C=Y$"&amp;"37)),1)*1,""No asegurable""),""No asegurable"")),"""")"),"")</f>
        <v/>
      </c>
      <c r="Z58" s="48">
        <f>IFERROR(__xludf.DUMMYFUNCTION("IFERROR(IF($I7="""","""",IF(VLOOKUP(LEFT(Z$37,SEARCH(""☃"",SUBSTITUTE(Z$37,"" "",""☃"",LEN(Z$37)-LEN(SUBSTITUTE(Z$37,"" "",""""))))-1),Excepciones!$A:$B,2,0)&gt;=0,IFERROR(INDEX(filter(Precios!$D:$D,(Precios!$A:$A&lt;=$I7)*(Precios!$B:$B&gt;=$I7)*(Precios!$C:$C=Z$"&amp;"37)),1)*1,""No asegurable""),""No asegurable"")),"""")"),52.0)</f>
        <v/>
      </c>
      <c r="AA58" s="48">
        <f>IFERROR(__xludf.DUMMYFUNCTION("IFERROR(IF($I7="""","""",IF(VLOOKUP(LEFT(AA$37,SEARCH(""☃"",SUBSTITUTE(AA$37,"" "",""☃"",LEN(AA$37)-LEN(SUBSTITUTE(AA$37,"" "",""""))))-1),Excepciones!$A:$B,2,0)&gt;=0,IFERROR(INDEX(filter(Precios!$D:$D,(Precios!$A:$A&lt;=$I7)*(Precios!$B:$B&gt;=$I7)*(Precios!$C:$"&amp;"C=AA$37)),1)*1,""No asegurable""),""No asegurable"")),"""")"),76.5)</f>
        <v/>
      </c>
      <c r="AB58" s="48">
        <f>IFERROR(__xludf.DUMMYFUNCTION("IFERROR(IF($I7="""","""",IF(VLOOKUP(LEFT(AB$37,SEARCH(""☃"",SUBSTITUTE(AB$37,"" "",""☃"",LEN(AB$37)-LEN(SUBSTITUTE(AB$37,"" "",""""))))-1),Excepciones!$A:$B,2,0)&gt;=0,IFERROR(INDEX(filter(Precios!$D:$D,(Precios!$A:$A&lt;=$I7)*(Precios!$B:$B&gt;=$I7)*(Precios!$C:$"&amp;"C=AB$37)),1)*1,""No asegurable""),""No asegurable"")),"""")"),58.5)</f>
        <v/>
      </c>
      <c r="AC58" s="138">
        <f>IFERROR(__xludf.DUMMYFUNCTION("IFERROR(IF($I7="""","""",IF(VLOOKUP(LEFT(AC$37,SEARCH(""☃"",SUBSTITUTE(AC$37,"" "",""☃"",LEN(AC$37)-LEN(SUBSTITUTE(AC$37,"" "",""""))))-1),Excepciones!$A:$B,2,0)&gt;=0,IFERROR(INDEX(filter(Precios!$D:$D,(Precios!$A:$A&lt;=$I7)*(Precios!$B:$B&gt;=$I7)*(Precios!$C:$"&amp;"C=AC$37)),1)*1,""No asegurable""),""No asegurable"")),"""")"),81.5)</f>
        <v/>
      </c>
      <c r="AD58" s="5" t="n"/>
      <c r="AE58" s="5" t="n"/>
      <c r="AF58" s="5" t="n"/>
      <c r="AG58" s="5" t="n"/>
      <c r="AH58" s="125" t="n"/>
      <c r="AI58" s="125" t="n"/>
      <c r="AJ58" s="5" t="n"/>
      <c r="AK58" s="125" t="n"/>
      <c r="AL58" s="125" t="n"/>
    </row>
    <row r="59" ht="26.25" customHeight="1" s="241">
      <c r="L59" s="116" t="n">
        <v>3</v>
      </c>
      <c r="M59" s="48" t="n"/>
      <c r="N59" s="48">
        <f>IFERROR(__xludf.DUMMYFUNCTION("IFERROR(IF($I8="""","""",IF($K$8&gt;0,"""",IF(COUNT($I$6:$I$13)&gt;1,0.9,1)*IF(VLOOKUP(LEFT(N$37,SEARCH(""☃"",SUBSTITUTE(N$37,"" "",""☃"",LEN(N$37)-LEN(SUBSTITUTE(N$37,"" "",""""))))-1),Excepciones!$A:$B,2,0)&gt;=0,IFERROR(INDEX(FILTER(Precios!$D:$D,(Precios!$A:$A"&amp;"&lt;=$I8)*(Precios!$B:$B&gt;=$I8)*(Precios!$C:$C=N$37)),1)*(1-$K$6),""No asegurable""),""No asegurable""))),"""")
"),35.1)</f>
        <v/>
      </c>
      <c r="O59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8)*(Precios!$B:$B&gt;=$I8)*("&amp;"Precios!$C:$C=O$37)),1)*(IF($K$10=""Sí"",0.94,1)),""""),"""")=0,"""",IF(COUNT($I$6:$I$13)&gt;3,0.9,1)*IF(VLOOKUP(LEFT(O$37,SEARCH(""☃"",SUBSTITUTE(O$37,"" "",""☃"",LEN(O$37)-LEN(SUBSTITUTE(O$37,"" "",""""))))-1),Excepciones!$A:$B,2,0)&gt;=0,IFERROR(INDEX(FILTER"&amp;"(Precios!$D:$D,(Precios!$A:$A&lt;=$I8)*(Precios!$B:$B&gt;=$I8)*(Precios!$C:$C=O$37)),1)*(IF($K$10=""Sí"",0.94,1)),""""),"""")),"""")
"),85.5)</f>
        <v/>
      </c>
      <c r="P59" s="136" t="n"/>
      <c r="Q59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8)*(Precios!$B:$B&gt;=$I8)*("&amp;"Precios!$C:$C=Q$37)),1)*(IF($K$10=""Sí"",0.94,1)),""""),"""")=0,"""",IF(COUNT($I$6:$I$13)&gt;3,0.9,1)*IF(VLOOKUP(LEFT(Q$37,SEARCH(""☃"",SUBSTITUTE(Q$37,"" "",""☃"",LEN(Q$37)-LEN(SUBSTITUTE(Q$37,"" "",""""))))-1),Excepciones!$A:$B,2,0)&gt;=0,IFERROR(INDEX(FILTER"&amp;"(Precios!$D:$D,(Precios!$A:$A&lt;=$I8)*(Precios!$B:$B&gt;=$I8)*(Precios!$C:$C=Q$37)),1)*(IF($K$10=""Sí"",0.94,1)),""""),"""")),"""")
"),96.3)</f>
        <v/>
      </c>
      <c r="R59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8)*(Precios!$B:$B&gt;=$I8)*("&amp;"Precios!$C:$C=R$37)),1)*(IF($K$10=""Sí"",0.94,1)),""""),"""")=0,"""",IF(COUNT($I$6:$I$13)&gt;3,0.9,1)*IF(VLOOKUP(LEFT(R$37,SEARCH(""☃"",SUBSTITUTE(R$37,"" "",""☃"",LEN(R$37)-LEN(SUBSTITUTE(R$37,"" "",""""))))-1),Excepciones!$A:$B,2,0)&gt;=0,IFERROR(INDEX(FILTER"&amp;"(Precios!$D:$D,(Precios!$A:$A&lt;=$I8)*(Precios!$B:$B&gt;=$I8)*(Precios!$C:$C=R$37)),1)*(IF($K$10=""Sí"",0.94,1)),""""),"""")),"""")
"),139.5)</f>
        <v/>
      </c>
      <c r="S59" s="136" t="n"/>
      <c r="T59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8)*(Precios!$B:$B&gt;=$I8)*("&amp;"Precios!$C:$C=T$37)),1)*(IF($K$10=""Sí"",0.94,1)),""""),"""")=0,"""",IF(COUNT($I$6:$I$13)&gt;3,0.9,1)*IF(VLOOKUP(LEFT(T$37,SEARCH(""☃"",SUBSTITUTE(T$37,"" "",""☃"",LEN(T$37)-LEN(SUBSTITUTE(T$37,"" "",""""))))-1),Excepciones!$A:$B,2,0)&gt;=0,IFERROR(INDEX(FILTER"&amp;"(Precios!$D:$D,(Precios!$A:$A&lt;=$I8)*(Precios!$B:$B&gt;=$I8)*(Precios!$C:$C=T$37)),1)*(IF($K$10=""Sí"",0.94,1)),""""),"""")),"""")
"),162.0)</f>
        <v/>
      </c>
      <c r="U59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8)*(Precios!$B:$B&gt;=$I8)*"&amp;"(Precios!$C:$C=U$37)),1)*(IF($K$10=""Sí"",0.94,1)),""""),"""")=0,"""",IF(COUNT($I$6:$I$13)&gt;=3,0.9,1)*IF(VLOOKUP(LEFT(U$37,SEARCH(""☃"",SUBSTITUTE(U$37,"" "",""☃"",LEN(U$37)-LEN(SUBSTITUTE(U$37,"" "",""""))))-1),Excepciones!$A:$B,2,0)&gt;=0,IFERROR(INDEX(FILT"&amp;"ER(Precios!$D:$D,(Precios!$A:$A&lt;=$I8)*(Precios!$B:$B&gt;=$I8)*(Precios!$C:$C=U$37)),1)*(IF($K$10=""Sí"",0.94,1)),""""),"""")),"""")
"),"")</f>
        <v/>
      </c>
      <c r="V59" s="48" t="n"/>
      <c r="W59" s="48">
        <f>IFERROR(__xludf.DUMMYFUNCTION("IFERROR(IF($I8="""","""",IF(VLOOKUP(LEFT(W$37,SEARCH(""☃"",SUBSTITUTE(W$37,"" "",""☃"",LEN(W$37)-LEN(SUBSTITUTE(W$37,"" "",""""))))-1),Excepciones!$A:$B,2,0)&gt;=0,IFERROR(INDEX(filter(Precios!$D:$D,(Precios!$A:$A&lt;=$I8)*(Precios!$B:$B&gt;=$I8)*(Precios!$C:$C=W$"&amp;"37)),1)*1,""""),"""")),"""")"),127.0)</f>
        <v/>
      </c>
      <c r="X59" s="137" t="n"/>
      <c r="Y59" s="48">
        <f>IFERROR(__xludf.DUMMYFUNCTION("IFERROR(IF($I8="""","""",IF(VLOOKUP(LEFT(Y$37,SEARCH(""☃"",SUBSTITUTE(Y$37,"" "",""☃"",LEN(Y$37)-LEN(SUBSTITUTE(Y$37,"" "",""""))))-1),Excepciones!$A:$B,2,0)&gt;=0,IFERROR(INDEX(filter(Precios!$D:$D,(Precios!$A:$A&lt;=$I8)*(Precios!$B:$B&gt;=$I8)*(Precios!$C:$C=Y$"&amp;"37)),1)*1,""No asegurable""),""No asegurable"")),"""")"),"")</f>
        <v/>
      </c>
      <c r="Z59" s="48">
        <f>IFERROR(__xludf.DUMMYFUNCTION("IFERROR(IF($I8="""","""",IF(VLOOKUP(LEFT(Z$37,SEARCH(""☃"",SUBSTITUTE(Z$37,"" "",""☃"",LEN(Z$37)-LEN(SUBSTITUTE(Z$37,"" "",""""))))-1),Excepciones!$A:$B,2,0)&gt;=0,IFERROR(INDEX(filter(Precios!$D:$D,(Precios!$A:$A&lt;=$I8)*(Precios!$B:$B&gt;=$I8)*(Precios!$C:$C=Z$"&amp;"37)),1)*1,""No asegurable""),""No asegurable"")),"""")"),81.0)</f>
        <v/>
      </c>
      <c r="AA59" s="48">
        <f>IFERROR(__xludf.DUMMYFUNCTION("IFERROR(IF($I8="""","""",IF(VLOOKUP(LEFT(AA$37,SEARCH(""☃"",SUBSTITUTE(AA$37,"" "",""☃"",LEN(AA$37)-LEN(SUBSTITUTE(AA$37,"" "",""""))))-1),Excepciones!$A:$B,2,0)&gt;=0,IFERROR(INDEX(filter(Precios!$D:$D,(Precios!$A:$A&lt;=$I8)*(Precios!$B:$B&gt;=$I8)*(Precios!$C:$"&amp;"C=AA$37)),1)*1,""No asegurable""),""No asegurable"")),"""")"),115.0)</f>
        <v/>
      </c>
      <c r="AB59" s="48">
        <f>IFERROR(__xludf.DUMMYFUNCTION("IFERROR(IF($I8="""","""",IF(VLOOKUP(LEFT(AB$37,SEARCH(""☃"",SUBSTITUTE(AB$37,"" "",""☃"",LEN(AB$37)-LEN(SUBSTITUTE(AB$37,"" "",""""))))-1),Excepciones!$A:$B,2,0)&gt;=0,IFERROR(INDEX(filter(Precios!$D:$D,(Precios!$A:$A&lt;=$I8)*(Precios!$B:$B&gt;=$I8)*(Precios!$C:$"&amp;"C=AB$37)),1)*1,""No asegurable""),""No asegurable"")),"""")"),58.5)</f>
        <v/>
      </c>
      <c r="AC59" s="138">
        <f>IFERROR(__xludf.DUMMYFUNCTION("IFERROR(IF($I8="""","""",IF(VLOOKUP(LEFT(AC$37,SEARCH(""☃"",SUBSTITUTE(AC$37,"" "",""☃"",LEN(AC$37)-LEN(SUBSTITUTE(AC$37,"" "",""""))))-1),Excepciones!$A:$B,2,0)&gt;=0,IFERROR(INDEX(filter(Precios!$D:$D,(Precios!$A:$A&lt;=$I8)*(Precios!$B:$B&gt;=$I8)*(Precios!$C:$"&amp;"C=AC$37)),1)*1,""No asegurable""),""No asegurable"")),"""")"),81.5)</f>
        <v/>
      </c>
      <c r="AD59" s="5" t="n"/>
      <c r="AE59" s="5" t="n"/>
      <c r="AF59" s="5" t="n"/>
      <c r="AG59" s="5" t="n"/>
      <c r="AH59" s="125" t="n"/>
      <c r="AI59" s="125" t="n"/>
      <c r="AJ59" s="5" t="n"/>
      <c r="AK59" s="125" t="n"/>
      <c r="AL59" s="125" t="n"/>
    </row>
    <row r="60" ht="26.25" customHeight="1" s="241">
      <c r="L60" s="116" t="n">
        <v>4</v>
      </c>
      <c r="M60" s="48" t="n"/>
      <c r="N60" s="48">
        <f>IFERROR(__xludf.DUMMYFUNCTION("IFERROR(IF($I9="""","""",IF($K$8&gt;0,"""",IF(COUNT($I$6:$I$13)&gt;1,0.9,1)*IF(VLOOKUP(LEFT(N$37,SEARCH(""☃"",SUBSTITUTE(N$37,"" "",""☃"",LEN(N$37)-LEN(SUBSTITUTE(N$37,"" "",""""))))-1),Excepciones!$A:$B,2,0)&gt;=0,IFERROR(INDEX(FILTER(Precios!$D:$D,(Precios!$A:$A"&amp;"&lt;=$I9)*(Precios!$B:$B&gt;=$I9)*(Precios!$C:$C=N$37)),1)*(1-$K$6),""No asegurable""),""No asegurable""))),"""")
"),35.1)</f>
        <v/>
      </c>
      <c r="O60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9)*(Precios!$B:$B&gt;=$I9)*("&amp;"Precios!$C:$C=O$37)),1)*(IF($K$10=""Sí"",0.94,1)),""""),"""")=0,"""",IF(COUNT($I$6:$I$13)&gt;3,0.9,1)*IF(VLOOKUP(LEFT(O$37,SEARCH(""☃"",SUBSTITUTE(O$37,"" "",""☃"",LEN(O$37)-LEN(SUBSTITUTE(O$37,"" "",""""))))-1),Excepciones!$A:$B,2,0)&gt;=0,IFERROR(INDEX(FILTER"&amp;"(Precios!$D:$D,(Precios!$A:$A&lt;=$I9)*(Precios!$B:$B&gt;=$I9)*(Precios!$C:$C=O$37)),1)*(IF($K$10=""Sí"",0.94,1)),""""),"""")),"""")
"),146.70000000000002)</f>
        <v/>
      </c>
      <c r="P60" s="136" t="n"/>
      <c r="Q60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9)*(Precios!$B:$B&gt;=$I9)*("&amp;"Precios!$C:$C=Q$37)),1)*(IF($K$10=""Sí"",0.94,1)),""""),"""")=0,"""",IF(COUNT($I$6:$I$13)&gt;3,0.9,1)*IF(VLOOKUP(LEFT(Q$37,SEARCH(""☃"",SUBSTITUTE(Q$37,"" "",""☃"",LEN(Q$37)-LEN(SUBSTITUTE(Q$37,"" "",""""))))-1),Excepciones!$A:$B,2,0)&gt;=0,IFERROR(INDEX(FILTER"&amp;"(Precios!$D:$D,(Precios!$A:$A&lt;=$I9)*(Precios!$B:$B&gt;=$I9)*(Precios!$C:$C=Q$37)),1)*(IF($K$10=""Sí"",0.94,1)),""""),"""")),"""")
"),150.3)</f>
        <v/>
      </c>
      <c r="R60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9)*(Precios!$B:$B&gt;=$I9)*("&amp;"Precios!$C:$C=R$37)),1)*(IF($K$10=""Sí"",0.94,1)),""""),"""")=0,"""",IF(COUNT($I$6:$I$13)&gt;3,0.9,1)*IF(VLOOKUP(LEFT(R$37,SEARCH(""☃"",SUBSTITUTE(R$37,"" "",""☃"",LEN(R$37)-LEN(SUBSTITUTE(R$37,"" "",""""))))-1),Excepciones!$A:$B,2,0)&gt;=0,IFERROR(INDEX(FILTER"&amp;"(Precios!$D:$D,(Precios!$A:$A&lt;=$I9)*(Precios!$B:$B&gt;=$I9)*(Precios!$C:$C=R$37)),1)*(IF($K$10=""Sí"",0.94,1)),""""),"""")),"""")
"),229.5)</f>
        <v/>
      </c>
      <c r="S60" s="136" t="n"/>
      <c r="T60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9)*(Precios!$B:$B&gt;=$I9)*("&amp;"Precios!$C:$C=T$37)),1)*(IF($K$10=""Sí"",0.94,1)),""""),"""")=0,"""",IF(COUNT($I$6:$I$13)&gt;3,0.9,1)*IF(VLOOKUP(LEFT(T$37,SEARCH(""☃"",SUBSTITUTE(T$37,"" "",""☃"",LEN(T$37)-LEN(SUBSTITUTE(T$37,"" "",""""))))-1),Excepciones!$A:$B,2,0)&gt;=0,IFERROR(INDEX(FILTER"&amp;"(Precios!$D:$D,(Precios!$A:$A&lt;=$I9)*(Precios!$B:$B&gt;=$I9)*(Precios!$C:$C=T$37)),1)*(IF($K$10=""Sí"",0.94,1)),""""),"""")),"""")
"),270.90000000000003)</f>
        <v/>
      </c>
      <c r="U60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9)*(Precios!$B:$B&gt;=$I9)*"&amp;"(Precios!$C:$C=U$37)),1)*(IF($K$10=""Sí"",0.94,1)),""""),"""")=0,"""",IF(COUNT($I$6:$I$13)&gt;=3,0.9,1)*IF(VLOOKUP(LEFT(U$37,SEARCH(""☃"",SUBSTITUTE(U$37,"" "",""☃"",LEN(U$37)-LEN(SUBSTITUTE(U$37,"" "",""""))))-1),Excepciones!$A:$B,2,0)&gt;=0,IFERROR(INDEX(FILT"&amp;"ER(Precios!$D:$D,(Precios!$A:$A&lt;=$I9)*(Precios!$B:$B&gt;=$I9)*(Precios!$C:$C=U$37)),1)*(IF($K$10=""Sí"",0.94,1)),""""),"""")),"""")
"),"")</f>
        <v/>
      </c>
      <c r="V60" s="48" t="n"/>
      <c r="W60" s="48">
        <f>IFERROR(__xludf.DUMMYFUNCTION("IFERROR(IF($I9="""","""",IF(VLOOKUP(LEFT(W$37,SEARCH(""☃"",SUBSTITUTE(W$37,"" "",""☃"",LEN(W$37)-LEN(SUBSTITUTE(W$37,"" "",""""))))-1),Excepciones!$A:$B,2,0)&gt;=0,IFERROR(INDEX(filter(Precios!$D:$D,(Precios!$A:$A&lt;=$I9)*(Precios!$B:$B&gt;=$I9)*(Precios!$C:$C=W$"&amp;"37)),1)*1,""""),"""")),"""")"),238.0)</f>
        <v/>
      </c>
      <c r="X60" s="137" t="n"/>
      <c r="Y60" s="48">
        <f>IFERROR(__xludf.DUMMYFUNCTION("IFERROR(IF($I9="""","""",IF(VLOOKUP(LEFT(Y$37,SEARCH(""☃"",SUBSTITUTE(Y$37,"" "",""☃"",LEN(Y$37)-LEN(SUBSTITUTE(Y$37,"" "",""""))))-1),Excepciones!$A:$B,2,0)&gt;=0,IFERROR(INDEX(filter(Precios!$D:$D,(Precios!$A:$A&lt;=$I9)*(Precios!$B:$B&gt;=$I9)*(Precios!$C:$C=Y$"&amp;"37)),1)*1,""No asegurable""),""No asegurable"")),"""")"),"")</f>
        <v/>
      </c>
      <c r="Z60" s="48">
        <f>IFERROR(__xludf.DUMMYFUNCTION("IFERROR(IF($I9="""","""",IF(VLOOKUP(LEFT(Z$37,SEARCH(""☃"",SUBSTITUTE(Z$37,"" "",""☃"",LEN(Z$37)-LEN(SUBSTITUTE(Z$37,"" "",""""))))-1),Excepciones!$A:$B,2,0)&gt;=0,IFERROR(INDEX(filter(Precios!$D:$D,(Precios!$A:$A&lt;=$I9)*(Precios!$B:$B&gt;=$I9)*(Precios!$C:$C=Z$"&amp;"37)),1)*1,""No asegurable""),""No asegurable"")),"""")"),105.0)</f>
        <v/>
      </c>
      <c r="AA60" s="48">
        <f>IFERROR(__xludf.DUMMYFUNCTION("IFERROR(IF($I9="""","""",IF(VLOOKUP(LEFT(AA$37,SEARCH(""☃"",SUBSTITUTE(AA$37,"" "",""☃"",LEN(AA$37)-LEN(SUBSTITUTE(AA$37,"" "",""""))))-1),Excepciones!$A:$B,2,0)&gt;=0,IFERROR(INDEX(filter(Precios!$D:$D,(Precios!$A:$A&lt;=$I9)*(Precios!$B:$B&gt;=$I9)*(Precios!$C:$"&amp;"C=AA$37)),1)*1,""No asegurable""),""No asegurable"")),"""")"),137.0)</f>
        <v/>
      </c>
      <c r="AB60" s="48">
        <f>IFERROR(__xludf.DUMMYFUNCTION("IFERROR(IF($I9="""","""",IF(VLOOKUP(LEFT(AB$37,SEARCH(""☃"",SUBSTITUTE(AB$37,"" "",""☃"",LEN(AB$37)-LEN(SUBSTITUTE(AB$37,"" "",""""))))-1),Excepciones!$A:$B,2,0)&gt;=0,IFERROR(INDEX(filter(Precios!$D:$D,(Precios!$A:$A&lt;=$I9)*(Precios!$B:$B&gt;=$I9)*(Precios!$C:$"&amp;"C=AB$37)),1)*1,""No asegurable""),""No asegurable"")),"""")"),92.0)</f>
        <v/>
      </c>
      <c r="AC60" s="138">
        <f>IFERROR(__xludf.DUMMYFUNCTION("IFERROR(IF($I9="""","""",IF(VLOOKUP(LEFT(AC$37,SEARCH(""☃"",SUBSTITUTE(AC$37,"" "",""☃"",LEN(AC$37)-LEN(SUBSTITUTE(AC$37,"" "",""""))))-1),Excepciones!$A:$B,2,0)&gt;=0,IFERROR(INDEX(filter(Precios!$D:$D,(Precios!$A:$A&lt;=$I9)*(Precios!$B:$B&gt;=$I9)*(Precios!$C:$"&amp;"C=AC$37)),1)*1,""No asegurable""),""No asegurable"")),"""")"),115.0)</f>
        <v/>
      </c>
      <c r="AD60" s="5" t="n"/>
      <c r="AE60" s="5" t="n"/>
      <c r="AF60" s="5" t="n"/>
      <c r="AG60" s="5" t="n"/>
      <c r="AH60" s="125" t="n"/>
      <c r="AI60" s="125" t="n"/>
      <c r="AJ60" s="5" t="n"/>
      <c r="AK60" s="125" t="n"/>
      <c r="AL60" s="125" t="n"/>
    </row>
    <row r="61" ht="26.25" customHeight="1" s="241">
      <c r="L61" s="116" t="n">
        <v>5</v>
      </c>
      <c r="M61" s="48" t="n"/>
      <c r="N61" s="48">
        <f>IFERROR(__xludf.DUMMYFUNCTION("IFERROR(IF($I10="""","""",IF($K$8&gt;0,"""",IF(COUNT($I$6:$I$13)&gt;1,0.9,1)*IF(VLOOKUP(LEFT(N$37,SEARCH(""☃"",SUBSTITUTE(N$37,"" "",""☃"",LEN(N$37)-LEN(SUBSTITUTE(N$37,"" "",""""))))-1),Excepciones!$A:$B,2,0)&gt;=0,IFERROR(INDEX(FILTER(Precios!$D:$D,(Precios!$A:$"&amp;"A&lt;=$I10)*(Precios!$B:$B&gt;=$I10)*(Precios!$C:$C=N$37)),1)*(1-$K$6),""No asegurable""),""No asegurable""))),"""")
"),"")</f>
        <v/>
      </c>
      <c r="O61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10)*(Precios!$B:$B&gt;=$I10)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"",""""))))-1),Excepciones!$A:$B,2,0)&gt;=0,IFERROR(INDEX(FILT"&amp;"ER(Precios!$D:$D,(Precios!$A:$A&lt;=$I10)*(Precios!$B:$B&gt;=$I10)*(Precios!$C:$C=O$37)),1)*(IF($K$10=""Sí"",0.94,1)),""""),"""")),"""")
"),"")</f>
        <v/>
      </c>
      <c r="P61" s="136" t="n"/>
      <c r="Q61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10)*(Precios!$B:$B&gt;=$I10)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"",""""))))-1),Excepciones!$A:$B,2,0)&gt;=0,IFERROR(INDEX(FILT"&amp;"ER(Precios!$D:$D,(Precios!$A:$A&lt;=$I10)*(Precios!$B:$B&gt;=$I10)*(Precios!$C:$C=Q$37)),1)*(IF($K$10=""Sí"",0.94,1)),""""),"""")),"""")
"),"")</f>
        <v/>
      </c>
      <c r="R61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10)*(Precios!$B:$B&gt;=$I10)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"",""""))))-1),Excepciones!$A:$B,2,0)&gt;=0,IFERROR(INDEX(FILT"&amp;"ER(Precios!$D:$D,(Precios!$A:$A&lt;=$I10)*(Precios!$B:$B&gt;=$I10)*(Precios!$C:$C=R$37)),1)*(IF($K$10=""Sí"",0.94,1)),""""),"""")),"""")
"),"")</f>
        <v/>
      </c>
      <c r="S61" s="136" t="n"/>
      <c r="T61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10)*(Precios!$B:$B&gt;=$I10)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"",""""))))-1),Excepciones!$A:$B,2,0)&gt;=0,IFERROR(INDEX(FILT"&amp;"ER(Precios!$D:$D,(Precios!$A:$A&lt;=$I10)*(Precios!$B:$B&gt;=$I10)*(Precios!$C:$C=T$37)),1)*(IF($K$10=""Sí"",0.94,1)),""""),"""")),"""")
"),"")</f>
        <v/>
      </c>
      <c r="U61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10)*(Precios!$B:$B&gt;=$I10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"",""""))))-1),Excepciones!$A:$B,2,0)&gt;=0,IFERROR(INDEX(FI"&amp;"LTER(Precios!$D:$D,(Precios!$A:$A&lt;=$I10)*(Precios!$B:$B&gt;=$I10)*(Precios!$C:$C=U$37)),1)*(IF($K$10=""Sí"",0.94,1)),""""),"""")),"""")
"),"")</f>
        <v/>
      </c>
      <c r="V61" s="48" t="n"/>
      <c r="W61" s="48">
        <f>IFERROR(__xludf.DUMMYFUNCTION("IFERROR(IF($I10="""","""",IF(VLOOKUP(LEFT(W$37,SEARCH(""☃"",SUBSTITUTE(W$37,"" "",""☃"",LEN(W$37)-LEN(SUBSTITUTE(W$37,"" "",""""))))-1),Excepciones!$A:$B,2,0)&gt;=0,IFERROR(INDEX(filter(Precios!$D:$D,(Precios!$A:$A&lt;=$I10)*(Precios!$B:$B&gt;=$I10)*(Precios!$C:$C"&amp;"=W$37)),1)*1,""""),"""")),"""")"),"")</f>
        <v/>
      </c>
      <c r="X61" s="137" t="n"/>
      <c r="Y61" s="48">
        <f>IFERROR(__xludf.DUMMYFUNCTION("IFERROR(IF($I10="""","""",IF(VLOOKUP(LEFT(Y$37,SEARCH(""☃"",SUBSTITUTE(Y$37,"" "",""☃"",LEN(Y$37)-LEN(SUBSTITUTE(Y$37,"" "",""""))))-1),Excepciones!$A:$B,2,0)&gt;=0,IFERROR(INDEX(filter(Precios!$D:$D,(Precios!$A:$A&lt;=$I10)*(Precios!$B:$B&gt;=$I10)*(Precios!$C:$C"&amp;"=Y$37)),1)*1,""No asegurable""),""No asegurable"")),"""")"),"")</f>
        <v/>
      </c>
      <c r="Z61" s="48">
        <f>IFERROR(__xludf.DUMMYFUNCTION("IFERROR(IF($I10="""","""",IF(VLOOKUP(LEFT(Z$37,SEARCH(""☃"",SUBSTITUTE(Z$37,"" "",""☃"",LEN(Z$37)-LEN(SUBSTITUTE(Z$37,"" "",""""))))-1),Excepciones!$A:$B,2,0)&gt;=0,IFERROR(INDEX(filter(Precios!$D:$D,(Precios!$A:$A&lt;=$I10)*(Precios!$B:$B&gt;=$I10)*(Precios!$C:$C"&amp;"=Z$37)),1)*1,""No asegurable""),""No asegurable"")),"""")"),"")</f>
        <v/>
      </c>
      <c r="AA61" s="48">
        <f>IFERROR(__xludf.DUMMYFUNCTION("IFERROR(IF($I10="""","""",IF(VLOOKUP(LEFT(AA$37,SEARCH(""☃"",SUBSTITUTE(AA$37,"" "",""☃"",LEN(AA$37)-LEN(SUBSTITUTE(AA$37,"" "",""""))))-1),Excepciones!$A:$B,2,0)&gt;=0,IFERROR(INDEX(filter(Precios!$D:$D,(Precios!$A:$A&lt;=$I10)*(Precios!$B:$B&gt;=$I10)*(Precios!$"&amp;"C:$C=AA$37)),1)*1,""No asegurable""),""No asegurable"")),"""")"),"")</f>
        <v/>
      </c>
      <c r="AB61" s="48">
        <f>IFERROR(__xludf.DUMMYFUNCTION("IFERROR(IF($I10="""","""",IF(VLOOKUP(LEFT(AB$37,SEARCH(""☃"",SUBSTITUTE(AB$37,"" "",""☃"",LEN(AB$37)-LEN(SUBSTITUTE(AB$37,"" "",""""))))-1),Excepciones!$A:$B,2,0)&gt;=0,IFERROR(INDEX(filter(Precios!$D:$D,(Precios!$A:$A&lt;=$I10)*(Precios!$B:$B&gt;=$I10)*(Precios!$"&amp;"C:$C=AB$37)),1)*1,""No asegurable""),""No asegurable"")),"""")"),"")</f>
        <v/>
      </c>
      <c r="AC61" s="138">
        <f>IFERROR(__xludf.DUMMYFUNCTION("IFERROR(IF($I10="""","""",IF(VLOOKUP(LEFT(AC$37,SEARCH(""☃"",SUBSTITUTE(AC$37,"" "",""☃"",LEN(AC$37)-LEN(SUBSTITUTE(AC$37,"" "",""""))))-1),Excepciones!$A:$B,2,0)&gt;=0,IFERROR(INDEX(filter(Precios!$D:$D,(Precios!$A:$A&lt;=$I10)*(Precios!$B:$B&gt;=$I10)*(Precios!$"&amp;"C:$C=AC$37)),1)*1,""No asegurable""),""No asegurable"")),"""")"),"")</f>
        <v/>
      </c>
      <c r="AD61" s="5" t="n"/>
      <c r="AE61" s="5" t="n"/>
      <c r="AF61" s="5" t="n"/>
      <c r="AG61" s="5" t="n"/>
      <c r="AH61" s="125" t="n"/>
      <c r="AI61" s="125" t="n"/>
      <c r="AJ61" s="5" t="n"/>
      <c r="AK61" s="125" t="n"/>
      <c r="AL61" s="125" t="n"/>
    </row>
    <row r="62" ht="26.25" customHeight="1" s="241">
      <c r="L62" s="116" t="n">
        <v>6</v>
      </c>
      <c r="M62" s="48" t="n"/>
      <c r="N62" s="48">
        <f>IFERROR(__xludf.DUMMYFUNCTION("IFERROR(IF($I11="""","""",IF($K$8&gt;0,"""",IF(COUNT($I$6:$I$13)&gt;1,0.9,1)*IF(VLOOKUP(LEFT(N$37,SEARCH(""☃"",SUBSTITUTE(N$37,"" "",""☃"",LEN(N$37)-LEN(SUBSTITUTE(N$37,"" "",""""))))-1),Excepciones!$A:$B,2,0)&gt;=0,IFERROR(INDEX(FILTER(Precios!$D:$D,(Precios!$A:$"&amp;"A&lt;=$I11)*(Precios!$B:$B&gt;=$I11)*(Precios!$C:$C=N$37)),1)*(1-$K$6),""No asegurable""),""No asegurable""))),"""")
"),"")</f>
        <v/>
      </c>
      <c r="O62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11)*(Precios!$B:$B&gt;=$I11)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"",""""))))-1),Excepciones!$A:$B,2,0)&gt;=0,IFERROR(INDEX(FILT"&amp;"ER(Precios!$D:$D,(Precios!$A:$A&lt;=$I11)*(Precios!$B:$B&gt;=$I11)*(Precios!$C:$C=O$37)),1)*(IF($K$10=""Sí"",0.94,1)),""""),"""")),"""")
"),"")</f>
        <v/>
      </c>
      <c r="P62" s="136" t="n"/>
      <c r="Q62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11)*(Precios!$B:$B&gt;=$I11)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"",""""))))-1),Excepciones!$A:$B,2,0)&gt;=0,IFERROR(INDEX(FILT"&amp;"ER(Precios!$D:$D,(Precios!$A:$A&lt;=$I11)*(Precios!$B:$B&gt;=$I11)*(Precios!$C:$C=Q$37)),1)*(IF($K$10=""Sí"",0.94,1)),""""),"""")),"""")
"),"")</f>
        <v/>
      </c>
      <c r="R62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11)*(Precios!$B:$B&gt;=$I11)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"",""""))))-1),Excepciones!$A:$B,2,0)&gt;=0,IFERROR(INDEX(FILT"&amp;"ER(Precios!$D:$D,(Precios!$A:$A&lt;=$I11)*(Precios!$B:$B&gt;=$I11)*(Precios!$C:$C=R$37)),1)*(IF($K$10=""Sí"",0.94,1)),""""),"""")),"""")
"),"")</f>
        <v/>
      </c>
      <c r="S62" s="136" t="n"/>
      <c r="T62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11)*(Precios!$B:$B&gt;=$I11)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"",""""))))-1),Excepciones!$A:$B,2,0)&gt;=0,IFERROR(INDEX(FILT"&amp;"ER(Precios!$D:$D,(Precios!$A:$A&lt;=$I11)*(Precios!$B:$B&gt;=$I11)*(Precios!$C:$C=T$37)),1)*(IF($K$10=""Sí"",0.94,1)),""""),"""")),"""")
"),"")</f>
        <v/>
      </c>
      <c r="U62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11)*(Precios!$B:$B&gt;=$I11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"",""""))))-1),Excepciones!$A:$B,2,0)&gt;=0,IFERROR(INDEX(FI"&amp;"LTER(Precios!$D:$D,(Precios!$A:$A&lt;=$I11)*(Precios!$B:$B&gt;=$I11)*(Precios!$C:$C=U$37)),1)*(IF($K$10=""Sí"",0.94,1)),""""),"""")),"""")
"),"")</f>
        <v/>
      </c>
      <c r="V62" s="48" t="n"/>
      <c r="W62" s="48">
        <f>IFERROR(__xludf.DUMMYFUNCTION("IFERROR(IF($I11="""","""",IF(VLOOKUP(LEFT(W$37,SEARCH(""☃"",SUBSTITUTE(W$37,"" "",""☃"",LEN(W$37)-LEN(SUBSTITUTE(W$37,"" "",""""))))-1),Excepciones!$A:$B,2,0)&gt;=0,IFERROR(INDEX(filter(Precios!$D:$D,(Precios!$A:$A&lt;=$I11)*(Precios!$B:$B&gt;=$I11)*(Precios!$C:$C"&amp;"=W$37)),1)*1,""""),"""")),"""")"),"")</f>
        <v/>
      </c>
      <c r="X62" s="137" t="n"/>
      <c r="Y62" s="48">
        <f>IFERROR(__xludf.DUMMYFUNCTION("IFERROR(IF($I11="""","""",IF(VLOOKUP(LEFT(Y$37,SEARCH(""☃"",SUBSTITUTE(Y$37,"" "",""☃"",LEN(Y$37)-LEN(SUBSTITUTE(Y$37,"" "",""""))))-1),Excepciones!$A:$B,2,0)&gt;=0,IFERROR(INDEX(filter(Precios!$D:$D,(Precios!$A:$A&lt;=$I11)*(Precios!$B:$B&gt;=$I11)*(Precios!$C:$C"&amp;"=Y$37)),1)*1,""No asegurable""),""No asegurable"")),"""")"),"")</f>
        <v/>
      </c>
      <c r="Z62" s="48">
        <f>IFERROR(__xludf.DUMMYFUNCTION("IFERROR(IF($I11="""","""",IF(VLOOKUP(LEFT(Z$37,SEARCH(""☃"",SUBSTITUTE(Z$37,"" "",""☃"",LEN(Z$37)-LEN(SUBSTITUTE(Z$37,"" "",""""))))-1),Excepciones!$A:$B,2,0)&gt;=0,IFERROR(INDEX(filter(Precios!$D:$D,(Precios!$A:$A&lt;=$I11)*(Precios!$B:$B&gt;=$I11)*(Precios!$C:$C"&amp;"=Z$37)),1)*1,""No asegurable""),""No asegurable"")),"""")"),"")</f>
        <v/>
      </c>
      <c r="AA62" s="48">
        <f>IFERROR(__xludf.DUMMYFUNCTION("IFERROR(IF($I11="""","""",IF(VLOOKUP(LEFT(AA$37,SEARCH(""☃"",SUBSTITUTE(AA$37,"" "",""☃"",LEN(AA$37)-LEN(SUBSTITUTE(AA$37,"" "",""""))))-1),Excepciones!$A:$B,2,0)&gt;=0,IFERROR(INDEX(filter(Precios!$D:$D,(Precios!$A:$A&lt;=$I11)*(Precios!$B:$B&gt;=$I11)*(Precios!$"&amp;"C:$C=AA$37)),1)*1,""No asegurable""),""No asegurable"")),"""")"),"")</f>
        <v/>
      </c>
      <c r="AB62" s="48">
        <f>IFERROR(__xludf.DUMMYFUNCTION("IFERROR(IF($I11="""","""",IF(VLOOKUP(LEFT(AB$37,SEARCH(""☃"",SUBSTITUTE(AB$37,"" "",""☃"",LEN(AB$37)-LEN(SUBSTITUTE(AB$37,"" "",""""))))-1),Excepciones!$A:$B,2,0)&gt;=0,IFERROR(INDEX(filter(Precios!$D:$D,(Precios!$A:$A&lt;=$I11)*(Precios!$B:$B&gt;=$I11)*(Precios!$"&amp;"C:$C=AB$37)),1)*1,""No asegurable""),""No asegurable"")),"""")"),"")</f>
        <v/>
      </c>
      <c r="AC62" s="138">
        <f>IFERROR(__xludf.DUMMYFUNCTION("IFERROR(IF($I11="""","""",IF(VLOOKUP(LEFT(AC$37,SEARCH(""☃"",SUBSTITUTE(AC$37,"" "",""☃"",LEN(AC$37)-LEN(SUBSTITUTE(AC$37,"" "",""""))))-1),Excepciones!$A:$B,2,0)&gt;=0,IFERROR(INDEX(filter(Precios!$D:$D,(Precios!$A:$A&lt;=$I11)*(Precios!$B:$B&gt;=$I11)*(Precios!$"&amp;"C:$C=AC$37)),1)*1,""No asegurable""),""No asegurable"")),"""")"),"")</f>
        <v/>
      </c>
      <c r="AD62" s="5" t="n"/>
      <c r="AE62" s="5" t="n"/>
      <c r="AF62" s="5" t="n"/>
      <c r="AG62" s="5" t="n"/>
      <c r="AH62" s="125" t="n"/>
      <c r="AI62" s="125" t="n"/>
      <c r="AJ62" s="5" t="n"/>
      <c r="AK62" s="125" t="n"/>
      <c r="AL62" s="125" t="n"/>
    </row>
    <row r="63" ht="26.25" customHeight="1" s="241">
      <c r="L63" s="116" t="n">
        <v>7</v>
      </c>
      <c r="M63" s="48" t="n"/>
      <c r="N63" s="48">
        <f>IFERROR(__xludf.DUMMYFUNCTION("IFERROR(IF($I12="""","""",IF($K$8&gt;0,"""",IF(COUNT($I$6:$I$13)&gt;1,0.9,1)*IF(VLOOKUP(LEFT(N$37,SEARCH(""☃"",SUBSTITUTE(N$37,"" "",""☃"",LEN(N$37)-LEN(SUBSTITUTE(N$37,"" "",""""))))-1),Excepciones!$A:$B,2,0)&gt;=0,IFERROR(INDEX(FILTER(Precios!$D:$D,(Precios!$A:$"&amp;"A&lt;=$I12)*(Precios!$B:$B&gt;=$I12)*(Precios!$C:$C=N$37)),1)*(1-$K$6),""No asegurable""),""No asegurable""))),"""")
"),"")</f>
        <v/>
      </c>
      <c r="O63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12)*(Precios!$B:$B&gt;=$I12)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"",""""))))-1),Excepciones!$A:$B,2,0)&gt;=0,IFERROR(INDEX(FILT"&amp;"ER(Precios!$D:$D,(Precios!$A:$A&lt;=$I12)*(Precios!$B:$B&gt;=$I12)*(Precios!$C:$C=O$37)),1)*(IF($K$10=""Sí"",0.94,1)),""""),"""")),"""")
"),"")</f>
        <v/>
      </c>
      <c r="P63" s="136" t="n"/>
      <c r="Q63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12)*(Precios!$B:$B&gt;=$I12)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"",""""))))-1),Excepciones!$A:$B,2,0)&gt;=0,IFERROR(INDEX(FILT"&amp;"ER(Precios!$D:$D,(Precios!$A:$A&lt;=$I12)*(Precios!$B:$B&gt;=$I12)*(Precios!$C:$C=Q$37)),1)*(IF($K$10=""Sí"",0.94,1)),""""),"""")),"""")
"),"")</f>
        <v/>
      </c>
      <c r="R63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12)*(Precios!$B:$B&gt;=$I12)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"",""""))))-1),Excepciones!$A:$B,2,0)&gt;=0,IFERROR(INDEX(FILT"&amp;"ER(Precios!$D:$D,(Precios!$A:$A&lt;=$I12)*(Precios!$B:$B&gt;=$I12)*(Precios!$C:$C=R$37)),1)*(IF($K$10=""Sí"",0.94,1)),""""),"""")),"""")
"),"")</f>
        <v/>
      </c>
      <c r="S63" s="136" t="n"/>
      <c r="T63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12)*(Precios!$B:$B&gt;=$I12)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"",""""))))-1),Excepciones!$A:$B,2,0)&gt;=0,IFERROR(INDEX(FILT"&amp;"ER(Precios!$D:$D,(Precios!$A:$A&lt;=$I12)*(Precios!$B:$B&gt;=$I12)*(Precios!$C:$C=T$37)),1)*(IF($K$10=""Sí"",0.94,1)),""""),"""")),"""")
"),"")</f>
        <v/>
      </c>
      <c r="U63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12)*(Precios!$B:$B&gt;=$I12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"",""""))))-1),Excepciones!$A:$B,2,0)&gt;=0,IFERROR(INDEX(FI"&amp;"LTER(Precios!$D:$D,(Precios!$A:$A&lt;=$I12)*(Precios!$B:$B&gt;=$I12)*(Precios!$C:$C=U$37)),1)*(IF($K$10=""Sí"",0.94,1)),""""),"""")),"""")
"),"")</f>
        <v/>
      </c>
      <c r="V63" s="48" t="n"/>
      <c r="W63" s="48">
        <f>IFERROR(__xludf.DUMMYFUNCTION("IFERROR(IF($I12="""","""",IF(VLOOKUP(LEFT(W$37,SEARCH(""☃"",SUBSTITUTE(W$37,"" "",""☃"",LEN(W$37)-LEN(SUBSTITUTE(W$37,"" "",""""))))-1),Excepciones!$A:$B,2,0)&gt;=0,IFERROR(INDEX(filter(Precios!$D:$D,(Precios!$A:$A&lt;=$I12)*(Precios!$B:$B&gt;=$I12)*(Precios!$C:$C"&amp;"=W$37)),1)*1,""""),"""")),"""")"),"")</f>
        <v/>
      </c>
      <c r="X63" s="137" t="n"/>
      <c r="Y63" s="48">
        <f>IFERROR(__xludf.DUMMYFUNCTION("IFERROR(IF($I12="""","""",IF(VLOOKUP(LEFT(Y$37,SEARCH(""☃"",SUBSTITUTE(Y$37,"" "",""☃"",LEN(Y$37)-LEN(SUBSTITUTE(Y$37,"" "",""""))))-1),Excepciones!$A:$B,2,0)&gt;=0,IFERROR(INDEX(filter(Precios!$D:$D,(Precios!$A:$A&lt;=$I12)*(Precios!$B:$B&gt;=$I12)*(Precios!$C:$C"&amp;"=Y$37)),1)*1,""No asegurable""),""No asegurable"")),"""")"),"")</f>
        <v/>
      </c>
      <c r="Z63" s="48">
        <f>IFERROR(__xludf.DUMMYFUNCTION("IFERROR(IF($I12="""","""",IF(VLOOKUP(LEFT(Z$37,SEARCH(""☃"",SUBSTITUTE(Z$37,"" "",""☃"",LEN(Z$37)-LEN(SUBSTITUTE(Z$37,"" "",""""))))-1),Excepciones!$A:$B,2,0)&gt;=0,IFERROR(INDEX(filter(Precios!$D:$D,(Precios!$A:$A&lt;=$I12)*(Precios!$B:$B&gt;=$I12)*(Precios!$C:$C"&amp;"=Z$37)),1)*1,""No asegurable""),""No asegurable"")),"""")"),"")</f>
        <v/>
      </c>
      <c r="AA63" s="48">
        <f>IFERROR(__xludf.DUMMYFUNCTION("IFERROR(IF($I12="""","""",IF(VLOOKUP(LEFT(AA$37,SEARCH(""☃"",SUBSTITUTE(AA$37,"" "",""☃"",LEN(AA$37)-LEN(SUBSTITUTE(AA$37,"" "",""""))))-1),Excepciones!$A:$B,2,0)&gt;=0,IFERROR(INDEX(filter(Precios!$D:$D,(Precios!$A:$A&lt;=$I12)*(Precios!$B:$B&gt;=$I12)*(Precios!$"&amp;"C:$C=AA$37)),1)*1,""No asegurable""),""No asegurable"")),"""")"),"")</f>
        <v/>
      </c>
      <c r="AB63" s="48">
        <f>IFERROR(__xludf.DUMMYFUNCTION("IFERROR(IF($I12="""","""",IF(VLOOKUP(LEFT(AB$37,SEARCH(""☃"",SUBSTITUTE(AB$37,"" "",""☃"",LEN(AB$37)-LEN(SUBSTITUTE(AB$37,"" "",""""))))-1),Excepciones!$A:$B,2,0)&gt;=0,IFERROR(INDEX(filter(Precios!$D:$D,(Precios!$A:$A&lt;=$I12)*(Precios!$B:$B&gt;=$I12)*(Precios!$"&amp;"C:$C=AB$37)),1)*1,""No asegurable""),""No asegurable"")),"""")"),"")</f>
        <v/>
      </c>
      <c r="AC63" s="138">
        <f>IFERROR(__xludf.DUMMYFUNCTION("IFERROR(IF($I12="""","""",IF(VLOOKUP(LEFT(AC$37,SEARCH(""☃"",SUBSTITUTE(AC$37,"" "",""☃"",LEN(AC$37)-LEN(SUBSTITUTE(AC$37,"" "",""""))))-1),Excepciones!$A:$B,2,0)&gt;=0,IFERROR(INDEX(filter(Precios!$D:$D,(Precios!$A:$A&lt;=$I12)*(Precios!$B:$B&gt;=$I12)*(Precios!$"&amp;"C:$C=AC$37)),1)*1,""No asegurable""),""No asegurable"")),"""")"),"")</f>
        <v/>
      </c>
      <c r="AD63" s="5" t="n"/>
      <c r="AE63" s="5" t="n"/>
      <c r="AF63" s="5" t="n"/>
      <c r="AG63" s="5" t="n"/>
      <c r="AH63" s="125" t="n"/>
      <c r="AI63" s="125" t="n"/>
      <c r="AJ63" s="5" t="n"/>
      <c r="AK63" s="125" t="n"/>
      <c r="AL63" s="125" t="n"/>
    </row>
    <row r="64" ht="22.5" customHeight="1" s="241">
      <c r="L64" s="116" t="n">
        <v>8</v>
      </c>
      <c r="M64" s="48" t="n"/>
      <c r="N64" s="48">
        <f>IFERROR(__xludf.DUMMYFUNCTION("IFERROR(IF($I13="""","""",IF($K$8&gt;0,"""",IF(COUNT($I$6:$I$13)&gt;1,0.9,1)*IF(VLOOKUP(LEFT(N$37,SEARCH(""☃"",SUBSTITUTE(N$37,"" "",""☃"",LEN(N$37)-LEN(SUBSTITUTE(N$37,"" "",""""))))-1),Excepciones!$A:$B,2,0)&gt;=0,IFERROR(INDEX(FILTER(Precios!$D:$D,(Precios!$A:$"&amp;"A&lt;=$I13)*(Precios!$B:$B&gt;=$I13)*(Precios!$C:$C=N$37)),1)*(1-$K$6),""No asegurable""),""No asegurable""))),"""")
"),"")</f>
        <v/>
      </c>
      <c r="O64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13)*(Precios!$B:$B&gt;=$I13)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"",""""))))-1),Excepciones!$A:$B,2,0)&gt;=0,IFERROR(INDEX(FILT"&amp;"ER(Precios!$D:$D,(Precios!$A:$A&lt;=$I13)*(Precios!$B:$B&gt;=$I13)*(Precios!$C:$C=O$37)),1)*(IF($K$10=""Sí"",0.94,1)),""""),"""")),"""")
"),"")</f>
        <v/>
      </c>
      <c r="P64" s="136" t="n"/>
      <c r="Q64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13)*(Precios!$B:$B&gt;=$I13)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"",""""))))-1),Excepciones!$A:$B,2,0)&gt;=0,IFERROR(INDEX(FILT"&amp;"ER(Precios!$D:$D,(Precios!$A:$A&lt;=$I13)*(Precios!$B:$B&gt;=$I13)*(Precios!$C:$C=Q$37)),1)*(IF($K$10=""Sí"",0.94,1)),""""),"""")),"""")
"),"")</f>
        <v/>
      </c>
      <c r="R64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13)*(Precios!$B:$B&gt;=$I13)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"",""""))))-1),Excepciones!$A:$B,2,0)&gt;=0,IFERROR(INDEX(FILT"&amp;"ER(Precios!$D:$D,(Precios!$A:$A&lt;=$I13)*(Precios!$B:$B&gt;=$I13)*(Precios!$C:$C=R$37)),1)*(IF($K$10=""Sí"",0.94,1)),""""),"""")),"""")
"),"")</f>
        <v/>
      </c>
      <c r="S64" s="136" t="n"/>
      <c r="T64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13)*(Precios!$B:$B&gt;=$I13)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"",""""))))-1),Excepciones!$A:$B,2,0)&gt;=0,IFERROR(INDEX(FILT"&amp;"ER(Precios!$D:$D,(Precios!$A:$A&lt;=$I13)*(Precios!$B:$B&gt;=$I13)*(Precios!$C:$C=T$37)),1)*(IF($K$10=""Sí"",0.94,1)),""""),"""")),"""")
"),"")</f>
        <v/>
      </c>
      <c r="U64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13)*(Precios!$B:$B&gt;=$I13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"",""""))))-1),Excepciones!$A:$B,2,0)&gt;=0,IFERROR(INDEX(FI"&amp;"LTER(Precios!$D:$D,(Precios!$A:$A&lt;=$I13)*(Precios!$B:$B&gt;=$I13)*(Precios!$C:$C=U$37)),1)*(IF($K$10=""Sí"",0.94,1)),""""),"""")),"""")
"),"")</f>
        <v/>
      </c>
      <c r="V64" s="48" t="n"/>
      <c r="W64" s="48">
        <f>IFERROR(__xludf.DUMMYFUNCTION("IFERROR(IF($I13="""","""",IF(VLOOKUP(LEFT(W$37,SEARCH(""☃"",SUBSTITUTE(W$37,"" "",""☃"",LEN(W$37)-LEN(SUBSTITUTE(W$37,"" "",""""))))-1),Excepciones!$A:$B,2,0)&gt;=0,IFERROR(INDEX(filter(Precios!$D:$D,(Precios!$A:$A&lt;=$I13)*(Precios!$B:$B&gt;=$I13)*(Precios!$C:$C"&amp;"=W$37)),1)*1,""""),"""")),"""")"),"")</f>
        <v/>
      </c>
      <c r="X64" s="137" t="n"/>
      <c r="Y64" s="48">
        <f>IFERROR(__xludf.DUMMYFUNCTION("IFERROR(IF($I13="""","""",IF(VLOOKUP(LEFT(Y$37,SEARCH(""☃"",SUBSTITUTE(Y$37,"" "",""☃"",LEN(Y$37)-LEN(SUBSTITUTE(Y$37,"" "",""""))))-1),Excepciones!$A:$B,2,0)&gt;=0,IFERROR(INDEX(filter(Precios!$D:$D,(Precios!$A:$A&lt;=$I13)*(Precios!$B:$B&gt;=$I13)*(Precios!$C:$C"&amp;"=Y$37)),1)*1,""No asegurable""),""No asegurable"")),"""")"),"")</f>
        <v/>
      </c>
      <c r="Z64" s="48">
        <f>IFERROR(__xludf.DUMMYFUNCTION("IFERROR(IF($I13="""","""",IF(VLOOKUP(LEFT(Z$37,SEARCH(""☃"",SUBSTITUTE(Z$37,"" "",""☃"",LEN(Z$37)-LEN(SUBSTITUTE(Z$37,"" "",""""))))-1),Excepciones!$A:$B,2,0)&gt;=0,IFERROR(INDEX(filter(Precios!$D:$D,(Precios!$A:$A&lt;=$I13)*(Precios!$B:$B&gt;=$I13)*(Precios!$C:$C"&amp;"=Z$37)),1)*1,""No asegurable""),""No asegurable"")),"""")"),"")</f>
        <v/>
      </c>
      <c r="AA64" s="48">
        <f>IFERROR(__xludf.DUMMYFUNCTION("IFERROR(IF($I13="""","""",IF(VLOOKUP(LEFT(AA$37,SEARCH(""☃"",SUBSTITUTE(AA$37,"" "",""☃"",LEN(AA$37)-LEN(SUBSTITUTE(AA$37,"" "",""""))))-1),Excepciones!$A:$B,2,0)&gt;=0,IFERROR(INDEX(filter(Precios!$D:$D,(Precios!$A:$A&lt;=$I13)*(Precios!$B:$B&gt;=$I13)*(Precios!$"&amp;"C:$C=AA$37)),1)*1,""No asegurable""),""No asegurable"")),"""")"),"")</f>
        <v/>
      </c>
      <c r="AB64" s="48">
        <f>IFERROR(__xludf.DUMMYFUNCTION("IFERROR(IF($I13="""","""",IF(VLOOKUP(LEFT(AB$37,SEARCH(""☃"",SUBSTITUTE(AB$37,"" "",""☃"",LEN(AB$37)-LEN(SUBSTITUTE(AB$37,"" "",""""))))-1),Excepciones!$A:$B,2,0)&gt;=0,IFERROR(INDEX(filter(Precios!$D:$D,(Precios!$A:$A&lt;=$I13)*(Precios!$B:$B&gt;=$I13)*(Precios!$"&amp;"C:$C=AB$37)),1)*1,""No asegurable""),""No asegurable"")),"""")"),"")</f>
        <v/>
      </c>
      <c r="AC64" s="138">
        <f>IFERROR(__xludf.DUMMYFUNCTION("IFERROR(IF($I13="""","""",IF(VLOOKUP(LEFT(AC$37,SEARCH(""☃"",SUBSTITUTE(AC$37,"" "",""☃"",LEN(AC$37)-LEN(SUBSTITUTE(AC$37,"" "",""""))))-1),Excepciones!$A:$B,2,0)&gt;=0,IFERROR(INDEX(filter(Precios!$D:$D,(Precios!$A:$A&lt;=$I13)*(Precios!$B:$B&gt;=$I13)*(Precios!$"&amp;"C:$C=AC$37)),1)*1,""No asegurable""),""No asegurable"")),"""")"),"")</f>
        <v/>
      </c>
      <c r="AD64" s="5" t="n"/>
      <c r="AE64" s="5" t="n"/>
      <c r="AF64" s="5" t="n"/>
      <c r="AG64" s="5" t="n"/>
      <c r="AH64" s="125" t="n"/>
      <c r="AI64" s="125" t="n"/>
      <c r="AJ64" s="5" t="n"/>
      <c r="AK64" s="125" t="n"/>
      <c r="AL64" s="125" t="n"/>
    </row>
    <row r="65" ht="22.5" customHeight="1" s="241">
      <c r="L65" s="116" t="n">
        <v>9</v>
      </c>
      <c r="M65" s="48" t="n"/>
      <c r="N65" s="48">
        <f>IFERROR(__xludf.DUMMYFUNCTION("IFERROR(IF($I14="""","""",IF($K$8&gt;0,"""",IF(COUNT($I$6:$I$13)&gt;1,0.9,1)*IF(VLOOKUP(LEFT(N$37,SEARCH(""☃"",SUBSTITUTE(N$37,"" "",""☃"",LEN(N$37)-LEN(SUBSTITUTE(N$37,"" "",""""))))-1),Excepciones!$A:$B,2,0)&gt;=0,IFERROR(INDEX(FILTER(Precios!$D:$D,(Precios!$A:$"&amp;"A&lt;=$I14)*(Precios!$B:$B&gt;=$I14)*(Precios!$C:$C=N$37)),1)*(1-$K$6),""No asegurable""),""No asegurable""))),"""")
"),"")</f>
        <v/>
      </c>
      <c r="O65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14)*(Precios!$B:$B&gt;=$I14)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"",""""))))-1),Excepciones!$A:$B,2,0)&gt;=0,IFERROR(INDEX(FILT"&amp;"ER(Precios!$D:$D,(Precios!$A:$A&lt;=$I14)*(Precios!$B:$B&gt;=$I14)*(Precios!$C:$C=O$37)),1)*(IF($K$10=""Sí"",0.94,1)),""""),"""")),"""")
"),"")</f>
        <v/>
      </c>
      <c r="P65" s="136" t="n"/>
      <c r="Q65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14)*(Precios!$B:$B&gt;=$I14)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"",""""))))-1),Excepciones!$A:$B,2,0)&gt;=0,IFERROR(INDEX(FILT"&amp;"ER(Precios!$D:$D,(Precios!$A:$A&lt;=$I14)*(Precios!$B:$B&gt;=$I14)*(Precios!$C:$C=Q$37)),1)*(IF($K$10=""Sí"",0.94,1)),""""),"""")),"""")
"),"")</f>
        <v/>
      </c>
      <c r="R65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14)*(Precios!$B:$B&gt;=$I14)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"",""""))))-1),Excepciones!$A:$B,2,0)&gt;=0,IFERROR(INDEX(FILT"&amp;"ER(Precios!$D:$D,(Precios!$A:$A&lt;=$I14)*(Precios!$B:$B&gt;=$I14)*(Precios!$C:$C=R$37)),1)*(IF($K$10=""Sí"",0.94,1)),""""),"""")),"""")
"),"")</f>
        <v/>
      </c>
      <c r="S65" s="136" t="n"/>
      <c r="T65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14)*(Precios!$B:$B&gt;=$I14)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"",""""))))-1),Excepciones!$A:$B,2,0)&gt;=0,IFERROR(INDEX(FILT"&amp;"ER(Precios!$D:$D,(Precios!$A:$A&lt;=$I14)*(Precios!$B:$B&gt;=$I14)*(Precios!$C:$C=T$37)),1)*(IF($K$10=""Sí"",0.94,1)),""""),"""")),"""")
"),"")</f>
        <v/>
      </c>
      <c r="U65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14)*(Precios!$B:$B&gt;=$I14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"",""""))))-1),Excepciones!$A:$B,2,0)&gt;=0,IFERROR(INDEX(FI"&amp;"LTER(Precios!$D:$D,(Precios!$A:$A&lt;=$I14)*(Precios!$B:$B&gt;=$I14)*(Precios!$C:$C=U$37)),1)*(IF($K$10=""Sí"",0.94,1)),""""),"""")),"""")
"),"")</f>
        <v/>
      </c>
      <c r="V65" s="48" t="n"/>
      <c r="W65" s="48">
        <f>IFERROR(__xludf.DUMMYFUNCTION("IFERROR(IF($I14="""","""",IF(VLOOKUP(LEFT(W$37,SEARCH(""☃"",SUBSTITUTE(W$37,"" "",""☃"",LEN(W$37)-LEN(SUBSTITUTE(W$37,"" "",""""))))-1),Excepciones!$A:$B,2,0)&gt;=0,IFERROR(INDEX(filter(Precios!$D:$D,(Precios!$A:$A&lt;=$I14)*(Precios!$B:$B&gt;=$I14)*(Precios!$C:$C"&amp;"=W$37)),1)*1,""""),"""")),"""")"),"")</f>
        <v/>
      </c>
      <c r="X65" s="137" t="n"/>
      <c r="Y65" s="48">
        <f>IFERROR(__xludf.DUMMYFUNCTION("IFERROR(IF($I14="""","""",IF(VLOOKUP(LEFT(Y$37,SEARCH(""☃"",SUBSTITUTE(Y$37,"" "",""☃"",LEN(Y$37)-LEN(SUBSTITUTE(Y$37,"" "",""""))))-1),Excepciones!$A:$B,2,0)&gt;=0,IFERROR(INDEX(filter(Precios!$D:$D,(Precios!$A:$A&lt;=$I14)*(Precios!$B:$B&gt;=$I14)*(Precios!$C:$C"&amp;"=Y$37)),1)*1,""No asegurable""),""No asegurable"")),"""")"),"")</f>
        <v/>
      </c>
      <c r="Z65" s="48">
        <f>IFERROR(__xludf.DUMMYFUNCTION("IFERROR(IF($I14="""","""",IF(VLOOKUP(LEFT(Z$37,SEARCH(""☃"",SUBSTITUTE(Z$37,"" "",""☃"",LEN(Z$37)-LEN(SUBSTITUTE(Z$37,"" "",""""))))-1),Excepciones!$A:$B,2,0)&gt;=0,IFERROR(INDEX(filter(Precios!$D:$D,(Precios!$A:$A&lt;=$I14)*(Precios!$B:$B&gt;=$I14)*(Precios!$C:$C"&amp;"=Z$37)),1)*1,""No asegurable""),""No asegurable"")),"""")"),"")</f>
        <v/>
      </c>
      <c r="AA65" s="48">
        <f>IFERROR(__xludf.DUMMYFUNCTION("IFERROR(IF($I14="""","""",IF(VLOOKUP(LEFT(AA$37,SEARCH(""☃"",SUBSTITUTE(AA$37,"" "",""☃"",LEN(AA$37)-LEN(SUBSTITUTE(AA$37,"" "",""""))))-1),Excepciones!$A:$B,2,0)&gt;=0,IFERROR(INDEX(filter(Precios!$D:$D,(Precios!$A:$A&lt;=$I14)*(Precios!$B:$B&gt;=$I14)*(Precios!$"&amp;"C:$C=AA$37)),1)*1,""No asegurable""),""No asegurable"")),"""")"),"")</f>
        <v/>
      </c>
      <c r="AB65" s="48">
        <f>IFERROR(__xludf.DUMMYFUNCTION("IFERROR(IF($I14="""","""",IF(VLOOKUP(LEFT(AB$37,SEARCH(""☃"",SUBSTITUTE(AB$37,"" "",""☃"",LEN(AB$37)-LEN(SUBSTITUTE(AB$37,"" "",""""))))-1),Excepciones!$A:$B,2,0)&gt;=0,IFERROR(INDEX(filter(Precios!$D:$D,(Precios!$A:$A&lt;=$I14)*(Precios!$B:$B&gt;=$I14)*(Precios!$"&amp;"C:$C=AB$37)),1)*1,""No asegurable""),""No asegurable"")),"""")"),"")</f>
        <v/>
      </c>
      <c r="AC65" s="138">
        <f>IFERROR(__xludf.DUMMYFUNCTION("IFERROR(IF($I14="""","""",IF(VLOOKUP(LEFT(AC$37,SEARCH(""☃"",SUBSTITUTE(AC$37,"" "",""☃"",LEN(AC$37)-LEN(SUBSTITUTE(AC$37,"" "",""""))))-1),Excepciones!$A:$B,2,0)&gt;=0,IFERROR(INDEX(filter(Precios!$D:$D,(Precios!$A:$A&lt;=$I14)*(Precios!$B:$B&gt;=$I14)*(Precios!$"&amp;"C:$C=AC$37)),1)*1,""No asegurable""),""No asegurable"")),"""")"),"")</f>
        <v/>
      </c>
      <c r="AD65" s="5" t="n"/>
      <c r="AE65" s="5" t="n"/>
      <c r="AF65" s="5" t="n"/>
      <c r="AG65" s="5" t="n"/>
      <c r="AH65" s="125" t="n"/>
      <c r="AI65" s="125" t="n"/>
      <c r="AJ65" s="5" t="n"/>
      <c r="AK65" s="125" t="n"/>
      <c r="AL65" s="125" t="n"/>
    </row>
    <row r="66" ht="22.5" customHeight="1" s="241">
      <c r="L66" s="116" t="n">
        <v>10</v>
      </c>
      <c r="M66" s="48" t="n"/>
      <c r="N66" s="48">
        <f>IFERROR(__xludf.DUMMYFUNCTION("IFERROR(IF($I15="""","""",IF($K$8&gt;0,"""",IF(COUNT($I$6:$I$13)&gt;1,0.9,1)*IF(VLOOKUP(LEFT(N$37,SEARCH(""☃"",SUBSTITUTE(N$37,"" "",""☃"",LEN(N$37)-LEN(SUBSTITUTE(N$37,"" "",""""))))-1),Excepciones!$A:$B,2,0)&gt;=0,IFERROR(INDEX(FILTER(Precios!$D:$D,(Precios!$A:$"&amp;"A&lt;=$I15)*(Precios!$B:$B&gt;=$I15)*(Precios!$C:$C=N$37)),1)*(1-$K$6),""No asegurable""),""No asegurable""))),"""")
"),"")</f>
        <v/>
      </c>
      <c r="O66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15)*(Precios!$B:$B&gt;=$I15)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"",""""))))-1),Excepciones!$A:$B,2,0)&gt;=0,IFERROR(INDEX(FILT"&amp;"ER(Precios!$D:$D,(Precios!$A:$A&lt;=$I15)*(Precios!$B:$B&gt;=$I15)*(Precios!$C:$C=O$37)),1)*(IF($K$10=""Sí"",0.94,1)),""""),"""")),"""")
"),"")</f>
        <v/>
      </c>
      <c r="P66" s="136" t="n"/>
      <c r="Q66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15)*(Precios!$B:$B&gt;=$I15)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"",""""))))-1),Excepciones!$A:$B,2,0)&gt;=0,IFERROR(INDEX(FILT"&amp;"ER(Precios!$D:$D,(Precios!$A:$A&lt;=$I15)*(Precios!$B:$B&gt;=$I15)*(Precios!$C:$C=Q$37)),1)*(IF($K$10=""Sí"",0.94,1)),""""),"""")),"""")
"),"")</f>
        <v/>
      </c>
      <c r="R66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15)*(Precios!$B:$B&gt;=$I15)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"",""""))))-1),Excepciones!$A:$B,2,0)&gt;=0,IFERROR(INDEX(FILT"&amp;"ER(Precios!$D:$D,(Precios!$A:$A&lt;=$I15)*(Precios!$B:$B&gt;=$I15)*(Precios!$C:$C=R$37)),1)*(IF($K$10=""Sí"",0.94,1)),""""),"""")),"""")
"),"")</f>
        <v/>
      </c>
      <c r="S66" s="136" t="n"/>
      <c r="T66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15)*(Precios!$B:$B&gt;=$I15)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"",""""))))-1),Excepciones!$A:$B,2,0)&gt;=0,IFERROR(INDEX(FILT"&amp;"ER(Precios!$D:$D,(Precios!$A:$A&lt;=$I15)*(Precios!$B:$B&gt;=$I15)*(Precios!$C:$C=T$37)),1)*(IF($K$10=""Sí"",0.94,1)),""""),"""")),"""")
"),"")</f>
        <v/>
      </c>
      <c r="U66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15)*(Precios!$B:$B&gt;=$I15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"",""""))))-1),Excepciones!$A:$B,2,0)&gt;=0,IFERROR(INDEX(FI"&amp;"LTER(Precios!$D:$D,(Precios!$A:$A&lt;=$I15)*(Precios!$B:$B&gt;=$I15)*(Precios!$C:$C=U$37)),1)*(IF($K$10=""Sí"",0.94,1)),""""),"""")),"""")
"),"")</f>
        <v/>
      </c>
      <c r="V66" s="48" t="n"/>
      <c r="W66" s="48">
        <f>IFERROR(__xludf.DUMMYFUNCTION("IFERROR(IF($I15="""","""",IF(VLOOKUP(LEFT(W$37,SEARCH(""☃"",SUBSTITUTE(W$37,"" "",""☃"",LEN(W$37)-LEN(SUBSTITUTE(W$37,"" "",""""))))-1),Excepciones!$A:$B,2,0)&gt;=0,IFERROR(INDEX(filter(Precios!$D:$D,(Precios!$A:$A&lt;=$I15)*(Precios!$B:$B&gt;=$I15)*(Precios!$C:$C"&amp;"=W$37)),1)*1,""""),"""")),"""")"),"")</f>
        <v/>
      </c>
      <c r="X66" s="137" t="n"/>
      <c r="Y66" s="48">
        <f>IFERROR(__xludf.DUMMYFUNCTION("IFERROR(IF($I15="""","""",IF(VLOOKUP(LEFT(Y$37,SEARCH(""☃"",SUBSTITUTE(Y$37,"" "",""☃"",LEN(Y$37)-LEN(SUBSTITUTE(Y$37,"" "",""""))))-1),Excepciones!$A:$B,2,0)&gt;=0,IFERROR(INDEX(filter(Precios!$D:$D,(Precios!$A:$A&lt;=$I15)*(Precios!$B:$B&gt;=$I15)*(Precios!$C:$C"&amp;"=Y$37)),1)*1,""No asegurable""),""No asegurable"")),"""")"),"")</f>
        <v/>
      </c>
      <c r="Z66" s="48">
        <f>IFERROR(__xludf.DUMMYFUNCTION("IFERROR(IF($I15="""","""",IF(VLOOKUP(LEFT(Z$37,SEARCH(""☃"",SUBSTITUTE(Z$37,"" "",""☃"",LEN(Z$37)-LEN(SUBSTITUTE(Z$37,"" "",""""))))-1),Excepciones!$A:$B,2,0)&gt;=0,IFERROR(INDEX(filter(Precios!$D:$D,(Precios!$A:$A&lt;=$I15)*(Precios!$B:$B&gt;=$I15)*(Precios!$C:$C"&amp;"=Z$37)),1)*1,""No asegurable""),""No asegurable"")),"""")"),"")</f>
        <v/>
      </c>
      <c r="AA66" s="48">
        <f>IFERROR(__xludf.DUMMYFUNCTION("IFERROR(IF($I15="""","""",IF(VLOOKUP(LEFT(AA$37,SEARCH(""☃"",SUBSTITUTE(AA$37,"" "",""☃"",LEN(AA$37)-LEN(SUBSTITUTE(AA$37,"" "",""""))))-1),Excepciones!$A:$B,2,0)&gt;=0,IFERROR(INDEX(filter(Precios!$D:$D,(Precios!$A:$A&lt;=$I15)*(Precios!$B:$B&gt;=$I15)*(Precios!$"&amp;"C:$C=AA$37)),1)*1,""No asegurable""),""No asegurable"")),"""")"),"")</f>
        <v/>
      </c>
      <c r="AB66" s="48">
        <f>IFERROR(__xludf.DUMMYFUNCTION("IFERROR(IF($I15="""","""",IF(VLOOKUP(LEFT(AB$37,SEARCH(""☃"",SUBSTITUTE(AB$37,"" "",""☃"",LEN(AB$37)-LEN(SUBSTITUTE(AB$37,"" "",""""))))-1),Excepciones!$A:$B,2,0)&gt;=0,IFERROR(INDEX(filter(Precios!$D:$D,(Precios!$A:$A&lt;=$I15)*(Precios!$B:$B&gt;=$I15)*(Precios!$"&amp;"C:$C=AB$37)),1)*1,""No asegurable""),""No asegurable"")),"""")"),"")</f>
        <v/>
      </c>
      <c r="AC66" s="138">
        <f>IFERROR(__xludf.DUMMYFUNCTION("IFERROR(IF($I15="""","""",IF(VLOOKUP(LEFT(AC$37,SEARCH(""☃"",SUBSTITUTE(AC$37,"" "",""☃"",LEN(AC$37)-LEN(SUBSTITUTE(AC$37,"" "",""""))))-1),Excepciones!$A:$B,2,0)&gt;=0,IFERROR(INDEX(filter(Precios!$D:$D,(Precios!$A:$A&lt;=$I15)*(Precios!$B:$B&gt;=$I15)*(Precios!$"&amp;"C:$C=AC$37)),1)*1,""No asegurable""),""No asegurable"")),"""")"),"")</f>
        <v/>
      </c>
      <c r="AD66" s="5" t="n"/>
      <c r="AE66" s="5" t="n"/>
      <c r="AF66" s="5" t="n"/>
      <c r="AG66" s="5" t="n"/>
      <c r="AH66" s="125" t="n"/>
      <c r="AI66" s="125" t="n"/>
      <c r="AJ66" s="5" t="n"/>
      <c r="AK66" s="125" t="n"/>
      <c r="AL66" s="125" t="n"/>
    </row>
    <row r="67" ht="22.5" customHeight="1" s="241">
      <c r="L67" s="116" t="n">
        <v>11</v>
      </c>
      <c r="M67" s="48" t="n"/>
      <c r="N67" s="48">
        <f>IFERROR(__xludf.DUMMYFUNCTION("IFERROR(IF($I16="""","""",IF($K$8&gt;0,"""",IF(COUNT($I$6:$I$13)&gt;1,0.9,1)*IF(VLOOKUP(LEFT(N$37,SEARCH(""☃"",SUBSTITUTE(N$37,"" "",""☃"",LEN(N$37)-LEN(SUBSTITUTE(N$37,"" "",""""))))-1),Excepciones!$A:$B,2,0)&gt;=0,IFERROR(INDEX(FILTER(Precios!$D:$D,(Precios!$A:$"&amp;"A&lt;=$I16)*(Precios!$B:$B&gt;=$I16)*(Precios!$C:$C=N$37)),1)*(1-$K$6),""No asegurable""),""No asegurable""))),"""")
"),"")</f>
        <v/>
      </c>
      <c r="O67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16)*(Precios!$B:$B&gt;=$I16)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"",""""))))-1),Excepciones!$A:$B,2,0)&gt;=0,IFERROR(INDEX(FILT"&amp;"ER(Precios!$D:$D,(Precios!$A:$A&lt;=$I16)*(Precios!$B:$B&gt;=$I16)*(Precios!$C:$C=O$37)),1)*(IF($K$10=""Sí"",0.94,1)),""""),"""")),"""")
"),"")</f>
        <v/>
      </c>
      <c r="P67" s="136" t="n"/>
      <c r="Q67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16)*(Precios!$B:$B&gt;=$I16)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"",""""))))-1),Excepciones!$A:$B,2,0)&gt;=0,IFERROR(INDEX(FILT"&amp;"ER(Precios!$D:$D,(Precios!$A:$A&lt;=$I16)*(Precios!$B:$B&gt;=$I16)*(Precios!$C:$C=Q$37)),1)*(IF($K$10=""Sí"",0.94,1)),""""),"""")),"""")
"),"")</f>
        <v/>
      </c>
      <c r="R67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16)*(Precios!$B:$B&gt;=$I16)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"",""""))))-1),Excepciones!$A:$B,2,0)&gt;=0,IFERROR(INDEX(FILT"&amp;"ER(Precios!$D:$D,(Precios!$A:$A&lt;=$I16)*(Precios!$B:$B&gt;=$I16)*(Precios!$C:$C=R$37)),1)*(IF($K$10=""Sí"",0.94,1)),""""),"""")),"""")
"),"")</f>
        <v/>
      </c>
      <c r="S67" s="136" t="n"/>
      <c r="T67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16)*(Precios!$B:$B&gt;=$I16)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"",""""))))-1),Excepciones!$A:$B,2,0)&gt;=0,IFERROR(INDEX(FILT"&amp;"ER(Precios!$D:$D,(Precios!$A:$A&lt;=$I16)*(Precios!$B:$B&gt;=$I16)*(Precios!$C:$C=T$37)),1)*(IF($K$10=""Sí"",0.94,1)),""""),"""")),"""")
"),"")</f>
        <v/>
      </c>
      <c r="U67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16)*(Precios!$B:$B&gt;=$I16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"",""""))))-1),Excepciones!$A:$B,2,0)&gt;=0,IFERROR(INDEX(FI"&amp;"LTER(Precios!$D:$D,(Precios!$A:$A&lt;=$I16)*(Precios!$B:$B&gt;=$I16)*(Precios!$C:$C=U$37)),1)*(IF($K$10=""Sí"",0.94,1)),""""),"""")),"""")
"),"")</f>
        <v/>
      </c>
      <c r="V67" s="48" t="n"/>
      <c r="W67" s="48">
        <f>IFERROR(__xludf.DUMMYFUNCTION("IFERROR(IF($I16="""","""",IF(VLOOKUP(LEFT(W$37,SEARCH(""☃"",SUBSTITUTE(W$37,"" "",""☃"",LEN(W$37)-LEN(SUBSTITUTE(W$37,"" "",""""))))-1),Excepciones!$A:$B,2,0)&gt;=0,IFERROR(INDEX(filter(Precios!$D:$D,(Precios!$A:$A&lt;=$I16)*(Precios!$B:$B&gt;=$I16)*(Precios!$C:$C"&amp;"=W$37)),1)*1,""""),"""")),"""")"),"")</f>
        <v/>
      </c>
      <c r="X67" s="137" t="n"/>
      <c r="Y67" s="48">
        <f>IFERROR(__xludf.DUMMYFUNCTION("IFERROR(IF($I16="""","""",IF(VLOOKUP(LEFT(Y$37,SEARCH(""☃"",SUBSTITUTE(Y$37,"" "",""☃"",LEN(Y$37)-LEN(SUBSTITUTE(Y$37,"" "",""""))))-1),Excepciones!$A:$B,2,0)&gt;=0,IFERROR(INDEX(filter(Precios!$D:$D,(Precios!$A:$A&lt;=$I16)*(Precios!$B:$B&gt;=$I16)*(Precios!$C:$C"&amp;"=Y$37)),1)*1,""No asegurable""),""No asegurable"")),"""")"),"")</f>
        <v/>
      </c>
      <c r="Z67" s="48">
        <f>IFERROR(__xludf.DUMMYFUNCTION("IFERROR(IF($I16="""","""",IF(VLOOKUP(LEFT(Z$37,SEARCH(""☃"",SUBSTITUTE(Z$37,"" "",""☃"",LEN(Z$37)-LEN(SUBSTITUTE(Z$37,"" "",""""))))-1),Excepciones!$A:$B,2,0)&gt;=0,IFERROR(INDEX(filter(Precios!$D:$D,(Precios!$A:$A&lt;=$I16)*(Precios!$B:$B&gt;=$I16)*(Precios!$C:$C"&amp;"=Z$37)),1)*1,""No asegurable""),""No asegurable"")),"""")"),"")</f>
        <v/>
      </c>
      <c r="AA67" s="48">
        <f>IFERROR(__xludf.DUMMYFUNCTION("IFERROR(IF($I16="""","""",IF(VLOOKUP(LEFT(AA$37,SEARCH(""☃"",SUBSTITUTE(AA$37,"" "",""☃"",LEN(AA$37)-LEN(SUBSTITUTE(AA$37,"" "",""""))))-1),Excepciones!$A:$B,2,0)&gt;=0,IFERROR(INDEX(filter(Precios!$D:$D,(Precios!$A:$A&lt;=$I16)*(Precios!$B:$B&gt;=$I16)*(Precios!$"&amp;"C:$C=AA$37)),1)*1,""No asegurable""),""No asegurable"")),"""")"),"")</f>
        <v/>
      </c>
      <c r="AB67" s="48">
        <f>IFERROR(__xludf.DUMMYFUNCTION("IFERROR(IF($I16="""","""",IF(VLOOKUP(LEFT(AB$37,SEARCH(""☃"",SUBSTITUTE(AB$37,"" "",""☃"",LEN(AB$37)-LEN(SUBSTITUTE(AB$37,"" "",""""))))-1),Excepciones!$A:$B,2,0)&gt;=0,IFERROR(INDEX(filter(Precios!$D:$D,(Precios!$A:$A&lt;=$I16)*(Precios!$B:$B&gt;=$I16)*(Precios!$"&amp;"C:$C=AB$37)),1)*1,""No asegurable""),""No asegurable"")),"""")"),"")</f>
        <v/>
      </c>
      <c r="AC67" s="138">
        <f>IFERROR(__xludf.DUMMYFUNCTION("IFERROR(IF($I16="""","""",IF(VLOOKUP(LEFT(AC$37,SEARCH(""☃"",SUBSTITUTE(AC$37,"" "",""☃"",LEN(AC$37)-LEN(SUBSTITUTE(AC$37,"" "",""""))))-1),Excepciones!$A:$B,2,0)&gt;=0,IFERROR(INDEX(filter(Precios!$D:$D,(Precios!$A:$A&lt;=$I16)*(Precios!$B:$B&gt;=$I16)*(Precios!$"&amp;"C:$C=AC$37)),1)*1,""No asegurable""),""No asegurable"")),"""")"),"")</f>
        <v/>
      </c>
      <c r="AD67" s="5" t="n"/>
      <c r="AE67" s="5" t="n"/>
      <c r="AF67" s="5" t="n"/>
      <c r="AG67" s="5" t="n"/>
      <c r="AH67" s="125" t="n"/>
      <c r="AI67" s="125" t="n"/>
      <c r="AJ67" s="5" t="n"/>
      <c r="AK67" s="125" t="n"/>
      <c r="AL67" s="125" t="n"/>
    </row>
    <row r="68" ht="22.5" customHeight="1" s="241">
      <c r="L68" s="116" t="n">
        <v>12</v>
      </c>
      <c r="M68" s="48" t="n"/>
      <c r="N68" s="48">
        <f>IFERROR(__xludf.DUMMYFUNCTION("IFERROR(IF($I17="""","""",IF($K$8&gt;0,"""",IF(COUNT($I$6:$I$13)&gt;1,0.9,1)*IF(VLOOKUP(LEFT(N$37,SEARCH(""☃"",SUBSTITUTE(N$37,"" "",""☃"",LEN(N$37)-LEN(SUBSTITUTE(N$37,"" "",""""))))-1),Excepciones!$A:$B,2,0)&gt;=0,IFERROR(INDEX(FILTER(Precios!$D:$D,(Precios!$A:$"&amp;"A&lt;=$I17)*(Precios!$B:$B&gt;=$I17)*(Precios!$C:$C=N$37)),1)*(1-$K$6),""No asegurable""),""No asegurable""))),"""")
"),"")</f>
        <v/>
      </c>
      <c r="O68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17)*(Precios!$B:$B&gt;=$I17)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"",""""))))-1),Excepciones!$A:$B,2,0)&gt;=0,IFERROR(INDEX(FILT"&amp;"ER(Precios!$D:$D,(Precios!$A:$A&lt;=$I17)*(Precios!$B:$B&gt;=$I17)*(Precios!$C:$C=O$37)),1)*(IF($K$10=""Sí"",0.94,1)),""""),"""")),"""")
"),"")</f>
        <v/>
      </c>
      <c r="P68" s="136" t="n"/>
      <c r="Q68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17)*(Precios!$B:$B&gt;=$I17)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"",""""))))-1),Excepciones!$A:$B,2,0)&gt;=0,IFERROR(INDEX(FILT"&amp;"ER(Precios!$D:$D,(Precios!$A:$A&lt;=$I17)*(Precios!$B:$B&gt;=$I17)*(Precios!$C:$C=Q$37)),1)*(IF($K$10=""Sí"",0.94,1)),""""),"""")),"""")
"),"")</f>
        <v/>
      </c>
      <c r="R68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17)*(Precios!$B:$B&gt;=$I17)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"",""""))))-1),Excepciones!$A:$B,2,0)&gt;=0,IFERROR(INDEX(FILT"&amp;"ER(Precios!$D:$D,(Precios!$A:$A&lt;=$I17)*(Precios!$B:$B&gt;=$I17)*(Precios!$C:$C=R$37)),1)*(IF($K$10=""Sí"",0.94,1)),""""),"""")),"""")
"),"")</f>
        <v/>
      </c>
      <c r="S68" s="136" t="n"/>
      <c r="T68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17)*(Precios!$B:$B&gt;=$I17)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"",""""))))-1),Excepciones!$A:$B,2,0)&gt;=0,IFERROR(INDEX(FILT"&amp;"ER(Precios!$D:$D,(Precios!$A:$A&lt;=$I17)*(Precios!$B:$B&gt;=$I17)*(Precios!$C:$C=T$37)),1)*(IF($K$10=""Sí"",0.94,1)),""""),"""")),"""")
"),"")</f>
        <v/>
      </c>
      <c r="U68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17)*(Precios!$B:$B&gt;=$I17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"",""""))))-1),Excepciones!$A:$B,2,0)&gt;=0,IFERROR(INDEX(FI"&amp;"LTER(Precios!$D:$D,(Precios!$A:$A&lt;=$I17)*(Precios!$B:$B&gt;=$I17)*(Precios!$C:$C=U$37)),1)*(IF($K$10=""Sí"",0.94,1)),""""),"""")),"""")
"),"")</f>
        <v/>
      </c>
      <c r="V68" s="48" t="n"/>
      <c r="W68" s="48">
        <f>IFERROR(__xludf.DUMMYFUNCTION("IFERROR(IF($I17="""","""",IF(VLOOKUP(LEFT(W$37,SEARCH(""☃"",SUBSTITUTE(W$37,"" "",""☃"",LEN(W$37)-LEN(SUBSTITUTE(W$37,"" "",""""))))-1),Excepciones!$A:$B,2,0)&gt;=0,IFERROR(INDEX(filter(Precios!$D:$D,(Precios!$A:$A&lt;=$I17)*(Precios!$B:$B&gt;=$I17)*(Precios!$C:$C"&amp;"=W$37)),1)*1,""""),"""")),"""")"),"")</f>
        <v/>
      </c>
      <c r="X68" s="137" t="n"/>
      <c r="Y68" s="48">
        <f>IFERROR(__xludf.DUMMYFUNCTION("IFERROR(IF($I17="""","""",IF(VLOOKUP(LEFT(Y$37,SEARCH(""☃"",SUBSTITUTE(Y$37,"" "",""☃"",LEN(Y$37)-LEN(SUBSTITUTE(Y$37,"" "",""""))))-1),Excepciones!$A:$B,2,0)&gt;=0,IFERROR(INDEX(filter(Precios!$D:$D,(Precios!$A:$A&lt;=$I17)*(Precios!$B:$B&gt;=$I17)*(Precios!$C:$C"&amp;"=Y$37)),1)*1,""No asegurable""),""No asegurable"")),"""")"),"")</f>
        <v/>
      </c>
      <c r="Z68" s="48">
        <f>IFERROR(__xludf.DUMMYFUNCTION("IFERROR(IF($I17="""","""",IF(VLOOKUP(LEFT(Z$37,SEARCH(""☃"",SUBSTITUTE(Z$37,"" "",""☃"",LEN(Z$37)-LEN(SUBSTITUTE(Z$37,"" "",""""))))-1),Excepciones!$A:$B,2,0)&gt;=0,IFERROR(INDEX(filter(Precios!$D:$D,(Precios!$A:$A&lt;=$I17)*(Precios!$B:$B&gt;=$I17)*(Precios!$C:$C"&amp;"=Z$37)),1)*1,""No asegurable""),""No asegurable"")),"""")"),"")</f>
        <v/>
      </c>
      <c r="AA68" s="48">
        <f>IFERROR(__xludf.DUMMYFUNCTION("IFERROR(IF($I17="""","""",IF(VLOOKUP(LEFT(AA$37,SEARCH(""☃"",SUBSTITUTE(AA$37,"" "",""☃"",LEN(AA$37)-LEN(SUBSTITUTE(AA$37,"" "",""""))))-1),Excepciones!$A:$B,2,0)&gt;=0,IFERROR(INDEX(filter(Precios!$D:$D,(Precios!$A:$A&lt;=$I17)*(Precios!$B:$B&gt;=$I17)*(Precios!$"&amp;"C:$C=AA$37)),1)*1,""No asegurable""),""No asegurable"")),"""")"),"")</f>
        <v/>
      </c>
      <c r="AB68" s="48">
        <f>IFERROR(__xludf.DUMMYFUNCTION("IFERROR(IF($I17="""","""",IF(VLOOKUP(LEFT(AB$37,SEARCH(""☃"",SUBSTITUTE(AB$37,"" "",""☃"",LEN(AB$37)-LEN(SUBSTITUTE(AB$37,"" "",""""))))-1),Excepciones!$A:$B,2,0)&gt;=0,IFERROR(INDEX(filter(Precios!$D:$D,(Precios!$A:$A&lt;=$I17)*(Precios!$B:$B&gt;=$I17)*(Precios!$"&amp;"C:$C=AB$37)),1)*1,""No asegurable""),""No asegurable"")),"""")"),"")</f>
        <v/>
      </c>
      <c r="AC68" s="138">
        <f>IFERROR(__xludf.DUMMYFUNCTION("IFERROR(IF($I17="""","""",IF(VLOOKUP(LEFT(AC$37,SEARCH(""☃"",SUBSTITUTE(AC$37,"" "",""☃"",LEN(AC$37)-LEN(SUBSTITUTE(AC$37,"" "",""""))))-1),Excepciones!$A:$B,2,0)&gt;=0,IFERROR(INDEX(filter(Precios!$D:$D,(Precios!$A:$A&lt;=$I17)*(Precios!$B:$B&gt;=$I17)*(Precios!$"&amp;"C:$C=AC$37)),1)*1,""No asegurable""),""No asegurable"")),"""")"),"")</f>
        <v/>
      </c>
      <c r="AD68" s="5" t="n"/>
      <c r="AE68" s="5" t="n"/>
      <c r="AF68" s="5" t="n"/>
      <c r="AG68" s="5" t="n"/>
      <c r="AH68" s="125" t="n"/>
      <c r="AI68" s="125" t="n"/>
      <c r="AJ68" s="5" t="n"/>
      <c r="AK68" s="125" t="n"/>
      <c r="AL68" s="125" t="n"/>
    </row>
    <row r="69" ht="22.5" customHeight="1" s="241">
      <c r="L69" s="116" t="n">
        <v>13</v>
      </c>
      <c r="M69" s="48" t="n"/>
      <c r="N69" s="48">
        <f>IFERROR(__xludf.DUMMYFUNCTION("IFERROR(IF($I18="""","""",IF($K$8&gt;0,"""",IF(COUNT($I$6:$I$13)&gt;1,0.9,1)*IF(VLOOKUP(LEFT(N$37,SEARCH(""☃"",SUBSTITUTE(N$37,"" "",""☃"",LEN(N$37)-LEN(SUBSTITUTE(N$37,"" "",""""))))-1),Excepciones!$A:$B,2,0)&gt;=0,IFERROR(INDEX(FILTER(Precios!$D:$D,(Precios!$A:$"&amp;"A&lt;=$I18)*(Precios!$B:$B&gt;=$I18)*(Precios!$C:$C=N$37)),1)*(1-$K$6),""No asegurable""),""No asegurable""))),"""")
"),"")</f>
        <v/>
      </c>
      <c r="O69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18)*(Precios!$B:$B&gt;=$I18)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"",""""))))-1),Excepciones!$A:$B,2,0)&gt;=0,IFERROR(INDEX(FILT"&amp;"ER(Precios!$D:$D,(Precios!$A:$A&lt;=$I18)*(Precios!$B:$B&gt;=$I18)*(Precios!$C:$C=O$37)),1)*(IF($K$10=""Sí"",0.94,1)),""""),"""")),"""")
"),"")</f>
        <v/>
      </c>
      <c r="P69" s="136" t="n"/>
      <c r="Q69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18)*(Precios!$B:$B&gt;=$I18)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"",""""))))-1),Excepciones!$A:$B,2,0)&gt;=0,IFERROR(INDEX(FILT"&amp;"ER(Precios!$D:$D,(Precios!$A:$A&lt;=$I18)*(Precios!$B:$B&gt;=$I18)*(Precios!$C:$C=Q$37)),1)*(IF($K$10=""Sí"",0.94,1)),""""),"""")),"""")
"),"")</f>
        <v/>
      </c>
      <c r="R69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18)*(Precios!$B:$B&gt;=$I18)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"",""""))))-1),Excepciones!$A:$B,2,0)&gt;=0,IFERROR(INDEX(FILT"&amp;"ER(Precios!$D:$D,(Precios!$A:$A&lt;=$I18)*(Precios!$B:$B&gt;=$I18)*(Precios!$C:$C=R$37)),1)*(IF($K$10=""Sí"",0.94,1)),""""),"""")),"""")
"),"")</f>
        <v/>
      </c>
      <c r="S69" s="136" t="n"/>
      <c r="T69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18)*(Precios!$B:$B&gt;=$I18)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"",""""))))-1),Excepciones!$A:$B,2,0)&gt;=0,IFERROR(INDEX(FILT"&amp;"ER(Precios!$D:$D,(Precios!$A:$A&lt;=$I18)*(Precios!$B:$B&gt;=$I18)*(Precios!$C:$C=T$37)),1)*(IF($K$10=""Sí"",0.94,1)),""""),"""")),"""")
"),"")</f>
        <v/>
      </c>
      <c r="U69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18)*(Precios!$B:$B&gt;=$I18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"",""""))))-1),Excepciones!$A:$B,2,0)&gt;=0,IFERROR(INDEX(FI"&amp;"LTER(Precios!$D:$D,(Precios!$A:$A&lt;=$I18)*(Precios!$B:$B&gt;=$I18)*(Precios!$C:$C=U$37)),1)*(IF($K$10=""Sí"",0.94,1)),""""),"""")),"""")
"),"")</f>
        <v/>
      </c>
      <c r="V69" s="48" t="n"/>
      <c r="W69" s="48">
        <f>IFERROR(__xludf.DUMMYFUNCTION("IFERROR(IF($I18="""","""",IF(VLOOKUP(LEFT(W$37,SEARCH(""☃"",SUBSTITUTE(W$37,"" "",""☃"",LEN(W$37)-LEN(SUBSTITUTE(W$37,"" "",""""))))-1),Excepciones!$A:$B,2,0)&gt;=0,IFERROR(INDEX(filter(Precios!$D:$D,(Precios!$A:$A&lt;=$I18)*(Precios!$B:$B&gt;=$I18)*(Precios!$C:$C"&amp;"=W$37)),1)*1,""""),"""")),"""")"),"")</f>
        <v/>
      </c>
      <c r="X69" s="137" t="n"/>
      <c r="Y69" s="48">
        <f>IFERROR(__xludf.DUMMYFUNCTION("IFERROR(IF($I18="""","""",IF(VLOOKUP(LEFT(Y$37,SEARCH(""☃"",SUBSTITUTE(Y$37,"" "",""☃"",LEN(Y$37)-LEN(SUBSTITUTE(Y$37,"" "",""""))))-1),Excepciones!$A:$B,2,0)&gt;=0,IFERROR(INDEX(filter(Precios!$D:$D,(Precios!$A:$A&lt;=$I18)*(Precios!$B:$B&gt;=$I18)*(Precios!$C:$C"&amp;"=Y$37)),1)*1,""No asegurable""),""No asegurable"")),"""")"),"")</f>
        <v/>
      </c>
      <c r="Z69" s="48">
        <f>IFERROR(__xludf.DUMMYFUNCTION("IFERROR(IF($I18="""","""",IF(VLOOKUP(LEFT(Z$37,SEARCH(""☃"",SUBSTITUTE(Z$37,"" "",""☃"",LEN(Z$37)-LEN(SUBSTITUTE(Z$37,"" "",""""))))-1),Excepciones!$A:$B,2,0)&gt;=0,IFERROR(INDEX(filter(Precios!$D:$D,(Precios!$A:$A&lt;=$I18)*(Precios!$B:$B&gt;=$I18)*(Precios!$C:$C"&amp;"=Z$37)),1)*1,""No asegurable""),""No asegurable"")),"""")"),"")</f>
        <v/>
      </c>
      <c r="AA69" s="48">
        <f>IFERROR(__xludf.DUMMYFUNCTION("IFERROR(IF($I18="""","""",IF(VLOOKUP(LEFT(AA$37,SEARCH(""☃"",SUBSTITUTE(AA$37,"" "",""☃"",LEN(AA$37)-LEN(SUBSTITUTE(AA$37,"" "",""""))))-1),Excepciones!$A:$B,2,0)&gt;=0,IFERROR(INDEX(filter(Precios!$D:$D,(Precios!$A:$A&lt;=$I18)*(Precios!$B:$B&gt;=$I18)*(Precios!$"&amp;"C:$C=AA$37)),1)*1,""No asegurable""),""No asegurable"")),"""")"),"")</f>
        <v/>
      </c>
      <c r="AB69" s="48">
        <f>IFERROR(__xludf.DUMMYFUNCTION("IFERROR(IF($I18="""","""",IF(VLOOKUP(LEFT(AB$37,SEARCH(""☃"",SUBSTITUTE(AB$37,"" "",""☃"",LEN(AB$37)-LEN(SUBSTITUTE(AB$37,"" "",""""))))-1),Excepciones!$A:$B,2,0)&gt;=0,IFERROR(INDEX(filter(Precios!$D:$D,(Precios!$A:$A&lt;=$I18)*(Precios!$B:$B&gt;=$I18)*(Precios!$"&amp;"C:$C=AB$37)),1)*1,""No asegurable""),""No asegurable"")),"""")"),"")</f>
        <v/>
      </c>
      <c r="AC69" s="138">
        <f>IFERROR(__xludf.DUMMYFUNCTION("IFERROR(IF($I18="""","""",IF(VLOOKUP(LEFT(AC$37,SEARCH(""☃"",SUBSTITUTE(AC$37,"" "",""☃"",LEN(AC$37)-LEN(SUBSTITUTE(AC$37,"" "",""""))))-1),Excepciones!$A:$B,2,0)&gt;=0,IFERROR(INDEX(filter(Precios!$D:$D,(Precios!$A:$A&lt;=$I18)*(Precios!$B:$B&gt;=$I18)*(Precios!$"&amp;"C:$C=AC$37)),1)*1,""No asegurable""),""No asegurable"")),"""")"),"")</f>
        <v/>
      </c>
      <c r="AD69" s="5" t="n"/>
      <c r="AE69" s="5" t="n"/>
      <c r="AF69" s="5" t="n"/>
      <c r="AG69" s="5" t="n"/>
      <c r="AH69" s="125" t="n"/>
      <c r="AI69" s="125" t="n"/>
      <c r="AJ69" s="5" t="n"/>
      <c r="AK69" s="125" t="n"/>
      <c r="AL69" s="125" t="n"/>
    </row>
    <row r="70" ht="22.5" customHeight="1" s="241">
      <c r="L70" s="116" t="n">
        <v>14</v>
      </c>
      <c r="M70" s="48" t="n"/>
      <c r="N70" s="48">
        <f>IFERROR(__xludf.DUMMYFUNCTION("IFERROR(IF($I19="""","""",IF($K$8&gt;0,"""",IF(COUNT($I$6:$I$13)&gt;1,0.9,1)*IF(VLOOKUP(LEFT(N$37,SEARCH(""☃"",SUBSTITUTE(N$37,"" "",""☃"",LEN(N$37)-LEN(SUBSTITUTE(N$37,"" "",""""))))-1),Excepciones!$A:$B,2,0)&gt;=0,IFERROR(INDEX(FILTER(Precios!$D:$D,(Precios!$A:$"&amp;"A&lt;=$I19)*(Precios!$B:$B&gt;=$I19)*(Precios!$C:$C=N$37)),1)*(1-$K$6),""No asegurable""),""No asegurable""))),"""")
"),"")</f>
        <v/>
      </c>
      <c r="O70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19)*(Precios!$B:$B&gt;=$I19)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"",""""))))-1),Excepciones!$A:$B,2,0)&gt;=0,IFERROR(INDEX(FILT"&amp;"ER(Precios!$D:$D,(Precios!$A:$A&lt;=$I19)*(Precios!$B:$B&gt;=$I19)*(Precios!$C:$C=O$37)),1)*(IF($K$10=""Sí"",0.94,1)),""""),"""")),"""")
"),"")</f>
        <v/>
      </c>
      <c r="P70" s="136" t="n"/>
      <c r="Q70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19)*(Precios!$B:$B&gt;=$I19)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"",""""))))-1),Excepciones!$A:$B,2,0)&gt;=0,IFERROR(INDEX(FILT"&amp;"ER(Precios!$D:$D,(Precios!$A:$A&lt;=$I19)*(Precios!$B:$B&gt;=$I19)*(Precios!$C:$C=Q$37)),1)*(IF($K$10=""Sí"",0.94,1)),""""),"""")),"""")
"),"")</f>
        <v/>
      </c>
      <c r="R70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19)*(Precios!$B:$B&gt;=$I19)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"",""""))))-1),Excepciones!$A:$B,2,0)&gt;=0,IFERROR(INDEX(FILT"&amp;"ER(Precios!$D:$D,(Precios!$A:$A&lt;=$I19)*(Precios!$B:$B&gt;=$I19)*(Precios!$C:$C=R$37)),1)*(IF($K$10=""Sí"",0.94,1)),""""),"""")),"""")
"),"")</f>
        <v/>
      </c>
      <c r="S70" s="136" t="n"/>
      <c r="T70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19)*(Precios!$B:$B&gt;=$I19)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"",""""))))-1),Excepciones!$A:$B,2,0)&gt;=0,IFERROR(INDEX(FILT"&amp;"ER(Precios!$D:$D,(Precios!$A:$A&lt;=$I19)*(Precios!$B:$B&gt;=$I19)*(Precios!$C:$C=T$37)),1)*(IF($K$10=""Sí"",0.94,1)),""""),"""")),"""")
"),"")</f>
        <v/>
      </c>
      <c r="U70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19)*(Precios!$B:$B&gt;=$I19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"",""""))))-1),Excepciones!$A:$B,2,0)&gt;=0,IFERROR(INDEX(FI"&amp;"LTER(Precios!$D:$D,(Precios!$A:$A&lt;=$I19)*(Precios!$B:$B&gt;=$I19)*(Precios!$C:$C=U$37)),1)*(IF($K$10=""Sí"",0.94,1)),""""),"""")),"""")
"),"")</f>
        <v/>
      </c>
      <c r="V70" s="48" t="n"/>
      <c r="W70" s="48">
        <f>IFERROR(__xludf.DUMMYFUNCTION("IFERROR(IF($I19="""","""",IF(VLOOKUP(LEFT(W$37,SEARCH(""☃"",SUBSTITUTE(W$37,"" "",""☃"",LEN(W$37)-LEN(SUBSTITUTE(W$37,"" "",""""))))-1),Excepciones!$A:$B,2,0)&gt;=0,IFERROR(INDEX(filter(Precios!$D:$D,(Precios!$A:$A&lt;=$I19)*(Precios!$B:$B&gt;=$I19)*(Precios!$C:$C"&amp;"=W$37)),1)*1,""""),"""")),"""")"),"")</f>
        <v/>
      </c>
      <c r="X70" s="137" t="n"/>
      <c r="Y70" s="48">
        <f>IFERROR(__xludf.DUMMYFUNCTION("IFERROR(IF($I19="""","""",IF(VLOOKUP(LEFT(Y$37,SEARCH(""☃"",SUBSTITUTE(Y$37,"" "",""☃"",LEN(Y$37)-LEN(SUBSTITUTE(Y$37,"" "",""""))))-1),Excepciones!$A:$B,2,0)&gt;=0,IFERROR(INDEX(filter(Precios!$D:$D,(Precios!$A:$A&lt;=$I19)*(Precios!$B:$B&gt;=$I19)*(Precios!$C:$C"&amp;"=Y$37)),1)*1,""No asegurable""),""No asegurable"")),"""")"),"")</f>
        <v/>
      </c>
      <c r="Z70" s="48">
        <f>IFERROR(__xludf.DUMMYFUNCTION("IFERROR(IF($I19="""","""",IF(VLOOKUP(LEFT(Z$37,SEARCH(""☃"",SUBSTITUTE(Z$37,"" "",""☃"",LEN(Z$37)-LEN(SUBSTITUTE(Z$37,"" "",""""))))-1),Excepciones!$A:$B,2,0)&gt;=0,IFERROR(INDEX(filter(Precios!$D:$D,(Precios!$A:$A&lt;=$I19)*(Precios!$B:$B&gt;=$I19)*(Precios!$C:$C"&amp;"=Z$37)),1)*1,""No asegurable""),""No asegurable"")),"""")"),"")</f>
        <v/>
      </c>
      <c r="AA70" s="48">
        <f>IFERROR(__xludf.DUMMYFUNCTION("IFERROR(IF($I19="""","""",IF(VLOOKUP(LEFT(AA$37,SEARCH(""☃"",SUBSTITUTE(AA$37,"" "",""☃"",LEN(AA$37)-LEN(SUBSTITUTE(AA$37,"" "",""""))))-1),Excepciones!$A:$B,2,0)&gt;=0,IFERROR(INDEX(filter(Precios!$D:$D,(Precios!$A:$A&lt;=$I19)*(Precios!$B:$B&gt;=$I19)*(Precios!$"&amp;"C:$C=AA$37)),1)*1,""No asegurable""),""No asegurable"")),"""")"),"")</f>
        <v/>
      </c>
      <c r="AB70" s="48">
        <f>IFERROR(__xludf.DUMMYFUNCTION("IFERROR(IF($I19="""","""",IF(VLOOKUP(LEFT(AB$37,SEARCH(""☃"",SUBSTITUTE(AB$37,"" "",""☃"",LEN(AB$37)-LEN(SUBSTITUTE(AB$37,"" "",""""))))-1),Excepciones!$A:$B,2,0)&gt;=0,IFERROR(INDEX(filter(Precios!$D:$D,(Precios!$A:$A&lt;=$I19)*(Precios!$B:$B&gt;=$I19)*(Precios!$"&amp;"C:$C=AB$37)),1)*1,""No asegurable""),""No asegurable"")),"""")"),"")</f>
        <v/>
      </c>
      <c r="AC70" s="138">
        <f>IFERROR(__xludf.DUMMYFUNCTION("IFERROR(IF($I19="""","""",IF(VLOOKUP(LEFT(AC$37,SEARCH(""☃"",SUBSTITUTE(AC$37,"" "",""☃"",LEN(AC$37)-LEN(SUBSTITUTE(AC$37,"" "",""""))))-1),Excepciones!$A:$B,2,0)&gt;=0,IFERROR(INDEX(filter(Precios!$D:$D,(Precios!$A:$A&lt;=$I19)*(Precios!$B:$B&gt;=$I19)*(Precios!$"&amp;"C:$C=AC$37)),1)*1,""No asegurable""),""No asegurable"")),"""")"),"")</f>
        <v/>
      </c>
      <c r="AD70" s="5" t="n"/>
      <c r="AE70" s="5" t="n"/>
      <c r="AF70" s="5" t="n"/>
      <c r="AG70" s="5" t="n"/>
      <c r="AH70" s="125" t="n"/>
      <c r="AI70" s="125" t="n"/>
      <c r="AJ70" s="5" t="n"/>
      <c r="AK70" s="125" t="n"/>
      <c r="AL70" s="125" t="n"/>
    </row>
    <row r="71" ht="22.5" customHeight="1" s="241">
      <c r="L71" s="126" t="n">
        <v>15</v>
      </c>
      <c r="M71" s="128" t="n"/>
      <c r="N71" s="128">
        <f>IFERROR(__xludf.DUMMYFUNCTION("IFERROR(IF($I20="""","""",IF($K$8&gt;0,"""",IF(COUNT($I$6:$I$13)&gt;1,0.9,1)*IF(VLOOKUP(LEFT(N$37,SEARCH(""☃"",SUBSTITUTE(N$37,"" "",""☃"",LEN(N$37)-LEN(SUBSTITUTE(N$37,"" "",""""))))-1),Excepciones!$A:$B,2,0)&gt;=0,IFERROR(INDEX(FILTER(Precios!$D:$D,(Precios!$A:$"&amp;"A&lt;=$I20)*(Precios!$B:$B&gt;=$I20)*(Precios!$C:$C=N$37)),1)*(1-$K$6),""No asegurable""),""No asegurable""))),"""")
"),"")</f>
        <v/>
      </c>
      <c r="O71" s="12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20)*(Precios!$B:$B&gt;=$I20)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"",""""))))-1),Excepciones!$A:$B,2,0)&gt;=0,IFERROR(INDEX(FILT"&amp;"ER(Precios!$D:$D,(Precios!$A:$A&lt;=$I20)*(Precios!$B:$B&gt;=$I20)*(Precios!$C:$C=O$37)),1)*(IF($K$10=""Sí"",0.94,1)),""""),"""")),"""")
"),"")</f>
        <v/>
      </c>
      <c r="P71" s="139" t="n"/>
      <c r="Q71" s="12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20)*(Precios!$B:$B&gt;=$I20)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"",""""))))-1),Excepciones!$A:$B,2,0)&gt;=0,IFERROR(INDEX(FILT"&amp;"ER(Precios!$D:$D,(Precios!$A:$A&lt;=$I20)*(Precios!$B:$B&gt;=$I20)*(Precios!$C:$C=Q$37)),1)*(IF($K$10=""Sí"",0.94,1)),""""),"""")),"""")
"),"")</f>
        <v/>
      </c>
      <c r="R71" s="12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20)*(Precios!$B:$B&gt;=$I20)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"",""""))))-1),Excepciones!$A:$B,2,0)&gt;=0,IFERROR(INDEX(FILT"&amp;"ER(Precios!$D:$D,(Precios!$A:$A&lt;=$I20)*(Precios!$B:$B&gt;=$I20)*(Precios!$C:$C=R$37)),1)*(IF($K$10=""Sí"",0.94,1)),""""),"""")),"""")
"),"")</f>
        <v/>
      </c>
      <c r="S71" s="139" t="n"/>
      <c r="T71" s="12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20)*(Precios!$B:$B&gt;=$I20)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"",""""))))-1),Excepciones!$A:$B,2,0)&gt;=0,IFERROR(INDEX(FILT"&amp;"ER(Precios!$D:$D,(Precios!$A:$A&lt;=$I20)*(Precios!$B:$B&gt;=$I20)*(Precios!$C:$C=T$37)),1)*(IF($K$10=""Sí"",0.94,1)),""""),"""")),"""")
"),"")</f>
        <v/>
      </c>
      <c r="U71" s="12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20)*(Precios!$B:$B&gt;=$I20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"",""""))))-1),Excepciones!$A:$B,2,0)&gt;=0,IFERROR(INDEX(FI"&amp;"LTER(Precios!$D:$D,(Precios!$A:$A&lt;=$I20)*(Precios!$B:$B&gt;=$I20)*(Precios!$C:$C=U$37)),1)*(IF($K$10=""Sí"",0.94,1)),""""),"""")),"""")
"),"")</f>
        <v/>
      </c>
      <c r="V71" s="128" t="n"/>
      <c r="W71" s="128">
        <f>IFERROR(__xludf.DUMMYFUNCTION("IFERROR(IF($I20="""","""",IF(VLOOKUP(LEFT(W$37,SEARCH(""☃"",SUBSTITUTE(W$37,"" "",""☃"",LEN(W$37)-LEN(SUBSTITUTE(W$37,"" "",""""))))-1),Excepciones!$A:$B,2,0)&gt;=0,IFERROR(INDEX(filter(Precios!$D:$D,(Precios!$A:$A&lt;=$I20)*(Precios!$B:$B&gt;=$I20)*(Precios!$C:$C"&amp;"=W$37)),1)*1,""""),"""")),"""")"),"")</f>
        <v/>
      </c>
      <c r="X71" s="140" t="n"/>
      <c r="Y71" s="128">
        <f>IFERROR(__xludf.DUMMYFUNCTION("IFERROR(IF($I20="""","""",IF(VLOOKUP(LEFT(Y$37,SEARCH(""☃"",SUBSTITUTE(Y$37,"" "",""☃"",LEN(Y$37)-LEN(SUBSTITUTE(Y$37,"" "",""""))))-1),Excepciones!$A:$B,2,0)&gt;=0,IFERROR(INDEX(filter(Precios!$D:$D,(Precios!$A:$A&lt;=$I20)*(Precios!$B:$B&gt;=$I20)*(Precios!$C:$C"&amp;"=Y$37)),1)*1,""No asegurable""),""No asegurable"")),"""")"),"")</f>
        <v/>
      </c>
      <c r="Z71" s="128">
        <f>IFERROR(__xludf.DUMMYFUNCTION("IFERROR(IF($I20="""","""",IF(VLOOKUP(LEFT(Z$37,SEARCH(""☃"",SUBSTITUTE(Z$37,"" "",""☃"",LEN(Z$37)-LEN(SUBSTITUTE(Z$37,"" "",""""))))-1),Excepciones!$A:$B,2,0)&gt;=0,IFERROR(INDEX(filter(Precios!$D:$D,(Precios!$A:$A&lt;=$I20)*(Precios!$B:$B&gt;=$I20)*(Precios!$C:$C"&amp;"=Z$37)),1)*1,""No asegurable""),""No asegurable"")),"""")"),"")</f>
        <v/>
      </c>
      <c r="AA71" s="128">
        <f>IFERROR(__xludf.DUMMYFUNCTION("IFERROR(IF($I20="""","""",IF(VLOOKUP(LEFT(AA$37,SEARCH(""☃"",SUBSTITUTE(AA$37,"" "",""☃"",LEN(AA$37)-LEN(SUBSTITUTE(AA$37,"" "",""""))))-1),Excepciones!$A:$B,2,0)&gt;=0,IFERROR(INDEX(filter(Precios!$D:$D,(Precios!$A:$A&lt;=$I20)*(Precios!$B:$B&gt;=$I20)*(Precios!$"&amp;"C:$C=AA$37)),1)*1,""No asegurable""),""No asegurable"")),"""")"),"")</f>
        <v/>
      </c>
      <c r="AB71" s="128">
        <f>IFERROR(__xludf.DUMMYFUNCTION("IFERROR(IF($I20="""","""",IF(VLOOKUP(LEFT(AB$37,SEARCH(""☃"",SUBSTITUTE(AB$37,"" "",""☃"",LEN(AB$37)-LEN(SUBSTITUTE(AB$37,"" "",""""))))-1),Excepciones!$A:$B,2,0)&gt;=0,IFERROR(INDEX(filter(Precios!$D:$D,(Precios!$A:$A&lt;=$I20)*(Precios!$B:$B&gt;=$I20)*(Precios!$"&amp;"C:$C=AB$37)),1)*1,""No asegurable""),""No asegurable"")),"""")"),"")</f>
        <v/>
      </c>
      <c r="AC71" s="141">
        <f>IFERROR(__xludf.DUMMYFUNCTION("IFERROR(IF($I20="""","""",IF(VLOOKUP(LEFT(AC$37,SEARCH(""☃"",SUBSTITUTE(AC$37,"" "",""☃"",LEN(AC$37)-LEN(SUBSTITUTE(AC$37,"" "",""""))))-1),Excepciones!$A:$B,2,0)&gt;=0,IFERROR(INDEX(filter(Precios!$D:$D,(Precios!$A:$A&lt;=$I20)*(Precios!$B:$B&gt;=$I20)*(Precios!$"&amp;"C:$C=AC$37)),1)*1,""No asegurable""),""No asegurable"")),"""")"),"")</f>
        <v/>
      </c>
      <c r="AD71" s="5" t="n"/>
      <c r="AE71" s="5" t="n"/>
      <c r="AF71" s="5" t="n"/>
      <c r="AG71" s="5" t="n"/>
      <c r="AH71" s="125" t="n"/>
      <c r="AI71" s="125" t="n"/>
      <c r="AJ71" s="5" t="n"/>
      <c r="AK71" s="125" t="n"/>
      <c r="AL71" s="125" t="n"/>
    </row>
    <row r="72" ht="28.5" customHeight="1" s="241"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125" t="n"/>
      <c r="AI72" s="125" t="n"/>
      <c r="AJ72" s="5" t="n"/>
      <c r="AK72" s="125" t="n"/>
      <c r="AL72" s="125" t="n"/>
    </row>
    <row r="73" ht="26.25" customHeight="1" s="241">
      <c r="L73" s="258" t="inlineStr">
        <is>
          <t>SIN DTO
CON DENTAL</t>
        </is>
      </c>
      <c r="M73" s="259" t="n"/>
      <c r="N73" s="260">
        <f>"Go"&amp;" "&amp;$K$3</f>
        <v/>
      </c>
      <c r="O73" s="260">
        <f>"Plena Vital"&amp;" "&amp;$K$3</f>
        <v/>
      </c>
      <c r="P73" s="260">
        <f>"Plena Total vital"&amp;" "&amp;$K$3</f>
        <v/>
      </c>
      <c r="Q73" s="260">
        <f>"Plena"&amp;" "&amp;$K$3</f>
        <v/>
      </c>
      <c r="R73" s="260">
        <f>"Plena Plus"&amp;" "&amp;$K$3</f>
        <v/>
      </c>
      <c r="S73" s="260">
        <f>"Plena Total"&amp;" "&amp;$K$3</f>
        <v/>
      </c>
      <c r="T73" s="260">
        <f>"Plena Extra 150"&amp;" "&amp;$K$3</f>
        <v/>
      </c>
      <c r="U73" s="260">
        <f>"Seniors"&amp;" "&amp;$K$3</f>
        <v/>
      </c>
      <c r="V73" s="260">
        <f>"Seniors total"&amp;" "&amp;$K$3</f>
        <v/>
      </c>
      <c r="W73" s="260">
        <f>"Negocios NIF"&amp;" "&amp;$K$3</f>
        <v/>
      </c>
      <c r="X73" s="261">
        <f>"Pymes TOTAL"&amp;" "&amp;$K$3</f>
        <v/>
      </c>
      <c r="Y73" s="260">
        <f>IF(OR(COUNT(I54:I60)=1,COUNT(I54:I60)=2),"Extra Negocios NIF"&amp;" "&amp;$K$3&amp;" "&amp;COUNT(I54:I60),"Extra Negocios NIF"&amp;" "&amp;$K$3)</f>
        <v/>
      </c>
      <c r="Z73" s="260">
        <f>"Negocios CIF"&amp;" "&amp;$K$3</f>
        <v/>
      </c>
      <c r="AA73" s="260">
        <f>"Extra Negocios CIF"&amp;" "&amp;$K$3</f>
        <v/>
      </c>
      <c r="AB73" s="260">
        <f>"Empresas"&amp;" "&amp;$K$3</f>
        <v/>
      </c>
      <c r="AC73" s="261">
        <f>"Extra Empresas"&amp;" "&amp;$K$3</f>
        <v/>
      </c>
      <c r="AD73" s="5" t="n"/>
      <c r="AE73" s="5" t="n"/>
      <c r="AF73" s="5" t="n"/>
      <c r="AG73" s="5" t="n"/>
      <c r="AH73" s="125" t="n"/>
      <c r="AI73" s="125" t="n"/>
      <c r="AJ73" s="5" t="n"/>
      <c r="AK73" s="125" t="n"/>
      <c r="AL73" s="125" t="n"/>
    </row>
    <row r="74" ht="26.25" customHeight="1" s="241">
      <c r="L74" s="263" t="n"/>
      <c r="M74" s="253" t="n"/>
      <c r="N74" s="253" t="n"/>
      <c r="O74" s="253" t="n"/>
      <c r="P74" s="253" t="n"/>
      <c r="Q74" s="253" t="n"/>
      <c r="R74" s="253" t="n"/>
      <c r="S74" s="253" t="n"/>
      <c r="T74" s="253" t="n"/>
      <c r="U74" s="253" t="n"/>
      <c r="V74" s="253" t="n"/>
      <c r="W74" s="253" t="n"/>
      <c r="X74" s="256" t="n"/>
      <c r="Y74" s="253" t="n"/>
      <c r="Z74" s="253" t="n"/>
      <c r="AA74" s="253" t="n"/>
      <c r="AB74" s="253" t="n"/>
      <c r="AC74" s="256" t="n"/>
      <c r="AD74" s="5" t="n"/>
      <c r="AE74" s="5" t="n"/>
      <c r="AF74" s="5" t="n"/>
      <c r="AG74" s="5" t="n"/>
      <c r="AH74" s="125" t="n"/>
      <c r="AI74" s="125" t="n"/>
      <c r="AJ74" s="5" t="n"/>
      <c r="AK74" s="125" t="n"/>
      <c r="AL74" s="125" t="n"/>
    </row>
    <row r="75" ht="27.75" customHeight="1" s="241">
      <c r="L75" s="111" t="n">
        <v>1</v>
      </c>
      <c r="M75" s="112" t="n"/>
      <c r="N75" s="112">
        <f>IF(OR(N57="",N57=0),"",N57+(VLOOKUP(COUNT($I$6:$I$13),Precios!$F:$H,2,0)))</f>
        <v/>
      </c>
      <c r="O75" s="112">
        <f>IF(OR(O57="",O57=0),"",O57+(VLOOKUP(COUNT($I$6:$I$13),Precios!$F:$H,2,0)))</f>
        <v/>
      </c>
      <c r="P75" s="112">
        <f>IFERROR(__xludf.DUMMYFUNCTION("IFERROR(IF($K$10=""Sí"","""",IF($I6="""","""",IF(VLOOKUP(LEFT(P$37,SEARCH(""☃"",SUBSTITUTE(P$37,"" "",""☃"",LEN(P$37)-LEN(SUBSTITUTE(P$37,"" "",""""))))-1),Excepciones!$A:$B,2,0)&gt;=0,IF(INDEX(FILTER(Precios!$D:$D,(Precios!$A:$A&lt;=$I6)*(Precios!$B:$B&gt;=$I6)*("&amp;"Precios!$C:$C=P$37)),1)*IF(COUNT($I$6:$I$13)&gt;=5,0.85,IF(COUNT($I$6:$I$13)&gt;=4,0.9,IF(COUNT($I$6:$I$13)&gt;=3,0.95,1)))=0,"""",INDEX(FILTER(Precios!$D:$D,(Precios!$A:$A&lt;=$I6)*(Precios!$B:$B&gt;=$I6)*(Precios!$C:$C=P$37)),1)*IF(COUNT($I$6:$I$13)&gt;=5,0.85,IF(COUNT($"&amp;"I$6:$I$13)&gt;=4,0.9,IF(COUNT($I$6:$I$13)&gt;=3,0.95,1)))),""""))), """")
"),54.9)</f>
        <v/>
      </c>
      <c r="Q75" s="112">
        <f>IF(OR(Q57="",Q57=0),"",Q57+(VLOOKUP(COUNT($I$6:$I$13),Precios!$F:$H,2,0)))</f>
        <v/>
      </c>
      <c r="R75" s="112">
        <f>IF(OR(R57="",R57=0),"",R57+(VLOOKUP(COUNT($I$6:$I$13),Precios!$F:$H,2,0)))</f>
        <v/>
      </c>
      <c r="S75" s="112">
        <f>IFERROR(__xludf.DUMMYFUNCTION("IFERROR(IF($K$10=""Sí"","""",IF($I6="""","""",IF(VLOOKUP(LEFT(S$37,SEARCH(""☃"",SUBSTITUTE(S$37,"" "",""☃"",LEN(S$37)-LEN(SUBSTITUTE(S$37,"" "",""""))))-1),Excepciones!$A:$B,2,0)&gt;=0,IF(INDEX(FILTER(Precios!$D:$D,(Precios!$A:$A&lt;=$I6)*(Precios!$B:$B&gt;=$I6)*("&amp;"Precios!$C:$C=S$37)),1)*IF(COUNT($I$6:$I$13)&gt;=5,0.85,IF(COUNT($I$6:$I$13)&gt;=4,0.9,IF(COUNT($I$6:$I$13)&gt;=3,0.95,1)))=0,"""",INDEX(FILTER(Precios!$D:$D,(Precios!$A:$A&lt;=$I6)*(Precios!$B:$B&gt;=$I6)*(Precios!$C:$C=S$37)),1)*IF(COUNT($I$6:$I$13)&gt;=5,0.85,IF(COUNT($"&amp;"I$6:$I$13)&gt;=4,0.9,IF(COUNT($I$6:$I$13)&gt;=3,0.95,1)))),""""))), """")
"),92.7)</f>
        <v/>
      </c>
      <c r="T75" s="112">
        <f>IFERROR(__xludf.DUMMYFUNCTION("IFERROR(IF($I6="""","""",IF(VLOOKUP(LEFT(T$37,SEARCH(""☃"",SUBSTITUTE(T$37,"" "",""☃"",LEN(T$37)-LEN(SUBSTITUTE(T$37,"" "",""""))))-1),Excepciones!$A:$B,2,0)&gt;=0,IFERROR((INDEX(filter(Precios!$D:$D,(Precios!$A:$A&lt;=$I6)*(Precios!$B:$B&gt;=$I6)*(Precios!$C:$C=T"&amp;"$37)),1)+VLOOKUP(COUNT($I$6:$I$13),Precios!$F:$G,2,0)),""""),"""")),"""")"),114.4625)</f>
        <v/>
      </c>
      <c r="U75" s="112">
        <f>IF(OR(U57="",U57=0),"",U57+(VLOOKUP(COUNT($I$6:$I$13),Precios!$F:$H,2,0)))</f>
        <v/>
      </c>
      <c r="V75" s="112">
        <f>IFERROR(__xludf.DUMMYFUNCTION("IFERROR(IF($K$10=""Sí"","""",IF($I6="""","""",IF(VLOOKUP(LEFT(V$37,SEARCH(""☃"",SUBSTITUTE(V$37,"" "",""☃"",LEN(V$37)-LEN(SUBSTITUTE(V$37,"" "",""""))))-1),Excepciones!$A:$B,2,0)&gt;=0,IF(INDEX(FILTER(Precios!$D:$D,(Precios!$A:$A&lt;=$I6)*(Precios!$B:$B&gt;=$I6)*("&amp;"Precios!$C:$C=V$37)),1)*IF(COUNT($I$6:$I$13)&gt;=5,0.85,IF(COUNT($I$6:$I$13)&gt;=4,0.9,IF(COUNT($I$6:$I$13)&gt;=3,0.95,1)))=0,"""",INDEX(FILTER(Precios!$D:$D,(Precios!$A:$A&lt;=$I6)*(Precios!$B:$B&gt;=$I6)*(Precios!$C:$C=V$37)),1)*IF(COUNT($I$6:$I$13)&gt;=5,0.85,IF(COUNT($"&amp;"I$6:$I$13)&gt;=4,0.9,IF(COUNT($I$6:$I$13)&gt;=3,0.95,1)))),""""))), """")
"),"")</f>
        <v/>
      </c>
      <c r="W75" s="112">
        <f>IFERROR(__xludf.DUMMYFUNCTION("IFERROR(IF($I6="""","""",IF(VLOOKUP(LEFT(W$37,SEARCH(""☃"",SUBSTITUTE(W$37,"" "",""☃"",LEN(W$37)-LEN(SUBSTITUTE(W$37,"" "",""""))))-1),Excepciones!$A:$B,2,0)&gt;=0,IFERROR((INDEX(filter(Precios!$D:$D,(Precios!$A:$A&lt;=$I6)*(Precios!$B:$B&gt;=$I6)*(Precios!$C:$C=W"&amp;"$37)),1)+VLOOKUP(COUNT($I$6:$I$13),Precios!$F:$G,2,0)),""No asegurable""),""No asegurable"")),"""")"),67.9625)</f>
        <v/>
      </c>
      <c r="X75" s="115">
        <f>IFERROR(__xludf.DUMMYFUNCTION("IF($K$10=""Sí"","""",IFERROR(IF($I6="""","""",IF(VLOOKUP(LEFT(X$37,SEARCH(""☃"",SUBSTITUTE(X$37,"" "",""☃"",LEN(X$37)-LEN(SUBSTITUTE(X$37,"" "",""""))))-1),Excepciones!$A:$B,2,0)&gt;=0,IFERROR(INDEX(filter(Precios!$D:$D,(Precios!$A:$A&lt;=$I6)*(Precios!$B:$B&gt;=$"&amp;"I6)*(Precios!$C:$C=X$37)),1),""No asegurable""),""No asegurable"")),""""))"),62.0)</f>
        <v/>
      </c>
      <c r="Y75" s="112">
        <f>IFERROR(__xludf.DUMMYFUNCTION("IFERROR(IF($I6="""","""",IF(VLOOKUP(LEFT(Y$37,SEARCH(""☃"",SUBSTITUTE(Y$37,"" "",""☃"",LEN(Y$37)-LEN(SUBSTITUTE(Y$37,"" "",""""))))-1),Excepciones!$A:$B,2,0)&gt;=0,IFERROR(INDEX(filter(Precios!$D:$D,(Precios!$A:$A&lt;=$I6)*(Precios!$B:$B&gt;=$I6)*(Precios!$C:$C=Y$"&amp;"37)),1)*1,""No asegurable""),""No asegurable"")),"""")"),"")</f>
        <v/>
      </c>
      <c r="Z75" s="112">
        <f>IFERROR(__xludf.DUMMYFUNCTION("IFERROR(IF($I6="""","""",IF(VLOOKUP(LEFT(Z$37,SEARCH(""☃"",SUBSTITUTE(Z$37,"" "",""☃"",LEN(Z$37)-LEN(SUBSTITUTE(Z$37,"" "",""""))))-1),Excepciones!$A:$B,2,0)&gt;=0,IFERROR(INDEX(filter(Precios!$D:$D,(Precios!$A:$A&lt;=$I6)*(Precios!$B:$B&gt;=$I6)*(Precios!$C:$C=Z$"&amp;"37)),1)*1,""No asegurable""),""No asegurable"")),"""")"),52.0)</f>
        <v/>
      </c>
      <c r="AA75" s="112">
        <f>IFERROR(__xludf.DUMMYFUNCTION("IFERROR(IF($I6="""","""",IF(VLOOKUP(LEFT(AA$37,SEARCH(""☃"",SUBSTITUTE(AA$37,"" "",""☃"",LEN(AA$37)-LEN(SUBSTITUTE(AA$37,"" "",""""))))-1),Excepciones!$A:$B,2,0)&gt;=0,IFERROR(INDEX(filter(Precios!$D:$D,(Precios!$A:$A&lt;=$I6)*(Precios!$B:$B&gt;=$I6)*(Precios!$C:$"&amp;"C=AA$37)),1)*1,""No asegurable""),""No asegurable"")),"""")"),76.5)</f>
        <v/>
      </c>
      <c r="AB75" s="112">
        <f>IFERROR(__xludf.DUMMYFUNCTION("IFERROR(IF($I6="""","""",IF(VLOOKUP(LEFT(AB$37,SEARCH(""☃"",SUBSTITUTE(AB$37,"" "",""☃"",LEN(AB$37)-LEN(SUBSTITUTE(AB$37,"" "",""""))))-1),Excepciones!$A:$B,2,0)&gt;=0,IFERROR(INDEX(filter(Precios!$D:$D,(Precios!$A:$A&lt;=$I6)*(Precios!$B:$B&gt;=$I6)*(Precios!$C:$"&amp;"C=AB$37)),1)*1,""No asegurable""),""No asegurable"")),"""")"),58.5)</f>
        <v/>
      </c>
      <c r="AC75" s="142">
        <f>IFERROR(__xludf.DUMMYFUNCTION("IFERROR(IF($I6="""","""",IF(VLOOKUP(LEFT(AC$37,SEARCH(""☃"",SUBSTITUTE(AC$37,"" "",""☃"",LEN(AC$37)-LEN(SUBSTITUTE(AC$37,"" "",""""))))-1),Excepciones!$A:$B,2,0)&gt;=0,IFERROR(INDEX(filter(Precios!$D:$D,(Precios!$A:$A&lt;=$I6)*(Precios!$B:$B&gt;=$I6)*(Precios!$C:$"&amp;"C=AC$37)),1)*1,""No asegurable""),""No asegurable"")),"""")"),81.5)</f>
        <v/>
      </c>
      <c r="AD75" s="5" t="n"/>
      <c r="AE75" s="5" t="n"/>
      <c r="AF75" s="5" t="n"/>
      <c r="AG75" s="5" t="n"/>
      <c r="AH75" s="125" t="n"/>
      <c r="AI75" s="125" t="n"/>
      <c r="AJ75" s="5" t="n"/>
      <c r="AK75" s="125" t="n"/>
      <c r="AL75" s="125" t="n"/>
    </row>
    <row r="76" ht="27.75" customHeight="1" s="241">
      <c r="L76" s="116" t="n">
        <v>2</v>
      </c>
      <c r="M76" s="48" t="n"/>
      <c r="N76" s="48">
        <f>IF(OR(N58="",N58=0),"",N58+(VLOOKUP(COUNT($I$6:$I$13),Precios!$F:$H,2,0)))</f>
        <v/>
      </c>
      <c r="O76" s="48">
        <f>IF(OR(O58="",O58=0),"",O58+(VLOOKUP(COUNT($I$6:$I$13),Precios!$F:$H,2,0)))</f>
        <v/>
      </c>
      <c r="P76" s="48">
        <f>IFERROR(__xludf.DUMMYFUNCTION("IFERROR(IF($K$10=""Sí"","""",IF($I7="""","""",IF(VLOOKUP(LEFT(P$37,SEARCH(""☃"",SUBSTITUTE(P$37,"" "",""☃"",LEN(P$37)-LEN(SUBSTITUTE(P$37,"" "",""""))))-1),Excepciones!$A:$B,2,0)&gt;=0,IF(INDEX(FILTER(Precios!$D:$D,(Precios!$A:$A&lt;=$I7)*(Precios!$B:$B&gt;=$I7)*("&amp;"Precios!$C:$C=P$37)),1)*IF(COUNT($I$6:$I$13)&gt;=5,0.85,IF(COUNT($I$6:$I$13)&gt;=4,0.9,IF(COUNT($I$6:$I$13)&gt;=3,0.95,1)))=0,"""",INDEX(FILTER(Precios!$D:$D,(Precios!$A:$A&lt;=$I7)*(Precios!$B:$B&gt;=$I7)*(Precios!$C:$C=P$37)),1)*IF(COUNT($I$6:$I$13)&gt;=5,0.85,IF(COUNT($"&amp;"I$6:$I$13)&gt;=4,0.9,IF(COUNT($I$6:$I$13)&gt;=3,0.95,1)))),""""))), """")
"),54.9)</f>
        <v/>
      </c>
      <c r="Q76" s="48">
        <f>IF(OR(Q58="",Q58=0),"",Q58+(VLOOKUP(COUNT($I$6:$I$13),Precios!$F:$H,2,0)))</f>
        <v/>
      </c>
      <c r="R76" s="48">
        <f>IF(OR(R58="",R58=0),"",R58+(VLOOKUP(COUNT($I$6:$I$13),Precios!$F:$H,2,0)))</f>
        <v/>
      </c>
      <c r="S76" s="48">
        <f>IFERROR(__xludf.DUMMYFUNCTION("IFERROR(IF($K$10=""Sí"","""",IF($I7="""","""",IF(VLOOKUP(LEFT(S$37,SEARCH(""☃"",SUBSTITUTE(S$37,"" "",""☃"",LEN(S$37)-LEN(SUBSTITUTE(S$37,"" "",""""))))-1),Excepciones!$A:$B,2,0)&gt;=0,IF(INDEX(FILTER(Precios!$D:$D,(Precios!$A:$A&lt;=$I7)*(Precios!$B:$B&gt;=$I7)*("&amp;"Precios!$C:$C=S$37)),1)*IF(COUNT($I$6:$I$13)&gt;=5,0.85,IF(COUNT($I$6:$I$13)&gt;=4,0.9,IF(COUNT($I$6:$I$13)&gt;=3,0.95,1)))=0,"""",INDEX(FILTER(Precios!$D:$D,(Precios!$A:$A&lt;=$I7)*(Precios!$B:$B&gt;=$I7)*(Precios!$C:$C=S$37)),1)*IF(COUNT($I$6:$I$13)&gt;=5,0.85,IF(COUNT($"&amp;"I$6:$I$13)&gt;=4,0.9,IF(COUNT($I$6:$I$13)&gt;=3,0.95,1)))),""""))), """")
"),92.7)</f>
        <v/>
      </c>
      <c r="T76" s="48">
        <f>IFERROR(__xludf.DUMMYFUNCTION("IFERROR(IF($I7="""","""",IF(VLOOKUP(LEFT(T$37,SEARCH(""☃"",SUBSTITUTE(T$37,"" "",""☃"",LEN(T$37)-LEN(SUBSTITUTE(T$37,"" "",""""))))-1),Excepciones!$A:$B,2,0)&gt;=0,IFERROR((INDEX(filter(Precios!$D:$D,(Precios!$A:$A&lt;=$I7)*(Precios!$B:$B&gt;=$I7)*(Precios!$C:$C=T"&amp;"$37)),1)+VLOOKUP(COUNT($I$6:$I$13),Precios!$F:$G,2,0)),""""),"""")),"""")"),114.4625)</f>
        <v/>
      </c>
      <c r="U76" s="48">
        <f>IF(OR(U58="",U58=0),"",U58+(VLOOKUP(COUNT($I$6:$I$13),Precios!$F:$H,2,0)))</f>
        <v/>
      </c>
      <c r="V76" s="48">
        <f>IFERROR(__xludf.DUMMYFUNCTION("IFERROR(IF($K$10=""Sí"","""",IF($I7="""","""",IF(VLOOKUP(LEFT(V$37,SEARCH(""☃"",SUBSTITUTE(V$37,"" "",""☃"",LEN(V$37)-LEN(SUBSTITUTE(V$37,"" "",""""))))-1),Excepciones!$A:$B,2,0)&gt;=0,IF(INDEX(FILTER(Precios!$D:$D,(Precios!$A:$A&lt;=$I7)*(Precios!$B:$B&gt;=$I7)*("&amp;"Precios!$C:$C=V$37)),1)*IF(COUNT($I$6:$I$13)&gt;=5,0.85,IF(COUNT($I$6:$I$13)&gt;=4,0.9,IF(COUNT($I$6:$I$13)&gt;=3,0.95,1)))=0,"""",INDEX(FILTER(Precios!$D:$D,(Precios!$A:$A&lt;=$I7)*(Precios!$B:$B&gt;=$I7)*(Precios!$C:$C=V$37)),1)*IF(COUNT($I$6:$I$13)&gt;=5,0.85,IF(COUNT($"&amp;"I$6:$I$13)&gt;=4,0.9,IF(COUNT($I$6:$I$13)&gt;=3,0.95,1)))),""""))), """")
"),"")</f>
        <v/>
      </c>
      <c r="W76" s="48">
        <f>IFERROR(__xludf.DUMMYFUNCTION("IFERROR(IF($I7="""","""",IF(VLOOKUP(LEFT(W$37,SEARCH(""☃"",SUBSTITUTE(W$37,"" "",""☃"",LEN(W$37)-LEN(SUBSTITUTE(W$37,"" "",""""))))-1),Excepciones!$A:$B,2,0)&gt;=0,IFERROR((INDEX(filter(Precios!$D:$D,(Precios!$A:$A&lt;=$I7)*(Precios!$B:$B&gt;=$I7)*(Precios!$C:$C=W"&amp;"$37)),1)+VLOOKUP(COUNT($I$6:$I$13),Precios!$F:$G,2,0)),""No asegurable""),""No asegurable"")),"""")"),67.9625)</f>
        <v/>
      </c>
      <c r="X76" s="119">
        <f>IFERROR(__xludf.DUMMYFUNCTION("IF($K$10=""Sí"","""",IFERROR(IF($I7="""","""",IF(VLOOKUP(LEFT(X$37,SEARCH(""☃"",SUBSTITUTE(X$37,"" "",""☃"",LEN(X$37)-LEN(SUBSTITUTE(X$37,"" "",""""))))-1),Excepciones!$A:$B,2,0)&gt;=0,IFERROR(INDEX(filter(Precios!$D:$D,(Precios!$A:$A&lt;=$I7)*(Precios!$B:$B&gt;=$"&amp;"I7)*(Precios!$C:$C=X$37)),1),""No asegurable""),""No asegurable"")),""""))"),62.0)</f>
        <v/>
      </c>
      <c r="Y76" s="48">
        <f>IFERROR(__xludf.DUMMYFUNCTION("IFERROR(IF($I7="""","""",IF(VLOOKUP(LEFT(Y$37,SEARCH(""☃"",SUBSTITUTE(Y$37,"" "",""☃"",LEN(Y$37)-LEN(SUBSTITUTE(Y$37,"" "",""""))))-1),Excepciones!$A:$B,2,0)&gt;=0,IFERROR(INDEX(filter(Precios!$D:$D,(Precios!$A:$A&lt;=$I7)*(Precios!$B:$B&gt;=$I7)*(Precios!$C:$C=Y$"&amp;"37)),1)*1,""No asegurable""),""No asegurable"")),"""")"),"")</f>
        <v/>
      </c>
      <c r="Z76" s="48">
        <f>IFERROR(__xludf.DUMMYFUNCTION("IFERROR(IF($I7="""","""",IF(VLOOKUP(LEFT(Z$37,SEARCH(""☃"",SUBSTITUTE(Z$37,"" "",""☃"",LEN(Z$37)-LEN(SUBSTITUTE(Z$37,"" "",""""))))-1),Excepciones!$A:$B,2,0)&gt;=0,IFERROR(INDEX(filter(Precios!$D:$D,(Precios!$A:$A&lt;=$I7)*(Precios!$B:$B&gt;=$I7)*(Precios!$C:$C=Z$"&amp;"37)),1)*1,""No asegurable""),""No asegurable"")),"""")"),52.0)</f>
        <v/>
      </c>
      <c r="AA76" s="48">
        <f>IFERROR(__xludf.DUMMYFUNCTION("IFERROR(IF($I7="""","""",IF(VLOOKUP(LEFT(AA$37,SEARCH(""☃"",SUBSTITUTE(AA$37,"" "",""☃"",LEN(AA$37)-LEN(SUBSTITUTE(AA$37,"" "",""""))))-1),Excepciones!$A:$B,2,0)&gt;=0,IFERROR(INDEX(filter(Precios!$D:$D,(Precios!$A:$A&lt;=$I7)*(Precios!$B:$B&gt;=$I7)*(Precios!$C:$"&amp;"C=AA$37)),1)*1,""No asegurable""),""No asegurable"")),"""")"),76.5)</f>
        <v/>
      </c>
      <c r="AB76" s="48">
        <f>IFERROR(__xludf.DUMMYFUNCTION("IFERROR(IF($I7="""","""",IF(VLOOKUP(LEFT(AB$37,SEARCH(""☃"",SUBSTITUTE(AB$37,"" "",""☃"",LEN(AB$37)-LEN(SUBSTITUTE(AB$37,"" "",""""))))-1),Excepciones!$A:$B,2,0)&gt;=0,IFERROR(INDEX(filter(Precios!$D:$D,(Precios!$A:$A&lt;=$I7)*(Precios!$B:$B&gt;=$I7)*(Precios!$C:$"&amp;"C=AB$37)),1)*1,""No asegurable""),""No asegurable"")),"""")"),58.5)</f>
        <v/>
      </c>
      <c r="AC76" s="49">
        <f>IFERROR(__xludf.DUMMYFUNCTION("IFERROR(IF($I7="""","""",IF(VLOOKUP(LEFT(AC$37,SEARCH(""☃"",SUBSTITUTE(AC$37,"" "",""☃"",LEN(AC$37)-LEN(SUBSTITUTE(AC$37,"" "",""""))))-1),Excepciones!$A:$B,2,0)&gt;=0,IFERROR(INDEX(filter(Precios!$D:$D,(Precios!$A:$A&lt;=$I7)*(Precios!$B:$B&gt;=$I7)*(Precios!$C:$"&amp;"C=AC$37)),1)*1,""No asegurable""),""No asegurable"")),"""")"),81.5)</f>
        <v/>
      </c>
      <c r="AD76" s="5" t="n"/>
      <c r="AE76" s="5" t="n"/>
      <c r="AF76" s="5" t="n"/>
      <c r="AG76" s="5" t="n"/>
      <c r="AH76" s="125" t="n"/>
      <c r="AI76" s="125" t="n"/>
      <c r="AJ76" s="5" t="n"/>
      <c r="AK76" s="125" t="n"/>
      <c r="AL76" s="125" t="n"/>
    </row>
    <row r="77" ht="27.75" customHeight="1" s="241">
      <c r="L77" s="116" t="n">
        <v>3</v>
      </c>
      <c r="M77" s="48" t="n"/>
      <c r="N77" s="48">
        <f>IF(OR(N59="",N59=0),"",N59+(VLOOKUP(COUNT($I$6:$I$13),Precios!$F:$H,2,0)))</f>
        <v/>
      </c>
      <c r="O77" s="48">
        <f>IF(OR(O59="",O59=0),"",O59+(VLOOKUP(COUNT($I$6:$I$13),Precios!$F:$H,2,0)))</f>
        <v/>
      </c>
      <c r="P77" s="48">
        <f>IFERROR(__xludf.DUMMYFUNCTION("IFERROR(IF($K$10=""Sí"","""",IF($I8="""","""",IF(VLOOKUP(LEFT(P$37,SEARCH(""☃"",SUBSTITUTE(P$37,"" "",""☃"",LEN(P$37)-LEN(SUBSTITUTE(P$37,"" "",""""))))-1),Excepciones!$A:$B,2,0)&gt;=0,IF(INDEX(FILTER(Precios!$D:$D,(Precios!$A:$A&lt;=$I8)*(Precios!$B:$B&gt;=$I8)*("&amp;"Precios!$C:$C=P$37)),1)*IF(COUNT($I$6:$I$13)&gt;=5,0.85,IF(COUNT($I$6:$I$13)&gt;=4,0.9,IF(COUNT($I$6:$I$13)&gt;=3,0.95,1)))=0,"""",INDEX(FILTER(Precios!$D:$D,(Precios!$A:$A&lt;=$I8)*(Precios!$B:$B&gt;=$I8)*(Precios!$C:$C=P$37)),1)*IF(COUNT($I$6:$I$13)&gt;=5,0.85,IF(COUNT($"&amp;"I$6:$I$13)&gt;=4,0.9,IF(COUNT($I$6:$I$13)&gt;=3,0.95,1)))),""""))), """")
"),100.8)</f>
        <v/>
      </c>
      <c r="Q77" s="48">
        <f>IF(OR(Q59="",Q59=0),"",Q59+(VLOOKUP(COUNT($I$6:$I$13),Precios!$F:$H,2,0)))</f>
        <v/>
      </c>
      <c r="R77" s="48">
        <f>IF(OR(R59="",R59=0),"",R59+(VLOOKUP(COUNT($I$6:$I$13),Precios!$F:$H,2,0)))</f>
        <v/>
      </c>
      <c r="S77" s="48">
        <f>IFERROR(__xludf.DUMMYFUNCTION("IFERROR(IF($K$10=""Sí"","""",IF($I8="""","""",IF(VLOOKUP(LEFT(S$37,SEARCH(""☃"",SUBSTITUTE(S$37,"" "",""☃"",LEN(S$37)-LEN(SUBSTITUTE(S$37,"" "",""""))))-1),Excepciones!$A:$B,2,0)&gt;=0,IF(INDEX(FILTER(Precios!$D:$D,(Precios!$A:$A&lt;=$I8)*(Precios!$B:$B&gt;=$I8)*("&amp;"Precios!$C:$C=S$37)),1)*IF(COUNT($I$6:$I$13)&gt;=5,0.85,IF(COUNT($I$6:$I$13)&gt;=4,0.9,IF(COUNT($I$6:$I$13)&gt;=3,0.95,1)))=0,"""",INDEX(FILTER(Precios!$D:$D,(Precios!$A:$A&lt;=$I8)*(Precios!$B:$B&gt;=$I8)*(Precios!$C:$C=S$37)),1)*IF(COUNT($I$6:$I$13)&gt;=5,0.85,IF(COUNT($"&amp;"I$6:$I$13)&gt;=4,0.9,IF(COUNT($I$6:$I$13)&gt;=3,0.95,1)))),""""))), """")
"),158.4)</f>
        <v/>
      </c>
      <c r="T77" s="48">
        <f>IFERROR(__xludf.DUMMYFUNCTION("IFERROR(IF($I8="""","""",IF(VLOOKUP(LEFT(T$37,SEARCH(""☃"",SUBSTITUTE(T$37,"" "",""☃"",LEN(T$37)-LEN(SUBSTITUTE(T$37,"" "",""""))))-1),Excepciones!$A:$B,2,0)&gt;=0,IFERROR((INDEX(filter(Precios!$D:$D,(Precios!$A:$A&lt;=$I8)*(Precios!$B:$B&gt;=$I8)*(Precios!$C:$C=T"&amp;"$37)),1)+VLOOKUP(COUNT($I$6:$I$13),Precios!$F:$G,2,0)),""""),"""")),"""")"),184.4625)</f>
        <v/>
      </c>
      <c r="U77" s="48">
        <f>IF(OR(U59="",U59=0),"",U59+(VLOOKUP(COUNT($I$6:$I$13),Precios!$F:$H,2,0)))</f>
        <v/>
      </c>
      <c r="V77" s="48">
        <f>IFERROR(__xludf.DUMMYFUNCTION("IFERROR(IF($K$10=""Sí"","""",IF($I8="""","""",IF(VLOOKUP(LEFT(V$37,SEARCH(""☃"",SUBSTITUTE(V$37,"" "",""☃"",LEN(V$37)-LEN(SUBSTITUTE(V$37,"" "",""""))))-1),Excepciones!$A:$B,2,0)&gt;=0,IF(INDEX(FILTER(Precios!$D:$D,(Precios!$A:$A&lt;=$I8)*(Precios!$B:$B&gt;=$I8)*("&amp;"Precios!$C:$C=V$37)),1)*IF(COUNT($I$6:$I$13)&gt;=5,0.85,IF(COUNT($I$6:$I$13)&gt;=4,0.9,IF(COUNT($I$6:$I$13)&gt;=3,0.95,1)))=0,"""",INDEX(FILTER(Precios!$D:$D,(Precios!$A:$A&lt;=$I8)*(Precios!$B:$B&gt;=$I8)*(Precios!$C:$C=V$37)),1)*IF(COUNT($I$6:$I$13)&gt;=5,0.85,IF(COUNT($"&amp;"I$6:$I$13)&gt;=4,0.9,IF(COUNT($I$6:$I$13)&gt;=3,0.95,1)))),""""))), """")
"),"")</f>
        <v/>
      </c>
      <c r="W77" s="48">
        <f>IFERROR(__xludf.DUMMYFUNCTION("IFERROR(IF($I8="""","""",IF(VLOOKUP(LEFT(W$37,SEARCH(""☃"",SUBSTITUTE(W$37,"" "",""☃"",LEN(W$37)-LEN(SUBSTITUTE(W$37,"" "",""""))))-1),Excepciones!$A:$B,2,0)&gt;=0,IFERROR((INDEX(filter(Precios!$D:$D,(Precios!$A:$A&lt;=$I8)*(Precios!$B:$B&gt;=$I8)*(Precios!$C:$C=W"&amp;"$37)),1)+VLOOKUP(COUNT($I$6:$I$13),Precios!$F:$G,2,0)),""No asegurable""),""No asegurable"")),"""")"),131.4625)</f>
        <v/>
      </c>
      <c r="X77" s="119">
        <f>IFERROR(__xludf.DUMMYFUNCTION("IF($K$10=""Sí"","""",IFERROR(IF($I8="""","""",IF(VLOOKUP(LEFT(X$37,SEARCH(""☃"",SUBSTITUTE(X$37,"" "",""☃"",LEN(X$37)-LEN(SUBSTITUTE(X$37,"" "",""""))))-1),Excepciones!$A:$B,2,0)&gt;=0,IFERROR(INDEX(filter(Precios!$D:$D,(Precios!$A:$A&lt;=$I8)*(Precios!$B:$B&gt;=$"&amp;"I8)*(Precios!$C:$C=X$37)),1),""No asegurable""),""No asegurable"")),""""))"),95.0)</f>
        <v/>
      </c>
      <c r="Y77" s="48">
        <f>IFERROR(__xludf.DUMMYFUNCTION("IFERROR(IF($I8="""","""",IF(VLOOKUP(LEFT(Y$37,SEARCH(""☃"",SUBSTITUTE(Y$37,"" "",""☃"",LEN(Y$37)-LEN(SUBSTITUTE(Y$37,"" "",""""))))-1),Excepciones!$A:$B,2,0)&gt;=0,IFERROR(INDEX(filter(Precios!$D:$D,(Precios!$A:$A&lt;=$I8)*(Precios!$B:$B&gt;=$I8)*(Precios!$C:$C=Y$"&amp;"37)),1)*1,""No asegurable""),""No asegurable"")),"""")"),"")</f>
        <v/>
      </c>
      <c r="Z77" s="48">
        <f>IFERROR(__xludf.DUMMYFUNCTION("IFERROR(IF($I8="""","""",IF(VLOOKUP(LEFT(Z$37,SEARCH(""☃"",SUBSTITUTE(Z$37,"" "",""☃"",LEN(Z$37)-LEN(SUBSTITUTE(Z$37,"" "",""""))))-1),Excepciones!$A:$B,2,0)&gt;=0,IFERROR(INDEX(filter(Precios!$D:$D,(Precios!$A:$A&lt;=$I8)*(Precios!$B:$B&gt;=$I8)*(Precios!$C:$C=Z$"&amp;"37)),1)*1,""No asegurable""),""No asegurable"")),"""")"),81.0)</f>
        <v/>
      </c>
      <c r="AA77" s="48">
        <f>IFERROR(__xludf.DUMMYFUNCTION("IFERROR(IF($I8="""","""",IF(VLOOKUP(LEFT(AA$37,SEARCH(""☃"",SUBSTITUTE(AA$37,"" "",""☃"",LEN(AA$37)-LEN(SUBSTITUTE(AA$37,"" "",""""))))-1),Excepciones!$A:$B,2,0)&gt;=0,IFERROR(INDEX(filter(Precios!$D:$D,(Precios!$A:$A&lt;=$I8)*(Precios!$B:$B&gt;=$I8)*(Precios!$C:$"&amp;"C=AA$37)),1)*1,""No asegurable""),""No asegurable"")),"""")"),115.0)</f>
        <v/>
      </c>
      <c r="AB77" s="48">
        <f>IFERROR(__xludf.DUMMYFUNCTION("IFERROR(IF($I8="""","""",IF(VLOOKUP(LEFT(AB$37,SEARCH(""☃"",SUBSTITUTE(AB$37,"" "",""☃"",LEN(AB$37)-LEN(SUBSTITUTE(AB$37,"" "",""""))))-1),Excepciones!$A:$B,2,0)&gt;=0,IFERROR(INDEX(filter(Precios!$D:$D,(Precios!$A:$A&lt;=$I8)*(Precios!$B:$B&gt;=$I8)*(Precios!$C:$"&amp;"C=AB$37)),1)*1,""No asegurable""),""No asegurable"")),"""")"),58.5)</f>
        <v/>
      </c>
      <c r="AC77" s="49">
        <f>IFERROR(__xludf.DUMMYFUNCTION("IFERROR(IF($I8="""","""",IF(VLOOKUP(LEFT(AC$37,SEARCH(""☃"",SUBSTITUTE(AC$37,"" "",""☃"",LEN(AC$37)-LEN(SUBSTITUTE(AC$37,"" "",""""))))-1),Excepciones!$A:$B,2,0)&gt;=0,IFERROR(INDEX(filter(Precios!$D:$D,(Precios!$A:$A&lt;=$I8)*(Precios!$B:$B&gt;=$I8)*(Precios!$C:$"&amp;"C=AC$37)),1)*1,""No asegurable""),""No asegurable"")),"""")"),81.5)</f>
        <v/>
      </c>
      <c r="AD77" s="5" t="n"/>
      <c r="AE77" s="5" t="n"/>
      <c r="AF77" s="5" t="n"/>
      <c r="AG77" s="5" t="n"/>
      <c r="AH77" s="125" t="n"/>
      <c r="AI77" s="125" t="n"/>
      <c r="AJ77" s="5" t="n"/>
      <c r="AK77" s="125" t="n"/>
      <c r="AL77" s="125" t="n"/>
    </row>
    <row r="78" ht="27.75" customHeight="1" s="241">
      <c r="L78" s="116" t="n">
        <v>4</v>
      </c>
      <c r="M78" s="48" t="n"/>
      <c r="N78" s="48">
        <f>IF(OR(N60="",N60=0),"",N60+(VLOOKUP(COUNT($I$6:$I$13),Precios!$F:$H,2,0)))</f>
        <v/>
      </c>
      <c r="O78" s="48">
        <f>IF(OR(O60="",O60=0),"",O60+(VLOOKUP(COUNT($I$6:$I$13),Precios!$F:$H,2,0)))</f>
        <v/>
      </c>
      <c r="P78" s="48">
        <f>IFERROR(__xludf.DUMMYFUNCTION("IFERROR(IF($K$10=""Sí"","""",IF($I9="""","""",IF(VLOOKUP(LEFT(P$37,SEARCH(""☃"",SUBSTITUTE(P$37,"" "",""☃"",LEN(P$37)-LEN(SUBSTITUTE(P$37,"" "",""""))))-1),Excepciones!$A:$B,2,0)&gt;=0,IF(INDEX(FILTER(Precios!$D:$D,(Precios!$A:$A&lt;=$I9)*(Precios!$B:$B&gt;=$I9)*("&amp;"Precios!$C:$C=P$37)),1)*IF(COUNT($I$6:$I$13)&gt;=5,0.85,IF(COUNT($I$6:$I$13)&gt;=4,0.9,IF(COUNT($I$6:$I$13)&gt;=3,0.95,1)))=0,"""",INDEX(FILTER(Precios!$D:$D,(Precios!$A:$A&lt;=$I9)*(Precios!$B:$B&gt;=$I9)*(Precios!$C:$C=P$37)),1)*IF(COUNT($I$6:$I$13)&gt;=5,0.85,IF(COUNT($"&amp;"I$6:$I$13)&gt;=4,0.9,IF(COUNT($I$6:$I$13)&gt;=3,0.95,1)))),""""))), """")
"),180.9)</f>
        <v/>
      </c>
      <c r="Q78" s="48">
        <f>IF(OR(Q60="",Q60=0),"",Q60+(VLOOKUP(COUNT($I$6:$I$13),Precios!$F:$H,2,0)))</f>
        <v/>
      </c>
      <c r="R78" s="48">
        <f>IF(OR(R60="",R60=0),"",R60+(VLOOKUP(COUNT($I$6:$I$13),Precios!$F:$H,2,0)))</f>
        <v/>
      </c>
      <c r="S78" s="48">
        <f>IFERROR(__xludf.DUMMYFUNCTION("IFERROR(IF($K$10=""Sí"","""",IF($I9="""","""",IF(VLOOKUP(LEFT(S$37,SEARCH(""☃"",SUBSTITUTE(S$37,"" "",""☃"",LEN(S$37)-LEN(SUBSTITUTE(S$37,"" "",""""))))-1),Excepciones!$A:$B,2,0)&gt;=0,IF(INDEX(FILTER(Precios!$D:$D,(Precios!$A:$A&lt;=$I9)*(Precios!$B:$B&gt;=$I9)*("&amp;"Precios!$C:$C=S$37)),1)*IF(COUNT($I$6:$I$13)&gt;=5,0.85,IF(COUNT($I$6:$I$13)&gt;=4,0.9,IF(COUNT($I$6:$I$13)&gt;=3,0.95,1)))=0,"""",INDEX(FILTER(Precios!$D:$D,(Precios!$A:$A&lt;=$I9)*(Precios!$B:$B&gt;=$I9)*(Precios!$C:$C=S$37)),1)*IF(COUNT($I$6:$I$13)&gt;=5,0.85,IF(COUNT($"&amp;"I$6:$I$13)&gt;=4,0.9,IF(COUNT($I$6:$I$13)&gt;=3,0.95,1)))),""""))), """")
"),255.6)</f>
        <v/>
      </c>
      <c r="T78" s="48">
        <f>IFERROR(__xludf.DUMMYFUNCTION("IFERROR(IF($I9="""","""",IF(VLOOKUP(LEFT(T$37,SEARCH(""☃"",SUBSTITUTE(T$37,"" "",""☃"",LEN(T$37)-LEN(SUBSTITUTE(T$37,"" "",""""))))-1),Excepciones!$A:$B,2,0)&gt;=0,IFERROR((INDEX(filter(Precios!$D:$D,(Precios!$A:$A&lt;=$I9)*(Precios!$B:$B&gt;=$I9)*(Precios!$C:$C=T"&amp;"$37)),1)+VLOOKUP(COUNT($I$6:$I$13),Precios!$F:$G,2,0)),""""),"""")),"""")"),305.4625)</f>
        <v/>
      </c>
      <c r="U78" s="48">
        <f>IF(OR(U60="",U60=0),"",U60+(VLOOKUP(COUNT($I$6:$I$13),Precios!$F:$H,2,0)))</f>
        <v/>
      </c>
      <c r="V78" s="48">
        <f>IFERROR(__xludf.DUMMYFUNCTION("IFERROR(IF($K$10=""Sí"","""",IF($I9="""","""",IF(VLOOKUP(LEFT(V$37,SEARCH(""☃"",SUBSTITUTE(V$37,"" "",""☃"",LEN(V$37)-LEN(SUBSTITUTE(V$37,"" "",""""))))-1),Excepciones!$A:$B,2,0)&gt;=0,IF(INDEX(FILTER(Precios!$D:$D,(Precios!$A:$A&lt;=$I9)*(Precios!$B:$B&gt;=$I9)*("&amp;"Precios!$C:$C=V$37)),1)*IF(COUNT($I$6:$I$13)&gt;=5,0.85,IF(COUNT($I$6:$I$13)&gt;=4,0.9,IF(COUNT($I$6:$I$13)&gt;=3,0.95,1)))=0,"""",INDEX(FILTER(Precios!$D:$D,(Precios!$A:$A&lt;=$I9)*(Precios!$B:$B&gt;=$I9)*(Precios!$C:$C=V$37)),1)*IF(COUNT($I$6:$I$13)&gt;=5,0.85,IF(COUNT($"&amp;"I$6:$I$13)&gt;=4,0.9,IF(COUNT($I$6:$I$13)&gt;=3,0.95,1)))),""""))), """")
"),"")</f>
        <v/>
      </c>
      <c r="W78" s="48">
        <f>IFERROR(__xludf.DUMMYFUNCTION("IFERROR(IF($I9="""","""",IF(VLOOKUP(LEFT(W$37,SEARCH(""☃"",SUBSTITUTE(W$37,"" "",""☃"",LEN(W$37)-LEN(SUBSTITUTE(W$37,"" "",""""))))-1),Excepciones!$A:$B,2,0)&gt;=0,IFERROR((INDEX(filter(Precios!$D:$D,(Precios!$A:$A&lt;=$I9)*(Precios!$B:$B&gt;=$I9)*(Precios!$C:$C=W"&amp;"$37)),1)+VLOOKUP(COUNT($I$6:$I$13),Precios!$F:$G,2,0)),""No asegurable""),""No asegurable"")),"""")"),242.4625)</f>
        <v/>
      </c>
      <c r="X78" s="119">
        <f>IFERROR(__xludf.DUMMYFUNCTION("IF($K$10=""Sí"","""",IFERROR(IF($I9="""","""",IF(VLOOKUP(LEFT(X$37,SEARCH(""☃"",SUBSTITUTE(X$37,"" "",""☃"",LEN(X$37)-LEN(SUBSTITUTE(X$37,"" "",""""))))-1),Excepciones!$A:$B,2,0)&gt;=0,IFERROR(INDEX(filter(Precios!$D:$D,(Precios!$A:$A&lt;=$I9)*(Precios!$B:$B&gt;=$"&amp;"I9)*(Precios!$C:$C=X$37)),1),""No asegurable""),""No asegurable"")),""""))"),129.0)</f>
        <v/>
      </c>
      <c r="Y78" s="48">
        <f>IFERROR(__xludf.DUMMYFUNCTION("IFERROR(IF($I9="""","""",IF(VLOOKUP(LEFT(Y$37,SEARCH(""☃"",SUBSTITUTE(Y$37,"" "",""☃"",LEN(Y$37)-LEN(SUBSTITUTE(Y$37,"" "",""""))))-1),Excepciones!$A:$B,2,0)&gt;=0,IFERROR(INDEX(filter(Precios!$D:$D,(Precios!$A:$A&lt;=$I9)*(Precios!$B:$B&gt;=$I9)*(Precios!$C:$C=Y$"&amp;"37)),1)*1,""No asegurable""),""No asegurable"")),"""")"),"")</f>
        <v/>
      </c>
      <c r="Z78" s="48">
        <f>IFERROR(__xludf.DUMMYFUNCTION("IFERROR(IF($I9="""","""",IF(VLOOKUP(LEFT(Z$37,SEARCH(""☃"",SUBSTITUTE(Z$37,"" "",""☃"",LEN(Z$37)-LEN(SUBSTITUTE(Z$37,"" "",""""))))-1),Excepciones!$A:$B,2,0)&gt;=0,IFERROR(INDEX(filter(Precios!$D:$D,(Precios!$A:$A&lt;=$I9)*(Precios!$B:$B&gt;=$I9)*(Precios!$C:$C=Z$"&amp;"37)),1)*1,""No asegurable""),""No asegurable"")),"""")"),105.0)</f>
        <v/>
      </c>
      <c r="AA78" s="48">
        <f>IFERROR(__xludf.DUMMYFUNCTION("IFERROR(IF($I9="""","""",IF(VLOOKUP(LEFT(AA$37,SEARCH(""☃"",SUBSTITUTE(AA$37,"" "",""☃"",LEN(AA$37)-LEN(SUBSTITUTE(AA$37,"" "",""""))))-1),Excepciones!$A:$B,2,0)&gt;=0,IFERROR(INDEX(filter(Precios!$D:$D,(Precios!$A:$A&lt;=$I9)*(Precios!$B:$B&gt;=$I9)*(Precios!$C:$"&amp;"C=AA$37)),1)*1,""No asegurable""),""No asegurable"")),"""")"),137.0)</f>
        <v/>
      </c>
      <c r="AB78" s="48">
        <f>IFERROR(__xludf.DUMMYFUNCTION("IFERROR(IF($I9="""","""",IF(VLOOKUP(LEFT(AB$37,SEARCH(""☃"",SUBSTITUTE(AB$37,"" "",""☃"",LEN(AB$37)-LEN(SUBSTITUTE(AB$37,"" "",""""))))-1),Excepciones!$A:$B,2,0)&gt;=0,IFERROR(INDEX(filter(Precios!$D:$D,(Precios!$A:$A&lt;=$I9)*(Precios!$B:$B&gt;=$I9)*(Precios!$C:$"&amp;"C=AB$37)),1)*1,""No asegurable""),""No asegurable"")),"""")"),92.0)</f>
        <v/>
      </c>
      <c r="AC78" s="49">
        <f>IFERROR(__xludf.DUMMYFUNCTION("IFERROR(IF($I9="""","""",IF(VLOOKUP(LEFT(AC$37,SEARCH(""☃"",SUBSTITUTE(AC$37,"" "",""☃"",LEN(AC$37)-LEN(SUBSTITUTE(AC$37,"" "",""""))))-1),Excepciones!$A:$B,2,0)&gt;=0,IFERROR(INDEX(filter(Precios!$D:$D,(Precios!$A:$A&lt;=$I9)*(Precios!$B:$B&gt;=$I9)*(Precios!$C:$"&amp;"C=AC$37)),1)*1,""No asegurable""),""No asegurable"")),"""")"),115.0)</f>
        <v/>
      </c>
      <c r="AD78" s="5" t="n"/>
      <c r="AE78" s="5" t="n"/>
      <c r="AF78" s="5" t="n"/>
      <c r="AG78" s="5" t="n"/>
      <c r="AH78" s="125" t="n"/>
      <c r="AI78" s="125" t="n"/>
      <c r="AJ78" s="5" t="n"/>
      <c r="AK78" s="125" t="n"/>
      <c r="AL78" s="125" t="n"/>
    </row>
    <row r="79" ht="27.75" customHeight="1" s="241">
      <c r="L79" s="116" t="n">
        <v>5</v>
      </c>
      <c r="M79" s="48" t="n"/>
      <c r="N79" s="48">
        <f>IF(OR(N61="",N61=0),"",N61+(VLOOKUP(COUNT($I$6:$I$13),Precios!$F:$H,2,0)))</f>
        <v/>
      </c>
      <c r="O79" s="48">
        <f>IF(OR(O61="",O61=0),"",O61+(VLOOKUP(COUNT($I$6:$I$13),Precios!$F:$H,2,0)))</f>
        <v/>
      </c>
      <c r="P79" s="48">
        <f>IFERROR(__xludf.DUMMYFUNCTION("IFERROR(IF($K$10=""Sí"","""",IF($I10="""","""",IF(VLOOKUP(LEFT(P$37,SEARCH(""☃"",SUBSTITUTE(P$37,"" "",""☃"",LEN(P$37)-LEN(SUBSTITUTE(P$37,"" "",""""))))-1),Excepciones!$A:$B,2,0)&gt;=0,IF(INDEX(FILTER(Precios!$D:$D,(Precios!$A:$A&lt;=$I10)*(Precios!$B:$B&gt;=$I10"&amp;")*(Precios!$C:$C=P$37)),1)*IF(COUNT($I$6:$I$13)&gt;=5,0.85,IF(COUNT($I$6:$I$13)&gt;=4,0.9,IF(COUNT($I$6:$I$13)&gt;=3,0.95,1)))=0,"""",INDEX(FILTER(Precios!$D:$D,(Precios!$A:$A&lt;=$I10)*(Precios!$B:$B&gt;=$I10)*(Precios!$C:$C=P$37)),1)*IF(COUNT($I$6:$I$13)&gt;=5,0.85,IF(CO"&amp;"UNT($I$6:$I$13)&gt;=4,0.9,IF(COUNT($I$6:$I$13)&gt;=3,0.95,1)))),""""))), """")
"),"")</f>
        <v/>
      </c>
      <c r="Q79" s="48">
        <f>IF(OR(Q61="",Q61=0),"",Q61+(VLOOKUP(COUNT($I$6:$I$13),Precios!$F:$H,2,0)))</f>
        <v/>
      </c>
      <c r="R79" s="48">
        <f>IF(OR(R61="",R61=0),"",R61+(VLOOKUP(COUNT($I$6:$I$13),Precios!$F:$H,2,0)))</f>
        <v/>
      </c>
      <c r="S79" s="48">
        <f>IFERROR(__xludf.DUMMYFUNCTION("IFERROR(IF($K$10=""Sí"","""",IF($I10="""","""",IF(VLOOKUP(LEFT(S$37,SEARCH(""☃"",SUBSTITUTE(S$37,"" "",""☃"",LEN(S$37)-LEN(SUBSTITUTE(S$37,"" "",""""))))-1),Excepciones!$A:$B,2,0)&gt;=0,IF(INDEX(FILTER(Precios!$D:$D,(Precios!$A:$A&lt;=$I10)*(Precios!$B:$B&gt;=$I10"&amp;")*(Precios!$C:$C=S$37)),1)*IF(COUNT($I$6:$I$13)&gt;=5,0.85,IF(COUNT($I$6:$I$13)&gt;=4,0.9,IF(COUNT($I$6:$I$13)&gt;=3,0.95,1)))=0,"""",INDEX(FILTER(Precios!$D:$D,(Precios!$A:$A&lt;=$I10)*(Precios!$B:$B&gt;=$I10)*(Precios!$C:$C=S$37)),1)*IF(COUNT($I$6:$I$13)&gt;=5,0.85,IF(CO"&amp;"UNT($I$6:$I$13)&gt;=4,0.9,IF(COUNT($I$6:$I$13)&gt;=3,0.95,1)))),""""))), """")
"),"")</f>
        <v/>
      </c>
      <c r="T79" s="48">
        <f>IFERROR(__xludf.DUMMYFUNCTION("IFERROR(IF($I10="""","""",IF(VLOOKUP(LEFT(T$37,SEARCH(""☃"",SUBSTITUTE(T$37,"" "",""☃"",LEN(T$37)-LEN(SUBSTITUTE(T$37,"" "",""""))))-1),Excepciones!$A:$B,2,0)&gt;=0,IFERROR((INDEX(filter(Precios!$D:$D,(Precios!$A:$A&lt;=$I10)*(Precios!$B:$B&gt;=$I10)*(Precios!$C:$"&amp;"C=T$37)),1)+VLOOKUP(COUNT($I$6:$I$13),Precios!$F:$G,2,0)),""""),"""")),"""")"),"")</f>
        <v/>
      </c>
      <c r="U79" s="48">
        <f>IF(OR(U61="",U61=0),"",U61+(VLOOKUP(COUNT($I$6:$I$13),Precios!$F:$H,2,0)))</f>
        <v/>
      </c>
      <c r="V79" s="48">
        <f>IFERROR(__xludf.DUMMYFUNCTION("IFERROR(IF($K$10=""Sí"","""",IF($I10="""","""",IF(VLOOKUP(LEFT(V$37,SEARCH(""☃"",SUBSTITUTE(V$37,"" "",""☃"",LEN(V$37)-LEN(SUBSTITUTE(V$37,"" "",""""))))-1),Excepciones!$A:$B,2,0)&gt;=0,IF(INDEX(FILTER(Precios!$D:$D,(Precios!$A:$A&lt;=$I10)*(Precios!$B:$B&gt;=$I10"&amp;")*(Precios!$C:$C=V$37)),1)*IF(COUNT($I$6:$I$13)&gt;=5,0.85,IF(COUNT($I$6:$I$13)&gt;=4,0.9,IF(COUNT($I$6:$I$13)&gt;=3,0.95,1)))=0,"""",INDEX(FILTER(Precios!$D:$D,(Precios!$A:$A&lt;=$I10)*(Precios!$B:$B&gt;=$I10)*(Precios!$C:$C=V$37)),1)*IF(COUNT($I$6:$I$13)&gt;=5,0.85,IF(CO"&amp;"UNT($I$6:$I$13)&gt;=4,0.9,IF(COUNT($I$6:$I$13)&gt;=3,0.95,1)))),""""))), """")
"),"")</f>
        <v/>
      </c>
      <c r="W79" s="48">
        <f>IFERROR(__xludf.DUMMYFUNCTION("IFERROR(IF($I10="""","""",IF(VLOOKUP(LEFT(W$37,SEARCH(""☃"",SUBSTITUTE(W$37,"" "",""☃"",LEN(W$37)-LEN(SUBSTITUTE(W$37,"" "",""""))))-1),Excepciones!$A:$B,2,0)&gt;=0,IFERROR((INDEX(filter(Precios!$D:$D,(Precios!$A:$A&lt;=$I10)*(Precios!$B:$B&gt;=$I10)*(Precios!$C:$"&amp;"C=W$37)),1)+VLOOKUP(COUNT($I$6:$I$13),Precios!$F:$G,2,0)),""No asegurable""),""No asegurable"")),"""")"),"")</f>
        <v/>
      </c>
      <c r="X79" s="119">
        <f>IFERROR(__xludf.DUMMYFUNCTION("IF($K$10=""Sí"","""",IFERROR(IF($I10="""","""",IF(VLOOKUP(LEFT(X$37,SEARCH(""☃"",SUBSTITUTE(X$37,"" "",""☃"",LEN(X$37)-LEN(SUBSTITUTE(X$37,"" "",""""))))-1),Excepciones!$A:$B,2,0)&gt;=0,IFERROR(INDEX(filter(Precios!$D:$D,(Precios!$A:$A&lt;=$I10)*(Precios!$B:$B&gt;"&amp;"=$I10)*(Precios!$C:$C=X$37)),1),""No asegurable""),""No asegurable"")),""""))"),"")</f>
        <v/>
      </c>
      <c r="Y79" s="48">
        <f>IFERROR(__xludf.DUMMYFUNCTION("IFERROR(IF($I10="""","""",IF(VLOOKUP(LEFT(Y$37,SEARCH(""☃"",SUBSTITUTE(Y$37,"" "",""☃"",LEN(Y$37)-LEN(SUBSTITUTE(Y$37,"" "",""""))))-1),Excepciones!$A:$B,2,0)&gt;=0,IFERROR(INDEX(filter(Precios!$D:$D,(Precios!$A:$A&lt;=$I10)*(Precios!$B:$B&gt;=$I10)*(Precios!$C:$C"&amp;"=Y$37)),1)*1,""No asegurable""),""No asegurable"")),"""")"),"")</f>
        <v/>
      </c>
      <c r="Z79" s="48">
        <f>IFERROR(__xludf.DUMMYFUNCTION("IFERROR(IF($I10="""","""",IF(VLOOKUP(LEFT(Z$37,SEARCH(""☃"",SUBSTITUTE(Z$37,"" "",""☃"",LEN(Z$37)-LEN(SUBSTITUTE(Z$37,"" "",""""))))-1),Excepciones!$A:$B,2,0)&gt;=0,IFERROR(INDEX(filter(Precios!$D:$D,(Precios!$A:$A&lt;=$I10)*(Precios!$B:$B&gt;=$I10)*(Precios!$C:$C"&amp;"=Z$37)),1)*1,""No asegurable""),""No asegurable"")),"""")"),"")</f>
        <v/>
      </c>
      <c r="AA79" s="48">
        <f>IFERROR(__xludf.DUMMYFUNCTION("IFERROR(IF($I10="""","""",IF(VLOOKUP(LEFT(AA$37,SEARCH(""☃"",SUBSTITUTE(AA$37,"" "",""☃"",LEN(AA$37)-LEN(SUBSTITUTE(AA$37,"" "",""""))))-1),Excepciones!$A:$B,2,0)&gt;=0,IFERROR(INDEX(filter(Precios!$D:$D,(Precios!$A:$A&lt;=$I10)*(Precios!$B:$B&gt;=$I10)*(Precios!$"&amp;"C:$C=AA$37)),1)*1,""No asegurable""),""No asegurable"")),"""")"),"")</f>
        <v/>
      </c>
      <c r="AB79" s="48">
        <f>IFERROR(__xludf.DUMMYFUNCTION("IFERROR(IF($I10="""","""",IF(VLOOKUP(LEFT(AB$37,SEARCH(""☃"",SUBSTITUTE(AB$37,"" "",""☃"",LEN(AB$37)-LEN(SUBSTITUTE(AB$37,"" "",""""))))-1),Excepciones!$A:$B,2,0)&gt;=0,IFERROR(INDEX(filter(Precios!$D:$D,(Precios!$A:$A&lt;=$I10)*(Precios!$B:$B&gt;=$I10)*(Precios!$"&amp;"C:$C=AB$37)),1)*1,""No asegurable""),""No asegurable"")),"""")"),"")</f>
        <v/>
      </c>
      <c r="AC79" s="49">
        <f>IFERROR(__xludf.DUMMYFUNCTION("IFERROR(IF($I10="""","""",IF(VLOOKUP(LEFT(AC$37,SEARCH(""☃"",SUBSTITUTE(AC$37,"" "",""☃"",LEN(AC$37)-LEN(SUBSTITUTE(AC$37,"" "",""""))))-1),Excepciones!$A:$B,2,0)&gt;=0,IFERROR(INDEX(filter(Precios!$D:$D,(Precios!$A:$A&lt;=$I10)*(Precios!$B:$B&gt;=$I10)*(Precios!$"&amp;"C:$C=AC$37)),1)*1,""No asegurable""),""No asegurable"")),"""")"),"")</f>
        <v/>
      </c>
      <c r="AD79" s="5" t="n"/>
      <c r="AE79" s="5" t="n"/>
      <c r="AF79" s="5" t="n"/>
      <c r="AG79" s="5" t="n"/>
      <c r="AH79" s="125" t="n"/>
      <c r="AI79" s="125" t="n"/>
      <c r="AJ79" s="5" t="n"/>
      <c r="AK79" s="125" t="n"/>
      <c r="AL79" s="125" t="n"/>
    </row>
    <row r="80" ht="27.75" customHeight="1" s="241">
      <c r="L80" s="116" t="n">
        <v>6</v>
      </c>
      <c r="M80" s="48" t="n"/>
      <c r="N80" s="48">
        <f>IF(OR(N62="",N62=0),"",N62+(VLOOKUP(COUNT($I$6:$I$13),Precios!$F:$H,2,0)))</f>
        <v/>
      </c>
      <c r="O80" s="48">
        <f>IF(OR(O62="",O62=0),"",O62+(VLOOKUP(COUNT($I$6:$I$13),Precios!$F:$H,2,0)))</f>
        <v/>
      </c>
      <c r="P80" s="48">
        <f>IFERROR(__xludf.DUMMYFUNCTION("IFERROR(IF($K$10=""Sí"","""",IF($I11="""","""",IF(VLOOKUP(LEFT(P$37,SEARCH(""☃"",SUBSTITUTE(P$37,"" "",""☃"",LEN(P$37)-LEN(SUBSTITUTE(P$37,"" "",""""))))-1),Excepciones!$A:$B,2,0)&gt;=0,IF(INDEX(FILTER(Precios!$D:$D,(Precios!$A:$A&lt;=$I11)*(Precios!$B:$B&gt;=$I11"&amp;")*(Precios!$C:$C=P$37)),1)*IF(COUNT($I$6:$I$13)&gt;=5,0.85,IF(COUNT($I$6:$I$13)&gt;=4,0.9,IF(COUNT($I$6:$I$13)&gt;=3,0.95,1)))=0,"""",INDEX(FILTER(Precios!$D:$D,(Precios!$A:$A&lt;=$I11)*(Precios!$B:$B&gt;=$I11)*(Precios!$C:$C=P$37)),1)*IF(COUNT($I$6:$I$13)&gt;=5,0.85,IF(CO"&amp;"UNT($I$6:$I$13)&gt;=4,0.9,IF(COUNT($I$6:$I$13)&gt;=3,0.95,1)))),""""))), """")
"),"")</f>
        <v/>
      </c>
      <c r="Q80" s="48">
        <f>IF(OR(Q62="",Q62=0),"",Q62+(VLOOKUP(COUNT($I$6:$I$13),Precios!$F:$H,2,0)))</f>
        <v/>
      </c>
      <c r="R80" s="48">
        <f>IF(OR(R62="",R62=0),"",R62+(VLOOKUP(COUNT($I$6:$I$13),Precios!$F:$H,2,0)))</f>
        <v/>
      </c>
      <c r="S80" s="48">
        <f>IFERROR(__xludf.DUMMYFUNCTION("IFERROR(IF($K$10=""Sí"","""",IF($I11="""","""",IF(VLOOKUP(LEFT(S$37,SEARCH(""☃"",SUBSTITUTE(S$37,"" "",""☃"",LEN(S$37)-LEN(SUBSTITUTE(S$37,"" "",""""))))-1),Excepciones!$A:$B,2,0)&gt;=0,IF(INDEX(FILTER(Precios!$D:$D,(Precios!$A:$A&lt;=$I11)*(Precios!$B:$B&gt;=$I11"&amp;")*(Precios!$C:$C=S$37)),1)*IF(COUNT($I$6:$I$13)&gt;=5,0.85,IF(COUNT($I$6:$I$13)&gt;=4,0.9,IF(COUNT($I$6:$I$13)&gt;=3,0.95,1)))=0,"""",INDEX(FILTER(Precios!$D:$D,(Precios!$A:$A&lt;=$I11)*(Precios!$B:$B&gt;=$I11)*(Precios!$C:$C=S$37)),1)*IF(COUNT($I$6:$I$13)&gt;=5,0.85,IF(CO"&amp;"UNT($I$6:$I$13)&gt;=4,0.9,IF(COUNT($I$6:$I$13)&gt;=3,0.95,1)))),""""))), """")
"),"")</f>
        <v/>
      </c>
      <c r="T80" s="48">
        <f>IFERROR(__xludf.DUMMYFUNCTION("IFERROR(IF($I11="""","""",IF(VLOOKUP(LEFT(T$37,SEARCH(""☃"",SUBSTITUTE(T$37,"" "",""☃"",LEN(T$37)-LEN(SUBSTITUTE(T$37,"" "",""""))))-1),Excepciones!$A:$B,2,0)&gt;=0,IFERROR((INDEX(filter(Precios!$D:$D,(Precios!$A:$A&lt;=$I11)*(Precios!$B:$B&gt;=$I11)*(Precios!$C:$"&amp;"C=T$37)),1)+VLOOKUP(COUNT($I$6:$I$13),Precios!$F:$G,2,0)),""""),"""")),"""")"),"")</f>
        <v/>
      </c>
      <c r="U80" s="48">
        <f>IF(OR(U62="",U62=0),"",U62+(VLOOKUP(COUNT($I$6:$I$13),Precios!$F:$H,2,0)))</f>
        <v/>
      </c>
      <c r="V80" s="48">
        <f>IFERROR(__xludf.DUMMYFUNCTION("IFERROR(IF($K$10=""Sí"","""",IF($I11="""","""",IF(VLOOKUP(LEFT(V$37,SEARCH(""☃"",SUBSTITUTE(V$37,"" "",""☃"",LEN(V$37)-LEN(SUBSTITUTE(V$37,"" "",""""))))-1),Excepciones!$A:$B,2,0)&gt;=0,IF(INDEX(FILTER(Precios!$D:$D,(Precios!$A:$A&lt;=$I11)*(Precios!$B:$B&gt;=$I11"&amp;")*(Precios!$C:$C=V$37)),1)*IF(COUNT($I$6:$I$13)&gt;=5,0.85,IF(COUNT($I$6:$I$13)&gt;=4,0.9,IF(COUNT($I$6:$I$13)&gt;=3,0.95,1)))=0,"""",INDEX(FILTER(Precios!$D:$D,(Precios!$A:$A&lt;=$I11)*(Precios!$B:$B&gt;=$I11)*(Precios!$C:$C=V$37)),1)*IF(COUNT($I$6:$I$13)&gt;=5,0.85,IF(CO"&amp;"UNT($I$6:$I$13)&gt;=4,0.9,IF(COUNT($I$6:$I$13)&gt;=3,0.95,1)))),""""))), """")
"),"")</f>
        <v/>
      </c>
      <c r="W80" s="48">
        <f>IFERROR(__xludf.DUMMYFUNCTION("IFERROR(IF($I11="""","""",IF(VLOOKUP(LEFT(W$37,SEARCH(""☃"",SUBSTITUTE(W$37,"" "",""☃"",LEN(W$37)-LEN(SUBSTITUTE(W$37,"" "",""""))))-1),Excepciones!$A:$B,2,0)&gt;=0,IFERROR((INDEX(filter(Precios!$D:$D,(Precios!$A:$A&lt;=$I11)*(Precios!$B:$B&gt;=$I11)*(Precios!$C:$"&amp;"C=W$37)),1)+VLOOKUP(COUNT($I$6:$I$13),Precios!$F:$G,2,0)),""No asegurable""),""No asegurable"")),"""")"),"")</f>
        <v/>
      </c>
      <c r="X80" s="119">
        <f>IFERROR(__xludf.DUMMYFUNCTION("IF($K$10=""Sí"","""",IFERROR(IF($I11="""","""",IF(VLOOKUP(LEFT(X$37,SEARCH(""☃"",SUBSTITUTE(X$37,"" "",""☃"",LEN(X$37)-LEN(SUBSTITUTE(X$37,"" "",""""))))-1),Excepciones!$A:$B,2,0)&gt;=0,IFERROR(INDEX(filter(Precios!$D:$D,(Precios!$A:$A&lt;=$I11)*(Precios!$B:$B&gt;"&amp;"=$I11)*(Precios!$C:$C=X$37)),1),""No asegurable""),""No asegurable"")),""""))"),"")</f>
        <v/>
      </c>
      <c r="Y80" s="48">
        <f>IFERROR(__xludf.DUMMYFUNCTION("IFERROR(IF($I11="""","""",IF(VLOOKUP(LEFT(Y$37,SEARCH(""☃"",SUBSTITUTE(Y$37,"" "",""☃"",LEN(Y$37)-LEN(SUBSTITUTE(Y$37,"" "",""""))))-1),Excepciones!$A:$B,2,0)&gt;=0,IFERROR(INDEX(filter(Precios!$D:$D,(Precios!$A:$A&lt;=$I11)*(Precios!$B:$B&gt;=$I11)*(Precios!$C:$C"&amp;"=Y$37)),1)*1,""No asegurable""),""No asegurable"")),"""")"),"")</f>
        <v/>
      </c>
      <c r="Z80" s="48">
        <f>IFERROR(__xludf.DUMMYFUNCTION("IFERROR(IF($I11="""","""",IF(VLOOKUP(LEFT(Z$37,SEARCH(""☃"",SUBSTITUTE(Z$37,"" "",""☃"",LEN(Z$37)-LEN(SUBSTITUTE(Z$37,"" "",""""))))-1),Excepciones!$A:$B,2,0)&gt;=0,IFERROR(INDEX(filter(Precios!$D:$D,(Precios!$A:$A&lt;=$I11)*(Precios!$B:$B&gt;=$I11)*(Precios!$C:$C"&amp;"=Z$37)),1)*1,""No asegurable""),""No asegurable"")),"""")"),"")</f>
        <v/>
      </c>
      <c r="AA80" s="48">
        <f>IFERROR(__xludf.DUMMYFUNCTION("IFERROR(IF($I11="""","""",IF(VLOOKUP(LEFT(AA$37,SEARCH(""☃"",SUBSTITUTE(AA$37,"" "",""☃"",LEN(AA$37)-LEN(SUBSTITUTE(AA$37,"" "",""""))))-1),Excepciones!$A:$B,2,0)&gt;=0,IFERROR(INDEX(filter(Precios!$D:$D,(Precios!$A:$A&lt;=$I11)*(Precios!$B:$B&gt;=$I11)*(Precios!$"&amp;"C:$C=AA$37)),1)*1,""No asegurable""),""No asegurable"")),"""")"),"")</f>
        <v/>
      </c>
      <c r="AB80" s="48">
        <f>IFERROR(__xludf.DUMMYFUNCTION("IFERROR(IF($I11="""","""",IF(VLOOKUP(LEFT(AB$37,SEARCH(""☃"",SUBSTITUTE(AB$37,"" "",""☃"",LEN(AB$37)-LEN(SUBSTITUTE(AB$37,"" "",""""))))-1),Excepciones!$A:$B,2,0)&gt;=0,IFERROR(INDEX(filter(Precios!$D:$D,(Precios!$A:$A&lt;=$I11)*(Precios!$B:$B&gt;=$I11)*(Precios!$"&amp;"C:$C=AB$37)),1)*1,""No asegurable""),""No asegurable"")),"""")"),"")</f>
        <v/>
      </c>
      <c r="AC80" s="49">
        <f>IFERROR(__xludf.DUMMYFUNCTION("IFERROR(IF($I11="""","""",IF(VLOOKUP(LEFT(AC$37,SEARCH(""☃"",SUBSTITUTE(AC$37,"" "",""☃"",LEN(AC$37)-LEN(SUBSTITUTE(AC$37,"" "",""""))))-1),Excepciones!$A:$B,2,0)&gt;=0,IFERROR(INDEX(filter(Precios!$D:$D,(Precios!$A:$A&lt;=$I11)*(Precios!$B:$B&gt;=$I11)*(Precios!$"&amp;"C:$C=AC$37)),1)*1,""No asegurable""),""No asegurable"")),"""")"),"")</f>
        <v/>
      </c>
      <c r="AD80" s="5" t="n"/>
      <c r="AE80" s="5" t="n"/>
      <c r="AF80" s="5" t="n"/>
      <c r="AG80" s="5" t="n"/>
      <c r="AH80" s="125" t="n"/>
      <c r="AI80" s="125" t="n"/>
      <c r="AJ80" s="5" t="n"/>
      <c r="AK80" s="125" t="n"/>
      <c r="AL80" s="125" t="n"/>
    </row>
    <row r="81" ht="27.75" customHeight="1" s="241">
      <c r="L81" s="116" t="n">
        <v>7</v>
      </c>
      <c r="M81" s="48" t="n"/>
      <c r="N81" s="48">
        <f>IF(OR(N63="",N63=0),"",N63+(VLOOKUP(COUNT($I$6:$I$13),Precios!$F:$H,2,0)))</f>
        <v/>
      </c>
      <c r="O81" s="48">
        <f>IF(OR(O63="",O63=0),"",O63+(VLOOKUP(COUNT($I$6:$I$13),Precios!$F:$H,2,0)))</f>
        <v/>
      </c>
      <c r="P81" s="48">
        <f>IFERROR(__xludf.DUMMYFUNCTION("IFERROR(IF($K$10=""Sí"","""",IF($I12="""","""",IF(VLOOKUP(LEFT(P$37,SEARCH(""☃"",SUBSTITUTE(P$37,"" "",""☃"",LEN(P$37)-LEN(SUBSTITUTE(P$37,"" "",""""))))-1),Excepciones!$A:$B,2,0)&gt;=0,IF(INDEX(FILTER(Precios!$D:$D,(Precios!$A:$A&lt;=$I12)*(Precios!$B:$B&gt;=$I12"&amp;")*(Precios!$C:$C=P$37)),1)*IF(COUNT($I$6:$I$13)&gt;=5,0.85,IF(COUNT($I$6:$I$13)&gt;=4,0.9,IF(COUNT($I$6:$I$13)&gt;=3,0.95,1)))=0,"""",INDEX(FILTER(Precios!$D:$D,(Precios!$A:$A&lt;=$I12)*(Precios!$B:$B&gt;=$I12)*(Precios!$C:$C=P$37)),1)*IF(COUNT($I$6:$I$13)&gt;=5,0.85,IF(CO"&amp;"UNT($I$6:$I$13)&gt;=4,0.9,IF(COUNT($I$6:$I$13)&gt;=3,0.95,1)))),""""))), """")
"),"")</f>
        <v/>
      </c>
      <c r="Q81" s="48">
        <f>IF(OR(Q63="",Q63=0),"",Q63+(VLOOKUP(COUNT($I$6:$I$13),Precios!$F:$H,2,0)))</f>
        <v/>
      </c>
      <c r="R81" s="48">
        <f>IF(OR(R63="",R63=0),"",R63+(VLOOKUP(COUNT($I$6:$I$13),Precios!$F:$H,2,0)))</f>
        <v/>
      </c>
      <c r="S81" s="48">
        <f>IFERROR(__xludf.DUMMYFUNCTION("IFERROR(IF($K$10=""Sí"","""",IF($I12="""","""",IF(VLOOKUP(LEFT(S$37,SEARCH(""☃"",SUBSTITUTE(S$37,"" "",""☃"",LEN(S$37)-LEN(SUBSTITUTE(S$37,"" "",""""))))-1),Excepciones!$A:$B,2,0)&gt;=0,IF(INDEX(FILTER(Precios!$D:$D,(Precios!$A:$A&lt;=$I12)*(Precios!$B:$B&gt;=$I12"&amp;")*(Precios!$C:$C=S$37)),1)*IF(COUNT($I$6:$I$13)&gt;=5,0.85,IF(COUNT($I$6:$I$13)&gt;=4,0.9,IF(COUNT($I$6:$I$13)&gt;=3,0.95,1)))=0,"""",INDEX(FILTER(Precios!$D:$D,(Precios!$A:$A&lt;=$I12)*(Precios!$B:$B&gt;=$I12)*(Precios!$C:$C=S$37)),1)*IF(COUNT($I$6:$I$13)&gt;=5,0.85,IF(CO"&amp;"UNT($I$6:$I$13)&gt;=4,0.9,IF(COUNT($I$6:$I$13)&gt;=3,0.95,1)))),""""))), """")
"),"")</f>
        <v/>
      </c>
      <c r="T81" s="48">
        <f>IFERROR(__xludf.DUMMYFUNCTION("IFERROR(IF($I12="""","""",IF(VLOOKUP(LEFT(T$37,SEARCH(""☃"",SUBSTITUTE(T$37,"" "",""☃"",LEN(T$37)-LEN(SUBSTITUTE(T$37,"" "",""""))))-1),Excepciones!$A:$B,2,0)&gt;=0,IFERROR((INDEX(filter(Precios!$D:$D,(Precios!$A:$A&lt;=$I12)*(Precios!$B:$B&gt;=$I12)*(Precios!$C:$"&amp;"C=T$37)),1)+VLOOKUP(COUNT($I$6:$I$13),Precios!$F:$G,2,0)),""""),"""")),"""")"),"")</f>
        <v/>
      </c>
      <c r="U81" s="48">
        <f>IF(OR(U63="",U63=0),"",U63+(VLOOKUP(COUNT($I$6:$I$13),Precios!$F:$H,2,0)))</f>
        <v/>
      </c>
      <c r="V81" s="48">
        <f>IFERROR(__xludf.DUMMYFUNCTION("IFERROR(IF($K$10=""Sí"","""",IF($I12="""","""",IF(VLOOKUP(LEFT(V$37,SEARCH(""☃"",SUBSTITUTE(V$37,"" "",""☃"",LEN(V$37)-LEN(SUBSTITUTE(V$37,"" "",""""))))-1),Excepciones!$A:$B,2,0)&gt;=0,IF(INDEX(FILTER(Precios!$D:$D,(Precios!$A:$A&lt;=$I12)*(Precios!$B:$B&gt;=$I12"&amp;")*(Precios!$C:$C=V$37)),1)*IF(COUNT($I$6:$I$13)&gt;=5,0.85,IF(COUNT($I$6:$I$13)&gt;=4,0.9,IF(COUNT($I$6:$I$13)&gt;=3,0.95,1)))=0,"""",INDEX(FILTER(Precios!$D:$D,(Precios!$A:$A&lt;=$I12)*(Precios!$B:$B&gt;=$I12)*(Precios!$C:$C=V$37)),1)*IF(COUNT($I$6:$I$13)&gt;=5,0.85,IF(CO"&amp;"UNT($I$6:$I$13)&gt;=4,0.9,IF(COUNT($I$6:$I$13)&gt;=3,0.95,1)))),""""))), """")
"),"")</f>
        <v/>
      </c>
      <c r="W81" s="48">
        <f>IFERROR(__xludf.DUMMYFUNCTION("IFERROR(IF($I12="""","""",IF(VLOOKUP(LEFT(W$37,SEARCH(""☃"",SUBSTITUTE(W$37,"" "",""☃"",LEN(W$37)-LEN(SUBSTITUTE(W$37,"" "",""""))))-1),Excepciones!$A:$B,2,0)&gt;=0,IFERROR((INDEX(filter(Precios!$D:$D,(Precios!$A:$A&lt;=$I12)*(Precios!$B:$B&gt;=$I12)*(Precios!$C:$"&amp;"C=W$37)),1)+VLOOKUP(COUNT($I$6:$I$13),Precios!$F:$G,2,0)),""No asegurable""),""No asegurable"")),"""")"),"")</f>
        <v/>
      </c>
      <c r="X81" s="119">
        <f>IFERROR(__xludf.DUMMYFUNCTION("IF($K$10=""Sí"","""",IFERROR(IF($I12="""","""",IF(VLOOKUP(LEFT(X$37,SEARCH(""☃"",SUBSTITUTE(X$37,"" "",""☃"",LEN(X$37)-LEN(SUBSTITUTE(X$37,"" "",""""))))-1),Excepciones!$A:$B,2,0)&gt;=0,IFERROR(INDEX(filter(Precios!$D:$D,(Precios!$A:$A&lt;=$I12)*(Precios!$B:$B&gt;"&amp;"=$I12)*(Precios!$C:$C=X$37)),1),""No asegurable""),""No asegurable"")),""""))"),"")</f>
        <v/>
      </c>
      <c r="Y81" s="48">
        <f>IFERROR(__xludf.DUMMYFUNCTION("IFERROR(IF($I12="""","""",IF(VLOOKUP(LEFT(Y$37,SEARCH(""☃"",SUBSTITUTE(Y$37,"" "",""☃"",LEN(Y$37)-LEN(SUBSTITUTE(Y$37,"" "",""""))))-1),Excepciones!$A:$B,2,0)&gt;=0,IFERROR(INDEX(filter(Precios!$D:$D,(Precios!$A:$A&lt;=$I12)*(Precios!$B:$B&gt;=$I12)*(Precios!$C:$C"&amp;"=Y$37)),1)*1,""No asegurable""),""No asegurable"")),"""")"),"")</f>
        <v/>
      </c>
      <c r="Z81" s="48">
        <f>IFERROR(__xludf.DUMMYFUNCTION("IFERROR(IF($I12="""","""",IF(VLOOKUP(LEFT(Z$37,SEARCH(""☃"",SUBSTITUTE(Z$37,"" "",""☃"",LEN(Z$37)-LEN(SUBSTITUTE(Z$37,"" "",""""))))-1),Excepciones!$A:$B,2,0)&gt;=0,IFERROR(INDEX(filter(Precios!$D:$D,(Precios!$A:$A&lt;=$I12)*(Precios!$B:$B&gt;=$I12)*(Precios!$C:$C"&amp;"=Z$37)),1)*1,""No asegurable""),""No asegurable"")),"""")"),"")</f>
        <v/>
      </c>
      <c r="AA81" s="48">
        <f>IFERROR(__xludf.DUMMYFUNCTION("IFERROR(IF($I12="""","""",IF(VLOOKUP(LEFT(AA$37,SEARCH(""☃"",SUBSTITUTE(AA$37,"" "",""☃"",LEN(AA$37)-LEN(SUBSTITUTE(AA$37,"" "",""""))))-1),Excepciones!$A:$B,2,0)&gt;=0,IFERROR(INDEX(filter(Precios!$D:$D,(Precios!$A:$A&lt;=$I12)*(Precios!$B:$B&gt;=$I12)*(Precios!$"&amp;"C:$C=AA$37)),1)*1,""No asegurable""),""No asegurable"")),"""")"),"")</f>
        <v/>
      </c>
      <c r="AB81" s="48">
        <f>IFERROR(__xludf.DUMMYFUNCTION("IFERROR(IF($I12="""","""",IF(VLOOKUP(LEFT(AB$37,SEARCH(""☃"",SUBSTITUTE(AB$37,"" "",""☃"",LEN(AB$37)-LEN(SUBSTITUTE(AB$37,"" "",""""))))-1),Excepciones!$A:$B,2,0)&gt;=0,IFERROR(INDEX(filter(Precios!$D:$D,(Precios!$A:$A&lt;=$I12)*(Precios!$B:$B&gt;=$I12)*(Precios!$"&amp;"C:$C=AB$37)),1)*1,""No asegurable""),""No asegurable"")),"""")"),"")</f>
        <v/>
      </c>
      <c r="AC81" s="49">
        <f>IFERROR(__xludf.DUMMYFUNCTION("IFERROR(IF($I12="""","""",IF(VLOOKUP(LEFT(AC$37,SEARCH(""☃"",SUBSTITUTE(AC$37,"" "",""☃"",LEN(AC$37)-LEN(SUBSTITUTE(AC$37,"" "",""""))))-1),Excepciones!$A:$B,2,0)&gt;=0,IFERROR(INDEX(filter(Precios!$D:$D,(Precios!$A:$A&lt;=$I12)*(Precios!$B:$B&gt;=$I12)*(Precios!$"&amp;"C:$C=AC$37)),1)*1,""No asegurable""),""No asegurable"")),"""")"),"")</f>
        <v/>
      </c>
      <c r="AD81" s="5" t="n"/>
      <c r="AE81" s="5" t="n"/>
      <c r="AF81" s="5" t="n"/>
      <c r="AG81" s="5" t="n"/>
      <c r="AH81" s="125" t="n"/>
      <c r="AI81" s="125" t="n"/>
      <c r="AJ81" s="5" t="n"/>
      <c r="AK81" s="125" t="n"/>
      <c r="AL81" s="125" t="n"/>
    </row>
    <row r="82" ht="27.75" customHeight="1" s="241">
      <c r="L82" s="116" t="n">
        <v>8</v>
      </c>
      <c r="M82" s="48" t="n"/>
      <c r="N82" s="48">
        <f>IF(OR(N64="",N64=0),"",N64+(VLOOKUP(COUNT($I$6:$I$13),Precios!$F:$H,2,0)))</f>
        <v/>
      </c>
      <c r="O82" s="48">
        <f>IF(OR(O64="",O64=0),"",O64+(VLOOKUP(COUNT($I$6:$I$13),Precios!$F:$H,2,0)))</f>
        <v/>
      </c>
      <c r="P82" s="48">
        <f>IFERROR(__xludf.DUMMYFUNCTION("IFERROR(IF($K$10=""Sí"","""",IF($I13="""","""",IF(VLOOKUP(LEFT(P$37,SEARCH(""☃"",SUBSTITUTE(P$37,"" "",""☃"",LEN(P$37)-LEN(SUBSTITUTE(P$37,"" "",""""))))-1),Excepciones!$A:$B,2,0)&gt;=0,IF(INDEX(FILTER(Precios!$D:$D,(Precios!$A:$A&lt;=$I13)*(Precios!$B:$B&gt;=$I13"&amp;")*(Precios!$C:$C=P$37)),1)*IF(COUNT($I$6:$I$13)&gt;=5,0.85,IF(COUNT($I$6:$I$13)&gt;=4,0.9,IF(COUNT($I$6:$I$13)&gt;=3,0.95,1)))=0,"""",INDEX(FILTER(Precios!$D:$D,(Precios!$A:$A&lt;=$I13)*(Precios!$B:$B&gt;=$I13)*(Precios!$C:$C=P$37)),1)*IF(COUNT($I$6:$I$13)&gt;=5,0.85,IF(CO"&amp;"UNT($I$6:$I$13)&gt;=4,0.9,IF(COUNT($I$6:$I$13)&gt;=3,0.95,1)))),""""))), """")
"),"")</f>
        <v/>
      </c>
      <c r="Q82" s="48">
        <f>IF(OR(Q64="",Q64=0),"",Q64+(VLOOKUP(COUNT($I$6:$I$13),Precios!$F:$H,2,0)))</f>
        <v/>
      </c>
      <c r="R82" s="48">
        <f>IF(OR(R64="",R64=0),"",R64+(VLOOKUP(COUNT($I$6:$I$13),Precios!$F:$H,2,0)))</f>
        <v/>
      </c>
      <c r="S82" s="48">
        <f>IFERROR(__xludf.DUMMYFUNCTION("IFERROR(IF($K$10=""Sí"","""",IF($I13="""","""",IF(VLOOKUP(LEFT(S$37,SEARCH(""☃"",SUBSTITUTE(S$37,"" "",""☃"",LEN(S$37)-LEN(SUBSTITUTE(S$37,"" "",""""))))-1),Excepciones!$A:$B,2,0)&gt;=0,IF(INDEX(FILTER(Precios!$D:$D,(Precios!$A:$A&lt;=$I13)*(Precios!$B:$B&gt;=$I13"&amp;")*(Precios!$C:$C=S$37)),1)*IF(COUNT($I$6:$I$13)&gt;=5,0.85,IF(COUNT($I$6:$I$13)&gt;=4,0.9,IF(COUNT($I$6:$I$13)&gt;=3,0.95,1)))=0,"""",INDEX(FILTER(Precios!$D:$D,(Precios!$A:$A&lt;=$I13)*(Precios!$B:$B&gt;=$I13)*(Precios!$C:$C=S$37)),1)*IF(COUNT($I$6:$I$13)&gt;=5,0.85,IF(CO"&amp;"UNT($I$6:$I$13)&gt;=4,0.9,IF(COUNT($I$6:$I$13)&gt;=3,0.95,1)))),""""))), """")
"),"")</f>
        <v/>
      </c>
      <c r="T82" s="48">
        <f>IFERROR(__xludf.DUMMYFUNCTION("IFERROR(IF($I13="""","""",IF(VLOOKUP(LEFT(T$37,SEARCH(""☃"",SUBSTITUTE(T$37,"" "",""☃"",LEN(T$37)-LEN(SUBSTITUTE(T$37,"" "",""""))))-1),Excepciones!$A:$B,2,0)&gt;=0,IFERROR((INDEX(filter(Precios!$D:$D,(Precios!$A:$A&lt;=$I13)*(Precios!$B:$B&gt;=$I13)*(Precios!$C:$"&amp;"C=T$37)),1)+VLOOKUP(COUNT($I$6:$I$13),Precios!$F:$G,2,0)),""""),"""")),"""")"),"")</f>
        <v/>
      </c>
      <c r="U82" s="48">
        <f>IF(OR(U64="",U64=0),"",U64+(VLOOKUP(COUNT($I$6:$I$13),Precios!$F:$H,2,0)))</f>
        <v/>
      </c>
      <c r="V82" s="48">
        <f>IFERROR(__xludf.DUMMYFUNCTION("IFERROR(IF($K$10=""Sí"","""",IF($I13="""","""",IF(VLOOKUP(LEFT(V$37,SEARCH(""☃"",SUBSTITUTE(V$37,"" "",""☃"",LEN(V$37)-LEN(SUBSTITUTE(V$37,"" "",""""))))-1),Excepciones!$A:$B,2,0)&gt;=0,IF(INDEX(FILTER(Precios!$D:$D,(Precios!$A:$A&lt;=$I13)*(Precios!$B:$B&gt;=$I13"&amp;")*(Precios!$C:$C=V$37)),1)*IF(COUNT($I$6:$I$13)&gt;=5,0.85,IF(COUNT($I$6:$I$13)&gt;=4,0.9,IF(COUNT($I$6:$I$13)&gt;=3,0.95,1)))=0,"""",INDEX(FILTER(Precios!$D:$D,(Precios!$A:$A&lt;=$I13)*(Precios!$B:$B&gt;=$I13)*(Precios!$C:$C=V$37)),1)*IF(COUNT($I$6:$I$13)&gt;=5,0.85,IF(CO"&amp;"UNT($I$6:$I$13)&gt;=4,0.9,IF(COUNT($I$6:$I$13)&gt;=3,0.95,1)))),""""))), """")
"),"")</f>
        <v/>
      </c>
      <c r="W82" s="48">
        <f>IFERROR(__xludf.DUMMYFUNCTION("IFERROR(IF($I13="""","""",IF(VLOOKUP(LEFT(W$37,SEARCH(""☃"",SUBSTITUTE(W$37,"" "",""☃"",LEN(W$37)-LEN(SUBSTITUTE(W$37,"" "",""""))))-1),Excepciones!$A:$B,2,0)&gt;=0,IFERROR((INDEX(filter(Precios!$D:$D,(Precios!$A:$A&lt;=$I13)*(Precios!$B:$B&gt;=$I13)*(Precios!$C:$"&amp;"C=W$37)),1)+VLOOKUP(COUNT($I$6:$I$13),Precios!$F:$G,2,0)),""No asegurable""),""No asegurable"")),"""")"),"")</f>
        <v/>
      </c>
      <c r="X82" s="119">
        <f>IFERROR(__xludf.DUMMYFUNCTION("IF($K$10=""Sí"","""",IFERROR(IF($I13="""","""",IF(VLOOKUP(LEFT(X$37,SEARCH(""☃"",SUBSTITUTE(X$37,"" "",""☃"",LEN(X$37)-LEN(SUBSTITUTE(X$37,"" "",""""))))-1),Excepciones!$A:$B,2,0)&gt;=0,IFERROR(INDEX(filter(Precios!$D:$D,(Precios!$A:$A&lt;=$I13)*(Precios!$B:$B&gt;"&amp;"=$I13)*(Precios!$C:$C=X$37)),1),""No asegurable""),""No asegurable"")),""""))"),"")</f>
        <v/>
      </c>
      <c r="Y82" s="48">
        <f>IFERROR(__xludf.DUMMYFUNCTION("IFERROR(IF($I13="""","""",IF(VLOOKUP(LEFT(Y$37,SEARCH(""☃"",SUBSTITUTE(Y$37,"" "",""☃"",LEN(Y$37)-LEN(SUBSTITUTE(Y$37,"" "",""""))))-1),Excepciones!$A:$B,2,0)&gt;=0,IFERROR(INDEX(filter(Precios!$D:$D,(Precios!$A:$A&lt;=$I13)*(Precios!$B:$B&gt;=$I13)*(Precios!$C:$C"&amp;"=Y$37)),1)*1,""No asegurable""),""No asegurable"")),"""")"),"")</f>
        <v/>
      </c>
      <c r="Z82" s="48">
        <f>IFERROR(__xludf.DUMMYFUNCTION("IFERROR(IF($I13="""","""",IF(VLOOKUP(LEFT(Z$37,SEARCH(""☃"",SUBSTITUTE(Z$37,"" "",""☃"",LEN(Z$37)-LEN(SUBSTITUTE(Z$37,"" "",""""))))-1),Excepciones!$A:$B,2,0)&gt;=0,IFERROR(INDEX(filter(Precios!$D:$D,(Precios!$A:$A&lt;=$I13)*(Precios!$B:$B&gt;=$I13)*(Precios!$C:$C"&amp;"=Z$37)),1)*1,""No asegurable""),""No asegurable"")),"""")"),"")</f>
        <v/>
      </c>
      <c r="AA82" s="48">
        <f>IFERROR(__xludf.DUMMYFUNCTION("IFERROR(IF($I13="""","""",IF(VLOOKUP(LEFT(AA$37,SEARCH(""☃"",SUBSTITUTE(AA$37,"" "",""☃"",LEN(AA$37)-LEN(SUBSTITUTE(AA$37,"" "",""""))))-1),Excepciones!$A:$B,2,0)&gt;=0,IFERROR(INDEX(filter(Precios!$D:$D,(Precios!$A:$A&lt;=$I13)*(Precios!$B:$B&gt;=$I13)*(Precios!$"&amp;"C:$C=AA$37)),1)*1,""No asegurable""),""No asegurable"")),"""")"),"")</f>
        <v/>
      </c>
      <c r="AB82" s="48">
        <f>IFERROR(__xludf.DUMMYFUNCTION("IFERROR(IF($I13="""","""",IF(VLOOKUP(LEFT(AB$37,SEARCH(""☃"",SUBSTITUTE(AB$37,"" "",""☃"",LEN(AB$37)-LEN(SUBSTITUTE(AB$37,"" "",""""))))-1),Excepciones!$A:$B,2,0)&gt;=0,IFERROR(INDEX(filter(Precios!$D:$D,(Precios!$A:$A&lt;=$I13)*(Precios!$B:$B&gt;=$I13)*(Precios!$"&amp;"C:$C=AB$37)),1)*1,""No asegurable""),""No asegurable"")),"""")"),"")</f>
        <v/>
      </c>
      <c r="AC82" s="49">
        <f>IFERROR(__xludf.DUMMYFUNCTION("IFERROR(IF($I13="""","""",IF(VLOOKUP(LEFT(AC$37,SEARCH(""☃"",SUBSTITUTE(AC$37,"" "",""☃"",LEN(AC$37)-LEN(SUBSTITUTE(AC$37,"" "",""""))))-1),Excepciones!$A:$B,2,0)&gt;=0,IFERROR(INDEX(filter(Precios!$D:$D,(Precios!$A:$A&lt;=$I13)*(Precios!$B:$B&gt;=$I13)*(Precios!$"&amp;"C:$C=AC$37)),1)*1,""No asegurable""),""No asegurable"")),"""")"),"")</f>
        <v/>
      </c>
      <c r="AD82" s="5" t="n"/>
      <c r="AE82" s="5" t="n"/>
      <c r="AF82" s="5" t="n"/>
      <c r="AG82" s="5" t="n"/>
      <c r="AH82" s="125" t="n"/>
      <c r="AI82" s="125" t="n"/>
      <c r="AJ82" s="5" t="n"/>
      <c r="AK82" s="125" t="n"/>
      <c r="AL82" s="125" t="n"/>
    </row>
    <row r="83" ht="27.75" customHeight="1" s="241">
      <c r="L83" s="116" t="n">
        <v>9</v>
      </c>
      <c r="M83" s="5" t="n"/>
      <c r="N83" s="48">
        <f>IF(OR(N65="",N65=0),"",N65+(VLOOKUP(COUNT($I$6:$I$13),Precios!$F:$H,2,0)))</f>
        <v/>
      </c>
      <c r="O83" s="48">
        <f>IF(OR(O65="",O65=0),"",O65+(VLOOKUP(COUNT($I$6:$I$13),Precios!$F:$H,2,0)))</f>
        <v/>
      </c>
      <c r="P83" s="48">
        <f>IFERROR(__xludf.DUMMYFUNCTION("IFERROR(IF($K$10=""Sí"","""",IF($I14="""","""",IF(VLOOKUP(LEFT(P$37,SEARCH(""☃"",SUBSTITUTE(P$37,"" "",""☃"",LEN(P$37)-LEN(SUBSTITUTE(P$37,"" "",""""))))-1),Excepciones!$A:$B,2,0)&gt;=0,IF(INDEX(FILTER(Precios!$D:$D,(Precios!$A:$A&lt;=$I14)*(Precios!$B:$B&gt;=$I14"&amp;")*(Precios!$C:$C=P$37)),1)*IF(COUNT($I$6:$I$13)&gt;=5,0.85,IF(COUNT($I$6:$I$13)&gt;=4,0.9,IF(COUNT($I$6:$I$13)&gt;=3,0.95,1)))=0,"""",INDEX(FILTER(Precios!$D:$D,(Precios!$A:$A&lt;=$I14)*(Precios!$B:$B&gt;=$I14)*(Precios!$C:$C=P$37)),1)*IF(COUNT($I$6:$I$13)&gt;=5,0.85,IF(CO"&amp;"UNT($I$6:$I$13)&gt;=4,0.9,IF(COUNT($I$6:$I$13)&gt;=3,0.95,1)))),""""))), """")
"),"")</f>
        <v/>
      </c>
      <c r="Q83" s="48">
        <f>IF(OR(Q65="",Q65=0),"",Q65+(VLOOKUP(COUNT($I$6:$I$13),Precios!$F:$H,2,0)))</f>
        <v/>
      </c>
      <c r="R83" s="48">
        <f>IF(OR(R65="",R65=0),"",R65+(VLOOKUP(COUNT($I$6:$I$13),Precios!$F:$H,2,0)))</f>
        <v/>
      </c>
      <c r="S83" s="48">
        <f>IFERROR(__xludf.DUMMYFUNCTION("IFERROR(IF($K$10=""Sí"","""",IF($I14="""","""",IF(VLOOKUP(LEFT(S$37,SEARCH(""☃"",SUBSTITUTE(S$37,"" "",""☃"",LEN(S$37)-LEN(SUBSTITUTE(S$37,"" "",""""))))-1),Excepciones!$A:$B,2,0)&gt;=0,IF(INDEX(FILTER(Precios!$D:$D,(Precios!$A:$A&lt;=$I14)*(Precios!$B:$B&gt;=$I14"&amp;")*(Precios!$C:$C=S$37)),1)*IF(COUNT($I$6:$I$13)&gt;=5,0.85,IF(COUNT($I$6:$I$13)&gt;=4,0.9,IF(COUNT($I$6:$I$13)&gt;=3,0.95,1)))=0,"""",INDEX(FILTER(Precios!$D:$D,(Precios!$A:$A&lt;=$I14)*(Precios!$B:$B&gt;=$I14)*(Precios!$C:$C=S$37)),1)*IF(COUNT($I$6:$I$13)&gt;=5,0.85,IF(CO"&amp;"UNT($I$6:$I$13)&gt;=4,0.9,IF(COUNT($I$6:$I$13)&gt;=3,0.95,1)))),""""))), """")
"),"")</f>
        <v/>
      </c>
      <c r="T83" s="48">
        <f>IFERROR(__xludf.DUMMYFUNCTION("IFERROR(IF($I14="""","""",IF(VLOOKUP(LEFT(T$37,SEARCH(""☃"",SUBSTITUTE(T$37,"" "",""☃"",LEN(T$37)-LEN(SUBSTITUTE(T$37,"" "",""""))))-1),Excepciones!$A:$B,2,0)&gt;=0,IFERROR((INDEX(filter(Precios!$D:$D,(Precios!$A:$A&lt;=$I14)*(Precios!$B:$B&gt;=$I14)*(Precios!$C:$"&amp;"C=T$37)),1)+VLOOKUP(COUNT($I$6:$I$13),Precios!$F:$G,2,0)),""""),"""")),"""")"),"")</f>
        <v/>
      </c>
      <c r="U83" s="48">
        <f>IF(OR(U65="",U65=0),"",U65+(VLOOKUP(COUNT($I$6:$I$13),Precios!$F:$H,2,0)))</f>
        <v/>
      </c>
      <c r="V83" s="48">
        <f>IFERROR(__xludf.DUMMYFUNCTION("IFERROR(IF($K$10=""Sí"","""",IF($I14="""","""",IF(VLOOKUP(LEFT(V$37,SEARCH(""☃"",SUBSTITUTE(V$37,"" "",""☃"",LEN(V$37)-LEN(SUBSTITUTE(V$37,"" "",""""))))-1),Excepciones!$A:$B,2,0)&gt;=0,IF(INDEX(FILTER(Precios!$D:$D,(Precios!$A:$A&lt;=$I14)*(Precios!$B:$B&gt;=$I14"&amp;")*(Precios!$C:$C=V$37)),1)*IF(COUNT($I$6:$I$13)&gt;=5,0.85,IF(COUNT($I$6:$I$13)&gt;=4,0.9,IF(COUNT($I$6:$I$13)&gt;=3,0.95,1)))=0,"""",INDEX(FILTER(Precios!$D:$D,(Precios!$A:$A&lt;=$I14)*(Precios!$B:$B&gt;=$I14)*(Precios!$C:$C=V$37)),1)*IF(COUNT($I$6:$I$13)&gt;=5,0.85,IF(CO"&amp;"UNT($I$6:$I$13)&gt;=4,0.9,IF(COUNT($I$6:$I$13)&gt;=3,0.95,1)))),""""))), """")
"),"")</f>
        <v/>
      </c>
      <c r="W83" s="48">
        <f>IFERROR(__xludf.DUMMYFUNCTION("IFERROR(IF($I14="""","""",IF(VLOOKUP(LEFT(W$37,SEARCH(""☃"",SUBSTITUTE(W$37,"" "",""☃"",LEN(W$37)-LEN(SUBSTITUTE(W$37,"" "",""""))))-1),Excepciones!$A:$B,2,0)&gt;=0,IFERROR((INDEX(filter(Precios!$D:$D,(Precios!$A:$A&lt;=$I14)*(Precios!$B:$B&gt;=$I14)*(Precios!$C:$"&amp;"C=W$37)),1)+VLOOKUP(COUNT($I$6:$I$13),Precios!$F:$G,2,0)),""No asegurable""),""No asegurable"")),"""")"),"")</f>
        <v/>
      </c>
      <c r="X83" s="119">
        <f>IFERROR(__xludf.DUMMYFUNCTION("IF($K$10=""Sí"","""",IFERROR(IF($I14="""","""",IF(VLOOKUP(LEFT(X$37,SEARCH(""☃"",SUBSTITUTE(X$37,"" "",""☃"",LEN(X$37)-LEN(SUBSTITUTE(X$37,"" "",""""))))-1),Excepciones!$A:$B,2,0)&gt;=0,IFERROR(INDEX(filter(Precios!$D:$D,(Precios!$A:$A&lt;=$I14)*(Precios!$B:$B&gt;"&amp;"=$I14)*(Precios!$C:$C=X$37)),1),""No asegurable""),""No asegurable"")),""""))"),"")</f>
        <v/>
      </c>
      <c r="Y83" s="48">
        <f>IFERROR(__xludf.DUMMYFUNCTION("IFERROR(IF($I14="""","""",IF(VLOOKUP(LEFT(Y$37,SEARCH(""☃"",SUBSTITUTE(Y$37,"" "",""☃"",LEN(Y$37)-LEN(SUBSTITUTE(Y$37,"" "",""""))))-1),Excepciones!$A:$B,2,0)&gt;=0,IFERROR(INDEX(filter(Precios!$D:$D,(Precios!$A:$A&lt;=$I14)*(Precios!$B:$B&gt;=$I14)*(Precios!$C:$C"&amp;"=Y$37)),1)*1,""No asegurable""),""No asegurable"")),"""")"),"")</f>
        <v/>
      </c>
      <c r="Z83" s="48">
        <f>IFERROR(__xludf.DUMMYFUNCTION("IFERROR(IF($I14="""","""",IF(VLOOKUP(LEFT(Z$37,SEARCH(""☃"",SUBSTITUTE(Z$37,"" "",""☃"",LEN(Z$37)-LEN(SUBSTITUTE(Z$37,"" "",""""))))-1),Excepciones!$A:$B,2,0)&gt;=0,IFERROR(INDEX(filter(Precios!$D:$D,(Precios!$A:$A&lt;=$I14)*(Precios!$B:$B&gt;=$I14)*(Precios!$C:$C"&amp;"=Z$37)),1)*1,""No asegurable""),""No asegurable"")),"""")"),"")</f>
        <v/>
      </c>
      <c r="AA83" s="48">
        <f>IFERROR(__xludf.DUMMYFUNCTION("IFERROR(IF($I14="""","""",IF(VLOOKUP(LEFT(AA$37,SEARCH(""☃"",SUBSTITUTE(AA$37,"" "",""☃"",LEN(AA$37)-LEN(SUBSTITUTE(AA$37,"" "",""""))))-1),Excepciones!$A:$B,2,0)&gt;=0,IFERROR(INDEX(filter(Precios!$D:$D,(Precios!$A:$A&lt;=$I14)*(Precios!$B:$B&gt;=$I14)*(Precios!$"&amp;"C:$C=AA$37)),1)*1,""No asegurable""),""No asegurable"")),"""")"),"")</f>
        <v/>
      </c>
      <c r="AB83" s="48">
        <f>IFERROR(__xludf.DUMMYFUNCTION("IFERROR(IF($I14="""","""",IF(VLOOKUP(LEFT(AB$37,SEARCH(""☃"",SUBSTITUTE(AB$37,"" "",""☃"",LEN(AB$37)-LEN(SUBSTITUTE(AB$37,"" "",""""))))-1),Excepciones!$A:$B,2,0)&gt;=0,IFERROR(INDEX(filter(Precios!$D:$D,(Precios!$A:$A&lt;=$I14)*(Precios!$B:$B&gt;=$I14)*(Precios!$"&amp;"C:$C=AB$37)),1)*1,""No asegurable""),""No asegurable"")),"""")"),"")</f>
        <v/>
      </c>
      <c r="AC83" s="49">
        <f>IFERROR(__xludf.DUMMYFUNCTION("IFERROR(IF($I14="""","""",IF(VLOOKUP(LEFT(AC$37,SEARCH(""☃"",SUBSTITUTE(AC$37,"" "",""☃"",LEN(AC$37)-LEN(SUBSTITUTE(AC$37,"" "",""""))))-1),Excepciones!$A:$B,2,0)&gt;=0,IFERROR(INDEX(filter(Precios!$D:$D,(Precios!$A:$A&lt;=$I14)*(Precios!$B:$B&gt;=$I14)*(Precios!$"&amp;"C:$C=AC$37)),1)*1,""No asegurable""),""No asegurable"")),"""")"),"")</f>
        <v/>
      </c>
      <c r="AD83" s="5" t="n"/>
      <c r="AE83" s="5" t="n"/>
      <c r="AF83" s="5" t="n"/>
      <c r="AG83" s="5" t="n"/>
      <c r="AH83" s="125" t="n"/>
      <c r="AI83" s="125" t="n"/>
      <c r="AJ83" s="5" t="n"/>
      <c r="AK83" s="125" t="n"/>
      <c r="AL83" s="125" t="n"/>
    </row>
    <row r="84" ht="27.75" customHeight="1" s="241">
      <c r="L84" s="116" t="n">
        <v>10</v>
      </c>
      <c r="N84" s="48">
        <f>IF(OR(N66="",N66=0),"",N66+(VLOOKUP(COUNT($I$6:$I$13),Precios!$F:$H,2,0)))</f>
        <v/>
      </c>
      <c r="O84" s="48">
        <f>IF(OR(O66="",O66=0),"",O66+(VLOOKUP(COUNT($I$6:$I$13),Precios!$F:$H,2,0)))</f>
        <v/>
      </c>
      <c r="P84" s="48">
        <f>IFERROR(__xludf.DUMMYFUNCTION("IFERROR(IF($K$10=""Sí"","""",IF($I15="""","""",IF(VLOOKUP(LEFT(P$37,SEARCH(""☃"",SUBSTITUTE(P$37,"" "",""☃"",LEN(P$37)-LEN(SUBSTITUTE(P$37,"" "",""""))))-1),Excepciones!$A:$B,2,0)&gt;=0,IF(INDEX(FILTER(Precios!$D:$D,(Precios!$A:$A&lt;=$I15)*(Precios!$B:$B&gt;=$I15"&amp;")*(Precios!$C:$C=P$37)),1)*IF(COUNT($I$6:$I$13)&gt;=5,0.85,IF(COUNT($I$6:$I$13)&gt;=4,0.9,IF(COUNT($I$6:$I$13)&gt;=3,0.95,1)))=0,"""",INDEX(FILTER(Precios!$D:$D,(Precios!$A:$A&lt;=$I15)*(Precios!$B:$B&gt;=$I15)*(Precios!$C:$C=P$37)),1)*IF(COUNT($I$6:$I$13)&gt;=5,0.85,IF(CO"&amp;"UNT($I$6:$I$13)&gt;=4,0.9,IF(COUNT($I$6:$I$13)&gt;=3,0.95,1)))),""""))), """")
"),"")</f>
        <v/>
      </c>
      <c r="Q84" s="48">
        <f>IF(OR(Q66="",Q66=0),"",Q66+(VLOOKUP(COUNT($I$6:$I$13),Precios!$F:$H,2,0)))</f>
        <v/>
      </c>
      <c r="R84" s="48">
        <f>IF(OR(R66="",R66=0),"",R66+(VLOOKUP(COUNT($I$6:$I$13),Precios!$F:$H,2,0)))</f>
        <v/>
      </c>
      <c r="S84" s="48">
        <f>IFERROR(__xludf.DUMMYFUNCTION("IFERROR(IF($K$10=""Sí"","""",IF($I15="""","""",IF(VLOOKUP(LEFT(S$37,SEARCH(""☃"",SUBSTITUTE(S$37,"" "",""☃"",LEN(S$37)-LEN(SUBSTITUTE(S$37,"" "",""""))))-1),Excepciones!$A:$B,2,0)&gt;=0,IF(INDEX(FILTER(Precios!$D:$D,(Precios!$A:$A&lt;=$I15)*(Precios!$B:$B&gt;=$I15"&amp;")*(Precios!$C:$C=S$37)),1)*IF(COUNT($I$6:$I$13)&gt;=5,0.85,IF(COUNT($I$6:$I$13)&gt;=4,0.9,IF(COUNT($I$6:$I$13)&gt;=3,0.95,1)))=0,"""",INDEX(FILTER(Precios!$D:$D,(Precios!$A:$A&lt;=$I15)*(Precios!$B:$B&gt;=$I15)*(Precios!$C:$C=S$37)),1)*IF(COUNT($I$6:$I$13)&gt;=5,0.85,IF(CO"&amp;"UNT($I$6:$I$13)&gt;=4,0.9,IF(COUNT($I$6:$I$13)&gt;=3,0.95,1)))),""""))), """")
"),"")</f>
        <v/>
      </c>
      <c r="T84" s="48">
        <f>IFERROR(__xludf.DUMMYFUNCTION("IFERROR(IF($I15="""","""",IF(VLOOKUP(LEFT(T$37,SEARCH(""☃"",SUBSTITUTE(T$37,"" "",""☃"",LEN(T$37)-LEN(SUBSTITUTE(T$37,"" "",""""))))-1),Excepciones!$A:$B,2,0)&gt;=0,IFERROR((INDEX(filter(Precios!$D:$D,(Precios!$A:$A&lt;=$I15)*(Precios!$B:$B&gt;=$I15)*(Precios!$C:$"&amp;"C=T$37)),1)+VLOOKUP(COUNT($I$6:$I$13),Precios!$F:$G,2,0)),""""),"""")),"""")"),"")</f>
        <v/>
      </c>
      <c r="U84" s="48">
        <f>IF(OR(U66="",U66=0),"",U66+(VLOOKUP(COUNT($I$6:$I$13),Precios!$F:$H,2,0)))</f>
        <v/>
      </c>
      <c r="V84" s="48">
        <f>IFERROR(__xludf.DUMMYFUNCTION("IFERROR(IF($K$10=""Sí"","""",IF($I15="""","""",IF(VLOOKUP(LEFT(V$37,SEARCH(""☃"",SUBSTITUTE(V$37,"" "",""☃"",LEN(V$37)-LEN(SUBSTITUTE(V$37,"" "",""""))))-1),Excepciones!$A:$B,2,0)&gt;=0,IF(INDEX(FILTER(Precios!$D:$D,(Precios!$A:$A&lt;=$I15)*(Precios!$B:$B&gt;=$I15"&amp;")*(Precios!$C:$C=V$37)),1)*IF(COUNT($I$6:$I$13)&gt;=5,0.85,IF(COUNT($I$6:$I$13)&gt;=4,0.9,IF(COUNT($I$6:$I$13)&gt;=3,0.95,1)))=0,"""",INDEX(FILTER(Precios!$D:$D,(Precios!$A:$A&lt;=$I15)*(Precios!$B:$B&gt;=$I15)*(Precios!$C:$C=V$37)),1)*IF(COUNT($I$6:$I$13)&gt;=5,0.85,IF(CO"&amp;"UNT($I$6:$I$13)&gt;=4,0.9,IF(COUNT($I$6:$I$13)&gt;=3,0.95,1)))),""""))), """")
"),"")</f>
        <v/>
      </c>
      <c r="W84" s="48">
        <f>IFERROR(__xludf.DUMMYFUNCTION("IFERROR(IF($I15="""","""",IF(VLOOKUP(LEFT(W$37,SEARCH(""☃"",SUBSTITUTE(W$37,"" "",""☃"",LEN(W$37)-LEN(SUBSTITUTE(W$37,"" "",""""))))-1),Excepciones!$A:$B,2,0)&gt;=0,IFERROR((INDEX(filter(Precios!$D:$D,(Precios!$A:$A&lt;=$I15)*(Precios!$B:$B&gt;=$I15)*(Precios!$C:$"&amp;"C=W$37)),1)+VLOOKUP(COUNT($I$6:$I$13),Precios!$F:$G,2,0)),""No asegurable""),""No asegurable"")),"""")"),"")</f>
        <v/>
      </c>
      <c r="X84" s="119">
        <f>IFERROR(__xludf.DUMMYFUNCTION("IF($K$10=""Sí"","""",IFERROR(IF($I15="""","""",IF(VLOOKUP(LEFT(X$37,SEARCH(""☃"",SUBSTITUTE(X$37,"" "",""☃"",LEN(X$37)-LEN(SUBSTITUTE(X$37,"" "",""""))))-1),Excepciones!$A:$B,2,0)&gt;=0,IFERROR(INDEX(filter(Precios!$D:$D,(Precios!$A:$A&lt;=$I15)*(Precios!$B:$B&gt;"&amp;"=$I15)*(Precios!$C:$C=X$37)),1),""No asegurable""),""No asegurable"")),""""))"),"")</f>
        <v/>
      </c>
      <c r="Y84" s="48">
        <f>IFERROR(__xludf.DUMMYFUNCTION("IFERROR(IF($I15="""","""",IF(VLOOKUP(LEFT(Y$37,SEARCH(""☃"",SUBSTITUTE(Y$37,"" "",""☃"",LEN(Y$37)-LEN(SUBSTITUTE(Y$37,"" "",""""))))-1),Excepciones!$A:$B,2,0)&gt;=0,IFERROR(INDEX(filter(Precios!$D:$D,(Precios!$A:$A&lt;=$I15)*(Precios!$B:$B&gt;=$I15)*(Precios!$C:$C"&amp;"=Y$37)),1)*1,""No asegurable""),""No asegurable"")),"""")"),"")</f>
        <v/>
      </c>
      <c r="Z84" s="48">
        <f>IFERROR(__xludf.DUMMYFUNCTION("IFERROR(IF($I15="""","""",IF(VLOOKUP(LEFT(Z$37,SEARCH(""☃"",SUBSTITUTE(Z$37,"" "",""☃"",LEN(Z$37)-LEN(SUBSTITUTE(Z$37,"" "",""""))))-1),Excepciones!$A:$B,2,0)&gt;=0,IFERROR(INDEX(filter(Precios!$D:$D,(Precios!$A:$A&lt;=$I15)*(Precios!$B:$B&gt;=$I15)*(Precios!$C:$C"&amp;"=Z$37)),1)*1,""No asegurable""),""No asegurable"")),"""")"),"")</f>
        <v/>
      </c>
      <c r="AA84" s="48">
        <f>IFERROR(__xludf.DUMMYFUNCTION("IFERROR(IF($I15="""","""",IF(VLOOKUP(LEFT(AA$37,SEARCH(""☃"",SUBSTITUTE(AA$37,"" "",""☃"",LEN(AA$37)-LEN(SUBSTITUTE(AA$37,"" "",""""))))-1),Excepciones!$A:$B,2,0)&gt;=0,IFERROR(INDEX(filter(Precios!$D:$D,(Precios!$A:$A&lt;=$I15)*(Precios!$B:$B&gt;=$I15)*(Precios!$"&amp;"C:$C=AA$37)),1)*1,""No asegurable""),""No asegurable"")),"""")"),"")</f>
        <v/>
      </c>
      <c r="AB84" s="48">
        <f>IFERROR(__xludf.DUMMYFUNCTION("IFERROR(IF($I15="""","""",IF(VLOOKUP(LEFT(AB$37,SEARCH(""☃"",SUBSTITUTE(AB$37,"" "",""☃"",LEN(AB$37)-LEN(SUBSTITUTE(AB$37,"" "",""""))))-1),Excepciones!$A:$B,2,0)&gt;=0,IFERROR(INDEX(filter(Precios!$D:$D,(Precios!$A:$A&lt;=$I15)*(Precios!$B:$B&gt;=$I15)*(Precios!$"&amp;"C:$C=AB$37)),1)*1,""No asegurable""),""No asegurable"")),"""")"),"")</f>
        <v/>
      </c>
      <c r="AC84" s="49">
        <f>IFERROR(__xludf.DUMMYFUNCTION("IFERROR(IF($I15="""","""",IF(VLOOKUP(LEFT(AC$37,SEARCH(""☃"",SUBSTITUTE(AC$37,"" "",""☃"",LEN(AC$37)-LEN(SUBSTITUTE(AC$37,"" "",""""))))-1),Excepciones!$A:$B,2,0)&gt;=0,IFERROR(INDEX(filter(Precios!$D:$D,(Precios!$A:$A&lt;=$I15)*(Precios!$B:$B&gt;=$I15)*(Precios!$"&amp;"C:$C=AC$37)),1)*1,""No asegurable""),""No asegurable"")),"""")"),"")</f>
        <v/>
      </c>
      <c r="AD84" s="5" t="n"/>
      <c r="AE84" s="5" t="n"/>
      <c r="AF84" s="5" t="n"/>
      <c r="AG84" s="5" t="n"/>
      <c r="AH84" s="125" t="n"/>
      <c r="AI84" s="125" t="n"/>
      <c r="AJ84" s="5" t="n"/>
      <c r="AK84" s="125" t="n"/>
      <c r="AL84" s="125" t="n"/>
    </row>
    <row r="85" ht="27.75" customHeight="1" s="241">
      <c r="L85" s="116" t="n">
        <v>11</v>
      </c>
      <c r="N85" s="48">
        <f>IF(OR(N67="",N67=0),"",N67+(VLOOKUP(COUNT($I$6:$I$13),Precios!$F:$H,2,0)))</f>
        <v/>
      </c>
      <c r="O85" s="48">
        <f>IF(OR(O67="",O67=0),"",O67+(VLOOKUP(COUNT($I$6:$I$13),Precios!$F:$H,2,0)))</f>
        <v/>
      </c>
      <c r="P85" s="48">
        <f>IFERROR(__xludf.DUMMYFUNCTION("IFERROR(IF($K$10=""Sí"","""",IF($I16="""","""",IF(VLOOKUP(LEFT(P$37,SEARCH(""☃"",SUBSTITUTE(P$37,"" "",""☃"",LEN(P$37)-LEN(SUBSTITUTE(P$37,"" "",""""))))-1),Excepciones!$A:$B,2,0)&gt;=0,IF(INDEX(FILTER(Precios!$D:$D,(Precios!$A:$A&lt;=$I16)*(Precios!$B:$B&gt;=$I16"&amp;")*(Precios!$C:$C=P$37)),1)*IF(COUNT($I$6:$I$13)&gt;=5,0.85,IF(COUNT($I$6:$I$13)&gt;=4,0.9,IF(COUNT($I$6:$I$13)&gt;=3,0.95,1)))=0,"""",INDEX(FILTER(Precios!$D:$D,(Precios!$A:$A&lt;=$I16)*(Precios!$B:$B&gt;=$I16)*(Precios!$C:$C=P$37)),1)*IF(COUNT($I$6:$I$13)&gt;=5,0.85,IF(CO"&amp;"UNT($I$6:$I$13)&gt;=4,0.9,IF(COUNT($I$6:$I$13)&gt;=3,0.95,1)))),""""))), """")
"),"")</f>
        <v/>
      </c>
      <c r="Q85" s="48">
        <f>IF(OR(Q67="",Q67=0),"",Q67+(VLOOKUP(COUNT($I$6:$I$13),Precios!$F:$H,2,0)))</f>
        <v/>
      </c>
      <c r="R85" s="48">
        <f>IF(OR(R67="",R67=0),"",R67+(VLOOKUP(COUNT($I$6:$I$13),Precios!$F:$H,2,0)))</f>
        <v/>
      </c>
      <c r="S85" s="48">
        <f>IFERROR(__xludf.DUMMYFUNCTION("IFERROR(IF($K$10=""Sí"","""",IF($I16="""","""",IF(VLOOKUP(LEFT(S$37,SEARCH(""☃"",SUBSTITUTE(S$37,"" "",""☃"",LEN(S$37)-LEN(SUBSTITUTE(S$37,"" "",""""))))-1),Excepciones!$A:$B,2,0)&gt;=0,IF(INDEX(FILTER(Precios!$D:$D,(Precios!$A:$A&lt;=$I16)*(Precios!$B:$B&gt;=$I16"&amp;")*(Precios!$C:$C=S$37)),1)*IF(COUNT($I$6:$I$13)&gt;=5,0.85,IF(COUNT($I$6:$I$13)&gt;=4,0.9,IF(COUNT($I$6:$I$13)&gt;=3,0.95,1)))=0,"""",INDEX(FILTER(Precios!$D:$D,(Precios!$A:$A&lt;=$I16)*(Precios!$B:$B&gt;=$I16)*(Precios!$C:$C=S$37)),1)*IF(COUNT($I$6:$I$13)&gt;=5,0.85,IF(CO"&amp;"UNT($I$6:$I$13)&gt;=4,0.9,IF(COUNT($I$6:$I$13)&gt;=3,0.95,1)))),""""))), """")
"),"")</f>
        <v/>
      </c>
      <c r="T85" s="48">
        <f>IFERROR(__xludf.DUMMYFUNCTION("IFERROR(IF($I16="""","""",IF(VLOOKUP(LEFT(T$37,SEARCH(""☃"",SUBSTITUTE(T$37,"" "",""☃"",LEN(T$37)-LEN(SUBSTITUTE(T$37,"" "",""""))))-1),Excepciones!$A:$B,2,0)&gt;=0,IFERROR((INDEX(filter(Precios!$D:$D,(Precios!$A:$A&lt;=$I16)*(Precios!$B:$B&gt;=$I16)*(Precios!$C:$"&amp;"C=T$37)),1)+VLOOKUP(COUNT($I$6:$I$13),Precios!$F:$G,2,0)),""""),"""")),"""")"),"")</f>
        <v/>
      </c>
      <c r="U85" s="48">
        <f>IF(OR(U67="",U67=0),"",U67+(VLOOKUP(COUNT($I$6:$I$13),Precios!$F:$H,2,0)))</f>
        <v/>
      </c>
      <c r="V85" s="48">
        <f>IFERROR(__xludf.DUMMYFUNCTION("IFERROR(IF($K$10=""Sí"","""",IF($I16="""","""",IF(VLOOKUP(LEFT(V$37,SEARCH(""☃"",SUBSTITUTE(V$37,"" "",""☃"",LEN(V$37)-LEN(SUBSTITUTE(V$37,"" "",""""))))-1),Excepciones!$A:$B,2,0)&gt;=0,IF(INDEX(FILTER(Precios!$D:$D,(Precios!$A:$A&lt;=$I16)*(Precios!$B:$B&gt;=$I16"&amp;")*(Precios!$C:$C=V$37)),1)*IF(COUNT($I$6:$I$13)&gt;=5,0.85,IF(COUNT($I$6:$I$13)&gt;=4,0.9,IF(COUNT($I$6:$I$13)&gt;=3,0.95,1)))=0,"""",INDEX(FILTER(Precios!$D:$D,(Precios!$A:$A&lt;=$I16)*(Precios!$B:$B&gt;=$I16)*(Precios!$C:$C=V$37)),1)*IF(COUNT($I$6:$I$13)&gt;=5,0.85,IF(CO"&amp;"UNT($I$6:$I$13)&gt;=4,0.9,IF(COUNT($I$6:$I$13)&gt;=3,0.95,1)))),""""))), """")
"),"")</f>
        <v/>
      </c>
      <c r="W85" s="48">
        <f>IFERROR(__xludf.DUMMYFUNCTION("IFERROR(IF($I16="""","""",IF(VLOOKUP(LEFT(W$37,SEARCH(""☃"",SUBSTITUTE(W$37,"" "",""☃"",LEN(W$37)-LEN(SUBSTITUTE(W$37,"" "",""""))))-1),Excepciones!$A:$B,2,0)&gt;=0,IFERROR((INDEX(filter(Precios!$D:$D,(Precios!$A:$A&lt;=$I16)*(Precios!$B:$B&gt;=$I16)*(Precios!$C:$"&amp;"C=W$37)),1)+VLOOKUP(COUNT($I$6:$I$13),Precios!$F:$G,2,0)),""No asegurable""),""No asegurable"")),"""")"),"")</f>
        <v/>
      </c>
      <c r="X85" s="119">
        <f>IFERROR(__xludf.DUMMYFUNCTION("IF($K$10=""Sí"","""",IFERROR(IF($I16="""","""",IF(VLOOKUP(LEFT(X$37,SEARCH(""☃"",SUBSTITUTE(X$37,"" "",""☃"",LEN(X$37)-LEN(SUBSTITUTE(X$37,"" "",""""))))-1),Excepciones!$A:$B,2,0)&gt;=0,IFERROR(INDEX(filter(Precios!$D:$D,(Precios!$A:$A&lt;=$I16)*(Precios!$B:$B&gt;"&amp;"=$I16)*(Precios!$C:$C=X$37)),1),""No asegurable""),""No asegurable"")),""""))"),"")</f>
        <v/>
      </c>
      <c r="Y85" s="48">
        <f>IFERROR(__xludf.DUMMYFUNCTION("IFERROR(IF($I16="""","""",IF(VLOOKUP(LEFT(Y$37,SEARCH(""☃"",SUBSTITUTE(Y$37,"" "",""☃"",LEN(Y$37)-LEN(SUBSTITUTE(Y$37,"" "",""""))))-1),Excepciones!$A:$B,2,0)&gt;=0,IFERROR(INDEX(filter(Precios!$D:$D,(Precios!$A:$A&lt;=$I16)*(Precios!$B:$B&gt;=$I16)*(Precios!$C:$C"&amp;"=Y$37)),1)*1,""No asegurable""),""No asegurable"")),"""")"),"")</f>
        <v/>
      </c>
      <c r="Z85" s="48">
        <f>IFERROR(__xludf.DUMMYFUNCTION("IFERROR(IF($I16="""","""",IF(VLOOKUP(LEFT(Z$37,SEARCH(""☃"",SUBSTITUTE(Z$37,"" "",""☃"",LEN(Z$37)-LEN(SUBSTITUTE(Z$37,"" "",""""))))-1),Excepciones!$A:$B,2,0)&gt;=0,IFERROR(INDEX(filter(Precios!$D:$D,(Precios!$A:$A&lt;=$I16)*(Precios!$B:$B&gt;=$I16)*(Precios!$C:$C"&amp;"=Z$37)),1)*1,""No asegurable""),""No asegurable"")),"""")"),"")</f>
        <v/>
      </c>
      <c r="AA85" s="48">
        <f>IFERROR(__xludf.DUMMYFUNCTION("IFERROR(IF($I16="""","""",IF(VLOOKUP(LEFT(AA$37,SEARCH(""☃"",SUBSTITUTE(AA$37,"" "",""☃"",LEN(AA$37)-LEN(SUBSTITUTE(AA$37,"" "",""""))))-1),Excepciones!$A:$B,2,0)&gt;=0,IFERROR(INDEX(filter(Precios!$D:$D,(Precios!$A:$A&lt;=$I16)*(Precios!$B:$B&gt;=$I16)*(Precios!$"&amp;"C:$C=AA$37)),1)*1,""No asegurable""),""No asegurable"")),"""")"),"")</f>
        <v/>
      </c>
      <c r="AB85" s="48">
        <f>IFERROR(__xludf.DUMMYFUNCTION("IFERROR(IF($I16="""","""",IF(VLOOKUP(LEFT(AB$37,SEARCH(""☃"",SUBSTITUTE(AB$37,"" "",""☃"",LEN(AB$37)-LEN(SUBSTITUTE(AB$37,"" "",""""))))-1),Excepciones!$A:$B,2,0)&gt;=0,IFERROR(INDEX(filter(Precios!$D:$D,(Precios!$A:$A&lt;=$I16)*(Precios!$B:$B&gt;=$I16)*(Precios!$"&amp;"C:$C=AB$37)),1)*1,""No asegurable""),""No asegurable"")),"""")"),"")</f>
        <v/>
      </c>
      <c r="AC85" s="49">
        <f>IFERROR(__xludf.DUMMYFUNCTION("IFERROR(IF($I16="""","""",IF(VLOOKUP(LEFT(AC$37,SEARCH(""☃"",SUBSTITUTE(AC$37,"" "",""☃"",LEN(AC$37)-LEN(SUBSTITUTE(AC$37,"" "",""""))))-1),Excepciones!$A:$B,2,0)&gt;=0,IFERROR(INDEX(filter(Precios!$D:$D,(Precios!$A:$A&lt;=$I16)*(Precios!$B:$B&gt;=$I16)*(Precios!$"&amp;"C:$C=AC$37)),1)*1,""No asegurable""),""No asegurable"")),"""")"),"")</f>
        <v/>
      </c>
      <c r="AD85" s="5" t="n"/>
      <c r="AE85" s="5" t="n"/>
      <c r="AF85" s="5" t="n"/>
      <c r="AG85" s="5" t="n"/>
      <c r="AH85" s="125" t="n"/>
      <c r="AI85" s="125" t="n"/>
      <c r="AJ85" s="5" t="n"/>
      <c r="AK85" s="125" t="n"/>
      <c r="AL85" s="125" t="n"/>
    </row>
    <row r="86" ht="27.75" customHeight="1" s="241">
      <c r="L86" s="116" t="n">
        <v>12</v>
      </c>
      <c r="N86" s="48">
        <f>IF(OR(N68="",N68=0),"",N68+(VLOOKUP(COUNT($I$6:$I$13),Precios!$F:$H,2,0)))</f>
        <v/>
      </c>
      <c r="O86" s="48">
        <f>IF(OR(O68="",O68=0),"",O68+(VLOOKUP(COUNT($I$6:$I$13),Precios!$F:$H,2,0)))</f>
        <v/>
      </c>
      <c r="P86" s="48">
        <f>IFERROR(__xludf.DUMMYFUNCTION("IFERROR(IF($K$10=""Sí"","""",IF($I17="""","""",IF(VLOOKUP(LEFT(P$37,SEARCH(""☃"",SUBSTITUTE(P$37,"" "",""☃"",LEN(P$37)-LEN(SUBSTITUTE(P$37,"" "",""""))))-1),Excepciones!$A:$B,2,0)&gt;=0,IF(INDEX(FILTER(Precios!$D:$D,(Precios!$A:$A&lt;=$I17)*(Precios!$B:$B&gt;=$I17"&amp;")*(Precios!$C:$C=P$37)),1)*IF(COUNT($I$6:$I$13)&gt;=5,0.85,IF(COUNT($I$6:$I$13)&gt;=4,0.9,IF(COUNT($I$6:$I$13)&gt;=3,0.95,1)))=0,"""",INDEX(FILTER(Precios!$D:$D,(Precios!$A:$A&lt;=$I17)*(Precios!$B:$B&gt;=$I17)*(Precios!$C:$C=P$37)),1)*IF(COUNT($I$6:$I$13)&gt;=5,0.85,IF(CO"&amp;"UNT($I$6:$I$13)&gt;=4,0.9,IF(COUNT($I$6:$I$13)&gt;=3,0.95,1)))),""""))), """")
"),"")</f>
        <v/>
      </c>
      <c r="Q86" s="48">
        <f>IF(OR(Q68="",Q68=0),"",Q68+(VLOOKUP(COUNT($I$6:$I$13),Precios!$F:$H,2,0)))</f>
        <v/>
      </c>
      <c r="R86" s="48">
        <f>IF(OR(R68="",R68=0),"",R68+(VLOOKUP(COUNT($I$6:$I$13),Precios!$F:$H,2,0)))</f>
        <v/>
      </c>
      <c r="S86" s="48">
        <f>IFERROR(__xludf.DUMMYFUNCTION("IFERROR(IF($K$10=""Sí"","""",IF($I17="""","""",IF(VLOOKUP(LEFT(S$37,SEARCH(""☃"",SUBSTITUTE(S$37,"" "",""☃"",LEN(S$37)-LEN(SUBSTITUTE(S$37,"" "",""""))))-1),Excepciones!$A:$B,2,0)&gt;=0,IF(INDEX(FILTER(Precios!$D:$D,(Precios!$A:$A&lt;=$I17)*(Precios!$B:$B&gt;=$I17"&amp;")*(Precios!$C:$C=S$37)),1)*IF(COUNT($I$6:$I$13)&gt;=5,0.85,IF(COUNT($I$6:$I$13)&gt;=4,0.9,IF(COUNT($I$6:$I$13)&gt;=3,0.95,1)))=0,"""",INDEX(FILTER(Precios!$D:$D,(Precios!$A:$A&lt;=$I17)*(Precios!$B:$B&gt;=$I17)*(Precios!$C:$C=S$37)),1)*IF(COUNT($I$6:$I$13)&gt;=5,0.85,IF(CO"&amp;"UNT($I$6:$I$13)&gt;=4,0.9,IF(COUNT($I$6:$I$13)&gt;=3,0.95,1)))),""""))), """")
"),"")</f>
        <v/>
      </c>
      <c r="T86" s="48">
        <f>IFERROR(__xludf.DUMMYFUNCTION("IFERROR(IF($I17="""","""",IF(VLOOKUP(LEFT(T$37,SEARCH(""☃"",SUBSTITUTE(T$37,"" "",""☃"",LEN(T$37)-LEN(SUBSTITUTE(T$37,"" "",""""))))-1),Excepciones!$A:$B,2,0)&gt;=0,IFERROR((INDEX(filter(Precios!$D:$D,(Precios!$A:$A&lt;=$I17)*(Precios!$B:$B&gt;=$I17)*(Precios!$C:$"&amp;"C=T$37)),1)+VLOOKUP(COUNT($I$6:$I$13),Precios!$F:$G,2,0)),""""),"""")),"""")"),"")</f>
        <v/>
      </c>
      <c r="U86" s="48">
        <f>IF(OR(U68="",U68=0),"",U68+(VLOOKUP(COUNT($I$6:$I$13),Precios!$F:$H,2,0)))</f>
        <v/>
      </c>
      <c r="V86" s="48">
        <f>IFERROR(__xludf.DUMMYFUNCTION("IFERROR(IF($K$10=""Sí"","""",IF($I17="""","""",IF(VLOOKUP(LEFT(V$37,SEARCH(""☃"",SUBSTITUTE(V$37,"" "",""☃"",LEN(V$37)-LEN(SUBSTITUTE(V$37,"" "",""""))))-1),Excepciones!$A:$B,2,0)&gt;=0,IF(INDEX(FILTER(Precios!$D:$D,(Precios!$A:$A&lt;=$I17)*(Precios!$B:$B&gt;=$I17"&amp;")*(Precios!$C:$C=V$37)),1)*IF(COUNT($I$6:$I$13)&gt;=5,0.85,IF(COUNT($I$6:$I$13)&gt;=4,0.9,IF(COUNT($I$6:$I$13)&gt;=3,0.95,1)))=0,"""",INDEX(FILTER(Precios!$D:$D,(Precios!$A:$A&lt;=$I17)*(Precios!$B:$B&gt;=$I17)*(Precios!$C:$C=V$37)),1)*IF(COUNT($I$6:$I$13)&gt;=5,0.85,IF(CO"&amp;"UNT($I$6:$I$13)&gt;=4,0.9,IF(COUNT($I$6:$I$13)&gt;=3,0.95,1)))),""""))), """")
"),"")</f>
        <v/>
      </c>
      <c r="W86" s="48">
        <f>IFERROR(__xludf.DUMMYFUNCTION("IFERROR(IF($I17="""","""",IF(VLOOKUP(LEFT(W$37,SEARCH(""☃"",SUBSTITUTE(W$37,"" "",""☃"",LEN(W$37)-LEN(SUBSTITUTE(W$37,"" "",""""))))-1),Excepciones!$A:$B,2,0)&gt;=0,IFERROR((INDEX(filter(Precios!$D:$D,(Precios!$A:$A&lt;=$I17)*(Precios!$B:$B&gt;=$I17)*(Precios!$C:$"&amp;"C=W$37)),1)+VLOOKUP(COUNT($I$6:$I$13),Precios!$F:$G,2,0)),""No asegurable""),""No asegurable"")),"""")"),"")</f>
        <v/>
      </c>
      <c r="X86" s="119">
        <f>IFERROR(__xludf.DUMMYFUNCTION("IF($K$10=""Sí"","""",IFERROR(IF($I17="""","""",IF(VLOOKUP(LEFT(X$37,SEARCH(""☃"",SUBSTITUTE(X$37,"" "",""☃"",LEN(X$37)-LEN(SUBSTITUTE(X$37,"" "",""""))))-1),Excepciones!$A:$B,2,0)&gt;=0,IFERROR(INDEX(filter(Precios!$D:$D,(Precios!$A:$A&lt;=$I17)*(Precios!$B:$B&gt;"&amp;"=$I17)*(Precios!$C:$C=X$37)),1),""No asegurable""),""No asegurable"")),""""))"),"")</f>
        <v/>
      </c>
      <c r="Y86" s="48">
        <f>IFERROR(__xludf.DUMMYFUNCTION("IFERROR(IF($I17="""","""",IF(VLOOKUP(LEFT(Y$37,SEARCH(""☃"",SUBSTITUTE(Y$37,"" "",""☃"",LEN(Y$37)-LEN(SUBSTITUTE(Y$37,"" "",""""))))-1),Excepciones!$A:$B,2,0)&gt;=0,IFERROR(INDEX(filter(Precios!$D:$D,(Precios!$A:$A&lt;=$I17)*(Precios!$B:$B&gt;=$I17)*(Precios!$C:$C"&amp;"=Y$37)),1)*1,""No asegurable""),""No asegurable"")),"""")"),"")</f>
        <v/>
      </c>
      <c r="Z86" s="48">
        <f>IFERROR(__xludf.DUMMYFUNCTION("IFERROR(IF($I17="""","""",IF(VLOOKUP(LEFT(Z$37,SEARCH(""☃"",SUBSTITUTE(Z$37,"" "",""☃"",LEN(Z$37)-LEN(SUBSTITUTE(Z$37,"" "",""""))))-1),Excepciones!$A:$B,2,0)&gt;=0,IFERROR(INDEX(filter(Precios!$D:$D,(Precios!$A:$A&lt;=$I17)*(Precios!$B:$B&gt;=$I17)*(Precios!$C:$C"&amp;"=Z$37)),1)*1,""No asegurable""),""No asegurable"")),"""")"),"")</f>
        <v/>
      </c>
      <c r="AA86" s="48">
        <f>IFERROR(__xludf.DUMMYFUNCTION("IFERROR(IF($I17="""","""",IF(VLOOKUP(LEFT(AA$37,SEARCH(""☃"",SUBSTITUTE(AA$37,"" "",""☃"",LEN(AA$37)-LEN(SUBSTITUTE(AA$37,"" "",""""))))-1),Excepciones!$A:$B,2,0)&gt;=0,IFERROR(INDEX(filter(Precios!$D:$D,(Precios!$A:$A&lt;=$I17)*(Precios!$B:$B&gt;=$I17)*(Precios!$"&amp;"C:$C=AA$37)),1)*1,""No asegurable""),""No asegurable"")),"""")"),"")</f>
        <v/>
      </c>
      <c r="AB86" s="48">
        <f>IFERROR(__xludf.DUMMYFUNCTION("IFERROR(IF($I17="""","""",IF(VLOOKUP(LEFT(AB$37,SEARCH(""☃"",SUBSTITUTE(AB$37,"" "",""☃"",LEN(AB$37)-LEN(SUBSTITUTE(AB$37,"" "",""""))))-1),Excepciones!$A:$B,2,0)&gt;=0,IFERROR(INDEX(filter(Precios!$D:$D,(Precios!$A:$A&lt;=$I17)*(Precios!$B:$B&gt;=$I17)*(Precios!$"&amp;"C:$C=AB$37)),1)*1,""No asegurable""),""No asegurable"")),"""")"),"")</f>
        <v/>
      </c>
      <c r="AC86" s="49">
        <f>IFERROR(__xludf.DUMMYFUNCTION("IFERROR(IF($I17="""","""",IF(VLOOKUP(LEFT(AC$37,SEARCH(""☃"",SUBSTITUTE(AC$37,"" "",""☃"",LEN(AC$37)-LEN(SUBSTITUTE(AC$37,"" "",""""))))-1),Excepciones!$A:$B,2,0)&gt;=0,IFERROR(INDEX(filter(Precios!$D:$D,(Precios!$A:$A&lt;=$I17)*(Precios!$B:$B&gt;=$I17)*(Precios!$"&amp;"C:$C=AC$37)),1)*1,""No asegurable""),""No asegurable"")),"""")"),"")</f>
        <v/>
      </c>
      <c r="AD86" s="5" t="n"/>
      <c r="AE86" s="5" t="n"/>
      <c r="AF86" s="5" t="n"/>
      <c r="AG86" s="5" t="n"/>
      <c r="AH86" s="125" t="n"/>
      <c r="AI86" s="125" t="n"/>
      <c r="AJ86" s="5" t="n"/>
      <c r="AK86" s="125" t="n"/>
      <c r="AL86" s="125" t="n"/>
    </row>
    <row r="87" ht="27.75" customHeight="1" s="241">
      <c r="L87" s="116" t="n">
        <v>13</v>
      </c>
      <c r="N87" s="48">
        <f>IF(OR(N69="",N69=0),"",N69+(VLOOKUP(COUNT($I$6:$I$13),Precios!$F:$H,2,0)))</f>
        <v/>
      </c>
      <c r="O87" s="48">
        <f>IF(OR(O69="",O69=0),"",O69+(VLOOKUP(COUNT($I$6:$I$13),Precios!$F:$H,2,0)))</f>
        <v/>
      </c>
      <c r="P87" s="48">
        <f>IFERROR(__xludf.DUMMYFUNCTION("IFERROR(IF($K$10=""Sí"","""",IF($I18="""","""",IF(VLOOKUP(LEFT(P$37,SEARCH(""☃"",SUBSTITUTE(P$37,"" "",""☃"",LEN(P$37)-LEN(SUBSTITUTE(P$37,"" "",""""))))-1),Excepciones!$A:$B,2,0)&gt;=0,IF(INDEX(FILTER(Precios!$D:$D,(Precios!$A:$A&lt;=$I18)*(Precios!$B:$B&gt;=$I18"&amp;")*(Precios!$C:$C=P$37)),1)*IF(COUNT($I$6:$I$13)&gt;=5,0.85,IF(COUNT($I$6:$I$13)&gt;=4,0.9,IF(COUNT($I$6:$I$13)&gt;=3,0.95,1)))=0,"""",INDEX(FILTER(Precios!$D:$D,(Precios!$A:$A&lt;=$I18)*(Precios!$B:$B&gt;=$I18)*(Precios!$C:$C=P$37)),1)*IF(COUNT($I$6:$I$13)&gt;=5,0.85,IF(CO"&amp;"UNT($I$6:$I$13)&gt;=4,0.9,IF(COUNT($I$6:$I$13)&gt;=3,0.95,1)))),""""))), """")
"),"")</f>
        <v/>
      </c>
      <c r="Q87" s="48">
        <f>IF(OR(Q69="",Q69=0),"",Q69+(VLOOKUP(COUNT($I$6:$I$13),Precios!$F:$H,2,0)))</f>
        <v/>
      </c>
      <c r="R87" s="48">
        <f>IF(OR(R69="",R69=0),"",R69+(VLOOKUP(COUNT($I$6:$I$13),Precios!$F:$H,2,0)))</f>
        <v/>
      </c>
      <c r="S87" s="48">
        <f>IFERROR(__xludf.DUMMYFUNCTION("IFERROR(IF($K$10=""Sí"","""",IF($I18="""","""",IF(VLOOKUP(LEFT(S$37,SEARCH(""☃"",SUBSTITUTE(S$37,"" "",""☃"",LEN(S$37)-LEN(SUBSTITUTE(S$37,"" "",""""))))-1),Excepciones!$A:$B,2,0)&gt;=0,IF(INDEX(FILTER(Precios!$D:$D,(Precios!$A:$A&lt;=$I18)*(Precios!$B:$B&gt;=$I18"&amp;")*(Precios!$C:$C=S$37)),1)*IF(COUNT($I$6:$I$13)&gt;=5,0.85,IF(COUNT($I$6:$I$13)&gt;=4,0.9,IF(COUNT($I$6:$I$13)&gt;=3,0.95,1)))=0,"""",INDEX(FILTER(Precios!$D:$D,(Precios!$A:$A&lt;=$I18)*(Precios!$B:$B&gt;=$I18)*(Precios!$C:$C=S$37)),1)*IF(COUNT($I$6:$I$13)&gt;=5,0.85,IF(CO"&amp;"UNT($I$6:$I$13)&gt;=4,0.9,IF(COUNT($I$6:$I$13)&gt;=3,0.95,1)))),""""))), """")
"),"")</f>
        <v/>
      </c>
      <c r="T87" s="48">
        <f>IFERROR(__xludf.DUMMYFUNCTION("IFERROR(IF($I18="""","""",IF(VLOOKUP(LEFT(T$37,SEARCH(""☃"",SUBSTITUTE(T$37,"" "",""☃"",LEN(T$37)-LEN(SUBSTITUTE(T$37,"" "",""""))))-1),Excepciones!$A:$B,2,0)&gt;=0,IFERROR((INDEX(filter(Precios!$D:$D,(Precios!$A:$A&lt;=$I18)*(Precios!$B:$B&gt;=$I18)*(Precios!$C:$"&amp;"C=T$37)),1)+VLOOKUP(COUNT($I$6:$I$13),Precios!$F:$G,2,0)),""""),"""")),"""")"),"")</f>
        <v/>
      </c>
      <c r="U87" s="48">
        <f>IF(OR(U69="",U69=0),"",U69+(VLOOKUP(COUNT($I$6:$I$13),Precios!$F:$H,2,0)))</f>
        <v/>
      </c>
      <c r="V87" s="48">
        <f>IFERROR(__xludf.DUMMYFUNCTION("IFERROR(IF($K$10=""Sí"","""",IF($I18="""","""",IF(VLOOKUP(LEFT(V$37,SEARCH(""☃"",SUBSTITUTE(V$37,"" "",""☃"",LEN(V$37)-LEN(SUBSTITUTE(V$37,"" "",""""))))-1),Excepciones!$A:$B,2,0)&gt;=0,IF(INDEX(FILTER(Precios!$D:$D,(Precios!$A:$A&lt;=$I18)*(Precios!$B:$B&gt;=$I18"&amp;")*(Precios!$C:$C=V$37)),1)*IF(COUNT($I$6:$I$13)&gt;=5,0.85,IF(COUNT($I$6:$I$13)&gt;=4,0.9,IF(COUNT($I$6:$I$13)&gt;=3,0.95,1)))=0,"""",INDEX(FILTER(Precios!$D:$D,(Precios!$A:$A&lt;=$I18)*(Precios!$B:$B&gt;=$I18)*(Precios!$C:$C=V$37)),1)*IF(COUNT($I$6:$I$13)&gt;=5,0.85,IF(CO"&amp;"UNT($I$6:$I$13)&gt;=4,0.9,IF(COUNT($I$6:$I$13)&gt;=3,0.95,1)))),""""))), """")
"),"")</f>
        <v/>
      </c>
      <c r="W87" s="48">
        <f>IFERROR(__xludf.DUMMYFUNCTION("IFERROR(IF($I18="""","""",IF(VLOOKUP(LEFT(W$37,SEARCH(""☃"",SUBSTITUTE(W$37,"" "",""☃"",LEN(W$37)-LEN(SUBSTITUTE(W$37,"" "",""""))))-1),Excepciones!$A:$B,2,0)&gt;=0,IFERROR((INDEX(filter(Precios!$D:$D,(Precios!$A:$A&lt;=$I18)*(Precios!$B:$B&gt;=$I18)*(Precios!$C:$"&amp;"C=W$37)),1)+VLOOKUP(COUNT($I$6:$I$13),Precios!$F:$G,2,0)),""No asegurable""),""No asegurable"")),"""")"),"")</f>
        <v/>
      </c>
      <c r="X87" s="119">
        <f>IFERROR(__xludf.DUMMYFUNCTION("IF($K$10=""Sí"","""",IFERROR(IF($I18="""","""",IF(VLOOKUP(LEFT(X$37,SEARCH(""☃"",SUBSTITUTE(X$37,"" "",""☃"",LEN(X$37)-LEN(SUBSTITUTE(X$37,"" "",""""))))-1),Excepciones!$A:$B,2,0)&gt;=0,IFERROR(INDEX(filter(Precios!$D:$D,(Precios!$A:$A&lt;=$I18)*(Precios!$B:$B&gt;"&amp;"=$I18)*(Precios!$C:$C=X$37)),1),""No asegurable""),""No asegurable"")),""""))"),"")</f>
        <v/>
      </c>
      <c r="Y87" s="48">
        <f>IFERROR(__xludf.DUMMYFUNCTION("IFERROR(IF($I18="""","""",IF(VLOOKUP(LEFT(Y$37,SEARCH(""☃"",SUBSTITUTE(Y$37,"" "",""☃"",LEN(Y$37)-LEN(SUBSTITUTE(Y$37,"" "",""""))))-1),Excepciones!$A:$B,2,0)&gt;=0,IFERROR(INDEX(filter(Precios!$D:$D,(Precios!$A:$A&lt;=$I18)*(Precios!$B:$B&gt;=$I18)*(Precios!$C:$C"&amp;"=Y$37)),1)*1,""No asegurable""),""No asegurable"")),"""")"),"")</f>
        <v/>
      </c>
      <c r="Z87" s="48">
        <f>IFERROR(__xludf.DUMMYFUNCTION("IFERROR(IF($I18="""","""",IF(VLOOKUP(LEFT(Z$37,SEARCH(""☃"",SUBSTITUTE(Z$37,"" "",""☃"",LEN(Z$37)-LEN(SUBSTITUTE(Z$37,"" "",""""))))-1),Excepciones!$A:$B,2,0)&gt;=0,IFERROR(INDEX(filter(Precios!$D:$D,(Precios!$A:$A&lt;=$I18)*(Precios!$B:$B&gt;=$I18)*(Precios!$C:$C"&amp;"=Z$37)),1)*1,""No asegurable""),""No asegurable"")),"""")"),"")</f>
        <v/>
      </c>
      <c r="AA87" s="48">
        <f>IFERROR(__xludf.DUMMYFUNCTION("IFERROR(IF($I18="""","""",IF(VLOOKUP(LEFT(AA$37,SEARCH(""☃"",SUBSTITUTE(AA$37,"" "",""☃"",LEN(AA$37)-LEN(SUBSTITUTE(AA$37,"" "",""""))))-1),Excepciones!$A:$B,2,0)&gt;=0,IFERROR(INDEX(filter(Precios!$D:$D,(Precios!$A:$A&lt;=$I18)*(Precios!$B:$B&gt;=$I18)*(Precios!$"&amp;"C:$C=AA$37)),1)*1,""No asegurable""),""No asegurable"")),"""")"),"")</f>
        <v/>
      </c>
      <c r="AB87" s="48">
        <f>IFERROR(__xludf.DUMMYFUNCTION("IFERROR(IF($I18="""","""",IF(VLOOKUP(LEFT(AB$37,SEARCH(""☃"",SUBSTITUTE(AB$37,"" "",""☃"",LEN(AB$37)-LEN(SUBSTITUTE(AB$37,"" "",""""))))-1),Excepciones!$A:$B,2,0)&gt;=0,IFERROR(INDEX(filter(Precios!$D:$D,(Precios!$A:$A&lt;=$I18)*(Precios!$B:$B&gt;=$I18)*(Precios!$"&amp;"C:$C=AB$37)),1)*1,""No asegurable""),""No asegurable"")),"""")"),"")</f>
        <v/>
      </c>
      <c r="AC87" s="49">
        <f>IFERROR(__xludf.DUMMYFUNCTION("IFERROR(IF($I18="""","""",IF(VLOOKUP(LEFT(AC$37,SEARCH(""☃"",SUBSTITUTE(AC$37,"" "",""☃"",LEN(AC$37)-LEN(SUBSTITUTE(AC$37,"" "",""""))))-1),Excepciones!$A:$B,2,0)&gt;=0,IFERROR(INDEX(filter(Precios!$D:$D,(Precios!$A:$A&lt;=$I18)*(Precios!$B:$B&gt;=$I18)*(Precios!$"&amp;"C:$C=AC$37)),1)*1,""No asegurable""),""No asegurable"")),"""")"),"")</f>
        <v/>
      </c>
      <c r="AD87" s="5" t="n"/>
      <c r="AE87" s="5" t="n"/>
      <c r="AF87" s="5" t="n"/>
      <c r="AG87" s="5" t="n"/>
      <c r="AH87" s="125" t="n"/>
      <c r="AI87" s="125" t="n"/>
      <c r="AJ87" s="5" t="n"/>
      <c r="AK87" s="125" t="n"/>
      <c r="AL87" s="125" t="n"/>
    </row>
    <row r="88" ht="27.75" customHeight="1" s="241">
      <c r="L88" s="116" t="n">
        <v>14</v>
      </c>
      <c r="N88" s="48">
        <f>IF(OR(N70="",N70=0),"",N70+(VLOOKUP(COUNT($I$6:$I$13),Precios!$F:$H,2,0)))</f>
        <v/>
      </c>
      <c r="O88" s="48">
        <f>IF(OR(O70="",O70=0),"",O70+(VLOOKUP(COUNT($I$6:$I$13),Precios!$F:$H,2,0)))</f>
        <v/>
      </c>
      <c r="P88" s="48">
        <f>IFERROR(__xludf.DUMMYFUNCTION("IFERROR(IF($K$10=""Sí"","""",IF($I19="""","""",IF(VLOOKUP(LEFT(P$37,SEARCH(""☃"",SUBSTITUTE(P$37,"" "",""☃"",LEN(P$37)-LEN(SUBSTITUTE(P$37,"" "",""""))))-1),Excepciones!$A:$B,2,0)&gt;=0,IF(INDEX(FILTER(Precios!$D:$D,(Precios!$A:$A&lt;=$I19)*(Precios!$B:$B&gt;=$I19"&amp;")*(Precios!$C:$C=P$37)),1)*IF(COUNT($I$6:$I$13)&gt;=5,0.85,IF(COUNT($I$6:$I$13)&gt;=4,0.9,IF(COUNT($I$6:$I$13)&gt;=3,0.95,1)))=0,"""",INDEX(FILTER(Precios!$D:$D,(Precios!$A:$A&lt;=$I19)*(Precios!$B:$B&gt;=$I19)*(Precios!$C:$C=P$37)),1)*IF(COUNT($I$6:$I$13)&gt;=5,0.85,IF(CO"&amp;"UNT($I$6:$I$13)&gt;=4,0.9,IF(COUNT($I$6:$I$13)&gt;=3,0.95,1)))),""""))), """")
"),"")</f>
        <v/>
      </c>
      <c r="Q88" s="48">
        <f>IF(OR(Q70="",Q70=0),"",Q70+(VLOOKUP(COUNT($I$6:$I$13),Precios!$F:$H,2,0)))</f>
        <v/>
      </c>
      <c r="R88" s="48">
        <f>IF(OR(R70="",R70=0),"",R70+(VLOOKUP(COUNT($I$6:$I$13),Precios!$F:$H,2,0)))</f>
        <v/>
      </c>
      <c r="S88" s="48">
        <f>IFERROR(__xludf.DUMMYFUNCTION("IFERROR(IF($K$10=""Sí"","""",IF($I19="""","""",IF(VLOOKUP(LEFT(S$37,SEARCH(""☃"",SUBSTITUTE(S$37,"" "",""☃"",LEN(S$37)-LEN(SUBSTITUTE(S$37,"" "",""""))))-1),Excepciones!$A:$B,2,0)&gt;=0,IF(INDEX(FILTER(Precios!$D:$D,(Precios!$A:$A&lt;=$I19)*(Precios!$B:$B&gt;=$I19"&amp;")*(Precios!$C:$C=S$37)),1)*IF(COUNT($I$6:$I$13)&gt;=5,0.85,IF(COUNT($I$6:$I$13)&gt;=4,0.9,IF(COUNT($I$6:$I$13)&gt;=3,0.95,1)))=0,"""",INDEX(FILTER(Precios!$D:$D,(Precios!$A:$A&lt;=$I19)*(Precios!$B:$B&gt;=$I19)*(Precios!$C:$C=S$37)),1)*IF(COUNT($I$6:$I$13)&gt;=5,0.85,IF(CO"&amp;"UNT($I$6:$I$13)&gt;=4,0.9,IF(COUNT($I$6:$I$13)&gt;=3,0.95,1)))),""""))), """")
"),"")</f>
        <v/>
      </c>
      <c r="T88" s="48">
        <f>IFERROR(__xludf.DUMMYFUNCTION("IFERROR(IF($I19="""","""",IF(VLOOKUP(LEFT(T$37,SEARCH(""☃"",SUBSTITUTE(T$37,"" "",""☃"",LEN(T$37)-LEN(SUBSTITUTE(T$37,"" "",""""))))-1),Excepciones!$A:$B,2,0)&gt;=0,IFERROR((INDEX(filter(Precios!$D:$D,(Precios!$A:$A&lt;=$I19)*(Precios!$B:$B&gt;=$I19)*(Precios!$C:$"&amp;"C=T$37)),1)+VLOOKUP(COUNT($I$6:$I$13),Precios!$F:$G,2,0)),""""),"""")),"""")"),"")</f>
        <v/>
      </c>
      <c r="U88" s="48">
        <f>IF(OR(U70="",U70=0),"",U70+(VLOOKUP(COUNT($I$6:$I$13),Precios!$F:$H,2,0)))</f>
        <v/>
      </c>
      <c r="V88" s="48">
        <f>IFERROR(__xludf.DUMMYFUNCTION("IFERROR(IF($K$10=""Sí"","""",IF($I19="""","""",IF(VLOOKUP(LEFT(V$37,SEARCH(""☃"",SUBSTITUTE(V$37,"" "",""☃"",LEN(V$37)-LEN(SUBSTITUTE(V$37,"" "",""""))))-1),Excepciones!$A:$B,2,0)&gt;=0,IF(INDEX(FILTER(Precios!$D:$D,(Precios!$A:$A&lt;=$I19)*(Precios!$B:$B&gt;=$I19"&amp;")*(Precios!$C:$C=V$37)),1)*IF(COUNT($I$6:$I$13)&gt;=5,0.85,IF(COUNT($I$6:$I$13)&gt;=4,0.9,IF(COUNT($I$6:$I$13)&gt;=3,0.95,1)))=0,"""",INDEX(FILTER(Precios!$D:$D,(Precios!$A:$A&lt;=$I19)*(Precios!$B:$B&gt;=$I19)*(Precios!$C:$C=V$37)),1)*IF(COUNT($I$6:$I$13)&gt;=5,0.85,IF(CO"&amp;"UNT($I$6:$I$13)&gt;=4,0.9,IF(COUNT($I$6:$I$13)&gt;=3,0.95,1)))),""""))), """")
"),"")</f>
        <v/>
      </c>
      <c r="W88" s="48">
        <f>IFERROR(__xludf.DUMMYFUNCTION("IFERROR(IF($I19="""","""",IF(VLOOKUP(LEFT(W$37,SEARCH(""☃"",SUBSTITUTE(W$37,"" "",""☃"",LEN(W$37)-LEN(SUBSTITUTE(W$37,"" "",""""))))-1),Excepciones!$A:$B,2,0)&gt;=0,IFERROR((INDEX(filter(Precios!$D:$D,(Precios!$A:$A&lt;=$I19)*(Precios!$B:$B&gt;=$I19)*(Precios!$C:$"&amp;"C=W$37)),1)+VLOOKUP(COUNT($I$6:$I$13),Precios!$F:$G,2,0)),""No asegurable""),""No asegurable"")),"""")"),"")</f>
        <v/>
      </c>
      <c r="X88" s="119">
        <f>IFERROR(__xludf.DUMMYFUNCTION("IF($K$10=""Sí"","""",IFERROR(IF($I19="""","""",IF(VLOOKUP(LEFT(X$37,SEARCH(""☃"",SUBSTITUTE(X$37,"" "",""☃"",LEN(X$37)-LEN(SUBSTITUTE(X$37,"" "",""""))))-1),Excepciones!$A:$B,2,0)&gt;=0,IFERROR(INDEX(filter(Precios!$D:$D,(Precios!$A:$A&lt;=$I19)*(Precios!$B:$B&gt;"&amp;"=$I19)*(Precios!$C:$C=X$37)),1),""No asegurable""),""No asegurable"")),""""))"),"")</f>
        <v/>
      </c>
      <c r="Y88" s="48">
        <f>IFERROR(__xludf.DUMMYFUNCTION("IFERROR(IF($I19="""","""",IF(VLOOKUP(LEFT(Y$37,SEARCH(""☃"",SUBSTITUTE(Y$37,"" "",""☃"",LEN(Y$37)-LEN(SUBSTITUTE(Y$37,"" "",""""))))-1),Excepciones!$A:$B,2,0)&gt;=0,IFERROR(INDEX(filter(Precios!$D:$D,(Precios!$A:$A&lt;=$I19)*(Precios!$B:$B&gt;=$I19)*(Precios!$C:$C"&amp;"=Y$37)),1)*1,""No asegurable""),""No asegurable"")),"""")"),"")</f>
        <v/>
      </c>
      <c r="Z88" s="48">
        <f>IFERROR(__xludf.DUMMYFUNCTION("IFERROR(IF($I19="""","""",IF(VLOOKUP(LEFT(Z$37,SEARCH(""☃"",SUBSTITUTE(Z$37,"" "",""☃"",LEN(Z$37)-LEN(SUBSTITUTE(Z$37,"" "",""""))))-1),Excepciones!$A:$B,2,0)&gt;=0,IFERROR(INDEX(filter(Precios!$D:$D,(Precios!$A:$A&lt;=$I19)*(Precios!$B:$B&gt;=$I19)*(Precios!$C:$C"&amp;"=Z$37)),1)*1,""No asegurable""),""No asegurable"")),"""")"),"")</f>
        <v/>
      </c>
      <c r="AA88" s="48">
        <f>IFERROR(__xludf.DUMMYFUNCTION("IFERROR(IF($I19="""","""",IF(VLOOKUP(LEFT(AA$37,SEARCH(""☃"",SUBSTITUTE(AA$37,"" "",""☃"",LEN(AA$37)-LEN(SUBSTITUTE(AA$37,"" "",""""))))-1),Excepciones!$A:$B,2,0)&gt;=0,IFERROR(INDEX(filter(Precios!$D:$D,(Precios!$A:$A&lt;=$I19)*(Precios!$B:$B&gt;=$I19)*(Precios!$"&amp;"C:$C=AA$37)),1)*1,""No asegurable""),""No asegurable"")),"""")"),"")</f>
        <v/>
      </c>
      <c r="AB88" s="48">
        <f>IFERROR(__xludf.DUMMYFUNCTION("IFERROR(IF($I19="""","""",IF(VLOOKUP(LEFT(AB$37,SEARCH(""☃"",SUBSTITUTE(AB$37,"" "",""☃"",LEN(AB$37)-LEN(SUBSTITUTE(AB$37,"" "",""""))))-1),Excepciones!$A:$B,2,0)&gt;=0,IFERROR(INDEX(filter(Precios!$D:$D,(Precios!$A:$A&lt;=$I19)*(Precios!$B:$B&gt;=$I19)*(Precios!$"&amp;"C:$C=AB$37)),1)*1,""No asegurable""),""No asegurable"")),"""")"),"")</f>
        <v/>
      </c>
      <c r="AC88" s="49">
        <f>IFERROR(__xludf.DUMMYFUNCTION("IFERROR(IF($I19="""","""",IF(VLOOKUP(LEFT(AC$37,SEARCH(""☃"",SUBSTITUTE(AC$37,"" "",""☃"",LEN(AC$37)-LEN(SUBSTITUTE(AC$37,"" "",""""))))-1),Excepciones!$A:$B,2,0)&gt;=0,IFERROR(INDEX(filter(Precios!$D:$D,(Precios!$A:$A&lt;=$I19)*(Precios!$B:$B&gt;=$I19)*(Precios!$"&amp;"C:$C=AC$37)),1)*1,""No asegurable""),""No asegurable"")),"""")"),"")</f>
        <v/>
      </c>
      <c r="AD88" s="5" t="n"/>
      <c r="AE88" s="5" t="n"/>
      <c r="AF88" s="5" t="n"/>
      <c r="AG88" s="5" t="n"/>
      <c r="AH88" s="125" t="n"/>
      <c r="AI88" s="125" t="n"/>
      <c r="AJ88" s="5" t="n"/>
      <c r="AK88" s="125" t="n"/>
      <c r="AL88" s="125" t="n"/>
    </row>
    <row r="89" ht="27.75" customHeight="1" s="241">
      <c r="L89" s="126" t="n">
        <v>15</v>
      </c>
      <c r="M89" s="127" t="n"/>
      <c r="N89" s="128">
        <f>IF(OR(N71="",N71=0),"",N71+(VLOOKUP(COUNT($I$6:$I$13),Precios!$F:$H,2,0)))</f>
        <v/>
      </c>
      <c r="O89" s="128">
        <f>IF(OR(O71="",O71=0),"",O71+(VLOOKUP(COUNT($I$6:$I$13),Precios!$F:$H,2,0)))</f>
        <v/>
      </c>
      <c r="P89" s="128">
        <f>IFERROR(__xludf.DUMMYFUNCTION("IFERROR(IF($K$10=""Sí"","""",IF($I20="""","""",IF(VLOOKUP(LEFT(P$37,SEARCH(""☃"",SUBSTITUTE(P$37,"" "",""☃"",LEN(P$37)-LEN(SUBSTITUTE(P$37,"" "",""""))))-1),Excepciones!$A:$B,2,0)&gt;=0,IF(INDEX(FILTER(Precios!$D:$D,(Precios!$A:$A&lt;=$I20)*(Precios!$B:$B&gt;=$I20"&amp;")*(Precios!$C:$C=P$37)),1)*IF(COUNT($I$6:$I$13)&gt;=5,0.85,IF(COUNT($I$6:$I$13)&gt;=4,0.9,IF(COUNT($I$6:$I$13)&gt;=3,0.95,1)))=0,"""",INDEX(FILTER(Precios!$D:$D,(Precios!$A:$A&lt;=$I20)*(Precios!$B:$B&gt;=$I20)*(Precios!$C:$C=P$37)),1)*IF(COUNT($I$6:$I$13)&gt;=5,0.85,IF(CO"&amp;"UNT($I$6:$I$13)&gt;=4,0.9,IF(COUNT($I$6:$I$13)&gt;=3,0.95,1)))),""""))), """")
"),"")</f>
        <v/>
      </c>
      <c r="Q89" s="128">
        <f>IF(OR(Q71="",Q71=0),"",Q71+(VLOOKUP(COUNT($I$6:$I$13),Precios!$F:$H,2,0)))</f>
        <v/>
      </c>
      <c r="R89" s="128">
        <f>IF(OR(R71="",R71=0),"",R71+(VLOOKUP(COUNT($I$6:$I$13),Precios!$F:$H,2,0)))</f>
        <v/>
      </c>
      <c r="S89" s="128">
        <f>IFERROR(__xludf.DUMMYFUNCTION("IFERROR(IF($K$10=""Sí"","""",IF($I20="""","""",IF(VLOOKUP(LEFT(S$37,SEARCH(""☃"",SUBSTITUTE(S$37,"" "",""☃"",LEN(S$37)-LEN(SUBSTITUTE(S$37,"" "",""""))))-1),Excepciones!$A:$B,2,0)&gt;=0,IF(INDEX(FILTER(Precios!$D:$D,(Precios!$A:$A&lt;=$I20)*(Precios!$B:$B&gt;=$I20"&amp;")*(Precios!$C:$C=S$37)),1)*IF(COUNT($I$6:$I$13)&gt;=5,0.85,IF(COUNT($I$6:$I$13)&gt;=4,0.9,IF(COUNT($I$6:$I$13)&gt;=3,0.95,1)))=0,"""",INDEX(FILTER(Precios!$D:$D,(Precios!$A:$A&lt;=$I20)*(Precios!$B:$B&gt;=$I20)*(Precios!$C:$C=S$37)),1)*IF(COUNT($I$6:$I$13)&gt;=5,0.85,IF(CO"&amp;"UNT($I$6:$I$13)&gt;=4,0.9,IF(COUNT($I$6:$I$13)&gt;=3,0.95,1)))),""""))), """")
"),"")</f>
        <v/>
      </c>
      <c r="T89" s="128">
        <f>IFERROR(__xludf.DUMMYFUNCTION("IFERROR(IF($I20="""","""",IF(VLOOKUP(LEFT(T$37,SEARCH(""☃"",SUBSTITUTE(T$37,"" "",""☃"",LEN(T$37)-LEN(SUBSTITUTE(T$37,"" "",""""))))-1),Excepciones!$A:$B,2,0)&gt;=0,IFERROR((INDEX(filter(Precios!$D:$D,(Precios!$A:$A&lt;=$I20)*(Precios!$B:$B&gt;=$I20)*(Precios!$C:$"&amp;"C=T$37)),1)+VLOOKUP(COUNT($I$6:$I$13),Precios!$F:$G,2,0)),""""),"""")),"""")"),"")</f>
        <v/>
      </c>
      <c r="U89" s="128">
        <f>IF(OR(U71="",U71=0),"",U71+(VLOOKUP(COUNT($I$6:$I$13),Precios!$F:$H,2,0)))</f>
        <v/>
      </c>
      <c r="V89" s="128">
        <f>IFERROR(__xludf.DUMMYFUNCTION("IFERROR(IF($K$10=""Sí"","""",IF($I20="""","""",IF(VLOOKUP(LEFT(V$37,SEARCH(""☃"",SUBSTITUTE(V$37,"" "",""☃"",LEN(V$37)-LEN(SUBSTITUTE(V$37,"" "",""""))))-1),Excepciones!$A:$B,2,0)&gt;=0,IF(INDEX(FILTER(Precios!$D:$D,(Precios!$A:$A&lt;=$I20)*(Precios!$B:$B&gt;=$I20"&amp;")*(Precios!$C:$C=V$37)),1)*IF(COUNT($I$6:$I$13)&gt;=5,0.85,IF(COUNT($I$6:$I$13)&gt;=4,0.9,IF(COUNT($I$6:$I$13)&gt;=3,0.95,1)))=0,"""",INDEX(FILTER(Precios!$D:$D,(Precios!$A:$A&lt;=$I20)*(Precios!$B:$B&gt;=$I20)*(Precios!$C:$C=V$37)),1)*IF(COUNT($I$6:$I$13)&gt;=5,0.85,IF(CO"&amp;"UNT($I$6:$I$13)&gt;=4,0.9,IF(COUNT($I$6:$I$13)&gt;=3,0.95,1)))),""""))), """")
"),"")</f>
        <v/>
      </c>
      <c r="W89" s="128">
        <f>IFERROR(__xludf.DUMMYFUNCTION("IFERROR(IF($I20="""","""",IF(VLOOKUP(LEFT(W$37,SEARCH(""☃"",SUBSTITUTE(W$37,"" "",""☃"",LEN(W$37)-LEN(SUBSTITUTE(W$37,"" "",""""))))-1),Excepciones!$A:$B,2,0)&gt;=0,IFERROR((INDEX(filter(Precios!$D:$D,(Precios!$A:$A&lt;=$I20)*(Precios!$B:$B&gt;=$I20)*(Precios!$C:$"&amp;"C=W$37)),1)+VLOOKUP(COUNT($I$6:$I$13),Precios!$F:$G,2,0)),""No asegurable""),""No asegurable"")),"""")"),"")</f>
        <v/>
      </c>
      <c r="X89" s="131">
        <f>IFERROR(__xludf.DUMMYFUNCTION("IF($K$10=""Sí"","""",IFERROR(IF($I20="""","""",IF(VLOOKUP(LEFT(X$37,SEARCH(""☃"",SUBSTITUTE(X$37,"" "",""☃"",LEN(X$37)-LEN(SUBSTITUTE(X$37,"" "",""""))))-1),Excepciones!$A:$B,2,0)&gt;=0,IFERROR(INDEX(filter(Precios!$D:$D,(Precios!$A:$A&lt;=$I20)*(Precios!$B:$B&gt;"&amp;"=$I20)*(Precios!$C:$C=X$37)),1),""No asegurable""),""No asegurable"")),""""))"),"")</f>
        <v/>
      </c>
      <c r="Y89" s="128">
        <f>IFERROR(__xludf.DUMMYFUNCTION("IFERROR(IF($I20="""","""",IF(VLOOKUP(LEFT(Y$37,SEARCH(""☃"",SUBSTITUTE(Y$37,"" "",""☃"",LEN(Y$37)-LEN(SUBSTITUTE(Y$37,"" "",""""))))-1),Excepciones!$A:$B,2,0)&gt;=0,IFERROR(INDEX(filter(Precios!$D:$D,(Precios!$A:$A&lt;=$I20)*(Precios!$B:$B&gt;=$I20)*(Precios!$C:$C"&amp;"=Y$37)),1)*1,""No asegurable""),""No asegurable"")),"""")"),"")</f>
        <v/>
      </c>
      <c r="Z89" s="128">
        <f>IFERROR(__xludf.DUMMYFUNCTION("IFERROR(IF($I20="""","""",IF(VLOOKUP(LEFT(Z$37,SEARCH(""☃"",SUBSTITUTE(Z$37,"" "",""☃"",LEN(Z$37)-LEN(SUBSTITUTE(Z$37,"" "",""""))))-1),Excepciones!$A:$B,2,0)&gt;=0,IFERROR(INDEX(filter(Precios!$D:$D,(Precios!$A:$A&lt;=$I20)*(Precios!$B:$B&gt;=$I20)*(Precios!$C:$C"&amp;"=Z$37)),1)*1,""No asegurable""),""No asegurable"")),"""")"),"")</f>
        <v/>
      </c>
      <c r="AA89" s="128">
        <f>IFERROR(__xludf.DUMMYFUNCTION("IFERROR(IF($I20="""","""",IF(VLOOKUP(LEFT(AA$37,SEARCH(""☃"",SUBSTITUTE(AA$37,"" "",""☃"",LEN(AA$37)-LEN(SUBSTITUTE(AA$37,"" "",""""))))-1),Excepciones!$A:$B,2,0)&gt;=0,IFERROR(INDEX(filter(Precios!$D:$D,(Precios!$A:$A&lt;=$I20)*(Precios!$B:$B&gt;=$I20)*(Precios!$"&amp;"C:$C=AA$37)),1)*1,""No asegurable""),""No asegurable"")),"""")"),"")</f>
        <v/>
      </c>
      <c r="AB89" s="128">
        <f>IFERROR(__xludf.DUMMYFUNCTION("IFERROR(IF($I20="""","""",IF(VLOOKUP(LEFT(AB$37,SEARCH(""☃"",SUBSTITUTE(AB$37,"" "",""☃"",LEN(AB$37)-LEN(SUBSTITUTE(AB$37,"" "",""""))))-1),Excepciones!$A:$B,2,0)&gt;=0,IFERROR(INDEX(filter(Precios!$D:$D,(Precios!$A:$A&lt;=$I20)*(Precios!$B:$B&gt;=$I20)*(Precios!$"&amp;"C:$C=AB$37)),1)*1,""No asegurable""),""No asegurable"")),"""")"),"")</f>
        <v/>
      </c>
      <c r="AC89" s="143">
        <f>IFERROR(__xludf.DUMMYFUNCTION("IFERROR(IF($I20="""","""",IF(VLOOKUP(LEFT(AC$37,SEARCH(""☃"",SUBSTITUTE(AC$37,"" "",""☃"",LEN(AC$37)-LEN(SUBSTITUTE(AC$37,"" "",""""))))-1),Excepciones!$A:$B,2,0)&gt;=0,IFERROR(INDEX(filter(Precios!$D:$D,(Precios!$A:$A&lt;=$I20)*(Precios!$B:$B&gt;=$I20)*(Precios!$"&amp;"C:$C=AC$37)),1)*1,""No asegurable""),""No asegurable"")),"""")"),"")</f>
        <v/>
      </c>
      <c r="AD89" s="5" t="n"/>
      <c r="AE89" s="5" t="n"/>
      <c r="AF89" s="5" t="n"/>
      <c r="AG89" s="5" t="n"/>
      <c r="AH89" s="125" t="n"/>
      <c r="AI89" s="125" t="n"/>
      <c r="AJ89" s="5" t="n"/>
      <c r="AK89" s="125" t="n"/>
      <c r="AL89" s="125" t="n"/>
    </row>
    <row r="90" hidden="1" s="241">
      <c r="AD90" s="5" t="n"/>
      <c r="AE90" s="5" t="n"/>
      <c r="AF90" s="5" t="n"/>
      <c r="AG90" s="5" t="n"/>
      <c r="AH90" s="125" t="n"/>
      <c r="AI90" s="125" t="n"/>
      <c r="AJ90" s="5" t="n"/>
      <c r="AK90" s="125" t="n"/>
      <c r="AL90" s="125" t="n"/>
    </row>
    <row r="91" hidden="1" s="241">
      <c r="AD91" s="5" t="n"/>
      <c r="AE91" s="5" t="n"/>
      <c r="AF91" s="5" t="n"/>
      <c r="AG91" s="5" t="n"/>
      <c r="AH91" s="125" t="n"/>
      <c r="AI91" s="125" t="n"/>
      <c r="AJ91" s="5" t="n"/>
      <c r="AK91" s="125" t="n"/>
      <c r="AL91" s="125" t="n"/>
    </row>
    <row r="92" hidden="1" s="241"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125" t="n"/>
      <c r="AI92" s="125" t="n"/>
      <c r="AJ92" s="5" t="n"/>
      <c r="AK92" s="125" t="n"/>
      <c r="AL92" s="125" t="n"/>
    </row>
    <row r="93" hidden="1" s="241"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125" t="n"/>
      <c r="AI93" s="125" t="n"/>
      <c r="AJ93" s="5" t="n"/>
      <c r="AK93" s="125" t="n"/>
      <c r="AL93" s="125" t="n"/>
    </row>
    <row r="94" hidden="1" s="241"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125" t="n"/>
      <c r="AI94" s="125" t="n"/>
      <c r="AJ94" s="5" t="n"/>
      <c r="AK94" s="125" t="n"/>
      <c r="AL94" s="125" t="n"/>
    </row>
    <row r="95" hidden="1" s="241"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125" t="n"/>
      <c r="AI95" s="125" t="n"/>
      <c r="AJ95" s="5" t="n"/>
      <c r="AK95" s="125" t="n"/>
      <c r="AL95" s="125" t="n"/>
    </row>
    <row r="96" hidden="1" s="241"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125" t="n"/>
      <c r="AI96" s="125" t="n"/>
      <c r="AJ96" s="5" t="n"/>
      <c r="AK96" s="125" t="n"/>
      <c r="AL96" s="125" t="n"/>
    </row>
    <row r="97" hidden="1" s="241"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125" t="n"/>
      <c r="AI97" s="125" t="n"/>
      <c r="AJ97" s="5" t="n"/>
      <c r="AK97" s="125" t="n"/>
      <c r="AL97" s="125" t="n"/>
    </row>
    <row r="98" hidden="1" s="241"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125" t="n"/>
      <c r="AI98" s="125" t="n"/>
      <c r="AJ98" s="5" t="n"/>
      <c r="AK98" s="125" t="n"/>
      <c r="AL98" s="125" t="n"/>
    </row>
    <row r="99" hidden="1" s="241"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125" t="n"/>
      <c r="AI99" s="125" t="n"/>
      <c r="AJ99" s="5" t="n"/>
      <c r="AK99" s="125" t="n"/>
      <c r="AL99" s="125" t="n"/>
    </row>
    <row r="100" hidden="1" s="241"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125" t="n"/>
      <c r="AI100" s="125" t="n"/>
      <c r="AJ100" s="5" t="n"/>
      <c r="AK100" s="125" t="n"/>
      <c r="AL100" s="125" t="n"/>
    </row>
    <row r="101" hidden="1" s="241"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125" t="n"/>
      <c r="AI101" s="125" t="n"/>
      <c r="AJ101" s="5" t="n"/>
      <c r="AK101" s="125" t="n"/>
      <c r="AL101" s="125" t="n"/>
    </row>
    <row r="102" hidden="1" s="241"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125" t="n"/>
      <c r="AI102" s="125" t="n"/>
      <c r="AJ102" s="5" t="n"/>
      <c r="AK102" s="125" t="n"/>
      <c r="AL102" s="125" t="n"/>
    </row>
    <row r="103" hidden="1" s="241"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125" t="n"/>
      <c r="AI103" s="125" t="n"/>
      <c r="AJ103" s="5" t="n"/>
      <c r="AK103" s="125" t="n"/>
      <c r="AL103" s="125" t="n"/>
    </row>
    <row r="104" hidden="1" s="241"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125" t="n"/>
      <c r="AI104" s="125" t="n"/>
      <c r="AJ104" s="5" t="n"/>
      <c r="AK104" s="125" t="n"/>
      <c r="AL104" s="125" t="n"/>
    </row>
    <row r="105" hidden="1" s="241"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125" t="n"/>
      <c r="AI105" s="125" t="n"/>
      <c r="AJ105" s="5" t="n"/>
      <c r="AK105" s="125" t="n"/>
      <c r="AL105" s="125" t="n"/>
    </row>
    <row r="106" hidden="1" s="241"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125" t="n"/>
      <c r="AI106" s="125" t="n"/>
      <c r="AJ106" s="5" t="n"/>
      <c r="AK106" s="125" t="n"/>
      <c r="AL106" s="125" t="n"/>
    </row>
    <row r="107" hidden="1" s="241"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125" t="n"/>
      <c r="AI107" s="125" t="n"/>
      <c r="AJ107" s="5" t="n"/>
      <c r="AK107" s="125" t="n"/>
      <c r="AL107" s="125" t="n"/>
    </row>
    <row r="108" hidden="1" s="241"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125" t="n"/>
      <c r="AI108" s="125" t="n"/>
      <c r="AJ108" s="5" t="n"/>
      <c r="AK108" s="125" t="n"/>
      <c r="AL108" s="125" t="n"/>
    </row>
    <row r="109" hidden="1" s="241"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125" t="n"/>
      <c r="AI109" s="125" t="n"/>
      <c r="AJ109" s="5" t="n"/>
      <c r="AK109" s="125" t="n"/>
      <c r="AL109" s="125" t="n"/>
    </row>
    <row r="110" hidden="1" s="241"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125" t="n"/>
      <c r="AI110" s="125" t="n"/>
      <c r="AJ110" s="5" t="n"/>
      <c r="AK110" s="125" t="n"/>
      <c r="AL110" s="125" t="n"/>
    </row>
    <row r="111" hidden="1" s="241"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125" t="n"/>
      <c r="AI111" s="125" t="n"/>
      <c r="AJ111" s="5" t="n"/>
      <c r="AK111" s="125" t="n"/>
      <c r="AL111" s="125" t="n"/>
    </row>
    <row r="112" hidden="1" s="241"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125" t="n"/>
      <c r="AI112" s="125" t="n"/>
      <c r="AJ112" s="5" t="n"/>
      <c r="AK112" s="125" t="n"/>
      <c r="AL112" s="125" t="n"/>
    </row>
    <row r="113" hidden="1" s="241"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125" t="n"/>
      <c r="AI113" s="125" t="n"/>
      <c r="AJ113" s="5" t="n"/>
      <c r="AK113" s="125" t="n"/>
      <c r="AL113" s="125" t="n"/>
    </row>
    <row r="114" hidden="1" s="241"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125" t="n"/>
      <c r="AI114" s="125" t="n"/>
      <c r="AJ114" s="5" t="n"/>
      <c r="AK114" s="125" t="n"/>
      <c r="AL114" s="125" t="n"/>
    </row>
    <row r="115" hidden="1" s="241"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125" t="n"/>
      <c r="AI115" s="125" t="n"/>
      <c r="AJ115" s="5" t="n"/>
      <c r="AK115" s="125" t="n"/>
      <c r="AL115" s="125" t="n"/>
    </row>
    <row r="116" hidden="1" s="241"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125" t="n"/>
      <c r="AI116" s="125" t="n"/>
      <c r="AJ116" s="5" t="n"/>
      <c r="AK116" s="125" t="n"/>
      <c r="AL116" s="125" t="n"/>
    </row>
    <row r="117" hidden="1" s="241"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125" t="n"/>
      <c r="AI117" s="125" t="n"/>
      <c r="AJ117" s="5" t="n"/>
      <c r="AK117" s="125" t="n"/>
      <c r="AL117" s="125" t="n"/>
    </row>
    <row r="118" hidden="1" s="241"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125" t="n"/>
      <c r="AI118" s="125" t="n"/>
      <c r="AJ118" s="5" t="n"/>
      <c r="AK118" s="125" t="n"/>
      <c r="AL118" s="125" t="n"/>
    </row>
    <row r="119" hidden="1" s="241"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125" t="n"/>
      <c r="AI119" s="125" t="n"/>
      <c r="AJ119" s="5" t="n"/>
      <c r="AK119" s="125" t="n"/>
      <c r="AL119" s="125" t="n"/>
    </row>
    <row r="120" hidden="1" s="241"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125" t="n"/>
      <c r="AI120" s="125" t="n"/>
      <c r="AJ120" s="5" t="n"/>
      <c r="AK120" s="125" t="n"/>
      <c r="AL120" s="125" t="n"/>
    </row>
    <row r="121" hidden="1" s="241"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125" t="n"/>
      <c r="AI121" s="125" t="n"/>
      <c r="AJ121" s="5" t="n"/>
      <c r="AK121" s="125" t="n"/>
      <c r="AL121" s="125" t="n"/>
    </row>
    <row r="122" hidden="1" s="241"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125" t="n"/>
      <c r="AI122" s="125" t="n"/>
      <c r="AJ122" s="5" t="n"/>
      <c r="AK122" s="125" t="n"/>
      <c r="AL122" s="125" t="n"/>
    </row>
    <row r="123" hidden="1" s="241"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125" t="n"/>
      <c r="AI123" s="125" t="n"/>
      <c r="AJ123" s="5" t="n"/>
      <c r="AK123" s="125" t="n"/>
      <c r="AL123" s="125" t="n"/>
    </row>
    <row r="124" hidden="1" s="241"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125" t="n"/>
      <c r="AI124" s="125" t="n"/>
      <c r="AJ124" s="5" t="n"/>
      <c r="AK124" s="125" t="n"/>
      <c r="AL124" s="125" t="n"/>
    </row>
    <row r="125" hidden="1" s="241"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125" t="n"/>
      <c r="AI125" s="125" t="n"/>
      <c r="AJ125" s="5" t="n"/>
      <c r="AK125" s="125" t="n"/>
      <c r="AL125" s="125" t="n"/>
    </row>
    <row r="126" hidden="1" s="241"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125" t="n"/>
      <c r="AI126" s="125" t="n"/>
      <c r="AJ126" s="5" t="n"/>
      <c r="AK126" s="125" t="n"/>
      <c r="AL126" s="125" t="n"/>
    </row>
    <row r="127" hidden="1" s="241"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125" t="n"/>
      <c r="AI127" s="125" t="n"/>
      <c r="AJ127" s="5" t="n"/>
      <c r="AK127" s="125" t="n"/>
      <c r="AL127" s="125" t="n"/>
    </row>
    <row r="128" hidden="1" s="241"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125" t="n"/>
      <c r="AI128" s="125" t="n"/>
      <c r="AJ128" s="5" t="n"/>
      <c r="AK128" s="125" t="n"/>
      <c r="AL128" s="125" t="n"/>
    </row>
    <row r="129" hidden="1" s="241"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125" t="n"/>
      <c r="AI129" s="125" t="n"/>
      <c r="AJ129" s="5" t="n"/>
      <c r="AK129" s="125" t="n"/>
      <c r="AL129" s="125" t="n"/>
    </row>
    <row r="130" hidden="1" s="241"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125" t="n"/>
      <c r="AI130" s="125" t="n"/>
      <c r="AJ130" s="5" t="n"/>
      <c r="AK130" s="125" t="n"/>
      <c r="AL130" s="125" t="n"/>
    </row>
    <row r="131" hidden="1" s="241"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125" t="n"/>
      <c r="AI131" s="125" t="n"/>
      <c r="AJ131" s="5" t="n"/>
      <c r="AK131" s="125" t="n"/>
      <c r="AL131" s="125" t="n"/>
    </row>
    <row r="132" hidden="1" s="241"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125" t="n"/>
      <c r="AI132" s="125" t="n"/>
      <c r="AJ132" s="5" t="n"/>
      <c r="AK132" s="125" t="n"/>
      <c r="AL132" s="125" t="n"/>
    </row>
    <row r="133" hidden="1" s="241"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125" t="n"/>
      <c r="AI133" s="125" t="n"/>
      <c r="AJ133" s="5" t="n"/>
      <c r="AK133" s="125" t="n"/>
      <c r="AL133" s="125" t="n"/>
    </row>
    <row r="134" hidden="1" s="241"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125" t="n"/>
      <c r="AI134" s="125" t="n"/>
      <c r="AJ134" s="5" t="n"/>
      <c r="AK134" s="125" t="n"/>
      <c r="AL134" s="125" t="n"/>
    </row>
    <row r="135" hidden="1" s="241"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125" t="n"/>
      <c r="AI135" s="125" t="n"/>
      <c r="AJ135" s="5" t="n"/>
      <c r="AK135" s="125" t="n"/>
      <c r="AL135" s="125" t="n"/>
    </row>
    <row r="136" hidden="1" s="241"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125" t="n"/>
      <c r="AI136" s="125" t="n"/>
      <c r="AJ136" s="5" t="n"/>
      <c r="AK136" s="125" t="n"/>
      <c r="AL136" s="125" t="n"/>
    </row>
    <row r="137" hidden="1" s="241"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125" t="n"/>
      <c r="AI137" s="125" t="n"/>
      <c r="AJ137" s="5" t="n"/>
      <c r="AK137" s="125" t="n"/>
      <c r="AL137" s="125" t="n"/>
    </row>
    <row r="138" hidden="1" s="241"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125" t="n"/>
      <c r="AI138" s="125" t="n"/>
      <c r="AJ138" s="5" t="n"/>
      <c r="AK138" s="125" t="n"/>
      <c r="AL138" s="125" t="n"/>
    </row>
    <row r="139" hidden="1" s="241"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125" t="n"/>
      <c r="AI139" s="125" t="n"/>
      <c r="AJ139" s="5" t="n"/>
      <c r="AK139" s="125" t="n"/>
      <c r="AL139" s="125" t="n"/>
    </row>
    <row r="140" hidden="1" s="241"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125" t="n"/>
      <c r="AI140" s="125" t="n"/>
      <c r="AJ140" s="5" t="n"/>
      <c r="AK140" s="125" t="n"/>
      <c r="AL140" s="125" t="n"/>
    </row>
    <row r="141" hidden="1" s="241"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125" t="n"/>
      <c r="AI141" s="125" t="n"/>
      <c r="AJ141" s="5" t="n"/>
      <c r="AK141" s="125" t="n"/>
      <c r="AL141" s="125" t="n"/>
    </row>
    <row r="142" hidden="1" s="241"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125" t="n"/>
      <c r="AI142" s="125" t="n"/>
      <c r="AJ142" s="5" t="n"/>
      <c r="AK142" s="125" t="n"/>
      <c r="AL142" s="125" t="n"/>
    </row>
    <row r="143" hidden="1" s="241"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125" t="n"/>
      <c r="AI143" s="125" t="n"/>
      <c r="AJ143" s="5" t="n"/>
      <c r="AK143" s="125" t="n"/>
      <c r="AL143" s="125" t="n"/>
    </row>
    <row r="144" hidden="1" s="241"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125" t="n"/>
      <c r="AI144" s="125" t="n"/>
      <c r="AJ144" s="5" t="n"/>
      <c r="AK144" s="125" t="n"/>
      <c r="AL144" s="125" t="n"/>
    </row>
    <row r="145" hidden="1" s="241"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125" t="n"/>
      <c r="AI145" s="125" t="n"/>
      <c r="AJ145" s="5" t="n"/>
      <c r="AK145" s="125" t="n"/>
      <c r="AL145" s="125" t="n"/>
    </row>
    <row r="146" hidden="1" s="241"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125" t="n"/>
      <c r="AI146" s="125" t="n"/>
      <c r="AJ146" s="5" t="n"/>
      <c r="AK146" s="125" t="n"/>
      <c r="AL146" s="125" t="n"/>
    </row>
    <row r="147" hidden="1" s="241"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125" t="n"/>
      <c r="AI147" s="125" t="n"/>
      <c r="AJ147" s="5" t="n"/>
      <c r="AK147" s="125" t="n"/>
      <c r="AL147" s="125" t="n"/>
    </row>
    <row r="148" hidden="1" s="241"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125" t="n"/>
      <c r="AI148" s="125" t="n"/>
      <c r="AJ148" s="5" t="n"/>
      <c r="AK148" s="125" t="n"/>
      <c r="AL148" s="125" t="n"/>
    </row>
    <row r="149" hidden="1" s="241"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125" t="n"/>
      <c r="AI149" s="125" t="n"/>
      <c r="AJ149" s="5" t="n"/>
      <c r="AK149" s="125" t="n"/>
      <c r="AL149" s="125" t="n"/>
    </row>
    <row r="150" hidden="1" s="241"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125" t="n"/>
      <c r="AI150" s="125" t="n"/>
      <c r="AJ150" s="5" t="n"/>
      <c r="AK150" s="125" t="n"/>
      <c r="AL150" s="125" t="n"/>
    </row>
    <row r="151" hidden="1" s="241"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125" t="n"/>
      <c r="AI151" s="125" t="n"/>
      <c r="AJ151" s="5" t="n"/>
      <c r="AK151" s="125" t="n"/>
      <c r="AL151" s="125" t="n"/>
    </row>
    <row r="152" hidden="1" s="241"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125" t="n"/>
      <c r="AI152" s="125" t="n"/>
      <c r="AJ152" s="5" t="n"/>
      <c r="AK152" s="125" t="n"/>
      <c r="AL152" s="125" t="n"/>
    </row>
    <row r="153" hidden="1" s="241"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125" t="n"/>
      <c r="AI153" s="125" t="n"/>
      <c r="AJ153" s="5" t="n"/>
      <c r="AK153" s="125" t="n"/>
      <c r="AL153" s="125" t="n"/>
    </row>
    <row r="154" hidden="1" s="241"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125" t="n"/>
      <c r="AI154" s="125" t="n"/>
      <c r="AJ154" s="5" t="n"/>
      <c r="AK154" s="125" t="n"/>
      <c r="AL154" s="125" t="n"/>
    </row>
    <row r="155" hidden="1" s="241"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125" t="n"/>
      <c r="AI155" s="125" t="n"/>
      <c r="AJ155" s="5" t="n"/>
      <c r="AK155" s="125" t="n"/>
      <c r="AL155" s="125" t="n"/>
    </row>
    <row r="156" hidden="1" s="241"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125" t="n"/>
      <c r="AI156" s="125" t="n"/>
      <c r="AJ156" s="5" t="n"/>
      <c r="AK156" s="125" t="n"/>
      <c r="AL156" s="125" t="n"/>
    </row>
    <row r="157" hidden="1" s="241"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125" t="n"/>
      <c r="AI157" s="125" t="n"/>
      <c r="AJ157" s="5" t="n"/>
      <c r="AK157" s="125" t="n"/>
      <c r="AL157" s="125" t="n"/>
    </row>
    <row r="158" hidden="1" s="241"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125" t="n"/>
      <c r="AI158" s="125" t="n"/>
      <c r="AJ158" s="5" t="n"/>
      <c r="AK158" s="125" t="n"/>
      <c r="AL158" s="125" t="n"/>
    </row>
    <row r="159" hidden="1" s="241"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125" t="n"/>
      <c r="AI159" s="125" t="n"/>
      <c r="AJ159" s="5" t="n"/>
      <c r="AK159" s="125" t="n"/>
      <c r="AL159" s="125" t="n"/>
    </row>
    <row r="160" hidden="1" s="241"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125" t="n"/>
      <c r="AI160" s="125" t="n"/>
      <c r="AJ160" s="5" t="n"/>
      <c r="AK160" s="125" t="n"/>
      <c r="AL160" s="125" t="n"/>
    </row>
    <row r="161" hidden="1" s="241"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125" t="n"/>
      <c r="AI161" s="125" t="n"/>
      <c r="AJ161" s="5" t="n"/>
      <c r="AK161" s="125" t="n"/>
      <c r="AL161" s="125" t="n"/>
    </row>
    <row r="162" hidden="1" s="241"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125" t="n"/>
      <c r="AI162" s="125" t="n"/>
      <c r="AJ162" s="5" t="n"/>
      <c r="AK162" s="125" t="n"/>
      <c r="AL162" s="125" t="n"/>
    </row>
    <row r="163" hidden="1" s="241"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125" t="n"/>
      <c r="AI163" s="125" t="n"/>
      <c r="AJ163" s="5" t="n"/>
      <c r="AK163" s="125" t="n"/>
      <c r="AL163" s="125" t="n"/>
    </row>
    <row r="164" hidden="1" s="241"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125" t="n"/>
      <c r="AI164" s="125" t="n"/>
      <c r="AJ164" s="5" t="n"/>
      <c r="AK164" s="125" t="n"/>
      <c r="AL164" s="125" t="n"/>
    </row>
    <row r="165" hidden="1" s="241"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125" t="n"/>
      <c r="AI165" s="125" t="n"/>
      <c r="AJ165" s="5" t="n"/>
      <c r="AK165" s="125" t="n"/>
      <c r="AL165" s="125" t="n"/>
    </row>
    <row r="166" hidden="1" s="241"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125" t="n"/>
      <c r="AI166" s="125" t="n"/>
      <c r="AJ166" s="5" t="n"/>
      <c r="AK166" s="125" t="n"/>
      <c r="AL166" s="125" t="n"/>
    </row>
    <row r="167" hidden="1" s="241"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125" t="n"/>
      <c r="AI167" s="125" t="n"/>
      <c r="AJ167" s="5" t="n"/>
      <c r="AK167" s="125" t="n"/>
      <c r="AL167" s="125" t="n"/>
    </row>
    <row r="168" hidden="1" s="241"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125" t="n"/>
      <c r="AI168" s="125" t="n"/>
      <c r="AJ168" s="5" t="n"/>
      <c r="AK168" s="125" t="n"/>
      <c r="AL168" s="125" t="n"/>
    </row>
    <row r="169" hidden="1" s="241"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125" t="n"/>
      <c r="AI169" s="125" t="n"/>
      <c r="AJ169" s="5" t="n"/>
      <c r="AK169" s="125" t="n"/>
      <c r="AL169" s="125" t="n"/>
    </row>
    <row r="170" hidden="1" s="241"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125" t="n"/>
      <c r="AI170" s="125" t="n"/>
      <c r="AJ170" s="5" t="n"/>
      <c r="AK170" s="125" t="n"/>
      <c r="AL170" s="125" t="n"/>
    </row>
    <row r="171" hidden="1" s="241"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125" t="n"/>
      <c r="AI171" s="125" t="n"/>
      <c r="AJ171" s="5" t="n"/>
      <c r="AK171" s="125" t="n"/>
      <c r="AL171" s="125" t="n"/>
    </row>
    <row r="172" hidden="1" s="241"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125" t="n"/>
      <c r="AI172" s="125" t="n"/>
      <c r="AJ172" s="5" t="n"/>
      <c r="AK172" s="125" t="n"/>
      <c r="AL172" s="125" t="n"/>
    </row>
    <row r="173" hidden="1" s="241"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125" t="n"/>
      <c r="AI173" s="125" t="n"/>
      <c r="AJ173" s="5" t="n"/>
      <c r="AK173" s="125" t="n"/>
      <c r="AL173" s="125" t="n"/>
    </row>
    <row r="174" hidden="1" s="241"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125" t="n"/>
      <c r="AI174" s="125" t="n"/>
      <c r="AJ174" s="5" t="n"/>
      <c r="AK174" s="125" t="n"/>
      <c r="AL174" s="125" t="n"/>
    </row>
    <row r="175" hidden="1" s="241"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125" t="n"/>
      <c r="AI175" s="125" t="n"/>
      <c r="AJ175" s="5" t="n"/>
      <c r="AK175" s="125" t="n"/>
      <c r="AL175" s="125" t="n"/>
    </row>
    <row r="176" hidden="1" s="241"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125" t="n"/>
      <c r="AI176" s="125" t="n"/>
      <c r="AJ176" s="5" t="n"/>
      <c r="AK176" s="125" t="n"/>
      <c r="AL176" s="125" t="n"/>
    </row>
    <row r="177" hidden="1" s="241"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125" t="n"/>
      <c r="AI177" s="125" t="n"/>
      <c r="AJ177" s="5" t="n"/>
      <c r="AK177" s="125" t="n"/>
      <c r="AL177" s="125" t="n"/>
    </row>
    <row r="178" hidden="1" s="241"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125" t="n"/>
      <c r="AI178" s="125" t="n"/>
      <c r="AJ178" s="5" t="n"/>
      <c r="AK178" s="125" t="n"/>
      <c r="AL178" s="125" t="n"/>
    </row>
    <row r="179" hidden="1" s="241"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125" t="n"/>
      <c r="AI179" s="125" t="n"/>
      <c r="AJ179" s="5" t="n"/>
      <c r="AK179" s="125" t="n"/>
      <c r="AL179" s="125" t="n"/>
    </row>
    <row r="180" hidden="1" s="241"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125" t="n"/>
      <c r="AI180" s="125" t="n"/>
      <c r="AJ180" s="5" t="n"/>
      <c r="AK180" s="125" t="n"/>
      <c r="AL180" s="125" t="n"/>
    </row>
    <row r="181" hidden="1" s="241"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125" t="n"/>
      <c r="AI181" s="125" t="n"/>
      <c r="AJ181" s="5" t="n"/>
      <c r="AK181" s="125" t="n"/>
      <c r="AL181" s="125" t="n"/>
    </row>
    <row r="182" hidden="1" s="241"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125" t="n"/>
      <c r="AI182" s="125" t="n"/>
      <c r="AJ182" s="5" t="n"/>
      <c r="AK182" s="125" t="n"/>
      <c r="AL182" s="125" t="n"/>
    </row>
    <row r="183" hidden="1" s="241"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125" t="n"/>
      <c r="AI183" s="125" t="n"/>
      <c r="AJ183" s="5" t="n"/>
      <c r="AK183" s="125" t="n"/>
      <c r="AL183" s="125" t="n"/>
    </row>
    <row r="184" hidden="1" s="241"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125" t="n"/>
      <c r="AI184" s="125" t="n"/>
      <c r="AJ184" s="5" t="n"/>
      <c r="AK184" s="125" t="n"/>
      <c r="AL184" s="125" t="n"/>
    </row>
    <row r="185" hidden="1" s="241"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125" t="n"/>
      <c r="AI185" s="125" t="n"/>
      <c r="AJ185" s="5" t="n"/>
      <c r="AK185" s="125" t="n"/>
      <c r="AL185" s="125" t="n"/>
    </row>
    <row r="186" hidden="1" s="241"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125" t="n"/>
      <c r="AI186" s="125" t="n"/>
      <c r="AJ186" s="5" t="n"/>
      <c r="AK186" s="125" t="n"/>
      <c r="AL186" s="125" t="n"/>
    </row>
    <row r="187" hidden="1" s="241"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125" t="n"/>
      <c r="AI187" s="125" t="n"/>
      <c r="AJ187" s="5" t="n"/>
      <c r="AK187" s="125" t="n"/>
      <c r="AL187" s="125" t="n"/>
    </row>
    <row r="188" hidden="1" s="241"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125" t="n"/>
      <c r="AI188" s="125" t="n"/>
      <c r="AJ188" s="5" t="n"/>
      <c r="AK188" s="125" t="n"/>
      <c r="AL188" s="125" t="n"/>
    </row>
    <row r="189" hidden="1" s="241"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125" t="n"/>
      <c r="AI189" s="125" t="n"/>
      <c r="AJ189" s="5" t="n"/>
      <c r="AK189" s="125" t="n"/>
      <c r="AL189" s="125" t="n"/>
    </row>
    <row r="190" hidden="1" s="241"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125" t="n"/>
      <c r="AI190" s="125" t="n"/>
      <c r="AJ190" s="5" t="n"/>
      <c r="AK190" s="125" t="n"/>
      <c r="AL190" s="125" t="n"/>
    </row>
    <row r="191" hidden="1" s="241"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125" t="n"/>
      <c r="AI191" s="125" t="n"/>
      <c r="AJ191" s="5" t="n"/>
      <c r="AK191" s="125" t="n"/>
      <c r="AL191" s="125" t="n"/>
    </row>
    <row r="192" hidden="1" s="241"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125" t="n"/>
      <c r="AI192" s="125" t="n"/>
      <c r="AJ192" s="5" t="n"/>
      <c r="AK192" s="125" t="n"/>
      <c r="AL192" s="125" t="n"/>
    </row>
    <row r="193" hidden="1" s="241"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125" t="n"/>
      <c r="AI193" s="125" t="n"/>
      <c r="AJ193" s="5" t="n"/>
      <c r="AK193" s="125" t="n"/>
      <c r="AL193" s="125" t="n"/>
    </row>
    <row r="194" hidden="1" s="241"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125" t="n"/>
      <c r="AI194" s="125" t="n"/>
      <c r="AJ194" s="5" t="n"/>
      <c r="AK194" s="125" t="n"/>
      <c r="AL194" s="125" t="n"/>
    </row>
    <row r="195" hidden="1" s="241"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125" t="n"/>
      <c r="AI195" s="125" t="n"/>
      <c r="AJ195" s="5" t="n"/>
      <c r="AK195" s="125" t="n"/>
      <c r="AL195" s="125" t="n"/>
    </row>
    <row r="196" hidden="1" s="241"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125" t="n"/>
      <c r="AI196" s="125" t="n"/>
      <c r="AJ196" s="5" t="n"/>
      <c r="AK196" s="125" t="n"/>
      <c r="AL196" s="125" t="n"/>
    </row>
    <row r="197" hidden="1" s="241"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125" t="n"/>
      <c r="AI197" s="125" t="n"/>
      <c r="AJ197" s="5" t="n"/>
      <c r="AK197" s="125" t="n"/>
      <c r="AL197" s="125" t="n"/>
    </row>
    <row r="198" hidden="1" s="241"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125" t="n"/>
      <c r="AI198" s="125" t="n"/>
      <c r="AJ198" s="5" t="n"/>
      <c r="AK198" s="125" t="n"/>
      <c r="AL198" s="125" t="n"/>
    </row>
    <row r="199" hidden="1" s="241"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125" t="n"/>
      <c r="AI199" s="125" t="n"/>
      <c r="AJ199" s="5" t="n"/>
      <c r="AK199" s="125" t="n"/>
      <c r="AL199" s="125" t="n"/>
    </row>
    <row r="200" hidden="1" s="241"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125" t="n"/>
      <c r="AI200" s="125" t="n"/>
      <c r="AJ200" s="5" t="n"/>
      <c r="AK200" s="125" t="n"/>
      <c r="AL200" s="125" t="n"/>
    </row>
    <row r="201" hidden="1" s="241"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125" t="n"/>
      <c r="AI201" s="125" t="n"/>
      <c r="AJ201" s="5" t="n"/>
      <c r="AK201" s="125" t="n"/>
      <c r="AL201" s="125" t="n"/>
    </row>
    <row r="202" hidden="1" s="241"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125" t="n"/>
      <c r="AI202" s="125" t="n"/>
      <c r="AJ202" s="5" t="n"/>
      <c r="AK202" s="125" t="n"/>
      <c r="AL202" s="125" t="n"/>
    </row>
    <row r="203" hidden="1" s="241"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125" t="n"/>
      <c r="AI203" s="125" t="n"/>
      <c r="AJ203" s="5" t="n"/>
      <c r="AK203" s="125" t="n"/>
      <c r="AL203" s="125" t="n"/>
    </row>
    <row r="204" hidden="1" s="241"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125" t="n"/>
      <c r="AI204" s="125" t="n"/>
      <c r="AJ204" s="5" t="n"/>
      <c r="AK204" s="125" t="n"/>
      <c r="AL204" s="125" t="n"/>
    </row>
    <row r="205" hidden="1" s="241"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125" t="n"/>
      <c r="AI205" s="125" t="n"/>
      <c r="AJ205" s="5" t="n"/>
      <c r="AK205" s="125" t="n"/>
      <c r="AL205" s="125" t="n"/>
    </row>
    <row r="206" hidden="1" s="241"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125" t="n"/>
      <c r="AI206" s="125" t="n"/>
      <c r="AJ206" s="5" t="n"/>
      <c r="AK206" s="125" t="n"/>
      <c r="AL206" s="125" t="n"/>
    </row>
    <row r="207" hidden="1" s="241"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125" t="n"/>
      <c r="AI207" s="125" t="n"/>
      <c r="AJ207" s="5" t="n"/>
      <c r="AK207" s="125" t="n"/>
      <c r="AL207" s="125" t="n"/>
    </row>
    <row r="208" hidden="1" s="241"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125" t="n"/>
      <c r="AI208" s="125" t="n"/>
      <c r="AJ208" s="5" t="n"/>
      <c r="AK208" s="125" t="n"/>
      <c r="AL208" s="125" t="n"/>
    </row>
    <row r="209" hidden="1" s="241"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125" t="n"/>
      <c r="AI209" s="125" t="n"/>
      <c r="AJ209" s="5" t="n"/>
      <c r="AK209" s="125" t="n"/>
      <c r="AL209" s="125" t="n"/>
    </row>
    <row r="210" hidden="1" s="241"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125" t="n"/>
      <c r="AI210" s="125" t="n"/>
      <c r="AJ210" s="5" t="n"/>
      <c r="AK210" s="125" t="n"/>
      <c r="AL210" s="125" t="n"/>
    </row>
    <row r="211" hidden="1" s="241"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125" t="n"/>
      <c r="AI211" s="125" t="n"/>
      <c r="AJ211" s="5" t="n"/>
      <c r="AK211" s="125" t="n"/>
      <c r="AL211" s="125" t="n"/>
    </row>
    <row r="212" hidden="1" s="241"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125" t="n"/>
      <c r="AI212" s="125" t="n"/>
      <c r="AJ212" s="5" t="n"/>
      <c r="AK212" s="125" t="n"/>
      <c r="AL212" s="125" t="n"/>
    </row>
    <row r="213" hidden="1" s="241"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125" t="n"/>
      <c r="AI213" s="125" t="n"/>
      <c r="AJ213" s="5" t="n"/>
      <c r="AK213" s="125" t="n"/>
      <c r="AL213" s="125" t="n"/>
    </row>
    <row r="214" hidden="1" s="241"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125" t="n"/>
      <c r="AI214" s="125" t="n"/>
      <c r="AJ214" s="5" t="n"/>
      <c r="AK214" s="125" t="n"/>
      <c r="AL214" s="125" t="n"/>
    </row>
    <row r="215" hidden="1" s="241"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125" t="n"/>
      <c r="AI215" s="125" t="n"/>
      <c r="AJ215" s="5" t="n"/>
      <c r="AK215" s="125" t="n"/>
      <c r="AL215" s="125" t="n"/>
    </row>
    <row r="216" hidden="1" s="241"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125" t="n"/>
      <c r="AI216" s="125" t="n"/>
      <c r="AJ216" s="5" t="n"/>
      <c r="AK216" s="125" t="n"/>
      <c r="AL216" s="125" t="n"/>
    </row>
    <row r="217" hidden="1" s="241"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125" t="n"/>
      <c r="AI217" s="125" t="n"/>
      <c r="AJ217" s="5" t="n"/>
      <c r="AK217" s="125" t="n"/>
      <c r="AL217" s="125" t="n"/>
    </row>
    <row r="218" hidden="1" s="241"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125" t="n"/>
      <c r="AI218" s="125" t="n"/>
      <c r="AJ218" s="5" t="n"/>
      <c r="AK218" s="125" t="n"/>
      <c r="AL218" s="125" t="n"/>
    </row>
    <row r="219" hidden="1" s="241"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125" t="n"/>
      <c r="AI219" s="125" t="n"/>
      <c r="AJ219" s="5" t="n"/>
      <c r="AK219" s="125" t="n"/>
      <c r="AL219" s="125" t="n"/>
    </row>
    <row r="220" hidden="1" s="241"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125" t="n"/>
      <c r="AI220" s="125" t="n"/>
      <c r="AJ220" s="5" t="n"/>
      <c r="AK220" s="125" t="n"/>
      <c r="AL220" s="125" t="n"/>
    </row>
    <row r="221" hidden="1" s="241"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125" t="n"/>
      <c r="AI221" s="125" t="n"/>
      <c r="AJ221" s="5" t="n"/>
      <c r="AK221" s="125" t="n"/>
      <c r="AL221" s="125" t="n"/>
    </row>
    <row r="222" hidden="1" s="241"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125" t="n"/>
      <c r="AI222" s="125" t="n"/>
      <c r="AJ222" s="5" t="n"/>
      <c r="AK222" s="125" t="n"/>
      <c r="AL222" s="125" t="n"/>
    </row>
    <row r="223" hidden="1" s="241"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125" t="n"/>
      <c r="AI223" s="125" t="n"/>
      <c r="AJ223" s="5" t="n"/>
      <c r="AK223" s="125" t="n"/>
      <c r="AL223" s="125" t="n"/>
    </row>
    <row r="224" hidden="1" s="241"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125" t="n"/>
      <c r="AI224" s="125" t="n"/>
      <c r="AJ224" s="5" t="n"/>
      <c r="AK224" s="125" t="n"/>
      <c r="AL224" s="125" t="n"/>
    </row>
    <row r="225" hidden="1" s="241"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125" t="n"/>
      <c r="AI225" s="125" t="n"/>
      <c r="AJ225" s="5" t="n"/>
      <c r="AK225" s="125" t="n"/>
      <c r="AL225" s="125" t="n"/>
    </row>
    <row r="226" hidden="1" s="241"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125" t="n"/>
      <c r="AI226" s="125" t="n"/>
      <c r="AJ226" s="5" t="n"/>
      <c r="AK226" s="125" t="n"/>
      <c r="AL226" s="125" t="n"/>
    </row>
    <row r="227" hidden="1" s="241"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125" t="n"/>
      <c r="AI227" s="125" t="n"/>
      <c r="AJ227" s="5" t="n"/>
      <c r="AK227" s="125" t="n"/>
      <c r="AL227" s="125" t="n"/>
    </row>
    <row r="228" hidden="1" s="241"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125" t="n"/>
      <c r="AI228" s="125" t="n"/>
      <c r="AJ228" s="5" t="n"/>
      <c r="AK228" s="125" t="n"/>
      <c r="AL228" s="125" t="n"/>
    </row>
    <row r="229" hidden="1" s="241"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125" t="n"/>
      <c r="AI229" s="125" t="n"/>
      <c r="AJ229" s="5" t="n"/>
      <c r="AK229" s="125" t="n"/>
      <c r="AL229" s="125" t="n"/>
    </row>
    <row r="230" hidden="1" s="241"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125" t="n"/>
      <c r="AI230" s="125" t="n"/>
      <c r="AJ230" s="5" t="n"/>
      <c r="AK230" s="125" t="n"/>
      <c r="AL230" s="125" t="n"/>
    </row>
    <row r="231" hidden="1" s="241"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125" t="n"/>
      <c r="AI231" s="125" t="n"/>
      <c r="AJ231" s="5" t="n"/>
      <c r="AK231" s="125" t="n"/>
      <c r="AL231" s="125" t="n"/>
    </row>
    <row r="232" hidden="1" s="241"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125" t="n"/>
      <c r="AI232" s="125" t="n"/>
      <c r="AJ232" s="5" t="n"/>
      <c r="AK232" s="125" t="n"/>
      <c r="AL232" s="125" t="n"/>
    </row>
    <row r="233" hidden="1" s="241"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125" t="n"/>
      <c r="AI233" s="125" t="n"/>
      <c r="AJ233" s="5" t="n"/>
      <c r="AK233" s="125" t="n"/>
      <c r="AL233" s="125" t="n"/>
    </row>
    <row r="234" hidden="1" s="241"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125" t="n"/>
      <c r="AI234" s="125" t="n"/>
      <c r="AJ234" s="5" t="n"/>
      <c r="AK234" s="125" t="n"/>
      <c r="AL234" s="125" t="n"/>
    </row>
    <row r="235" hidden="1" s="241"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125" t="n"/>
      <c r="AI235" s="125" t="n"/>
      <c r="AJ235" s="5" t="n"/>
      <c r="AK235" s="125" t="n"/>
      <c r="AL235" s="125" t="n"/>
    </row>
    <row r="236" hidden="1" s="241"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125" t="n"/>
      <c r="AI236" s="125" t="n"/>
      <c r="AJ236" s="5" t="n"/>
      <c r="AK236" s="125" t="n"/>
      <c r="AL236" s="125" t="n"/>
    </row>
    <row r="237" hidden="1" s="241"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125" t="n"/>
      <c r="AI237" s="125" t="n"/>
      <c r="AJ237" s="5" t="n"/>
      <c r="AK237" s="125" t="n"/>
      <c r="AL237" s="125" t="n"/>
    </row>
    <row r="238" hidden="1" s="241"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125" t="n"/>
      <c r="AI238" s="125" t="n"/>
      <c r="AJ238" s="5" t="n"/>
      <c r="AK238" s="125" t="n"/>
      <c r="AL238" s="125" t="n"/>
    </row>
    <row r="239" hidden="1" s="241"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125" t="n"/>
      <c r="AI239" s="125" t="n"/>
      <c r="AJ239" s="5" t="n"/>
      <c r="AK239" s="125" t="n"/>
      <c r="AL239" s="125" t="n"/>
    </row>
    <row r="240" hidden="1" s="241"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125" t="n"/>
      <c r="AI240" s="125" t="n"/>
      <c r="AJ240" s="5" t="n"/>
      <c r="AK240" s="125" t="n"/>
      <c r="AL240" s="125" t="n"/>
    </row>
    <row r="241" hidden="1" s="241"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125" t="n"/>
      <c r="AI241" s="125" t="n"/>
      <c r="AJ241" s="5" t="n"/>
      <c r="AK241" s="125" t="n"/>
      <c r="AL241" s="125" t="n"/>
    </row>
    <row r="242" hidden="1" s="241"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125" t="n"/>
      <c r="AI242" s="125" t="n"/>
      <c r="AJ242" s="5" t="n"/>
      <c r="AK242" s="125" t="n"/>
      <c r="AL242" s="125" t="n"/>
    </row>
    <row r="243" hidden="1" s="241"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125" t="n"/>
      <c r="AI243" s="125" t="n"/>
      <c r="AJ243" s="5" t="n"/>
      <c r="AK243" s="125" t="n"/>
      <c r="AL243" s="125" t="n"/>
    </row>
    <row r="244" hidden="1" s="241"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125" t="n"/>
      <c r="AI244" s="125" t="n"/>
      <c r="AJ244" s="5" t="n"/>
      <c r="AK244" s="125" t="n"/>
      <c r="AL244" s="125" t="n"/>
    </row>
    <row r="245" hidden="1" s="241"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125" t="n"/>
      <c r="AI245" s="125" t="n"/>
      <c r="AJ245" s="5" t="n"/>
      <c r="AK245" s="125" t="n"/>
      <c r="AL245" s="125" t="n"/>
    </row>
    <row r="246" hidden="1" s="241"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125" t="n"/>
      <c r="AI246" s="125" t="n"/>
      <c r="AJ246" s="5" t="n"/>
      <c r="AK246" s="125" t="n"/>
      <c r="AL246" s="125" t="n"/>
    </row>
    <row r="247" hidden="1" s="241"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125" t="n"/>
      <c r="AI247" s="125" t="n"/>
      <c r="AJ247" s="5" t="n"/>
      <c r="AK247" s="125" t="n"/>
      <c r="AL247" s="125" t="n"/>
    </row>
    <row r="248" hidden="1" s="241"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125" t="n"/>
      <c r="AI248" s="125" t="n"/>
      <c r="AJ248" s="5" t="n"/>
      <c r="AK248" s="125" t="n"/>
      <c r="AL248" s="125" t="n"/>
    </row>
    <row r="249" hidden="1" s="241"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125" t="n"/>
      <c r="AI249" s="125" t="n"/>
      <c r="AJ249" s="5" t="n"/>
      <c r="AK249" s="125" t="n"/>
      <c r="AL249" s="125" t="n"/>
    </row>
    <row r="250" hidden="1" s="241"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125" t="n"/>
      <c r="AI250" s="125" t="n"/>
      <c r="AJ250" s="5" t="n"/>
      <c r="AK250" s="125" t="n"/>
      <c r="AL250" s="125" t="n"/>
    </row>
    <row r="251" hidden="1" s="241"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125" t="n"/>
      <c r="AI251" s="125" t="n"/>
      <c r="AJ251" s="5" t="n"/>
      <c r="AK251" s="125" t="n"/>
      <c r="AL251" s="125" t="n"/>
    </row>
    <row r="252" hidden="1" s="241"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125" t="n"/>
      <c r="AI252" s="125" t="n"/>
      <c r="AJ252" s="5" t="n"/>
      <c r="AK252" s="125" t="n"/>
      <c r="AL252" s="125" t="n"/>
    </row>
    <row r="253" hidden="1" s="241"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125" t="n"/>
      <c r="AI253" s="125" t="n"/>
      <c r="AJ253" s="5" t="n"/>
      <c r="AK253" s="125" t="n"/>
      <c r="AL253" s="125" t="n"/>
    </row>
    <row r="254" hidden="1" s="241"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125" t="n"/>
      <c r="AI254" s="125" t="n"/>
      <c r="AJ254" s="5" t="n"/>
      <c r="AK254" s="125" t="n"/>
      <c r="AL254" s="125" t="n"/>
    </row>
    <row r="255" hidden="1" s="241"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125" t="n"/>
      <c r="AI255" s="125" t="n"/>
      <c r="AJ255" s="5" t="n"/>
      <c r="AK255" s="125" t="n"/>
      <c r="AL255" s="125" t="n"/>
    </row>
    <row r="256" hidden="1" s="241"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125" t="n"/>
      <c r="AI256" s="125" t="n"/>
      <c r="AJ256" s="5" t="n"/>
      <c r="AK256" s="125" t="n"/>
      <c r="AL256" s="125" t="n"/>
    </row>
    <row r="257" hidden="1" s="241"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125" t="n"/>
      <c r="AI257" s="125" t="n"/>
      <c r="AJ257" s="5" t="n"/>
      <c r="AK257" s="125" t="n"/>
      <c r="AL257" s="125" t="n"/>
    </row>
    <row r="258" hidden="1" s="241"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125" t="n"/>
      <c r="AI258" s="125" t="n"/>
      <c r="AJ258" s="5" t="n"/>
      <c r="AK258" s="125" t="n"/>
      <c r="AL258" s="125" t="n"/>
    </row>
    <row r="259" hidden="1" s="241"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125" t="n"/>
      <c r="AI259" s="125" t="n"/>
      <c r="AJ259" s="5" t="n"/>
      <c r="AK259" s="125" t="n"/>
      <c r="AL259" s="125" t="n"/>
    </row>
    <row r="260" hidden="1" s="241"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125" t="n"/>
      <c r="AI260" s="125" t="n"/>
      <c r="AJ260" s="5" t="n"/>
      <c r="AK260" s="125" t="n"/>
      <c r="AL260" s="125" t="n"/>
    </row>
    <row r="261" hidden="1" s="241"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125" t="n"/>
      <c r="AI261" s="125" t="n"/>
      <c r="AJ261" s="5" t="n"/>
      <c r="AK261" s="125" t="n"/>
      <c r="AL261" s="125" t="n"/>
    </row>
    <row r="262" hidden="1" s="241"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125" t="n"/>
      <c r="AI262" s="125" t="n"/>
      <c r="AJ262" s="5" t="n"/>
      <c r="AK262" s="125" t="n"/>
      <c r="AL262" s="125" t="n"/>
    </row>
    <row r="263" hidden="1" s="241"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125" t="n"/>
      <c r="AI263" s="125" t="n"/>
      <c r="AJ263" s="5" t="n"/>
      <c r="AK263" s="125" t="n"/>
      <c r="AL263" s="125" t="n"/>
    </row>
    <row r="264" hidden="1" s="241"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125" t="n"/>
      <c r="AI264" s="125" t="n"/>
      <c r="AJ264" s="5" t="n"/>
      <c r="AK264" s="125" t="n"/>
      <c r="AL264" s="125" t="n"/>
    </row>
    <row r="265" hidden="1" s="241"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125" t="n"/>
      <c r="AI265" s="125" t="n"/>
      <c r="AJ265" s="5" t="n"/>
      <c r="AK265" s="125" t="n"/>
      <c r="AL265" s="125" t="n"/>
    </row>
    <row r="266" hidden="1" s="241"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125" t="n"/>
      <c r="AI266" s="125" t="n"/>
      <c r="AJ266" s="5" t="n"/>
      <c r="AK266" s="125" t="n"/>
      <c r="AL266" s="125" t="n"/>
    </row>
    <row r="267" hidden="1" s="241"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125" t="n"/>
      <c r="AI267" s="125" t="n"/>
      <c r="AJ267" s="5" t="n"/>
      <c r="AK267" s="125" t="n"/>
      <c r="AL267" s="125" t="n"/>
    </row>
    <row r="268" hidden="1" s="241"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125" t="n"/>
      <c r="AI268" s="125" t="n"/>
      <c r="AJ268" s="5" t="n"/>
      <c r="AK268" s="125" t="n"/>
      <c r="AL268" s="125" t="n"/>
    </row>
    <row r="269" hidden="1" s="241"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125" t="n"/>
      <c r="AI269" s="125" t="n"/>
      <c r="AJ269" s="5" t="n"/>
      <c r="AK269" s="125" t="n"/>
      <c r="AL269" s="125" t="n"/>
    </row>
    <row r="270" hidden="1" s="241"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125" t="n"/>
      <c r="AI270" s="125" t="n"/>
      <c r="AJ270" s="5" t="n"/>
      <c r="AK270" s="125" t="n"/>
      <c r="AL270" s="125" t="n"/>
    </row>
    <row r="271" hidden="1" s="241"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125" t="n"/>
      <c r="AI271" s="125" t="n"/>
      <c r="AJ271" s="5" t="n"/>
      <c r="AK271" s="125" t="n"/>
      <c r="AL271" s="125" t="n"/>
    </row>
    <row r="272" hidden="1" s="241"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125" t="n"/>
      <c r="AI272" s="125" t="n"/>
      <c r="AJ272" s="5" t="n"/>
      <c r="AK272" s="125" t="n"/>
      <c r="AL272" s="125" t="n"/>
    </row>
    <row r="273" hidden="1" s="241"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125" t="n"/>
      <c r="AI273" s="125" t="n"/>
      <c r="AJ273" s="5" t="n"/>
      <c r="AK273" s="125" t="n"/>
      <c r="AL273" s="125" t="n"/>
    </row>
    <row r="274" hidden="1" s="241"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125" t="n"/>
      <c r="AI274" s="125" t="n"/>
      <c r="AJ274" s="5" t="n"/>
      <c r="AK274" s="125" t="n"/>
      <c r="AL274" s="125" t="n"/>
    </row>
    <row r="275" hidden="1" s="241"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125" t="n"/>
      <c r="AI275" s="125" t="n"/>
      <c r="AJ275" s="5" t="n"/>
      <c r="AK275" s="125" t="n"/>
      <c r="AL275" s="125" t="n"/>
    </row>
    <row r="276" hidden="1" s="241"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125" t="n"/>
      <c r="AI276" s="125" t="n"/>
      <c r="AJ276" s="5" t="n"/>
      <c r="AK276" s="125" t="n"/>
      <c r="AL276" s="125" t="n"/>
    </row>
    <row r="277" hidden="1" s="241"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125" t="n"/>
      <c r="AI277" s="125" t="n"/>
      <c r="AJ277" s="5" t="n"/>
      <c r="AK277" s="125" t="n"/>
      <c r="AL277" s="125" t="n"/>
    </row>
    <row r="278" hidden="1" s="241"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125" t="n"/>
      <c r="AI278" s="125" t="n"/>
      <c r="AJ278" s="5" t="n"/>
      <c r="AK278" s="125" t="n"/>
      <c r="AL278" s="125" t="n"/>
    </row>
    <row r="279" hidden="1" s="241"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125" t="n"/>
      <c r="AI279" s="125" t="n"/>
      <c r="AJ279" s="5" t="n"/>
      <c r="AK279" s="125" t="n"/>
      <c r="AL279" s="125" t="n"/>
    </row>
    <row r="280" hidden="1" s="241"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125" t="n"/>
      <c r="AI280" s="125" t="n"/>
      <c r="AJ280" s="5" t="n"/>
      <c r="AK280" s="125" t="n"/>
      <c r="AL280" s="125" t="n"/>
    </row>
    <row r="281" hidden="1" s="241"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125" t="n"/>
      <c r="AI281" s="125" t="n"/>
      <c r="AJ281" s="5" t="n"/>
      <c r="AK281" s="125" t="n"/>
      <c r="AL281" s="125" t="n"/>
    </row>
    <row r="282" hidden="1" s="241"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125" t="n"/>
      <c r="AI282" s="125" t="n"/>
      <c r="AJ282" s="5" t="n"/>
      <c r="AK282" s="125" t="n"/>
      <c r="AL282" s="125" t="n"/>
    </row>
    <row r="283" hidden="1" s="241"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125" t="n"/>
      <c r="AI283" s="125" t="n"/>
      <c r="AJ283" s="5" t="n"/>
      <c r="AK283" s="125" t="n"/>
      <c r="AL283" s="125" t="n"/>
    </row>
    <row r="284" hidden="1" s="241"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125" t="n"/>
      <c r="AI284" s="125" t="n"/>
      <c r="AJ284" s="5" t="n"/>
      <c r="AK284" s="125" t="n"/>
      <c r="AL284" s="125" t="n"/>
    </row>
    <row r="285" hidden="1" s="241"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125" t="n"/>
      <c r="AI285" s="125" t="n"/>
      <c r="AJ285" s="5" t="n"/>
      <c r="AK285" s="125" t="n"/>
      <c r="AL285" s="125" t="n"/>
    </row>
    <row r="286" hidden="1" s="241"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125" t="n"/>
      <c r="AI286" s="125" t="n"/>
      <c r="AJ286" s="5" t="n"/>
      <c r="AK286" s="125" t="n"/>
      <c r="AL286" s="125" t="n"/>
    </row>
    <row r="287" hidden="1" s="241"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125" t="n"/>
      <c r="AI287" s="125" t="n"/>
      <c r="AJ287" s="5" t="n"/>
      <c r="AK287" s="125" t="n"/>
      <c r="AL287" s="125" t="n"/>
    </row>
    <row r="288" hidden="1" s="241"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125" t="n"/>
      <c r="AI288" s="125" t="n"/>
      <c r="AJ288" s="5" t="n"/>
      <c r="AK288" s="125" t="n"/>
      <c r="AL288" s="125" t="n"/>
    </row>
    <row r="289" hidden="1" s="241"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125" t="n"/>
      <c r="AI289" s="125" t="n"/>
      <c r="AJ289" s="5" t="n"/>
      <c r="AK289" s="125" t="n"/>
      <c r="AL289" s="125" t="n"/>
    </row>
    <row r="290" hidden="1" s="241"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125" t="n"/>
      <c r="AI290" s="125" t="n"/>
      <c r="AJ290" s="5" t="n"/>
      <c r="AK290" s="125" t="n"/>
      <c r="AL290" s="125" t="n"/>
    </row>
    <row r="291" hidden="1" s="241"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125" t="n"/>
      <c r="AI291" s="125" t="n"/>
      <c r="AJ291" s="5" t="n"/>
      <c r="AK291" s="125" t="n"/>
      <c r="AL291" s="125" t="n"/>
    </row>
    <row r="292" hidden="1" s="241"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125" t="n"/>
      <c r="AI292" s="125" t="n"/>
      <c r="AJ292" s="5" t="n"/>
      <c r="AK292" s="125" t="n"/>
      <c r="AL292" s="125" t="n"/>
    </row>
    <row r="293" hidden="1" s="241"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125" t="n"/>
      <c r="AI293" s="125" t="n"/>
      <c r="AJ293" s="5" t="n"/>
      <c r="AK293" s="125" t="n"/>
      <c r="AL293" s="125" t="n"/>
    </row>
    <row r="294" hidden="1" s="241"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125" t="n"/>
      <c r="AI294" s="125" t="n"/>
      <c r="AJ294" s="5" t="n"/>
      <c r="AK294" s="125" t="n"/>
      <c r="AL294" s="125" t="n"/>
    </row>
    <row r="295" hidden="1" s="241"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125" t="n"/>
      <c r="AI295" s="125" t="n"/>
      <c r="AJ295" s="5" t="n"/>
      <c r="AK295" s="125" t="n"/>
      <c r="AL295" s="125" t="n"/>
    </row>
    <row r="296" hidden="1" s="241"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125" t="n"/>
      <c r="AI296" s="125" t="n"/>
      <c r="AJ296" s="5" t="n"/>
      <c r="AK296" s="125" t="n"/>
      <c r="AL296" s="125" t="n"/>
    </row>
    <row r="297" hidden="1" s="241"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125" t="n"/>
      <c r="AI297" s="125" t="n"/>
      <c r="AJ297" s="5" t="n"/>
      <c r="AK297" s="125" t="n"/>
      <c r="AL297" s="125" t="n"/>
    </row>
    <row r="298" hidden="1" s="241"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125" t="n"/>
      <c r="AI298" s="125" t="n"/>
      <c r="AJ298" s="5" t="n"/>
      <c r="AK298" s="125" t="n"/>
      <c r="AL298" s="125" t="n"/>
    </row>
    <row r="299" hidden="1" s="241"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125" t="n"/>
      <c r="AI299" s="125" t="n"/>
      <c r="AJ299" s="5" t="n"/>
      <c r="AK299" s="125" t="n"/>
      <c r="AL299" s="125" t="n"/>
    </row>
    <row r="300" hidden="1" s="241"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125" t="n"/>
      <c r="AI300" s="125" t="n"/>
      <c r="AJ300" s="5" t="n"/>
      <c r="AK300" s="125" t="n"/>
      <c r="AL300" s="125" t="n"/>
    </row>
    <row r="301" hidden="1" s="241"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125" t="n"/>
      <c r="AI301" s="125" t="n"/>
      <c r="AJ301" s="5" t="n"/>
      <c r="AK301" s="125" t="n"/>
      <c r="AL301" s="125" t="n"/>
    </row>
    <row r="302" hidden="1" s="241"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125" t="n"/>
      <c r="AI302" s="125" t="n"/>
      <c r="AJ302" s="5" t="n"/>
      <c r="AK302" s="125" t="n"/>
      <c r="AL302" s="125" t="n"/>
    </row>
    <row r="303" hidden="1" s="241"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125" t="n"/>
      <c r="AI303" s="125" t="n"/>
      <c r="AJ303" s="5" t="n"/>
      <c r="AK303" s="125" t="n"/>
      <c r="AL303" s="125" t="n"/>
    </row>
    <row r="304" hidden="1" s="241"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125" t="n"/>
      <c r="AI304" s="125" t="n"/>
      <c r="AJ304" s="5" t="n"/>
      <c r="AK304" s="125" t="n"/>
      <c r="AL304" s="125" t="n"/>
    </row>
    <row r="305" hidden="1" s="241"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125" t="n"/>
      <c r="AI305" s="125" t="n"/>
      <c r="AJ305" s="5" t="n"/>
      <c r="AK305" s="125" t="n"/>
      <c r="AL305" s="125" t="n"/>
    </row>
    <row r="306" hidden="1" s="241"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125" t="n"/>
      <c r="AI306" s="125" t="n"/>
      <c r="AJ306" s="5" t="n"/>
      <c r="AK306" s="125" t="n"/>
      <c r="AL306" s="125" t="n"/>
    </row>
    <row r="307" hidden="1" s="241"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125" t="n"/>
      <c r="AI307" s="125" t="n"/>
      <c r="AJ307" s="5" t="n"/>
      <c r="AK307" s="125" t="n"/>
      <c r="AL307" s="125" t="n"/>
    </row>
    <row r="308" hidden="1" s="241"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125" t="n"/>
      <c r="AI308" s="125" t="n"/>
      <c r="AJ308" s="5" t="n"/>
      <c r="AK308" s="125" t="n"/>
      <c r="AL308" s="125" t="n"/>
    </row>
    <row r="309" hidden="1" s="241"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125" t="n"/>
      <c r="AI309" s="125" t="n"/>
      <c r="AJ309" s="5" t="n"/>
      <c r="AK309" s="125" t="n"/>
      <c r="AL309" s="125" t="n"/>
    </row>
    <row r="310" hidden="1" s="241"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125" t="n"/>
      <c r="AI310" s="125" t="n"/>
      <c r="AJ310" s="5" t="n"/>
      <c r="AK310" s="125" t="n"/>
      <c r="AL310" s="125" t="n"/>
    </row>
    <row r="311" hidden="1" s="241"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125" t="n"/>
      <c r="AI311" s="125" t="n"/>
      <c r="AJ311" s="5" t="n"/>
      <c r="AK311" s="125" t="n"/>
      <c r="AL311" s="125" t="n"/>
    </row>
    <row r="312" hidden="1" s="241"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125" t="n"/>
      <c r="AI312" s="125" t="n"/>
      <c r="AJ312" s="5" t="n"/>
      <c r="AK312" s="125" t="n"/>
      <c r="AL312" s="125" t="n"/>
    </row>
    <row r="313" hidden="1" s="241"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125" t="n"/>
      <c r="AI313" s="125" t="n"/>
      <c r="AJ313" s="5" t="n"/>
      <c r="AK313" s="125" t="n"/>
      <c r="AL313" s="125" t="n"/>
    </row>
    <row r="314" hidden="1" s="241"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125" t="n"/>
      <c r="AI314" s="125" t="n"/>
      <c r="AJ314" s="5" t="n"/>
      <c r="AK314" s="125" t="n"/>
      <c r="AL314" s="125" t="n"/>
    </row>
    <row r="315" hidden="1" s="241"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125" t="n"/>
      <c r="AI315" s="125" t="n"/>
      <c r="AJ315" s="5" t="n"/>
      <c r="AK315" s="125" t="n"/>
      <c r="AL315" s="125" t="n"/>
    </row>
    <row r="316" hidden="1" s="241"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125" t="n"/>
      <c r="AI316" s="125" t="n"/>
      <c r="AJ316" s="5" t="n"/>
      <c r="AK316" s="125" t="n"/>
      <c r="AL316" s="125" t="n"/>
    </row>
    <row r="317" hidden="1" s="241"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125" t="n"/>
      <c r="AI317" s="125" t="n"/>
      <c r="AJ317" s="5" t="n"/>
      <c r="AK317" s="125" t="n"/>
      <c r="AL317" s="125" t="n"/>
    </row>
    <row r="318" hidden="1" s="241"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125" t="n"/>
      <c r="AI318" s="125" t="n"/>
      <c r="AJ318" s="5" t="n"/>
      <c r="AK318" s="125" t="n"/>
      <c r="AL318" s="125" t="n"/>
    </row>
    <row r="319" hidden="1" s="241"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125" t="n"/>
      <c r="AI319" s="125" t="n"/>
      <c r="AJ319" s="5" t="n"/>
      <c r="AK319" s="125" t="n"/>
      <c r="AL319" s="125" t="n"/>
    </row>
    <row r="320" hidden="1" s="241"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125" t="n"/>
      <c r="AI320" s="125" t="n"/>
      <c r="AJ320" s="5" t="n"/>
      <c r="AK320" s="125" t="n"/>
      <c r="AL320" s="125" t="n"/>
    </row>
    <row r="321" hidden="1" s="241"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125" t="n"/>
      <c r="AI321" s="125" t="n"/>
      <c r="AJ321" s="5" t="n"/>
      <c r="AK321" s="125" t="n"/>
      <c r="AL321" s="125" t="n"/>
    </row>
    <row r="322" hidden="1" s="241"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125" t="n"/>
      <c r="AI322" s="125" t="n"/>
      <c r="AJ322" s="5" t="n"/>
      <c r="AK322" s="125" t="n"/>
      <c r="AL322" s="125" t="n"/>
    </row>
    <row r="323" hidden="1" s="241"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125" t="n"/>
      <c r="AI323" s="125" t="n"/>
      <c r="AJ323" s="5" t="n"/>
      <c r="AK323" s="125" t="n"/>
      <c r="AL323" s="125" t="n"/>
    </row>
    <row r="324" hidden="1" s="241"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125" t="n"/>
      <c r="AI324" s="125" t="n"/>
      <c r="AJ324" s="5" t="n"/>
      <c r="AK324" s="125" t="n"/>
      <c r="AL324" s="125" t="n"/>
    </row>
    <row r="325" hidden="1" s="241"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125" t="n"/>
      <c r="AI325" s="125" t="n"/>
      <c r="AJ325" s="5" t="n"/>
      <c r="AK325" s="125" t="n"/>
      <c r="AL325" s="125" t="n"/>
    </row>
    <row r="326" hidden="1" s="241"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125" t="n"/>
      <c r="AI326" s="125" t="n"/>
      <c r="AJ326" s="5" t="n"/>
      <c r="AK326" s="125" t="n"/>
      <c r="AL326" s="125" t="n"/>
    </row>
    <row r="327" hidden="1" s="241"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125" t="n"/>
      <c r="AI327" s="125" t="n"/>
      <c r="AJ327" s="5" t="n"/>
      <c r="AK327" s="125" t="n"/>
      <c r="AL327" s="125" t="n"/>
    </row>
    <row r="328" hidden="1" s="241"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125" t="n"/>
      <c r="AI328" s="125" t="n"/>
      <c r="AJ328" s="5" t="n"/>
      <c r="AK328" s="125" t="n"/>
      <c r="AL328" s="125" t="n"/>
    </row>
    <row r="329" hidden="1" s="241"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125" t="n"/>
      <c r="AI329" s="125" t="n"/>
      <c r="AJ329" s="5" t="n"/>
      <c r="AK329" s="125" t="n"/>
      <c r="AL329" s="125" t="n"/>
    </row>
    <row r="330" hidden="1" s="241"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125" t="n"/>
      <c r="AI330" s="125" t="n"/>
      <c r="AJ330" s="5" t="n"/>
      <c r="AK330" s="125" t="n"/>
      <c r="AL330" s="125" t="n"/>
    </row>
    <row r="331" hidden="1" s="241"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125" t="n"/>
      <c r="AI331" s="125" t="n"/>
      <c r="AJ331" s="5" t="n"/>
      <c r="AK331" s="125" t="n"/>
      <c r="AL331" s="125" t="n"/>
    </row>
    <row r="332" hidden="1" s="241"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125" t="n"/>
      <c r="AI332" s="125" t="n"/>
      <c r="AJ332" s="5" t="n"/>
      <c r="AK332" s="125" t="n"/>
      <c r="AL332" s="125" t="n"/>
    </row>
    <row r="333" hidden="1" s="241"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125" t="n"/>
      <c r="AI333" s="125" t="n"/>
      <c r="AJ333" s="5" t="n"/>
      <c r="AK333" s="125" t="n"/>
      <c r="AL333" s="125" t="n"/>
    </row>
    <row r="334" hidden="1" s="241"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125" t="n"/>
      <c r="AI334" s="125" t="n"/>
      <c r="AJ334" s="5" t="n"/>
      <c r="AK334" s="125" t="n"/>
      <c r="AL334" s="125" t="n"/>
    </row>
    <row r="335" hidden="1" s="241"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125" t="n"/>
      <c r="AI335" s="125" t="n"/>
      <c r="AJ335" s="5" t="n"/>
      <c r="AK335" s="125" t="n"/>
      <c r="AL335" s="125" t="n"/>
    </row>
    <row r="336" hidden="1" s="241"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125" t="n"/>
      <c r="AI336" s="125" t="n"/>
      <c r="AJ336" s="5" t="n"/>
      <c r="AK336" s="125" t="n"/>
      <c r="AL336" s="125" t="n"/>
    </row>
    <row r="337" hidden="1" s="241"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125" t="n"/>
      <c r="AI337" s="125" t="n"/>
      <c r="AJ337" s="5" t="n"/>
      <c r="AK337" s="125" t="n"/>
      <c r="AL337" s="125" t="n"/>
    </row>
    <row r="338" hidden="1" s="241"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125" t="n"/>
      <c r="AI338" s="125" t="n"/>
      <c r="AJ338" s="5" t="n"/>
      <c r="AK338" s="125" t="n"/>
      <c r="AL338" s="125" t="n"/>
    </row>
    <row r="339" hidden="1" s="241"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125" t="n"/>
      <c r="AI339" s="125" t="n"/>
      <c r="AJ339" s="5" t="n"/>
      <c r="AK339" s="125" t="n"/>
      <c r="AL339" s="125" t="n"/>
    </row>
    <row r="340" hidden="1" s="241"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125" t="n"/>
      <c r="AI340" s="125" t="n"/>
      <c r="AJ340" s="5" t="n"/>
      <c r="AK340" s="125" t="n"/>
      <c r="AL340" s="125" t="n"/>
    </row>
    <row r="341" hidden="1" s="241"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125" t="n"/>
      <c r="AI341" s="125" t="n"/>
      <c r="AJ341" s="5" t="n"/>
      <c r="AK341" s="125" t="n"/>
      <c r="AL341" s="125" t="n"/>
    </row>
    <row r="342" hidden="1" s="241"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125" t="n"/>
      <c r="AI342" s="125" t="n"/>
      <c r="AJ342" s="5" t="n"/>
      <c r="AK342" s="125" t="n"/>
      <c r="AL342" s="125" t="n"/>
    </row>
    <row r="343" hidden="1" s="241"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125" t="n"/>
      <c r="AI343" s="125" t="n"/>
      <c r="AJ343" s="5" t="n"/>
      <c r="AK343" s="125" t="n"/>
      <c r="AL343" s="125" t="n"/>
    </row>
    <row r="344" hidden="1" s="241"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125" t="n"/>
      <c r="AI344" s="125" t="n"/>
      <c r="AJ344" s="5" t="n"/>
      <c r="AK344" s="125" t="n"/>
      <c r="AL344" s="125" t="n"/>
    </row>
    <row r="345" hidden="1" s="241"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125" t="n"/>
      <c r="AI345" s="125" t="n"/>
      <c r="AJ345" s="5" t="n"/>
      <c r="AK345" s="125" t="n"/>
      <c r="AL345" s="125" t="n"/>
    </row>
    <row r="346" hidden="1" s="241"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125" t="n"/>
      <c r="AI346" s="125" t="n"/>
      <c r="AJ346" s="5" t="n"/>
      <c r="AK346" s="125" t="n"/>
      <c r="AL346" s="125" t="n"/>
    </row>
    <row r="347" hidden="1" s="241"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125" t="n"/>
      <c r="AI347" s="125" t="n"/>
      <c r="AJ347" s="5" t="n"/>
      <c r="AK347" s="125" t="n"/>
      <c r="AL347" s="125" t="n"/>
    </row>
    <row r="348" hidden="1" s="241"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125" t="n"/>
      <c r="AI348" s="125" t="n"/>
      <c r="AJ348" s="5" t="n"/>
      <c r="AK348" s="125" t="n"/>
      <c r="AL348" s="125" t="n"/>
    </row>
    <row r="349" hidden="1" s="241"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125" t="n"/>
      <c r="AI349" s="125" t="n"/>
      <c r="AJ349" s="5" t="n"/>
      <c r="AK349" s="125" t="n"/>
      <c r="AL349" s="125" t="n"/>
    </row>
    <row r="350" hidden="1" s="241"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125" t="n"/>
      <c r="AI350" s="125" t="n"/>
      <c r="AJ350" s="5" t="n"/>
      <c r="AK350" s="125" t="n"/>
      <c r="AL350" s="125" t="n"/>
    </row>
    <row r="351" hidden="1" s="241"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125" t="n"/>
      <c r="AI351" s="125" t="n"/>
      <c r="AJ351" s="5" t="n"/>
      <c r="AK351" s="125" t="n"/>
      <c r="AL351" s="125" t="n"/>
    </row>
    <row r="352" hidden="1" s="241"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125" t="n"/>
      <c r="AI352" s="125" t="n"/>
      <c r="AJ352" s="5" t="n"/>
      <c r="AK352" s="125" t="n"/>
      <c r="AL352" s="125" t="n"/>
    </row>
    <row r="353" hidden="1" s="241"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125" t="n"/>
      <c r="AI353" s="125" t="n"/>
      <c r="AJ353" s="5" t="n"/>
      <c r="AK353" s="125" t="n"/>
      <c r="AL353" s="125" t="n"/>
    </row>
    <row r="354" hidden="1" s="241"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125" t="n"/>
      <c r="AI354" s="125" t="n"/>
      <c r="AJ354" s="5" t="n"/>
      <c r="AK354" s="125" t="n"/>
      <c r="AL354" s="125" t="n"/>
    </row>
    <row r="355" hidden="1" s="241"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125" t="n"/>
      <c r="AI355" s="125" t="n"/>
      <c r="AJ355" s="5" t="n"/>
      <c r="AK355" s="125" t="n"/>
      <c r="AL355" s="125" t="n"/>
    </row>
    <row r="356" hidden="1" s="241"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125" t="n"/>
      <c r="AI356" s="125" t="n"/>
      <c r="AJ356" s="5" t="n"/>
      <c r="AK356" s="125" t="n"/>
      <c r="AL356" s="125" t="n"/>
    </row>
    <row r="357" hidden="1" s="241"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125" t="n"/>
      <c r="AI357" s="125" t="n"/>
      <c r="AJ357" s="5" t="n"/>
      <c r="AK357" s="125" t="n"/>
      <c r="AL357" s="125" t="n"/>
    </row>
    <row r="358" hidden="1" s="241"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125" t="n"/>
      <c r="AI358" s="125" t="n"/>
      <c r="AJ358" s="5" t="n"/>
      <c r="AK358" s="125" t="n"/>
      <c r="AL358" s="125" t="n"/>
    </row>
    <row r="359" hidden="1" s="241"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125" t="n"/>
      <c r="AI359" s="125" t="n"/>
      <c r="AJ359" s="5" t="n"/>
      <c r="AK359" s="125" t="n"/>
      <c r="AL359" s="125" t="n"/>
    </row>
    <row r="360" hidden="1" s="241"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125" t="n"/>
      <c r="AI360" s="125" t="n"/>
      <c r="AJ360" s="5" t="n"/>
      <c r="AK360" s="125" t="n"/>
      <c r="AL360" s="125" t="n"/>
    </row>
    <row r="361" hidden="1" s="241"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125" t="n"/>
      <c r="AI361" s="125" t="n"/>
      <c r="AJ361" s="5" t="n"/>
      <c r="AK361" s="125" t="n"/>
      <c r="AL361" s="125" t="n"/>
    </row>
    <row r="362" hidden="1" s="241"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125" t="n"/>
      <c r="AI362" s="125" t="n"/>
      <c r="AJ362" s="5" t="n"/>
      <c r="AK362" s="125" t="n"/>
      <c r="AL362" s="125" t="n"/>
    </row>
    <row r="363" hidden="1" s="241"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125" t="n"/>
      <c r="AI363" s="125" t="n"/>
      <c r="AJ363" s="5" t="n"/>
      <c r="AK363" s="125" t="n"/>
      <c r="AL363" s="125" t="n"/>
    </row>
    <row r="364" hidden="1" s="241"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125" t="n"/>
      <c r="AI364" s="125" t="n"/>
      <c r="AJ364" s="5" t="n"/>
      <c r="AK364" s="125" t="n"/>
      <c r="AL364" s="125" t="n"/>
    </row>
    <row r="365" hidden="1" s="241"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125" t="n"/>
      <c r="AI365" s="125" t="n"/>
      <c r="AJ365" s="5" t="n"/>
      <c r="AK365" s="125" t="n"/>
      <c r="AL365" s="125" t="n"/>
    </row>
    <row r="366" hidden="1" s="241"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125" t="n"/>
      <c r="AI366" s="125" t="n"/>
      <c r="AJ366" s="5" t="n"/>
      <c r="AK366" s="125" t="n"/>
      <c r="AL366" s="125" t="n"/>
    </row>
    <row r="367" hidden="1" s="241"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125" t="n"/>
      <c r="AI367" s="125" t="n"/>
      <c r="AJ367" s="5" t="n"/>
      <c r="AK367" s="125" t="n"/>
      <c r="AL367" s="125" t="n"/>
    </row>
    <row r="368" hidden="1" s="241"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125" t="n"/>
      <c r="AI368" s="125" t="n"/>
      <c r="AJ368" s="5" t="n"/>
      <c r="AK368" s="125" t="n"/>
      <c r="AL368" s="125" t="n"/>
    </row>
    <row r="369" hidden="1" s="241"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125" t="n"/>
      <c r="AI369" s="125" t="n"/>
      <c r="AJ369" s="5" t="n"/>
      <c r="AK369" s="125" t="n"/>
      <c r="AL369" s="125" t="n"/>
    </row>
    <row r="370" hidden="1" s="241"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125" t="n"/>
      <c r="AI370" s="125" t="n"/>
      <c r="AJ370" s="5" t="n"/>
      <c r="AK370" s="125" t="n"/>
      <c r="AL370" s="125" t="n"/>
    </row>
    <row r="371" hidden="1" s="241"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125" t="n"/>
      <c r="AI371" s="125" t="n"/>
      <c r="AJ371" s="5" t="n"/>
      <c r="AK371" s="125" t="n"/>
      <c r="AL371" s="125" t="n"/>
    </row>
    <row r="372" hidden="1" s="241"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125" t="n"/>
      <c r="AI372" s="125" t="n"/>
      <c r="AJ372" s="5" t="n"/>
      <c r="AK372" s="125" t="n"/>
      <c r="AL372" s="125" t="n"/>
    </row>
    <row r="373" hidden="1" s="241"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125" t="n"/>
      <c r="AI373" s="125" t="n"/>
      <c r="AJ373" s="5" t="n"/>
      <c r="AK373" s="125" t="n"/>
      <c r="AL373" s="125" t="n"/>
    </row>
    <row r="374" hidden="1" s="241"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125" t="n"/>
      <c r="AI374" s="125" t="n"/>
      <c r="AJ374" s="5" t="n"/>
      <c r="AK374" s="125" t="n"/>
      <c r="AL374" s="125" t="n"/>
    </row>
    <row r="375" hidden="1" s="241"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125" t="n"/>
      <c r="AI375" s="125" t="n"/>
      <c r="AJ375" s="5" t="n"/>
      <c r="AK375" s="125" t="n"/>
      <c r="AL375" s="125" t="n"/>
    </row>
    <row r="376" hidden="1" s="241"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125" t="n"/>
      <c r="AI376" s="125" t="n"/>
      <c r="AJ376" s="5" t="n"/>
      <c r="AK376" s="125" t="n"/>
      <c r="AL376" s="125" t="n"/>
    </row>
    <row r="377" hidden="1" s="241"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125" t="n"/>
      <c r="AI377" s="125" t="n"/>
      <c r="AJ377" s="5" t="n"/>
      <c r="AK377" s="125" t="n"/>
      <c r="AL377" s="125" t="n"/>
    </row>
    <row r="378" hidden="1" s="241"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125" t="n"/>
      <c r="AI378" s="125" t="n"/>
      <c r="AJ378" s="5" t="n"/>
      <c r="AK378" s="125" t="n"/>
      <c r="AL378" s="125" t="n"/>
    </row>
    <row r="379" hidden="1" s="241"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125" t="n"/>
      <c r="AI379" s="125" t="n"/>
      <c r="AJ379" s="5" t="n"/>
      <c r="AK379" s="125" t="n"/>
      <c r="AL379" s="125" t="n"/>
    </row>
    <row r="380" hidden="1" s="241"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125" t="n"/>
      <c r="AI380" s="125" t="n"/>
      <c r="AJ380" s="5" t="n"/>
      <c r="AK380" s="125" t="n"/>
      <c r="AL380" s="125" t="n"/>
    </row>
    <row r="381" hidden="1" s="241"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125" t="n"/>
      <c r="AI381" s="125" t="n"/>
      <c r="AJ381" s="5" t="n"/>
      <c r="AK381" s="125" t="n"/>
      <c r="AL381" s="125" t="n"/>
    </row>
    <row r="382" hidden="1" s="241"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125" t="n"/>
      <c r="AI382" s="125" t="n"/>
      <c r="AJ382" s="5" t="n"/>
      <c r="AK382" s="125" t="n"/>
      <c r="AL382" s="125" t="n"/>
    </row>
    <row r="383" hidden="1" s="241"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125" t="n"/>
      <c r="AI383" s="125" t="n"/>
      <c r="AJ383" s="5" t="n"/>
      <c r="AK383" s="125" t="n"/>
      <c r="AL383" s="125" t="n"/>
    </row>
    <row r="384" hidden="1" s="241"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125" t="n"/>
      <c r="AI384" s="125" t="n"/>
      <c r="AJ384" s="5" t="n"/>
      <c r="AK384" s="125" t="n"/>
      <c r="AL384" s="125" t="n"/>
    </row>
    <row r="385" hidden="1" s="241"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125" t="n"/>
      <c r="AI385" s="125" t="n"/>
      <c r="AJ385" s="5" t="n"/>
      <c r="AK385" s="125" t="n"/>
      <c r="AL385" s="125" t="n"/>
    </row>
    <row r="386" hidden="1" s="241"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125" t="n"/>
      <c r="AI386" s="125" t="n"/>
      <c r="AJ386" s="5" t="n"/>
      <c r="AK386" s="125" t="n"/>
      <c r="AL386" s="125" t="n"/>
    </row>
    <row r="387" hidden="1" s="241"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125" t="n"/>
      <c r="AI387" s="125" t="n"/>
      <c r="AJ387" s="5" t="n"/>
      <c r="AK387" s="125" t="n"/>
      <c r="AL387" s="125" t="n"/>
    </row>
    <row r="388" hidden="1" s="241"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125" t="n"/>
      <c r="AI388" s="125" t="n"/>
      <c r="AJ388" s="5" t="n"/>
      <c r="AK388" s="125" t="n"/>
      <c r="AL388" s="125" t="n"/>
    </row>
    <row r="389" hidden="1" s="241"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125" t="n"/>
      <c r="AI389" s="125" t="n"/>
      <c r="AJ389" s="5" t="n"/>
      <c r="AK389" s="125" t="n"/>
      <c r="AL389" s="125" t="n"/>
    </row>
    <row r="390" hidden="1" s="241"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125" t="n"/>
      <c r="AI390" s="125" t="n"/>
      <c r="AJ390" s="5" t="n"/>
      <c r="AK390" s="125" t="n"/>
      <c r="AL390" s="125" t="n"/>
    </row>
    <row r="391" hidden="1" s="241"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125" t="n"/>
      <c r="AI391" s="125" t="n"/>
      <c r="AJ391" s="5" t="n"/>
      <c r="AK391" s="125" t="n"/>
      <c r="AL391" s="125" t="n"/>
    </row>
    <row r="392" hidden="1" s="241"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125" t="n"/>
      <c r="AI392" s="125" t="n"/>
      <c r="AJ392" s="5" t="n"/>
      <c r="AK392" s="125" t="n"/>
      <c r="AL392" s="125" t="n"/>
    </row>
    <row r="393" hidden="1" s="241"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125" t="n"/>
      <c r="AI393" s="125" t="n"/>
      <c r="AJ393" s="5" t="n"/>
      <c r="AK393" s="125" t="n"/>
      <c r="AL393" s="125" t="n"/>
    </row>
    <row r="394" hidden="1" s="241"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125" t="n"/>
      <c r="AI394" s="125" t="n"/>
      <c r="AJ394" s="5" t="n"/>
      <c r="AK394" s="125" t="n"/>
      <c r="AL394" s="125" t="n"/>
    </row>
    <row r="395" hidden="1" s="241"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125" t="n"/>
      <c r="AI395" s="125" t="n"/>
      <c r="AJ395" s="5" t="n"/>
      <c r="AK395" s="125" t="n"/>
      <c r="AL395" s="125" t="n"/>
    </row>
    <row r="396" hidden="1" s="241"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125" t="n"/>
      <c r="AI396" s="125" t="n"/>
      <c r="AJ396" s="5" t="n"/>
      <c r="AK396" s="125" t="n"/>
      <c r="AL396" s="125" t="n"/>
    </row>
    <row r="397" hidden="1" s="241"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125" t="n"/>
      <c r="AI397" s="125" t="n"/>
      <c r="AJ397" s="5" t="n"/>
      <c r="AK397" s="125" t="n"/>
      <c r="AL397" s="125" t="n"/>
    </row>
    <row r="398" hidden="1" s="241"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125" t="n"/>
      <c r="AI398" s="125" t="n"/>
      <c r="AJ398" s="5" t="n"/>
      <c r="AK398" s="125" t="n"/>
      <c r="AL398" s="125" t="n"/>
    </row>
    <row r="399" hidden="1" s="241"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125" t="n"/>
      <c r="AI399" s="125" t="n"/>
      <c r="AJ399" s="5" t="n"/>
      <c r="AK399" s="125" t="n"/>
      <c r="AL399" s="125" t="n"/>
    </row>
    <row r="400" hidden="1" s="241"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125" t="n"/>
      <c r="AI400" s="125" t="n"/>
      <c r="AJ400" s="5" t="n"/>
      <c r="AK400" s="125" t="n"/>
      <c r="AL400" s="125" t="n"/>
    </row>
    <row r="401" hidden="1" s="241"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125" t="n"/>
      <c r="AI401" s="125" t="n"/>
      <c r="AJ401" s="5" t="n"/>
      <c r="AK401" s="125" t="n"/>
      <c r="AL401" s="125" t="n"/>
    </row>
    <row r="402" hidden="1" s="241"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125" t="n"/>
      <c r="AI402" s="125" t="n"/>
      <c r="AJ402" s="5" t="n"/>
      <c r="AK402" s="125" t="n"/>
      <c r="AL402" s="125" t="n"/>
    </row>
    <row r="403" hidden="1" s="241"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125" t="n"/>
      <c r="AI403" s="125" t="n"/>
      <c r="AJ403" s="5" t="n"/>
      <c r="AK403" s="125" t="n"/>
      <c r="AL403" s="125" t="n"/>
    </row>
    <row r="404" hidden="1" s="241"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125" t="n"/>
      <c r="AI404" s="125" t="n"/>
      <c r="AJ404" s="5" t="n"/>
      <c r="AK404" s="125" t="n"/>
      <c r="AL404" s="125" t="n"/>
    </row>
    <row r="405" hidden="1" s="241"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125" t="n"/>
      <c r="AI405" s="125" t="n"/>
      <c r="AJ405" s="5" t="n"/>
      <c r="AK405" s="125" t="n"/>
      <c r="AL405" s="125" t="n"/>
    </row>
    <row r="406" hidden="1" s="241"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125" t="n"/>
      <c r="AI406" s="125" t="n"/>
      <c r="AJ406" s="5" t="n"/>
      <c r="AK406" s="125" t="n"/>
      <c r="AL406" s="125" t="n"/>
    </row>
    <row r="407" hidden="1" s="241"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125" t="n"/>
      <c r="AI407" s="125" t="n"/>
      <c r="AJ407" s="5" t="n"/>
      <c r="AK407" s="125" t="n"/>
      <c r="AL407" s="125" t="n"/>
    </row>
    <row r="408" hidden="1" s="241"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125" t="n"/>
      <c r="AI408" s="125" t="n"/>
      <c r="AJ408" s="5" t="n"/>
      <c r="AK408" s="125" t="n"/>
      <c r="AL408" s="125" t="n"/>
    </row>
    <row r="409" hidden="1" s="241"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125" t="n"/>
      <c r="AI409" s="125" t="n"/>
      <c r="AJ409" s="5" t="n"/>
      <c r="AK409" s="125" t="n"/>
      <c r="AL409" s="125" t="n"/>
    </row>
    <row r="410" hidden="1" s="241"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125" t="n"/>
      <c r="AI410" s="125" t="n"/>
      <c r="AJ410" s="5" t="n"/>
      <c r="AK410" s="125" t="n"/>
      <c r="AL410" s="125" t="n"/>
    </row>
    <row r="411" hidden="1" s="241"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125" t="n"/>
      <c r="AI411" s="125" t="n"/>
      <c r="AJ411" s="5" t="n"/>
      <c r="AK411" s="125" t="n"/>
      <c r="AL411" s="125" t="n"/>
    </row>
    <row r="412" hidden="1" s="241"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125" t="n"/>
      <c r="AI412" s="125" t="n"/>
      <c r="AJ412" s="5" t="n"/>
      <c r="AK412" s="125" t="n"/>
      <c r="AL412" s="125" t="n"/>
    </row>
    <row r="413" hidden="1" s="241"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125" t="n"/>
      <c r="AI413" s="125" t="n"/>
      <c r="AJ413" s="5" t="n"/>
      <c r="AK413" s="125" t="n"/>
      <c r="AL413" s="125" t="n"/>
    </row>
    <row r="414" hidden="1" s="241"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125" t="n"/>
      <c r="AI414" s="125" t="n"/>
      <c r="AJ414" s="5" t="n"/>
      <c r="AK414" s="125" t="n"/>
      <c r="AL414" s="125" t="n"/>
    </row>
    <row r="415" hidden="1" s="241"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125" t="n"/>
      <c r="AI415" s="125" t="n"/>
      <c r="AJ415" s="5" t="n"/>
      <c r="AK415" s="125" t="n"/>
      <c r="AL415" s="125" t="n"/>
    </row>
    <row r="416" hidden="1" s="241"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125" t="n"/>
      <c r="AI416" s="125" t="n"/>
      <c r="AJ416" s="5" t="n"/>
      <c r="AK416" s="125" t="n"/>
      <c r="AL416" s="125" t="n"/>
    </row>
    <row r="417" hidden="1" s="241"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125" t="n"/>
      <c r="AI417" s="125" t="n"/>
      <c r="AJ417" s="5" t="n"/>
      <c r="AK417" s="125" t="n"/>
      <c r="AL417" s="125" t="n"/>
    </row>
    <row r="418" hidden="1" s="241"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125" t="n"/>
      <c r="AI418" s="125" t="n"/>
      <c r="AJ418" s="5" t="n"/>
      <c r="AK418" s="125" t="n"/>
      <c r="AL418" s="125" t="n"/>
    </row>
    <row r="419" hidden="1" s="241"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125" t="n"/>
      <c r="AI419" s="125" t="n"/>
      <c r="AJ419" s="5" t="n"/>
      <c r="AK419" s="125" t="n"/>
      <c r="AL419" s="125" t="n"/>
    </row>
    <row r="420" hidden="1" s="241"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125" t="n"/>
      <c r="AI420" s="125" t="n"/>
      <c r="AJ420" s="5" t="n"/>
      <c r="AK420" s="125" t="n"/>
      <c r="AL420" s="125" t="n"/>
    </row>
    <row r="421" hidden="1" s="241"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125" t="n"/>
      <c r="AI421" s="125" t="n"/>
      <c r="AJ421" s="5" t="n"/>
      <c r="AK421" s="125" t="n"/>
      <c r="AL421" s="125" t="n"/>
    </row>
    <row r="422" hidden="1" s="241"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125" t="n"/>
      <c r="AI422" s="125" t="n"/>
      <c r="AJ422" s="5" t="n"/>
      <c r="AK422" s="125" t="n"/>
      <c r="AL422" s="125" t="n"/>
    </row>
    <row r="423" hidden="1" s="241"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125" t="n"/>
      <c r="AI423" s="125" t="n"/>
      <c r="AJ423" s="5" t="n"/>
      <c r="AK423" s="125" t="n"/>
      <c r="AL423" s="125" t="n"/>
    </row>
    <row r="424" hidden="1" s="241"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125" t="n"/>
      <c r="AI424" s="125" t="n"/>
      <c r="AJ424" s="5" t="n"/>
      <c r="AK424" s="125" t="n"/>
      <c r="AL424" s="125" t="n"/>
    </row>
    <row r="425" hidden="1" s="241"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125" t="n"/>
      <c r="AI425" s="125" t="n"/>
      <c r="AJ425" s="5" t="n"/>
      <c r="AK425" s="125" t="n"/>
      <c r="AL425" s="125" t="n"/>
    </row>
    <row r="426" hidden="1" s="241"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125" t="n"/>
      <c r="AI426" s="125" t="n"/>
      <c r="AJ426" s="5" t="n"/>
      <c r="AK426" s="125" t="n"/>
      <c r="AL426" s="125" t="n"/>
    </row>
    <row r="427" hidden="1" s="241"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125" t="n"/>
      <c r="AI427" s="125" t="n"/>
      <c r="AJ427" s="5" t="n"/>
      <c r="AK427" s="125" t="n"/>
      <c r="AL427" s="125" t="n"/>
    </row>
    <row r="428" hidden="1" s="241"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125" t="n"/>
      <c r="AI428" s="125" t="n"/>
      <c r="AJ428" s="5" t="n"/>
      <c r="AK428" s="125" t="n"/>
      <c r="AL428" s="125" t="n"/>
    </row>
    <row r="429" hidden="1" s="241"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125" t="n"/>
      <c r="AI429" s="125" t="n"/>
      <c r="AJ429" s="5" t="n"/>
      <c r="AK429" s="125" t="n"/>
      <c r="AL429" s="125" t="n"/>
    </row>
    <row r="430" hidden="1" s="241"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125" t="n"/>
      <c r="AI430" s="125" t="n"/>
      <c r="AJ430" s="5" t="n"/>
      <c r="AK430" s="125" t="n"/>
      <c r="AL430" s="125" t="n"/>
    </row>
    <row r="431" hidden="1" s="241"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125" t="n"/>
      <c r="AI431" s="125" t="n"/>
      <c r="AJ431" s="5" t="n"/>
      <c r="AK431" s="125" t="n"/>
      <c r="AL431" s="125" t="n"/>
    </row>
    <row r="432" hidden="1" s="241"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125" t="n"/>
      <c r="AI432" s="125" t="n"/>
      <c r="AJ432" s="5" t="n"/>
      <c r="AK432" s="125" t="n"/>
      <c r="AL432" s="125" t="n"/>
    </row>
    <row r="433" hidden="1" s="241"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125" t="n"/>
      <c r="AI433" s="125" t="n"/>
      <c r="AJ433" s="5" t="n"/>
      <c r="AK433" s="125" t="n"/>
      <c r="AL433" s="125" t="n"/>
    </row>
    <row r="434" hidden="1" s="241"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125" t="n"/>
      <c r="AI434" s="125" t="n"/>
      <c r="AJ434" s="5" t="n"/>
      <c r="AK434" s="125" t="n"/>
      <c r="AL434" s="125" t="n"/>
    </row>
    <row r="435" hidden="1" s="241"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125" t="n"/>
      <c r="AI435" s="125" t="n"/>
      <c r="AJ435" s="5" t="n"/>
      <c r="AK435" s="125" t="n"/>
      <c r="AL435" s="125" t="n"/>
    </row>
    <row r="436" hidden="1" s="241"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125" t="n"/>
      <c r="AI436" s="125" t="n"/>
      <c r="AJ436" s="5" t="n"/>
      <c r="AK436" s="125" t="n"/>
      <c r="AL436" s="125" t="n"/>
    </row>
    <row r="437" hidden="1" s="241"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125" t="n"/>
      <c r="AI437" s="125" t="n"/>
      <c r="AJ437" s="5" t="n"/>
      <c r="AK437" s="125" t="n"/>
      <c r="AL437" s="125" t="n"/>
    </row>
    <row r="438" hidden="1" s="241"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125" t="n"/>
      <c r="AI438" s="125" t="n"/>
      <c r="AJ438" s="5" t="n"/>
      <c r="AK438" s="125" t="n"/>
      <c r="AL438" s="125" t="n"/>
    </row>
    <row r="439" hidden="1" s="241"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125" t="n"/>
      <c r="AI439" s="125" t="n"/>
      <c r="AJ439" s="5" t="n"/>
      <c r="AK439" s="125" t="n"/>
      <c r="AL439" s="125" t="n"/>
    </row>
    <row r="440" hidden="1" s="241"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125" t="n"/>
      <c r="AI440" s="125" t="n"/>
      <c r="AJ440" s="5" t="n"/>
      <c r="AK440" s="125" t="n"/>
      <c r="AL440" s="125" t="n"/>
    </row>
    <row r="441" hidden="1" s="241"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125" t="n"/>
      <c r="AI441" s="125" t="n"/>
      <c r="AJ441" s="5" t="n"/>
      <c r="AK441" s="125" t="n"/>
      <c r="AL441" s="125" t="n"/>
    </row>
    <row r="442" hidden="1" s="241"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125" t="n"/>
      <c r="AI442" s="125" t="n"/>
      <c r="AJ442" s="5" t="n"/>
      <c r="AK442" s="125" t="n"/>
      <c r="AL442" s="125" t="n"/>
    </row>
    <row r="443" hidden="1" s="241"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125" t="n"/>
      <c r="AI443" s="125" t="n"/>
      <c r="AJ443" s="5" t="n"/>
      <c r="AK443" s="125" t="n"/>
      <c r="AL443" s="125" t="n"/>
    </row>
    <row r="444" hidden="1" s="241"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125" t="n"/>
      <c r="AI444" s="125" t="n"/>
      <c r="AJ444" s="5" t="n"/>
      <c r="AK444" s="125" t="n"/>
      <c r="AL444" s="125" t="n"/>
    </row>
    <row r="445" hidden="1" s="241"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125" t="n"/>
      <c r="AI445" s="125" t="n"/>
      <c r="AJ445" s="5" t="n"/>
      <c r="AK445" s="125" t="n"/>
      <c r="AL445" s="125" t="n"/>
    </row>
    <row r="446" hidden="1" s="241"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125" t="n"/>
      <c r="AI446" s="125" t="n"/>
      <c r="AJ446" s="5" t="n"/>
      <c r="AK446" s="125" t="n"/>
      <c r="AL446" s="125" t="n"/>
    </row>
    <row r="447" hidden="1" s="241"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125" t="n"/>
      <c r="AI447" s="125" t="n"/>
      <c r="AJ447" s="5" t="n"/>
      <c r="AK447" s="125" t="n"/>
      <c r="AL447" s="125" t="n"/>
    </row>
    <row r="448" hidden="1" s="241"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125" t="n"/>
      <c r="AI448" s="125" t="n"/>
      <c r="AJ448" s="5" t="n"/>
      <c r="AK448" s="125" t="n"/>
      <c r="AL448" s="125" t="n"/>
    </row>
    <row r="449" hidden="1" s="241"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125" t="n"/>
      <c r="AI449" s="125" t="n"/>
      <c r="AJ449" s="5" t="n"/>
      <c r="AK449" s="125" t="n"/>
      <c r="AL449" s="125" t="n"/>
    </row>
    <row r="450" hidden="1" s="241"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125" t="n"/>
      <c r="AI450" s="125" t="n"/>
      <c r="AJ450" s="5" t="n"/>
      <c r="AK450" s="125" t="n"/>
      <c r="AL450" s="125" t="n"/>
    </row>
    <row r="451" hidden="1" s="241"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125" t="n"/>
      <c r="AI451" s="125" t="n"/>
      <c r="AJ451" s="5" t="n"/>
      <c r="AK451" s="125" t="n"/>
      <c r="AL451" s="125" t="n"/>
    </row>
    <row r="452" hidden="1" s="241"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125" t="n"/>
      <c r="AI452" s="125" t="n"/>
      <c r="AJ452" s="5" t="n"/>
      <c r="AK452" s="125" t="n"/>
      <c r="AL452" s="125" t="n"/>
    </row>
    <row r="453" hidden="1" s="241"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125" t="n"/>
      <c r="AI453" s="125" t="n"/>
      <c r="AJ453" s="5" t="n"/>
      <c r="AK453" s="125" t="n"/>
      <c r="AL453" s="125" t="n"/>
    </row>
    <row r="454" hidden="1" s="241"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125" t="n"/>
      <c r="AI454" s="125" t="n"/>
      <c r="AJ454" s="5" t="n"/>
      <c r="AK454" s="125" t="n"/>
      <c r="AL454" s="125" t="n"/>
    </row>
    <row r="455" hidden="1" s="241"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125" t="n"/>
      <c r="AI455" s="125" t="n"/>
      <c r="AJ455" s="5" t="n"/>
      <c r="AK455" s="125" t="n"/>
      <c r="AL455" s="125" t="n"/>
    </row>
    <row r="456" hidden="1" s="241"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125" t="n"/>
      <c r="AI456" s="125" t="n"/>
      <c r="AJ456" s="5" t="n"/>
      <c r="AK456" s="125" t="n"/>
      <c r="AL456" s="125" t="n"/>
    </row>
    <row r="457" hidden="1" s="241"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125" t="n"/>
      <c r="AI457" s="125" t="n"/>
      <c r="AJ457" s="5" t="n"/>
      <c r="AK457" s="125" t="n"/>
      <c r="AL457" s="125" t="n"/>
    </row>
    <row r="458" hidden="1" s="241"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125" t="n"/>
      <c r="AI458" s="125" t="n"/>
      <c r="AJ458" s="5" t="n"/>
      <c r="AK458" s="125" t="n"/>
      <c r="AL458" s="125" t="n"/>
    </row>
    <row r="459" hidden="1" s="241"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125" t="n"/>
      <c r="AI459" s="125" t="n"/>
      <c r="AJ459" s="5" t="n"/>
      <c r="AK459" s="125" t="n"/>
      <c r="AL459" s="125" t="n"/>
    </row>
    <row r="460" hidden="1" s="241"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125" t="n"/>
      <c r="AI460" s="125" t="n"/>
      <c r="AJ460" s="5" t="n"/>
      <c r="AK460" s="125" t="n"/>
      <c r="AL460" s="125" t="n"/>
    </row>
    <row r="461" hidden="1" s="241"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125" t="n"/>
      <c r="AI461" s="125" t="n"/>
      <c r="AJ461" s="5" t="n"/>
      <c r="AK461" s="125" t="n"/>
      <c r="AL461" s="125" t="n"/>
    </row>
    <row r="462" hidden="1" s="241"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125" t="n"/>
      <c r="AI462" s="125" t="n"/>
      <c r="AJ462" s="5" t="n"/>
      <c r="AK462" s="125" t="n"/>
      <c r="AL462" s="125" t="n"/>
    </row>
    <row r="463" hidden="1" s="241"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125" t="n"/>
      <c r="AI463" s="125" t="n"/>
      <c r="AJ463" s="5" t="n"/>
      <c r="AK463" s="125" t="n"/>
      <c r="AL463" s="125" t="n"/>
    </row>
    <row r="464" hidden="1" s="241"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125" t="n"/>
      <c r="AI464" s="125" t="n"/>
      <c r="AJ464" s="5" t="n"/>
      <c r="AK464" s="125" t="n"/>
      <c r="AL464" s="125" t="n"/>
    </row>
    <row r="465" hidden="1" s="241"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125" t="n"/>
      <c r="AI465" s="125" t="n"/>
      <c r="AJ465" s="5" t="n"/>
      <c r="AK465" s="125" t="n"/>
      <c r="AL465" s="125" t="n"/>
    </row>
    <row r="466" hidden="1" s="241"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125" t="n"/>
      <c r="AI466" s="125" t="n"/>
      <c r="AJ466" s="5" t="n"/>
      <c r="AK466" s="125" t="n"/>
      <c r="AL466" s="125" t="n"/>
    </row>
    <row r="467" hidden="1" s="241"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125" t="n"/>
      <c r="AI467" s="125" t="n"/>
      <c r="AJ467" s="5" t="n"/>
      <c r="AK467" s="125" t="n"/>
      <c r="AL467" s="125" t="n"/>
    </row>
    <row r="468" hidden="1" s="241"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125" t="n"/>
      <c r="AI468" s="125" t="n"/>
      <c r="AJ468" s="5" t="n"/>
      <c r="AK468" s="125" t="n"/>
      <c r="AL468" s="125" t="n"/>
    </row>
    <row r="469" hidden="1" s="241"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125" t="n"/>
      <c r="AI469" s="125" t="n"/>
      <c r="AJ469" s="5" t="n"/>
      <c r="AK469" s="125" t="n"/>
      <c r="AL469" s="125" t="n"/>
    </row>
    <row r="470" hidden="1" s="241"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125" t="n"/>
      <c r="AI470" s="125" t="n"/>
      <c r="AJ470" s="5" t="n"/>
      <c r="AK470" s="125" t="n"/>
      <c r="AL470" s="125" t="n"/>
    </row>
    <row r="471" hidden="1" s="241"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125" t="n"/>
      <c r="AI471" s="125" t="n"/>
      <c r="AJ471" s="5" t="n"/>
      <c r="AK471" s="125" t="n"/>
      <c r="AL471" s="125" t="n"/>
    </row>
    <row r="472" hidden="1" s="241"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125" t="n"/>
      <c r="AI472" s="125" t="n"/>
      <c r="AJ472" s="5" t="n"/>
      <c r="AK472" s="125" t="n"/>
      <c r="AL472" s="125" t="n"/>
    </row>
    <row r="473" hidden="1" s="241"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125" t="n"/>
      <c r="AI473" s="125" t="n"/>
      <c r="AJ473" s="5" t="n"/>
      <c r="AK473" s="125" t="n"/>
      <c r="AL473" s="125" t="n"/>
    </row>
    <row r="474" hidden="1" s="241"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125" t="n"/>
      <c r="AI474" s="125" t="n"/>
      <c r="AJ474" s="5" t="n"/>
      <c r="AK474" s="125" t="n"/>
      <c r="AL474" s="125" t="n"/>
    </row>
    <row r="475" hidden="1" s="241"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125" t="n"/>
      <c r="AI475" s="125" t="n"/>
      <c r="AJ475" s="5" t="n"/>
      <c r="AK475" s="125" t="n"/>
      <c r="AL475" s="125" t="n"/>
    </row>
    <row r="476" hidden="1" s="241"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125" t="n"/>
      <c r="AI476" s="125" t="n"/>
      <c r="AJ476" s="5" t="n"/>
      <c r="AK476" s="125" t="n"/>
      <c r="AL476" s="125" t="n"/>
    </row>
    <row r="477" hidden="1" s="241"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125" t="n"/>
      <c r="AI477" s="125" t="n"/>
      <c r="AJ477" s="5" t="n"/>
      <c r="AK477" s="125" t="n"/>
      <c r="AL477" s="125" t="n"/>
    </row>
    <row r="478" hidden="1" s="241"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125" t="n"/>
      <c r="AI478" s="125" t="n"/>
      <c r="AJ478" s="5" t="n"/>
      <c r="AK478" s="125" t="n"/>
      <c r="AL478" s="125" t="n"/>
    </row>
    <row r="479" hidden="1" s="241"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125" t="n"/>
      <c r="AI479" s="125" t="n"/>
      <c r="AJ479" s="5" t="n"/>
      <c r="AK479" s="125" t="n"/>
      <c r="AL479" s="125" t="n"/>
    </row>
    <row r="480" hidden="1" s="241"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125" t="n"/>
      <c r="AI480" s="125" t="n"/>
      <c r="AJ480" s="5" t="n"/>
      <c r="AK480" s="125" t="n"/>
      <c r="AL480" s="125" t="n"/>
    </row>
    <row r="481" hidden="1" s="241"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125" t="n"/>
      <c r="AI481" s="125" t="n"/>
      <c r="AJ481" s="5" t="n"/>
      <c r="AK481" s="125" t="n"/>
      <c r="AL481" s="125" t="n"/>
    </row>
    <row r="482" hidden="1" s="241"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125" t="n"/>
      <c r="AI482" s="125" t="n"/>
      <c r="AJ482" s="5" t="n"/>
      <c r="AK482" s="125" t="n"/>
      <c r="AL482" s="125" t="n"/>
    </row>
    <row r="483" hidden="1" s="241"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125" t="n"/>
      <c r="AI483" s="125" t="n"/>
      <c r="AJ483" s="5" t="n"/>
      <c r="AK483" s="125" t="n"/>
      <c r="AL483" s="125" t="n"/>
    </row>
    <row r="484" hidden="1" s="241"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125" t="n"/>
      <c r="AI484" s="125" t="n"/>
      <c r="AJ484" s="5" t="n"/>
      <c r="AK484" s="125" t="n"/>
      <c r="AL484" s="125" t="n"/>
    </row>
    <row r="485" hidden="1" s="241"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125" t="n"/>
      <c r="AI485" s="125" t="n"/>
      <c r="AJ485" s="5" t="n"/>
      <c r="AK485" s="125" t="n"/>
      <c r="AL485" s="125" t="n"/>
    </row>
    <row r="486" hidden="1" s="241"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125" t="n"/>
      <c r="AI486" s="125" t="n"/>
      <c r="AJ486" s="5" t="n"/>
      <c r="AK486" s="125" t="n"/>
      <c r="AL486" s="125" t="n"/>
    </row>
    <row r="487" hidden="1" s="241"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125" t="n"/>
      <c r="AI487" s="125" t="n"/>
      <c r="AJ487" s="5" t="n"/>
      <c r="AK487" s="125" t="n"/>
      <c r="AL487" s="125" t="n"/>
    </row>
    <row r="488" hidden="1" s="241"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125" t="n"/>
      <c r="AI488" s="125" t="n"/>
      <c r="AJ488" s="5" t="n"/>
      <c r="AK488" s="125" t="n"/>
      <c r="AL488" s="125" t="n"/>
    </row>
    <row r="489" hidden="1" s="241"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125" t="n"/>
      <c r="AI489" s="125" t="n"/>
      <c r="AJ489" s="5" t="n"/>
      <c r="AK489" s="125" t="n"/>
      <c r="AL489" s="125" t="n"/>
    </row>
    <row r="490" hidden="1" s="241"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125" t="n"/>
      <c r="AI490" s="125" t="n"/>
      <c r="AJ490" s="5" t="n"/>
      <c r="AK490" s="125" t="n"/>
      <c r="AL490" s="125" t="n"/>
    </row>
    <row r="491" hidden="1" s="241"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125" t="n"/>
      <c r="AI491" s="125" t="n"/>
      <c r="AJ491" s="5" t="n"/>
      <c r="AK491" s="125" t="n"/>
      <c r="AL491" s="125" t="n"/>
    </row>
    <row r="492" hidden="1" s="241"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125" t="n"/>
      <c r="AI492" s="125" t="n"/>
      <c r="AJ492" s="5" t="n"/>
      <c r="AK492" s="125" t="n"/>
      <c r="AL492" s="125" t="n"/>
    </row>
    <row r="493" hidden="1" s="241"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125" t="n"/>
      <c r="AI493" s="125" t="n"/>
      <c r="AJ493" s="5" t="n"/>
      <c r="AK493" s="125" t="n"/>
      <c r="AL493" s="125" t="n"/>
    </row>
    <row r="494" hidden="1" s="241"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125" t="n"/>
      <c r="AI494" s="125" t="n"/>
      <c r="AJ494" s="5" t="n"/>
      <c r="AK494" s="125" t="n"/>
      <c r="AL494" s="125" t="n"/>
    </row>
    <row r="495" hidden="1" s="241"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125" t="n"/>
      <c r="AI495" s="125" t="n"/>
      <c r="AJ495" s="5" t="n"/>
      <c r="AK495" s="125" t="n"/>
      <c r="AL495" s="125" t="n"/>
    </row>
    <row r="496" hidden="1" s="241"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125" t="n"/>
      <c r="AI496" s="125" t="n"/>
      <c r="AJ496" s="5" t="n"/>
      <c r="AK496" s="125" t="n"/>
      <c r="AL496" s="125" t="n"/>
    </row>
    <row r="497" hidden="1" s="241"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125" t="n"/>
      <c r="AI497" s="125" t="n"/>
      <c r="AJ497" s="5" t="n"/>
      <c r="AK497" s="125" t="n"/>
      <c r="AL497" s="125" t="n"/>
    </row>
    <row r="498" hidden="1" s="241"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125" t="n"/>
      <c r="AI498" s="125" t="n"/>
      <c r="AJ498" s="5" t="n"/>
      <c r="AK498" s="125" t="n"/>
      <c r="AL498" s="125" t="n"/>
    </row>
    <row r="499" hidden="1" s="241"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125" t="n"/>
      <c r="AI499" s="125" t="n"/>
      <c r="AJ499" s="5" t="n"/>
      <c r="AK499" s="125" t="n"/>
      <c r="AL499" s="125" t="n"/>
    </row>
    <row r="500" hidden="1" s="241"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125" t="n"/>
      <c r="AI500" s="125" t="n"/>
      <c r="AJ500" s="5" t="n"/>
      <c r="AK500" s="125" t="n"/>
      <c r="AL500" s="125" t="n"/>
    </row>
    <row r="501" hidden="1" s="241"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125" t="n"/>
      <c r="AI501" s="125" t="n"/>
      <c r="AJ501" s="5" t="n"/>
      <c r="AK501" s="125" t="n"/>
      <c r="AL501" s="125" t="n"/>
    </row>
    <row r="502" hidden="1" s="241"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125" t="n"/>
      <c r="AI502" s="125" t="n"/>
      <c r="AJ502" s="5" t="n"/>
      <c r="AK502" s="125" t="n"/>
      <c r="AL502" s="125" t="n"/>
    </row>
    <row r="503" hidden="1" s="241"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125" t="n"/>
      <c r="AI503" s="125" t="n"/>
      <c r="AJ503" s="5" t="n"/>
      <c r="AK503" s="125" t="n"/>
      <c r="AL503" s="125" t="n"/>
    </row>
    <row r="504" hidden="1" s="241"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125" t="n"/>
      <c r="AI504" s="125" t="n"/>
      <c r="AJ504" s="5" t="n"/>
      <c r="AK504" s="125" t="n"/>
      <c r="AL504" s="125" t="n"/>
    </row>
    <row r="505" hidden="1" s="241"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125" t="n"/>
      <c r="AI505" s="125" t="n"/>
      <c r="AJ505" s="5" t="n"/>
      <c r="AK505" s="125" t="n"/>
      <c r="AL505" s="125" t="n"/>
    </row>
    <row r="506" hidden="1" s="241"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125" t="n"/>
      <c r="AI506" s="125" t="n"/>
      <c r="AJ506" s="5" t="n"/>
      <c r="AK506" s="125" t="n"/>
      <c r="AL506" s="125" t="n"/>
    </row>
    <row r="507" hidden="1" s="241"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125" t="n"/>
      <c r="AI507" s="125" t="n"/>
      <c r="AJ507" s="5" t="n"/>
      <c r="AK507" s="125" t="n"/>
      <c r="AL507" s="125" t="n"/>
    </row>
    <row r="508" hidden="1" s="241"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125" t="n"/>
      <c r="AI508" s="125" t="n"/>
      <c r="AJ508" s="5" t="n"/>
      <c r="AK508" s="125" t="n"/>
      <c r="AL508" s="125" t="n"/>
    </row>
    <row r="509" hidden="1" s="241"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125" t="n"/>
      <c r="AI509" s="125" t="n"/>
      <c r="AJ509" s="5" t="n"/>
      <c r="AK509" s="125" t="n"/>
      <c r="AL509" s="125" t="n"/>
    </row>
    <row r="510" hidden="1" s="241"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125" t="n"/>
      <c r="AI510" s="125" t="n"/>
      <c r="AJ510" s="5" t="n"/>
      <c r="AK510" s="125" t="n"/>
      <c r="AL510" s="125" t="n"/>
    </row>
    <row r="511" hidden="1" s="241"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125" t="n"/>
      <c r="AI511" s="125" t="n"/>
      <c r="AJ511" s="5" t="n"/>
      <c r="AK511" s="125" t="n"/>
      <c r="AL511" s="125" t="n"/>
    </row>
    <row r="512" hidden="1" s="241"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125" t="n"/>
      <c r="AI512" s="125" t="n"/>
      <c r="AJ512" s="5" t="n"/>
      <c r="AK512" s="125" t="n"/>
      <c r="AL512" s="125" t="n"/>
    </row>
    <row r="513" hidden="1" s="241"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125" t="n"/>
      <c r="AI513" s="125" t="n"/>
      <c r="AJ513" s="5" t="n"/>
      <c r="AK513" s="125" t="n"/>
      <c r="AL513" s="125" t="n"/>
    </row>
    <row r="514" hidden="1" s="241"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125" t="n"/>
      <c r="AI514" s="125" t="n"/>
      <c r="AJ514" s="5" t="n"/>
      <c r="AK514" s="125" t="n"/>
      <c r="AL514" s="125" t="n"/>
    </row>
    <row r="515" hidden="1" s="241"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125" t="n"/>
      <c r="AI515" s="125" t="n"/>
      <c r="AJ515" s="5" t="n"/>
      <c r="AK515" s="125" t="n"/>
      <c r="AL515" s="125" t="n"/>
    </row>
    <row r="516" hidden="1" s="241"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125" t="n"/>
      <c r="AI516" s="125" t="n"/>
      <c r="AJ516" s="5" t="n"/>
      <c r="AK516" s="125" t="n"/>
      <c r="AL516" s="125" t="n"/>
    </row>
    <row r="517" hidden="1" s="241"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125" t="n"/>
      <c r="AI517" s="125" t="n"/>
      <c r="AJ517" s="5" t="n"/>
      <c r="AK517" s="125" t="n"/>
      <c r="AL517" s="125" t="n"/>
    </row>
    <row r="518" hidden="1" s="241"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125" t="n"/>
      <c r="AI518" s="125" t="n"/>
      <c r="AJ518" s="5" t="n"/>
      <c r="AK518" s="125" t="n"/>
      <c r="AL518" s="125" t="n"/>
    </row>
    <row r="519" hidden="1" s="241"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125" t="n"/>
      <c r="AI519" s="125" t="n"/>
      <c r="AJ519" s="5" t="n"/>
      <c r="AK519" s="125" t="n"/>
      <c r="AL519" s="125" t="n"/>
    </row>
    <row r="520" hidden="1" s="241"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125" t="n"/>
      <c r="AI520" s="125" t="n"/>
      <c r="AJ520" s="5" t="n"/>
      <c r="AK520" s="125" t="n"/>
      <c r="AL520" s="125" t="n"/>
    </row>
    <row r="521" hidden="1" s="241"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125" t="n"/>
      <c r="AI521" s="125" t="n"/>
      <c r="AJ521" s="5" t="n"/>
      <c r="AK521" s="125" t="n"/>
      <c r="AL521" s="125" t="n"/>
    </row>
    <row r="522" hidden="1" s="241"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125" t="n"/>
      <c r="AI522" s="125" t="n"/>
      <c r="AJ522" s="5" t="n"/>
      <c r="AK522" s="125" t="n"/>
      <c r="AL522" s="125" t="n"/>
    </row>
    <row r="523" hidden="1" s="241"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125" t="n"/>
      <c r="AI523" s="125" t="n"/>
      <c r="AJ523" s="5" t="n"/>
      <c r="AK523" s="125" t="n"/>
      <c r="AL523" s="125" t="n"/>
    </row>
    <row r="524" hidden="1" s="241"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125" t="n"/>
      <c r="AI524" s="125" t="n"/>
      <c r="AJ524" s="5" t="n"/>
      <c r="AK524" s="125" t="n"/>
      <c r="AL524" s="125" t="n"/>
    </row>
    <row r="525" hidden="1" s="241"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125" t="n"/>
      <c r="AI525" s="125" t="n"/>
      <c r="AJ525" s="5" t="n"/>
      <c r="AK525" s="125" t="n"/>
      <c r="AL525" s="125" t="n"/>
    </row>
    <row r="526" hidden="1" s="241"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125" t="n"/>
      <c r="AI526" s="125" t="n"/>
      <c r="AJ526" s="5" t="n"/>
      <c r="AK526" s="125" t="n"/>
      <c r="AL526" s="125" t="n"/>
    </row>
    <row r="527" hidden="1" s="241"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125" t="n"/>
      <c r="AI527" s="125" t="n"/>
      <c r="AJ527" s="5" t="n"/>
      <c r="AK527" s="125" t="n"/>
      <c r="AL527" s="125" t="n"/>
    </row>
    <row r="528" hidden="1" s="241"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125" t="n"/>
      <c r="AI528" s="125" t="n"/>
      <c r="AJ528" s="5" t="n"/>
      <c r="AK528" s="125" t="n"/>
      <c r="AL528" s="125" t="n"/>
    </row>
    <row r="529" hidden="1" s="241"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125" t="n"/>
      <c r="AI529" s="125" t="n"/>
      <c r="AJ529" s="5" t="n"/>
      <c r="AK529" s="125" t="n"/>
      <c r="AL529" s="125" t="n"/>
    </row>
    <row r="530" hidden="1" s="241"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125" t="n"/>
      <c r="AI530" s="125" t="n"/>
      <c r="AJ530" s="5" t="n"/>
      <c r="AK530" s="125" t="n"/>
      <c r="AL530" s="125" t="n"/>
    </row>
    <row r="531" hidden="1" s="241"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125" t="n"/>
      <c r="AI531" s="125" t="n"/>
      <c r="AJ531" s="5" t="n"/>
      <c r="AK531" s="125" t="n"/>
      <c r="AL531" s="125" t="n"/>
    </row>
    <row r="532" hidden="1" s="241"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125" t="n"/>
      <c r="AI532" s="125" t="n"/>
      <c r="AJ532" s="5" t="n"/>
      <c r="AK532" s="125" t="n"/>
      <c r="AL532" s="125" t="n"/>
    </row>
    <row r="533" hidden="1" s="241"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125" t="n"/>
      <c r="AI533" s="125" t="n"/>
      <c r="AJ533" s="5" t="n"/>
      <c r="AK533" s="125" t="n"/>
      <c r="AL533" s="125" t="n"/>
    </row>
    <row r="534" hidden="1" s="241"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125" t="n"/>
      <c r="AI534" s="125" t="n"/>
      <c r="AJ534" s="5" t="n"/>
      <c r="AK534" s="125" t="n"/>
      <c r="AL534" s="125" t="n"/>
    </row>
    <row r="535" hidden="1" s="241"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125" t="n"/>
      <c r="AI535" s="125" t="n"/>
      <c r="AJ535" s="5" t="n"/>
      <c r="AK535" s="125" t="n"/>
      <c r="AL535" s="125" t="n"/>
    </row>
    <row r="536" hidden="1" s="241"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125" t="n"/>
      <c r="AI536" s="125" t="n"/>
      <c r="AJ536" s="5" t="n"/>
      <c r="AK536" s="125" t="n"/>
      <c r="AL536" s="125" t="n"/>
    </row>
    <row r="537" hidden="1" s="241"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125" t="n"/>
      <c r="AI537" s="125" t="n"/>
      <c r="AJ537" s="5" t="n"/>
      <c r="AK537" s="125" t="n"/>
      <c r="AL537" s="125" t="n"/>
    </row>
    <row r="538" hidden="1" s="241"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125" t="n"/>
      <c r="AI538" s="125" t="n"/>
      <c r="AJ538" s="5" t="n"/>
      <c r="AK538" s="125" t="n"/>
      <c r="AL538" s="125" t="n"/>
    </row>
    <row r="539" hidden="1" s="241"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125" t="n"/>
      <c r="AI539" s="125" t="n"/>
      <c r="AJ539" s="5" t="n"/>
      <c r="AK539" s="125" t="n"/>
      <c r="AL539" s="125" t="n"/>
    </row>
    <row r="540" hidden="1" s="241"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125" t="n"/>
      <c r="AI540" s="125" t="n"/>
      <c r="AJ540" s="5" t="n"/>
      <c r="AK540" s="125" t="n"/>
      <c r="AL540" s="125" t="n"/>
    </row>
    <row r="541" hidden="1" s="241"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125" t="n"/>
      <c r="AI541" s="125" t="n"/>
      <c r="AJ541" s="5" t="n"/>
      <c r="AK541" s="125" t="n"/>
      <c r="AL541" s="125" t="n"/>
    </row>
    <row r="542" hidden="1" s="241"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125" t="n"/>
      <c r="AI542" s="125" t="n"/>
      <c r="AJ542" s="5" t="n"/>
      <c r="AK542" s="125" t="n"/>
      <c r="AL542" s="125" t="n"/>
    </row>
    <row r="543" hidden="1" s="241"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125" t="n"/>
      <c r="AI543" s="125" t="n"/>
      <c r="AJ543" s="5" t="n"/>
      <c r="AK543" s="125" t="n"/>
      <c r="AL543" s="125" t="n"/>
    </row>
    <row r="544" hidden="1" s="241"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125" t="n"/>
      <c r="AI544" s="125" t="n"/>
      <c r="AJ544" s="5" t="n"/>
      <c r="AK544" s="125" t="n"/>
      <c r="AL544" s="125" t="n"/>
    </row>
    <row r="545" hidden="1" s="241"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125" t="n"/>
      <c r="AI545" s="125" t="n"/>
      <c r="AJ545" s="5" t="n"/>
      <c r="AK545" s="125" t="n"/>
      <c r="AL545" s="125" t="n"/>
    </row>
    <row r="546" hidden="1" s="241"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125" t="n"/>
      <c r="AI546" s="125" t="n"/>
      <c r="AJ546" s="5" t="n"/>
      <c r="AK546" s="125" t="n"/>
      <c r="AL546" s="125" t="n"/>
    </row>
    <row r="547" hidden="1" s="241"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125" t="n"/>
      <c r="AI547" s="125" t="n"/>
      <c r="AJ547" s="5" t="n"/>
      <c r="AK547" s="125" t="n"/>
      <c r="AL547" s="125" t="n"/>
    </row>
    <row r="548" hidden="1" s="241"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125" t="n"/>
      <c r="AI548" s="125" t="n"/>
      <c r="AJ548" s="5" t="n"/>
      <c r="AK548" s="125" t="n"/>
      <c r="AL548" s="125" t="n"/>
    </row>
    <row r="549" hidden="1" s="241"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125" t="n"/>
      <c r="AI549" s="125" t="n"/>
      <c r="AJ549" s="5" t="n"/>
      <c r="AK549" s="125" t="n"/>
      <c r="AL549" s="125" t="n"/>
    </row>
    <row r="550" hidden="1" s="241"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125" t="n"/>
      <c r="AI550" s="125" t="n"/>
      <c r="AJ550" s="5" t="n"/>
      <c r="AK550" s="125" t="n"/>
      <c r="AL550" s="125" t="n"/>
    </row>
    <row r="551" hidden="1" s="241"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125" t="n"/>
      <c r="AI551" s="125" t="n"/>
      <c r="AJ551" s="5" t="n"/>
      <c r="AK551" s="125" t="n"/>
      <c r="AL551" s="125" t="n"/>
    </row>
    <row r="552" hidden="1" s="241"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125" t="n"/>
      <c r="AI552" s="125" t="n"/>
      <c r="AJ552" s="5" t="n"/>
      <c r="AK552" s="125" t="n"/>
      <c r="AL552" s="125" t="n"/>
    </row>
    <row r="553" hidden="1" s="241"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125" t="n"/>
      <c r="AI553" s="125" t="n"/>
      <c r="AJ553" s="5" t="n"/>
      <c r="AK553" s="125" t="n"/>
      <c r="AL553" s="125" t="n"/>
    </row>
    <row r="554" hidden="1" s="241"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125" t="n"/>
      <c r="AI554" s="125" t="n"/>
      <c r="AJ554" s="5" t="n"/>
      <c r="AK554" s="125" t="n"/>
      <c r="AL554" s="125" t="n"/>
    </row>
    <row r="555" hidden="1" s="241"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125" t="n"/>
      <c r="AI555" s="125" t="n"/>
      <c r="AJ555" s="5" t="n"/>
      <c r="AK555" s="125" t="n"/>
      <c r="AL555" s="125" t="n"/>
    </row>
    <row r="556" hidden="1" s="241"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125" t="n"/>
      <c r="AI556" s="125" t="n"/>
      <c r="AJ556" s="5" t="n"/>
      <c r="AK556" s="125" t="n"/>
      <c r="AL556" s="125" t="n"/>
    </row>
    <row r="557" hidden="1" s="241"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125" t="n"/>
      <c r="AI557" s="125" t="n"/>
      <c r="AJ557" s="5" t="n"/>
      <c r="AK557" s="125" t="n"/>
      <c r="AL557" s="125" t="n"/>
    </row>
    <row r="558" hidden="1" s="241"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125" t="n"/>
      <c r="AI558" s="125" t="n"/>
      <c r="AJ558" s="5" t="n"/>
      <c r="AK558" s="125" t="n"/>
      <c r="AL558" s="125" t="n"/>
    </row>
    <row r="559" hidden="1" s="241"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125" t="n"/>
      <c r="AI559" s="125" t="n"/>
      <c r="AJ559" s="5" t="n"/>
      <c r="AK559" s="125" t="n"/>
      <c r="AL559" s="125" t="n"/>
    </row>
    <row r="560" hidden="1" s="241"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125" t="n"/>
      <c r="AI560" s="125" t="n"/>
      <c r="AJ560" s="5" t="n"/>
      <c r="AK560" s="125" t="n"/>
      <c r="AL560" s="125" t="n"/>
    </row>
    <row r="561" hidden="1" s="241"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125" t="n"/>
      <c r="AI561" s="125" t="n"/>
      <c r="AJ561" s="5" t="n"/>
      <c r="AK561" s="125" t="n"/>
      <c r="AL561" s="125" t="n"/>
    </row>
    <row r="562" hidden="1" s="241"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125" t="n"/>
      <c r="AI562" s="125" t="n"/>
      <c r="AJ562" s="5" t="n"/>
      <c r="AK562" s="125" t="n"/>
      <c r="AL562" s="125" t="n"/>
    </row>
    <row r="563" hidden="1" s="241"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125" t="n"/>
      <c r="AI563" s="125" t="n"/>
      <c r="AJ563" s="5" t="n"/>
      <c r="AK563" s="125" t="n"/>
      <c r="AL563" s="125" t="n"/>
    </row>
    <row r="564" hidden="1" s="241"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125" t="n"/>
      <c r="AI564" s="125" t="n"/>
      <c r="AJ564" s="5" t="n"/>
      <c r="AK564" s="125" t="n"/>
      <c r="AL564" s="125" t="n"/>
    </row>
    <row r="565" hidden="1" s="241"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125" t="n"/>
      <c r="AI565" s="125" t="n"/>
      <c r="AJ565" s="5" t="n"/>
      <c r="AK565" s="125" t="n"/>
      <c r="AL565" s="125" t="n"/>
    </row>
    <row r="566" hidden="1" s="241"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125" t="n"/>
      <c r="AI566" s="125" t="n"/>
      <c r="AJ566" s="5" t="n"/>
      <c r="AK566" s="125" t="n"/>
      <c r="AL566" s="125" t="n"/>
    </row>
    <row r="567" hidden="1" s="241"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125" t="n"/>
      <c r="AI567" s="125" t="n"/>
      <c r="AJ567" s="5" t="n"/>
      <c r="AK567" s="125" t="n"/>
      <c r="AL567" s="125" t="n"/>
    </row>
    <row r="568" hidden="1" s="241"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125" t="n"/>
      <c r="AI568" s="125" t="n"/>
      <c r="AJ568" s="5" t="n"/>
      <c r="AK568" s="125" t="n"/>
      <c r="AL568" s="125" t="n"/>
    </row>
    <row r="569" hidden="1" s="241"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125" t="n"/>
      <c r="AI569" s="125" t="n"/>
      <c r="AJ569" s="5" t="n"/>
      <c r="AK569" s="125" t="n"/>
      <c r="AL569" s="125" t="n"/>
    </row>
    <row r="570" hidden="1" s="241"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125" t="n"/>
      <c r="AI570" s="125" t="n"/>
      <c r="AJ570" s="5" t="n"/>
      <c r="AK570" s="125" t="n"/>
      <c r="AL570" s="125" t="n"/>
    </row>
    <row r="571" hidden="1" s="241"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125" t="n"/>
      <c r="AI571" s="125" t="n"/>
      <c r="AJ571" s="5" t="n"/>
      <c r="AK571" s="125" t="n"/>
      <c r="AL571" s="125" t="n"/>
    </row>
    <row r="572" hidden="1" s="241"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125" t="n"/>
      <c r="AI572" s="125" t="n"/>
      <c r="AJ572" s="5" t="n"/>
      <c r="AK572" s="125" t="n"/>
      <c r="AL572" s="125" t="n"/>
    </row>
    <row r="573" hidden="1" s="241"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125" t="n"/>
      <c r="AI573" s="125" t="n"/>
      <c r="AJ573" s="5" t="n"/>
      <c r="AK573" s="125" t="n"/>
      <c r="AL573" s="125" t="n"/>
    </row>
    <row r="574" hidden="1" s="241"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125" t="n"/>
      <c r="AI574" s="125" t="n"/>
      <c r="AJ574" s="5" t="n"/>
      <c r="AK574" s="125" t="n"/>
      <c r="AL574" s="125" t="n"/>
    </row>
    <row r="575" hidden="1" s="241"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125" t="n"/>
      <c r="AI575" s="125" t="n"/>
      <c r="AJ575" s="5" t="n"/>
      <c r="AK575" s="125" t="n"/>
      <c r="AL575" s="125" t="n"/>
    </row>
    <row r="576" hidden="1" s="241"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125" t="n"/>
      <c r="AI576" s="125" t="n"/>
      <c r="AJ576" s="5" t="n"/>
      <c r="AK576" s="125" t="n"/>
      <c r="AL576" s="125" t="n"/>
    </row>
    <row r="577" hidden="1" s="241"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125" t="n"/>
      <c r="AI577" s="125" t="n"/>
      <c r="AJ577" s="5" t="n"/>
      <c r="AK577" s="125" t="n"/>
      <c r="AL577" s="125" t="n"/>
    </row>
    <row r="578" hidden="1" s="241"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125" t="n"/>
      <c r="AI578" s="125" t="n"/>
      <c r="AJ578" s="5" t="n"/>
      <c r="AK578" s="125" t="n"/>
      <c r="AL578" s="125" t="n"/>
    </row>
    <row r="579" hidden="1" s="241"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125" t="n"/>
      <c r="AI579" s="125" t="n"/>
      <c r="AJ579" s="5" t="n"/>
      <c r="AK579" s="125" t="n"/>
      <c r="AL579" s="125" t="n"/>
    </row>
    <row r="580" hidden="1" s="241"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125" t="n"/>
      <c r="AI580" s="125" t="n"/>
      <c r="AJ580" s="5" t="n"/>
      <c r="AK580" s="125" t="n"/>
      <c r="AL580" s="125" t="n"/>
    </row>
    <row r="581" hidden="1" s="241"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125" t="n"/>
      <c r="AI581" s="125" t="n"/>
      <c r="AJ581" s="5" t="n"/>
      <c r="AK581" s="125" t="n"/>
      <c r="AL581" s="125" t="n"/>
    </row>
    <row r="582" hidden="1" s="241"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125" t="n"/>
      <c r="AI582" s="125" t="n"/>
      <c r="AJ582" s="5" t="n"/>
      <c r="AK582" s="125" t="n"/>
      <c r="AL582" s="125" t="n"/>
    </row>
    <row r="583" hidden="1" s="241"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125" t="n"/>
      <c r="AI583" s="125" t="n"/>
      <c r="AJ583" s="5" t="n"/>
      <c r="AK583" s="125" t="n"/>
      <c r="AL583" s="125" t="n"/>
    </row>
    <row r="584" hidden="1" s="241"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125" t="n"/>
      <c r="AI584" s="125" t="n"/>
      <c r="AJ584" s="5" t="n"/>
      <c r="AK584" s="125" t="n"/>
      <c r="AL584" s="125" t="n"/>
    </row>
    <row r="585" hidden="1" s="241"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125" t="n"/>
      <c r="AI585" s="125" t="n"/>
      <c r="AJ585" s="5" t="n"/>
      <c r="AK585" s="125" t="n"/>
      <c r="AL585" s="125" t="n"/>
    </row>
    <row r="586" hidden="1" s="241"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125" t="n"/>
      <c r="AI586" s="125" t="n"/>
      <c r="AJ586" s="5" t="n"/>
      <c r="AK586" s="125" t="n"/>
      <c r="AL586" s="125" t="n"/>
    </row>
    <row r="587" hidden="1" s="241"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125" t="n"/>
      <c r="AI587" s="125" t="n"/>
      <c r="AJ587" s="5" t="n"/>
      <c r="AK587" s="125" t="n"/>
      <c r="AL587" s="125" t="n"/>
    </row>
    <row r="588" hidden="1" s="241"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125" t="n"/>
      <c r="AI588" s="125" t="n"/>
      <c r="AJ588" s="5" t="n"/>
      <c r="AK588" s="125" t="n"/>
      <c r="AL588" s="125" t="n"/>
    </row>
    <row r="589" hidden="1" s="241"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125" t="n"/>
      <c r="AI589" s="125" t="n"/>
      <c r="AJ589" s="5" t="n"/>
      <c r="AK589" s="125" t="n"/>
      <c r="AL589" s="125" t="n"/>
    </row>
    <row r="590" hidden="1" s="241"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125" t="n"/>
      <c r="AI590" s="125" t="n"/>
      <c r="AJ590" s="5" t="n"/>
      <c r="AK590" s="125" t="n"/>
      <c r="AL590" s="125" t="n"/>
    </row>
    <row r="591" hidden="1" s="241"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125" t="n"/>
      <c r="AI591" s="125" t="n"/>
      <c r="AJ591" s="5" t="n"/>
      <c r="AK591" s="125" t="n"/>
      <c r="AL591" s="125" t="n"/>
    </row>
    <row r="592" hidden="1" s="241"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125" t="n"/>
      <c r="AI592" s="125" t="n"/>
      <c r="AJ592" s="5" t="n"/>
      <c r="AK592" s="125" t="n"/>
      <c r="AL592" s="125" t="n"/>
    </row>
    <row r="593" hidden="1" s="241"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125" t="n"/>
      <c r="AI593" s="125" t="n"/>
      <c r="AJ593" s="5" t="n"/>
      <c r="AK593" s="125" t="n"/>
      <c r="AL593" s="125" t="n"/>
    </row>
    <row r="594" hidden="1" s="241"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125" t="n"/>
      <c r="AI594" s="125" t="n"/>
      <c r="AJ594" s="5" t="n"/>
      <c r="AK594" s="125" t="n"/>
      <c r="AL594" s="125" t="n"/>
    </row>
    <row r="595" hidden="1" s="241"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125" t="n"/>
      <c r="AI595" s="125" t="n"/>
      <c r="AJ595" s="5" t="n"/>
      <c r="AK595" s="125" t="n"/>
      <c r="AL595" s="125" t="n"/>
    </row>
    <row r="596" hidden="1" s="241"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125" t="n"/>
      <c r="AI596" s="125" t="n"/>
      <c r="AJ596" s="5" t="n"/>
      <c r="AK596" s="125" t="n"/>
      <c r="AL596" s="125" t="n"/>
    </row>
    <row r="597" hidden="1" s="241"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125" t="n"/>
      <c r="AI597" s="125" t="n"/>
      <c r="AJ597" s="5" t="n"/>
      <c r="AK597" s="125" t="n"/>
      <c r="AL597" s="125" t="n"/>
    </row>
    <row r="598" hidden="1" s="241"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125" t="n"/>
      <c r="AI598" s="125" t="n"/>
      <c r="AJ598" s="5" t="n"/>
      <c r="AK598" s="125" t="n"/>
      <c r="AL598" s="125" t="n"/>
    </row>
    <row r="599" hidden="1" s="241"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125" t="n"/>
      <c r="AI599" s="125" t="n"/>
      <c r="AJ599" s="5" t="n"/>
      <c r="AK599" s="125" t="n"/>
      <c r="AL599" s="125" t="n"/>
    </row>
    <row r="600" hidden="1" s="241"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125" t="n"/>
      <c r="AI600" s="125" t="n"/>
      <c r="AJ600" s="5" t="n"/>
      <c r="AK600" s="125" t="n"/>
      <c r="AL600" s="125" t="n"/>
    </row>
    <row r="601" hidden="1" s="241"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125" t="n"/>
      <c r="AI601" s="125" t="n"/>
      <c r="AJ601" s="5" t="n"/>
      <c r="AK601" s="125" t="n"/>
      <c r="AL601" s="125" t="n"/>
    </row>
    <row r="602" hidden="1" s="241"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125" t="n"/>
      <c r="AI602" s="125" t="n"/>
      <c r="AJ602" s="5" t="n"/>
      <c r="AK602" s="125" t="n"/>
      <c r="AL602" s="125" t="n"/>
    </row>
    <row r="603" hidden="1" s="241"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125" t="n"/>
      <c r="AI603" s="125" t="n"/>
      <c r="AJ603" s="5" t="n"/>
      <c r="AK603" s="125" t="n"/>
      <c r="AL603" s="125" t="n"/>
    </row>
    <row r="604" hidden="1" s="241"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125" t="n"/>
      <c r="AI604" s="125" t="n"/>
      <c r="AJ604" s="5" t="n"/>
      <c r="AK604" s="125" t="n"/>
      <c r="AL604" s="125" t="n"/>
    </row>
    <row r="605" hidden="1" s="241"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125" t="n"/>
      <c r="AI605" s="125" t="n"/>
      <c r="AJ605" s="5" t="n"/>
      <c r="AK605" s="125" t="n"/>
      <c r="AL605" s="125" t="n"/>
    </row>
    <row r="606" hidden="1" s="241"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125" t="n"/>
      <c r="AI606" s="125" t="n"/>
      <c r="AJ606" s="5" t="n"/>
      <c r="AK606" s="125" t="n"/>
      <c r="AL606" s="125" t="n"/>
    </row>
    <row r="607" hidden="1" s="241"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125" t="n"/>
      <c r="AI607" s="125" t="n"/>
      <c r="AJ607" s="5" t="n"/>
      <c r="AK607" s="125" t="n"/>
      <c r="AL607" s="125" t="n"/>
    </row>
    <row r="608" hidden="1" s="241"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125" t="n"/>
      <c r="AI608" s="125" t="n"/>
      <c r="AJ608" s="5" t="n"/>
      <c r="AK608" s="125" t="n"/>
      <c r="AL608" s="125" t="n"/>
    </row>
    <row r="609" hidden="1" s="241"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125" t="n"/>
      <c r="AI609" s="125" t="n"/>
      <c r="AJ609" s="5" t="n"/>
      <c r="AK609" s="125" t="n"/>
      <c r="AL609" s="125" t="n"/>
    </row>
    <row r="610" hidden="1" s="241"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125" t="n"/>
      <c r="AI610" s="125" t="n"/>
      <c r="AJ610" s="5" t="n"/>
      <c r="AK610" s="125" t="n"/>
      <c r="AL610" s="125" t="n"/>
    </row>
    <row r="611" hidden="1" s="241"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125" t="n"/>
      <c r="AI611" s="125" t="n"/>
      <c r="AJ611" s="5" t="n"/>
      <c r="AK611" s="125" t="n"/>
      <c r="AL611" s="125" t="n"/>
    </row>
    <row r="612" hidden="1" s="241"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125" t="n"/>
      <c r="AI612" s="125" t="n"/>
      <c r="AJ612" s="5" t="n"/>
      <c r="AK612" s="125" t="n"/>
      <c r="AL612" s="125" t="n"/>
    </row>
    <row r="613" hidden="1" s="241"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125" t="n"/>
      <c r="AI613" s="125" t="n"/>
      <c r="AJ613" s="5" t="n"/>
      <c r="AK613" s="125" t="n"/>
      <c r="AL613" s="125" t="n"/>
    </row>
    <row r="614" hidden="1" s="241"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125" t="n"/>
      <c r="AI614" s="125" t="n"/>
      <c r="AJ614" s="5" t="n"/>
      <c r="AK614" s="125" t="n"/>
      <c r="AL614" s="125" t="n"/>
    </row>
    <row r="615" hidden="1" s="241"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125" t="n"/>
      <c r="AI615" s="125" t="n"/>
      <c r="AJ615" s="5" t="n"/>
      <c r="AK615" s="125" t="n"/>
      <c r="AL615" s="125" t="n"/>
    </row>
    <row r="616" hidden="1" s="241"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125" t="n"/>
      <c r="AI616" s="125" t="n"/>
      <c r="AJ616" s="5" t="n"/>
      <c r="AK616" s="125" t="n"/>
      <c r="AL616" s="125" t="n"/>
    </row>
    <row r="617" hidden="1" s="241"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125" t="n"/>
      <c r="AI617" s="125" t="n"/>
      <c r="AJ617" s="5" t="n"/>
      <c r="AK617" s="125" t="n"/>
      <c r="AL617" s="125" t="n"/>
    </row>
    <row r="618" hidden="1" s="241"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125" t="n"/>
      <c r="AI618" s="125" t="n"/>
      <c r="AJ618" s="5" t="n"/>
      <c r="AK618" s="125" t="n"/>
      <c r="AL618" s="125" t="n"/>
    </row>
    <row r="619" hidden="1" s="241"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125" t="n"/>
      <c r="AI619" s="125" t="n"/>
      <c r="AJ619" s="5" t="n"/>
      <c r="AK619" s="125" t="n"/>
      <c r="AL619" s="125" t="n"/>
    </row>
    <row r="620" hidden="1" s="241"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125" t="n"/>
      <c r="AI620" s="125" t="n"/>
      <c r="AJ620" s="5" t="n"/>
      <c r="AK620" s="125" t="n"/>
      <c r="AL620" s="125" t="n"/>
    </row>
    <row r="621" hidden="1" s="241"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125" t="n"/>
      <c r="AI621" s="125" t="n"/>
      <c r="AJ621" s="5" t="n"/>
      <c r="AK621" s="125" t="n"/>
      <c r="AL621" s="125" t="n"/>
    </row>
    <row r="622" hidden="1" s="241"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125" t="n"/>
      <c r="AI622" s="125" t="n"/>
      <c r="AJ622" s="5" t="n"/>
      <c r="AK622" s="125" t="n"/>
      <c r="AL622" s="125" t="n"/>
    </row>
    <row r="623" hidden="1" s="241"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125" t="n"/>
      <c r="AI623" s="125" t="n"/>
      <c r="AJ623" s="5" t="n"/>
      <c r="AK623" s="125" t="n"/>
      <c r="AL623" s="125" t="n"/>
    </row>
    <row r="624" hidden="1" s="241"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125" t="n"/>
      <c r="AI624" s="125" t="n"/>
      <c r="AJ624" s="5" t="n"/>
      <c r="AK624" s="125" t="n"/>
      <c r="AL624" s="125" t="n"/>
    </row>
    <row r="625" hidden="1" s="241"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125" t="n"/>
      <c r="AI625" s="125" t="n"/>
      <c r="AJ625" s="5" t="n"/>
      <c r="AK625" s="125" t="n"/>
      <c r="AL625" s="125" t="n"/>
    </row>
    <row r="626" hidden="1" s="241"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125" t="n"/>
      <c r="AI626" s="125" t="n"/>
      <c r="AJ626" s="5" t="n"/>
      <c r="AK626" s="125" t="n"/>
      <c r="AL626" s="125" t="n"/>
    </row>
    <row r="627" hidden="1" s="241"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125" t="n"/>
      <c r="AI627" s="125" t="n"/>
      <c r="AJ627" s="5" t="n"/>
      <c r="AK627" s="125" t="n"/>
      <c r="AL627" s="125" t="n"/>
    </row>
    <row r="628" hidden="1" s="241"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125" t="n"/>
      <c r="AI628" s="125" t="n"/>
      <c r="AJ628" s="5" t="n"/>
      <c r="AK628" s="125" t="n"/>
      <c r="AL628" s="125" t="n"/>
    </row>
    <row r="629" hidden="1" s="241"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125" t="n"/>
      <c r="AI629" s="125" t="n"/>
      <c r="AJ629" s="5" t="n"/>
      <c r="AK629" s="125" t="n"/>
      <c r="AL629" s="125" t="n"/>
    </row>
    <row r="630" hidden="1" s="241"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125" t="n"/>
      <c r="AI630" s="125" t="n"/>
      <c r="AJ630" s="5" t="n"/>
      <c r="AK630" s="125" t="n"/>
      <c r="AL630" s="125" t="n"/>
    </row>
    <row r="631" hidden="1" s="241"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125" t="n"/>
      <c r="AI631" s="125" t="n"/>
      <c r="AJ631" s="5" t="n"/>
      <c r="AK631" s="125" t="n"/>
      <c r="AL631" s="125" t="n"/>
    </row>
    <row r="632" hidden="1" s="241"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125" t="n"/>
      <c r="AI632" s="125" t="n"/>
      <c r="AJ632" s="5" t="n"/>
      <c r="AK632" s="125" t="n"/>
      <c r="AL632" s="125" t="n"/>
    </row>
    <row r="633" hidden="1" s="241"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125" t="n"/>
      <c r="AI633" s="125" t="n"/>
      <c r="AJ633" s="5" t="n"/>
      <c r="AK633" s="125" t="n"/>
      <c r="AL633" s="125" t="n"/>
    </row>
    <row r="634" hidden="1" s="241"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125" t="n"/>
      <c r="AI634" s="125" t="n"/>
      <c r="AJ634" s="5" t="n"/>
      <c r="AK634" s="125" t="n"/>
      <c r="AL634" s="125" t="n"/>
    </row>
    <row r="635" hidden="1" s="241"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125" t="n"/>
      <c r="AI635" s="125" t="n"/>
      <c r="AJ635" s="5" t="n"/>
      <c r="AK635" s="125" t="n"/>
      <c r="AL635" s="125" t="n"/>
    </row>
    <row r="636" hidden="1" s="241"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125" t="n"/>
      <c r="AI636" s="125" t="n"/>
      <c r="AJ636" s="5" t="n"/>
      <c r="AK636" s="125" t="n"/>
      <c r="AL636" s="125" t="n"/>
    </row>
    <row r="637" hidden="1" s="241"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125" t="n"/>
      <c r="AI637" s="125" t="n"/>
      <c r="AJ637" s="5" t="n"/>
      <c r="AK637" s="125" t="n"/>
      <c r="AL637" s="125" t="n"/>
    </row>
    <row r="638" hidden="1" s="241"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125" t="n"/>
      <c r="AI638" s="125" t="n"/>
      <c r="AJ638" s="5" t="n"/>
      <c r="AK638" s="125" t="n"/>
      <c r="AL638" s="125" t="n"/>
    </row>
    <row r="639" hidden="1" s="241"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125" t="n"/>
      <c r="AI639" s="125" t="n"/>
      <c r="AJ639" s="5" t="n"/>
      <c r="AK639" s="125" t="n"/>
      <c r="AL639" s="125" t="n"/>
    </row>
    <row r="640" hidden="1" s="241"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125" t="n"/>
      <c r="AI640" s="125" t="n"/>
      <c r="AJ640" s="5" t="n"/>
      <c r="AK640" s="125" t="n"/>
      <c r="AL640" s="125" t="n"/>
    </row>
    <row r="641" hidden="1" s="241"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125" t="n"/>
      <c r="AI641" s="125" t="n"/>
      <c r="AJ641" s="5" t="n"/>
      <c r="AK641" s="125" t="n"/>
      <c r="AL641" s="125" t="n"/>
    </row>
    <row r="642" hidden="1" s="241"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125" t="n"/>
      <c r="AI642" s="125" t="n"/>
      <c r="AJ642" s="5" t="n"/>
      <c r="AK642" s="125" t="n"/>
      <c r="AL642" s="125" t="n"/>
    </row>
    <row r="643" hidden="1" s="241"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125" t="n"/>
      <c r="AI643" s="125" t="n"/>
      <c r="AJ643" s="5" t="n"/>
      <c r="AK643" s="125" t="n"/>
      <c r="AL643" s="125" t="n"/>
    </row>
    <row r="644" hidden="1" s="241"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125" t="n"/>
      <c r="AI644" s="125" t="n"/>
      <c r="AJ644" s="5" t="n"/>
      <c r="AK644" s="125" t="n"/>
      <c r="AL644" s="125" t="n"/>
    </row>
    <row r="645" hidden="1" s="241"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125" t="n"/>
      <c r="AI645" s="125" t="n"/>
      <c r="AJ645" s="5" t="n"/>
      <c r="AK645" s="125" t="n"/>
      <c r="AL645" s="125" t="n"/>
    </row>
    <row r="646" hidden="1" s="241"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125" t="n"/>
      <c r="AI646" s="125" t="n"/>
      <c r="AJ646" s="5" t="n"/>
      <c r="AK646" s="125" t="n"/>
      <c r="AL646" s="125" t="n"/>
    </row>
    <row r="647" hidden="1" s="241"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125" t="n"/>
      <c r="AI647" s="125" t="n"/>
      <c r="AJ647" s="5" t="n"/>
      <c r="AK647" s="125" t="n"/>
      <c r="AL647" s="125" t="n"/>
    </row>
    <row r="648" hidden="1" s="241"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125" t="n"/>
      <c r="AI648" s="125" t="n"/>
      <c r="AJ648" s="5" t="n"/>
      <c r="AK648" s="125" t="n"/>
      <c r="AL648" s="125" t="n"/>
    </row>
    <row r="649" hidden="1" s="241"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125" t="n"/>
      <c r="AI649" s="125" t="n"/>
      <c r="AJ649" s="5" t="n"/>
      <c r="AK649" s="125" t="n"/>
      <c r="AL649" s="125" t="n"/>
    </row>
    <row r="650" hidden="1" s="241"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125" t="n"/>
      <c r="AI650" s="125" t="n"/>
      <c r="AJ650" s="5" t="n"/>
      <c r="AK650" s="125" t="n"/>
      <c r="AL650" s="125" t="n"/>
    </row>
    <row r="651" hidden="1" s="241"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125" t="n"/>
      <c r="AI651" s="125" t="n"/>
      <c r="AJ651" s="5" t="n"/>
      <c r="AK651" s="125" t="n"/>
      <c r="AL651" s="125" t="n"/>
    </row>
    <row r="652" hidden="1" s="241"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125" t="n"/>
      <c r="AI652" s="125" t="n"/>
      <c r="AJ652" s="5" t="n"/>
      <c r="AK652" s="125" t="n"/>
      <c r="AL652" s="125" t="n"/>
    </row>
    <row r="653" hidden="1" s="241"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125" t="n"/>
      <c r="AI653" s="125" t="n"/>
      <c r="AJ653" s="5" t="n"/>
      <c r="AK653" s="125" t="n"/>
      <c r="AL653" s="125" t="n"/>
    </row>
    <row r="654" hidden="1" s="241"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125" t="n"/>
      <c r="AI654" s="125" t="n"/>
      <c r="AJ654" s="5" t="n"/>
      <c r="AK654" s="125" t="n"/>
      <c r="AL654" s="125" t="n"/>
    </row>
    <row r="655" hidden="1" s="241"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125" t="n"/>
      <c r="AI655" s="125" t="n"/>
      <c r="AJ655" s="5" t="n"/>
      <c r="AK655" s="125" t="n"/>
      <c r="AL655" s="125" t="n"/>
    </row>
    <row r="656" hidden="1" s="241"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125" t="n"/>
      <c r="AI656" s="125" t="n"/>
      <c r="AJ656" s="5" t="n"/>
      <c r="AK656" s="125" t="n"/>
      <c r="AL656" s="125" t="n"/>
    </row>
    <row r="657" hidden="1" s="241"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125" t="n"/>
      <c r="AI657" s="125" t="n"/>
      <c r="AJ657" s="5" t="n"/>
      <c r="AK657" s="125" t="n"/>
      <c r="AL657" s="125" t="n"/>
    </row>
    <row r="658" hidden="1" s="241"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125" t="n"/>
      <c r="AI658" s="125" t="n"/>
      <c r="AJ658" s="5" t="n"/>
      <c r="AK658" s="125" t="n"/>
      <c r="AL658" s="125" t="n"/>
    </row>
    <row r="659" hidden="1" s="241"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125" t="n"/>
      <c r="AI659" s="125" t="n"/>
      <c r="AJ659" s="5" t="n"/>
      <c r="AK659" s="125" t="n"/>
      <c r="AL659" s="125" t="n"/>
    </row>
    <row r="660" hidden="1" s="241"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125" t="n"/>
      <c r="AI660" s="125" t="n"/>
      <c r="AJ660" s="5" t="n"/>
      <c r="AK660" s="125" t="n"/>
      <c r="AL660" s="125" t="n"/>
    </row>
    <row r="661" hidden="1" s="241"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125" t="n"/>
      <c r="AI661" s="125" t="n"/>
      <c r="AJ661" s="5" t="n"/>
      <c r="AK661" s="125" t="n"/>
      <c r="AL661" s="125" t="n"/>
    </row>
    <row r="662" hidden="1" s="241"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125" t="n"/>
      <c r="AI662" s="125" t="n"/>
      <c r="AJ662" s="5" t="n"/>
      <c r="AK662" s="125" t="n"/>
      <c r="AL662" s="125" t="n"/>
    </row>
    <row r="663" hidden="1" s="241"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125" t="n"/>
      <c r="AI663" s="125" t="n"/>
      <c r="AJ663" s="5" t="n"/>
      <c r="AK663" s="125" t="n"/>
      <c r="AL663" s="125" t="n"/>
    </row>
    <row r="664" hidden="1" s="241"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125" t="n"/>
      <c r="AI664" s="125" t="n"/>
      <c r="AJ664" s="5" t="n"/>
      <c r="AK664" s="125" t="n"/>
      <c r="AL664" s="125" t="n"/>
    </row>
    <row r="665" hidden="1" s="241"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125" t="n"/>
      <c r="AI665" s="125" t="n"/>
      <c r="AJ665" s="5" t="n"/>
      <c r="AK665" s="125" t="n"/>
      <c r="AL665" s="125" t="n"/>
    </row>
    <row r="666" hidden="1" s="241"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125" t="n"/>
      <c r="AI666" s="125" t="n"/>
      <c r="AJ666" s="5" t="n"/>
      <c r="AK666" s="125" t="n"/>
      <c r="AL666" s="125" t="n"/>
    </row>
    <row r="667" hidden="1" s="241"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125" t="n"/>
      <c r="AI667" s="125" t="n"/>
      <c r="AJ667" s="5" t="n"/>
      <c r="AK667" s="125" t="n"/>
      <c r="AL667" s="125" t="n"/>
    </row>
    <row r="668" hidden="1" s="241"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125" t="n"/>
      <c r="AI668" s="125" t="n"/>
      <c r="AJ668" s="5" t="n"/>
      <c r="AK668" s="125" t="n"/>
      <c r="AL668" s="125" t="n"/>
    </row>
    <row r="669" hidden="1" s="241"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125" t="n"/>
      <c r="AI669" s="125" t="n"/>
      <c r="AJ669" s="5" t="n"/>
      <c r="AK669" s="125" t="n"/>
      <c r="AL669" s="125" t="n"/>
    </row>
    <row r="670" hidden="1" s="241"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125" t="n"/>
      <c r="AI670" s="125" t="n"/>
      <c r="AJ670" s="5" t="n"/>
      <c r="AK670" s="125" t="n"/>
      <c r="AL670" s="125" t="n"/>
    </row>
    <row r="671" hidden="1" s="241"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125" t="n"/>
      <c r="AI671" s="125" t="n"/>
      <c r="AJ671" s="5" t="n"/>
      <c r="AK671" s="125" t="n"/>
      <c r="AL671" s="125" t="n"/>
    </row>
    <row r="672" hidden="1" s="241"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125" t="n"/>
      <c r="AI672" s="125" t="n"/>
      <c r="AJ672" s="5" t="n"/>
      <c r="AK672" s="125" t="n"/>
      <c r="AL672" s="125" t="n"/>
    </row>
    <row r="673" hidden="1" s="241"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125" t="n"/>
      <c r="AI673" s="125" t="n"/>
      <c r="AJ673" s="5" t="n"/>
      <c r="AK673" s="125" t="n"/>
      <c r="AL673" s="125" t="n"/>
    </row>
    <row r="674" hidden="1" s="241"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125" t="n"/>
      <c r="AI674" s="125" t="n"/>
      <c r="AJ674" s="5" t="n"/>
      <c r="AK674" s="125" t="n"/>
      <c r="AL674" s="125" t="n"/>
    </row>
    <row r="675" hidden="1" s="241"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125" t="n"/>
      <c r="AI675" s="125" t="n"/>
      <c r="AJ675" s="5" t="n"/>
      <c r="AK675" s="125" t="n"/>
      <c r="AL675" s="125" t="n"/>
    </row>
    <row r="676" hidden="1" s="241"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125" t="n"/>
      <c r="AI676" s="125" t="n"/>
      <c r="AJ676" s="5" t="n"/>
      <c r="AK676" s="125" t="n"/>
      <c r="AL676" s="125" t="n"/>
    </row>
    <row r="677" hidden="1" s="241"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125" t="n"/>
      <c r="AI677" s="125" t="n"/>
      <c r="AJ677" s="5" t="n"/>
      <c r="AK677" s="125" t="n"/>
      <c r="AL677" s="125" t="n"/>
    </row>
    <row r="678" hidden="1" s="241"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125" t="n"/>
      <c r="AI678" s="125" t="n"/>
      <c r="AJ678" s="5" t="n"/>
      <c r="AK678" s="125" t="n"/>
      <c r="AL678" s="125" t="n"/>
    </row>
    <row r="679" hidden="1" s="241"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125" t="n"/>
      <c r="AI679" s="125" t="n"/>
      <c r="AJ679" s="5" t="n"/>
      <c r="AK679" s="125" t="n"/>
      <c r="AL679" s="125" t="n"/>
    </row>
    <row r="680" hidden="1" s="241"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125" t="n"/>
      <c r="AI680" s="125" t="n"/>
      <c r="AJ680" s="5" t="n"/>
      <c r="AK680" s="125" t="n"/>
      <c r="AL680" s="125" t="n"/>
    </row>
    <row r="681" hidden="1" s="241"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125" t="n"/>
      <c r="AI681" s="125" t="n"/>
      <c r="AJ681" s="5" t="n"/>
      <c r="AK681" s="125" t="n"/>
      <c r="AL681" s="125" t="n"/>
    </row>
    <row r="682" hidden="1" s="241"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125" t="n"/>
      <c r="AI682" s="125" t="n"/>
      <c r="AJ682" s="5" t="n"/>
      <c r="AK682" s="125" t="n"/>
      <c r="AL682" s="125" t="n"/>
    </row>
    <row r="683" hidden="1" s="241"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125" t="n"/>
      <c r="AI683" s="125" t="n"/>
      <c r="AJ683" s="5" t="n"/>
      <c r="AK683" s="125" t="n"/>
      <c r="AL683" s="125" t="n"/>
    </row>
    <row r="684" hidden="1" s="241"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125" t="n"/>
      <c r="AI684" s="125" t="n"/>
      <c r="AJ684" s="5" t="n"/>
      <c r="AK684" s="125" t="n"/>
      <c r="AL684" s="125" t="n"/>
    </row>
    <row r="685" hidden="1" s="241"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125" t="n"/>
      <c r="AI685" s="125" t="n"/>
      <c r="AJ685" s="5" t="n"/>
      <c r="AK685" s="125" t="n"/>
      <c r="AL685" s="125" t="n"/>
    </row>
    <row r="686" hidden="1" s="241"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125" t="n"/>
      <c r="AI686" s="125" t="n"/>
      <c r="AJ686" s="5" t="n"/>
      <c r="AK686" s="125" t="n"/>
      <c r="AL686" s="125" t="n"/>
    </row>
    <row r="687" hidden="1" s="241"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125" t="n"/>
      <c r="AI687" s="125" t="n"/>
      <c r="AJ687" s="5" t="n"/>
      <c r="AK687" s="125" t="n"/>
      <c r="AL687" s="125" t="n"/>
    </row>
    <row r="688" hidden="1" s="241"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125" t="n"/>
      <c r="AI688" s="125" t="n"/>
      <c r="AJ688" s="5" t="n"/>
      <c r="AK688" s="125" t="n"/>
      <c r="AL688" s="125" t="n"/>
    </row>
    <row r="689" hidden="1" s="241"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125" t="n"/>
      <c r="AI689" s="125" t="n"/>
      <c r="AJ689" s="5" t="n"/>
      <c r="AK689" s="125" t="n"/>
      <c r="AL689" s="125" t="n"/>
    </row>
    <row r="690" hidden="1" s="241"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125" t="n"/>
      <c r="AI690" s="125" t="n"/>
      <c r="AJ690" s="5" t="n"/>
      <c r="AK690" s="125" t="n"/>
      <c r="AL690" s="125" t="n"/>
    </row>
    <row r="691" hidden="1" s="241"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125" t="n"/>
      <c r="AI691" s="125" t="n"/>
      <c r="AJ691" s="5" t="n"/>
      <c r="AK691" s="125" t="n"/>
      <c r="AL691" s="125" t="n"/>
    </row>
    <row r="692" hidden="1" s="241"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125" t="n"/>
      <c r="AI692" s="125" t="n"/>
      <c r="AJ692" s="5" t="n"/>
      <c r="AK692" s="125" t="n"/>
      <c r="AL692" s="125" t="n"/>
    </row>
    <row r="693" hidden="1" s="241"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125" t="n"/>
      <c r="AI693" s="125" t="n"/>
      <c r="AJ693" s="5" t="n"/>
      <c r="AK693" s="125" t="n"/>
      <c r="AL693" s="125" t="n"/>
    </row>
    <row r="694" hidden="1" s="241"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125" t="n"/>
      <c r="AI694" s="125" t="n"/>
      <c r="AJ694" s="5" t="n"/>
      <c r="AK694" s="125" t="n"/>
      <c r="AL694" s="125" t="n"/>
    </row>
    <row r="695" hidden="1" s="241"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125" t="n"/>
      <c r="AI695" s="125" t="n"/>
      <c r="AJ695" s="5" t="n"/>
      <c r="AK695" s="125" t="n"/>
      <c r="AL695" s="125" t="n"/>
    </row>
    <row r="696" hidden="1" s="241"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125" t="n"/>
      <c r="AI696" s="125" t="n"/>
      <c r="AJ696" s="5" t="n"/>
      <c r="AK696" s="125" t="n"/>
      <c r="AL696" s="125" t="n"/>
    </row>
    <row r="697" hidden="1" s="241"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125" t="n"/>
      <c r="AI697" s="125" t="n"/>
      <c r="AJ697" s="5" t="n"/>
      <c r="AK697" s="125" t="n"/>
      <c r="AL697" s="125" t="n"/>
    </row>
    <row r="698" hidden="1" s="241"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125" t="n"/>
      <c r="AI698" s="125" t="n"/>
      <c r="AJ698" s="5" t="n"/>
      <c r="AK698" s="125" t="n"/>
      <c r="AL698" s="125" t="n"/>
    </row>
    <row r="699" hidden="1" s="241"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125" t="n"/>
      <c r="AI699" s="125" t="n"/>
      <c r="AJ699" s="5" t="n"/>
      <c r="AK699" s="125" t="n"/>
      <c r="AL699" s="125" t="n"/>
    </row>
    <row r="700" hidden="1" s="241"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125" t="n"/>
      <c r="AI700" s="125" t="n"/>
      <c r="AJ700" s="5" t="n"/>
      <c r="AK700" s="125" t="n"/>
      <c r="AL700" s="125" t="n"/>
    </row>
    <row r="701" hidden="1" s="241"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125" t="n"/>
      <c r="AI701" s="125" t="n"/>
      <c r="AJ701" s="5" t="n"/>
      <c r="AK701" s="125" t="n"/>
      <c r="AL701" s="125" t="n"/>
    </row>
    <row r="702" hidden="1" s="241"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125" t="n"/>
      <c r="AI702" s="125" t="n"/>
      <c r="AJ702" s="5" t="n"/>
      <c r="AK702" s="125" t="n"/>
      <c r="AL702" s="125" t="n"/>
    </row>
    <row r="703" hidden="1" s="241"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125" t="n"/>
      <c r="AI703" s="125" t="n"/>
      <c r="AJ703" s="5" t="n"/>
      <c r="AK703" s="125" t="n"/>
      <c r="AL703" s="125" t="n"/>
    </row>
    <row r="704" hidden="1" s="241"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125" t="n"/>
      <c r="AI704" s="125" t="n"/>
      <c r="AJ704" s="5" t="n"/>
      <c r="AK704" s="125" t="n"/>
      <c r="AL704" s="125" t="n"/>
    </row>
    <row r="705" hidden="1" s="241"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125" t="n"/>
      <c r="AI705" s="125" t="n"/>
      <c r="AJ705" s="5" t="n"/>
      <c r="AK705" s="125" t="n"/>
      <c r="AL705" s="125" t="n"/>
    </row>
    <row r="706" hidden="1" s="241"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125" t="n"/>
      <c r="AI706" s="125" t="n"/>
      <c r="AJ706" s="5" t="n"/>
      <c r="AK706" s="125" t="n"/>
      <c r="AL706" s="125" t="n"/>
    </row>
    <row r="707" hidden="1" s="241"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125" t="n"/>
      <c r="AI707" s="125" t="n"/>
      <c r="AJ707" s="5" t="n"/>
      <c r="AK707" s="125" t="n"/>
      <c r="AL707" s="125" t="n"/>
    </row>
    <row r="708" hidden="1" s="241"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125" t="n"/>
      <c r="AI708" s="125" t="n"/>
      <c r="AJ708" s="5" t="n"/>
      <c r="AK708" s="125" t="n"/>
      <c r="AL708" s="125" t="n"/>
    </row>
    <row r="709" hidden="1" s="241"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125" t="n"/>
      <c r="AI709" s="125" t="n"/>
      <c r="AJ709" s="5" t="n"/>
      <c r="AK709" s="125" t="n"/>
      <c r="AL709" s="125" t="n"/>
    </row>
    <row r="710" hidden="1" s="241"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125" t="n"/>
      <c r="AI710" s="125" t="n"/>
      <c r="AJ710" s="5" t="n"/>
      <c r="AK710" s="125" t="n"/>
      <c r="AL710" s="125" t="n"/>
    </row>
    <row r="711" hidden="1" s="241"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125" t="n"/>
      <c r="AI711" s="125" t="n"/>
      <c r="AJ711" s="5" t="n"/>
      <c r="AK711" s="125" t="n"/>
      <c r="AL711" s="125" t="n"/>
    </row>
    <row r="712" hidden="1" s="241"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125" t="n"/>
      <c r="AI712" s="125" t="n"/>
      <c r="AJ712" s="5" t="n"/>
      <c r="AK712" s="125" t="n"/>
      <c r="AL712" s="125" t="n"/>
    </row>
    <row r="713" hidden="1" s="241"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125" t="n"/>
      <c r="AI713" s="125" t="n"/>
      <c r="AJ713" s="5" t="n"/>
      <c r="AK713" s="125" t="n"/>
      <c r="AL713" s="125" t="n"/>
    </row>
    <row r="714" hidden="1" s="241"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125" t="n"/>
      <c r="AI714" s="125" t="n"/>
      <c r="AJ714" s="5" t="n"/>
      <c r="AK714" s="125" t="n"/>
      <c r="AL714" s="125" t="n"/>
    </row>
    <row r="715" hidden="1" s="241"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125" t="n"/>
      <c r="AI715" s="125" t="n"/>
      <c r="AJ715" s="5" t="n"/>
      <c r="AK715" s="125" t="n"/>
      <c r="AL715" s="125" t="n"/>
    </row>
    <row r="716" hidden="1" s="241"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125" t="n"/>
      <c r="AI716" s="125" t="n"/>
      <c r="AJ716" s="5" t="n"/>
      <c r="AK716" s="125" t="n"/>
      <c r="AL716" s="125" t="n"/>
    </row>
    <row r="717" hidden="1" s="241"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125" t="n"/>
      <c r="AI717" s="125" t="n"/>
      <c r="AJ717" s="5" t="n"/>
      <c r="AK717" s="125" t="n"/>
      <c r="AL717" s="125" t="n"/>
    </row>
    <row r="718" hidden="1" s="241"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125" t="n"/>
      <c r="AI718" s="125" t="n"/>
      <c r="AJ718" s="5" t="n"/>
      <c r="AK718" s="125" t="n"/>
      <c r="AL718" s="125" t="n"/>
    </row>
    <row r="719" hidden="1" s="241"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125" t="n"/>
      <c r="AI719" s="125" t="n"/>
      <c r="AJ719" s="5" t="n"/>
      <c r="AK719" s="125" t="n"/>
      <c r="AL719" s="125" t="n"/>
    </row>
    <row r="720" hidden="1" s="241"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125" t="n"/>
      <c r="AI720" s="125" t="n"/>
      <c r="AJ720" s="5" t="n"/>
      <c r="AK720" s="125" t="n"/>
      <c r="AL720" s="125" t="n"/>
    </row>
    <row r="721" hidden="1" s="241"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125" t="n"/>
      <c r="AI721" s="125" t="n"/>
      <c r="AJ721" s="5" t="n"/>
      <c r="AK721" s="125" t="n"/>
      <c r="AL721" s="125" t="n"/>
    </row>
    <row r="722" hidden="1" s="241"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125" t="n"/>
      <c r="AI722" s="125" t="n"/>
      <c r="AJ722" s="5" t="n"/>
      <c r="AK722" s="125" t="n"/>
      <c r="AL722" s="125" t="n"/>
    </row>
    <row r="723" hidden="1" s="241"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125" t="n"/>
      <c r="AI723" s="125" t="n"/>
      <c r="AJ723" s="5" t="n"/>
      <c r="AK723" s="125" t="n"/>
      <c r="AL723" s="125" t="n"/>
    </row>
    <row r="724" hidden="1" s="241"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125" t="n"/>
      <c r="AI724" s="125" t="n"/>
      <c r="AJ724" s="5" t="n"/>
      <c r="AK724" s="125" t="n"/>
      <c r="AL724" s="125" t="n"/>
    </row>
    <row r="725" hidden="1" s="241"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125" t="n"/>
      <c r="AI725" s="125" t="n"/>
      <c r="AJ725" s="5" t="n"/>
      <c r="AK725" s="125" t="n"/>
      <c r="AL725" s="125" t="n"/>
    </row>
    <row r="726" hidden="1" s="241"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125" t="n"/>
      <c r="AI726" s="125" t="n"/>
      <c r="AJ726" s="5" t="n"/>
      <c r="AK726" s="125" t="n"/>
      <c r="AL726" s="125" t="n"/>
    </row>
    <row r="727" hidden="1" s="241"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125" t="n"/>
      <c r="AI727" s="125" t="n"/>
      <c r="AJ727" s="5" t="n"/>
      <c r="AK727" s="125" t="n"/>
      <c r="AL727" s="125" t="n"/>
    </row>
    <row r="728" hidden="1" s="241"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125" t="n"/>
      <c r="AI728" s="125" t="n"/>
      <c r="AJ728" s="5" t="n"/>
      <c r="AK728" s="125" t="n"/>
      <c r="AL728" s="125" t="n"/>
    </row>
    <row r="729" hidden="1" s="241"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125" t="n"/>
      <c r="AI729" s="125" t="n"/>
      <c r="AJ729" s="5" t="n"/>
      <c r="AK729" s="125" t="n"/>
      <c r="AL729" s="125" t="n"/>
    </row>
    <row r="730" hidden="1" s="241"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125" t="n"/>
      <c r="AI730" s="125" t="n"/>
      <c r="AJ730" s="5" t="n"/>
      <c r="AK730" s="125" t="n"/>
      <c r="AL730" s="125" t="n"/>
    </row>
    <row r="731" hidden="1" s="241"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125" t="n"/>
      <c r="AI731" s="125" t="n"/>
      <c r="AJ731" s="5" t="n"/>
      <c r="AK731" s="125" t="n"/>
      <c r="AL731" s="125" t="n"/>
    </row>
    <row r="732" hidden="1" s="241"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125" t="n"/>
      <c r="AI732" s="125" t="n"/>
      <c r="AJ732" s="5" t="n"/>
      <c r="AK732" s="125" t="n"/>
      <c r="AL732" s="125" t="n"/>
    </row>
    <row r="733" hidden="1" s="241"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125" t="n"/>
      <c r="AI733" s="125" t="n"/>
      <c r="AJ733" s="5" t="n"/>
      <c r="AK733" s="125" t="n"/>
      <c r="AL733" s="125" t="n"/>
    </row>
    <row r="734" hidden="1" s="241"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125" t="n"/>
      <c r="AI734" s="125" t="n"/>
      <c r="AJ734" s="5" t="n"/>
      <c r="AK734" s="125" t="n"/>
      <c r="AL734" s="125" t="n"/>
    </row>
    <row r="735" hidden="1" s="241"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125" t="n"/>
      <c r="AI735" s="125" t="n"/>
      <c r="AJ735" s="5" t="n"/>
      <c r="AK735" s="125" t="n"/>
      <c r="AL735" s="125" t="n"/>
    </row>
    <row r="736" hidden="1" s="241"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125" t="n"/>
      <c r="AI736" s="125" t="n"/>
      <c r="AJ736" s="5" t="n"/>
      <c r="AK736" s="125" t="n"/>
      <c r="AL736" s="125" t="n"/>
    </row>
    <row r="737" hidden="1" s="241"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125" t="n"/>
      <c r="AI737" s="125" t="n"/>
      <c r="AJ737" s="5" t="n"/>
      <c r="AK737" s="125" t="n"/>
      <c r="AL737" s="125" t="n"/>
    </row>
    <row r="738" hidden="1" s="241"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125" t="n"/>
      <c r="AI738" s="125" t="n"/>
      <c r="AJ738" s="5" t="n"/>
      <c r="AK738" s="125" t="n"/>
      <c r="AL738" s="125" t="n"/>
    </row>
    <row r="739" hidden="1" s="241"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125" t="n"/>
      <c r="AI739" s="125" t="n"/>
      <c r="AJ739" s="5" t="n"/>
      <c r="AK739" s="125" t="n"/>
      <c r="AL739" s="125" t="n"/>
    </row>
    <row r="740" hidden="1" s="241"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125" t="n"/>
      <c r="AI740" s="125" t="n"/>
      <c r="AJ740" s="5" t="n"/>
      <c r="AK740" s="125" t="n"/>
      <c r="AL740" s="125" t="n"/>
    </row>
    <row r="741" hidden="1" s="241"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125" t="n"/>
      <c r="AI741" s="125" t="n"/>
      <c r="AJ741" s="5" t="n"/>
      <c r="AK741" s="125" t="n"/>
      <c r="AL741" s="125" t="n"/>
    </row>
    <row r="742" hidden="1" s="241"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125" t="n"/>
      <c r="AI742" s="125" t="n"/>
      <c r="AJ742" s="5" t="n"/>
      <c r="AK742" s="125" t="n"/>
      <c r="AL742" s="125" t="n"/>
    </row>
    <row r="743" hidden="1" s="241"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125" t="n"/>
      <c r="AI743" s="125" t="n"/>
      <c r="AJ743" s="5" t="n"/>
      <c r="AK743" s="125" t="n"/>
      <c r="AL743" s="125" t="n"/>
    </row>
    <row r="744" hidden="1" s="241"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125" t="n"/>
      <c r="AI744" s="125" t="n"/>
      <c r="AJ744" s="5" t="n"/>
      <c r="AK744" s="125" t="n"/>
      <c r="AL744" s="125" t="n"/>
    </row>
    <row r="745" hidden="1" s="241"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125" t="n"/>
      <c r="AI745" s="125" t="n"/>
      <c r="AJ745" s="5" t="n"/>
      <c r="AK745" s="125" t="n"/>
      <c r="AL745" s="125" t="n"/>
    </row>
    <row r="746" hidden="1" s="241"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125" t="n"/>
      <c r="AI746" s="125" t="n"/>
      <c r="AJ746" s="5" t="n"/>
      <c r="AK746" s="125" t="n"/>
      <c r="AL746" s="125" t="n"/>
    </row>
    <row r="747" hidden="1" s="241"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125" t="n"/>
      <c r="AI747" s="125" t="n"/>
      <c r="AJ747" s="5" t="n"/>
      <c r="AK747" s="125" t="n"/>
      <c r="AL747" s="125" t="n"/>
    </row>
    <row r="748" hidden="1" s="241"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125" t="n"/>
      <c r="AI748" s="125" t="n"/>
      <c r="AJ748" s="5" t="n"/>
      <c r="AK748" s="125" t="n"/>
      <c r="AL748" s="125" t="n"/>
    </row>
    <row r="749" hidden="1" s="241"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125" t="n"/>
      <c r="AI749" s="125" t="n"/>
      <c r="AJ749" s="5" t="n"/>
      <c r="AK749" s="125" t="n"/>
      <c r="AL749" s="125" t="n"/>
    </row>
    <row r="750" hidden="1" s="241"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125" t="n"/>
      <c r="AI750" s="125" t="n"/>
      <c r="AJ750" s="5" t="n"/>
      <c r="AK750" s="125" t="n"/>
      <c r="AL750" s="125" t="n"/>
    </row>
    <row r="751" hidden="1" s="241"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125" t="n"/>
      <c r="AI751" s="125" t="n"/>
      <c r="AJ751" s="5" t="n"/>
      <c r="AK751" s="125" t="n"/>
      <c r="AL751" s="125" t="n"/>
    </row>
    <row r="752" hidden="1" s="241"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125" t="n"/>
      <c r="AI752" s="125" t="n"/>
      <c r="AJ752" s="5" t="n"/>
      <c r="AK752" s="125" t="n"/>
      <c r="AL752" s="125" t="n"/>
    </row>
    <row r="753" hidden="1" s="241"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125" t="n"/>
      <c r="AI753" s="125" t="n"/>
      <c r="AJ753" s="5" t="n"/>
      <c r="AK753" s="125" t="n"/>
      <c r="AL753" s="125" t="n"/>
    </row>
    <row r="754" hidden="1" s="241"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125" t="n"/>
      <c r="AI754" s="125" t="n"/>
      <c r="AJ754" s="5" t="n"/>
      <c r="AK754" s="125" t="n"/>
      <c r="AL754" s="125" t="n"/>
    </row>
    <row r="755" hidden="1" s="241"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125" t="n"/>
      <c r="AI755" s="125" t="n"/>
      <c r="AJ755" s="5" t="n"/>
      <c r="AK755" s="125" t="n"/>
      <c r="AL755" s="125" t="n"/>
    </row>
    <row r="756" hidden="1" s="241"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125" t="n"/>
      <c r="AI756" s="125" t="n"/>
      <c r="AJ756" s="5" t="n"/>
      <c r="AK756" s="125" t="n"/>
      <c r="AL756" s="125" t="n"/>
    </row>
    <row r="757" hidden="1" s="241"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125" t="n"/>
      <c r="AI757" s="125" t="n"/>
      <c r="AJ757" s="5" t="n"/>
      <c r="AK757" s="125" t="n"/>
      <c r="AL757" s="125" t="n"/>
    </row>
    <row r="758" hidden="1" s="241"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125" t="n"/>
      <c r="AI758" s="125" t="n"/>
      <c r="AJ758" s="5" t="n"/>
      <c r="AK758" s="125" t="n"/>
      <c r="AL758" s="125" t="n"/>
    </row>
    <row r="759" hidden="1" s="241"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125" t="n"/>
      <c r="AI759" s="125" t="n"/>
      <c r="AJ759" s="5" t="n"/>
      <c r="AK759" s="125" t="n"/>
      <c r="AL759" s="125" t="n"/>
    </row>
    <row r="760" hidden="1" s="241"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125" t="n"/>
      <c r="AI760" s="125" t="n"/>
      <c r="AJ760" s="5" t="n"/>
      <c r="AK760" s="125" t="n"/>
      <c r="AL760" s="125" t="n"/>
    </row>
    <row r="761" hidden="1" s="241"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125" t="n"/>
      <c r="AI761" s="125" t="n"/>
      <c r="AJ761" s="5" t="n"/>
      <c r="AK761" s="125" t="n"/>
      <c r="AL761" s="125" t="n"/>
    </row>
    <row r="762" hidden="1" s="241"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125" t="n"/>
      <c r="AI762" s="125" t="n"/>
      <c r="AJ762" s="5" t="n"/>
      <c r="AK762" s="125" t="n"/>
      <c r="AL762" s="125" t="n"/>
    </row>
    <row r="763" hidden="1" s="241"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125" t="n"/>
      <c r="AI763" s="125" t="n"/>
      <c r="AJ763" s="5" t="n"/>
      <c r="AK763" s="125" t="n"/>
      <c r="AL763" s="125" t="n"/>
    </row>
    <row r="764" hidden="1" s="241"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125" t="n"/>
      <c r="AI764" s="125" t="n"/>
      <c r="AJ764" s="5" t="n"/>
      <c r="AK764" s="125" t="n"/>
      <c r="AL764" s="125" t="n"/>
    </row>
    <row r="765" hidden="1" s="241"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125" t="n"/>
      <c r="AI765" s="125" t="n"/>
      <c r="AJ765" s="5" t="n"/>
      <c r="AK765" s="125" t="n"/>
      <c r="AL765" s="125" t="n"/>
    </row>
    <row r="766" hidden="1" s="241"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125" t="n"/>
      <c r="AI766" s="125" t="n"/>
      <c r="AJ766" s="5" t="n"/>
      <c r="AK766" s="125" t="n"/>
      <c r="AL766" s="125" t="n"/>
    </row>
    <row r="767" hidden="1" s="241"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125" t="n"/>
      <c r="AI767" s="125" t="n"/>
      <c r="AJ767" s="5" t="n"/>
      <c r="AK767" s="125" t="n"/>
      <c r="AL767" s="125" t="n"/>
    </row>
    <row r="768" hidden="1" s="241"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125" t="n"/>
      <c r="AI768" s="125" t="n"/>
      <c r="AJ768" s="5" t="n"/>
      <c r="AK768" s="125" t="n"/>
      <c r="AL768" s="125" t="n"/>
    </row>
    <row r="769" hidden="1" s="241"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125" t="n"/>
      <c r="AI769" s="125" t="n"/>
      <c r="AJ769" s="5" t="n"/>
      <c r="AK769" s="125" t="n"/>
      <c r="AL769" s="125" t="n"/>
    </row>
    <row r="770" hidden="1" s="241"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125" t="n"/>
      <c r="AI770" s="125" t="n"/>
      <c r="AJ770" s="5" t="n"/>
      <c r="AK770" s="125" t="n"/>
      <c r="AL770" s="125" t="n"/>
    </row>
    <row r="771" hidden="1" s="241"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125" t="n"/>
      <c r="AI771" s="125" t="n"/>
      <c r="AJ771" s="5" t="n"/>
      <c r="AK771" s="125" t="n"/>
      <c r="AL771" s="125" t="n"/>
    </row>
    <row r="772" hidden="1" s="241"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125" t="n"/>
      <c r="AI772" s="125" t="n"/>
      <c r="AJ772" s="5" t="n"/>
      <c r="AK772" s="125" t="n"/>
      <c r="AL772" s="125" t="n"/>
    </row>
    <row r="773" hidden="1" s="241"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125" t="n"/>
      <c r="AI773" s="125" t="n"/>
      <c r="AJ773" s="5" t="n"/>
      <c r="AK773" s="125" t="n"/>
      <c r="AL773" s="125" t="n"/>
    </row>
    <row r="774" hidden="1" s="241"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125" t="n"/>
      <c r="AI774" s="125" t="n"/>
      <c r="AJ774" s="5" t="n"/>
      <c r="AK774" s="125" t="n"/>
      <c r="AL774" s="125" t="n"/>
    </row>
    <row r="775" hidden="1" s="241"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125" t="n"/>
      <c r="AI775" s="125" t="n"/>
      <c r="AJ775" s="5" t="n"/>
      <c r="AK775" s="125" t="n"/>
      <c r="AL775" s="125" t="n"/>
    </row>
    <row r="776" hidden="1" s="241"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125" t="n"/>
      <c r="AI776" s="125" t="n"/>
      <c r="AJ776" s="5" t="n"/>
      <c r="AK776" s="125" t="n"/>
      <c r="AL776" s="125" t="n"/>
    </row>
    <row r="777" hidden="1" s="241"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125" t="n"/>
      <c r="AI777" s="125" t="n"/>
      <c r="AJ777" s="5" t="n"/>
      <c r="AK777" s="125" t="n"/>
      <c r="AL777" s="125" t="n"/>
    </row>
    <row r="778" hidden="1" s="241"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125" t="n"/>
      <c r="AI778" s="125" t="n"/>
      <c r="AJ778" s="5" t="n"/>
      <c r="AK778" s="125" t="n"/>
      <c r="AL778" s="125" t="n"/>
    </row>
    <row r="779" hidden="1" s="241"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125" t="n"/>
      <c r="AI779" s="125" t="n"/>
      <c r="AJ779" s="5" t="n"/>
      <c r="AK779" s="125" t="n"/>
      <c r="AL779" s="125" t="n"/>
    </row>
    <row r="780" hidden="1" s="241"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125" t="n"/>
      <c r="AI780" s="125" t="n"/>
      <c r="AJ780" s="5" t="n"/>
      <c r="AK780" s="125" t="n"/>
      <c r="AL780" s="125" t="n"/>
    </row>
    <row r="781" hidden="1" s="241"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125" t="n"/>
      <c r="AI781" s="125" t="n"/>
      <c r="AJ781" s="5" t="n"/>
      <c r="AK781" s="125" t="n"/>
      <c r="AL781" s="125" t="n"/>
    </row>
    <row r="782" hidden="1" s="241"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125" t="n"/>
      <c r="AI782" s="125" t="n"/>
      <c r="AJ782" s="5" t="n"/>
      <c r="AK782" s="125" t="n"/>
      <c r="AL782" s="125" t="n"/>
    </row>
    <row r="783" hidden="1" s="241"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125" t="n"/>
      <c r="AI783" s="125" t="n"/>
      <c r="AJ783" s="5" t="n"/>
      <c r="AK783" s="125" t="n"/>
      <c r="AL783" s="125" t="n"/>
    </row>
    <row r="784" hidden="1" s="241"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125" t="n"/>
      <c r="AI784" s="125" t="n"/>
      <c r="AJ784" s="5" t="n"/>
      <c r="AK784" s="125" t="n"/>
      <c r="AL784" s="125" t="n"/>
    </row>
    <row r="785" hidden="1" s="241"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125" t="n"/>
      <c r="AI785" s="125" t="n"/>
      <c r="AJ785" s="5" t="n"/>
      <c r="AK785" s="125" t="n"/>
      <c r="AL785" s="125" t="n"/>
    </row>
    <row r="786" hidden="1" s="241"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125" t="n"/>
      <c r="AI786" s="125" t="n"/>
      <c r="AJ786" s="5" t="n"/>
      <c r="AK786" s="125" t="n"/>
      <c r="AL786" s="125" t="n"/>
    </row>
    <row r="787" hidden="1" s="241"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125" t="n"/>
      <c r="AI787" s="125" t="n"/>
      <c r="AJ787" s="5" t="n"/>
      <c r="AK787" s="125" t="n"/>
      <c r="AL787" s="125" t="n"/>
    </row>
    <row r="788" hidden="1" s="241"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125" t="n"/>
      <c r="AI788" s="125" t="n"/>
      <c r="AJ788" s="5" t="n"/>
      <c r="AK788" s="125" t="n"/>
      <c r="AL788" s="125" t="n"/>
    </row>
    <row r="789" hidden="1" s="241"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125" t="n"/>
      <c r="AI789" s="125" t="n"/>
      <c r="AJ789" s="5" t="n"/>
      <c r="AK789" s="125" t="n"/>
      <c r="AL789" s="125" t="n"/>
    </row>
    <row r="790" hidden="1" s="241"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125" t="n"/>
      <c r="AI790" s="125" t="n"/>
      <c r="AJ790" s="5" t="n"/>
      <c r="AK790" s="125" t="n"/>
      <c r="AL790" s="125" t="n"/>
    </row>
    <row r="791" hidden="1" s="241"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125" t="n"/>
      <c r="AI791" s="125" t="n"/>
      <c r="AJ791" s="5" t="n"/>
      <c r="AK791" s="125" t="n"/>
      <c r="AL791" s="125" t="n"/>
    </row>
    <row r="792" hidden="1" s="241"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125" t="n"/>
      <c r="AI792" s="125" t="n"/>
      <c r="AJ792" s="5" t="n"/>
      <c r="AK792" s="125" t="n"/>
      <c r="AL792" s="125" t="n"/>
    </row>
    <row r="793" hidden="1" s="241"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125" t="n"/>
      <c r="AI793" s="125" t="n"/>
      <c r="AJ793" s="5" t="n"/>
      <c r="AK793" s="125" t="n"/>
      <c r="AL793" s="125" t="n"/>
    </row>
    <row r="794" hidden="1" s="241"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125" t="n"/>
      <c r="AI794" s="125" t="n"/>
      <c r="AJ794" s="5" t="n"/>
      <c r="AK794" s="125" t="n"/>
      <c r="AL794" s="125" t="n"/>
    </row>
    <row r="795" hidden="1" s="241"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125" t="n"/>
      <c r="AI795" s="125" t="n"/>
      <c r="AJ795" s="5" t="n"/>
      <c r="AK795" s="125" t="n"/>
      <c r="AL795" s="125" t="n"/>
    </row>
    <row r="796" hidden="1" s="241"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125" t="n"/>
      <c r="AI796" s="125" t="n"/>
      <c r="AJ796" s="5" t="n"/>
      <c r="AK796" s="125" t="n"/>
      <c r="AL796" s="125" t="n"/>
    </row>
    <row r="797" hidden="1" s="241"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125" t="n"/>
      <c r="AI797" s="125" t="n"/>
      <c r="AJ797" s="5" t="n"/>
      <c r="AK797" s="125" t="n"/>
      <c r="AL797" s="125" t="n"/>
    </row>
    <row r="798" hidden="1" s="241"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125" t="n"/>
      <c r="AI798" s="125" t="n"/>
      <c r="AJ798" s="5" t="n"/>
      <c r="AK798" s="125" t="n"/>
      <c r="AL798" s="125" t="n"/>
    </row>
    <row r="799" hidden="1" s="241"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125" t="n"/>
      <c r="AI799" s="125" t="n"/>
      <c r="AJ799" s="5" t="n"/>
      <c r="AK799" s="125" t="n"/>
      <c r="AL799" s="125" t="n"/>
    </row>
    <row r="800" hidden="1" s="241"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125" t="n"/>
      <c r="AI800" s="125" t="n"/>
      <c r="AJ800" s="5" t="n"/>
      <c r="AK800" s="125" t="n"/>
      <c r="AL800" s="125" t="n"/>
    </row>
    <row r="801" hidden="1" s="241"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125" t="n"/>
      <c r="AI801" s="125" t="n"/>
      <c r="AJ801" s="5" t="n"/>
      <c r="AK801" s="125" t="n"/>
      <c r="AL801" s="125" t="n"/>
    </row>
    <row r="802" hidden="1" s="241"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125" t="n"/>
      <c r="AI802" s="125" t="n"/>
      <c r="AJ802" s="5" t="n"/>
      <c r="AK802" s="125" t="n"/>
      <c r="AL802" s="125" t="n"/>
    </row>
    <row r="803" hidden="1" s="241"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125" t="n"/>
      <c r="AI803" s="125" t="n"/>
      <c r="AJ803" s="5" t="n"/>
      <c r="AK803" s="125" t="n"/>
      <c r="AL803" s="125" t="n"/>
    </row>
    <row r="804" hidden="1" s="241"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125" t="n"/>
      <c r="AI804" s="125" t="n"/>
      <c r="AJ804" s="5" t="n"/>
      <c r="AK804" s="125" t="n"/>
      <c r="AL804" s="125" t="n"/>
    </row>
    <row r="805" hidden="1" s="241"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125" t="n"/>
      <c r="AI805" s="125" t="n"/>
      <c r="AJ805" s="5" t="n"/>
      <c r="AK805" s="125" t="n"/>
      <c r="AL805" s="125" t="n"/>
    </row>
    <row r="806" hidden="1" s="241"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125" t="n"/>
      <c r="AI806" s="125" t="n"/>
      <c r="AJ806" s="5" t="n"/>
      <c r="AK806" s="125" t="n"/>
      <c r="AL806" s="125" t="n"/>
    </row>
    <row r="807" hidden="1" s="241"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125" t="n"/>
      <c r="AI807" s="125" t="n"/>
      <c r="AJ807" s="5" t="n"/>
      <c r="AK807" s="125" t="n"/>
      <c r="AL807" s="125" t="n"/>
    </row>
    <row r="808" hidden="1" s="241"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125" t="n"/>
      <c r="AI808" s="125" t="n"/>
      <c r="AJ808" s="5" t="n"/>
      <c r="AK808" s="125" t="n"/>
      <c r="AL808" s="125" t="n"/>
    </row>
    <row r="809" hidden="1" s="241"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125" t="n"/>
      <c r="AI809" s="125" t="n"/>
      <c r="AJ809" s="5" t="n"/>
      <c r="AK809" s="125" t="n"/>
      <c r="AL809" s="125" t="n"/>
    </row>
    <row r="810" hidden="1" s="241"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125" t="n"/>
      <c r="AI810" s="125" t="n"/>
      <c r="AJ810" s="5" t="n"/>
      <c r="AK810" s="125" t="n"/>
      <c r="AL810" s="125" t="n"/>
    </row>
    <row r="811" hidden="1" s="241"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125" t="n"/>
      <c r="AI811" s="125" t="n"/>
      <c r="AJ811" s="5" t="n"/>
      <c r="AK811" s="125" t="n"/>
      <c r="AL811" s="125" t="n"/>
    </row>
    <row r="812" hidden="1" s="241"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125" t="n"/>
      <c r="AI812" s="125" t="n"/>
      <c r="AJ812" s="5" t="n"/>
      <c r="AK812" s="125" t="n"/>
      <c r="AL812" s="125" t="n"/>
    </row>
    <row r="813" hidden="1" s="241"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125" t="n"/>
      <c r="AI813" s="125" t="n"/>
      <c r="AJ813" s="5" t="n"/>
      <c r="AK813" s="125" t="n"/>
      <c r="AL813" s="125" t="n"/>
    </row>
    <row r="814" hidden="1" s="241"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125" t="n"/>
      <c r="AI814" s="125" t="n"/>
      <c r="AJ814" s="5" t="n"/>
      <c r="AK814" s="125" t="n"/>
      <c r="AL814" s="125" t="n"/>
    </row>
    <row r="815" hidden="1" s="241"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125" t="n"/>
      <c r="AI815" s="125" t="n"/>
      <c r="AJ815" s="5" t="n"/>
      <c r="AK815" s="125" t="n"/>
      <c r="AL815" s="125" t="n"/>
    </row>
    <row r="816" hidden="1" s="241"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125" t="n"/>
      <c r="AI816" s="125" t="n"/>
      <c r="AJ816" s="5" t="n"/>
      <c r="AK816" s="125" t="n"/>
      <c r="AL816" s="125" t="n"/>
    </row>
    <row r="817" hidden="1" s="241"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125" t="n"/>
      <c r="AI817" s="125" t="n"/>
      <c r="AJ817" s="5" t="n"/>
      <c r="AK817" s="125" t="n"/>
      <c r="AL817" s="125" t="n"/>
    </row>
    <row r="818" hidden="1" s="241"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125" t="n"/>
      <c r="AI818" s="125" t="n"/>
      <c r="AJ818" s="5" t="n"/>
      <c r="AK818" s="125" t="n"/>
      <c r="AL818" s="125" t="n"/>
    </row>
    <row r="819" hidden="1" s="241"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125" t="n"/>
      <c r="AI819" s="125" t="n"/>
      <c r="AJ819" s="5" t="n"/>
      <c r="AK819" s="125" t="n"/>
      <c r="AL819" s="125" t="n"/>
    </row>
    <row r="820" hidden="1" s="241"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125" t="n"/>
      <c r="AI820" s="125" t="n"/>
      <c r="AJ820" s="5" t="n"/>
      <c r="AK820" s="125" t="n"/>
      <c r="AL820" s="125" t="n"/>
    </row>
    <row r="821" hidden="1" s="241"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125" t="n"/>
      <c r="AI821" s="125" t="n"/>
      <c r="AJ821" s="5" t="n"/>
      <c r="AK821" s="125" t="n"/>
      <c r="AL821" s="125" t="n"/>
    </row>
    <row r="822" hidden="1" s="241"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125" t="n"/>
      <c r="AI822" s="125" t="n"/>
      <c r="AJ822" s="5" t="n"/>
      <c r="AK822" s="125" t="n"/>
      <c r="AL822" s="125" t="n"/>
    </row>
    <row r="823" hidden="1" s="241"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125" t="n"/>
      <c r="AI823" s="125" t="n"/>
      <c r="AJ823" s="5" t="n"/>
      <c r="AK823" s="125" t="n"/>
      <c r="AL823" s="125" t="n"/>
    </row>
    <row r="824" hidden="1" s="241"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125" t="n"/>
      <c r="AI824" s="125" t="n"/>
      <c r="AJ824" s="5" t="n"/>
      <c r="AK824" s="125" t="n"/>
      <c r="AL824" s="125" t="n"/>
    </row>
    <row r="825" hidden="1" s="241"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125" t="n"/>
      <c r="AI825" s="125" t="n"/>
      <c r="AJ825" s="5" t="n"/>
      <c r="AK825" s="125" t="n"/>
      <c r="AL825" s="125" t="n"/>
    </row>
    <row r="826" hidden="1" s="241"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125" t="n"/>
      <c r="AI826" s="125" t="n"/>
      <c r="AJ826" s="5" t="n"/>
      <c r="AK826" s="125" t="n"/>
      <c r="AL826" s="125" t="n"/>
    </row>
    <row r="827" hidden="1" s="241"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125" t="n"/>
      <c r="AI827" s="125" t="n"/>
      <c r="AJ827" s="5" t="n"/>
      <c r="AK827" s="125" t="n"/>
      <c r="AL827" s="125" t="n"/>
    </row>
    <row r="828" hidden="1" s="241"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125" t="n"/>
      <c r="AI828" s="125" t="n"/>
      <c r="AJ828" s="5" t="n"/>
      <c r="AK828" s="125" t="n"/>
      <c r="AL828" s="125" t="n"/>
    </row>
    <row r="829" hidden="1" s="241"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125" t="n"/>
      <c r="AI829" s="125" t="n"/>
      <c r="AJ829" s="5" t="n"/>
      <c r="AK829" s="125" t="n"/>
      <c r="AL829" s="125" t="n"/>
    </row>
    <row r="830" hidden="1" s="241"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125" t="n"/>
      <c r="AI830" s="125" t="n"/>
      <c r="AJ830" s="5" t="n"/>
      <c r="AK830" s="125" t="n"/>
      <c r="AL830" s="125" t="n"/>
    </row>
    <row r="831" hidden="1" s="241"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125" t="n"/>
      <c r="AI831" s="125" t="n"/>
      <c r="AJ831" s="5" t="n"/>
      <c r="AK831" s="125" t="n"/>
      <c r="AL831" s="125" t="n"/>
    </row>
    <row r="832" hidden="1" s="241"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125" t="n"/>
      <c r="AI832" s="125" t="n"/>
      <c r="AJ832" s="5" t="n"/>
      <c r="AK832" s="125" t="n"/>
      <c r="AL832" s="125" t="n"/>
    </row>
    <row r="833" hidden="1" s="241"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125" t="n"/>
      <c r="AI833" s="125" t="n"/>
      <c r="AJ833" s="5" t="n"/>
      <c r="AK833" s="125" t="n"/>
      <c r="AL833" s="125" t="n"/>
    </row>
    <row r="834" hidden="1" s="241"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125" t="n"/>
      <c r="AI834" s="125" t="n"/>
      <c r="AJ834" s="5" t="n"/>
      <c r="AK834" s="125" t="n"/>
      <c r="AL834" s="125" t="n"/>
    </row>
    <row r="835" hidden="1" s="241"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125" t="n"/>
      <c r="AI835" s="125" t="n"/>
      <c r="AJ835" s="5" t="n"/>
      <c r="AK835" s="125" t="n"/>
      <c r="AL835" s="125" t="n"/>
    </row>
    <row r="836" hidden="1" s="241"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125" t="n"/>
      <c r="AI836" s="125" t="n"/>
      <c r="AJ836" s="5" t="n"/>
      <c r="AK836" s="125" t="n"/>
      <c r="AL836" s="125" t="n"/>
    </row>
    <row r="837" hidden="1" s="241"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125" t="n"/>
      <c r="AI837" s="125" t="n"/>
      <c r="AJ837" s="5" t="n"/>
      <c r="AK837" s="125" t="n"/>
      <c r="AL837" s="125" t="n"/>
    </row>
    <row r="838" hidden="1" s="241"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125" t="n"/>
      <c r="AI838" s="125" t="n"/>
      <c r="AJ838" s="5" t="n"/>
      <c r="AK838" s="125" t="n"/>
      <c r="AL838" s="125" t="n"/>
    </row>
    <row r="839" hidden="1" s="241"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125" t="n"/>
      <c r="AI839" s="125" t="n"/>
      <c r="AJ839" s="5" t="n"/>
      <c r="AK839" s="125" t="n"/>
      <c r="AL839" s="125" t="n"/>
    </row>
    <row r="840" hidden="1" s="241"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125" t="n"/>
      <c r="AI840" s="125" t="n"/>
      <c r="AJ840" s="5" t="n"/>
      <c r="AK840" s="125" t="n"/>
      <c r="AL840" s="125" t="n"/>
    </row>
    <row r="841" hidden="1" s="241"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125" t="n"/>
      <c r="AI841" s="125" t="n"/>
      <c r="AJ841" s="5" t="n"/>
      <c r="AK841" s="125" t="n"/>
      <c r="AL841" s="125" t="n"/>
    </row>
    <row r="842" hidden="1" s="241"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125" t="n"/>
      <c r="AI842" s="125" t="n"/>
      <c r="AJ842" s="5" t="n"/>
      <c r="AK842" s="125" t="n"/>
      <c r="AL842" s="125" t="n"/>
    </row>
    <row r="843" hidden="1" s="241"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125" t="n"/>
      <c r="AI843" s="125" t="n"/>
      <c r="AJ843" s="5" t="n"/>
      <c r="AK843" s="125" t="n"/>
      <c r="AL843" s="125" t="n"/>
    </row>
    <row r="844" hidden="1" s="241"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125" t="n"/>
      <c r="AI844" s="125" t="n"/>
      <c r="AJ844" s="5" t="n"/>
      <c r="AK844" s="125" t="n"/>
      <c r="AL844" s="125" t="n"/>
    </row>
    <row r="845" hidden="1" s="241"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125" t="n"/>
      <c r="AI845" s="125" t="n"/>
      <c r="AJ845" s="5" t="n"/>
      <c r="AK845" s="125" t="n"/>
      <c r="AL845" s="125" t="n"/>
    </row>
    <row r="846" hidden="1" s="241"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125" t="n"/>
      <c r="AI846" s="125" t="n"/>
      <c r="AJ846" s="5" t="n"/>
      <c r="AK846" s="125" t="n"/>
      <c r="AL846" s="125" t="n"/>
    </row>
    <row r="847" hidden="1" s="241"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125" t="n"/>
      <c r="AI847" s="125" t="n"/>
      <c r="AJ847" s="5" t="n"/>
      <c r="AK847" s="125" t="n"/>
      <c r="AL847" s="125" t="n"/>
    </row>
    <row r="848" hidden="1" s="241"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125" t="n"/>
      <c r="AI848" s="125" t="n"/>
      <c r="AJ848" s="5" t="n"/>
      <c r="AK848" s="125" t="n"/>
      <c r="AL848" s="125" t="n"/>
    </row>
    <row r="849" hidden="1" s="241"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125" t="n"/>
      <c r="AI849" s="125" t="n"/>
      <c r="AJ849" s="5" t="n"/>
      <c r="AK849" s="125" t="n"/>
      <c r="AL849" s="125" t="n"/>
    </row>
    <row r="850" hidden="1" s="241"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125" t="n"/>
      <c r="AI850" s="125" t="n"/>
      <c r="AJ850" s="5" t="n"/>
      <c r="AK850" s="125" t="n"/>
      <c r="AL850" s="125" t="n"/>
    </row>
    <row r="851" hidden="1" s="241"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125" t="n"/>
      <c r="AI851" s="125" t="n"/>
      <c r="AJ851" s="5" t="n"/>
      <c r="AK851" s="125" t="n"/>
      <c r="AL851" s="125" t="n"/>
    </row>
    <row r="852" hidden="1" s="241"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125" t="n"/>
      <c r="AI852" s="125" t="n"/>
      <c r="AJ852" s="5" t="n"/>
      <c r="AK852" s="125" t="n"/>
      <c r="AL852" s="125" t="n"/>
    </row>
    <row r="853" hidden="1" s="241"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125" t="n"/>
      <c r="AI853" s="125" t="n"/>
      <c r="AJ853" s="5" t="n"/>
      <c r="AK853" s="125" t="n"/>
      <c r="AL853" s="125" t="n"/>
    </row>
    <row r="854" hidden="1" s="241"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125" t="n"/>
      <c r="AI854" s="125" t="n"/>
      <c r="AJ854" s="5" t="n"/>
      <c r="AK854" s="125" t="n"/>
      <c r="AL854" s="125" t="n"/>
    </row>
    <row r="855" hidden="1" s="241"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125" t="n"/>
      <c r="AI855" s="125" t="n"/>
      <c r="AJ855" s="5" t="n"/>
      <c r="AK855" s="125" t="n"/>
      <c r="AL855" s="125" t="n"/>
    </row>
    <row r="856" hidden="1" s="241"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125" t="n"/>
      <c r="AI856" s="125" t="n"/>
      <c r="AJ856" s="5" t="n"/>
      <c r="AK856" s="125" t="n"/>
      <c r="AL856" s="125" t="n"/>
    </row>
    <row r="857" hidden="1" s="241"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125" t="n"/>
      <c r="AI857" s="125" t="n"/>
      <c r="AJ857" s="5" t="n"/>
      <c r="AK857" s="125" t="n"/>
      <c r="AL857" s="125" t="n"/>
    </row>
    <row r="858" hidden="1" s="241"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125" t="n"/>
      <c r="AI858" s="125" t="n"/>
      <c r="AJ858" s="5" t="n"/>
      <c r="AK858" s="125" t="n"/>
      <c r="AL858" s="125" t="n"/>
    </row>
    <row r="859" hidden="1" s="241"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125" t="n"/>
      <c r="AI859" s="125" t="n"/>
      <c r="AJ859" s="5" t="n"/>
      <c r="AK859" s="125" t="n"/>
      <c r="AL859" s="125" t="n"/>
    </row>
    <row r="860" hidden="1" s="241"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125" t="n"/>
      <c r="AI860" s="125" t="n"/>
      <c r="AJ860" s="5" t="n"/>
      <c r="AK860" s="125" t="n"/>
      <c r="AL860" s="125" t="n"/>
    </row>
    <row r="861" hidden="1" s="241"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125" t="n"/>
      <c r="AI861" s="125" t="n"/>
      <c r="AJ861" s="5" t="n"/>
      <c r="AK861" s="125" t="n"/>
      <c r="AL861" s="125" t="n"/>
    </row>
    <row r="862" hidden="1" s="241"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125" t="n"/>
      <c r="AI862" s="125" t="n"/>
      <c r="AJ862" s="5" t="n"/>
      <c r="AK862" s="125" t="n"/>
      <c r="AL862" s="125" t="n"/>
    </row>
    <row r="863" hidden="1" s="241"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125" t="n"/>
      <c r="AI863" s="125" t="n"/>
      <c r="AJ863" s="5" t="n"/>
      <c r="AK863" s="125" t="n"/>
      <c r="AL863" s="125" t="n"/>
    </row>
    <row r="864" hidden="1" s="241"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125" t="n"/>
      <c r="AI864" s="125" t="n"/>
      <c r="AJ864" s="5" t="n"/>
      <c r="AK864" s="125" t="n"/>
      <c r="AL864" s="125" t="n"/>
    </row>
    <row r="865" hidden="1" s="241"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125" t="n"/>
      <c r="AI865" s="125" t="n"/>
      <c r="AJ865" s="5" t="n"/>
      <c r="AK865" s="125" t="n"/>
      <c r="AL865" s="125" t="n"/>
    </row>
    <row r="866" hidden="1" s="241"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125" t="n"/>
      <c r="AI866" s="125" t="n"/>
      <c r="AJ866" s="5" t="n"/>
      <c r="AK866" s="125" t="n"/>
      <c r="AL866" s="125" t="n"/>
    </row>
    <row r="867" hidden="1" s="241"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125" t="n"/>
      <c r="AI867" s="125" t="n"/>
      <c r="AJ867" s="5" t="n"/>
      <c r="AK867" s="125" t="n"/>
      <c r="AL867" s="125" t="n"/>
    </row>
    <row r="868" hidden="1" s="241"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125" t="n"/>
      <c r="AI868" s="125" t="n"/>
      <c r="AJ868" s="5" t="n"/>
      <c r="AK868" s="125" t="n"/>
      <c r="AL868" s="125" t="n"/>
    </row>
    <row r="869" hidden="1" s="241"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125" t="n"/>
      <c r="AI869" s="125" t="n"/>
      <c r="AJ869" s="5" t="n"/>
      <c r="AK869" s="125" t="n"/>
      <c r="AL869" s="125" t="n"/>
    </row>
    <row r="870" hidden="1" s="241"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125" t="n"/>
      <c r="AI870" s="125" t="n"/>
      <c r="AJ870" s="5" t="n"/>
      <c r="AK870" s="125" t="n"/>
      <c r="AL870" s="125" t="n"/>
    </row>
    <row r="871" hidden="1" s="241"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125" t="n"/>
      <c r="AI871" s="125" t="n"/>
      <c r="AJ871" s="5" t="n"/>
      <c r="AK871" s="125" t="n"/>
      <c r="AL871" s="125" t="n"/>
    </row>
    <row r="872" hidden="1" s="241"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125" t="n"/>
      <c r="AI872" s="125" t="n"/>
      <c r="AJ872" s="5" t="n"/>
      <c r="AK872" s="125" t="n"/>
      <c r="AL872" s="125" t="n"/>
    </row>
    <row r="873" hidden="1" s="241"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125" t="n"/>
      <c r="AI873" s="125" t="n"/>
      <c r="AJ873" s="5" t="n"/>
      <c r="AK873" s="125" t="n"/>
      <c r="AL873" s="125" t="n"/>
    </row>
    <row r="874" hidden="1" s="241"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125" t="n"/>
      <c r="AI874" s="125" t="n"/>
      <c r="AJ874" s="5" t="n"/>
      <c r="AK874" s="125" t="n"/>
      <c r="AL874" s="125" t="n"/>
    </row>
    <row r="875" hidden="1" s="241"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125" t="n"/>
      <c r="AI875" s="125" t="n"/>
      <c r="AJ875" s="5" t="n"/>
      <c r="AK875" s="125" t="n"/>
      <c r="AL875" s="125" t="n"/>
    </row>
    <row r="876" hidden="1" s="241"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125" t="n"/>
      <c r="AI876" s="125" t="n"/>
      <c r="AJ876" s="5" t="n"/>
      <c r="AK876" s="125" t="n"/>
      <c r="AL876" s="125" t="n"/>
    </row>
    <row r="877" hidden="1" s="241"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125" t="n"/>
      <c r="AI877" s="125" t="n"/>
      <c r="AJ877" s="5" t="n"/>
      <c r="AK877" s="125" t="n"/>
      <c r="AL877" s="125" t="n"/>
    </row>
    <row r="878" hidden="1" s="241"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125" t="n"/>
      <c r="AI878" s="125" t="n"/>
      <c r="AJ878" s="5" t="n"/>
      <c r="AK878" s="125" t="n"/>
      <c r="AL878" s="125" t="n"/>
    </row>
    <row r="879" hidden="1" s="241"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125" t="n"/>
      <c r="AI879" s="125" t="n"/>
      <c r="AJ879" s="5" t="n"/>
      <c r="AK879" s="125" t="n"/>
      <c r="AL879" s="125" t="n"/>
    </row>
    <row r="880" hidden="1" s="241"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125" t="n"/>
      <c r="AI880" s="125" t="n"/>
      <c r="AJ880" s="5" t="n"/>
      <c r="AK880" s="125" t="n"/>
      <c r="AL880" s="125" t="n"/>
    </row>
    <row r="881" hidden="1" s="241"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125" t="n"/>
      <c r="AI881" s="125" t="n"/>
      <c r="AJ881" s="5" t="n"/>
      <c r="AK881" s="125" t="n"/>
      <c r="AL881" s="125" t="n"/>
    </row>
    <row r="882" hidden="1" s="241"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125" t="n"/>
      <c r="AI882" s="125" t="n"/>
      <c r="AJ882" s="5" t="n"/>
      <c r="AK882" s="125" t="n"/>
      <c r="AL882" s="125" t="n"/>
    </row>
    <row r="883" hidden="1" s="241"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125" t="n"/>
      <c r="AI883" s="125" t="n"/>
      <c r="AJ883" s="5" t="n"/>
      <c r="AK883" s="125" t="n"/>
      <c r="AL883" s="125" t="n"/>
    </row>
    <row r="884" hidden="1" s="241"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125" t="n"/>
      <c r="AI884" s="125" t="n"/>
      <c r="AJ884" s="5" t="n"/>
      <c r="AK884" s="125" t="n"/>
      <c r="AL884" s="125" t="n"/>
    </row>
    <row r="885" hidden="1" s="241"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125" t="n"/>
      <c r="AI885" s="125" t="n"/>
      <c r="AJ885" s="5" t="n"/>
      <c r="AK885" s="125" t="n"/>
      <c r="AL885" s="125" t="n"/>
    </row>
    <row r="886" hidden="1" s="241"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125" t="n"/>
      <c r="AI886" s="125" t="n"/>
      <c r="AJ886" s="5" t="n"/>
      <c r="AK886" s="125" t="n"/>
      <c r="AL886" s="125" t="n"/>
    </row>
    <row r="887" hidden="1" s="241"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125" t="n"/>
      <c r="AI887" s="125" t="n"/>
      <c r="AJ887" s="5" t="n"/>
      <c r="AK887" s="125" t="n"/>
      <c r="AL887" s="125" t="n"/>
    </row>
    <row r="888" hidden="1" s="241"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125" t="n"/>
      <c r="AI888" s="125" t="n"/>
      <c r="AJ888" s="5" t="n"/>
      <c r="AK888" s="125" t="n"/>
      <c r="AL888" s="125" t="n"/>
    </row>
    <row r="889" hidden="1" s="241"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125" t="n"/>
      <c r="AI889" s="125" t="n"/>
      <c r="AJ889" s="5" t="n"/>
      <c r="AK889" s="125" t="n"/>
      <c r="AL889" s="125" t="n"/>
    </row>
    <row r="890" hidden="1" s="241"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125" t="n"/>
      <c r="AI890" s="125" t="n"/>
      <c r="AJ890" s="5" t="n"/>
      <c r="AK890" s="125" t="n"/>
      <c r="AL890" s="125" t="n"/>
    </row>
    <row r="891" hidden="1" s="241"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125" t="n"/>
      <c r="AI891" s="125" t="n"/>
      <c r="AJ891" s="5" t="n"/>
      <c r="AK891" s="125" t="n"/>
      <c r="AL891" s="125" t="n"/>
    </row>
    <row r="892" hidden="1" s="241"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125" t="n"/>
      <c r="AI892" s="125" t="n"/>
      <c r="AJ892" s="5" t="n"/>
      <c r="AK892" s="125" t="n"/>
      <c r="AL892" s="125" t="n"/>
    </row>
    <row r="893" hidden="1" s="241"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125" t="n"/>
      <c r="AI893" s="125" t="n"/>
      <c r="AJ893" s="5" t="n"/>
      <c r="AK893" s="125" t="n"/>
      <c r="AL893" s="125" t="n"/>
    </row>
    <row r="894" hidden="1" s="241"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125" t="n"/>
      <c r="AI894" s="125" t="n"/>
      <c r="AJ894" s="5" t="n"/>
      <c r="AK894" s="125" t="n"/>
      <c r="AL894" s="125" t="n"/>
    </row>
    <row r="895" hidden="1" s="241"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125" t="n"/>
      <c r="AI895" s="125" t="n"/>
      <c r="AJ895" s="5" t="n"/>
      <c r="AK895" s="125" t="n"/>
      <c r="AL895" s="125" t="n"/>
    </row>
    <row r="896" hidden="1" s="241"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125" t="n"/>
      <c r="AI896" s="125" t="n"/>
      <c r="AJ896" s="5" t="n"/>
      <c r="AK896" s="125" t="n"/>
      <c r="AL896" s="125" t="n"/>
    </row>
    <row r="897" hidden="1" s="241"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125" t="n"/>
      <c r="AI897" s="125" t="n"/>
      <c r="AJ897" s="5" t="n"/>
      <c r="AK897" s="125" t="n"/>
      <c r="AL897" s="125" t="n"/>
    </row>
    <row r="898" hidden="1" s="241"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125" t="n"/>
      <c r="AI898" s="125" t="n"/>
      <c r="AJ898" s="5" t="n"/>
      <c r="AK898" s="125" t="n"/>
      <c r="AL898" s="125" t="n"/>
    </row>
    <row r="899" hidden="1" s="241"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125" t="n"/>
      <c r="AI899" s="125" t="n"/>
      <c r="AJ899" s="5" t="n"/>
      <c r="AK899" s="125" t="n"/>
      <c r="AL899" s="125" t="n"/>
    </row>
    <row r="900" hidden="1" s="241"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125" t="n"/>
      <c r="AI900" s="125" t="n"/>
      <c r="AJ900" s="5" t="n"/>
      <c r="AK900" s="125" t="n"/>
      <c r="AL900" s="125" t="n"/>
    </row>
    <row r="901" hidden="1" s="241"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125" t="n"/>
      <c r="AI901" s="125" t="n"/>
      <c r="AJ901" s="5" t="n"/>
      <c r="AK901" s="125" t="n"/>
      <c r="AL901" s="125" t="n"/>
    </row>
    <row r="902" hidden="1" s="241"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125" t="n"/>
      <c r="AI902" s="125" t="n"/>
      <c r="AJ902" s="5" t="n"/>
      <c r="AK902" s="125" t="n"/>
      <c r="AL902" s="125" t="n"/>
    </row>
    <row r="903" hidden="1" s="241"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125" t="n"/>
      <c r="AI903" s="125" t="n"/>
      <c r="AJ903" s="5" t="n"/>
      <c r="AK903" s="125" t="n"/>
      <c r="AL903" s="125" t="n"/>
    </row>
    <row r="904" hidden="1" s="241"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125" t="n"/>
      <c r="AI904" s="125" t="n"/>
      <c r="AJ904" s="5" t="n"/>
      <c r="AK904" s="125" t="n"/>
      <c r="AL904" s="125" t="n"/>
    </row>
    <row r="905" hidden="1" s="241"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125" t="n"/>
      <c r="AI905" s="125" t="n"/>
      <c r="AJ905" s="5" t="n"/>
      <c r="AK905" s="125" t="n"/>
      <c r="AL905" s="125" t="n"/>
    </row>
    <row r="906" hidden="1" s="241"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125" t="n"/>
      <c r="AI906" s="125" t="n"/>
      <c r="AJ906" s="5" t="n"/>
      <c r="AK906" s="125" t="n"/>
      <c r="AL906" s="125" t="n"/>
    </row>
    <row r="907" hidden="1" s="241"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125" t="n"/>
      <c r="AI907" s="125" t="n"/>
      <c r="AJ907" s="5" t="n"/>
      <c r="AK907" s="125" t="n"/>
      <c r="AL907" s="125" t="n"/>
    </row>
    <row r="908" hidden="1" s="241"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125" t="n"/>
      <c r="AI908" s="125" t="n"/>
      <c r="AJ908" s="5" t="n"/>
      <c r="AK908" s="125" t="n"/>
      <c r="AL908" s="125" t="n"/>
    </row>
    <row r="909" hidden="1" s="241"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125" t="n"/>
      <c r="AI909" s="125" t="n"/>
      <c r="AJ909" s="5" t="n"/>
      <c r="AK909" s="125" t="n"/>
      <c r="AL909" s="125" t="n"/>
    </row>
    <row r="910" hidden="1" s="241"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125" t="n"/>
      <c r="AI910" s="125" t="n"/>
      <c r="AJ910" s="5" t="n"/>
      <c r="AK910" s="125" t="n"/>
      <c r="AL910" s="125" t="n"/>
    </row>
    <row r="911" hidden="1" s="241"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125" t="n"/>
      <c r="AI911" s="125" t="n"/>
      <c r="AJ911" s="5" t="n"/>
      <c r="AK911" s="125" t="n"/>
      <c r="AL911" s="125" t="n"/>
    </row>
    <row r="912" hidden="1" s="241"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125" t="n"/>
      <c r="AI912" s="125" t="n"/>
      <c r="AJ912" s="5" t="n"/>
      <c r="AK912" s="125" t="n"/>
      <c r="AL912" s="125" t="n"/>
    </row>
    <row r="913" hidden="1" s="241"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125" t="n"/>
      <c r="AI913" s="125" t="n"/>
      <c r="AJ913" s="5" t="n"/>
      <c r="AK913" s="125" t="n"/>
      <c r="AL913" s="125" t="n"/>
    </row>
    <row r="914" hidden="1" s="241"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125" t="n"/>
      <c r="AI914" s="125" t="n"/>
      <c r="AJ914" s="5" t="n"/>
      <c r="AK914" s="125" t="n"/>
      <c r="AL914" s="125" t="n"/>
    </row>
    <row r="915" hidden="1" s="241"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125" t="n"/>
      <c r="AI915" s="125" t="n"/>
      <c r="AJ915" s="5" t="n"/>
      <c r="AK915" s="125" t="n"/>
      <c r="AL915" s="125" t="n"/>
    </row>
    <row r="916" hidden="1" s="241"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125" t="n"/>
      <c r="AI916" s="125" t="n"/>
      <c r="AJ916" s="5" t="n"/>
      <c r="AK916" s="125" t="n"/>
      <c r="AL916" s="125" t="n"/>
    </row>
    <row r="917" hidden="1" s="241"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125" t="n"/>
      <c r="AI917" s="125" t="n"/>
      <c r="AJ917" s="5" t="n"/>
      <c r="AK917" s="125" t="n"/>
      <c r="AL917" s="125" t="n"/>
    </row>
    <row r="918" hidden="1" s="241"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125" t="n"/>
      <c r="AI918" s="125" t="n"/>
      <c r="AJ918" s="5" t="n"/>
      <c r="AK918" s="125" t="n"/>
      <c r="AL918" s="125" t="n"/>
    </row>
    <row r="919" hidden="1" s="241"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125" t="n"/>
      <c r="AI919" s="125" t="n"/>
      <c r="AJ919" s="5" t="n"/>
      <c r="AK919" s="125" t="n"/>
      <c r="AL919" s="125" t="n"/>
    </row>
    <row r="920" hidden="1" s="241"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125" t="n"/>
      <c r="AI920" s="125" t="n"/>
      <c r="AJ920" s="5" t="n"/>
      <c r="AK920" s="125" t="n"/>
      <c r="AL920" s="125" t="n"/>
    </row>
    <row r="921" hidden="1" s="241"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125" t="n"/>
      <c r="AI921" s="125" t="n"/>
      <c r="AJ921" s="5" t="n"/>
      <c r="AK921" s="125" t="n"/>
      <c r="AL921" s="125" t="n"/>
    </row>
    <row r="922" hidden="1" s="241"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125" t="n"/>
      <c r="AI922" s="125" t="n"/>
      <c r="AJ922" s="5" t="n"/>
      <c r="AK922" s="125" t="n"/>
      <c r="AL922" s="125" t="n"/>
    </row>
    <row r="923" hidden="1" s="241"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125" t="n"/>
      <c r="AI923" s="125" t="n"/>
      <c r="AJ923" s="5" t="n"/>
      <c r="AK923" s="125" t="n"/>
      <c r="AL923" s="125" t="n"/>
    </row>
    <row r="924" hidden="1" s="241"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125" t="n"/>
      <c r="AI924" s="125" t="n"/>
      <c r="AJ924" s="5" t="n"/>
      <c r="AK924" s="125" t="n"/>
      <c r="AL924" s="125" t="n"/>
    </row>
    <row r="925" hidden="1" s="241"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125" t="n"/>
      <c r="AI925" s="125" t="n"/>
      <c r="AJ925" s="5" t="n"/>
      <c r="AK925" s="125" t="n"/>
      <c r="AL925" s="125" t="n"/>
    </row>
    <row r="926" hidden="1" s="241"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125" t="n"/>
      <c r="AI926" s="125" t="n"/>
      <c r="AJ926" s="5" t="n"/>
      <c r="AK926" s="125" t="n"/>
      <c r="AL926" s="125" t="n"/>
    </row>
    <row r="927" hidden="1" s="241"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125" t="n"/>
      <c r="AI927" s="125" t="n"/>
      <c r="AJ927" s="5" t="n"/>
      <c r="AK927" s="125" t="n"/>
      <c r="AL927" s="125" t="n"/>
    </row>
    <row r="928" hidden="1" s="241"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125" t="n"/>
      <c r="AI928" s="125" t="n"/>
      <c r="AJ928" s="5" t="n"/>
      <c r="AK928" s="125" t="n"/>
      <c r="AL928" s="125" t="n"/>
    </row>
    <row r="929" hidden="1" s="241"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125" t="n"/>
      <c r="AI929" s="125" t="n"/>
      <c r="AJ929" s="5" t="n"/>
      <c r="AK929" s="125" t="n"/>
      <c r="AL929" s="125" t="n"/>
    </row>
    <row r="930" hidden="1" s="241"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125" t="n"/>
      <c r="AI930" s="125" t="n"/>
      <c r="AJ930" s="5" t="n"/>
      <c r="AK930" s="125" t="n"/>
      <c r="AL930" s="125" t="n"/>
    </row>
    <row r="931" hidden="1" s="241"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125" t="n"/>
      <c r="AI931" s="125" t="n"/>
      <c r="AJ931" s="5" t="n"/>
      <c r="AK931" s="125" t="n"/>
      <c r="AL931" s="125" t="n"/>
    </row>
    <row r="932" hidden="1" s="241"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125" t="n"/>
      <c r="AI932" s="125" t="n"/>
      <c r="AJ932" s="5" t="n"/>
      <c r="AK932" s="125" t="n"/>
      <c r="AL932" s="125" t="n"/>
    </row>
    <row r="933" hidden="1" s="241"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125" t="n"/>
      <c r="AI933" s="125" t="n"/>
      <c r="AJ933" s="5" t="n"/>
      <c r="AK933" s="125" t="n"/>
      <c r="AL933" s="125" t="n"/>
    </row>
    <row r="934" hidden="1" s="241"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125" t="n"/>
      <c r="AI934" s="125" t="n"/>
      <c r="AJ934" s="5" t="n"/>
      <c r="AK934" s="125" t="n"/>
      <c r="AL934" s="125" t="n"/>
    </row>
    <row r="935" hidden="1" s="241"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125" t="n"/>
      <c r="AI935" s="125" t="n"/>
      <c r="AJ935" s="5" t="n"/>
      <c r="AK935" s="125" t="n"/>
      <c r="AL935" s="125" t="n"/>
    </row>
    <row r="936" hidden="1" s="241"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125" t="n"/>
      <c r="AI936" s="125" t="n"/>
      <c r="AJ936" s="5" t="n"/>
      <c r="AK936" s="125" t="n"/>
      <c r="AL936" s="125" t="n"/>
    </row>
    <row r="937" hidden="1" s="241"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125" t="n"/>
      <c r="AI937" s="125" t="n"/>
      <c r="AJ937" s="5" t="n"/>
      <c r="AK937" s="125" t="n"/>
      <c r="AL937" s="125" t="n"/>
    </row>
    <row r="938" hidden="1" s="241"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125" t="n"/>
      <c r="AI938" s="125" t="n"/>
      <c r="AJ938" s="5" t="n"/>
      <c r="AK938" s="125" t="n"/>
      <c r="AL938" s="125" t="n"/>
    </row>
    <row r="939" hidden="1" s="241"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125" t="n"/>
      <c r="AI939" s="125" t="n"/>
      <c r="AJ939" s="5" t="n"/>
      <c r="AK939" s="125" t="n"/>
      <c r="AL939" s="125" t="n"/>
    </row>
    <row r="940" hidden="1" s="241"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125" t="n"/>
      <c r="AI940" s="125" t="n"/>
      <c r="AJ940" s="5" t="n"/>
      <c r="AK940" s="125" t="n"/>
      <c r="AL940" s="125" t="n"/>
    </row>
    <row r="941" hidden="1" s="241"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125" t="n"/>
      <c r="AI941" s="125" t="n"/>
      <c r="AJ941" s="5" t="n"/>
      <c r="AK941" s="125" t="n"/>
      <c r="AL941" s="125" t="n"/>
    </row>
    <row r="942" hidden="1" s="241"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125" t="n"/>
      <c r="AI942" s="125" t="n"/>
      <c r="AJ942" s="5" t="n"/>
      <c r="AK942" s="125" t="n"/>
      <c r="AL942" s="125" t="n"/>
    </row>
    <row r="943" hidden="1" s="241"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125" t="n"/>
      <c r="AI943" s="125" t="n"/>
      <c r="AJ943" s="5" t="n"/>
      <c r="AK943" s="125" t="n"/>
      <c r="AL943" s="125" t="n"/>
    </row>
    <row r="944" hidden="1" s="241"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125" t="n"/>
      <c r="AI944" s="125" t="n"/>
      <c r="AJ944" s="5" t="n"/>
      <c r="AK944" s="125" t="n"/>
      <c r="AL944" s="125" t="n"/>
    </row>
    <row r="945" hidden="1" s="241"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125" t="n"/>
      <c r="AI945" s="125" t="n"/>
      <c r="AJ945" s="5" t="n"/>
      <c r="AK945" s="125" t="n"/>
      <c r="AL945" s="125" t="n"/>
    </row>
    <row r="946" hidden="1" s="241"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125" t="n"/>
      <c r="AI946" s="125" t="n"/>
      <c r="AJ946" s="5" t="n"/>
      <c r="AK946" s="125" t="n"/>
      <c r="AL946" s="125" t="n"/>
    </row>
    <row r="947" hidden="1" s="241"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125" t="n"/>
      <c r="AI947" s="125" t="n"/>
      <c r="AJ947" s="5" t="n"/>
      <c r="AK947" s="125" t="n"/>
      <c r="AL947" s="125" t="n"/>
    </row>
    <row r="948" hidden="1" s="241"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125" t="n"/>
      <c r="AI948" s="125" t="n"/>
      <c r="AJ948" s="5" t="n"/>
      <c r="AK948" s="125" t="n"/>
      <c r="AL948" s="125" t="n"/>
    </row>
    <row r="949" hidden="1" s="241"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125" t="n"/>
      <c r="AI949" s="125" t="n"/>
      <c r="AJ949" s="5" t="n"/>
      <c r="AK949" s="125" t="n"/>
      <c r="AL949" s="125" t="n"/>
    </row>
    <row r="950" hidden="1" s="241"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125" t="n"/>
      <c r="AI950" s="125" t="n"/>
      <c r="AJ950" s="5" t="n"/>
      <c r="AK950" s="125" t="n"/>
      <c r="AL950" s="125" t="n"/>
    </row>
    <row r="951" hidden="1" s="241"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125" t="n"/>
      <c r="AI951" s="125" t="n"/>
      <c r="AJ951" s="5" t="n"/>
      <c r="AK951" s="125" t="n"/>
      <c r="AL951" s="125" t="n"/>
    </row>
    <row r="952" hidden="1" s="241"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125" t="n"/>
      <c r="AI952" s="125" t="n"/>
      <c r="AJ952" s="5" t="n"/>
      <c r="AK952" s="125" t="n"/>
      <c r="AL952" s="125" t="n"/>
    </row>
    <row r="953" hidden="1" s="241"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125" t="n"/>
      <c r="AI953" s="125" t="n"/>
      <c r="AJ953" s="5" t="n"/>
      <c r="AK953" s="125" t="n"/>
      <c r="AL953" s="125" t="n"/>
    </row>
    <row r="954" hidden="1" s="241"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125" t="n"/>
      <c r="AI954" s="125" t="n"/>
      <c r="AJ954" s="5" t="n"/>
      <c r="AK954" s="125" t="n"/>
      <c r="AL954" s="125" t="n"/>
    </row>
    <row r="955" hidden="1" s="241"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125" t="n"/>
      <c r="AI955" s="125" t="n"/>
      <c r="AJ955" s="5" t="n"/>
      <c r="AK955" s="125" t="n"/>
      <c r="AL955" s="125" t="n"/>
    </row>
    <row r="956" hidden="1" s="241"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125" t="n"/>
      <c r="AI956" s="125" t="n"/>
      <c r="AJ956" s="5" t="n"/>
      <c r="AK956" s="125" t="n"/>
      <c r="AL956" s="125" t="n"/>
    </row>
    <row r="957" hidden="1" s="241"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125" t="n"/>
      <c r="AI957" s="125" t="n"/>
      <c r="AJ957" s="5" t="n"/>
      <c r="AK957" s="125" t="n"/>
      <c r="AL957" s="125" t="n"/>
    </row>
    <row r="958" hidden="1" s="241"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125" t="n"/>
      <c r="AI958" s="125" t="n"/>
      <c r="AJ958" s="5" t="n"/>
      <c r="AK958" s="125" t="n"/>
      <c r="AL958" s="125" t="n"/>
    </row>
    <row r="959" hidden="1" s="241"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125" t="n"/>
      <c r="AI959" s="125" t="n"/>
      <c r="AJ959" s="5" t="n"/>
      <c r="AK959" s="125" t="n"/>
      <c r="AL959" s="125" t="n"/>
    </row>
    <row r="960" hidden="1" s="241"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125" t="n"/>
      <c r="AI960" s="125" t="n"/>
      <c r="AJ960" s="5" t="n"/>
      <c r="AK960" s="125" t="n"/>
      <c r="AL960" s="125" t="n"/>
    </row>
    <row r="961" hidden="1" s="241"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125" t="n"/>
      <c r="AI961" s="125" t="n"/>
      <c r="AJ961" s="5" t="n"/>
      <c r="AK961" s="125" t="n"/>
      <c r="AL961" s="125" t="n"/>
    </row>
    <row r="962" hidden="1" s="241"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125" t="n"/>
      <c r="AI962" s="125" t="n"/>
      <c r="AJ962" s="5" t="n"/>
      <c r="AK962" s="125" t="n"/>
      <c r="AL962" s="125" t="n"/>
    </row>
    <row r="963" hidden="1" s="241"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125" t="n"/>
      <c r="AI963" s="125" t="n"/>
      <c r="AJ963" s="5" t="n"/>
      <c r="AK963" s="125" t="n"/>
      <c r="AL963" s="125" t="n"/>
    </row>
    <row r="964" hidden="1" s="241"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125" t="n"/>
      <c r="AI964" s="125" t="n"/>
      <c r="AJ964" s="5" t="n"/>
      <c r="AK964" s="125" t="n"/>
      <c r="AL964" s="125" t="n"/>
    </row>
    <row r="965" hidden="1" s="241"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125" t="n"/>
      <c r="AI965" s="125" t="n"/>
      <c r="AJ965" s="5" t="n"/>
      <c r="AK965" s="125" t="n"/>
      <c r="AL965" s="125" t="n"/>
    </row>
    <row r="966" hidden="1" s="241"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125" t="n"/>
      <c r="AI966" s="125" t="n"/>
      <c r="AJ966" s="5" t="n"/>
      <c r="AK966" s="125" t="n"/>
      <c r="AL966" s="125" t="n"/>
    </row>
    <row r="967" hidden="1" s="241"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125" t="n"/>
      <c r="AI967" s="125" t="n"/>
      <c r="AJ967" s="5" t="n"/>
      <c r="AK967" s="125" t="n"/>
      <c r="AL967" s="125" t="n"/>
    </row>
    <row r="968" hidden="1" s="241"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125" t="n"/>
      <c r="AI968" s="125" t="n"/>
      <c r="AJ968" s="5" t="n"/>
      <c r="AK968" s="125" t="n"/>
      <c r="AL968" s="125" t="n"/>
    </row>
    <row r="969" hidden="1" s="241"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125" t="n"/>
      <c r="AI969" s="125" t="n"/>
      <c r="AJ969" s="5" t="n"/>
      <c r="AK969" s="125" t="n"/>
      <c r="AL969" s="125" t="n"/>
    </row>
    <row r="970" hidden="1" s="241"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125" t="n"/>
      <c r="AI970" s="125" t="n"/>
      <c r="AJ970" s="5" t="n"/>
      <c r="AK970" s="125" t="n"/>
      <c r="AL970" s="125" t="n"/>
    </row>
    <row r="971" hidden="1" s="241"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125" t="n"/>
      <c r="AI971" s="125" t="n"/>
      <c r="AJ971" s="5" t="n"/>
      <c r="AK971" s="125" t="n"/>
      <c r="AL971" s="125" t="n"/>
    </row>
    <row r="972" hidden="1" s="241"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125" t="n"/>
      <c r="AI972" s="125" t="n"/>
      <c r="AJ972" s="5" t="n"/>
      <c r="AK972" s="125" t="n"/>
      <c r="AL972" s="125" t="n"/>
    </row>
    <row r="973" hidden="1" s="241"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125" t="n"/>
      <c r="AI973" s="125" t="n"/>
      <c r="AJ973" s="5" t="n"/>
      <c r="AK973" s="125" t="n"/>
      <c r="AL973" s="125" t="n"/>
    </row>
    <row r="974" hidden="1" s="241"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125" t="n"/>
      <c r="AI974" s="125" t="n"/>
      <c r="AJ974" s="5" t="n"/>
      <c r="AK974" s="125" t="n"/>
      <c r="AL974" s="125" t="n"/>
    </row>
    <row r="975" hidden="1" s="241"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125" t="n"/>
      <c r="AI975" s="125" t="n"/>
      <c r="AJ975" s="5" t="n"/>
      <c r="AK975" s="125" t="n"/>
      <c r="AL975" s="125" t="n"/>
    </row>
    <row r="976" hidden="1" s="241"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125" t="n"/>
      <c r="AI976" s="125" t="n"/>
      <c r="AJ976" s="5" t="n"/>
      <c r="AK976" s="125" t="n"/>
      <c r="AL976" s="125" t="n"/>
    </row>
    <row r="977" hidden="1" s="241"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125" t="n"/>
      <c r="AI977" s="125" t="n"/>
      <c r="AJ977" s="5" t="n"/>
      <c r="AK977" s="125" t="n"/>
      <c r="AL977" s="125" t="n"/>
    </row>
    <row r="978" hidden="1" s="241"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125" t="n"/>
      <c r="AI978" s="125" t="n"/>
      <c r="AJ978" s="5" t="n"/>
      <c r="AK978" s="125" t="n"/>
      <c r="AL978" s="125" t="n"/>
    </row>
    <row r="979" hidden="1" s="241"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125" t="n"/>
      <c r="AI979" s="125" t="n"/>
      <c r="AJ979" s="5" t="n"/>
      <c r="AK979" s="125" t="n"/>
      <c r="AL979" s="125" t="n"/>
    </row>
    <row r="980" hidden="1" s="241"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125" t="n"/>
      <c r="AI980" s="125" t="n"/>
      <c r="AJ980" s="5" t="n"/>
      <c r="AK980" s="125" t="n"/>
      <c r="AL980" s="125" t="n"/>
    </row>
    <row r="981" hidden="1" s="241"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125" t="n"/>
      <c r="AI981" s="125" t="n"/>
      <c r="AJ981" s="5" t="n"/>
      <c r="AK981" s="125" t="n"/>
      <c r="AL981" s="125" t="n"/>
    </row>
    <row r="982" hidden="1" s="241"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125" t="n"/>
      <c r="AI982" s="125" t="n"/>
      <c r="AJ982" s="5" t="n"/>
      <c r="AK982" s="125" t="n"/>
      <c r="AL982" s="125" t="n"/>
    </row>
    <row r="983" hidden="1" s="241"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125" t="n"/>
      <c r="AI983" s="125" t="n"/>
      <c r="AJ983" s="5" t="n"/>
      <c r="AK983" s="125" t="n"/>
      <c r="AL983" s="125" t="n"/>
    </row>
    <row r="984" hidden="1" s="241"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125" t="n"/>
      <c r="AI984" s="125" t="n"/>
      <c r="AJ984" s="5" t="n"/>
      <c r="AK984" s="125" t="n"/>
      <c r="AL984" s="125" t="n"/>
    </row>
    <row r="985" hidden="1" s="241"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125" t="n"/>
      <c r="AI985" s="125" t="n"/>
      <c r="AJ985" s="5" t="n"/>
      <c r="AK985" s="125" t="n"/>
      <c r="AL985" s="125" t="n"/>
    </row>
    <row r="986" hidden="1" s="241"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125" t="n"/>
      <c r="AI986" s="125" t="n"/>
      <c r="AJ986" s="5" t="n"/>
      <c r="AK986" s="125" t="n"/>
      <c r="AL986" s="125" t="n"/>
    </row>
    <row r="987" hidden="1" s="241"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125" t="n"/>
      <c r="AI987" s="125" t="n"/>
      <c r="AJ987" s="5" t="n"/>
      <c r="AK987" s="125" t="n"/>
      <c r="AL987" s="125" t="n"/>
    </row>
    <row r="988" hidden="1" s="241"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125" t="n"/>
      <c r="AI988" s="125" t="n"/>
      <c r="AJ988" s="5" t="n"/>
      <c r="AK988" s="125" t="n"/>
      <c r="AL988" s="125" t="n"/>
    </row>
    <row r="989" hidden="1" s="241"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125" t="n"/>
      <c r="AI989" s="125" t="n"/>
      <c r="AJ989" s="5" t="n"/>
      <c r="AK989" s="125" t="n"/>
      <c r="AL989" s="125" t="n"/>
    </row>
    <row r="990" hidden="1" s="241"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125" t="n"/>
      <c r="AI990" s="125" t="n"/>
      <c r="AJ990" s="5" t="n"/>
      <c r="AK990" s="125" t="n"/>
      <c r="AL990" s="125" t="n"/>
    </row>
    <row r="991" hidden="1" s="241"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125" t="n"/>
      <c r="AI991" s="125" t="n"/>
      <c r="AJ991" s="5" t="n"/>
      <c r="AK991" s="125" t="n"/>
      <c r="AL991" s="125" t="n"/>
    </row>
    <row r="992" hidden="1" s="241"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125" t="n"/>
      <c r="AI992" s="125" t="n"/>
      <c r="AJ992" s="5" t="n"/>
      <c r="AK992" s="125" t="n"/>
      <c r="AL992" s="125" t="n"/>
    </row>
    <row r="993" hidden="1" s="241"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125" t="n"/>
      <c r="AI993" s="125" t="n"/>
      <c r="AJ993" s="5" t="n"/>
      <c r="AK993" s="125" t="n"/>
      <c r="AL993" s="125" t="n"/>
    </row>
    <row r="994" hidden="1" s="241"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125" t="n"/>
      <c r="AI994" s="125" t="n"/>
      <c r="AJ994" s="5" t="n"/>
      <c r="AK994" s="125" t="n"/>
      <c r="AL994" s="125" t="n"/>
    </row>
    <row r="995" hidden="1" s="241"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125" t="n"/>
      <c r="AI995" s="125" t="n"/>
      <c r="AJ995" s="5" t="n"/>
      <c r="AK995" s="125" t="n"/>
      <c r="AL995" s="125" t="n"/>
    </row>
    <row r="996" hidden="1" s="241"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125" t="n"/>
      <c r="AI996" s="125" t="n"/>
      <c r="AJ996" s="5" t="n"/>
      <c r="AK996" s="125" t="n"/>
      <c r="AL996" s="125" t="n"/>
    </row>
    <row r="997" hidden="1" s="241"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125" t="n"/>
      <c r="AI997" s="125" t="n"/>
      <c r="AJ997" s="5" t="n"/>
      <c r="AK997" s="125" t="n"/>
      <c r="AL997" s="125" t="n"/>
    </row>
    <row r="998" hidden="1" s="241"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125" t="n"/>
      <c r="AI998" s="125" t="n"/>
      <c r="AJ998" s="5" t="n"/>
      <c r="AK998" s="125" t="n"/>
      <c r="AL998" s="125" t="n"/>
    </row>
    <row r="999" hidden="1" s="241"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125" t="n"/>
      <c r="AI999" s="125" t="n"/>
      <c r="AJ999" s="5" t="n"/>
      <c r="AK999" s="125" t="n"/>
      <c r="AL999" s="125" t="n"/>
    </row>
    <row r="1000" hidden="1" s="241"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125" t="n"/>
      <c r="AI1000" s="125" t="n"/>
      <c r="AJ1000" s="5" t="n"/>
      <c r="AK1000" s="125" t="n"/>
      <c r="AL1000" s="125" t="n"/>
    </row>
    <row r="1001" hidden="1" s="241"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125" t="n"/>
      <c r="AI1001" s="125" t="n"/>
      <c r="AJ1001" s="5" t="n"/>
      <c r="AK1001" s="125" t="n"/>
      <c r="AL1001" s="125" t="n"/>
    </row>
    <row r="1002" hidden="1" s="241"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125" t="n"/>
      <c r="AI1002" s="125" t="n"/>
      <c r="AJ1002" s="5" t="n"/>
      <c r="AK1002" s="125" t="n"/>
      <c r="AL1002" s="125" t="n"/>
    </row>
    <row r="1003" hidden="1" s="241"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125" t="n"/>
      <c r="AI1003" s="125" t="n"/>
      <c r="AJ1003" s="5" t="n"/>
      <c r="AK1003" s="125" t="n"/>
      <c r="AL1003" s="125" t="n"/>
    </row>
    <row r="1004" hidden="1" s="241"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125" t="n"/>
      <c r="AI1004" s="125" t="n"/>
      <c r="AJ1004" s="5" t="n"/>
      <c r="AK1004" s="125" t="n"/>
      <c r="AL1004" s="125" t="n"/>
    </row>
    <row r="1005" hidden="1" s="241"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  <c r="AD1005" s="5" t="n"/>
      <c r="AE1005" s="5" t="n"/>
      <c r="AF1005" s="5" t="n"/>
      <c r="AG1005" s="5" t="n"/>
      <c r="AH1005" s="125" t="n"/>
      <c r="AI1005" s="125" t="n"/>
      <c r="AJ1005" s="5" t="n"/>
      <c r="AK1005" s="125" t="n"/>
      <c r="AL1005" s="125" t="n"/>
    </row>
    <row r="1006" hidden="1" s="241"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125" t="n"/>
      <c r="AI1006" s="125" t="n"/>
      <c r="AJ1006" s="5" t="n"/>
      <c r="AK1006" s="125" t="n"/>
      <c r="AL1006" s="125" t="n"/>
    </row>
    <row r="1007" hidden="1" s="241"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  <c r="AD1007" s="5" t="n"/>
      <c r="AE1007" s="5" t="n"/>
      <c r="AF1007" s="5" t="n"/>
      <c r="AG1007" s="5" t="n"/>
      <c r="AH1007" s="125" t="n"/>
      <c r="AI1007" s="125" t="n"/>
      <c r="AJ1007" s="5" t="n"/>
      <c r="AK1007" s="125" t="n"/>
      <c r="AL1007" s="125" t="n"/>
    </row>
    <row r="1008" hidden="1" s="241"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  <c r="AD1008" s="5" t="n"/>
      <c r="AE1008" s="5" t="n"/>
      <c r="AF1008" s="5" t="n"/>
      <c r="AG1008" s="5" t="n"/>
      <c r="AH1008" s="125" t="n"/>
      <c r="AI1008" s="125" t="n"/>
      <c r="AJ1008" s="5" t="n"/>
      <c r="AK1008" s="125" t="n"/>
      <c r="AL1008" s="125" t="n"/>
    </row>
    <row r="1009" hidden="1" s="241"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  <c r="AD1009" s="5" t="n"/>
      <c r="AE1009" s="5" t="n"/>
      <c r="AF1009" s="5" t="n"/>
      <c r="AG1009" s="5" t="n"/>
      <c r="AH1009" s="125" t="n"/>
      <c r="AI1009" s="125" t="n"/>
      <c r="AJ1009" s="5" t="n"/>
      <c r="AK1009" s="125" t="n"/>
      <c r="AL1009" s="125" t="n"/>
    </row>
    <row r="1010" hidden="1" s="241"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  <c r="AD1010" s="5" t="n"/>
      <c r="AE1010" s="5" t="n"/>
      <c r="AF1010" s="5" t="n"/>
      <c r="AG1010" s="5" t="n"/>
      <c r="AH1010" s="125" t="n"/>
      <c r="AI1010" s="125" t="n"/>
      <c r="AJ1010" s="5" t="n"/>
      <c r="AK1010" s="125" t="n"/>
      <c r="AL1010" s="125" t="n"/>
    </row>
    <row r="1011" hidden="1" s="241"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  <c r="AD1011" s="5" t="n"/>
      <c r="AE1011" s="5" t="n"/>
      <c r="AF1011" s="5" t="n"/>
      <c r="AG1011" s="5" t="n"/>
      <c r="AH1011" s="125" t="n"/>
      <c r="AI1011" s="125" t="n"/>
      <c r="AJ1011" s="5" t="n"/>
      <c r="AK1011" s="125" t="n"/>
      <c r="AL1011" s="125" t="n"/>
    </row>
    <row r="1012" hidden="1" s="241"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  <c r="AD1012" s="5" t="n"/>
      <c r="AE1012" s="5" t="n"/>
      <c r="AF1012" s="5" t="n"/>
      <c r="AG1012" s="5" t="n"/>
      <c r="AH1012" s="125" t="n"/>
      <c r="AI1012" s="125" t="n"/>
      <c r="AJ1012" s="5" t="n"/>
      <c r="AK1012" s="125" t="n"/>
      <c r="AL1012" s="125" t="n"/>
    </row>
    <row r="1013" hidden="1" s="241"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5" t="n"/>
      <c r="AD1013" s="5" t="n"/>
      <c r="AE1013" s="5" t="n"/>
      <c r="AF1013" s="5" t="n"/>
      <c r="AG1013" s="5" t="n"/>
      <c r="AH1013" s="125" t="n"/>
      <c r="AI1013" s="125" t="n"/>
      <c r="AJ1013" s="5" t="n"/>
      <c r="AK1013" s="125" t="n"/>
      <c r="AL1013" s="125" t="n"/>
    </row>
    <row r="1014" hidden="1" s="241"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  <c r="AD1014" s="5" t="n"/>
      <c r="AE1014" s="5" t="n"/>
      <c r="AF1014" s="5" t="n"/>
      <c r="AG1014" s="5" t="n"/>
      <c r="AH1014" s="125" t="n"/>
      <c r="AI1014" s="125" t="n"/>
      <c r="AJ1014" s="5" t="n"/>
      <c r="AK1014" s="125" t="n"/>
      <c r="AL1014" s="125" t="n"/>
    </row>
    <row r="1015" hidden="1" s="241"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5" t="n"/>
      <c r="AB1015" s="5" t="n"/>
      <c r="AC1015" s="5" t="n"/>
      <c r="AD1015" s="5" t="n"/>
      <c r="AE1015" s="5" t="n"/>
      <c r="AF1015" s="5" t="n"/>
      <c r="AG1015" s="5" t="n"/>
      <c r="AH1015" s="125" t="n"/>
      <c r="AI1015" s="125" t="n"/>
      <c r="AJ1015" s="5" t="n"/>
      <c r="AK1015" s="125" t="n"/>
      <c r="AL1015" s="125" t="n"/>
    </row>
    <row r="1016" hidden="1" s="241"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  <c r="AD1016" s="5" t="n"/>
      <c r="AE1016" s="5" t="n"/>
      <c r="AF1016" s="5" t="n"/>
      <c r="AG1016" s="5" t="n"/>
      <c r="AH1016" s="125" t="n"/>
      <c r="AI1016" s="125" t="n"/>
      <c r="AJ1016" s="5" t="n"/>
      <c r="AK1016" s="125" t="n"/>
      <c r="AL1016" s="125" t="n"/>
    </row>
    <row r="1017" hidden="1" s="241"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5" t="n"/>
      <c r="AD1017" s="5" t="n"/>
      <c r="AE1017" s="5" t="n"/>
      <c r="AF1017" s="5" t="n"/>
      <c r="AG1017" s="5" t="n"/>
      <c r="AH1017" s="125" t="n"/>
      <c r="AI1017" s="125" t="n"/>
      <c r="AJ1017" s="5" t="n"/>
      <c r="AK1017" s="125" t="n"/>
      <c r="AL1017" s="125" t="n"/>
    </row>
    <row r="1018" hidden="1" s="241"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  <c r="AD1018" s="5" t="n"/>
      <c r="AE1018" s="5" t="n"/>
      <c r="AF1018" s="5" t="n"/>
      <c r="AG1018" s="5" t="n"/>
      <c r="AH1018" s="125" t="n"/>
      <c r="AI1018" s="125" t="n"/>
      <c r="AJ1018" s="5" t="n"/>
      <c r="AK1018" s="125" t="n"/>
      <c r="AL1018" s="125" t="n"/>
    </row>
    <row r="1019" hidden="1" s="241"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5" t="n"/>
      <c r="AB1019" s="5" t="n"/>
      <c r="AC1019" s="5" t="n"/>
      <c r="AD1019" s="5" t="n"/>
      <c r="AE1019" s="5" t="n"/>
      <c r="AF1019" s="5" t="n"/>
      <c r="AG1019" s="5" t="n"/>
      <c r="AH1019" s="125" t="n"/>
      <c r="AI1019" s="125" t="n"/>
      <c r="AJ1019" s="5" t="n"/>
      <c r="AK1019" s="125" t="n"/>
      <c r="AL1019" s="125" t="n"/>
    </row>
    <row r="1020" hidden="1" s="241"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  <c r="AD1020" s="5" t="n"/>
      <c r="AE1020" s="5" t="n"/>
      <c r="AF1020" s="5" t="n"/>
      <c r="AG1020" s="5" t="n"/>
      <c r="AH1020" s="125" t="n"/>
      <c r="AI1020" s="125" t="n"/>
      <c r="AJ1020" s="5" t="n"/>
      <c r="AK1020" s="125" t="n"/>
      <c r="AL1020" s="125" t="n"/>
    </row>
    <row r="1021" hidden="1" s="241"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5" t="n"/>
      <c r="AB1021" s="5" t="n"/>
      <c r="AC1021" s="5" t="n"/>
      <c r="AD1021" s="5" t="n"/>
      <c r="AE1021" s="5" t="n"/>
      <c r="AF1021" s="5" t="n"/>
      <c r="AG1021" s="5" t="n"/>
      <c r="AH1021" s="125" t="n"/>
      <c r="AI1021" s="125" t="n"/>
      <c r="AJ1021" s="5" t="n"/>
      <c r="AK1021" s="125" t="n"/>
      <c r="AL1021" s="125" t="n"/>
    </row>
    <row r="1022" hidden="1" s="241"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  <c r="AD1022" s="5" t="n"/>
      <c r="AE1022" s="5" t="n"/>
      <c r="AF1022" s="5" t="n"/>
      <c r="AG1022" s="5" t="n"/>
      <c r="AH1022" s="125" t="n"/>
      <c r="AI1022" s="125" t="n"/>
      <c r="AJ1022" s="5" t="n"/>
      <c r="AK1022" s="125" t="n"/>
      <c r="AL1022" s="125" t="n"/>
    </row>
    <row r="1023" hidden="1" s="241"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5" t="n"/>
      <c r="AD1023" s="5" t="n"/>
      <c r="AE1023" s="5" t="n"/>
      <c r="AF1023" s="5" t="n"/>
      <c r="AG1023" s="5" t="n"/>
      <c r="AH1023" s="125" t="n"/>
      <c r="AI1023" s="125" t="n"/>
      <c r="AJ1023" s="5" t="n"/>
      <c r="AK1023" s="125" t="n"/>
      <c r="AL1023" s="125" t="n"/>
    </row>
    <row r="1024" hidden="1" s="241"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  <c r="AD1024" s="5" t="n"/>
      <c r="AE1024" s="5" t="n"/>
      <c r="AF1024" s="5" t="n"/>
      <c r="AG1024" s="5" t="n"/>
      <c r="AH1024" s="125" t="n"/>
      <c r="AI1024" s="125" t="n"/>
      <c r="AJ1024" s="5" t="n"/>
      <c r="AK1024" s="125" t="n"/>
      <c r="AL1024" s="125" t="n"/>
    </row>
    <row r="1025" hidden="1" s="241"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5" t="n"/>
      <c r="AB1025" s="5" t="n"/>
      <c r="AC1025" s="5" t="n"/>
      <c r="AD1025" s="5" t="n"/>
      <c r="AE1025" s="5" t="n"/>
      <c r="AF1025" s="5" t="n"/>
      <c r="AG1025" s="5" t="n"/>
      <c r="AH1025" s="125" t="n"/>
      <c r="AI1025" s="125" t="n"/>
      <c r="AJ1025" s="5" t="n"/>
      <c r="AK1025" s="125" t="n"/>
      <c r="AL1025" s="125" t="n"/>
    </row>
    <row r="1026" hidden="1" s="241"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  <c r="AD1026" s="5" t="n"/>
      <c r="AE1026" s="5" t="n"/>
      <c r="AF1026" s="5" t="n"/>
      <c r="AG1026" s="5" t="n"/>
      <c r="AH1026" s="125" t="n"/>
      <c r="AI1026" s="125" t="n"/>
      <c r="AJ1026" s="5" t="n"/>
      <c r="AK1026" s="125" t="n"/>
      <c r="AL1026" s="125" t="n"/>
    </row>
    <row r="1027" hidden="1" s="241"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5" t="n"/>
      <c r="AB1027" s="5" t="n"/>
      <c r="AC1027" s="5" t="n"/>
      <c r="AD1027" s="5" t="n"/>
      <c r="AE1027" s="5" t="n"/>
      <c r="AF1027" s="5" t="n"/>
      <c r="AG1027" s="5" t="n"/>
      <c r="AH1027" s="125" t="n"/>
      <c r="AI1027" s="125" t="n"/>
      <c r="AJ1027" s="5" t="n"/>
      <c r="AK1027" s="125" t="n"/>
      <c r="AL1027" s="125" t="n"/>
    </row>
    <row r="1028" hidden="1" s="241"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  <c r="AD1028" s="5" t="n"/>
      <c r="AE1028" s="5" t="n"/>
      <c r="AF1028" s="5" t="n"/>
      <c r="AG1028" s="5" t="n"/>
      <c r="AH1028" s="125" t="n"/>
      <c r="AI1028" s="125" t="n"/>
      <c r="AJ1028" s="5" t="n"/>
      <c r="AK1028" s="125" t="n"/>
      <c r="AL1028" s="125" t="n"/>
    </row>
    <row r="1029" hidden="1" s="241"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5" t="n"/>
      <c r="AD1029" s="5" t="n"/>
      <c r="AE1029" s="5" t="n"/>
      <c r="AF1029" s="5" t="n"/>
      <c r="AG1029" s="5" t="n"/>
      <c r="AH1029" s="125" t="n"/>
      <c r="AI1029" s="125" t="n"/>
      <c r="AJ1029" s="5" t="n"/>
      <c r="AK1029" s="125" t="n"/>
      <c r="AL1029" s="125" t="n"/>
    </row>
    <row r="1030" hidden="1" s="241"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125" t="n"/>
      <c r="AI1030" s="125" t="n"/>
      <c r="AJ1030" s="5" t="n"/>
      <c r="AK1030" s="125" t="n"/>
      <c r="AL1030" s="125" t="n"/>
    </row>
    <row r="1031" hidden="1" s="241"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125" t="n"/>
      <c r="AI1031" s="125" t="n"/>
      <c r="AJ1031" s="5" t="n"/>
      <c r="AK1031" s="125" t="n"/>
      <c r="AL1031" s="125" t="n"/>
    </row>
    <row r="1032" hidden="1" s="241"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  <c r="AD1032" s="5" t="n"/>
      <c r="AE1032" s="5" t="n"/>
      <c r="AF1032" s="5" t="n"/>
      <c r="AG1032" s="5" t="n"/>
      <c r="AH1032" s="125" t="n"/>
      <c r="AI1032" s="125" t="n"/>
      <c r="AJ1032" s="5" t="n"/>
      <c r="AK1032" s="125" t="n"/>
      <c r="AL1032" s="125" t="n"/>
    </row>
  </sheetData>
  <mergeCells count="93">
    <mergeCell ref="AB4:AB5"/>
    <mergeCell ref="Q73:Q74"/>
    <mergeCell ref="S73:S74"/>
    <mergeCell ref="I26:J26"/>
    <mergeCell ref="Y19:Y20"/>
    <mergeCell ref="T73:T74"/>
    <mergeCell ref="Z37:Z38"/>
    <mergeCell ref="X55:X56"/>
    <mergeCell ref="B4:D4"/>
    <mergeCell ref="AB37:AB38"/>
    <mergeCell ref="O19:O20"/>
    <mergeCell ref="L37:M38"/>
    <mergeCell ref="M9:X9"/>
    <mergeCell ref="V73:V74"/>
    <mergeCell ref="R19:R20"/>
    <mergeCell ref="AA19:AA20"/>
    <mergeCell ref="Y55:Y56"/>
    <mergeCell ref="O4:O5"/>
    <mergeCell ref="Q55:Q56"/>
    <mergeCell ref="AA37:AA38"/>
    <mergeCell ref="Y73:Y74"/>
    <mergeCell ref="AC37:AC38"/>
    <mergeCell ref="X19:X20"/>
    <mergeCell ref="AA73:AA74"/>
    <mergeCell ref="B2:C2"/>
    <mergeCell ref="R55:R56"/>
    <mergeCell ref="T55:T56"/>
    <mergeCell ref="S37:S38"/>
    <mergeCell ref="U37:U38"/>
    <mergeCell ref="X4:X5"/>
    <mergeCell ref="Z4:Z5"/>
    <mergeCell ref="O73:O74"/>
    <mergeCell ref="P37:P38"/>
    <mergeCell ref="U19:U20"/>
    <mergeCell ref="W19:W20"/>
    <mergeCell ref="Z55:Z56"/>
    <mergeCell ref="T37:T38"/>
    <mergeCell ref="AB55:AB56"/>
    <mergeCell ref="P73:P74"/>
    <mergeCell ref="V37:V38"/>
    <mergeCell ref="R73:R74"/>
    <mergeCell ref="AB73:AB74"/>
    <mergeCell ref="L55:M56"/>
    <mergeCell ref="L73:M74"/>
    <mergeCell ref="W55:W56"/>
    <mergeCell ref="X37:X38"/>
    <mergeCell ref="Q4:Q5"/>
    <mergeCell ref="AA4:AA5"/>
    <mergeCell ref="AC55:AC56"/>
    <mergeCell ref="AC4:AC5"/>
    <mergeCell ref="Q19:Q20"/>
    <mergeCell ref="M3:X3"/>
    <mergeCell ref="O55:O56"/>
    <mergeCell ref="N19:N20"/>
    <mergeCell ref="P19:P20"/>
    <mergeCell ref="Z19:Z20"/>
    <mergeCell ref="X73:X74"/>
    <mergeCell ref="AB19:AB20"/>
    <mergeCell ref="K4:K5"/>
    <mergeCell ref="U73:U74"/>
    <mergeCell ref="Y37:Y38"/>
    <mergeCell ref="T19:T20"/>
    <mergeCell ref="L19:M20"/>
    <mergeCell ref="W73:W74"/>
    <mergeCell ref="V55:V56"/>
    <mergeCell ref="N55:N56"/>
    <mergeCell ref="N4:N5"/>
    <mergeCell ref="P55:P56"/>
    <mergeCell ref="P4:P5"/>
    <mergeCell ref="R4:R5"/>
    <mergeCell ref="T4:T5"/>
    <mergeCell ref="V4:V5"/>
    <mergeCell ref="I27:J27"/>
    <mergeCell ref="V19:V20"/>
    <mergeCell ref="I36:J36"/>
    <mergeCell ref="N37:N38"/>
    <mergeCell ref="S19:S20"/>
    <mergeCell ref="AC73:AC74"/>
    <mergeCell ref="R37:R38"/>
    <mergeCell ref="N73:N74"/>
    <mergeCell ref="I28:J28"/>
    <mergeCell ref="Z73:Z74"/>
    <mergeCell ref="AC19:AC20"/>
    <mergeCell ref="AA55:AA56"/>
    <mergeCell ref="S55:S56"/>
    <mergeCell ref="S4:S5"/>
    <mergeCell ref="U55:U56"/>
    <mergeCell ref="U4:U5"/>
    <mergeCell ref="W4:W5"/>
    <mergeCell ref="Y4:Y5"/>
    <mergeCell ref="W37:W38"/>
    <mergeCell ref="O37:O38"/>
    <mergeCell ref="Q37:Q38"/>
  </mergeCells>
  <conditionalFormatting sqref="AA8:AD8">
    <cfRule type="cellIs" priority="1" operator="equal" dxfId="0">
      <formula>0</formula>
    </cfRule>
  </conditionalFormatting>
  <conditionalFormatting sqref="I6:I25">
    <cfRule type="cellIs" priority="2" operator="greaterThan" dxfId="1">
      <formula>0</formula>
    </cfRule>
  </conditionalFormatting>
  <conditionalFormatting sqref="W4:W5 W8 W10 Y6:AB6 Z13:AC13">
    <cfRule type="expression" priority="3" dxfId="2">
      <formula>$G$12&gt;=3</formula>
    </cfRule>
  </conditionalFormatting>
  <conditionalFormatting sqref="O2:R2">
    <cfRule type="expression" priority="4" dxfId="3">
      <formula>P2="No asegurable"</formula>
    </cfRule>
  </conditionalFormatting>
  <dataValidations count="2">
    <dataValidation sqref="K8" showDropDown="0" showInputMessage="0" showErrorMessage="1" allowBlank="1" type="list">
      <formula1>"0%,1%,2%,3%,4%,5%"</formula1>
    </dataValidation>
    <dataValidation sqref="K10" showDropDown="0" showInputMessage="0" showErrorMessage="1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0" summaryRight="0"/>
    <pageSetUpPr/>
  </sheetPr>
  <dimension ref="A1:B69"/>
  <sheetViews>
    <sheetView workbookViewId="0">
      <selection activeCell="A1" sqref="A1"/>
    </sheetView>
  </sheetViews>
  <sheetFormatPr baseColWidth="8" defaultColWidth="12.63" defaultRowHeight="15.75" customHeight="1"/>
  <cols>
    <col width="19.25" customWidth="1" style="241" min="1" max="1"/>
  </cols>
  <sheetData>
    <row r="1">
      <c r="A1" s="2" t="inlineStr">
        <is>
          <t>Producto</t>
        </is>
      </c>
      <c r="B1" s="144" t="inlineStr">
        <is>
          <t>Excepcion</t>
        </is>
      </c>
    </row>
    <row r="2">
      <c r="A2" s="2" t="inlineStr">
        <is>
          <t>Go</t>
        </is>
      </c>
      <c r="B2" s="144">
        <f>IFERROR(IF(Cotizador!I6&gt;70,-3,IF(Cotizador!I6&gt;59,0,1)),0)+IFERROR(IF(Cotizador!I7&gt;70,-3,IF(Cotizador!I7&gt;59,0,1)),0)+IFERROR(IF(Cotizador!I8&gt;70,-3,IF(Cotizador!I8&gt;59,0,1)),0)+IFERROR(IF(Cotizador!I9&gt;70,-3,IF(Cotizador!I9&gt;59,0,1)),0)+IFERROR(IF(Cotizador!I10&gt;70,-3,IF(Cotizador!I10&gt;59,0,1)),0)+IFERROR(IF(Cotizador!I11&gt;70,-3,IF(Cotizador!I11&gt;59,0,1)),0)+IFERROR(IF(Cotizador!I12&gt;70,-3,IF(Cotizador!I12&gt;59,0,1)),0)+IFERROR(IF(Cotizador!I13&gt;70,-3,IF(Cotizador!I13&gt;59,0,1)),0)</f>
        <v/>
      </c>
    </row>
    <row r="3">
      <c r="A3" s="2" t="inlineStr">
        <is>
          <t>Plena Vital</t>
        </is>
      </c>
      <c r="B3" s="144">
        <f>IF(COUNTIF(Cotizador!$I$6:$I$13,"&gt;70")&gt;0,IF(COUNTIF(Cotizador!$I$6:$I$13,"&lt;60")&lt;3*COUNTIF(Cotizador!$I$6:$I$13,"&gt;70"),-1,1),1)</f>
        <v/>
      </c>
    </row>
    <row r="4">
      <c r="A4" s="2" t="inlineStr">
        <is>
          <t>Plena</t>
        </is>
      </c>
      <c r="B4" s="144">
        <f>IFERROR(IF(Cotizador!I6&gt;70,-3,IF(Cotizador!I6&gt;59,0,1)),0)+IFERROR(IF(Cotizador!I7&gt;70,-3,IF(Cotizador!I7&gt;59,0,1)),0)+IFERROR(IF(Cotizador!I8&gt;70,-3,IF(Cotizador!I8&gt;59,0,1)),0)+IFERROR(IF(Cotizador!I9&gt;70,-3,IF(Cotizador!I9&gt;59,0,1)),0)+IFERROR(IF(Cotizador!I10&gt;70,-3,IF(Cotizador!I10&gt;59,0,1)),0)+IFERROR(IF(Cotizador!I11&gt;70,-3,IF(Cotizador!I11&gt;59,0,1)),0)+IFERROR(IF(Cotizador!I12&gt;70,-3,IF(Cotizador!I12&gt;59,0,1)),0)+IFERROR(IF(Cotizador!I13&gt;70,-3,IF(Cotizador!I13&gt;59,0,1)),0)</f>
        <v/>
      </c>
    </row>
    <row r="5">
      <c r="A5" s="2" t="inlineStr">
        <is>
          <t>Plena Plus</t>
        </is>
      </c>
      <c r="B5" s="144">
        <f>IFERROR(IF(Cotizador!I6&gt;70,-3,IF(Cotizador!I6&gt;59,0,1)),0)+IFERROR(IF(Cotizador!I7&gt;70,-3,IF(Cotizador!I7&gt;59,0,1)),0)+IFERROR(IF(Cotizador!I8&gt;70,-3,IF(Cotizador!I8&gt;59,0,1)),0)+IFERROR(IF(Cotizador!I9&gt;70,-3,IF(Cotizador!I9&gt;59,0,1)),0)+IFERROR(IF(Cotizador!I10&gt;70,-3,IF(Cotizador!I10&gt;59,0,1)),0)+IFERROR(IF(Cotizador!I11&gt;70,-3,IF(Cotizador!I11&gt;59,0,1)),0)+IFERROR(IF(Cotizador!I12&gt;70,-3,IF(Cotizador!I12&gt;59,0,1)),0)+IFERROR(IF(Cotizador!I13&gt;70,-3,IF(Cotizador!I13&gt;59,0,1)),0)</f>
        <v/>
      </c>
    </row>
    <row r="6">
      <c r="A6" s="2" t="inlineStr">
        <is>
          <t>Plena Total</t>
        </is>
      </c>
      <c r="B6" s="144">
        <f>IFERROR(IF(Cotizador!I6&gt;62,-3,IF(Cotizador!I6&gt;59,0,1)),0)+IFERROR(IF(Cotizador!I7&gt;62,-3,IF(Cotizador!I7&gt;59,0,1)),0)+IFERROR(IF(Cotizador!I8&gt;62,-3,IF(Cotizador!I8&gt;59,0,1)),0)++IFERROR(IF(Cotizador!I9&gt;62,-3,IF(Cotizador!I9&gt;59,0,1)),0)+IFERROR(IF(Cotizador!I10&gt;62,-3,IF(Cotizador!I10&gt;59,0,1)),0)+IFERROR(IF(Cotizador!I11&gt;62,-3,IF(Cotizador!I11&gt;59,0,1)),0)+IFERROR(IF(Cotizador!I12&gt;62,-3,IF(Cotizador!I12&gt;59,0,1)),0)+IFERROR(IF(Cotizador!I13&gt;62,-3,IF(Cotizador!I13&gt;59,0,1)),0)</f>
        <v/>
      </c>
    </row>
    <row r="7">
      <c r="A7" s="2" t="inlineStr">
        <is>
          <t>Negocios CIF</t>
        </is>
      </c>
      <c r="B7" s="144">
        <f>IF(COUNTIF(Cotizador!$I$6:$I$13,"&gt;67")&gt;0,IF(COUNTIF(Cotizador!$I$6:$I$13,"&lt;60")&lt;3*COUNTIF(Cotizador!$I$6:$I$13,"&gt;67"),-1,1),1)</f>
        <v/>
      </c>
    </row>
    <row r="8">
      <c r="A8" s="2" t="inlineStr">
        <is>
          <t>Extra Negocios CIF</t>
        </is>
      </c>
      <c r="B8" s="144">
        <f>IF(COUNT(Cotizador!I6:I13)&gt;4,-1,1)</f>
        <v/>
      </c>
    </row>
    <row r="9">
      <c r="A9" s="2" t="inlineStr">
        <is>
          <t>Empresas</t>
        </is>
      </c>
      <c r="B9" s="144">
        <f>IF(COUNTIF(Cotizador!$I$6:$I$13,"&gt;67")&gt;0,IF(COUNTIF(Cotizador!$I$6:$I$13,"&lt;60")&lt;3*COUNTIF(Cotizador!$I$6:$I$13,"&gt;67"),-1,1),1)</f>
        <v/>
      </c>
    </row>
    <row r="10">
      <c r="A10" s="2" t="inlineStr">
        <is>
          <t>Extra Empresas</t>
        </is>
      </c>
      <c r="B10" s="144">
        <f>IF(COUNTIF(Cotizador!$I$6:$I$13,"&gt;67")&gt;0,IF(COUNTIF(Cotizador!$I$6:$I$13,"&lt;60")&lt;3*COUNTIF(Cotizador!$I$6:$I$13,"&gt;67"),-1,1),1)</f>
        <v/>
      </c>
    </row>
    <row r="11">
      <c r="A11" s="2" t="inlineStr">
        <is>
          <t>Seniors</t>
        </is>
      </c>
      <c r="B11" s="144">
        <f>IF(AND(COUNTIF(Cotizador!$I$6:$I$13,"&gt;=50")-COUNTIF(Cotizador!$I$6:$I$13,"&gt;54")&gt;0, COUNTIF(Cotizador!$I$6:$I$13,"&gt;=55")&gt;0), 1, IF(COUNTIF(Cotizador!$I$6:$I$13,"&lt;55")&gt;0, -1, 1))</f>
        <v/>
      </c>
    </row>
    <row r="12">
      <c r="A12" s="2" t="inlineStr">
        <is>
          <t>Seniors total</t>
        </is>
      </c>
      <c r="B12" s="144">
        <f>IF(COUNTIF(Cotizador!$I$6:$I$13,"&gt;84")&gt;0,-1,  
    IF(AND(AND(COUNTIF(Cotizador!$I$6:$I$13,"&gt;=60"),COUNTIF(Cotizador!$I$6:$I$13,"&lt;=62"))&gt;0,COUNTIF(Cotizador!$I$6:$I$13,"&gt;=63")&gt;0,COUNTIF(Cotizador!$I$6:$I$13,"&lt;60")=0),1,  
        -1))
</f>
        <v/>
      </c>
    </row>
    <row r="13">
      <c r="A13" s="2" t="inlineStr">
        <is>
          <t>Pymes Total</t>
        </is>
      </c>
      <c r="B13" s="144">
        <f>IFERROR(IF(Cotizador!I6&gt;67,-3,IF(Cotizador!I6&gt;59,0,1)),0)+IFERROR(IF(Cotizador!I7&gt;67,-3,IF(Cotizador!I7&gt;59,0,1)),0)+IFERROR(IF(Cotizador!I8&gt;67,-3,IF(Cotizador!I8&gt;59,0,1)),0)++IFERROR(IF(Cotizador!I9&gt;67,-3,IF(Cotizador!I9&gt;59,0,1)),0)+IFERROR(IF(Cotizador!I10&gt;67,-3,IF(Cotizador!I10&gt;59,0,1)),0)+IFERROR(IF(Cotizador!I11&gt;67,-3,IF(Cotizador!I11&gt;59,0,1)),0)+IFERROR(IF(Cotizador!I12&gt;67,-3,IF(Cotizador!I12&gt;59,0,1)),0)+IFERROR(IF(Cotizador!I13&gt;67,-3,IF(Cotizador!I13&gt;59,0,1)),0)</f>
        <v/>
      </c>
    </row>
    <row r="14">
      <c r="A14" s="2" t="inlineStr">
        <is>
          <t>Negocios NIF</t>
        </is>
      </c>
      <c r="B14" s="144">
        <f>IF(COUNTIF(Cotizador!$I$6:$I$13,"&gt;70")&gt;0,IF(COUNTIF(Cotizador!$I$6:$I$13,"&lt;=60")&lt;3*COUNTIF(Cotizador!$I$6:$I$13,"&gt;=70"),-1,1),1)</f>
        <v/>
      </c>
    </row>
    <row r="15">
      <c r="A15" s="2" t="inlineStr">
        <is>
          <t>Extra Negocios NIF &lt;3</t>
        </is>
      </c>
      <c r="B15" s="144">
        <f>IF(COUNTIF(Cotizador!$I$6:$I$13,"&gt;69")&gt;0,IF(COUNTIF(Cotizador!$I$6:$I$13,"&lt;60")&lt;3*COUNTIF(Cotizador!$I$6:$I$13,"&gt;69"),-1,1),1)</f>
        <v/>
      </c>
    </row>
    <row r="16">
      <c r="A16" s="2" t="inlineStr">
        <is>
          <t>Extra Negocios NIF &gt;3</t>
        </is>
      </c>
      <c r="B16" s="144">
        <f>IF(COUNTIF(Cotizador!$I$6:$I$13,"&gt;69")&gt;0,IF(COUNTIF(Cotizador!$I$6:$I$13,"&lt;60")&lt;3*COUNTIF(Cotizador!$I$6:$I$13,"&gt;69"),-1,1),1)</f>
        <v/>
      </c>
    </row>
    <row r="17">
      <c r="A17" s="2" t="inlineStr">
        <is>
          <t>Plena Extra 150</t>
        </is>
      </c>
      <c r="B17" s="144">
        <f>IF(COUNTIF(Cotizador!$I$6:$I$13,"&gt;64")&gt;0,IF(COUNTIF(Cotizador!$I$6:$I$13,"&lt;60")&lt;3*COUNTIF(Cotizador!$I$6:$I$13,"&gt;64"),-1,1),1)</f>
        <v/>
      </c>
    </row>
    <row r="18">
      <c r="A18" s="2" t="inlineStr">
        <is>
          <t>Plena Total Vital</t>
        </is>
      </c>
      <c r="B18" s="144">
        <f>IF(COUNTIF(Cotizador!$I$6:$I$13,"&gt;62")&gt;0,IF(COUNTIF(Cotizador!$I$6:$I$13,"&lt;60")&lt;3*COUNTIF(Cotizador!$I$6:$I$13,"&gt;62"),-1,1),1)</f>
        <v/>
      </c>
    </row>
    <row r="19">
      <c r="A19" s="5" t="n"/>
    </row>
    <row r="20">
      <c r="A20" s="5" t="n"/>
    </row>
    <row r="21">
      <c r="A21" s="5" t="n"/>
    </row>
    <row r="23">
      <c r="A23" s="5" t="n"/>
    </row>
    <row r="24">
      <c r="A24" s="5" t="n"/>
    </row>
    <row r="25">
      <c r="A25" s="5" t="n"/>
    </row>
    <row r="27">
      <c r="A27" s="5" t="n"/>
    </row>
    <row r="28">
      <c r="A28" s="5" t="n"/>
    </row>
    <row r="29">
      <c r="A29" s="5" t="n"/>
    </row>
    <row r="31">
      <c r="A31" s="5" t="n"/>
    </row>
    <row r="32">
      <c r="A32" s="5" t="n"/>
    </row>
    <row r="33">
      <c r="A33" s="5" t="n"/>
    </row>
    <row r="35">
      <c r="A35" s="5" t="n"/>
    </row>
    <row r="36">
      <c r="A36" s="5" t="n"/>
    </row>
    <row r="37">
      <c r="A37" s="5" t="n"/>
    </row>
    <row r="39">
      <c r="A39" s="5" t="n"/>
    </row>
    <row r="40">
      <c r="A40" s="5" t="n"/>
    </row>
    <row r="41">
      <c r="A41" s="5" t="n"/>
    </row>
    <row r="43">
      <c r="A43" s="5" t="n"/>
    </row>
    <row r="44">
      <c r="A44" s="5" t="n"/>
    </row>
    <row r="45">
      <c r="A45" s="5" t="n"/>
    </row>
    <row r="61">
      <c r="A61" s="5" t="n"/>
    </row>
    <row r="64">
      <c r="A64" s="5" t="n"/>
    </row>
    <row r="65">
      <c r="A65" s="5" t="n"/>
    </row>
    <row r="67">
      <c r="A67" s="5" t="n"/>
    </row>
    <row r="68">
      <c r="A68" s="5" t="n"/>
    </row>
    <row r="69">
      <c r="A6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0000"/>
    <outlinePr summaryBelow="0" summaryRight="0"/>
    <pageSetUpPr/>
  </sheetPr>
  <dimension ref="A1:DM120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13" customWidth="1" style="241" min="1" max="2"/>
    <col width="19.25" customWidth="1" style="241" min="3" max="3"/>
    <col width="11.13" customWidth="1" style="241" min="4" max="10"/>
    <col width="12" customWidth="1" style="241" min="11" max="11"/>
    <col width="11" customWidth="1" style="241" min="12" max="14"/>
    <col width="2.88" customWidth="1" style="241" min="15" max="15"/>
    <col width="17.13" customWidth="1" style="241" min="16" max="20"/>
    <col width="2.88" customWidth="1" style="241" min="21" max="21"/>
    <col width="12.13" customWidth="1" style="241" min="22" max="22"/>
    <col width="13.88" customWidth="1" style="241" min="23" max="26"/>
    <col width="2.88" customWidth="1" style="241" min="27" max="27"/>
    <col width="12.13" customWidth="1" style="241" min="28" max="28"/>
    <col width="15.38" customWidth="1" style="241" min="29" max="32"/>
    <col width="2.88" customWidth="1" style="241" min="33" max="33"/>
    <col width="12.13" customWidth="1" style="241" min="34" max="34"/>
    <col width="15.63" customWidth="1" style="241" min="35" max="38"/>
    <col width="2.38" customWidth="1" style="241" min="39" max="39"/>
    <col width="18.88" customWidth="1" style="241" min="40" max="40"/>
    <col width="19" customWidth="1" style="241" min="41" max="44"/>
    <col width="3.88" customWidth="1" style="241" min="45" max="45"/>
    <col width="16.88" customWidth="1" style="241" min="47" max="47"/>
    <col width="15.75" customWidth="1" style="241" min="65" max="68"/>
    <col width="3.88" customWidth="1" style="241" min="69" max="69"/>
    <col width="17.13" customWidth="1" style="241" min="70" max="74"/>
    <col width="5.63" customWidth="1" style="241" min="75" max="75"/>
    <col width="17.13" customWidth="1" style="241" min="76" max="76"/>
    <col width="13.63" customWidth="1" style="241" min="77" max="77"/>
    <col width="4.25" customWidth="1" style="241" min="79" max="79"/>
    <col width="18.88" customWidth="1" style="241" min="80" max="80"/>
    <col width="19" customWidth="1" style="241" min="81" max="84"/>
    <col width="3.75" customWidth="1" style="241" min="85" max="85"/>
    <col width="19.25" customWidth="1" style="241" min="92" max="92"/>
    <col width="23.25" customWidth="1" style="241" min="94" max="94"/>
    <col width="19.38" customWidth="1" style="241" min="98" max="98"/>
    <col width="23.25" customWidth="1" style="241" min="100" max="100"/>
    <col width="24.5" customWidth="1" style="241" min="105" max="105"/>
    <col width="3.38" customWidth="1" style="241" min="106" max="106"/>
    <col width="24.5" customWidth="1" style="241" min="108" max="111"/>
    <col width="3.75" customWidth="1" style="241" min="112" max="112"/>
    <col width="24.5" customWidth="1" style="241" min="114" max="117"/>
  </cols>
  <sheetData>
    <row r="1">
      <c r="A1" s="171" t="inlineStr">
        <is>
          <t>Edad minima</t>
        </is>
      </c>
      <c r="B1" s="171" t="inlineStr">
        <is>
          <t>Edad maxima</t>
        </is>
      </c>
      <c r="C1" s="171" t="inlineStr">
        <is>
          <t>Producto</t>
        </is>
      </c>
      <c r="D1" s="170" t="inlineStr">
        <is>
          <t>Precio</t>
        </is>
      </c>
      <c r="E1" s="5" t="n"/>
      <c r="F1" s="144" t="inlineStr">
        <is>
          <t>Nº Asegurados</t>
        </is>
      </c>
      <c r="G1" s="5" t="inlineStr">
        <is>
          <t>DENTAL</t>
        </is>
      </c>
      <c r="H1" s="5" t="inlineStr">
        <is>
          <t>TOTAL</t>
        </is>
      </c>
      <c r="I1" s="5" t="n"/>
      <c r="J1" s="147" t="inlineStr">
        <is>
          <t>Tramo edad</t>
        </is>
      </c>
      <c r="K1" s="147" t="inlineStr">
        <is>
          <t>Adeslas Go 1</t>
        </is>
      </c>
      <c r="L1" s="147" t="inlineStr">
        <is>
          <t>Adeslas Go 2</t>
        </is>
      </c>
      <c r="M1" s="147" t="inlineStr">
        <is>
          <t>Adeslas Go 3</t>
        </is>
      </c>
      <c r="N1" s="147" t="inlineStr">
        <is>
          <t>Adeslas Go 4</t>
        </is>
      </c>
      <c r="O1" s="5" t="n"/>
      <c r="P1" s="147" t="inlineStr">
        <is>
          <t>Tramo edad</t>
        </is>
      </c>
      <c r="Q1" s="147" t="inlineStr">
        <is>
          <t>Adeslas Plena Vital 1</t>
        </is>
      </c>
      <c r="R1" s="147" t="inlineStr">
        <is>
          <t>Adeslas Plena Vital 2</t>
        </is>
      </c>
      <c r="S1" s="147" t="inlineStr">
        <is>
          <t>Adeslas Plena Vital 3</t>
        </is>
      </c>
      <c r="T1" s="147" t="inlineStr">
        <is>
          <t>Adeslas Plena Vital 4</t>
        </is>
      </c>
      <c r="U1" s="5" t="n"/>
      <c r="V1" s="147" t="inlineStr">
        <is>
          <t>Tramo edad</t>
        </is>
      </c>
      <c r="W1" s="147" t="inlineStr">
        <is>
          <t>Adeslas Plena 1</t>
        </is>
      </c>
      <c r="X1" s="147" t="inlineStr">
        <is>
          <t>Adeslas Plena 2</t>
        </is>
      </c>
      <c r="Y1" s="147" t="inlineStr">
        <is>
          <t>Adeslas Plena 3</t>
        </is>
      </c>
      <c r="Z1" s="147" t="inlineStr">
        <is>
          <t>Adeslas Plena 4</t>
        </is>
      </c>
      <c r="AA1" s="5" t="n"/>
      <c r="AB1" s="147" t="inlineStr">
        <is>
          <t>Tramo edad</t>
        </is>
      </c>
      <c r="AC1" s="147" t="inlineStr">
        <is>
          <t>Adeslas Plena Plus 1</t>
        </is>
      </c>
      <c r="AD1" s="147" t="inlineStr">
        <is>
          <t>Adeslas Plena Plus 2</t>
        </is>
      </c>
      <c r="AE1" s="147" t="inlineStr">
        <is>
          <t>Adeslas Plena Plus 3</t>
        </is>
      </c>
      <c r="AF1" s="147" t="inlineStr">
        <is>
          <t>Adeslas Plena Plus 4</t>
        </is>
      </c>
      <c r="AG1" s="5" t="n"/>
      <c r="AH1" s="147" t="inlineStr">
        <is>
          <t>Tramo edad</t>
        </is>
      </c>
      <c r="AI1" s="147" t="inlineStr">
        <is>
          <t>Adeslas Plena Total 1</t>
        </is>
      </c>
      <c r="AJ1" s="147" t="inlineStr">
        <is>
          <t>Adeslas Plena Total 2</t>
        </is>
      </c>
      <c r="AK1" s="147" t="inlineStr">
        <is>
          <t>Adeslas Plena Total 3</t>
        </is>
      </c>
      <c r="AL1" s="147" t="inlineStr">
        <is>
          <t>Adeslas Plena Total 4</t>
        </is>
      </c>
      <c r="AM1" s="5" t="n"/>
      <c r="AN1" s="147" t="inlineStr">
        <is>
          <t>Tramo edad (1 a 4 aseg)</t>
        </is>
      </c>
      <c r="AO1" s="147" t="inlineStr">
        <is>
          <t>Adeslas Negocios CIF 1</t>
        </is>
      </c>
      <c r="AP1" s="147" t="inlineStr">
        <is>
          <t>Adeslas Negocios CIF 2</t>
        </is>
      </c>
      <c r="AQ1" s="147" t="inlineStr">
        <is>
          <t>Adeslas Negocios CIF 3</t>
        </is>
      </c>
      <c r="AR1" s="147" t="inlineStr">
        <is>
          <t>Adeslas Negocios CIF 4</t>
        </is>
      </c>
      <c r="AS1" s="5" t="n"/>
      <c r="AT1" s="147" t="inlineStr">
        <is>
          <t>Tramo edad (1 a 4 aseg)</t>
        </is>
      </c>
      <c r="AU1" s="147" t="inlineStr">
        <is>
          <t>Adeslas Extra Negocios CIF 1</t>
        </is>
      </c>
      <c r="AV1" s="147" t="inlineStr">
        <is>
          <t>Adeslas Extra Negocios CIF 2</t>
        </is>
      </c>
      <c r="AW1" s="147" t="inlineStr">
        <is>
          <t>Adeslas Extra Negocios CIF 3</t>
        </is>
      </c>
      <c r="AX1" s="147" t="inlineStr">
        <is>
          <t>Adeslas Extra Negocios CIF 4</t>
        </is>
      </c>
      <c r="AY1" s="148" t="n"/>
      <c r="AZ1" s="147" t="inlineStr">
        <is>
          <t>Tramo edad (5 o + aseg)</t>
        </is>
      </c>
      <c r="BA1" s="147" t="inlineStr">
        <is>
          <t>Adeslas Empresas 1</t>
        </is>
      </c>
      <c r="BB1" s="147" t="inlineStr">
        <is>
          <t>Adeslas Empresas 2</t>
        </is>
      </c>
      <c r="BC1" s="147" t="inlineStr">
        <is>
          <t>Adeslas Empresas 3</t>
        </is>
      </c>
      <c r="BD1" s="147" t="inlineStr">
        <is>
          <t>Adeslas Empresas 4</t>
        </is>
      </c>
      <c r="BE1" s="148" t="n"/>
      <c r="BF1" s="147" t="inlineStr">
        <is>
          <t>Tramo edad (5 o + aseg)</t>
        </is>
      </c>
      <c r="BG1" s="147" t="inlineStr">
        <is>
          <t>Adeslas Extra Empresas 1</t>
        </is>
      </c>
      <c r="BH1" s="147" t="inlineStr">
        <is>
          <t>Adeslas Extra Empresas 2</t>
        </is>
      </c>
      <c r="BI1" s="147" t="inlineStr">
        <is>
          <t>Adeslas Extra Empresas 3</t>
        </is>
      </c>
      <c r="BJ1" s="147" t="inlineStr">
        <is>
          <t>Adeslas Extra Empresas 4</t>
        </is>
      </c>
      <c r="BK1" s="148" t="n"/>
      <c r="BL1" s="147" t="inlineStr">
        <is>
          <t>Tramo edad</t>
        </is>
      </c>
      <c r="BM1" s="147" t="inlineStr">
        <is>
          <t>Adeslas Seniors 1</t>
        </is>
      </c>
      <c r="BN1" s="147" t="inlineStr">
        <is>
          <t>Adeslas Seniors 2</t>
        </is>
      </c>
      <c r="BO1" s="147" t="inlineStr">
        <is>
          <t>Adeslas Seniors 3</t>
        </is>
      </c>
      <c r="BP1" s="147" t="inlineStr">
        <is>
          <t>Adeslas Seniors 4</t>
        </is>
      </c>
      <c r="BQ1" s="5" t="n"/>
      <c r="BR1" s="147" t="inlineStr">
        <is>
          <t>Tramo edad</t>
        </is>
      </c>
      <c r="BS1" s="147" t="inlineStr">
        <is>
          <t>Adeslas Plena Total Seniors 1</t>
        </is>
      </c>
      <c r="BT1" s="147" t="inlineStr">
        <is>
          <t>Adeslas Plena Total Seniors 2</t>
        </is>
      </c>
      <c r="BU1" s="147" t="inlineStr">
        <is>
          <t>Adeslas Plena Total Seniors 3</t>
        </is>
      </c>
      <c r="BV1" s="147" t="inlineStr">
        <is>
          <t>Adeslas Plena Total Seniors 4</t>
        </is>
      </c>
      <c r="BW1" s="5" t="n"/>
      <c r="BX1" s="147" t="inlineStr">
        <is>
          <t>Nº Asegurados</t>
        </is>
      </c>
      <c r="BY1" s="147" t="inlineStr">
        <is>
          <t>DENTAL</t>
        </is>
      </c>
      <c r="BZ1" s="147" t="inlineStr">
        <is>
          <t>TOTAL</t>
        </is>
      </c>
      <c r="CA1" s="5" t="n"/>
      <c r="CB1" s="147" t="inlineStr">
        <is>
          <t>Tramo edad</t>
        </is>
      </c>
      <c r="CC1" s="147" t="inlineStr">
        <is>
          <t>Adeslas Pymes Total 1</t>
        </is>
      </c>
      <c r="CD1" s="147" t="inlineStr">
        <is>
          <t>Adeslas Pymes Total 2</t>
        </is>
      </c>
      <c r="CE1" s="147" t="inlineStr">
        <is>
          <t>Adeslas Pymes Total 3</t>
        </is>
      </c>
      <c r="CF1" s="147" t="inlineStr">
        <is>
          <t>Adeslas Pymes Total 4</t>
        </is>
      </c>
      <c r="CH1" s="147" t="inlineStr">
        <is>
          <t>Tramo edad</t>
        </is>
      </c>
      <c r="CI1" s="147" t="inlineStr">
        <is>
          <t>Adeslas Negocios NIF 1</t>
        </is>
      </c>
      <c r="CJ1" s="147" t="inlineStr">
        <is>
          <t>Adeslas Negocios NIF 2</t>
        </is>
      </c>
      <c r="CK1" s="147" t="inlineStr">
        <is>
          <t>Adeslas Negocios NIF 3</t>
        </is>
      </c>
      <c r="CL1" s="147" t="inlineStr">
        <is>
          <t>Adeslas Negocios NIF 4</t>
        </is>
      </c>
      <c r="CM1" s="148" t="n"/>
      <c r="CN1" s="147" t="inlineStr">
        <is>
          <t>Tramo edad (1 o 2 aseg)</t>
        </is>
      </c>
      <c r="CO1" s="147" t="inlineStr">
        <is>
          <t>Adeslas Extra Negocios NIF 1</t>
        </is>
      </c>
      <c r="CP1" s="147" t="inlineStr">
        <is>
          <t>Adeslas Extra Negocios NIF 2</t>
        </is>
      </c>
      <c r="CQ1" s="147" t="inlineStr">
        <is>
          <t>Adeslas Extra Negocios NIF 3</t>
        </is>
      </c>
      <c r="CR1" s="147" t="inlineStr">
        <is>
          <t>Adeslas Extra Negocios NIF 4</t>
        </is>
      </c>
      <c r="CS1" s="148" t="n"/>
      <c r="CT1" s="147" t="inlineStr">
        <is>
          <t>Tramo edad (3 o + aseg)</t>
        </is>
      </c>
      <c r="CU1" s="147" t="inlineStr">
        <is>
          <t>Adeslas Extra Negocios NIF 1</t>
        </is>
      </c>
      <c r="CV1" s="147" t="inlineStr">
        <is>
          <t>Adeslas Extra Negocios NIF 2</t>
        </is>
      </c>
      <c r="CW1" s="147" t="inlineStr">
        <is>
          <t>Adeslas Extra Negocios NIF 3</t>
        </is>
      </c>
      <c r="CX1" s="147" t="inlineStr">
        <is>
          <t>Adeslas Extra Negocios NIF 4</t>
        </is>
      </c>
      <c r="CY1" s="148" t="n"/>
      <c r="CZ1" s="149" t="n"/>
      <c r="DA1" s="149" t="n"/>
      <c r="DC1" s="147" t="inlineStr">
        <is>
          <t>Tramo edad</t>
        </is>
      </c>
      <c r="DD1" s="147" t="inlineStr">
        <is>
          <t>Adeslas Plena Extra 150 1</t>
        </is>
      </c>
      <c r="DE1" s="147" t="inlineStr">
        <is>
          <t>Adeslas Plena Extra 150 2</t>
        </is>
      </c>
      <c r="DF1" s="147" t="inlineStr">
        <is>
          <t>Adeslas Plena Extra 150 3</t>
        </is>
      </c>
      <c r="DG1" s="147" t="inlineStr">
        <is>
          <t>Adeslas Plena Extra 150 4</t>
        </is>
      </c>
      <c r="DI1" s="147" t="inlineStr">
        <is>
          <t>Tramo edad</t>
        </is>
      </c>
      <c r="DJ1" s="147" t="inlineStr">
        <is>
          <t>Adeslas Plena Total Vital 1</t>
        </is>
      </c>
      <c r="DK1" s="147" t="inlineStr">
        <is>
          <t>Adeslas Plena Total Vital 2</t>
        </is>
      </c>
      <c r="DL1" s="147" t="inlineStr">
        <is>
          <t>Adeslas Plena Total Vital 3</t>
        </is>
      </c>
      <c r="DM1" s="147" t="inlineStr">
        <is>
          <t>Adeslas Plena Total Vital 4</t>
        </is>
      </c>
    </row>
    <row r="2" ht="16.5" customHeight="1" s="241">
      <c r="A2" s="171" t="n">
        <v>0</v>
      </c>
      <c r="B2" s="171" t="n">
        <v>54</v>
      </c>
      <c r="C2" s="171" t="inlineStr">
        <is>
          <t>Go 1</t>
        </is>
      </c>
      <c r="D2" s="170" t="n">
        <v>21</v>
      </c>
      <c r="E2" s="5" t="n"/>
      <c r="F2" s="5" t="n">
        <v>1</v>
      </c>
      <c r="G2" s="150" t="n">
        <v>8.93</v>
      </c>
      <c r="H2" s="150" t="n">
        <v>8.93</v>
      </c>
      <c r="I2" s="5" t="n"/>
      <c r="J2" s="151" t="n">
        <v>0</v>
      </c>
      <c r="K2" s="152" t="n">
        <v>20</v>
      </c>
      <c r="L2" s="152" t="n">
        <v>21</v>
      </c>
      <c r="M2" s="152" t="n">
        <v>21</v>
      </c>
      <c r="N2" s="152" t="n">
        <v>22</v>
      </c>
      <c r="O2" s="5" t="n"/>
      <c r="P2" s="153" t="n">
        <v>0</v>
      </c>
      <c r="Q2" s="152" t="n">
        <v>37</v>
      </c>
      <c r="R2" s="152" t="n">
        <v>38</v>
      </c>
      <c r="S2" s="152" t="n">
        <v>39</v>
      </c>
      <c r="T2" s="152" t="n">
        <v>40</v>
      </c>
      <c r="U2" s="5" t="n"/>
      <c r="V2" s="153" t="n">
        <v>0</v>
      </c>
      <c r="W2" s="152" t="n">
        <v>49</v>
      </c>
      <c r="X2" s="152" t="n">
        <v>50</v>
      </c>
      <c r="Y2" s="152" t="n">
        <v>51</v>
      </c>
      <c r="Z2" s="152" t="n">
        <v>52</v>
      </c>
      <c r="AA2" s="5" t="n"/>
      <c r="AB2" s="153" t="n">
        <v>0</v>
      </c>
      <c r="AC2" s="152" t="n">
        <v>59</v>
      </c>
      <c r="AD2" s="152" t="n">
        <v>61</v>
      </c>
      <c r="AE2" s="152" t="n">
        <v>63</v>
      </c>
      <c r="AF2" s="152" t="n">
        <v>64</v>
      </c>
      <c r="AG2" s="5" t="n"/>
      <c r="AH2" s="153" t="n">
        <v>0</v>
      </c>
      <c r="AI2" s="152" t="n">
        <v>80</v>
      </c>
      <c r="AJ2" s="152" t="n">
        <v>81</v>
      </c>
      <c r="AK2" s="152" t="n">
        <v>83</v>
      </c>
      <c r="AL2" s="152" t="n">
        <v>84</v>
      </c>
      <c r="AM2" s="5" t="n"/>
      <c r="AN2" s="153" t="n">
        <v>0</v>
      </c>
      <c r="AO2" s="154" t="n">
        <v>49</v>
      </c>
      <c r="AP2" s="154" t="n">
        <v>50</v>
      </c>
      <c r="AQ2" s="154" t="n">
        <v>52</v>
      </c>
      <c r="AR2" s="154" t="n">
        <v>53</v>
      </c>
      <c r="AS2" s="5" t="n"/>
      <c r="AT2" s="153" t="n">
        <v>0</v>
      </c>
      <c r="AU2" s="154" t="n">
        <v>72</v>
      </c>
      <c r="AV2" s="154" t="n">
        <v>73</v>
      </c>
      <c r="AW2" s="154" t="n">
        <v>76</v>
      </c>
      <c r="AX2" s="154" t="n">
        <v>77</v>
      </c>
      <c r="AY2" s="5" t="n"/>
      <c r="AZ2" s="153" t="n">
        <v>0</v>
      </c>
      <c r="BA2" s="154" t="n">
        <v>53.5</v>
      </c>
      <c r="BB2" s="154" t="n">
        <v>55.5</v>
      </c>
      <c r="BC2" s="154" t="n">
        <v>57</v>
      </c>
      <c r="BD2" s="154" t="n">
        <v>58</v>
      </c>
      <c r="BE2" s="5" t="n"/>
      <c r="BF2" s="153" t="n">
        <v>0</v>
      </c>
      <c r="BG2" s="154" t="n">
        <v>75.5</v>
      </c>
      <c r="BH2" s="154" t="n">
        <v>77.5</v>
      </c>
      <c r="BI2" s="154" t="n">
        <v>80.5</v>
      </c>
      <c r="BJ2" s="154" t="n">
        <v>82</v>
      </c>
      <c r="BK2" s="5" t="n"/>
      <c r="BL2" s="155" t="n">
        <v>0</v>
      </c>
      <c r="BM2" s="156" t="inlineStr">
        <is>
          <t>No asegurable</t>
        </is>
      </c>
      <c r="BN2" s="156" t="inlineStr">
        <is>
          <t>No asegurable</t>
        </is>
      </c>
      <c r="BO2" s="156" t="inlineStr">
        <is>
          <t>No asegurable</t>
        </is>
      </c>
      <c r="BP2" s="156" t="inlineStr">
        <is>
          <t>No asegurable</t>
        </is>
      </c>
      <c r="BQ2" s="5" t="n"/>
      <c r="BR2" s="155" t="n">
        <v>0</v>
      </c>
      <c r="BS2" s="152" t="inlineStr">
        <is>
          <t>No asegurable</t>
        </is>
      </c>
      <c r="BT2" s="152" t="inlineStr">
        <is>
          <t>No asegurable</t>
        </is>
      </c>
      <c r="BU2" s="152" t="inlineStr">
        <is>
          <t>No asegurable</t>
        </is>
      </c>
      <c r="BV2" s="152" t="inlineStr">
        <is>
          <t>No asegurable</t>
        </is>
      </c>
      <c r="BW2" s="5" t="n"/>
      <c r="BX2" s="155" t="n">
        <v>1</v>
      </c>
      <c r="BY2" s="157" t="n">
        <v>8.93</v>
      </c>
      <c r="BZ2" s="157">
        <f>BY2*BX2</f>
        <v/>
      </c>
      <c r="CA2" s="5" t="n"/>
      <c r="CB2" s="153" t="n">
        <v>0</v>
      </c>
      <c r="CC2" s="152" t="n">
        <v>58</v>
      </c>
      <c r="CD2" s="152" t="n">
        <v>60</v>
      </c>
      <c r="CE2" s="152" t="n">
        <v>62</v>
      </c>
      <c r="CF2" s="152" t="n">
        <v>63</v>
      </c>
      <c r="CH2" s="153" t="n">
        <v>0</v>
      </c>
      <c r="CI2" s="154" t="n">
        <v>53.5</v>
      </c>
      <c r="CJ2" s="154" t="n">
        <v>54.5</v>
      </c>
      <c r="CK2" s="154" t="n">
        <v>56.5</v>
      </c>
      <c r="CL2" s="154" t="n">
        <v>58</v>
      </c>
      <c r="CM2" s="158" t="n"/>
      <c r="CN2" s="153" t="n">
        <v>0</v>
      </c>
      <c r="CO2" s="152" t="n">
        <v>87</v>
      </c>
      <c r="CP2" s="152" t="n">
        <v>90</v>
      </c>
      <c r="CQ2" s="152" t="n">
        <v>98</v>
      </c>
      <c r="CR2" s="152" t="n">
        <v>98</v>
      </c>
      <c r="CS2" s="158" t="n"/>
      <c r="CT2" s="153" t="n">
        <v>0</v>
      </c>
      <c r="CU2" s="154" t="n">
        <v>78.3</v>
      </c>
      <c r="CV2" s="154" t="n">
        <v>81</v>
      </c>
      <c r="CW2" s="154" t="n">
        <v>88.2</v>
      </c>
      <c r="CX2" s="154" t="n">
        <v>88.2</v>
      </c>
      <c r="CY2" s="158" t="n"/>
      <c r="CZ2" s="159" t="n"/>
      <c r="DA2" s="160" t="n"/>
      <c r="DC2" s="153" t="n">
        <v>0</v>
      </c>
      <c r="DD2" s="152" t="n">
        <v>87</v>
      </c>
      <c r="DE2" s="152" t="n">
        <v>90</v>
      </c>
      <c r="DF2" s="152" t="n">
        <v>98</v>
      </c>
      <c r="DG2" s="152" t="n">
        <v>98</v>
      </c>
      <c r="DI2" s="153" t="n">
        <v>0</v>
      </c>
      <c r="DJ2" s="152" t="n">
        <v>47</v>
      </c>
      <c r="DK2" s="152" t="n">
        <v>48</v>
      </c>
      <c r="DL2" s="152" t="n">
        <v>49</v>
      </c>
      <c r="DM2" s="152" t="n">
        <v>50</v>
      </c>
    </row>
    <row r="3" ht="16.5" customHeight="1" s="241">
      <c r="A3" s="171" t="n">
        <v>55</v>
      </c>
      <c r="B3" s="171" t="n">
        <v>69</v>
      </c>
      <c r="C3" s="171" t="inlineStr">
        <is>
          <t>Go 1</t>
        </is>
      </c>
      <c r="D3" s="170" t="n">
        <v>37.5</v>
      </c>
      <c r="E3" s="5" t="n"/>
      <c r="F3" s="5" t="n">
        <v>2</v>
      </c>
      <c r="G3" s="150" t="n">
        <v>6.37</v>
      </c>
      <c r="H3" s="150" t="n">
        <v>12.74</v>
      </c>
      <c r="I3" s="5" t="n"/>
      <c r="J3" s="153" t="n">
        <v>55</v>
      </c>
      <c r="K3" s="152" t="n">
        <v>37</v>
      </c>
      <c r="L3" s="152" t="n">
        <v>37</v>
      </c>
      <c r="M3" s="152" t="n">
        <v>38</v>
      </c>
      <c r="N3" s="152" t="n">
        <v>38</v>
      </c>
      <c r="O3" s="5" t="n"/>
      <c r="P3" s="153" t="n">
        <v>25</v>
      </c>
      <c r="Q3" s="152" t="n">
        <v>48</v>
      </c>
      <c r="R3" s="152" t="n">
        <v>49</v>
      </c>
      <c r="S3" s="152" t="n">
        <v>50</v>
      </c>
      <c r="T3" s="152" t="n">
        <v>51</v>
      </c>
      <c r="U3" s="5" t="n"/>
      <c r="V3" s="153" t="n">
        <v>25</v>
      </c>
      <c r="W3" s="152" t="n">
        <v>58</v>
      </c>
      <c r="X3" s="152" t="n">
        <v>59</v>
      </c>
      <c r="Y3" s="152" t="n">
        <v>61</v>
      </c>
      <c r="Z3" s="152" t="n">
        <v>62</v>
      </c>
      <c r="AA3" s="5" t="n"/>
      <c r="AB3" s="153" t="n">
        <v>25</v>
      </c>
      <c r="AC3" s="152" t="n">
        <v>69</v>
      </c>
      <c r="AD3" s="152" t="n">
        <v>71</v>
      </c>
      <c r="AE3" s="152" t="n">
        <v>73</v>
      </c>
      <c r="AF3" s="152" t="n">
        <v>75</v>
      </c>
      <c r="AG3" s="5" t="n"/>
      <c r="AH3" s="153" t="n">
        <v>25</v>
      </c>
      <c r="AI3" s="152" t="n">
        <v>95</v>
      </c>
      <c r="AJ3" s="152" t="n">
        <v>98</v>
      </c>
      <c r="AK3" s="152" t="n">
        <v>100</v>
      </c>
      <c r="AL3" s="152" t="n">
        <v>103</v>
      </c>
      <c r="AM3" s="5" t="n"/>
      <c r="AN3" s="153" t="n">
        <v>45</v>
      </c>
      <c r="AO3" s="154" t="n">
        <v>56.5</v>
      </c>
      <c r="AP3" s="154" t="n">
        <v>58.5</v>
      </c>
      <c r="AQ3" s="154" t="n">
        <v>60.5</v>
      </c>
      <c r="AR3" s="154" t="n">
        <v>61.5</v>
      </c>
      <c r="AS3" s="5" t="n"/>
      <c r="AT3" s="153" t="n">
        <v>45</v>
      </c>
      <c r="AU3" s="154" t="n">
        <v>73.5</v>
      </c>
      <c r="AV3" s="154" t="n">
        <v>75.5</v>
      </c>
      <c r="AW3" s="154" t="n">
        <v>78.5</v>
      </c>
      <c r="AX3" s="154" t="n">
        <v>79.5</v>
      </c>
      <c r="AY3" s="5" t="n"/>
      <c r="AZ3" s="153" t="n">
        <v>66</v>
      </c>
      <c r="BA3" s="154" t="n">
        <v>82</v>
      </c>
      <c r="BB3" s="154" t="n">
        <v>84</v>
      </c>
      <c r="BC3" s="154" t="n">
        <v>87</v>
      </c>
      <c r="BD3" s="154" t="n">
        <v>89</v>
      </c>
      <c r="BE3" s="5" t="n"/>
      <c r="BF3" s="153" t="n">
        <v>66</v>
      </c>
      <c r="BG3" s="154" t="n">
        <v>97</v>
      </c>
      <c r="BH3" s="154" t="n">
        <v>100</v>
      </c>
      <c r="BI3" s="154" t="n">
        <v>103</v>
      </c>
      <c r="BJ3" s="154" t="n">
        <v>105</v>
      </c>
      <c r="BK3" s="5" t="n"/>
      <c r="BL3" s="155" t="n">
        <v>50</v>
      </c>
      <c r="BM3" s="152" t="n">
        <v>65</v>
      </c>
      <c r="BN3" s="152" t="n">
        <v>67</v>
      </c>
      <c r="BO3" s="152" t="n">
        <v>69</v>
      </c>
      <c r="BP3" s="152" t="n">
        <v>70</v>
      </c>
      <c r="BQ3" s="5" t="n"/>
      <c r="BR3" s="155" t="n">
        <v>60</v>
      </c>
      <c r="BS3" s="152" t="n">
        <v>99</v>
      </c>
      <c r="BT3" s="152" t="n">
        <v>100</v>
      </c>
      <c r="BU3" s="152" t="n">
        <v>107</v>
      </c>
      <c r="BV3" s="152" t="n">
        <v>109</v>
      </c>
      <c r="BW3" s="5" t="n"/>
      <c r="BX3" s="155" t="n">
        <v>2</v>
      </c>
      <c r="BY3" s="157" t="n">
        <v>6.37</v>
      </c>
      <c r="BZ3" s="157">
        <f>BY3*BX3</f>
        <v/>
      </c>
      <c r="CA3" s="5" t="n"/>
      <c r="CB3" s="153" t="n">
        <v>45</v>
      </c>
      <c r="CC3" s="152" t="n">
        <v>69</v>
      </c>
      <c r="CD3" s="152" t="n">
        <v>71</v>
      </c>
      <c r="CE3" s="152" t="n">
        <v>74</v>
      </c>
      <c r="CF3" s="152" t="n">
        <v>75</v>
      </c>
      <c r="CH3" s="153" t="n">
        <v>25</v>
      </c>
      <c r="CI3" s="154" t="n">
        <v>58.5</v>
      </c>
      <c r="CJ3" s="154" t="n">
        <v>60.5</v>
      </c>
      <c r="CK3" s="154" t="n">
        <v>62.5</v>
      </c>
      <c r="CL3" s="154" t="n">
        <v>63.5</v>
      </c>
      <c r="CM3" s="158" t="n"/>
      <c r="CN3" s="153" t="n">
        <v>25</v>
      </c>
      <c r="CO3" s="152" t="n">
        <v>103</v>
      </c>
      <c r="CP3" s="152" t="n">
        <v>105</v>
      </c>
      <c r="CQ3" s="152" t="n">
        <v>115</v>
      </c>
      <c r="CR3" s="152" t="n">
        <v>115</v>
      </c>
      <c r="CS3" s="158" t="n"/>
      <c r="CT3" s="153" t="n">
        <v>25</v>
      </c>
      <c r="CU3" s="154" t="n">
        <v>92.7</v>
      </c>
      <c r="CV3" s="154" t="n">
        <v>94.5</v>
      </c>
      <c r="CW3" s="154" t="n">
        <v>103.5</v>
      </c>
      <c r="CX3" s="154" t="n">
        <v>103.5</v>
      </c>
      <c r="CY3" s="158" t="n"/>
      <c r="CZ3" s="159" t="n"/>
      <c r="DA3" s="160" t="n"/>
      <c r="DC3" s="153" t="n">
        <v>25</v>
      </c>
      <c r="DD3" s="152" t="n">
        <v>103</v>
      </c>
      <c r="DE3" s="152" t="n">
        <v>105</v>
      </c>
      <c r="DF3" s="152" t="n">
        <v>115</v>
      </c>
      <c r="DG3" s="152" t="n">
        <v>115</v>
      </c>
      <c r="DI3" s="153" t="n">
        <v>25</v>
      </c>
      <c r="DJ3" s="152" t="n">
        <v>58</v>
      </c>
      <c r="DK3" s="152" t="n">
        <v>59</v>
      </c>
      <c r="DL3" s="152" t="n">
        <v>60</v>
      </c>
      <c r="DM3" s="152" t="n">
        <v>61</v>
      </c>
    </row>
    <row r="4" ht="16.5" customHeight="1" s="241">
      <c r="A4" s="171" t="n">
        <v>70</v>
      </c>
      <c r="B4" s="171" t="n">
        <v>120</v>
      </c>
      <c r="C4" s="171" t="inlineStr">
        <is>
          <t>Go 1</t>
        </is>
      </c>
      <c r="D4" s="170" t="n">
        <v>50</v>
      </c>
      <c r="E4" s="5" t="n"/>
      <c r="F4" s="5" t="n">
        <v>3</v>
      </c>
      <c r="G4" s="150" t="n">
        <v>5.95</v>
      </c>
      <c r="H4" s="150" t="n">
        <v>17.85</v>
      </c>
      <c r="I4" s="5" t="n"/>
      <c r="J4" s="153" t="n">
        <v>70</v>
      </c>
      <c r="K4" s="152" t="n">
        <v>45</v>
      </c>
      <c r="L4" s="152" t="n">
        <v>45</v>
      </c>
      <c r="M4" s="152" t="n">
        <v>45</v>
      </c>
      <c r="N4" s="152" t="n">
        <v>45</v>
      </c>
      <c r="O4" s="5" t="n"/>
      <c r="P4" s="153" t="n">
        <v>45</v>
      </c>
      <c r="Q4" s="152" t="n">
        <v>59</v>
      </c>
      <c r="R4" s="152" t="n">
        <v>60</v>
      </c>
      <c r="S4" s="152" t="n">
        <v>61</v>
      </c>
      <c r="T4" s="152" t="n">
        <v>62</v>
      </c>
      <c r="U4" s="5" t="n"/>
      <c r="V4" s="153" t="n">
        <v>45</v>
      </c>
      <c r="W4" s="152" t="n">
        <v>69</v>
      </c>
      <c r="X4" s="152" t="n">
        <v>70</v>
      </c>
      <c r="Y4" s="152" t="n">
        <v>72</v>
      </c>
      <c r="Z4" s="152" t="n">
        <v>74</v>
      </c>
      <c r="AA4" s="5" t="n"/>
      <c r="AB4" s="153" t="n">
        <v>45</v>
      </c>
      <c r="AC4" s="152" t="n">
        <v>88</v>
      </c>
      <c r="AD4" s="152" t="n">
        <v>89</v>
      </c>
      <c r="AE4" s="152" t="n">
        <v>93</v>
      </c>
      <c r="AF4" s="152" t="n">
        <v>94</v>
      </c>
      <c r="AG4" s="5" t="n"/>
      <c r="AH4" s="153" t="n">
        <v>45</v>
      </c>
      <c r="AI4" s="152" t="n">
        <v>114</v>
      </c>
      <c r="AJ4" s="152" t="n">
        <v>117</v>
      </c>
      <c r="AK4" s="152" t="n">
        <v>122</v>
      </c>
      <c r="AL4" s="152" t="n">
        <v>125</v>
      </c>
      <c r="AM4" s="5" t="n"/>
      <c r="AN4" s="153" t="n">
        <v>55</v>
      </c>
      <c r="AO4" s="154" t="n">
        <v>71.5</v>
      </c>
      <c r="AP4" s="154" t="n">
        <v>74.5</v>
      </c>
      <c r="AQ4" s="154" t="n">
        <v>76.5</v>
      </c>
      <c r="AR4" s="154" t="n">
        <v>79.5</v>
      </c>
      <c r="AS4" s="5" t="n"/>
      <c r="AT4" s="153" t="n">
        <v>55</v>
      </c>
      <c r="AU4" s="154" t="n">
        <v>102</v>
      </c>
      <c r="AV4" s="154" t="n">
        <v>106</v>
      </c>
      <c r="AW4" s="154" t="n">
        <v>109</v>
      </c>
      <c r="AX4" s="154" t="n">
        <v>111</v>
      </c>
      <c r="AY4" s="5" t="n"/>
      <c r="AZ4" s="153" t="n">
        <v>68</v>
      </c>
      <c r="BA4" s="154" t="n">
        <v>153</v>
      </c>
      <c r="BB4" s="154" t="n">
        <v>159</v>
      </c>
      <c r="BC4" s="154" t="n">
        <v>166</v>
      </c>
      <c r="BD4" s="154" t="n">
        <v>170</v>
      </c>
      <c r="BE4" s="5" t="n"/>
      <c r="BF4" s="153" t="n">
        <v>68</v>
      </c>
      <c r="BG4" s="154" t="n">
        <v>182</v>
      </c>
      <c r="BH4" s="154" t="n">
        <v>190</v>
      </c>
      <c r="BI4" s="154" t="n">
        <v>197</v>
      </c>
      <c r="BJ4" s="154" t="n">
        <v>200</v>
      </c>
      <c r="BK4" s="5" t="n"/>
      <c r="BL4" s="155" t="n">
        <v>55</v>
      </c>
      <c r="BM4" s="152" t="n">
        <v>65</v>
      </c>
      <c r="BN4" s="152" t="n">
        <v>67</v>
      </c>
      <c r="BO4" s="152" t="n">
        <v>69</v>
      </c>
      <c r="BP4" s="152" t="n">
        <v>70</v>
      </c>
      <c r="BQ4" s="5" t="n"/>
      <c r="BR4" s="155" t="n">
        <v>63</v>
      </c>
      <c r="BS4" s="152" t="n">
        <v>99</v>
      </c>
      <c r="BT4" s="152" t="n">
        <v>100</v>
      </c>
      <c r="BU4" s="152" t="n">
        <v>107</v>
      </c>
      <c r="BV4" s="152" t="n">
        <v>109</v>
      </c>
      <c r="BW4" s="5" t="n"/>
      <c r="BX4" s="155" t="n">
        <v>3</v>
      </c>
      <c r="BY4" s="157">
        <f>17.85/3</f>
        <v/>
      </c>
      <c r="BZ4" s="157">
        <f>BY4*BX4</f>
        <v/>
      </c>
      <c r="CA4" s="5" t="n"/>
      <c r="CB4" s="153" t="n">
        <v>55</v>
      </c>
      <c r="CC4" s="152" t="n">
        <v>88</v>
      </c>
      <c r="CD4" s="152" t="n">
        <v>89</v>
      </c>
      <c r="CE4" s="152" t="n">
        <v>94</v>
      </c>
      <c r="CF4" s="152" t="n">
        <v>96</v>
      </c>
      <c r="CH4" s="153" t="n">
        <v>45</v>
      </c>
      <c r="CI4" s="152" t="n">
        <v>75</v>
      </c>
      <c r="CJ4" s="152" t="n">
        <v>77</v>
      </c>
      <c r="CK4" s="152" t="n">
        <v>80</v>
      </c>
      <c r="CL4" s="152" t="n">
        <v>81</v>
      </c>
      <c r="CM4" s="158" t="n"/>
      <c r="CN4" s="153" t="n">
        <v>45</v>
      </c>
      <c r="CO4" s="152" t="n">
        <v>108</v>
      </c>
      <c r="CP4" s="152" t="n">
        <v>112</v>
      </c>
      <c r="CQ4" s="152" t="n">
        <v>122</v>
      </c>
      <c r="CR4" s="152" t="n">
        <v>122</v>
      </c>
      <c r="CS4" s="158" t="n"/>
      <c r="CT4" s="153" t="n">
        <v>45</v>
      </c>
      <c r="CU4" s="154" t="n">
        <v>97.2</v>
      </c>
      <c r="CV4" s="154" t="n">
        <v>100.8</v>
      </c>
      <c r="CW4" s="154" t="n">
        <v>109.8</v>
      </c>
      <c r="CX4" s="154" t="n">
        <v>109.8</v>
      </c>
      <c r="CY4" s="158" t="n"/>
      <c r="CZ4" s="159" t="n"/>
      <c r="DA4" s="160" t="n"/>
      <c r="DC4" s="153" t="n">
        <v>45</v>
      </c>
      <c r="DD4" s="152" t="n">
        <v>108</v>
      </c>
      <c r="DE4" s="152" t="n">
        <v>112</v>
      </c>
      <c r="DF4" s="152" t="n">
        <v>122</v>
      </c>
      <c r="DG4" s="152" t="n">
        <v>122</v>
      </c>
      <c r="DI4" s="153" t="n">
        <v>45</v>
      </c>
      <c r="DJ4" s="152" t="n">
        <v>69</v>
      </c>
      <c r="DK4" s="152" t="n">
        <v>70</v>
      </c>
      <c r="DL4" s="152" t="n">
        <v>71</v>
      </c>
      <c r="DM4" s="152" t="n">
        <v>72</v>
      </c>
    </row>
    <row r="5" ht="16.5" customHeight="1" s="241">
      <c r="A5" s="171" t="n">
        <v>0</v>
      </c>
      <c r="B5" s="171" t="n">
        <v>54</v>
      </c>
      <c r="C5" s="171" t="inlineStr">
        <is>
          <t>Go 2</t>
        </is>
      </c>
      <c r="D5" s="170" t="n">
        <v>21.5</v>
      </c>
      <c r="E5" s="5" t="n"/>
      <c r="F5" s="5" t="n">
        <v>4</v>
      </c>
      <c r="G5" s="150" t="n">
        <v>4.4625</v>
      </c>
      <c r="H5" s="150" t="n">
        <v>17.85</v>
      </c>
      <c r="I5" s="5" t="n"/>
      <c r="J5" s="5" t="n"/>
      <c r="K5" s="5" t="n"/>
      <c r="L5" s="5" t="n"/>
      <c r="M5" s="5" t="n"/>
      <c r="N5" s="5" t="n"/>
      <c r="O5" s="5" t="n"/>
      <c r="P5" s="153" t="n">
        <v>55</v>
      </c>
      <c r="Q5" s="152" t="n">
        <v>90</v>
      </c>
      <c r="R5" s="152" t="n">
        <v>91</v>
      </c>
      <c r="S5" s="152" t="n">
        <v>93</v>
      </c>
      <c r="T5" s="152" t="n">
        <v>94</v>
      </c>
      <c r="U5" s="5" t="n"/>
      <c r="V5" s="153" t="n">
        <v>55</v>
      </c>
      <c r="W5" s="152" t="n">
        <v>100</v>
      </c>
      <c r="X5" s="152" t="n">
        <v>102</v>
      </c>
      <c r="Y5" s="152" t="n">
        <v>103</v>
      </c>
      <c r="Z5" s="152" t="n">
        <v>105</v>
      </c>
      <c r="AA5" s="5" t="n"/>
      <c r="AB5" s="153" t="n">
        <v>55</v>
      </c>
      <c r="AC5" s="152" t="n">
        <v>141</v>
      </c>
      <c r="AD5" s="152" t="n">
        <v>145</v>
      </c>
      <c r="AE5" s="152" t="n">
        <v>150</v>
      </c>
      <c r="AF5" s="152" t="n">
        <v>151</v>
      </c>
      <c r="AG5" s="5" t="n"/>
      <c r="AH5" s="153" t="n">
        <v>55</v>
      </c>
      <c r="AI5" s="152" t="n">
        <v>155</v>
      </c>
      <c r="AJ5" s="152" t="n">
        <v>160</v>
      </c>
      <c r="AK5" s="152" t="n">
        <v>165</v>
      </c>
      <c r="AL5" s="152" t="n">
        <v>170</v>
      </c>
      <c r="AM5" s="5" t="n"/>
      <c r="AN5" s="153" t="n">
        <v>60</v>
      </c>
      <c r="AO5" s="154" t="n">
        <v>90.5</v>
      </c>
      <c r="AP5" s="154" t="n">
        <v>94.5</v>
      </c>
      <c r="AQ5" s="154" t="n">
        <v>97.5</v>
      </c>
      <c r="AR5" s="154" t="n">
        <v>99.5</v>
      </c>
      <c r="AS5" s="5" t="n"/>
      <c r="AT5" s="153" t="n">
        <v>60</v>
      </c>
      <c r="AU5" s="154" t="n">
        <v>122</v>
      </c>
      <c r="AV5" s="154" t="n">
        <v>127</v>
      </c>
      <c r="AW5" s="154" t="n">
        <v>131</v>
      </c>
      <c r="AX5" s="154" t="n">
        <v>133</v>
      </c>
      <c r="AY5" s="5" t="n"/>
      <c r="AZ5" s="161" t="n"/>
      <c r="BA5" s="162" t="n"/>
      <c r="BB5" s="162" t="n"/>
      <c r="BC5" s="162" t="n"/>
      <c r="BD5" s="162" t="n"/>
      <c r="BE5" s="5" t="n"/>
      <c r="BF5" s="5" t="n"/>
      <c r="BG5" s="5" t="n"/>
      <c r="BH5" s="5" t="n"/>
      <c r="BI5" s="5" t="n"/>
      <c r="BJ5" s="5" t="n"/>
      <c r="BK5" s="5" t="n"/>
      <c r="BL5" s="155" t="n">
        <v>60</v>
      </c>
      <c r="BM5" s="152" t="n">
        <v>82</v>
      </c>
      <c r="BN5" s="152" t="n">
        <v>85</v>
      </c>
      <c r="BO5" s="152" t="n">
        <v>88</v>
      </c>
      <c r="BP5" s="152" t="n">
        <v>89</v>
      </c>
      <c r="BQ5" s="5" t="n"/>
      <c r="BR5" s="155" t="n">
        <v>65</v>
      </c>
      <c r="BS5" s="152" t="n">
        <v>134</v>
      </c>
      <c r="BT5" s="152" t="n">
        <v>137</v>
      </c>
      <c r="BU5" s="152" t="n">
        <v>139</v>
      </c>
      <c r="BV5" s="152" t="n">
        <v>146</v>
      </c>
      <c r="BW5" s="5" t="n"/>
      <c r="BX5" s="155" t="n">
        <v>4</v>
      </c>
      <c r="BY5" s="157">
        <f>17.85/4</f>
        <v/>
      </c>
      <c r="BZ5" s="157">
        <f>BY5*BX5</f>
        <v/>
      </c>
      <c r="CA5" s="5" t="n"/>
      <c r="CB5" s="153" t="n">
        <v>60</v>
      </c>
      <c r="CC5" s="152" t="n">
        <v>112</v>
      </c>
      <c r="CD5" s="152" t="n">
        <v>116</v>
      </c>
      <c r="CE5" s="152" t="n">
        <v>121</v>
      </c>
      <c r="CF5" s="152" t="n">
        <v>125</v>
      </c>
      <c r="CH5" s="153" t="n">
        <v>55</v>
      </c>
      <c r="CI5" s="152" t="n">
        <v>115</v>
      </c>
      <c r="CJ5" s="152" t="n">
        <v>118</v>
      </c>
      <c r="CK5" s="152" t="n">
        <v>123</v>
      </c>
      <c r="CL5" s="152" t="n">
        <v>126</v>
      </c>
      <c r="CM5" s="158" t="n"/>
      <c r="CN5" s="153" t="n">
        <v>55</v>
      </c>
      <c r="CO5" s="152" t="n">
        <v>159</v>
      </c>
      <c r="CP5" s="152" t="n">
        <v>164</v>
      </c>
      <c r="CQ5" s="152" t="n">
        <v>179</v>
      </c>
      <c r="CR5" s="152" t="n">
        <v>179</v>
      </c>
      <c r="CS5" s="158" t="n"/>
      <c r="CT5" s="153" t="n">
        <v>55</v>
      </c>
      <c r="CU5" s="154" t="n">
        <v>143.1</v>
      </c>
      <c r="CV5" s="154" t="n">
        <v>147.6</v>
      </c>
      <c r="CW5" s="154" t="n">
        <v>161.1</v>
      </c>
      <c r="CX5" s="154" t="n">
        <v>161.1</v>
      </c>
      <c r="CY5" s="158" t="n"/>
      <c r="CZ5" s="159" t="n"/>
      <c r="DA5" s="160" t="n"/>
      <c r="DC5" s="153" t="n">
        <v>55</v>
      </c>
      <c r="DD5" s="152" t="n">
        <v>159</v>
      </c>
      <c r="DE5" s="152" t="n">
        <v>164</v>
      </c>
      <c r="DF5" s="152" t="n">
        <v>179</v>
      </c>
      <c r="DG5" s="152" t="n">
        <v>179</v>
      </c>
      <c r="DI5" s="153" t="n">
        <v>55</v>
      </c>
      <c r="DJ5" s="152" t="n">
        <v>100</v>
      </c>
      <c r="DK5" s="152" t="n">
        <v>101</v>
      </c>
      <c r="DL5" s="152" t="n">
        <v>103</v>
      </c>
      <c r="DM5" s="152" t="n">
        <v>104</v>
      </c>
    </row>
    <row r="6" ht="16.5" customHeight="1" s="241">
      <c r="A6" s="171" t="n">
        <v>55</v>
      </c>
      <c r="B6" s="171" t="n">
        <v>69</v>
      </c>
      <c r="C6" s="171" t="inlineStr">
        <is>
          <t>Go 2</t>
        </is>
      </c>
      <c r="D6" s="170" t="n">
        <v>39</v>
      </c>
      <c r="E6" s="5" t="n"/>
      <c r="F6" s="5" t="n">
        <v>5</v>
      </c>
      <c r="G6" s="150" t="n">
        <v>4.25</v>
      </c>
      <c r="H6" s="150" t="n">
        <v>21.25</v>
      </c>
      <c r="I6" s="5" t="n"/>
      <c r="J6" s="5" t="n"/>
      <c r="K6" s="5" t="n"/>
      <c r="L6" s="5" t="n"/>
      <c r="M6" s="5" t="n"/>
      <c r="N6" s="5" t="n"/>
      <c r="O6" s="5" t="n"/>
      <c r="P6" s="153" t="n">
        <v>60</v>
      </c>
      <c r="Q6" s="152" t="n">
        <v>110</v>
      </c>
      <c r="R6" s="152" t="n">
        <v>111</v>
      </c>
      <c r="S6" s="152" t="n">
        <v>113</v>
      </c>
      <c r="T6" s="152" t="n">
        <v>114</v>
      </c>
      <c r="U6" s="5" t="n"/>
      <c r="V6" s="153" t="n">
        <v>60</v>
      </c>
      <c r="W6" s="152" t="n">
        <v>120</v>
      </c>
      <c r="X6" s="152" t="n">
        <v>122</v>
      </c>
      <c r="Y6" s="152" t="n">
        <v>124</v>
      </c>
      <c r="Z6" s="152" t="n">
        <v>126</v>
      </c>
      <c r="AA6" s="5" t="n"/>
      <c r="AB6" s="153" t="n">
        <v>60</v>
      </c>
      <c r="AC6" s="152" t="n">
        <v>163</v>
      </c>
      <c r="AD6" s="152" t="n">
        <v>167</v>
      </c>
      <c r="AE6" s="152" t="n">
        <v>179</v>
      </c>
      <c r="AF6" s="152" t="n">
        <v>181</v>
      </c>
      <c r="AG6" s="5" t="n"/>
      <c r="AH6" s="153" t="n">
        <v>60</v>
      </c>
      <c r="AI6" s="152" t="n">
        <v>190</v>
      </c>
      <c r="AJ6" s="152" t="n">
        <v>200</v>
      </c>
      <c r="AK6" s="152" t="n">
        <v>210</v>
      </c>
      <c r="AL6" s="152" t="n">
        <v>220</v>
      </c>
      <c r="AM6" s="5" t="n"/>
      <c r="AN6" s="153" t="n">
        <v>68</v>
      </c>
      <c r="AO6" s="154" t="n">
        <v>147</v>
      </c>
      <c r="AP6" s="154" t="n">
        <v>154</v>
      </c>
      <c r="AQ6" s="154" t="n">
        <v>160</v>
      </c>
      <c r="AR6" s="154" t="n">
        <v>166</v>
      </c>
      <c r="AS6" s="5" t="n"/>
      <c r="AT6" s="153" t="n">
        <v>68</v>
      </c>
      <c r="AU6" s="154" t="n">
        <v>187</v>
      </c>
      <c r="AV6" s="154" t="n">
        <v>196</v>
      </c>
      <c r="AW6" s="154" t="n">
        <v>203</v>
      </c>
      <c r="AX6" s="154" t="n">
        <v>207</v>
      </c>
      <c r="AY6" s="5" t="n"/>
      <c r="AZ6" s="161" t="n"/>
      <c r="BA6" s="162" t="n"/>
      <c r="BB6" s="162" t="n"/>
      <c r="BC6" s="162" t="n"/>
      <c r="BD6" s="162" t="n"/>
      <c r="BE6" s="5" t="n"/>
      <c r="BF6" s="5" t="n"/>
      <c r="BG6" s="5" t="n"/>
      <c r="BH6" s="5" t="n"/>
      <c r="BI6" s="5" t="n"/>
      <c r="BJ6" s="5" t="n"/>
      <c r="BK6" s="5" t="n"/>
      <c r="BL6" s="155" t="n">
        <v>65</v>
      </c>
      <c r="BM6" s="152" t="n">
        <v>98</v>
      </c>
      <c r="BN6" s="152" t="n">
        <v>101</v>
      </c>
      <c r="BO6" s="152" t="n">
        <v>105</v>
      </c>
      <c r="BP6" s="152" t="n">
        <v>107</v>
      </c>
      <c r="BQ6" s="5" t="n"/>
      <c r="BR6" s="155" t="n">
        <v>70</v>
      </c>
      <c r="BS6" s="152" t="n">
        <v>164</v>
      </c>
      <c r="BT6" s="152" t="n">
        <v>169</v>
      </c>
      <c r="BU6" s="152" t="n">
        <v>177</v>
      </c>
      <c r="BV6" s="152" t="n">
        <v>179</v>
      </c>
      <c r="BW6" s="5" t="n"/>
      <c r="BX6" s="155" t="n">
        <v>5</v>
      </c>
      <c r="BY6" s="157">
        <f>21.25/5</f>
        <v/>
      </c>
      <c r="BZ6" s="157">
        <f>BY6*BX6</f>
        <v/>
      </c>
      <c r="CA6" s="5" t="n"/>
      <c r="CB6" s="153" t="n">
        <v>68</v>
      </c>
      <c r="CC6" s="152" t="n">
        <v>167</v>
      </c>
      <c r="CD6" s="152" t="n">
        <v>175</v>
      </c>
      <c r="CE6" s="152" t="n">
        <v>185</v>
      </c>
      <c r="CF6" s="152" t="n">
        <v>187</v>
      </c>
      <c r="CH6" s="153" t="n">
        <v>60</v>
      </c>
      <c r="CI6" s="152" t="n">
        <v>140</v>
      </c>
      <c r="CJ6" s="152" t="n">
        <v>147</v>
      </c>
      <c r="CK6" s="152" t="n">
        <v>159</v>
      </c>
      <c r="CL6" s="152" t="n">
        <v>159</v>
      </c>
      <c r="CM6" s="158" t="n"/>
      <c r="CN6" s="153" t="n">
        <v>60</v>
      </c>
      <c r="CO6" s="152" t="n">
        <v>185</v>
      </c>
      <c r="CP6" s="152" t="n">
        <v>190</v>
      </c>
      <c r="CQ6" s="152" t="n">
        <v>205</v>
      </c>
      <c r="CR6" s="152" t="n">
        <v>205</v>
      </c>
      <c r="CS6" s="158" t="n"/>
      <c r="CT6" s="153" t="n">
        <v>60</v>
      </c>
      <c r="CU6" s="154" t="n">
        <v>166.5</v>
      </c>
      <c r="CV6" s="154" t="n">
        <v>171</v>
      </c>
      <c r="CW6" s="154" t="n">
        <v>184.5</v>
      </c>
      <c r="CX6" s="154" t="n">
        <v>184.5</v>
      </c>
      <c r="CY6" s="158" t="n"/>
      <c r="CZ6" s="159" t="n"/>
      <c r="DA6" s="160" t="n"/>
      <c r="DC6" s="153" t="n">
        <v>60</v>
      </c>
      <c r="DD6" s="152" t="n">
        <v>185</v>
      </c>
      <c r="DE6" s="152" t="n">
        <v>190</v>
      </c>
      <c r="DF6" s="152" t="n">
        <v>205</v>
      </c>
      <c r="DG6" s="152" t="n">
        <v>205</v>
      </c>
      <c r="DI6" s="153" t="n">
        <v>60</v>
      </c>
      <c r="DJ6" s="152" t="n">
        <v>120</v>
      </c>
      <c r="DK6" s="152" t="n">
        <v>121</v>
      </c>
      <c r="DL6" s="152" t="n">
        <v>123</v>
      </c>
      <c r="DM6" s="152" t="n">
        <v>124</v>
      </c>
    </row>
    <row r="7" ht="16.5" customHeight="1" s="241">
      <c r="A7" s="171" t="n">
        <v>70</v>
      </c>
      <c r="B7" s="171" t="n">
        <v>120</v>
      </c>
      <c r="C7" s="171" t="inlineStr">
        <is>
          <t>Go 2</t>
        </is>
      </c>
      <c r="D7" s="170" t="n">
        <v>52</v>
      </c>
      <c r="E7" s="5" t="n"/>
      <c r="F7" s="5" t="n">
        <v>6</v>
      </c>
      <c r="G7" s="150" t="n">
        <v>3.541666666666667</v>
      </c>
      <c r="H7" s="150" t="n">
        <v>21.25</v>
      </c>
      <c r="I7" s="5" t="n"/>
      <c r="J7" s="5" t="n"/>
      <c r="K7" s="5" t="n"/>
      <c r="L7" s="5" t="n"/>
      <c r="M7" s="5" t="n"/>
      <c r="N7" s="5" t="n"/>
      <c r="O7" s="5" t="n"/>
      <c r="P7" s="153" t="n">
        <v>65</v>
      </c>
      <c r="Q7" s="152" t="n">
        <v>146</v>
      </c>
      <c r="R7" s="152" t="n">
        <v>148</v>
      </c>
      <c r="S7" s="152" t="n">
        <v>149</v>
      </c>
      <c r="T7" s="152" t="n">
        <v>150</v>
      </c>
      <c r="U7" s="5" t="n"/>
      <c r="V7" s="153" t="n">
        <v>65</v>
      </c>
      <c r="W7" s="152" t="n">
        <v>156</v>
      </c>
      <c r="X7" s="152" t="n">
        <v>158</v>
      </c>
      <c r="Y7" s="152" t="n">
        <v>160</v>
      </c>
      <c r="Z7" s="152" t="n">
        <v>162</v>
      </c>
      <c r="AA7" s="5" t="n"/>
      <c r="AB7" s="153" t="n">
        <v>65</v>
      </c>
      <c r="AC7" s="152" t="n">
        <v>224</v>
      </c>
      <c r="AD7" s="152" t="n">
        <v>236</v>
      </c>
      <c r="AE7" s="152" t="n">
        <v>253</v>
      </c>
      <c r="AF7" s="152" t="n">
        <v>255</v>
      </c>
      <c r="AG7" s="5" t="n"/>
      <c r="AH7" s="153" t="n">
        <v>63</v>
      </c>
      <c r="AI7" s="152" t="n">
        <v>250</v>
      </c>
      <c r="AJ7" s="152" t="n">
        <v>260</v>
      </c>
      <c r="AK7" s="152" t="n">
        <v>270</v>
      </c>
      <c r="AL7" s="152" t="n">
        <v>285</v>
      </c>
      <c r="AM7" s="5" t="n"/>
      <c r="AN7" s="161" t="n"/>
      <c r="AO7" s="163" t="n"/>
      <c r="AP7" s="163" t="n"/>
      <c r="AQ7" s="163" t="n"/>
      <c r="AR7" s="163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155" t="n">
        <v>70</v>
      </c>
      <c r="BM7" s="152" t="n">
        <v>129</v>
      </c>
      <c r="BN7" s="152" t="n">
        <v>132</v>
      </c>
      <c r="BO7" s="152" t="n">
        <v>137</v>
      </c>
      <c r="BP7" s="152" t="n">
        <v>140</v>
      </c>
      <c r="BQ7" s="5" t="n"/>
      <c r="BR7" s="155" t="n">
        <v>75</v>
      </c>
      <c r="BS7" s="152" t="n">
        <v>220</v>
      </c>
      <c r="BT7" s="152" t="n">
        <v>229</v>
      </c>
      <c r="BU7" s="152" t="n">
        <v>237</v>
      </c>
      <c r="BV7" s="152" t="n">
        <v>239</v>
      </c>
      <c r="BW7" s="5" t="n"/>
      <c r="BX7" s="155" t="n">
        <v>6</v>
      </c>
      <c r="BY7" s="157">
        <f>21.25/6</f>
        <v/>
      </c>
      <c r="BZ7" s="157">
        <f>BY7*BX7</f>
        <v/>
      </c>
      <c r="CA7" s="5" t="n"/>
      <c r="CB7" s="161" t="n"/>
      <c r="CC7" s="162" t="n"/>
      <c r="CD7" s="162" t="n"/>
      <c r="CE7" s="162" t="n"/>
      <c r="CF7" s="162" t="n"/>
      <c r="CH7" s="164" t="n">
        <v>65</v>
      </c>
      <c r="CI7" s="152" t="n">
        <v>215</v>
      </c>
      <c r="CJ7" s="152" t="n">
        <v>221</v>
      </c>
      <c r="CK7" s="152" t="n">
        <v>234</v>
      </c>
      <c r="CL7" s="152" t="n">
        <v>234</v>
      </c>
      <c r="CM7" s="158" t="n"/>
      <c r="CN7" s="164" t="n">
        <v>65</v>
      </c>
      <c r="CO7" s="152" t="n">
        <v>265</v>
      </c>
      <c r="CP7" s="152" t="n">
        <v>272</v>
      </c>
      <c r="CQ7" s="152" t="n">
        <v>289</v>
      </c>
      <c r="CR7" s="152" t="n">
        <v>289</v>
      </c>
      <c r="CS7" s="158" t="n"/>
      <c r="CT7" s="164" t="n">
        <v>65</v>
      </c>
      <c r="CU7" s="154" t="n">
        <v>238.5</v>
      </c>
      <c r="CV7" s="154" t="n">
        <v>244.8</v>
      </c>
      <c r="CW7" s="154" t="n">
        <v>260.1</v>
      </c>
      <c r="CX7" s="154" t="n">
        <v>260.1</v>
      </c>
      <c r="CY7" s="158" t="n"/>
      <c r="CZ7" s="159" t="n"/>
      <c r="DA7" s="160" t="n"/>
      <c r="DC7" s="153" t="n">
        <v>65</v>
      </c>
      <c r="DD7" s="152" t="n">
        <v>265</v>
      </c>
      <c r="DE7" s="152" t="n">
        <v>272</v>
      </c>
      <c r="DF7" s="152" t="n">
        <v>289</v>
      </c>
      <c r="DG7" s="152" t="n">
        <v>289</v>
      </c>
      <c r="DI7" s="153" t="n">
        <v>63</v>
      </c>
      <c r="DJ7" s="152" t="n">
        <v>180</v>
      </c>
      <c r="DK7" s="152" t="n">
        <v>185</v>
      </c>
      <c r="DL7" s="152" t="n">
        <v>190</v>
      </c>
      <c r="DM7" s="152" t="n">
        <v>200</v>
      </c>
    </row>
    <row r="8" ht="16.5" customHeight="1" s="241">
      <c r="A8" s="171" t="n">
        <v>0</v>
      </c>
      <c r="B8" s="171" t="n">
        <v>54</v>
      </c>
      <c r="C8" s="171" t="inlineStr">
        <is>
          <t>Go 3</t>
        </is>
      </c>
      <c r="D8" s="170" t="n">
        <v>22</v>
      </c>
      <c r="E8" s="5" t="n"/>
      <c r="F8" s="5" t="n">
        <v>7</v>
      </c>
      <c r="G8" s="150" t="n">
        <v>3.541666666666667</v>
      </c>
      <c r="H8" s="150" t="n">
        <v>24.79166666666666</v>
      </c>
      <c r="I8" s="5" t="n"/>
      <c r="J8" s="5" t="n"/>
      <c r="K8" s="5" t="n"/>
      <c r="L8" s="5" t="n"/>
      <c r="M8" s="5" t="n"/>
      <c r="N8" s="5" t="n"/>
      <c r="O8" s="5" t="n"/>
      <c r="P8" s="153" t="n">
        <v>70</v>
      </c>
      <c r="Q8" s="152" t="n">
        <v>156</v>
      </c>
      <c r="R8" s="152" t="n">
        <v>158</v>
      </c>
      <c r="S8" s="152" t="n">
        <v>159</v>
      </c>
      <c r="T8" s="152" t="n">
        <v>161</v>
      </c>
      <c r="U8" s="5" t="n"/>
      <c r="V8" s="153" t="n">
        <v>70</v>
      </c>
      <c r="W8" s="152" t="n">
        <v>211</v>
      </c>
      <c r="X8" s="152" t="n">
        <v>213</v>
      </c>
      <c r="Y8" s="152" t="n">
        <v>215</v>
      </c>
      <c r="Z8" s="152" t="n">
        <v>217</v>
      </c>
      <c r="AA8" s="5" t="n"/>
      <c r="AB8" s="153" t="n">
        <v>70</v>
      </c>
      <c r="AC8" s="152" t="n">
        <v>235</v>
      </c>
      <c r="AD8" s="152" t="n">
        <v>245</v>
      </c>
      <c r="AE8" s="152" t="n">
        <v>259</v>
      </c>
      <c r="AF8" s="152" t="n">
        <v>260</v>
      </c>
      <c r="AG8" s="5" t="n"/>
      <c r="AH8" s="5" t="n"/>
      <c r="AI8" s="5" t="n"/>
      <c r="AJ8" s="5" t="n"/>
      <c r="AK8" s="5" t="n"/>
      <c r="AL8" s="5" t="n"/>
      <c r="AM8" s="5" t="n"/>
      <c r="AN8" s="161" t="n"/>
      <c r="AO8" s="163" t="n"/>
      <c r="AP8" s="163" t="n"/>
      <c r="AQ8" s="163" t="n"/>
      <c r="AR8" s="163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155" t="n">
        <v>75</v>
      </c>
      <c r="BM8" s="152" t="n">
        <v>155</v>
      </c>
      <c r="BN8" s="152" t="n">
        <v>159</v>
      </c>
      <c r="BO8" s="152" t="n">
        <v>165</v>
      </c>
      <c r="BP8" s="152" t="n">
        <v>168</v>
      </c>
      <c r="BQ8" s="5" t="n"/>
      <c r="BR8" s="155" t="n">
        <v>85</v>
      </c>
      <c r="BS8" s="152" t="inlineStr">
        <is>
          <t>No asegurable</t>
        </is>
      </c>
      <c r="BT8" s="152" t="inlineStr">
        <is>
          <t>No asegurable</t>
        </is>
      </c>
      <c r="BU8" s="152" t="inlineStr">
        <is>
          <t>No asegurable</t>
        </is>
      </c>
      <c r="BV8" s="152" t="inlineStr">
        <is>
          <t>No asegurable</t>
        </is>
      </c>
      <c r="BW8" s="5" t="n"/>
      <c r="BX8" s="155" t="n">
        <v>7</v>
      </c>
      <c r="BY8" s="157">
        <f>21.25/6</f>
        <v/>
      </c>
      <c r="BZ8" s="157">
        <f>BY8*BX8</f>
        <v/>
      </c>
      <c r="CA8" s="5" t="n"/>
      <c r="CB8" s="161" t="n"/>
      <c r="CC8" s="162" t="n"/>
      <c r="CD8" s="162" t="n"/>
      <c r="CE8" s="162" t="n"/>
      <c r="CF8" s="162" t="n"/>
      <c r="CH8" s="164" t="n">
        <v>70</v>
      </c>
      <c r="CI8" s="152" t="n">
        <v>220</v>
      </c>
      <c r="CJ8" s="152" t="n">
        <v>229</v>
      </c>
      <c r="CK8" s="152" t="n">
        <v>241</v>
      </c>
      <c r="CL8" s="152" t="n">
        <v>242</v>
      </c>
      <c r="CN8" s="164" t="n">
        <v>70</v>
      </c>
      <c r="CO8" s="152" t="n">
        <v>275</v>
      </c>
      <c r="CP8" s="152" t="n">
        <v>282</v>
      </c>
      <c r="CQ8" s="152" t="n">
        <v>299</v>
      </c>
      <c r="CR8" s="152" t="n">
        <v>299</v>
      </c>
      <c r="CT8" s="164" t="n">
        <v>70</v>
      </c>
      <c r="CU8" s="154" t="n">
        <v>247.5</v>
      </c>
      <c r="CV8" s="154" t="n">
        <v>253.8</v>
      </c>
      <c r="CW8" s="154" t="n">
        <v>269.1</v>
      </c>
      <c r="CX8" s="154" t="n">
        <v>269.1</v>
      </c>
      <c r="DC8" s="153" t="n">
        <v>70</v>
      </c>
      <c r="DD8" s="152" t="n">
        <v>275</v>
      </c>
      <c r="DE8" s="152" t="n">
        <v>282</v>
      </c>
      <c r="DF8" s="152" t="n">
        <v>299</v>
      </c>
      <c r="DG8" s="152" t="n">
        <v>299</v>
      </c>
      <c r="DI8" s="153" t="n"/>
      <c r="DJ8" s="152" t="n"/>
      <c r="DK8" s="152" t="n"/>
      <c r="DL8" s="152" t="n"/>
      <c r="DM8" s="152" t="n"/>
    </row>
    <row r="9" ht="16.5" customHeight="1" s="241">
      <c r="A9" s="171" t="n">
        <v>55</v>
      </c>
      <c r="B9" s="171" t="n">
        <v>69</v>
      </c>
      <c r="C9" s="171" t="inlineStr">
        <is>
          <t>Go 3</t>
        </is>
      </c>
      <c r="D9" s="170" t="n">
        <v>39.5</v>
      </c>
      <c r="E9" s="5" t="n"/>
      <c r="F9" s="5" t="n">
        <v>8</v>
      </c>
      <c r="G9" s="150" t="n">
        <v>3.541666666666667</v>
      </c>
      <c r="H9" s="150" t="n">
        <v>28.33333333333333</v>
      </c>
      <c r="I9" s="5" t="n"/>
      <c r="N9" s="5" t="n"/>
      <c r="O9" s="5" t="n"/>
      <c r="P9" s="5" t="n"/>
      <c r="U9" s="5" t="n"/>
      <c r="V9" s="5" t="n"/>
      <c r="AA9" s="5" t="n"/>
      <c r="AB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163" t="n"/>
      <c r="AP9" s="163" t="n"/>
      <c r="AQ9" s="163" t="n"/>
      <c r="AR9" s="163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155" t="n">
        <v>80</v>
      </c>
      <c r="BM9" s="152" t="n">
        <v>160</v>
      </c>
      <c r="BN9" s="152" t="n">
        <v>165</v>
      </c>
      <c r="BO9" s="152" t="n">
        <v>171</v>
      </c>
      <c r="BP9" s="152" t="n">
        <v>174</v>
      </c>
      <c r="BQ9" s="5" t="n"/>
      <c r="BR9" s="5" t="n"/>
      <c r="BS9" s="5" t="n"/>
      <c r="BT9" s="5" t="n"/>
      <c r="BU9" s="5" t="n"/>
      <c r="BV9" s="5" t="n"/>
      <c r="BW9" s="5" t="n"/>
      <c r="BX9" s="155" t="n">
        <v>8</v>
      </c>
      <c r="BY9" s="157">
        <f>21.25/6</f>
        <v/>
      </c>
      <c r="BZ9" s="157">
        <f>BY9*BX9</f>
        <v/>
      </c>
      <c r="CA9" s="5" t="n"/>
      <c r="CB9" s="5" t="inlineStr">
        <is>
          <t>PRECIO NUEVO CON 10% DTO</t>
        </is>
      </c>
      <c r="CD9" s="163" t="n"/>
      <c r="CE9" s="163" t="n"/>
      <c r="CF9" s="163" t="n"/>
    </row>
    <row r="10" ht="16.5" customHeight="1" s="241">
      <c r="A10" s="171" t="n">
        <v>70</v>
      </c>
      <c r="B10" s="171" t="n">
        <v>120</v>
      </c>
      <c r="C10" s="171" t="inlineStr">
        <is>
          <t>Go 3</t>
        </is>
      </c>
      <c r="D10" s="170" t="n">
        <v>53</v>
      </c>
      <c r="E10" s="5" t="n"/>
      <c r="F10" s="5" t="n"/>
      <c r="G10" s="5" t="n"/>
      <c r="H10" s="5" t="n"/>
      <c r="I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147" t="inlineStr">
        <is>
          <t>Tramo edad (1 a 4 aseg)</t>
        </is>
      </c>
      <c r="AO10" s="147" t="inlineStr">
        <is>
          <t>Adeslas Negocios CIF y Dental 1</t>
        </is>
      </c>
      <c r="AP10" s="147" t="inlineStr">
        <is>
          <t>Adeslas Negocios CIF y Dental 2</t>
        </is>
      </c>
      <c r="AQ10" s="147" t="inlineStr">
        <is>
          <t>Adeslas Negocios CIF y Dental 3</t>
        </is>
      </c>
      <c r="AR10" s="147" t="inlineStr">
        <is>
          <t>Adeslas Negocios CIF y Dental 4</t>
        </is>
      </c>
      <c r="AS10" s="5" t="n"/>
      <c r="AT10" s="147" t="inlineStr">
        <is>
          <t>Tramo edad (1 a 4 aseg)</t>
        </is>
      </c>
      <c r="AU10" s="147" t="inlineStr">
        <is>
          <t>Adeslas Extra Negocios CIF y dental 1</t>
        </is>
      </c>
      <c r="AV10" s="147" t="inlineStr">
        <is>
          <t>Adeslas Extra Negocios CIF y dental 2</t>
        </is>
      </c>
      <c r="AW10" s="147" t="inlineStr">
        <is>
          <t>Adeslas Extra Negocios CIF y dental 3</t>
        </is>
      </c>
      <c r="AX10" s="147" t="inlineStr">
        <is>
          <t>Adeslas Extra Negocios CIF y dental 4</t>
        </is>
      </c>
      <c r="AY10" s="5" t="n"/>
      <c r="AZ10" s="147" t="inlineStr">
        <is>
          <t>Tramo edad (5 o + aseg)</t>
        </is>
      </c>
      <c r="BA10" s="147" t="inlineStr">
        <is>
          <t>Adeslas Empresas  y dental 1</t>
        </is>
      </c>
      <c r="BB10" s="147" t="inlineStr">
        <is>
          <t>Adeslas Empresas  y dental 2</t>
        </is>
      </c>
      <c r="BC10" s="147" t="inlineStr">
        <is>
          <t>Adeslas Empresas  y dental 3</t>
        </is>
      </c>
      <c r="BD10" s="147" t="inlineStr">
        <is>
          <t>Adeslas Empresas  y dental 4</t>
        </is>
      </c>
      <c r="BE10" s="5" t="n"/>
      <c r="BF10" s="147" t="inlineStr">
        <is>
          <t>Tramo edad (5 o + aseg)</t>
        </is>
      </c>
      <c r="BG10" s="147" t="inlineStr">
        <is>
          <t>Adeslas Extra Empresas  y dental 1</t>
        </is>
      </c>
      <c r="BH10" s="147" t="inlineStr">
        <is>
          <t>Adeslas Extra Empresas  y dental 2</t>
        </is>
      </c>
      <c r="BI10" s="147" t="inlineStr">
        <is>
          <t>Adeslas Extra Empresas  y dental 3</t>
        </is>
      </c>
      <c r="BJ10" s="147" t="inlineStr">
        <is>
          <t>Adeslas Extra Empresas  y dental 4</t>
        </is>
      </c>
      <c r="BK10" s="5" t="n"/>
      <c r="BL10" s="155" t="n">
        <v>85</v>
      </c>
      <c r="BM10" s="156" t="inlineStr">
        <is>
          <t>No asegurable</t>
        </is>
      </c>
      <c r="BN10" s="156" t="inlineStr">
        <is>
          <t>No asegurable</t>
        </is>
      </c>
      <c r="BO10" s="156" t="inlineStr">
        <is>
          <t>No asegurable</t>
        </is>
      </c>
      <c r="BP10" s="156" t="inlineStr">
        <is>
          <t>No asegurable</t>
        </is>
      </c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inlineStr">
        <is>
          <t>Tramo edad</t>
        </is>
      </c>
      <c r="CC10" s="165" t="inlineStr">
        <is>
          <t>Adeslas Pymes Total 1</t>
        </is>
      </c>
      <c r="CD10" s="165" t="inlineStr">
        <is>
          <t>Adeslas Pymes Total 2</t>
        </is>
      </c>
      <c r="CE10" s="165" t="inlineStr">
        <is>
          <t>Adeslas Pymes Total 3</t>
        </is>
      </c>
      <c r="CF10" s="165" t="inlineStr">
        <is>
          <t>Adeslas Pymes Total 4</t>
        </is>
      </c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5" t="n"/>
      <c r="CX10" s="5" t="n"/>
      <c r="CY10" s="5" t="n"/>
      <c r="CZ10" s="149" t="n"/>
      <c r="DA10" s="149" t="n"/>
    </row>
    <row r="11" ht="16.5" customHeight="1" s="241">
      <c r="A11" s="171" t="n">
        <v>0</v>
      </c>
      <c r="B11" s="171" t="n">
        <v>54</v>
      </c>
      <c r="C11" s="171" t="inlineStr">
        <is>
          <t>Go 4</t>
        </is>
      </c>
      <c r="D11" s="170" t="n">
        <v>22.5</v>
      </c>
      <c r="E11" s="5" t="n"/>
      <c r="F11" s="5" t="n"/>
      <c r="G11" s="5" t="n"/>
      <c r="H11" s="5" t="n"/>
      <c r="I11" s="5" t="n"/>
      <c r="N11" s="5" t="n"/>
      <c r="O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166" t="n"/>
      <c r="AL11" s="5" t="n"/>
      <c r="AM11" s="5" t="n"/>
      <c r="AN11" s="153" t="n">
        <v>0</v>
      </c>
      <c r="AO11" s="154" t="n">
        <v>53.5</v>
      </c>
      <c r="AP11" s="154" t="n">
        <v>54.5</v>
      </c>
      <c r="AQ11" s="154" t="n">
        <v>56.5</v>
      </c>
      <c r="AR11" s="154" t="n">
        <v>57.5</v>
      </c>
      <c r="AS11" s="5" t="n"/>
      <c r="AT11" s="153" t="n">
        <v>0</v>
      </c>
      <c r="AU11" s="154" t="n">
        <v>76.5</v>
      </c>
      <c r="AV11" s="154" t="n">
        <v>77.5</v>
      </c>
      <c r="AW11" s="154" t="n">
        <v>80.5</v>
      </c>
      <c r="AX11" s="154" t="n">
        <v>81.5</v>
      </c>
      <c r="AY11" s="5" t="n"/>
      <c r="AZ11" s="153" t="n">
        <v>0</v>
      </c>
      <c r="BA11" s="154" t="n">
        <v>58</v>
      </c>
      <c r="BB11" s="154" t="n">
        <v>60</v>
      </c>
      <c r="BC11" s="154" t="n">
        <v>61.5</v>
      </c>
      <c r="BD11" s="154" t="n">
        <v>62.5</v>
      </c>
      <c r="BE11" s="5" t="n"/>
      <c r="BF11" s="153" t="n">
        <v>0</v>
      </c>
      <c r="BG11" s="154" t="n">
        <v>80</v>
      </c>
      <c r="BH11" s="154" t="n">
        <v>82</v>
      </c>
      <c r="BI11" s="154" t="n">
        <v>85</v>
      </c>
      <c r="BJ11" s="154" t="n">
        <v>86.5</v>
      </c>
      <c r="BK11" s="5" t="n"/>
      <c r="BL11" s="5" t="n"/>
      <c r="BM11" s="163" t="n"/>
      <c r="BN11" s="163" t="n"/>
      <c r="BO11" s="163" t="n"/>
      <c r="BP11" s="163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>
        <v>0</v>
      </c>
      <c r="CC11" s="162">
        <f>CC2*0.9</f>
        <v/>
      </c>
      <c r="CD11" s="162">
        <f>CD2*0.9</f>
        <v/>
      </c>
      <c r="CE11" s="162">
        <f>CE2*0.9</f>
        <v/>
      </c>
      <c r="CF11" s="162">
        <f>CF2*0.9</f>
        <v/>
      </c>
      <c r="CH11" s="158" t="n"/>
      <c r="CI11" s="158" t="n"/>
      <c r="CJ11" s="158" t="n"/>
      <c r="CK11" s="158" t="n"/>
      <c r="CL11" s="158" t="n"/>
      <c r="CM11" s="158" t="n"/>
      <c r="CN11" s="158" t="n"/>
      <c r="CO11" s="158" t="n"/>
      <c r="CP11" s="158" t="n"/>
      <c r="CQ11" s="158" t="n"/>
      <c r="CR11" s="158" t="n"/>
      <c r="CS11" s="158" t="n"/>
      <c r="CT11" s="158" t="n"/>
      <c r="CU11" s="158" t="n"/>
      <c r="CV11" s="158" t="n"/>
      <c r="CW11" s="158" t="n"/>
      <c r="CX11" s="158" t="n"/>
      <c r="CY11" s="158" t="n"/>
      <c r="CZ11" s="159" t="n"/>
      <c r="DA11" s="167" t="n"/>
    </row>
    <row r="12" ht="16.5" customHeight="1" s="241">
      <c r="A12" s="171" t="n">
        <v>55</v>
      </c>
      <c r="B12" s="171" t="n">
        <v>69</v>
      </c>
      <c r="C12" s="171" t="inlineStr">
        <is>
          <t>Go 4</t>
        </is>
      </c>
      <c r="D12" s="170" t="n">
        <v>40</v>
      </c>
      <c r="E12" s="5" t="n"/>
      <c r="F12" s="5" t="n"/>
      <c r="G12" s="5" t="n"/>
      <c r="H12" s="5" t="n"/>
      <c r="I12" s="5" t="n"/>
      <c r="N12" s="5" t="n"/>
      <c r="O12" s="5" t="n"/>
      <c r="S12" s="5" t="n"/>
      <c r="T12" s="5" t="n"/>
      <c r="U12" s="5" t="n"/>
      <c r="V12" s="5" t="n"/>
      <c r="W12" s="5" t="n"/>
      <c r="X12" s="5" t="n"/>
      <c r="Y12" s="166" t="n"/>
      <c r="Z12" s="5" t="n"/>
      <c r="AA12" s="5" t="n"/>
      <c r="AF12" s="5" t="n"/>
      <c r="AG12" s="5" t="n"/>
      <c r="AH12" s="5" t="n"/>
      <c r="AI12" s="5" t="n"/>
      <c r="AJ12" s="5" t="n"/>
      <c r="AK12" s="166" t="n"/>
      <c r="AL12" s="5" t="n"/>
      <c r="AM12" s="5" t="n"/>
      <c r="AN12" s="153" t="n">
        <v>45</v>
      </c>
      <c r="AO12" s="154" t="n">
        <v>61</v>
      </c>
      <c r="AP12" s="154" t="n">
        <v>63</v>
      </c>
      <c r="AQ12" s="154" t="n">
        <v>65</v>
      </c>
      <c r="AR12" s="154" t="n">
        <v>66</v>
      </c>
      <c r="AS12" s="5" t="n"/>
      <c r="AT12" s="153" t="n">
        <v>45</v>
      </c>
      <c r="AU12" s="154" t="n">
        <v>78</v>
      </c>
      <c r="AV12" s="154" t="n">
        <v>80</v>
      </c>
      <c r="AW12" s="154" t="n">
        <v>83</v>
      </c>
      <c r="AX12" s="154" t="n">
        <v>84</v>
      </c>
      <c r="AY12" s="5" t="n"/>
      <c r="AZ12" s="153" t="n">
        <v>66</v>
      </c>
      <c r="BA12" s="154" t="n">
        <v>86.5</v>
      </c>
      <c r="BB12" s="154" t="n">
        <v>88.5</v>
      </c>
      <c r="BC12" s="154" t="n">
        <v>92.5</v>
      </c>
      <c r="BD12" s="154" t="n">
        <v>93.5</v>
      </c>
      <c r="BE12" s="5" t="n"/>
      <c r="BF12" s="153" t="n">
        <v>66</v>
      </c>
      <c r="BG12" s="154" t="n">
        <v>101.5</v>
      </c>
      <c r="BH12" s="154" t="n">
        <v>104.5</v>
      </c>
      <c r="BI12" s="154" t="n">
        <v>107.5</v>
      </c>
      <c r="BJ12" s="154" t="n">
        <v>109.5</v>
      </c>
      <c r="BK12" s="5" t="n"/>
      <c r="BL12" s="5" t="n"/>
      <c r="BM12" s="163" t="n"/>
      <c r="BN12" s="163" t="n"/>
      <c r="BO12" s="163" t="n"/>
      <c r="BP12" s="163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>
        <v>45</v>
      </c>
      <c r="CC12" s="162">
        <f>CC3*0.9</f>
        <v/>
      </c>
      <c r="CD12" s="162">
        <f>CD3*0.9</f>
        <v/>
      </c>
      <c r="CE12" s="162">
        <f>CE3*0.9</f>
        <v/>
      </c>
      <c r="CF12" s="162">
        <f>CF3*0.9</f>
        <v/>
      </c>
      <c r="CL12" s="158" t="n"/>
      <c r="CM12" s="158" t="n"/>
      <c r="CR12" s="158" t="n"/>
      <c r="CS12" s="158" t="n"/>
      <c r="CX12" s="158" t="n"/>
      <c r="CY12" s="158" t="n"/>
      <c r="CZ12" s="159" t="n"/>
      <c r="DA12" s="167" t="n"/>
    </row>
    <row r="13" ht="16.5" customHeight="1" s="241">
      <c r="A13" s="171" t="n">
        <v>70</v>
      </c>
      <c r="B13" s="171" t="n">
        <v>120</v>
      </c>
      <c r="C13" s="171" t="inlineStr">
        <is>
          <t>Go 4</t>
        </is>
      </c>
      <c r="D13" s="170" t="n">
        <v>53.5</v>
      </c>
      <c r="E13" s="5" t="n"/>
      <c r="F13" s="5" t="n"/>
      <c r="G13" s="5" t="n"/>
      <c r="H13" s="5" t="n"/>
      <c r="I13" s="5" t="n"/>
      <c r="N13" s="5" t="n"/>
      <c r="O13" s="5" t="n"/>
      <c r="S13" s="5" t="n"/>
      <c r="T13" s="5" t="n"/>
      <c r="U13" s="5" t="n"/>
      <c r="V13" s="5" t="n"/>
      <c r="W13" s="5" t="n"/>
      <c r="X13" s="5" t="n"/>
      <c r="Y13" s="166" t="n"/>
      <c r="Z13" s="5" t="n"/>
      <c r="AA13" s="5" t="n"/>
      <c r="AF13" s="5" t="n"/>
      <c r="AG13" s="5" t="n"/>
      <c r="AH13" s="5" t="n"/>
      <c r="AI13" s="5" t="n"/>
      <c r="AJ13" s="5" t="n"/>
      <c r="AK13" s="166" t="n"/>
      <c r="AL13" s="5" t="n"/>
      <c r="AM13" s="5" t="n"/>
      <c r="AN13" s="153" t="n">
        <v>55</v>
      </c>
      <c r="AO13" s="154" t="n">
        <v>76</v>
      </c>
      <c r="AP13" s="154" t="n">
        <v>79</v>
      </c>
      <c r="AQ13" s="154" t="n">
        <v>81</v>
      </c>
      <c r="AR13" s="154" t="n">
        <v>84</v>
      </c>
      <c r="AS13" s="5" t="n"/>
      <c r="AT13" s="153" t="n">
        <v>55</v>
      </c>
      <c r="AU13" s="154" t="n">
        <v>106.5</v>
      </c>
      <c r="AV13" s="154" t="n">
        <v>110.5</v>
      </c>
      <c r="AW13" s="154" t="n">
        <v>113.5</v>
      </c>
      <c r="AX13" s="154" t="n">
        <v>115.5</v>
      </c>
      <c r="AY13" s="5" t="n"/>
      <c r="AZ13" s="153" t="n">
        <v>68</v>
      </c>
      <c r="BA13" s="154" t="n">
        <v>157.5</v>
      </c>
      <c r="BB13" s="154" t="n">
        <v>163.5</v>
      </c>
      <c r="BC13" s="154" t="n">
        <v>170.5</v>
      </c>
      <c r="BD13" s="154" t="n">
        <v>174.5</v>
      </c>
      <c r="BE13" s="5" t="n"/>
      <c r="BF13" s="153" t="n">
        <v>68</v>
      </c>
      <c r="BG13" s="154" t="n">
        <v>186.5</v>
      </c>
      <c r="BH13" s="154" t="n">
        <v>194.5</v>
      </c>
      <c r="BI13" s="154" t="n">
        <v>201.5</v>
      </c>
      <c r="BJ13" s="154" t="n">
        <v>204.5</v>
      </c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>
        <v>55</v>
      </c>
      <c r="CC13" s="162">
        <f>CC4*0.9</f>
        <v/>
      </c>
      <c r="CD13" s="162">
        <f>CD4*0.9</f>
        <v/>
      </c>
      <c r="CE13" s="162">
        <f>CE4*0.9</f>
        <v/>
      </c>
      <c r="CF13" s="162">
        <f>CF4*0.9</f>
        <v/>
      </c>
      <c r="CL13" s="158" t="n"/>
      <c r="CM13" s="158" t="n"/>
      <c r="CR13" s="158" t="n"/>
      <c r="CS13" s="158" t="n"/>
      <c r="CX13" s="158" t="n"/>
      <c r="CY13" s="158" t="n"/>
      <c r="CZ13" s="159" t="n"/>
      <c r="DA13" s="167" t="n"/>
    </row>
    <row r="14" ht="16.5" customHeight="1" s="241">
      <c r="A14" s="171" t="n">
        <v>0</v>
      </c>
      <c r="B14" s="171" t="n">
        <v>54</v>
      </c>
      <c r="C14" s="171" t="inlineStr">
        <is>
          <t>Go 5</t>
        </is>
      </c>
      <c r="D14" s="170" t="n">
        <v>23</v>
      </c>
      <c r="E14" s="5" t="n"/>
      <c r="F14" s="5" t="n"/>
      <c r="G14" s="5" t="n"/>
      <c r="H14" s="5" t="n"/>
      <c r="I14" s="5" t="n"/>
      <c r="N14" s="5" t="n"/>
      <c r="O14" s="5" t="n"/>
      <c r="S14" s="5" t="n"/>
      <c r="T14" s="5" t="n"/>
      <c r="U14" s="5" t="n"/>
      <c r="V14" s="5" t="n"/>
      <c r="W14" s="5" t="n"/>
      <c r="X14" s="5" t="n"/>
      <c r="Y14" s="166" t="n"/>
      <c r="Z14" s="5" t="n"/>
      <c r="AA14" s="5" t="n"/>
      <c r="AF14" s="5" t="n"/>
      <c r="AG14" s="5" t="n"/>
      <c r="AH14" s="5" t="n"/>
      <c r="AI14" s="5" t="n"/>
      <c r="AJ14" s="5" t="n"/>
      <c r="AK14" s="166" t="n"/>
      <c r="AL14" s="5" t="n"/>
      <c r="AM14" s="5" t="n"/>
      <c r="AN14" s="153" t="n"/>
      <c r="AO14" s="154" t="n"/>
      <c r="AP14" s="154" t="n"/>
      <c r="AQ14" s="154" t="n"/>
      <c r="AR14" s="154" t="n"/>
      <c r="AS14" s="5" t="n"/>
      <c r="AT14" s="153" t="n"/>
      <c r="AU14" s="154" t="n"/>
      <c r="AV14" s="154" t="n"/>
      <c r="AW14" s="154" t="n"/>
      <c r="AX14" s="154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162" t="n"/>
      <c r="CD14" s="162" t="n"/>
      <c r="CE14" s="162" t="n"/>
      <c r="CF14" s="162" t="n"/>
      <c r="CL14" s="158" t="n"/>
      <c r="CM14" s="158" t="n"/>
      <c r="CR14" s="158" t="n"/>
      <c r="CS14" s="158" t="n"/>
      <c r="CX14" s="158" t="n"/>
      <c r="CY14" s="158" t="n"/>
      <c r="CZ14" s="159" t="n"/>
      <c r="DA14" s="167" t="n"/>
    </row>
    <row r="15" ht="16.5" customHeight="1" s="241">
      <c r="A15" s="171" t="n">
        <v>55</v>
      </c>
      <c r="B15" s="171" t="n">
        <v>69</v>
      </c>
      <c r="C15" s="171" t="inlineStr">
        <is>
          <t>Go 5</t>
        </is>
      </c>
      <c r="D15" s="170" t="n">
        <v>41</v>
      </c>
      <c r="E15" s="5" t="n"/>
      <c r="F15" s="5" t="n"/>
      <c r="G15" s="5" t="n"/>
      <c r="H15" s="5" t="n"/>
      <c r="I15" s="5" t="n"/>
      <c r="N15" s="5" t="n"/>
      <c r="O15" s="5" t="n"/>
      <c r="S15" s="5" t="n"/>
      <c r="T15" s="5" t="n"/>
      <c r="U15" s="5" t="n"/>
      <c r="V15" s="5" t="n"/>
      <c r="W15" s="5" t="n"/>
      <c r="X15" s="5" t="n"/>
      <c r="Y15" s="166" t="n"/>
      <c r="Z15" s="5" t="n"/>
      <c r="AA15" s="5" t="n"/>
      <c r="AF15" s="5" t="n"/>
      <c r="AG15" s="5" t="n"/>
      <c r="AH15" s="5" t="n"/>
      <c r="AI15" s="5" t="n"/>
      <c r="AJ15" s="5" t="n"/>
      <c r="AK15" s="166" t="n"/>
      <c r="AL15" s="5" t="n"/>
      <c r="AM15" s="5" t="n"/>
      <c r="AN15" s="153" t="n"/>
      <c r="AO15" s="154" t="n"/>
      <c r="AP15" s="154" t="n"/>
      <c r="AQ15" s="154" t="n"/>
      <c r="AR15" s="154" t="n"/>
      <c r="AS15" s="5" t="n"/>
      <c r="AT15" s="153" t="n"/>
      <c r="AU15" s="154" t="n"/>
      <c r="AV15" s="154" t="n"/>
      <c r="AW15" s="154" t="n"/>
      <c r="AX15" s="154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162" t="n"/>
      <c r="CD15" s="162" t="n"/>
      <c r="CE15" s="162" t="n"/>
      <c r="CF15" s="162" t="n"/>
      <c r="CL15" s="158" t="n"/>
      <c r="CM15" s="158" t="n"/>
      <c r="CR15" s="158" t="n"/>
      <c r="CS15" s="158" t="n"/>
      <c r="CX15" s="158" t="n"/>
      <c r="CY15" s="158" t="n"/>
      <c r="CZ15" s="159" t="n"/>
      <c r="DA15" s="167" t="n"/>
    </row>
    <row r="16" ht="16.5" customHeight="1" s="241">
      <c r="A16" s="171" t="n">
        <v>70</v>
      </c>
      <c r="B16" s="171" t="n">
        <v>120</v>
      </c>
      <c r="C16" s="171" t="inlineStr">
        <is>
          <t>Go 5</t>
        </is>
      </c>
      <c r="D16" s="170" t="n">
        <v>54</v>
      </c>
      <c r="E16" s="5" t="n"/>
      <c r="F16" s="5" t="n"/>
      <c r="G16" s="5" t="n"/>
      <c r="H16" s="5" t="n"/>
      <c r="I16" s="5" t="n"/>
      <c r="N16" s="5" t="n"/>
      <c r="O16" s="5" t="n"/>
      <c r="S16" s="5" t="n"/>
      <c r="T16" s="5" t="n"/>
      <c r="U16" s="5" t="n"/>
      <c r="V16" s="5" t="n"/>
      <c r="W16" s="5" t="n"/>
      <c r="X16" s="5" t="n"/>
      <c r="Y16" s="166" t="n"/>
      <c r="Z16" s="5" t="n"/>
      <c r="AA16" s="5" t="n"/>
      <c r="AF16" s="5" t="n"/>
      <c r="AG16" s="5" t="n"/>
      <c r="AH16" s="5" t="n"/>
      <c r="AI16" s="5" t="n"/>
      <c r="AJ16" s="5" t="n"/>
      <c r="AK16" s="166" t="n"/>
      <c r="AL16" s="5" t="n"/>
      <c r="AM16" s="5" t="n"/>
      <c r="AN16" s="153" t="n"/>
      <c r="AO16" s="154" t="n"/>
      <c r="AP16" s="154" t="n"/>
      <c r="AQ16" s="154" t="n"/>
      <c r="AR16" s="154" t="n"/>
      <c r="AS16" s="5" t="n"/>
      <c r="AT16" s="153" t="n"/>
      <c r="AU16" s="154" t="n"/>
      <c r="AV16" s="154" t="n"/>
      <c r="AW16" s="154" t="n"/>
      <c r="AX16" s="154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162" t="n"/>
      <c r="CD16" s="162" t="n"/>
      <c r="CE16" s="162" t="n"/>
      <c r="CF16" s="162" t="n"/>
      <c r="CL16" s="158" t="n"/>
      <c r="CM16" s="158" t="n"/>
      <c r="CR16" s="158" t="n"/>
      <c r="CS16" s="158" t="n"/>
      <c r="CX16" s="158" t="n"/>
      <c r="CY16" s="158" t="n"/>
      <c r="CZ16" s="159" t="n"/>
      <c r="DA16" s="167" t="n"/>
    </row>
    <row r="17" ht="16.5" customHeight="1" s="241">
      <c r="A17" s="171" t="n">
        <v>0</v>
      </c>
      <c r="B17" s="171" t="n">
        <v>54</v>
      </c>
      <c r="C17" s="171" t="inlineStr">
        <is>
          <t>Go 6</t>
        </is>
      </c>
      <c r="D17" s="170" t="n">
        <v>23.5</v>
      </c>
      <c r="E17" s="5" t="n"/>
      <c r="F17" s="5" t="n"/>
      <c r="G17" s="5" t="n"/>
      <c r="H17" s="5" t="n"/>
      <c r="I17" s="5" t="n"/>
      <c r="N17" s="5" t="n"/>
      <c r="O17" s="5" t="n"/>
      <c r="S17" s="5" t="n"/>
      <c r="T17" s="5" t="n"/>
      <c r="U17" s="5" t="n"/>
      <c r="V17" s="5" t="n"/>
      <c r="W17" s="5" t="n"/>
      <c r="X17" s="5" t="n"/>
      <c r="Y17" s="166" t="n"/>
      <c r="Z17" s="5" t="n"/>
      <c r="AA17" s="5" t="n"/>
      <c r="AF17" s="5" t="n"/>
      <c r="AG17" s="5" t="n"/>
      <c r="AH17" s="5" t="n"/>
      <c r="AI17" s="5" t="n"/>
      <c r="AJ17" s="5" t="n"/>
      <c r="AK17" s="166" t="n"/>
      <c r="AL17" s="5" t="n"/>
      <c r="AM17" s="5" t="n"/>
      <c r="AN17" s="153" t="n"/>
      <c r="AO17" s="154" t="n"/>
      <c r="AP17" s="154" t="n"/>
      <c r="AQ17" s="154" t="n"/>
      <c r="AR17" s="154" t="n"/>
      <c r="AS17" s="5" t="n"/>
      <c r="AT17" s="153" t="n"/>
      <c r="AU17" s="154" t="n"/>
      <c r="AV17" s="154" t="n"/>
      <c r="AW17" s="154" t="n"/>
      <c r="AX17" s="154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162" t="n"/>
      <c r="CD17" s="162" t="n"/>
      <c r="CE17" s="162" t="n"/>
      <c r="CF17" s="162" t="n"/>
      <c r="CL17" s="158" t="n"/>
      <c r="CM17" s="158" t="n"/>
      <c r="CR17" s="158" t="n"/>
      <c r="CS17" s="158" t="n"/>
      <c r="CX17" s="158" t="n"/>
      <c r="CY17" s="158" t="n"/>
      <c r="CZ17" s="159" t="n"/>
      <c r="DA17" s="167" t="n"/>
    </row>
    <row r="18" ht="16.5" customHeight="1" s="241">
      <c r="A18" s="171" t="n">
        <v>55</v>
      </c>
      <c r="B18" s="171" t="n">
        <v>69</v>
      </c>
      <c r="C18" s="171" t="inlineStr">
        <is>
          <t>Go 6</t>
        </is>
      </c>
      <c r="D18" s="170" t="n">
        <v>41.5</v>
      </c>
      <c r="E18" s="5" t="n"/>
      <c r="F18" s="5" t="n"/>
      <c r="G18" s="5" t="n"/>
      <c r="H18" s="5" t="n"/>
      <c r="I18" s="5" t="n"/>
      <c r="N18" s="5" t="n"/>
      <c r="O18" s="5" t="n"/>
      <c r="S18" s="5" t="n"/>
      <c r="T18" s="5" t="n"/>
      <c r="U18" s="5" t="n"/>
      <c r="V18" s="5" t="n"/>
      <c r="W18" s="5" t="n"/>
      <c r="X18" s="5" t="n"/>
      <c r="Y18" s="166" t="n"/>
      <c r="Z18" s="5" t="n"/>
      <c r="AA18" s="5" t="n"/>
      <c r="AF18" s="5" t="n"/>
      <c r="AG18" s="5" t="n"/>
      <c r="AH18" s="5" t="n"/>
      <c r="AI18" s="5" t="n"/>
      <c r="AJ18" s="5" t="n"/>
      <c r="AK18" s="166" t="n"/>
      <c r="AL18" s="5" t="n"/>
      <c r="AM18" s="5" t="n"/>
      <c r="AN18" s="153" t="n"/>
      <c r="AO18" s="154" t="n"/>
      <c r="AP18" s="154" t="n"/>
      <c r="AQ18" s="154" t="n"/>
      <c r="AR18" s="154" t="n"/>
      <c r="AS18" s="5" t="n"/>
      <c r="AT18" s="153" t="n"/>
      <c r="AU18" s="154" t="n"/>
      <c r="AV18" s="154" t="n"/>
      <c r="AW18" s="154" t="n"/>
      <c r="AX18" s="154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162" t="n"/>
      <c r="CD18" s="162" t="n"/>
      <c r="CE18" s="162" t="n"/>
      <c r="CF18" s="162" t="n"/>
      <c r="CL18" s="158" t="n"/>
      <c r="CM18" s="158" t="n"/>
      <c r="CR18" s="158" t="n"/>
      <c r="CS18" s="158" t="n"/>
      <c r="CX18" s="158" t="n"/>
      <c r="CY18" s="158" t="n"/>
      <c r="CZ18" s="159" t="n"/>
      <c r="DA18" s="167" t="n"/>
    </row>
    <row r="19" ht="16.5" customHeight="1" s="241">
      <c r="A19" s="171" t="n">
        <v>70</v>
      </c>
      <c r="B19" s="171" t="n">
        <v>120</v>
      </c>
      <c r="C19" s="171" t="inlineStr">
        <is>
          <t>Go 6</t>
        </is>
      </c>
      <c r="D19" s="170" t="n">
        <v>54.5</v>
      </c>
      <c r="E19" s="5" t="n"/>
      <c r="F19" s="5" t="n"/>
      <c r="G19" s="5" t="n"/>
      <c r="H19" s="5" t="n"/>
      <c r="I19" s="5" t="n"/>
      <c r="N19" s="5" t="n"/>
      <c r="O19" s="5" t="n"/>
      <c r="S19" s="5" t="n"/>
      <c r="T19" s="5" t="n"/>
      <c r="U19" s="5" t="n"/>
      <c r="V19" s="5" t="n"/>
      <c r="W19" s="5" t="n"/>
      <c r="X19" s="5" t="n"/>
      <c r="Y19" s="166" t="n"/>
      <c r="Z19" s="5" t="n"/>
      <c r="AA19" s="5" t="n"/>
      <c r="AF19" s="5" t="n"/>
      <c r="AG19" s="5" t="n"/>
      <c r="AH19" s="5" t="n"/>
      <c r="AI19" s="5" t="n"/>
      <c r="AJ19" s="5" t="n"/>
      <c r="AK19" s="166" t="n"/>
      <c r="AL19" s="5" t="n"/>
      <c r="AM19" s="5" t="n"/>
      <c r="AN19" s="153" t="n"/>
      <c r="AO19" s="154" t="n"/>
      <c r="AP19" s="154" t="n"/>
      <c r="AQ19" s="154" t="n"/>
      <c r="AR19" s="154" t="n"/>
      <c r="AS19" s="5" t="n"/>
      <c r="AT19" s="153" t="n"/>
      <c r="AU19" s="154" t="n"/>
      <c r="AV19" s="154" t="n"/>
      <c r="AW19" s="154" t="n"/>
      <c r="AX19" s="154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162" t="n"/>
      <c r="CD19" s="162" t="n"/>
      <c r="CE19" s="162" t="n"/>
      <c r="CF19" s="162" t="n"/>
      <c r="CL19" s="158" t="n"/>
      <c r="CM19" s="158" t="n"/>
      <c r="CR19" s="158" t="n"/>
      <c r="CS19" s="158" t="n"/>
      <c r="CX19" s="158" t="n"/>
      <c r="CY19" s="158" t="n"/>
      <c r="CZ19" s="159" t="n"/>
      <c r="DA19" s="167" t="n"/>
    </row>
    <row r="20" ht="16.5" customHeight="1" s="241">
      <c r="A20" s="171" t="n">
        <v>0</v>
      </c>
      <c r="B20" s="171" t="n">
        <v>24</v>
      </c>
      <c r="C20" s="171" t="inlineStr">
        <is>
          <t>Plena Vital 1</t>
        </is>
      </c>
      <c r="D20" s="170" t="n">
        <v>38</v>
      </c>
      <c r="E20" s="5" t="n"/>
      <c r="F20" s="5" t="n"/>
      <c r="G20" s="5" t="n"/>
      <c r="H20" s="5" t="n"/>
      <c r="I20" s="5" t="n"/>
      <c r="N20" s="5" t="n"/>
      <c r="O20" s="5" t="n"/>
      <c r="S20" s="5" t="n"/>
      <c r="T20" s="5" t="n"/>
      <c r="U20" s="5" t="n"/>
      <c r="V20" s="5" t="n"/>
      <c r="W20" s="5" t="n"/>
      <c r="X20" s="5" t="n"/>
      <c r="Y20" s="166" t="n"/>
      <c r="Z20" s="5" t="n"/>
      <c r="AA20" s="5" t="n"/>
      <c r="AF20" s="5" t="n"/>
      <c r="AG20" s="5" t="n"/>
      <c r="AH20" s="5" t="n"/>
      <c r="AI20" s="5" t="n"/>
      <c r="AJ20" s="5" t="n"/>
      <c r="AK20" s="166" t="n"/>
      <c r="AL20" s="5" t="n"/>
      <c r="AM20" s="5" t="n"/>
      <c r="AN20" s="153" t="n">
        <v>60</v>
      </c>
      <c r="AO20" s="154" t="n">
        <v>95</v>
      </c>
      <c r="AP20" s="154" t="n">
        <v>99</v>
      </c>
      <c r="AQ20" s="154" t="n">
        <v>102</v>
      </c>
      <c r="AR20" s="154" t="n">
        <v>104</v>
      </c>
      <c r="AS20" s="5" t="n"/>
      <c r="AT20" s="153" t="n">
        <v>60</v>
      </c>
      <c r="AU20" s="154" t="n">
        <v>126.5</v>
      </c>
      <c r="AV20" s="154" t="n">
        <v>131.5</v>
      </c>
      <c r="AW20" s="154" t="n">
        <v>135.5</v>
      </c>
      <c r="AX20" s="154" t="n">
        <v>137.5</v>
      </c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>
        <v>60</v>
      </c>
      <c r="CC20" s="162">
        <f>CC5*0.9</f>
        <v/>
      </c>
      <c r="CD20" s="162">
        <f>CD5*0.9</f>
        <v/>
      </c>
      <c r="CE20" s="162">
        <f>CE5*0.9</f>
        <v/>
      </c>
      <c r="CF20" s="162">
        <f>CF5*0.9</f>
        <v/>
      </c>
      <c r="CL20" s="158" t="n"/>
      <c r="CM20" s="158" t="n"/>
      <c r="CR20" s="158" t="n"/>
      <c r="CS20" s="158" t="n"/>
      <c r="CX20" s="158" t="n"/>
      <c r="CY20" s="158" t="n"/>
      <c r="CZ20" s="159" t="n"/>
      <c r="DA20" s="167" t="n"/>
    </row>
    <row r="21" ht="16.5" customHeight="1" s="241">
      <c r="A21" s="171" t="n">
        <v>25</v>
      </c>
      <c r="B21" s="171" t="n">
        <v>44</v>
      </c>
      <c r="C21" s="171" t="inlineStr">
        <is>
          <t>Plena Vital 1</t>
        </is>
      </c>
      <c r="D21" s="170" t="n">
        <v>50</v>
      </c>
      <c r="E21" s="5" t="n"/>
      <c r="F21" s="5" t="n"/>
      <c r="G21" s="5" t="n"/>
      <c r="H21" s="5" t="n"/>
      <c r="I21" s="5" t="n"/>
      <c r="N21" s="5" t="n"/>
      <c r="O21" s="5" t="n"/>
      <c r="S21" s="5" t="n"/>
      <c r="T21" s="5" t="n"/>
      <c r="U21" s="5" t="n"/>
      <c r="V21" s="5" t="n"/>
      <c r="W21" s="5" t="n"/>
      <c r="X21" s="5" t="n"/>
      <c r="Y21" s="166" t="n"/>
      <c r="Z21" s="5" t="n"/>
      <c r="AA21" s="5" t="n"/>
      <c r="AF21" s="5" t="n"/>
      <c r="AG21" s="5" t="n"/>
      <c r="AH21" s="5" t="n"/>
      <c r="AI21" s="5" t="n"/>
      <c r="AJ21" s="5" t="n"/>
      <c r="AK21" s="166" t="n"/>
      <c r="AL21" s="5" t="n"/>
      <c r="AM21" s="5" t="n"/>
      <c r="AN21" s="153" t="n">
        <v>68</v>
      </c>
      <c r="AO21" s="154" t="n">
        <v>151.5</v>
      </c>
      <c r="AP21" s="154" t="n">
        <v>158.5</v>
      </c>
      <c r="AQ21" s="154" t="n">
        <v>164.5</v>
      </c>
      <c r="AR21" s="154" t="n">
        <v>170.5</v>
      </c>
      <c r="AS21" s="5" t="n"/>
      <c r="AT21" s="153" t="n">
        <v>68</v>
      </c>
      <c r="AU21" s="154" t="n">
        <v>191.5</v>
      </c>
      <c r="AV21" s="154" t="n">
        <v>200.5</v>
      </c>
      <c r="AW21" s="154" t="n">
        <v>207.5</v>
      </c>
      <c r="AX21" s="154" t="n">
        <v>211.5</v>
      </c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P21" s="5" t="n"/>
      <c r="BQ21" s="5" t="n"/>
      <c r="BV21" s="5" t="n"/>
      <c r="BW21" s="5" t="n"/>
      <c r="BX21" s="5" t="n"/>
      <c r="BY21" s="5" t="n"/>
      <c r="BZ21" s="5" t="n"/>
      <c r="CA21" s="5" t="n"/>
      <c r="CB21" s="5" t="n">
        <v>68</v>
      </c>
      <c r="CC21" s="162">
        <f>CC6*0.9</f>
        <v/>
      </c>
      <c r="CD21" s="162">
        <f>CD6*0.9</f>
        <v/>
      </c>
      <c r="CE21" s="162">
        <f>CE6*0.9</f>
        <v/>
      </c>
      <c r="CF21" s="162">
        <f>CF6*0.9</f>
        <v/>
      </c>
      <c r="CL21" s="158" t="n"/>
      <c r="CM21" s="158" t="n"/>
      <c r="CR21" s="158" t="n"/>
      <c r="CS21" s="158" t="n"/>
      <c r="CX21" s="158" t="n"/>
      <c r="CY21" s="158" t="n"/>
      <c r="CZ21" s="159" t="n"/>
      <c r="DA21" s="167" t="n"/>
    </row>
    <row r="22" ht="16.5" customHeight="1" s="241">
      <c r="A22" s="171" t="n">
        <v>45</v>
      </c>
      <c r="B22" s="171" t="n">
        <v>54</v>
      </c>
      <c r="C22" s="171" t="inlineStr">
        <is>
          <t>Plena Vital 1</t>
        </is>
      </c>
      <c r="D22" s="170" t="n">
        <v>61.5</v>
      </c>
      <c r="E22" s="5" t="n"/>
      <c r="F22" s="5" t="n"/>
      <c r="G22" s="5" t="n"/>
      <c r="H22" s="5" t="n"/>
      <c r="I22" s="5" t="n"/>
      <c r="N22" s="5" t="n"/>
      <c r="O22" s="5" t="n"/>
      <c r="S22" s="5" t="n"/>
      <c r="T22" s="5" t="n"/>
      <c r="U22" s="5" t="n"/>
      <c r="V22" s="5" t="n"/>
      <c r="W22" s="5" t="n"/>
      <c r="X22" s="5" t="n"/>
      <c r="Y22" s="166" t="n"/>
      <c r="Z22" s="5" t="n"/>
      <c r="AA22" s="5" t="n"/>
      <c r="AF22" s="5" t="n"/>
      <c r="AG22" s="5" t="n"/>
      <c r="AH22" s="5" t="n"/>
      <c r="AI22" s="5" t="n"/>
      <c r="AJ22" s="5" t="n"/>
      <c r="AK22" s="166" t="n"/>
      <c r="AL22" s="5" t="n"/>
      <c r="AM22" s="5" t="n"/>
      <c r="AN22" s="161" t="n"/>
      <c r="AO22" s="162" t="n"/>
      <c r="AP22" s="162" t="n"/>
      <c r="AQ22" s="162" t="n"/>
      <c r="AR22" s="162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P22" s="5" t="n"/>
      <c r="BQ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L22" s="158" t="n"/>
      <c r="CM22" s="158" t="n"/>
      <c r="CR22" s="158" t="n"/>
      <c r="CS22" s="158" t="n"/>
      <c r="CX22" s="158" t="n"/>
      <c r="CY22" s="158" t="n"/>
      <c r="CZ22" s="159" t="n"/>
      <c r="DA22" s="167" t="n"/>
    </row>
    <row r="23" ht="16.5" customHeight="1" s="241">
      <c r="A23" s="171" t="n">
        <v>55</v>
      </c>
      <c r="B23" s="171" t="n">
        <v>59</v>
      </c>
      <c r="C23" s="171" t="inlineStr">
        <is>
          <t>Plena Vital 1</t>
        </is>
      </c>
      <c r="D23" s="170" t="n">
        <v>94</v>
      </c>
      <c r="E23" s="5" t="n"/>
      <c r="F23" s="5" t="n"/>
      <c r="G23" s="5" t="n"/>
      <c r="H23" s="5" t="n"/>
      <c r="I23" s="5" t="n"/>
      <c r="N23" s="5" t="n"/>
      <c r="O23" s="5" t="n"/>
      <c r="S23" s="5" t="n"/>
      <c r="T23" s="5" t="n"/>
      <c r="U23" s="5" t="n"/>
      <c r="V23" s="5" t="n"/>
      <c r="W23" s="5" t="n"/>
      <c r="X23" s="5" t="n"/>
      <c r="Y23" s="166" t="n"/>
      <c r="Z23" s="5" t="n"/>
      <c r="AA23" s="5" t="n"/>
      <c r="AF23" s="5" t="n"/>
      <c r="AG23" s="5" t="n"/>
      <c r="AH23" s="5" t="n"/>
      <c r="AI23" s="5" t="n"/>
      <c r="AJ23" s="5" t="n"/>
      <c r="AK23" s="166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P23" s="5" t="n"/>
      <c r="BQ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</row>
    <row r="24" ht="16.5" customHeight="1" s="241">
      <c r="A24" s="171" t="n">
        <v>60</v>
      </c>
      <c r="B24" s="171" t="n">
        <v>64</v>
      </c>
      <c r="C24" s="171" t="inlineStr">
        <is>
          <t>Plena Vital 1</t>
        </is>
      </c>
      <c r="D24" s="170" t="n">
        <v>117</v>
      </c>
      <c r="E24" s="5" t="n"/>
      <c r="F24" s="5" t="n"/>
      <c r="G24" s="5" t="n"/>
      <c r="H24" s="5" t="n"/>
      <c r="I24" s="5" t="n"/>
      <c r="N24" s="5" t="n"/>
      <c r="O24" s="5" t="n"/>
      <c r="S24" s="5" t="n"/>
      <c r="T24" s="5" t="n"/>
      <c r="U24" s="5" t="n"/>
      <c r="V24" s="5" t="n"/>
      <c r="W24" s="5" t="n"/>
      <c r="X24" s="5" t="n"/>
      <c r="Y24" s="166" t="n"/>
      <c r="Z24" s="5" t="n"/>
      <c r="AA24" s="5" t="n"/>
      <c r="AF24" s="5" t="n"/>
      <c r="AG24" s="5" t="n"/>
      <c r="AH24" s="5" t="n"/>
      <c r="AI24" s="5" t="n"/>
      <c r="AJ24" s="5" t="n"/>
      <c r="AK24" s="166" t="n"/>
      <c r="AL24" s="5" t="n"/>
      <c r="AM24" s="5" t="n"/>
      <c r="AR24" s="5" t="n"/>
      <c r="AS24" s="5" t="n"/>
      <c r="AX24" s="5" t="n"/>
      <c r="AY24" s="5" t="n"/>
      <c r="BD24" s="5" t="n"/>
      <c r="BE24" s="5" t="n"/>
      <c r="BJ24" s="5" t="n"/>
      <c r="BK24" s="5" t="n"/>
      <c r="BP24" s="5" t="n"/>
      <c r="BQ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</row>
    <row r="25" ht="16.5" customHeight="1" s="241">
      <c r="A25" s="171" t="n">
        <v>65</v>
      </c>
      <c r="B25" s="171" t="n">
        <v>69</v>
      </c>
      <c r="C25" s="171" t="inlineStr">
        <is>
          <t>Plena Vital 1</t>
        </is>
      </c>
      <c r="D25" s="170" t="n">
        <v>156</v>
      </c>
      <c r="E25" s="5" t="n"/>
      <c r="F25" s="5" t="n"/>
      <c r="G25" s="5" t="n"/>
      <c r="H25" s="5" t="n"/>
      <c r="I25" s="5" t="n"/>
      <c r="N25" s="5" t="n"/>
      <c r="O25" s="5" t="n"/>
      <c r="S25" s="5" t="n"/>
      <c r="T25" s="5" t="n"/>
      <c r="U25" s="5" t="n"/>
      <c r="V25" s="5" t="n"/>
      <c r="W25" s="5" t="n"/>
      <c r="X25" s="5" t="n"/>
      <c r="Y25" s="166" t="n"/>
      <c r="Z25" s="5" t="n"/>
      <c r="AA25" s="5" t="n"/>
      <c r="AF25" s="5" t="n"/>
      <c r="AG25" s="5" t="n"/>
      <c r="AH25" s="5" t="n"/>
      <c r="AI25" s="5" t="n"/>
      <c r="AJ25" s="5" t="n"/>
      <c r="AK25" s="166" t="n"/>
      <c r="AL25" s="5" t="n"/>
      <c r="AM25" s="5" t="n"/>
      <c r="AR25" s="5" t="n"/>
      <c r="AS25" s="5" t="n"/>
      <c r="AX25" s="5" t="n"/>
      <c r="AY25" s="5" t="n"/>
      <c r="BD25" s="5" t="n"/>
      <c r="BE25" s="5" t="n"/>
      <c r="BJ25" s="5" t="n"/>
      <c r="BK25" s="5" t="n"/>
      <c r="BP25" s="5" t="n"/>
      <c r="BQ25" s="5" t="n"/>
      <c r="BV25" s="5" t="n"/>
      <c r="BW25" s="5" t="n"/>
      <c r="BX25" s="5" t="n"/>
      <c r="BY25" s="5" t="n"/>
      <c r="BZ25" s="5" t="n"/>
      <c r="CA25" s="5" t="n"/>
      <c r="CF25" s="5" t="n"/>
    </row>
    <row r="26" ht="16.5" customHeight="1" s="241">
      <c r="A26" s="171" t="n">
        <v>70</v>
      </c>
      <c r="B26" s="171" t="n">
        <v>120</v>
      </c>
      <c r="C26" s="171" t="inlineStr">
        <is>
          <t>Plena Vital 1</t>
        </is>
      </c>
      <c r="D26" s="170" t="n">
        <v>168</v>
      </c>
      <c r="E26" s="5" t="n"/>
      <c r="F26" s="5" t="n"/>
      <c r="G26" s="5" t="n"/>
      <c r="H26" s="5" t="n"/>
      <c r="I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166" t="n"/>
      <c r="Z26" s="5" t="n"/>
      <c r="AA26" s="5" t="n"/>
      <c r="AF26" s="5" t="n"/>
      <c r="AG26" s="5" t="n"/>
      <c r="AH26" s="5" t="n"/>
      <c r="AI26" s="5" t="n"/>
      <c r="AJ26" s="5" t="n"/>
      <c r="AK26" s="166" t="n"/>
      <c r="AL26" s="5" t="n"/>
      <c r="AM26" s="5" t="n"/>
      <c r="AR26" s="5" t="n"/>
      <c r="AS26" s="5" t="n"/>
      <c r="AX26" s="5" t="n"/>
      <c r="AY26" s="5" t="n"/>
      <c r="BD26" s="5" t="n"/>
      <c r="BE26" s="5" t="n"/>
      <c r="BJ26" s="5" t="n"/>
      <c r="BK26" s="5" t="n"/>
      <c r="BP26" s="5" t="n"/>
      <c r="BQ26" s="5" t="n"/>
      <c r="BV26" s="5" t="n"/>
      <c r="BW26" s="5" t="n"/>
      <c r="BX26" s="5" t="n"/>
      <c r="BY26" s="5" t="n"/>
      <c r="BZ26" s="5" t="n"/>
      <c r="CA26" s="5" t="n"/>
      <c r="CF26" s="5" t="n"/>
    </row>
    <row r="27" ht="16.5" customHeight="1" s="241">
      <c r="A27" s="171" t="n">
        <v>0</v>
      </c>
      <c r="B27" s="171" t="n">
        <v>24</v>
      </c>
      <c r="C27" s="171" t="inlineStr">
        <is>
          <t>Plena Vital 2</t>
        </is>
      </c>
      <c r="D27" s="170" t="n">
        <v>39</v>
      </c>
      <c r="E27" s="5" t="n"/>
      <c r="F27" s="5" t="n"/>
      <c r="G27" s="5" t="n"/>
      <c r="H27" s="5" t="n"/>
      <c r="I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166" t="n"/>
      <c r="Z27" s="5" t="n"/>
      <c r="AA27" s="5" t="n"/>
      <c r="AF27" s="5" t="n"/>
      <c r="AG27" s="5" t="n"/>
      <c r="AH27" s="5" t="n"/>
      <c r="AI27" s="5" t="n"/>
      <c r="AJ27" s="5" t="n"/>
      <c r="AK27" s="166" t="n"/>
      <c r="AL27" s="5" t="n"/>
      <c r="AM27" s="5" t="n"/>
      <c r="AR27" s="5" t="n"/>
      <c r="AS27" s="5" t="n"/>
      <c r="AX27" s="5" t="n"/>
      <c r="AY27" s="5" t="n"/>
      <c r="BD27" s="5" t="n"/>
      <c r="BE27" s="5" t="n"/>
      <c r="BJ27" s="5" t="n"/>
      <c r="BK27" s="5" t="n"/>
      <c r="BP27" s="5" t="n"/>
      <c r="BQ27" s="5" t="n"/>
      <c r="BV27" s="5" t="n"/>
      <c r="BW27" s="5" t="n"/>
      <c r="BX27" s="5" t="n"/>
      <c r="BY27" s="5" t="n"/>
      <c r="BZ27" s="5" t="n"/>
      <c r="CA27" s="5" t="n"/>
      <c r="CF27" s="5" t="n"/>
    </row>
    <row r="28" ht="16.5" customHeight="1" s="241">
      <c r="A28" s="171" t="n">
        <v>25</v>
      </c>
      <c r="B28" s="171" t="n">
        <v>44</v>
      </c>
      <c r="C28" s="171" t="inlineStr">
        <is>
          <t>Plena Vital 2</t>
        </is>
      </c>
      <c r="D28" s="170" t="n">
        <v>50.5</v>
      </c>
      <c r="E28" s="5" t="n"/>
      <c r="F28" s="5" t="n"/>
      <c r="G28" s="5" t="n"/>
      <c r="H28" s="5" t="n"/>
      <c r="I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166" t="n"/>
      <c r="Z28" s="5" t="n"/>
      <c r="AA28" s="5" t="n"/>
      <c r="AF28" s="5" t="n"/>
      <c r="AG28" s="5" t="n"/>
      <c r="AH28" s="5" t="n"/>
      <c r="AI28" s="5" t="n"/>
      <c r="AJ28" s="5" t="n"/>
      <c r="AK28" s="166" t="n"/>
      <c r="AL28" s="5" t="n"/>
      <c r="AM28" s="5" t="n"/>
      <c r="AR28" s="5" t="n"/>
      <c r="AS28" s="5" t="n"/>
      <c r="AX28" s="5" t="n"/>
      <c r="AY28" s="5" t="n"/>
      <c r="BD28" s="5" t="n"/>
      <c r="BE28" s="5" t="n"/>
      <c r="BJ28" s="5" t="n"/>
      <c r="BK28" s="5" t="n"/>
      <c r="BP28" s="5" t="n"/>
      <c r="BQ28" s="5" t="n"/>
      <c r="BV28" s="5" t="n"/>
      <c r="BW28" s="5" t="n"/>
      <c r="BX28" s="5" t="n"/>
      <c r="BY28" s="5" t="n"/>
      <c r="BZ28" s="5" t="n"/>
      <c r="CA28" s="5" t="n"/>
      <c r="CF28" s="168" t="n"/>
    </row>
    <row r="29" ht="16.5" customHeight="1" s="241">
      <c r="A29" s="171" t="n">
        <v>45</v>
      </c>
      <c r="B29" s="171" t="n">
        <v>54</v>
      </c>
      <c r="C29" s="171" t="inlineStr">
        <is>
          <t>Plena Vital 2</t>
        </is>
      </c>
      <c r="D29" s="170" t="n">
        <v>62</v>
      </c>
      <c r="E29" s="5" t="n"/>
      <c r="F29" s="5" t="n"/>
      <c r="G29" s="5" t="n"/>
      <c r="H29" s="5" t="n"/>
      <c r="I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166" t="n"/>
      <c r="Z29" s="5" t="n"/>
      <c r="AA29" s="5" t="n"/>
      <c r="AF29" s="5" t="n"/>
      <c r="AG29" s="5" t="n"/>
      <c r="AH29" s="5" t="n"/>
      <c r="AI29" s="5" t="n"/>
      <c r="AJ29" s="5" t="n"/>
      <c r="AK29" s="166" t="n"/>
      <c r="AL29" s="5" t="n"/>
      <c r="AM29" s="5" t="n"/>
      <c r="AR29" s="5" t="n"/>
      <c r="AS29" s="5" t="n"/>
      <c r="AX29" s="5" t="n"/>
      <c r="AY29" s="5" t="n"/>
      <c r="BD29" s="5" t="n"/>
      <c r="BE29" s="5" t="n"/>
      <c r="BJ29" s="5" t="n"/>
      <c r="BK29" s="5" t="n"/>
      <c r="BP29" s="5" t="n"/>
      <c r="BQ29" s="5" t="n"/>
      <c r="BV29" s="5" t="n"/>
      <c r="BW29" s="5" t="n"/>
      <c r="BX29" s="5" t="n"/>
      <c r="BY29" s="5" t="n"/>
      <c r="BZ29" s="5" t="n"/>
      <c r="CA29" s="5" t="n"/>
      <c r="CF29" s="168" t="n"/>
    </row>
    <row r="30" ht="16.5" customHeight="1" s="241">
      <c r="A30" s="171" t="n">
        <v>55</v>
      </c>
      <c r="B30" s="171" t="n">
        <v>59</v>
      </c>
      <c r="C30" s="171" t="inlineStr">
        <is>
          <t>Plena Vital 2</t>
        </is>
      </c>
      <c r="D30" s="170" t="n">
        <v>95</v>
      </c>
      <c r="E30" s="5" t="n"/>
      <c r="F30" s="5" t="n"/>
      <c r="G30" s="5" t="n"/>
      <c r="H30" s="5" t="n"/>
      <c r="I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166" t="n"/>
      <c r="Z30" s="5" t="n"/>
      <c r="AA30" s="5" t="n"/>
      <c r="AF30" s="5" t="n"/>
      <c r="AG30" s="5" t="n"/>
      <c r="AH30" s="5" t="n"/>
      <c r="AI30" s="5" t="n"/>
      <c r="AJ30" s="5" t="n"/>
      <c r="AK30" s="166" t="n"/>
      <c r="AL30" s="5" t="n"/>
      <c r="AM30" s="5" t="n"/>
      <c r="AR30" s="5" t="n"/>
      <c r="AS30" s="5" t="n"/>
      <c r="AX30" s="5" t="n"/>
      <c r="AY30" s="5" t="n"/>
      <c r="BD30" s="5" t="n"/>
      <c r="BE30" s="5" t="n"/>
      <c r="BJ30" s="5" t="n"/>
      <c r="BK30" s="5" t="n"/>
      <c r="BP30" s="5" t="n"/>
      <c r="BQ30" s="5" t="n"/>
      <c r="BV30" s="5" t="n"/>
      <c r="BW30" s="5" t="n"/>
      <c r="BX30" s="5" t="n"/>
      <c r="BY30" s="5" t="n"/>
      <c r="BZ30" s="5" t="n"/>
      <c r="CA30" s="5" t="n"/>
      <c r="CF30" s="168" t="n"/>
    </row>
    <row r="31" ht="16.5" customHeight="1" s="241">
      <c r="A31" s="171" t="n">
        <v>60</v>
      </c>
      <c r="B31" s="171" t="n">
        <v>64</v>
      </c>
      <c r="C31" s="171" t="inlineStr">
        <is>
          <t>Plena Vital 2</t>
        </is>
      </c>
      <c r="D31" s="170" t="n">
        <v>121</v>
      </c>
      <c r="E31" s="5" t="n"/>
      <c r="F31" s="5" t="n"/>
      <c r="G31" s="5" t="n"/>
      <c r="H31" s="5" t="n"/>
      <c r="I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166" t="n"/>
      <c r="Z31" s="5" t="n"/>
      <c r="AA31" s="5" t="n"/>
      <c r="AF31" s="5" t="n"/>
      <c r="AG31" s="5" t="n"/>
      <c r="AH31" s="5" t="n"/>
      <c r="AI31" s="5" t="n"/>
      <c r="AJ31" s="5" t="n"/>
      <c r="AK31" s="166" t="n"/>
      <c r="AL31" s="5" t="n"/>
      <c r="AM31" s="5" t="n"/>
      <c r="AR31" s="5" t="n"/>
      <c r="AS31" s="5" t="n"/>
      <c r="AX31" s="5" t="n"/>
      <c r="AY31" s="5" t="n"/>
      <c r="BD31" s="5" t="n"/>
      <c r="BE31" s="5" t="n"/>
      <c r="BJ31" s="5" t="n"/>
      <c r="BK31" s="5" t="n"/>
      <c r="BP31" s="5" t="n"/>
      <c r="BQ31" s="5" t="n"/>
      <c r="BV31" s="5" t="n"/>
      <c r="BW31" s="5" t="n"/>
      <c r="BX31" s="5" t="n"/>
      <c r="BY31" s="5" t="n"/>
      <c r="BZ31" s="5" t="n"/>
      <c r="CA31" s="5" t="n"/>
      <c r="CF31" s="168" t="n"/>
    </row>
    <row r="32" ht="16.5" customHeight="1" s="241">
      <c r="A32" s="171" t="n">
        <v>65</v>
      </c>
      <c r="B32" s="171" t="n">
        <v>69</v>
      </c>
      <c r="C32" s="171" t="inlineStr">
        <is>
          <t>Plena Vital 2</t>
        </is>
      </c>
      <c r="D32" s="170" t="n">
        <v>163</v>
      </c>
      <c r="E32" s="5" t="n"/>
      <c r="F32" s="5" t="n"/>
      <c r="G32" s="5" t="n"/>
      <c r="H32" s="5" t="n"/>
      <c r="I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166" t="n"/>
      <c r="Z32" s="5" t="n"/>
      <c r="AA32" s="5" t="n"/>
      <c r="AF32" s="5" t="n"/>
      <c r="AG32" s="5" t="n"/>
      <c r="AH32" s="5" t="n"/>
      <c r="AI32" s="5" t="n"/>
      <c r="AJ32" s="5" t="n"/>
      <c r="AK32" s="166" t="n"/>
      <c r="AL32" s="5" t="n"/>
      <c r="AM32" s="5" t="n"/>
      <c r="AR32" s="5" t="n"/>
      <c r="AS32" s="5" t="n"/>
      <c r="AX32" s="5" t="n"/>
      <c r="AY32" s="5" t="n"/>
      <c r="BD32" s="5" t="n"/>
      <c r="BE32" s="5" t="n"/>
      <c r="BJ32" s="5" t="n"/>
      <c r="BK32" s="5" t="n"/>
      <c r="BP32" s="5" t="n"/>
      <c r="BQ32" s="5" t="n"/>
      <c r="BV32" s="5" t="n"/>
      <c r="BW32" s="5" t="n"/>
      <c r="BX32" s="5" t="n"/>
      <c r="BY32" s="5" t="n"/>
      <c r="BZ32" s="5" t="n"/>
      <c r="CA32" s="5" t="n"/>
      <c r="CF32" s="168" t="n"/>
    </row>
    <row r="33" ht="16.5" customHeight="1" s="241">
      <c r="A33" s="171" t="n">
        <v>70</v>
      </c>
      <c r="B33" s="171" t="n">
        <v>120</v>
      </c>
      <c r="C33" s="171" t="inlineStr">
        <is>
          <t>Plena Vital 2</t>
        </is>
      </c>
      <c r="D33" s="170" t="n">
        <v>176</v>
      </c>
      <c r="E33" s="5" t="n"/>
      <c r="F33" s="5" t="n"/>
      <c r="G33" s="5" t="n"/>
      <c r="H33" s="5" t="n"/>
      <c r="I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166" t="n"/>
      <c r="Z33" s="5" t="n"/>
      <c r="AA33" s="5" t="n"/>
      <c r="AF33" s="5" t="n"/>
      <c r="AG33" s="5" t="n"/>
      <c r="AH33" s="5" t="n"/>
      <c r="AI33" s="5" t="n"/>
      <c r="AJ33" s="5" t="n"/>
      <c r="AK33" s="166" t="n"/>
      <c r="AL33" s="5" t="n"/>
      <c r="AM33" s="5" t="n"/>
      <c r="AR33" s="5" t="n"/>
      <c r="AS33" s="5" t="n"/>
      <c r="AX33" s="5" t="n"/>
      <c r="AY33" s="5" t="n"/>
      <c r="BD33" s="5" t="n"/>
      <c r="BE33" s="5" t="n"/>
      <c r="BJ33" s="5" t="n"/>
      <c r="BK33" s="5" t="n"/>
      <c r="BP33" s="5" t="n"/>
      <c r="BQ33" s="5" t="n"/>
      <c r="BV33" s="5" t="n"/>
      <c r="BW33" s="5" t="n"/>
      <c r="BX33" s="5" t="n"/>
      <c r="BY33" s="5" t="n"/>
      <c r="BZ33" s="5" t="n"/>
      <c r="CA33" s="5" t="n"/>
      <c r="CF33" s="5" t="n"/>
    </row>
    <row r="34" ht="16.5" customHeight="1" s="241">
      <c r="A34" s="171" t="n">
        <v>0</v>
      </c>
      <c r="B34" s="171" t="n">
        <v>24</v>
      </c>
      <c r="C34" s="171" t="inlineStr">
        <is>
          <t>Plena Vital 3</t>
        </is>
      </c>
      <c r="D34" s="170" t="n">
        <v>39.5</v>
      </c>
      <c r="E34" s="5" t="n"/>
      <c r="F34" s="5" t="n"/>
      <c r="G34" s="5" t="n"/>
      <c r="H34" s="5" t="n"/>
      <c r="I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166" t="n"/>
      <c r="Z34" s="5" t="n"/>
      <c r="AA34" s="5" t="n"/>
      <c r="AF34" s="5" t="n"/>
      <c r="AG34" s="5" t="n"/>
      <c r="AH34" s="5" t="n"/>
      <c r="AI34" s="5" t="n"/>
      <c r="AJ34" s="5" t="n"/>
      <c r="AK34" s="166" t="n"/>
      <c r="AL34" s="5" t="n"/>
      <c r="AM34" s="5" t="n"/>
      <c r="AR34" s="5" t="n"/>
      <c r="AS34" s="5" t="n"/>
      <c r="AX34" s="5" t="n"/>
      <c r="AY34" s="5" t="n"/>
      <c r="BD34" s="5" t="n"/>
      <c r="BE34" s="5" t="n"/>
      <c r="BJ34" s="5" t="n"/>
      <c r="BK34" s="5" t="n"/>
      <c r="BP34" s="5" t="n"/>
      <c r="BQ34" s="5" t="n"/>
      <c r="BV34" s="5" t="n"/>
      <c r="BW34" s="5" t="n"/>
      <c r="BX34" s="5" t="n"/>
      <c r="BY34" s="5" t="n"/>
      <c r="BZ34" s="5" t="n"/>
      <c r="CA34" s="5" t="n"/>
      <c r="CF34" s="5" t="n"/>
    </row>
    <row r="35" ht="16.5" customHeight="1" s="241">
      <c r="A35" s="171" t="n">
        <v>25</v>
      </c>
      <c r="B35" s="171" t="n">
        <v>44</v>
      </c>
      <c r="C35" s="171" t="inlineStr">
        <is>
          <t>Plena Vital 3</t>
        </is>
      </c>
      <c r="D35" s="170" t="n">
        <v>51</v>
      </c>
      <c r="E35" s="5" t="n"/>
      <c r="F35" s="5" t="n"/>
      <c r="G35" s="5" t="n"/>
      <c r="H35" s="5" t="n"/>
      <c r="I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166" t="n"/>
      <c r="Z35" s="5" t="n"/>
      <c r="AA35" s="5" t="n"/>
      <c r="AF35" s="5" t="n"/>
      <c r="AG35" s="5" t="n"/>
      <c r="AH35" s="5" t="n"/>
      <c r="AI35" s="5" t="n"/>
      <c r="AJ35" s="5" t="n"/>
      <c r="AK35" s="166" t="n"/>
      <c r="AL35" s="5" t="n"/>
      <c r="AM35" s="5" t="n"/>
      <c r="AR35" s="5" t="n"/>
      <c r="AS35" s="5" t="n"/>
      <c r="AX35" s="5" t="n"/>
      <c r="AY35" s="5" t="n"/>
      <c r="BD35" s="5" t="n"/>
      <c r="BE35" s="5" t="n"/>
      <c r="BJ35" s="5" t="n"/>
      <c r="BK35" s="5" t="n"/>
      <c r="BP35" s="5" t="n"/>
      <c r="BQ35" s="5" t="n"/>
      <c r="BV35" s="5" t="n"/>
      <c r="BW35" s="5" t="n"/>
      <c r="BX35" s="5" t="n"/>
      <c r="BY35" s="5" t="n"/>
      <c r="BZ35" s="5" t="n"/>
      <c r="CA35" s="5" t="n"/>
      <c r="CF35" s="5" t="n"/>
    </row>
    <row r="36" ht="16.5" customHeight="1" s="241">
      <c r="A36" s="171" t="n">
        <v>45</v>
      </c>
      <c r="B36" s="171" t="n">
        <v>54</v>
      </c>
      <c r="C36" s="171" t="inlineStr">
        <is>
          <t>Plena Vital 3</t>
        </is>
      </c>
      <c r="D36" s="170" t="n">
        <v>63</v>
      </c>
      <c r="E36" s="5" t="n"/>
      <c r="F36" s="5" t="n"/>
      <c r="G36" s="5" t="n"/>
      <c r="H36" s="5" t="n"/>
      <c r="I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166" t="n"/>
      <c r="Z36" s="5" t="n"/>
      <c r="AA36" s="5" t="n"/>
      <c r="AF36" s="5" t="n"/>
      <c r="AG36" s="5" t="n"/>
      <c r="AH36" s="5" t="n"/>
      <c r="AI36" s="5" t="n"/>
      <c r="AJ36" s="5" t="n"/>
      <c r="AK36" s="166" t="n"/>
      <c r="AL36" s="5" t="n"/>
      <c r="AM36" s="5" t="n"/>
      <c r="AR36" s="5" t="n"/>
      <c r="AS36" s="5" t="n"/>
      <c r="AX36" s="5" t="n"/>
      <c r="AY36" s="5" t="n"/>
      <c r="BD36" s="5" t="n"/>
      <c r="BE36" s="5" t="n"/>
      <c r="BJ36" s="5" t="n"/>
      <c r="BK36" s="5" t="n"/>
      <c r="BP36" s="5" t="n"/>
      <c r="BQ36" s="5" t="n"/>
      <c r="BV36" s="5" t="n"/>
      <c r="BW36" s="5" t="n"/>
      <c r="BX36" s="5" t="n"/>
      <c r="BY36" s="5" t="n"/>
      <c r="BZ36" s="5" t="n"/>
      <c r="CA36" s="5" t="n"/>
      <c r="CF36" s="5" t="n"/>
    </row>
    <row r="37" ht="16.5" customHeight="1" s="241">
      <c r="A37" s="171" t="n">
        <v>55</v>
      </c>
      <c r="B37" s="171" t="n">
        <v>59</v>
      </c>
      <c r="C37" s="171" t="inlineStr">
        <is>
          <t>Plena Vital 3</t>
        </is>
      </c>
      <c r="D37" s="170" t="n">
        <v>96.5</v>
      </c>
      <c r="E37" s="5" t="n"/>
      <c r="F37" s="5" t="n"/>
      <c r="G37" s="5" t="n"/>
      <c r="H37" s="5" t="n"/>
      <c r="I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166" t="n"/>
      <c r="Z37" s="5" t="n"/>
      <c r="AA37" s="5" t="n"/>
      <c r="AF37" s="5" t="n"/>
      <c r="AG37" s="5" t="n"/>
      <c r="AH37" s="5" t="n"/>
      <c r="AI37" s="5" t="n"/>
      <c r="AJ37" s="5" t="n"/>
      <c r="AK37" s="166" t="n"/>
      <c r="AL37" s="5" t="n"/>
      <c r="AM37" s="5" t="n"/>
      <c r="AR37" s="5" t="n"/>
      <c r="AS37" s="5" t="n"/>
      <c r="AX37" s="5" t="n"/>
      <c r="AY37" s="5" t="n"/>
      <c r="BD37" s="5" t="n"/>
      <c r="BE37" s="5" t="n"/>
      <c r="BJ37" s="5" t="n"/>
      <c r="BK37" s="5" t="n"/>
      <c r="BP37" s="5" t="n"/>
      <c r="BQ37" s="5" t="n"/>
      <c r="BV37" s="5" t="n"/>
      <c r="BW37" s="5" t="n"/>
      <c r="BX37" s="5" t="n"/>
      <c r="BY37" s="5" t="n"/>
      <c r="BZ37" s="5" t="n"/>
      <c r="CA37" s="5" t="n"/>
      <c r="CF37" s="5" t="n"/>
    </row>
    <row r="38" ht="16.5" customHeight="1" s="241">
      <c r="A38" s="171" t="n">
        <v>60</v>
      </c>
      <c r="B38" s="171" t="n">
        <v>64</v>
      </c>
      <c r="C38" s="171" t="inlineStr">
        <is>
          <t>Plena Vital 3</t>
        </is>
      </c>
      <c r="D38" s="170" t="n">
        <v>124</v>
      </c>
      <c r="E38" s="5" t="n"/>
      <c r="F38" s="5" t="n"/>
      <c r="G38" s="5" t="n"/>
      <c r="H38" s="5" t="n"/>
      <c r="I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166" t="n"/>
      <c r="Z38" s="5" t="n"/>
      <c r="AA38" s="5" t="n"/>
      <c r="AF38" s="5" t="n"/>
      <c r="AG38" s="5" t="n"/>
      <c r="AH38" s="5" t="n"/>
      <c r="AI38" s="5" t="n"/>
      <c r="AJ38" s="5" t="n"/>
      <c r="AK38" s="166" t="n"/>
      <c r="AL38" s="5" t="n"/>
      <c r="AM38" s="5" t="n"/>
      <c r="AR38" s="5" t="n"/>
      <c r="AS38" s="5" t="n"/>
      <c r="AX38" s="5" t="n"/>
      <c r="AY38" s="5" t="n"/>
      <c r="BD38" s="5" t="n"/>
      <c r="BE38" s="5" t="n"/>
      <c r="BJ38" s="5" t="n"/>
      <c r="BK38" s="5" t="n"/>
      <c r="BP38" s="5" t="n"/>
      <c r="BQ38" s="5" t="n"/>
      <c r="BV38" s="5" t="n"/>
      <c r="BW38" s="5" t="n"/>
      <c r="BX38" s="5" t="n"/>
      <c r="BY38" s="5" t="n"/>
      <c r="BZ38" s="5" t="n"/>
      <c r="CA38" s="5" t="n"/>
      <c r="CF38" s="5" t="n"/>
    </row>
    <row r="39" ht="16.5" customHeight="1" s="241">
      <c r="A39" s="171" t="n">
        <v>65</v>
      </c>
      <c r="B39" s="171" t="n">
        <v>69</v>
      </c>
      <c r="C39" s="171" t="inlineStr">
        <is>
          <t>Plena Vital 3</t>
        </is>
      </c>
      <c r="D39" s="170" t="n">
        <v>167</v>
      </c>
      <c r="E39" s="5" t="n"/>
      <c r="F39" s="5" t="n"/>
      <c r="G39" s="5" t="n"/>
      <c r="H39" s="5" t="n"/>
      <c r="I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166" t="n"/>
      <c r="Z39" s="5" t="n"/>
      <c r="AA39" s="5" t="n"/>
      <c r="AF39" s="5" t="n"/>
      <c r="AG39" s="5" t="n"/>
      <c r="AH39" s="5" t="n"/>
      <c r="AI39" s="5" t="n"/>
      <c r="AJ39" s="5" t="n"/>
      <c r="AK39" s="166" t="n"/>
      <c r="AL39" s="5" t="n"/>
      <c r="AM39" s="5" t="n"/>
      <c r="AR39" s="5" t="n"/>
      <c r="AS39" s="5" t="n"/>
      <c r="AX39" s="5" t="n"/>
      <c r="AY39" s="5" t="n"/>
      <c r="BD39" s="5" t="n"/>
      <c r="BE39" s="5" t="n"/>
      <c r="BJ39" s="5" t="n"/>
      <c r="BK39" s="5" t="n"/>
      <c r="BP39" s="5" t="n"/>
      <c r="BQ39" s="5" t="n"/>
      <c r="BV39" s="5" t="n"/>
      <c r="BW39" s="5" t="n"/>
      <c r="BX39" s="5" t="n"/>
      <c r="BY39" s="5" t="n"/>
      <c r="BZ39" s="5" t="n"/>
      <c r="CA39" s="5" t="n"/>
      <c r="CF39" s="5" t="n"/>
    </row>
    <row r="40" ht="16.5" customHeight="1" s="241">
      <c r="A40" s="171" t="n">
        <v>70</v>
      </c>
      <c r="B40" s="171" t="n">
        <v>120</v>
      </c>
      <c r="C40" s="171" t="inlineStr">
        <is>
          <t>Plena Vital 3</t>
        </is>
      </c>
      <c r="D40" s="170" t="n">
        <v>179</v>
      </c>
      <c r="E40" s="5" t="n"/>
      <c r="F40" s="5" t="n"/>
      <c r="G40" s="5" t="n"/>
      <c r="H40" s="5" t="n"/>
      <c r="I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166" t="n"/>
      <c r="Z40" s="5" t="n"/>
      <c r="AA40" s="5" t="n"/>
      <c r="AF40" s="5" t="n"/>
      <c r="AG40" s="5" t="n"/>
      <c r="AH40" s="5" t="n"/>
      <c r="AI40" s="5" t="n"/>
      <c r="AJ40" s="5" t="n"/>
      <c r="AK40" s="166" t="n"/>
      <c r="AL40" s="5" t="n"/>
      <c r="AM40" s="5" t="n"/>
      <c r="AR40" s="5" t="n"/>
      <c r="AS40" s="5" t="n"/>
      <c r="AX40" s="5" t="n"/>
      <c r="AY40" s="5" t="n"/>
      <c r="BD40" s="5" t="n"/>
      <c r="BE40" s="5" t="n"/>
      <c r="BJ40" s="5" t="n"/>
      <c r="BK40" s="5" t="n"/>
      <c r="BP40" s="5" t="n"/>
      <c r="BQ40" s="5" t="n"/>
      <c r="BV40" s="5" t="n"/>
      <c r="BW40" s="5" t="n"/>
      <c r="BX40" s="5" t="n"/>
      <c r="BY40" s="5" t="n"/>
      <c r="BZ40" s="5" t="n"/>
      <c r="CA40" s="5" t="n"/>
      <c r="CF40" s="5" t="n"/>
    </row>
    <row r="41" ht="16.5" customHeight="1" s="241">
      <c r="A41" s="171" t="n">
        <v>0</v>
      </c>
      <c r="B41" s="171" t="n">
        <v>24</v>
      </c>
      <c r="C41" s="171" t="inlineStr">
        <is>
          <t>Plena Vital 4</t>
        </is>
      </c>
      <c r="D41" s="170" t="n">
        <v>40</v>
      </c>
      <c r="E41" s="5" t="n"/>
      <c r="F41" s="5" t="n"/>
      <c r="G41" s="5" t="n"/>
      <c r="H41" s="5" t="n"/>
      <c r="I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166" t="n"/>
      <c r="Z41" s="5" t="n"/>
      <c r="AA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R41" s="5" t="n"/>
      <c r="AS41" s="5" t="n"/>
      <c r="AX41" s="5" t="n"/>
      <c r="AY41" s="5" t="n"/>
      <c r="BD41" s="5" t="n"/>
      <c r="BE41" s="5" t="n"/>
      <c r="BJ41" s="5" t="n"/>
      <c r="BK41" s="5" t="n"/>
      <c r="BP41" s="5" t="n"/>
      <c r="BQ41" s="5" t="n"/>
      <c r="BV41" s="5" t="n"/>
      <c r="BW41" s="5" t="n"/>
      <c r="BX41" s="5" t="n"/>
      <c r="BY41" s="5" t="n"/>
      <c r="BZ41" s="5" t="n"/>
      <c r="CA41" s="5" t="n"/>
      <c r="CF41" s="5" t="n"/>
    </row>
    <row r="42" ht="16.5" customHeight="1" s="241">
      <c r="A42" s="171" t="n">
        <v>25</v>
      </c>
      <c r="B42" s="171" t="n">
        <v>44</v>
      </c>
      <c r="C42" s="171" t="inlineStr">
        <is>
          <t>Plena Vital 4</t>
        </is>
      </c>
      <c r="D42" s="170" t="n">
        <v>52</v>
      </c>
      <c r="E42" s="5" t="n"/>
      <c r="F42" s="5" t="n"/>
      <c r="G42" s="5" t="n"/>
      <c r="H42" s="5" t="n"/>
      <c r="I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166" t="n"/>
      <c r="Z42" s="5" t="n"/>
      <c r="AA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R42" s="5" t="n"/>
      <c r="AS42" s="5" t="n"/>
      <c r="AX42" s="5" t="n"/>
      <c r="AY42" s="5" t="n"/>
      <c r="BD42" s="5" t="n"/>
      <c r="BE42" s="5" t="n"/>
      <c r="BJ42" s="5" t="n"/>
      <c r="BK42" s="5" t="n"/>
      <c r="BP42" s="5" t="n"/>
      <c r="BQ42" s="5" t="n"/>
      <c r="BV42" s="5" t="n"/>
      <c r="BW42" s="5" t="n"/>
      <c r="BX42" s="5" t="n"/>
      <c r="BY42" s="5" t="n"/>
      <c r="BZ42" s="5" t="n"/>
      <c r="CA42" s="5" t="n"/>
      <c r="CF42" s="5" t="n"/>
    </row>
    <row r="43" ht="16.5" customHeight="1" s="241">
      <c r="A43" s="171" t="n">
        <v>45</v>
      </c>
      <c r="B43" s="171" t="n">
        <v>54</v>
      </c>
      <c r="C43" s="171" t="inlineStr">
        <is>
          <t>Plena Vital 4</t>
        </is>
      </c>
      <c r="D43" s="170" t="n">
        <v>64</v>
      </c>
      <c r="E43" s="5" t="n"/>
      <c r="F43" s="5" t="n"/>
      <c r="G43" s="5" t="n"/>
      <c r="H43" s="5" t="n"/>
      <c r="I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166" t="n"/>
      <c r="Z43" s="5" t="n"/>
      <c r="AA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R43" s="5" t="n"/>
      <c r="AS43" s="5" t="n"/>
      <c r="AX43" s="5" t="n"/>
      <c r="AY43" s="5" t="n"/>
      <c r="BD43" s="5" t="n"/>
      <c r="BE43" s="5" t="n"/>
      <c r="BJ43" s="5" t="n"/>
      <c r="BK43" s="5" t="n"/>
      <c r="BP43" s="5" t="n"/>
      <c r="BQ43" s="5" t="n"/>
      <c r="BV43" s="5" t="n"/>
      <c r="BW43" s="5" t="n"/>
      <c r="BX43" s="5" t="n"/>
      <c r="BY43" s="5" t="n"/>
      <c r="BZ43" s="5" t="n"/>
      <c r="CA43" s="5" t="n"/>
      <c r="CF43" s="5" t="n"/>
    </row>
    <row r="44" ht="16.5" customHeight="1" s="241">
      <c r="A44" s="171" t="n">
        <v>55</v>
      </c>
      <c r="B44" s="171" t="n">
        <v>59</v>
      </c>
      <c r="C44" s="171" t="inlineStr">
        <is>
          <t>Plena Vital 4</t>
        </is>
      </c>
      <c r="D44" s="170" t="n">
        <v>99</v>
      </c>
      <c r="E44" s="5" t="n"/>
      <c r="F44" s="5" t="n"/>
      <c r="G44" s="5" t="n"/>
      <c r="H44" s="5" t="n"/>
      <c r="I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166" t="n"/>
      <c r="Z44" s="5" t="n"/>
      <c r="AA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BD44" s="5" t="n"/>
      <c r="BE44" s="5" t="n"/>
      <c r="BJ44" s="5" t="n"/>
      <c r="BK44" s="5" t="n"/>
      <c r="BP44" s="5" t="n"/>
      <c r="BQ44" s="5" t="n"/>
      <c r="BV44" s="5" t="n"/>
      <c r="BW44" s="5" t="n"/>
      <c r="BX44" s="5" t="n"/>
      <c r="BY44" s="5" t="n"/>
      <c r="BZ44" s="5" t="n"/>
      <c r="CA44" s="5" t="n"/>
      <c r="CF44" s="5" t="n"/>
    </row>
    <row r="45" ht="16.5" customHeight="1" s="241">
      <c r="A45" s="171" t="n">
        <v>60</v>
      </c>
      <c r="B45" s="171" t="n">
        <v>64</v>
      </c>
      <c r="C45" s="171" t="inlineStr">
        <is>
          <t>Plena Vital 4</t>
        </is>
      </c>
      <c r="D45" s="170" t="n">
        <v>125.5</v>
      </c>
      <c r="E45" s="5" t="n"/>
      <c r="F45" s="5" t="n"/>
      <c r="G45" s="5" t="n"/>
      <c r="H45" s="5" t="n"/>
      <c r="I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166" t="n"/>
      <c r="Z45" s="5" t="n"/>
      <c r="AA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BD45" s="5" t="n"/>
      <c r="BE45" s="5" t="n"/>
      <c r="BJ45" s="5" t="n"/>
      <c r="BK45" s="5" t="n"/>
      <c r="BP45" s="5" t="n"/>
      <c r="BQ45" s="5" t="n"/>
      <c r="BV45" s="5" t="n"/>
      <c r="BW45" s="5" t="n"/>
      <c r="BX45" s="5" t="n"/>
      <c r="BY45" s="5" t="n"/>
      <c r="BZ45" s="5" t="n"/>
      <c r="CA45" s="5" t="n"/>
      <c r="CF45" s="5" t="n"/>
    </row>
    <row r="46" ht="16.5" customHeight="1" s="241">
      <c r="A46" s="171" t="n">
        <v>65</v>
      </c>
      <c r="B46" s="171" t="n">
        <v>69</v>
      </c>
      <c r="C46" s="171" t="inlineStr">
        <is>
          <t>Plena Vital 4</t>
        </is>
      </c>
      <c r="D46" s="170" t="n">
        <v>167.5</v>
      </c>
      <c r="E46" s="5" t="n"/>
      <c r="F46" s="5" t="n"/>
      <c r="G46" s="5" t="n"/>
      <c r="H46" s="5" t="n"/>
      <c r="I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BD46" s="5" t="n"/>
      <c r="BE46" s="5" t="n"/>
      <c r="BJ46" s="5" t="n"/>
      <c r="BK46" s="5" t="n"/>
      <c r="BP46" s="5" t="n"/>
      <c r="BQ46" s="5" t="n"/>
      <c r="BV46" s="5" t="n"/>
      <c r="BW46" s="5" t="n"/>
      <c r="BX46" s="5" t="n"/>
      <c r="BY46" s="5" t="n"/>
      <c r="BZ46" s="5" t="n"/>
      <c r="CA46" s="5" t="n"/>
      <c r="CF46" s="5" t="n"/>
    </row>
    <row r="47" ht="16.5" customHeight="1" s="241">
      <c r="A47" s="171" t="n">
        <v>70</v>
      </c>
      <c r="B47" s="171" t="n">
        <v>120</v>
      </c>
      <c r="C47" s="171" t="inlineStr">
        <is>
          <t>Plena Vital 4</t>
        </is>
      </c>
      <c r="D47" s="170" t="n">
        <v>180</v>
      </c>
      <c r="E47" s="5" t="n"/>
      <c r="F47" s="5" t="n"/>
      <c r="G47" s="5" t="n"/>
      <c r="H47" s="5" t="n"/>
      <c r="I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BD47" s="5" t="n"/>
      <c r="BE47" s="5" t="n"/>
      <c r="BJ47" s="5" t="n"/>
      <c r="BK47" s="5" t="n"/>
      <c r="BP47" s="5" t="n"/>
      <c r="BQ47" s="5" t="n"/>
      <c r="BV47" s="5" t="n"/>
      <c r="BW47" s="5" t="n"/>
      <c r="BX47" s="5" t="n"/>
      <c r="BY47" s="5" t="n"/>
      <c r="BZ47" s="5" t="n"/>
      <c r="CA47" s="5" t="n"/>
      <c r="CF47" s="5" t="n"/>
    </row>
    <row r="48" ht="16.5" customHeight="1" s="241">
      <c r="A48" s="171" t="n">
        <v>0</v>
      </c>
      <c r="B48" s="171" t="n">
        <v>24</v>
      </c>
      <c r="C48" s="171" t="inlineStr">
        <is>
          <t>Plena Vital 5</t>
        </is>
      </c>
      <c r="D48" s="170" t="n">
        <v>41</v>
      </c>
      <c r="E48" s="5" t="n"/>
      <c r="F48" s="5" t="n"/>
      <c r="G48" s="5" t="n"/>
      <c r="H48" s="5" t="n"/>
      <c r="I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BD48" s="5" t="n"/>
      <c r="BE48" s="5" t="n"/>
      <c r="BJ48" s="5" t="n"/>
      <c r="BK48" s="5" t="n"/>
      <c r="BP48" s="5" t="n"/>
      <c r="BQ48" s="5" t="n"/>
      <c r="BV48" s="5" t="n"/>
      <c r="BW48" s="5" t="n"/>
      <c r="BX48" s="5" t="n"/>
      <c r="BY48" s="5" t="n"/>
      <c r="BZ48" s="5" t="n"/>
      <c r="CA48" s="5" t="n"/>
      <c r="CF48" s="5" t="n"/>
    </row>
    <row r="49" ht="16.5" customHeight="1" s="241">
      <c r="A49" s="171" t="n">
        <v>25</v>
      </c>
      <c r="B49" s="171" t="n">
        <v>44</v>
      </c>
      <c r="C49" s="171" t="inlineStr">
        <is>
          <t>Plena Vital 5</t>
        </is>
      </c>
      <c r="D49" s="170" t="n">
        <v>53.5</v>
      </c>
      <c r="E49" s="5" t="n"/>
      <c r="F49" s="5" t="n"/>
      <c r="G49" s="5" t="n"/>
      <c r="H49" s="5" t="n"/>
      <c r="I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BD49" s="5" t="n"/>
      <c r="BE49" s="5" t="n"/>
      <c r="BJ49" s="5" t="n"/>
      <c r="BK49" s="5" t="n"/>
      <c r="BP49" s="5" t="n"/>
      <c r="BQ49" s="5" t="n"/>
      <c r="BV49" s="5" t="n"/>
      <c r="BW49" s="5" t="n"/>
      <c r="BX49" s="5" t="n"/>
      <c r="BY49" s="5" t="n"/>
      <c r="BZ49" s="5" t="n"/>
      <c r="CA49" s="5" t="n"/>
      <c r="CF49" s="5" t="n"/>
    </row>
    <row r="50" ht="16.5" customHeight="1" s="241">
      <c r="A50" s="171" t="n">
        <v>45</v>
      </c>
      <c r="B50" s="171" t="n">
        <v>54</v>
      </c>
      <c r="C50" s="171" t="inlineStr">
        <is>
          <t>Plena Vital 5</t>
        </is>
      </c>
      <c r="D50" s="170" t="n">
        <v>66</v>
      </c>
      <c r="E50" s="5" t="n"/>
      <c r="F50" s="5" t="n"/>
      <c r="G50" s="5" t="n"/>
      <c r="H50" s="5" t="n"/>
      <c r="I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BD50" s="5" t="n"/>
      <c r="BE50" s="5" t="n"/>
      <c r="BJ50" s="5" t="n"/>
      <c r="BK50" s="5" t="n"/>
      <c r="BP50" s="5" t="n"/>
      <c r="BQ50" s="5" t="n"/>
      <c r="BV50" s="5" t="n"/>
      <c r="BW50" s="5" t="n"/>
      <c r="BX50" s="5" t="n"/>
      <c r="BY50" s="5" t="n"/>
      <c r="BZ50" s="5" t="n"/>
      <c r="CA50" s="5" t="n"/>
      <c r="CF50" s="5" t="n"/>
    </row>
    <row r="51" ht="16.5" customHeight="1" s="241">
      <c r="A51" s="171" t="n">
        <v>55</v>
      </c>
      <c r="B51" s="171" t="n">
        <v>59</v>
      </c>
      <c r="C51" s="171" t="inlineStr">
        <is>
          <t>Plena Vital 5</t>
        </is>
      </c>
      <c r="D51" s="170" t="n">
        <v>101</v>
      </c>
      <c r="E51" s="5" t="n"/>
      <c r="F51" s="5" t="n"/>
      <c r="G51" s="5" t="n"/>
      <c r="H51" s="5" t="n"/>
      <c r="I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BD51" s="5" t="n"/>
      <c r="BE51" s="5" t="n"/>
      <c r="BJ51" s="5" t="n"/>
      <c r="BK51" s="5" t="n"/>
      <c r="BP51" s="5" t="n"/>
      <c r="BQ51" s="5" t="n"/>
      <c r="BV51" s="5" t="n"/>
      <c r="BW51" s="5" t="n"/>
      <c r="BX51" s="5" t="n"/>
      <c r="BY51" s="5" t="n"/>
      <c r="BZ51" s="5" t="n"/>
      <c r="CA51" s="5" t="n"/>
      <c r="CF51" s="5" t="n"/>
    </row>
    <row r="52" ht="16.5" customHeight="1" s="241">
      <c r="A52" s="171" t="n">
        <v>60</v>
      </c>
      <c r="B52" s="171" t="n">
        <v>64</v>
      </c>
      <c r="C52" s="171" t="inlineStr">
        <is>
          <t>Plena Vital 5</t>
        </is>
      </c>
      <c r="D52" s="170" t="n">
        <v>126</v>
      </c>
      <c r="E52" s="5" t="n"/>
      <c r="F52" s="5" t="n"/>
      <c r="G52" s="5" t="n"/>
      <c r="H52" s="5" t="n"/>
      <c r="I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BD52" s="5" t="n"/>
      <c r="BE52" s="5" t="n"/>
      <c r="BJ52" s="5" t="n"/>
      <c r="BK52" s="5" t="n"/>
      <c r="BP52" s="5" t="n"/>
      <c r="BQ52" s="5" t="n"/>
      <c r="BV52" s="5" t="n"/>
      <c r="BW52" s="5" t="n"/>
      <c r="BX52" s="5" t="n"/>
      <c r="BY52" s="5" t="n"/>
      <c r="BZ52" s="5" t="n"/>
      <c r="CA52" s="5" t="n"/>
      <c r="CF52" s="5" t="n"/>
    </row>
    <row r="53" ht="16.5" customHeight="1" s="241">
      <c r="A53" s="171" t="n">
        <v>65</v>
      </c>
      <c r="B53" s="171" t="n">
        <v>69</v>
      </c>
      <c r="C53" s="171" t="inlineStr">
        <is>
          <t>Plena Vital 5</t>
        </is>
      </c>
      <c r="D53" s="170" t="n">
        <v>168</v>
      </c>
      <c r="E53" s="5" t="n"/>
      <c r="F53" s="5" t="n"/>
      <c r="G53" s="5" t="n"/>
      <c r="H53" s="5" t="n"/>
      <c r="I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BD53" s="5" t="n"/>
      <c r="BE53" s="5" t="n"/>
      <c r="BJ53" s="5" t="n"/>
      <c r="BK53" s="5" t="n"/>
      <c r="BP53" s="5" t="n"/>
      <c r="BQ53" s="5" t="n"/>
      <c r="BV53" s="5" t="n"/>
      <c r="BW53" s="5" t="n"/>
      <c r="BX53" s="5" t="n"/>
      <c r="BY53" s="5" t="n"/>
      <c r="BZ53" s="5" t="n"/>
      <c r="CA53" s="5" t="n"/>
      <c r="CF53" s="5" t="n"/>
    </row>
    <row r="54" ht="16.5" customHeight="1" s="241">
      <c r="A54" s="171" t="n">
        <v>70</v>
      </c>
      <c r="B54" s="171" t="n">
        <v>120</v>
      </c>
      <c r="C54" s="171" t="inlineStr">
        <is>
          <t>Plena Vital 5</t>
        </is>
      </c>
      <c r="D54" s="170" t="n">
        <v>181</v>
      </c>
      <c r="E54" s="5" t="n"/>
      <c r="F54" s="5" t="n"/>
      <c r="G54" s="5" t="n"/>
      <c r="H54" s="5" t="n"/>
      <c r="I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BD54" s="5" t="n"/>
      <c r="BE54" s="5" t="n"/>
      <c r="BJ54" s="5" t="n"/>
      <c r="BK54" s="5" t="n"/>
      <c r="BP54" s="5" t="n"/>
      <c r="BQ54" s="5" t="n"/>
      <c r="BV54" s="5" t="n"/>
      <c r="BW54" s="5" t="n"/>
      <c r="BX54" s="5" t="n"/>
      <c r="BY54" s="5" t="n"/>
      <c r="BZ54" s="5" t="n"/>
      <c r="CA54" s="5" t="n"/>
      <c r="CF54" s="5" t="n"/>
    </row>
    <row r="55" ht="16.5" customHeight="1" s="241">
      <c r="A55" s="171" t="n">
        <v>0</v>
      </c>
      <c r="B55" s="171" t="n">
        <v>24</v>
      </c>
      <c r="C55" s="171" t="inlineStr">
        <is>
          <t>Plena Vital 6</t>
        </is>
      </c>
      <c r="D55" s="170" t="n">
        <v>42.5</v>
      </c>
      <c r="E55" s="5" t="n"/>
      <c r="F55" s="5" t="n"/>
      <c r="G55" s="5" t="n"/>
      <c r="H55" s="5" t="n"/>
      <c r="I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BD55" s="5" t="n"/>
      <c r="BE55" s="5" t="n"/>
      <c r="BJ55" s="5" t="n"/>
      <c r="BK55" s="5" t="n"/>
      <c r="BP55" s="5" t="n"/>
      <c r="BQ55" s="5" t="n"/>
      <c r="BV55" s="5" t="n"/>
      <c r="BW55" s="5" t="n"/>
      <c r="BX55" s="5" t="n"/>
      <c r="BY55" s="5" t="n"/>
      <c r="BZ55" s="5" t="n"/>
      <c r="CA55" s="5" t="n"/>
      <c r="CF55" s="5" t="n"/>
    </row>
    <row r="56" ht="16.5" customHeight="1" s="241">
      <c r="A56" s="171" t="n">
        <v>25</v>
      </c>
      <c r="B56" s="171" t="n">
        <v>44</v>
      </c>
      <c r="C56" s="171" t="inlineStr">
        <is>
          <t>Plena Vital 6</t>
        </is>
      </c>
      <c r="D56" s="170" t="n">
        <v>54</v>
      </c>
      <c r="E56" s="5" t="n"/>
      <c r="F56" s="5" t="n"/>
      <c r="G56" s="5" t="n"/>
      <c r="H56" s="5" t="n"/>
      <c r="I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BD56" s="5" t="n"/>
      <c r="BE56" s="5" t="n"/>
      <c r="BJ56" s="5" t="n"/>
      <c r="BK56" s="5" t="n"/>
      <c r="BP56" s="5" t="n"/>
      <c r="BQ56" s="5" t="n"/>
      <c r="BV56" s="5" t="n"/>
      <c r="BW56" s="5" t="n"/>
      <c r="BX56" s="5" t="n"/>
      <c r="BY56" s="5" t="n"/>
      <c r="BZ56" s="5" t="n"/>
      <c r="CA56" s="5" t="n"/>
      <c r="CF56" s="5" t="n"/>
    </row>
    <row r="57" ht="16.5" customHeight="1" s="241">
      <c r="A57" s="171" t="n">
        <v>45</v>
      </c>
      <c r="B57" s="171" t="n">
        <v>54</v>
      </c>
      <c r="C57" s="171" t="inlineStr">
        <is>
          <t>Plena Vital 6</t>
        </is>
      </c>
      <c r="D57" s="170" t="n">
        <v>66.5</v>
      </c>
      <c r="E57" s="5" t="n"/>
      <c r="F57" s="5" t="n"/>
      <c r="G57" s="5" t="n"/>
      <c r="H57" s="5" t="n"/>
      <c r="I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BD57" s="5" t="n"/>
      <c r="BE57" s="5" t="n"/>
      <c r="BJ57" s="5" t="n"/>
      <c r="BK57" s="5" t="n"/>
      <c r="BP57" s="5" t="n"/>
      <c r="BQ57" s="5" t="n"/>
      <c r="BV57" s="5" t="n"/>
      <c r="BW57" s="5" t="n"/>
      <c r="BX57" s="5" t="n"/>
      <c r="BY57" s="5" t="n"/>
      <c r="BZ57" s="5" t="n"/>
      <c r="CA57" s="5" t="n"/>
      <c r="CF57" s="5" t="n"/>
    </row>
    <row r="58" ht="16.5" customHeight="1" s="241">
      <c r="A58" s="171" t="n">
        <v>55</v>
      </c>
      <c r="B58" s="171" t="n">
        <v>59</v>
      </c>
      <c r="C58" s="171" t="inlineStr">
        <is>
          <t>Plena Vital 6</t>
        </is>
      </c>
      <c r="D58" s="170" t="n">
        <v>103</v>
      </c>
      <c r="E58" s="5" t="n"/>
      <c r="F58" s="5" t="n"/>
      <c r="G58" s="5" t="n"/>
      <c r="H58" s="5" t="n"/>
      <c r="I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BD58" s="5" t="n"/>
      <c r="BE58" s="5" t="n"/>
      <c r="BJ58" s="5" t="n"/>
      <c r="BK58" s="5" t="n"/>
      <c r="BP58" s="5" t="n"/>
      <c r="BQ58" s="5" t="n"/>
      <c r="BV58" s="5" t="n"/>
      <c r="BW58" s="5" t="n"/>
      <c r="BX58" s="5" t="n"/>
      <c r="BY58" s="5" t="n"/>
      <c r="BZ58" s="5" t="n"/>
      <c r="CA58" s="5" t="n"/>
      <c r="CF58" s="5" t="n"/>
    </row>
    <row r="59" ht="16.5" customHeight="1" s="241">
      <c r="A59" s="171" t="n">
        <v>60</v>
      </c>
      <c r="B59" s="171" t="n">
        <v>64</v>
      </c>
      <c r="C59" s="171" t="inlineStr">
        <is>
          <t>Plena Vital 6</t>
        </is>
      </c>
      <c r="D59" s="170" t="n">
        <v>127</v>
      </c>
      <c r="E59" s="5" t="n"/>
      <c r="F59" s="5" t="n"/>
      <c r="G59" s="5" t="n"/>
      <c r="H59" s="5" t="n"/>
      <c r="I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BD59" s="5" t="n"/>
      <c r="BE59" s="5" t="n"/>
      <c r="BJ59" s="5" t="n"/>
      <c r="BK59" s="5" t="n"/>
      <c r="BP59" s="5" t="n"/>
      <c r="BQ59" s="5" t="n"/>
      <c r="BV59" s="5" t="n"/>
      <c r="BW59" s="5" t="n"/>
      <c r="BX59" s="5" t="n"/>
      <c r="BY59" s="5" t="n"/>
      <c r="BZ59" s="5" t="n"/>
      <c r="CA59" s="5" t="n"/>
      <c r="CF59" s="5" t="n"/>
    </row>
    <row r="60" ht="16.5" customHeight="1" s="241">
      <c r="A60" s="171" t="n">
        <v>65</v>
      </c>
      <c r="B60" s="171" t="n">
        <v>69</v>
      </c>
      <c r="C60" s="171" t="inlineStr">
        <is>
          <t>Plena Vital 6</t>
        </is>
      </c>
      <c r="D60" s="170" t="n">
        <v>169</v>
      </c>
      <c r="E60" s="5" t="n"/>
      <c r="F60" s="5" t="n"/>
      <c r="G60" s="5" t="n"/>
      <c r="H60" s="5" t="n"/>
      <c r="I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BD60" s="5" t="n"/>
      <c r="BE60" s="5" t="n"/>
      <c r="BJ60" s="5" t="n"/>
      <c r="BK60" s="5" t="n"/>
      <c r="BP60" s="5" t="n"/>
      <c r="BQ60" s="5" t="n"/>
      <c r="BV60" s="5" t="n"/>
      <c r="BW60" s="5" t="n"/>
      <c r="BX60" s="5" t="n"/>
      <c r="BY60" s="5" t="n"/>
      <c r="BZ60" s="5" t="n"/>
      <c r="CA60" s="5" t="n"/>
      <c r="CF60" s="5" t="n"/>
    </row>
    <row r="61" ht="16.5" customHeight="1" s="241">
      <c r="A61" s="171" t="n">
        <v>70</v>
      </c>
      <c r="B61" s="171" t="n">
        <v>120</v>
      </c>
      <c r="C61" s="171" t="inlineStr">
        <is>
          <t>Plena Vital 6</t>
        </is>
      </c>
      <c r="D61" s="170" t="n">
        <v>182</v>
      </c>
      <c r="E61" s="5" t="n"/>
      <c r="F61" s="5" t="n"/>
      <c r="G61" s="5" t="n"/>
      <c r="H61" s="5" t="n"/>
      <c r="I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BD61" s="5" t="n"/>
      <c r="BE61" s="5" t="n"/>
      <c r="BJ61" s="5" t="n"/>
      <c r="BK61" s="5" t="n"/>
      <c r="BP61" s="5" t="n"/>
      <c r="BQ61" s="5" t="n"/>
      <c r="BV61" s="5" t="n"/>
      <c r="BW61" s="5" t="n"/>
      <c r="BX61" s="5" t="n"/>
      <c r="BY61" s="5" t="n"/>
      <c r="BZ61" s="5" t="n"/>
      <c r="CA61" s="5" t="n"/>
      <c r="CF61" s="5" t="n"/>
    </row>
    <row r="62" ht="16.5" customHeight="1" s="241">
      <c r="A62" s="171" t="n">
        <v>0</v>
      </c>
      <c r="B62" s="171" t="n">
        <v>24</v>
      </c>
      <c r="C62" s="171" t="inlineStr">
        <is>
          <t>Plena 1</t>
        </is>
      </c>
      <c r="D62" s="170" t="n">
        <v>50</v>
      </c>
      <c r="E62" s="5" t="n"/>
      <c r="F62" s="5" t="n"/>
      <c r="G62" s="5" t="n"/>
      <c r="H62" s="5" t="n"/>
      <c r="I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BD62" s="5" t="n"/>
      <c r="BE62" s="5" t="n"/>
      <c r="BJ62" s="5" t="n"/>
      <c r="BK62" s="5" t="n"/>
      <c r="BP62" s="5" t="n"/>
      <c r="BQ62" s="5" t="n"/>
      <c r="BV62" s="5" t="n"/>
      <c r="BW62" s="5" t="n"/>
      <c r="BX62" s="5" t="n"/>
      <c r="BY62" s="5" t="n"/>
      <c r="BZ62" s="5" t="n"/>
      <c r="CA62" s="5" t="n"/>
      <c r="CF62" s="5" t="n"/>
    </row>
    <row r="63" ht="16.5" customHeight="1" s="241">
      <c r="A63" s="171" t="n">
        <v>25</v>
      </c>
      <c r="B63" s="171" t="n">
        <v>44</v>
      </c>
      <c r="C63" s="171" t="inlineStr">
        <is>
          <t>Plena 1</t>
        </is>
      </c>
      <c r="D63" s="170" t="n">
        <v>60</v>
      </c>
      <c r="E63" s="5" t="n"/>
      <c r="F63" s="5" t="n"/>
      <c r="G63" s="5" t="n"/>
      <c r="H63" s="5" t="n"/>
      <c r="I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BD63" s="5" t="n"/>
      <c r="BE63" s="5" t="n"/>
      <c r="BJ63" s="5" t="n"/>
      <c r="BK63" s="5" t="n"/>
      <c r="BP63" s="5" t="n"/>
      <c r="BQ63" s="5" t="n"/>
      <c r="BV63" s="5" t="n"/>
      <c r="BW63" s="5" t="n"/>
      <c r="BX63" s="5" t="n"/>
      <c r="BY63" s="5" t="n"/>
      <c r="BZ63" s="5" t="n"/>
      <c r="CA63" s="5" t="n"/>
      <c r="CF63" s="5" t="n"/>
    </row>
    <row r="64" ht="16.5" customHeight="1" s="241">
      <c r="A64" s="171" t="n">
        <v>45</v>
      </c>
      <c r="B64" s="171" t="n">
        <v>54</v>
      </c>
      <c r="C64" s="171" t="inlineStr">
        <is>
          <t>Plena 1</t>
        </is>
      </c>
      <c r="D64" s="170" t="n">
        <v>72</v>
      </c>
      <c r="E64" s="5" t="n"/>
      <c r="F64" s="5" t="n"/>
      <c r="G64" s="5" t="n"/>
      <c r="H64" s="5" t="n"/>
      <c r="I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BD64" s="5" t="n"/>
      <c r="BE64" s="5" t="n"/>
      <c r="BJ64" s="5" t="n"/>
      <c r="BK64" s="5" t="n"/>
      <c r="BP64" s="5" t="n"/>
      <c r="BQ64" s="5" t="n"/>
      <c r="BV64" s="5" t="n"/>
      <c r="BW64" s="5" t="n"/>
      <c r="BX64" s="5" t="n"/>
      <c r="BY64" s="5" t="n"/>
      <c r="BZ64" s="5" t="n"/>
      <c r="CA64" s="5" t="n"/>
      <c r="CF64" s="5" t="n"/>
    </row>
    <row r="65" ht="16.5" customHeight="1" s="241">
      <c r="A65" s="171" t="n">
        <v>55</v>
      </c>
      <c r="B65" s="171" t="n">
        <v>59</v>
      </c>
      <c r="C65" s="171" t="inlineStr">
        <is>
          <t>Plena 1</t>
        </is>
      </c>
      <c r="D65" s="170" t="n">
        <v>105</v>
      </c>
      <c r="E65" s="5" t="n"/>
      <c r="F65" s="5" t="n"/>
      <c r="G65" s="5" t="n"/>
      <c r="H65" s="5" t="n"/>
      <c r="I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BD65" s="5" t="n"/>
      <c r="BE65" s="5" t="n"/>
      <c r="BJ65" s="5" t="n"/>
      <c r="BK65" s="5" t="n"/>
      <c r="BP65" s="5" t="n"/>
      <c r="BQ65" s="5" t="n"/>
      <c r="BV65" s="5" t="n"/>
      <c r="BW65" s="5" t="n"/>
      <c r="BX65" s="5" t="n"/>
      <c r="BY65" s="5" t="n"/>
      <c r="BZ65" s="5" t="n"/>
      <c r="CA65" s="5" t="n"/>
      <c r="CF65" s="5" t="n"/>
    </row>
    <row r="66" ht="16.5" customHeight="1" s="241">
      <c r="A66" s="171" t="n">
        <v>60</v>
      </c>
      <c r="B66" s="171" t="n">
        <v>64</v>
      </c>
      <c r="C66" s="171" t="inlineStr">
        <is>
          <t>Plena 1</t>
        </is>
      </c>
      <c r="D66" s="170" t="n">
        <v>128</v>
      </c>
      <c r="E66" s="5" t="n"/>
      <c r="F66" s="5" t="n"/>
      <c r="G66" s="5" t="n"/>
      <c r="H66" s="5" t="n"/>
      <c r="I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BD66" s="5" t="n"/>
      <c r="BE66" s="5" t="n"/>
      <c r="BJ66" s="5" t="n"/>
      <c r="BK66" s="5" t="n"/>
      <c r="BP66" s="5" t="n"/>
      <c r="BQ66" s="5" t="n"/>
      <c r="BV66" s="5" t="n"/>
      <c r="BW66" s="5" t="n"/>
      <c r="BX66" s="5" t="n"/>
      <c r="BY66" s="5" t="n"/>
      <c r="BZ66" s="5" t="n"/>
      <c r="CA66" s="5" t="n"/>
      <c r="CF66" s="5" t="n"/>
    </row>
    <row r="67" ht="16.5" customHeight="1" s="241">
      <c r="A67" s="171" t="n">
        <v>65</v>
      </c>
      <c r="B67" s="171" t="n">
        <v>69</v>
      </c>
      <c r="C67" s="171" t="inlineStr">
        <is>
          <t>Plena 1</t>
        </is>
      </c>
      <c r="D67" s="170" t="n">
        <v>166</v>
      </c>
      <c r="E67" s="5" t="n"/>
      <c r="F67" s="5" t="n"/>
      <c r="G67" s="5" t="n"/>
      <c r="H67" s="5" t="n"/>
      <c r="I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BD67" s="5" t="n"/>
      <c r="BE67" s="5" t="n"/>
      <c r="BJ67" s="5" t="n"/>
      <c r="BK67" s="5" t="n"/>
      <c r="BP67" s="5" t="n"/>
      <c r="BQ67" s="5" t="n"/>
      <c r="BV67" s="5" t="n"/>
      <c r="BW67" s="5" t="n"/>
      <c r="BX67" s="5" t="n"/>
      <c r="BY67" s="5" t="n"/>
      <c r="BZ67" s="5" t="n"/>
      <c r="CA67" s="5" t="n"/>
      <c r="CF67" s="5" t="n"/>
    </row>
    <row r="68" ht="16.5" customHeight="1" s="241">
      <c r="A68" s="171" t="n">
        <v>70</v>
      </c>
      <c r="B68" s="171" t="n">
        <v>120</v>
      </c>
      <c r="C68" s="171" t="inlineStr">
        <is>
          <t>Plena 1</t>
        </is>
      </c>
      <c r="D68" s="170" t="n">
        <v>225</v>
      </c>
      <c r="E68" s="5" t="n"/>
      <c r="F68" s="5" t="n"/>
      <c r="G68" s="5" t="n"/>
      <c r="H68" s="5" t="n"/>
      <c r="I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BD68" s="5" t="n"/>
      <c r="BE68" s="5" t="n"/>
      <c r="BJ68" s="5" t="n"/>
      <c r="BK68" s="5" t="n"/>
      <c r="BP68" s="5" t="n"/>
      <c r="BQ68" s="5" t="n"/>
      <c r="BV68" s="5" t="n"/>
      <c r="BW68" s="5" t="n"/>
      <c r="BX68" s="5" t="n"/>
      <c r="BY68" s="5" t="n"/>
      <c r="BZ68" s="5" t="n"/>
      <c r="CA68" s="5" t="n"/>
      <c r="CF68" s="5" t="n"/>
    </row>
    <row r="69" ht="16.5" customHeight="1" s="241">
      <c r="A69" s="171" t="n">
        <v>0</v>
      </c>
      <c r="B69" s="171" t="n">
        <v>24</v>
      </c>
      <c r="C69" s="171" t="inlineStr">
        <is>
          <t>Plena 2</t>
        </is>
      </c>
      <c r="D69" s="170" t="n">
        <v>51</v>
      </c>
      <c r="E69" s="5" t="n"/>
      <c r="F69" s="5" t="n"/>
      <c r="G69" s="5" t="n"/>
      <c r="H69" s="5" t="n"/>
      <c r="I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BD69" s="5" t="n"/>
      <c r="BE69" s="5" t="n"/>
      <c r="BJ69" s="5" t="n"/>
      <c r="BK69" s="5" t="n"/>
      <c r="BP69" s="5" t="n"/>
      <c r="BQ69" s="5" t="n"/>
      <c r="BV69" s="5" t="n"/>
      <c r="BW69" s="5" t="n"/>
      <c r="BX69" s="5" t="n"/>
      <c r="BY69" s="5" t="n"/>
      <c r="BZ69" s="5" t="n"/>
      <c r="CA69" s="5" t="n"/>
      <c r="CF69" s="5" t="n"/>
    </row>
    <row r="70" ht="16.5" customHeight="1" s="241">
      <c r="A70" s="171" t="n">
        <v>25</v>
      </c>
      <c r="B70" s="171" t="n">
        <v>44</v>
      </c>
      <c r="C70" s="171" t="inlineStr">
        <is>
          <t>Plena 2</t>
        </is>
      </c>
      <c r="D70" s="170" t="n">
        <v>62</v>
      </c>
      <c r="E70" s="5" t="n"/>
      <c r="F70" s="5" t="n"/>
      <c r="G70" s="5" t="n"/>
      <c r="H70" s="5" t="n"/>
      <c r="I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BD70" s="5" t="n"/>
      <c r="BE70" s="5" t="n"/>
      <c r="BJ70" s="5" t="n"/>
      <c r="BK70" s="5" t="n"/>
      <c r="BP70" s="5" t="n"/>
      <c r="BQ70" s="5" t="n"/>
      <c r="BV70" s="5" t="n"/>
      <c r="BW70" s="5" t="n"/>
      <c r="BX70" s="5" t="n"/>
      <c r="BY70" s="5" t="n"/>
      <c r="BZ70" s="5" t="n"/>
      <c r="CA70" s="5" t="n"/>
      <c r="CF70" s="5" t="n"/>
    </row>
    <row r="71" ht="16.5" customHeight="1" s="241">
      <c r="A71" s="171" t="n">
        <v>45</v>
      </c>
      <c r="B71" s="171" t="n">
        <v>54</v>
      </c>
      <c r="C71" s="171" t="inlineStr">
        <is>
          <t>Plena 2</t>
        </is>
      </c>
      <c r="D71" s="170" t="n">
        <v>73</v>
      </c>
      <c r="E71" s="5" t="n"/>
      <c r="F71" s="5" t="n"/>
      <c r="G71" s="5" t="n"/>
      <c r="H71" s="5" t="n"/>
      <c r="I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BD71" s="5" t="n"/>
      <c r="BE71" s="5" t="n"/>
      <c r="BJ71" s="5" t="n"/>
      <c r="BK71" s="5" t="n"/>
      <c r="BP71" s="5" t="n"/>
      <c r="BQ71" s="5" t="n"/>
      <c r="BV71" s="5" t="n"/>
      <c r="BW71" s="5" t="n"/>
      <c r="BX71" s="5" t="n"/>
      <c r="BY71" s="5" t="n"/>
      <c r="BZ71" s="5" t="n"/>
      <c r="CA71" s="5" t="n"/>
      <c r="CF71" s="5" t="n"/>
    </row>
    <row r="72" ht="16.5" customHeight="1" s="241">
      <c r="A72" s="171" t="n">
        <v>55</v>
      </c>
      <c r="B72" s="171" t="n">
        <v>59</v>
      </c>
      <c r="C72" s="171" t="inlineStr">
        <is>
          <t>Plena 2</t>
        </is>
      </c>
      <c r="D72" s="170" t="n">
        <v>107</v>
      </c>
      <c r="E72" s="5" t="n"/>
      <c r="F72" s="5" t="n"/>
      <c r="G72" s="5" t="n"/>
      <c r="H72" s="5" t="n"/>
      <c r="I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BD72" s="5" t="n"/>
      <c r="BE72" s="5" t="n"/>
      <c r="BJ72" s="5" t="n"/>
      <c r="BK72" s="5" t="n"/>
      <c r="BP72" s="5" t="n"/>
      <c r="BQ72" s="5" t="n"/>
      <c r="BV72" s="5" t="n"/>
      <c r="BW72" s="5" t="n"/>
      <c r="BX72" s="5" t="n"/>
      <c r="BY72" s="5" t="n"/>
      <c r="BZ72" s="5" t="n"/>
      <c r="CA72" s="5" t="n"/>
      <c r="CF72" s="5" t="n"/>
    </row>
    <row r="73" ht="16.5" customHeight="1" s="241">
      <c r="A73" s="171" t="n">
        <v>60</v>
      </c>
      <c r="B73" s="171" t="n">
        <v>64</v>
      </c>
      <c r="C73" s="171" t="inlineStr">
        <is>
          <t>Plena 2</t>
        </is>
      </c>
      <c r="D73" s="170" t="n">
        <v>130</v>
      </c>
      <c r="E73" s="5" t="n"/>
      <c r="F73" s="5" t="n"/>
      <c r="G73" s="5" t="n"/>
      <c r="H73" s="5" t="n"/>
      <c r="I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BD73" s="5" t="n"/>
      <c r="BE73" s="5" t="n"/>
      <c r="BJ73" s="5" t="n"/>
      <c r="BK73" s="5" t="n"/>
      <c r="BP73" s="5" t="n"/>
      <c r="BQ73" s="5" t="n"/>
      <c r="BV73" s="5" t="n"/>
      <c r="BW73" s="5" t="n"/>
      <c r="BX73" s="5" t="n"/>
      <c r="BY73" s="5" t="n"/>
      <c r="BZ73" s="5" t="n"/>
      <c r="CA73" s="5" t="n"/>
      <c r="CF73" s="5" t="n"/>
    </row>
    <row r="74" ht="16.5" customHeight="1" s="241">
      <c r="A74" s="171" t="n">
        <v>65</v>
      </c>
      <c r="B74" s="171" t="n">
        <v>69</v>
      </c>
      <c r="C74" s="171" t="inlineStr">
        <is>
          <t>Plena 2</t>
        </is>
      </c>
      <c r="D74" s="170" t="n">
        <v>167</v>
      </c>
      <c r="E74" s="5" t="n"/>
      <c r="F74" s="5" t="n"/>
      <c r="G74" s="5" t="n"/>
      <c r="H74" s="5" t="n"/>
      <c r="I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BD74" s="5" t="n"/>
      <c r="BE74" s="5" t="n"/>
      <c r="BJ74" s="5" t="n"/>
      <c r="BK74" s="5" t="n"/>
      <c r="BP74" s="5" t="n"/>
      <c r="BQ74" s="5" t="n"/>
      <c r="BV74" s="5" t="n"/>
      <c r="BW74" s="5" t="n"/>
      <c r="BX74" s="5" t="n"/>
      <c r="BY74" s="5" t="n"/>
      <c r="BZ74" s="5" t="n"/>
      <c r="CA74" s="5" t="n"/>
      <c r="CF74" s="5" t="n"/>
    </row>
    <row r="75" ht="16.5" customHeight="1" s="241">
      <c r="A75" s="171" t="n">
        <v>70</v>
      </c>
      <c r="B75" s="171" t="n">
        <v>120</v>
      </c>
      <c r="C75" s="171" t="inlineStr">
        <is>
          <t>Plena 2</t>
        </is>
      </c>
      <c r="D75" s="170" t="n">
        <v>227</v>
      </c>
      <c r="E75" s="5" t="n"/>
      <c r="F75" s="5" t="n"/>
      <c r="G75" s="5" t="n"/>
      <c r="H75" s="5" t="n"/>
      <c r="I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BD75" s="5" t="n"/>
      <c r="BE75" s="5" t="n"/>
      <c r="BJ75" s="5" t="n"/>
      <c r="BK75" s="5" t="n"/>
      <c r="BP75" s="5" t="n"/>
      <c r="BQ75" s="5" t="n"/>
      <c r="BV75" s="5" t="n"/>
      <c r="BW75" s="5" t="n"/>
      <c r="BX75" s="5" t="n"/>
      <c r="BY75" s="5" t="n"/>
      <c r="BZ75" s="5" t="n"/>
      <c r="CA75" s="5" t="n"/>
      <c r="CF75" s="5" t="n"/>
    </row>
    <row r="76" ht="16.5" customHeight="1" s="241">
      <c r="A76" s="171" t="n">
        <v>0</v>
      </c>
      <c r="B76" s="171" t="n">
        <v>24</v>
      </c>
      <c r="C76" s="171" t="inlineStr">
        <is>
          <t>Plena 3</t>
        </is>
      </c>
      <c r="D76" s="170" t="n">
        <v>52</v>
      </c>
      <c r="E76" s="5" t="n"/>
      <c r="F76" s="5" t="n"/>
      <c r="G76" s="5" t="n"/>
      <c r="H76" s="5" t="n"/>
      <c r="I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BD76" s="5" t="n"/>
      <c r="BE76" s="5" t="n"/>
      <c r="BJ76" s="5" t="n"/>
      <c r="BK76" s="5" t="n"/>
      <c r="BP76" s="5" t="n"/>
      <c r="BQ76" s="5" t="n"/>
      <c r="BV76" s="5" t="n"/>
      <c r="BW76" s="5" t="n"/>
      <c r="BX76" s="5" t="n"/>
      <c r="BY76" s="5" t="n"/>
      <c r="BZ76" s="5" t="n"/>
      <c r="CA76" s="5" t="n"/>
      <c r="CF76" s="5" t="n"/>
    </row>
    <row r="77" ht="16.5" customHeight="1" s="241">
      <c r="A77" s="171" t="n">
        <v>25</v>
      </c>
      <c r="B77" s="171" t="n">
        <v>44</v>
      </c>
      <c r="C77" s="171" t="inlineStr">
        <is>
          <t>Plena 3</t>
        </is>
      </c>
      <c r="D77" s="170" t="n">
        <v>63</v>
      </c>
      <c r="E77" s="5" t="n"/>
      <c r="F77" s="5" t="n"/>
      <c r="G77" s="5" t="n"/>
      <c r="H77" s="5" t="n"/>
      <c r="I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BD77" s="5" t="n"/>
      <c r="BE77" s="5" t="n"/>
      <c r="BJ77" s="5" t="n"/>
      <c r="BK77" s="5" t="n"/>
      <c r="BP77" s="5" t="n"/>
      <c r="BQ77" s="5" t="n"/>
      <c r="BV77" s="5" t="n"/>
      <c r="BW77" s="5" t="n"/>
      <c r="BX77" s="5" t="n"/>
      <c r="BY77" s="5" t="n"/>
      <c r="BZ77" s="5" t="n"/>
      <c r="CA77" s="5" t="n"/>
      <c r="CF77" s="5" t="n"/>
    </row>
    <row r="78" ht="16.5" customHeight="1" s="241">
      <c r="A78" s="171" t="n">
        <v>45</v>
      </c>
      <c r="B78" s="171" t="n">
        <v>54</v>
      </c>
      <c r="C78" s="171" t="inlineStr">
        <is>
          <t>Plena 3</t>
        </is>
      </c>
      <c r="D78" s="170" t="n">
        <v>74</v>
      </c>
      <c r="E78" s="5" t="n"/>
      <c r="F78" s="5" t="n"/>
      <c r="G78" s="5" t="n"/>
      <c r="H78" s="5" t="n"/>
      <c r="I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BD78" s="5" t="n"/>
      <c r="BE78" s="5" t="n"/>
      <c r="BJ78" s="5" t="n"/>
      <c r="BK78" s="5" t="n"/>
      <c r="BP78" s="5" t="n"/>
      <c r="BQ78" s="5" t="n"/>
      <c r="BV78" s="5" t="n"/>
      <c r="BW78" s="5" t="n"/>
      <c r="BX78" s="5" t="n"/>
      <c r="BY78" s="5" t="n"/>
      <c r="BZ78" s="5" t="n"/>
      <c r="CA78" s="5" t="n"/>
      <c r="CF78" s="5" t="n"/>
    </row>
    <row r="79" ht="16.5" customHeight="1" s="241">
      <c r="A79" s="171" t="n">
        <v>55</v>
      </c>
      <c r="B79" s="171" t="n">
        <v>59</v>
      </c>
      <c r="C79" s="171" t="inlineStr">
        <is>
          <t>Plena 3</t>
        </is>
      </c>
      <c r="D79" s="170" t="n">
        <v>109</v>
      </c>
      <c r="E79" s="5" t="n"/>
      <c r="F79" s="5" t="n"/>
      <c r="G79" s="5" t="n"/>
      <c r="H79" s="5" t="n"/>
      <c r="I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BD79" s="5" t="n"/>
      <c r="BE79" s="5" t="n"/>
      <c r="BJ79" s="5" t="n"/>
      <c r="BK79" s="5" t="n"/>
      <c r="BP79" s="5" t="n"/>
      <c r="BQ79" s="5" t="n"/>
      <c r="BV79" s="5" t="n"/>
      <c r="BW79" s="5" t="n"/>
      <c r="BX79" s="5" t="n"/>
      <c r="BY79" s="5" t="n"/>
      <c r="BZ79" s="5" t="n"/>
      <c r="CA79" s="5" t="n"/>
      <c r="CF79" s="5" t="n"/>
    </row>
    <row r="80" ht="16.5" customHeight="1" s="241">
      <c r="A80" s="171" t="n">
        <v>60</v>
      </c>
      <c r="B80" s="171" t="n">
        <v>64</v>
      </c>
      <c r="C80" s="171" t="inlineStr">
        <is>
          <t>Plena 3</t>
        </is>
      </c>
      <c r="D80" s="170" t="n">
        <v>131</v>
      </c>
      <c r="E80" s="5" t="n"/>
      <c r="F80" s="5" t="n"/>
      <c r="G80" s="5" t="n"/>
      <c r="H80" s="5" t="n"/>
      <c r="I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BD80" s="5" t="n"/>
      <c r="BE80" s="5" t="n"/>
      <c r="BJ80" s="5" t="n"/>
      <c r="BK80" s="5" t="n"/>
      <c r="BP80" s="5" t="n"/>
      <c r="BQ80" s="5" t="n"/>
      <c r="BV80" s="5" t="n"/>
      <c r="BW80" s="5" t="n"/>
      <c r="BX80" s="5" t="n"/>
      <c r="BY80" s="5" t="n"/>
      <c r="BZ80" s="5" t="n"/>
      <c r="CA80" s="5" t="n"/>
      <c r="CF80" s="5" t="n"/>
    </row>
    <row r="81" ht="16.5" customHeight="1" s="241">
      <c r="A81" s="171" t="n">
        <v>65</v>
      </c>
      <c r="B81" s="171" t="n">
        <v>69</v>
      </c>
      <c r="C81" s="171" t="inlineStr">
        <is>
          <t>Plena 3</t>
        </is>
      </c>
      <c r="D81" s="170" t="n">
        <v>169</v>
      </c>
      <c r="E81" s="5" t="n"/>
      <c r="F81" s="5" t="n"/>
      <c r="G81" s="5" t="n"/>
      <c r="H81" s="5" t="n"/>
      <c r="I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BD81" s="5" t="n"/>
      <c r="BE81" s="5" t="n"/>
      <c r="BJ81" s="5" t="n"/>
      <c r="BK81" s="5" t="n"/>
      <c r="BP81" s="5" t="n"/>
      <c r="BQ81" s="5" t="n"/>
      <c r="BV81" s="5" t="n"/>
      <c r="BW81" s="5" t="n"/>
      <c r="BX81" s="5" t="n"/>
      <c r="BY81" s="5" t="n"/>
      <c r="BZ81" s="5" t="n"/>
      <c r="CA81" s="5" t="n"/>
      <c r="CF81" s="5" t="n"/>
    </row>
    <row r="82" ht="16.5" customHeight="1" s="241">
      <c r="A82" s="171" t="n">
        <v>70</v>
      </c>
      <c r="B82" s="171" t="n">
        <v>120</v>
      </c>
      <c r="C82" s="171" t="inlineStr">
        <is>
          <t>Plena 3</t>
        </is>
      </c>
      <c r="D82" s="170" t="n">
        <v>229</v>
      </c>
      <c r="E82" s="5" t="n"/>
      <c r="F82" s="5" t="n"/>
      <c r="G82" s="5" t="n"/>
      <c r="H82" s="5" t="n"/>
      <c r="I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BD82" s="5" t="n"/>
      <c r="BE82" s="5" t="n"/>
      <c r="BJ82" s="5" t="n"/>
      <c r="BK82" s="5" t="n"/>
      <c r="BP82" s="5" t="n"/>
      <c r="BQ82" s="5" t="n"/>
      <c r="BV82" s="5" t="n"/>
      <c r="BW82" s="5" t="n"/>
      <c r="BX82" s="5" t="n"/>
      <c r="BY82" s="5" t="n"/>
      <c r="BZ82" s="5" t="n"/>
      <c r="CA82" s="5" t="n"/>
      <c r="CF82" s="5" t="n"/>
    </row>
    <row r="83" ht="16.5" customHeight="1" s="241">
      <c r="A83" s="171" t="n">
        <v>0</v>
      </c>
      <c r="B83" s="171" t="n">
        <v>24</v>
      </c>
      <c r="C83" s="171" t="inlineStr">
        <is>
          <t>Plena 4</t>
        </is>
      </c>
      <c r="D83" s="170" t="n">
        <v>53</v>
      </c>
      <c r="E83" s="5" t="n"/>
      <c r="F83" s="5" t="n"/>
      <c r="G83" s="5" t="n"/>
      <c r="H83" s="5" t="n"/>
      <c r="I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BD83" s="5" t="n"/>
      <c r="BE83" s="5" t="n"/>
      <c r="BJ83" s="5" t="n"/>
      <c r="BK83" s="5" t="n"/>
      <c r="BP83" s="5" t="n"/>
      <c r="BQ83" s="5" t="n"/>
      <c r="BV83" s="5" t="n"/>
      <c r="BW83" s="5" t="n"/>
      <c r="BX83" s="5" t="n"/>
      <c r="BY83" s="5" t="n"/>
      <c r="BZ83" s="5" t="n"/>
      <c r="CA83" s="5" t="n"/>
      <c r="CF83" s="5" t="n"/>
    </row>
    <row r="84" ht="16.5" customHeight="1" s="241">
      <c r="A84" s="171" t="n">
        <v>25</v>
      </c>
      <c r="B84" s="171" t="n">
        <v>44</v>
      </c>
      <c r="C84" s="171" t="inlineStr">
        <is>
          <t>Plena 4</t>
        </is>
      </c>
      <c r="D84" s="170" t="n">
        <v>64</v>
      </c>
      <c r="E84" s="5" t="n"/>
      <c r="F84" s="5" t="n"/>
      <c r="G84" s="5" t="n"/>
      <c r="H84" s="5" t="n"/>
      <c r="I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BD84" s="5" t="n"/>
      <c r="BE84" s="5" t="n"/>
      <c r="BJ84" s="5" t="n"/>
      <c r="BK84" s="5" t="n"/>
      <c r="BP84" s="5" t="n"/>
      <c r="BQ84" s="5" t="n"/>
      <c r="BV84" s="5" t="n"/>
      <c r="BW84" s="5" t="n"/>
      <c r="BX84" s="5" t="n"/>
      <c r="BY84" s="5" t="n"/>
      <c r="BZ84" s="5" t="n"/>
      <c r="CA84" s="5" t="n"/>
      <c r="CF84" s="5" t="n"/>
    </row>
    <row r="85" ht="16.5" customHeight="1" s="241">
      <c r="A85" s="171" t="n">
        <v>45</v>
      </c>
      <c r="B85" s="171" t="n">
        <v>54</v>
      </c>
      <c r="C85" s="171" t="inlineStr">
        <is>
          <t>Plena 4</t>
        </is>
      </c>
      <c r="D85" s="170" t="n">
        <v>75</v>
      </c>
      <c r="E85" s="5" t="n"/>
      <c r="F85" s="5" t="n"/>
      <c r="G85" s="5" t="n"/>
      <c r="H85" s="5" t="n"/>
      <c r="I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BD85" s="5" t="n"/>
      <c r="BE85" s="5" t="n"/>
      <c r="BJ85" s="5" t="n"/>
      <c r="BK85" s="5" t="n"/>
      <c r="BP85" s="5" t="n"/>
      <c r="BQ85" s="5" t="n"/>
      <c r="BV85" s="5" t="n"/>
      <c r="BW85" s="5" t="n"/>
      <c r="BX85" s="5" t="n"/>
      <c r="BY85" s="5" t="n"/>
      <c r="BZ85" s="5" t="n"/>
      <c r="CA85" s="5" t="n"/>
      <c r="CF85" s="5" t="n"/>
    </row>
    <row r="86" ht="16.5" customHeight="1" s="241">
      <c r="A86" s="171" t="n">
        <v>55</v>
      </c>
      <c r="B86" s="171" t="n">
        <v>59</v>
      </c>
      <c r="C86" s="171" t="inlineStr">
        <is>
          <t>Plena 4</t>
        </is>
      </c>
      <c r="D86" s="170" t="n">
        <v>110</v>
      </c>
      <c r="E86" s="5" t="n"/>
      <c r="F86" s="5" t="n"/>
      <c r="G86" s="5" t="n"/>
      <c r="H86" s="5" t="n"/>
      <c r="I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BD86" s="5" t="n"/>
      <c r="BE86" s="5" t="n"/>
      <c r="BJ86" s="5" t="n"/>
      <c r="BK86" s="5" t="n"/>
      <c r="BP86" s="5" t="n"/>
      <c r="BQ86" s="5" t="n"/>
      <c r="BV86" s="5" t="n"/>
      <c r="BW86" s="5" t="n"/>
      <c r="BX86" s="5" t="n"/>
      <c r="BY86" s="5" t="n"/>
      <c r="BZ86" s="5" t="n"/>
      <c r="CA86" s="5" t="n"/>
      <c r="CF86" s="5" t="n"/>
    </row>
    <row r="87" ht="16.5" customHeight="1" s="241">
      <c r="A87" s="171" t="n">
        <v>60</v>
      </c>
      <c r="B87" s="171" t="n">
        <v>64</v>
      </c>
      <c r="C87" s="171" t="inlineStr">
        <is>
          <t>Plena 4</t>
        </is>
      </c>
      <c r="D87" s="170" t="n">
        <v>135</v>
      </c>
      <c r="E87" s="5" t="n"/>
      <c r="F87" s="5" t="n"/>
      <c r="G87" s="5" t="n"/>
      <c r="H87" s="5" t="n"/>
      <c r="I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BD87" s="5" t="n"/>
      <c r="BE87" s="5" t="n"/>
      <c r="BJ87" s="5" t="n"/>
      <c r="BK87" s="5" t="n"/>
      <c r="BP87" s="5" t="n"/>
      <c r="BQ87" s="5" t="n"/>
      <c r="BV87" s="5" t="n"/>
      <c r="BW87" s="5" t="n"/>
      <c r="BX87" s="5" t="n"/>
      <c r="BY87" s="5" t="n"/>
      <c r="BZ87" s="5" t="n"/>
      <c r="CA87" s="5" t="n"/>
      <c r="CF87" s="5" t="n"/>
    </row>
    <row r="88" ht="16.5" customHeight="1" s="241">
      <c r="A88" s="171" t="n">
        <v>65</v>
      </c>
      <c r="B88" s="171" t="n">
        <v>69</v>
      </c>
      <c r="C88" s="171" t="inlineStr">
        <is>
          <t>Plena 4</t>
        </is>
      </c>
      <c r="D88" s="170" t="n">
        <v>172</v>
      </c>
      <c r="E88" s="5" t="n"/>
      <c r="F88" s="5" t="n"/>
      <c r="G88" s="5" t="n"/>
      <c r="H88" s="5" t="n"/>
      <c r="I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BD88" s="5" t="n"/>
      <c r="BE88" s="5" t="n"/>
      <c r="BJ88" s="5" t="n"/>
      <c r="BK88" s="5" t="n"/>
      <c r="BP88" s="5" t="n"/>
      <c r="BQ88" s="5" t="n"/>
      <c r="BV88" s="5" t="n"/>
      <c r="BW88" s="5" t="n"/>
      <c r="BX88" s="5" t="n"/>
      <c r="BY88" s="5" t="n"/>
      <c r="BZ88" s="5" t="n"/>
      <c r="CA88" s="5" t="n"/>
      <c r="CF88" s="5" t="n"/>
    </row>
    <row r="89" ht="16.5" customHeight="1" s="241">
      <c r="A89" s="171" t="n">
        <v>70</v>
      </c>
      <c r="B89" s="171" t="n">
        <v>120</v>
      </c>
      <c r="C89" s="171" t="inlineStr">
        <is>
          <t>Plena 4</t>
        </is>
      </c>
      <c r="D89" s="170" t="n">
        <v>235</v>
      </c>
      <c r="E89" s="5" t="n"/>
      <c r="F89" s="5" t="n"/>
      <c r="G89" s="5" t="n"/>
      <c r="H89" s="5" t="n"/>
      <c r="I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BD89" s="5" t="n"/>
      <c r="BE89" s="5" t="n"/>
      <c r="BJ89" s="5" t="n"/>
      <c r="BK89" s="5" t="n"/>
      <c r="BP89" s="5" t="n"/>
      <c r="BQ89" s="5" t="n"/>
      <c r="BV89" s="5" t="n"/>
      <c r="BW89" s="5" t="n"/>
      <c r="BX89" s="5" t="n"/>
      <c r="BY89" s="5" t="n"/>
      <c r="BZ89" s="5" t="n"/>
      <c r="CA89" s="5" t="n"/>
      <c r="CF89" s="5" t="n"/>
    </row>
    <row r="90" ht="16.5" customHeight="1" s="241">
      <c r="A90" s="171" t="n">
        <v>0</v>
      </c>
      <c r="B90" s="171" t="n">
        <v>24</v>
      </c>
      <c r="C90" s="171" t="inlineStr">
        <is>
          <t>Plena 5</t>
        </is>
      </c>
      <c r="D90" s="170" t="n">
        <v>54</v>
      </c>
      <c r="E90" s="5" t="n"/>
      <c r="F90" s="5" t="n"/>
      <c r="G90" s="5" t="n"/>
      <c r="H90" s="5" t="n"/>
      <c r="I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BD90" s="5" t="n"/>
      <c r="BE90" s="5" t="n"/>
      <c r="BJ90" s="5" t="n"/>
      <c r="BK90" s="5" t="n"/>
      <c r="BP90" s="5" t="n"/>
      <c r="BQ90" s="5" t="n"/>
      <c r="BV90" s="5" t="n"/>
      <c r="BW90" s="5" t="n"/>
      <c r="BX90" s="5" t="n"/>
      <c r="BY90" s="5" t="n"/>
      <c r="BZ90" s="5" t="n"/>
      <c r="CA90" s="5" t="n"/>
      <c r="CF90" s="5" t="n"/>
    </row>
    <row r="91" ht="16.5" customHeight="1" s="241">
      <c r="A91" s="171" t="n">
        <v>25</v>
      </c>
      <c r="B91" s="171" t="n">
        <v>44</v>
      </c>
      <c r="C91" s="171" t="inlineStr">
        <is>
          <t>Plena 5</t>
        </is>
      </c>
      <c r="D91" s="170" t="n">
        <v>65</v>
      </c>
      <c r="E91" s="5" t="n"/>
      <c r="F91" s="5" t="n"/>
      <c r="G91" s="5" t="n"/>
      <c r="H91" s="5" t="n"/>
      <c r="I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BD91" s="5" t="n"/>
      <c r="BE91" s="5" t="n"/>
      <c r="BJ91" s="5" t="n"/>
      <c r="BK91" s="5" t="n"/>
      <c r="BP91" s="5" t="n"/>
      <c r="BQ91" s="5" t="n"/>
      <c r="BV91" s="5" t="n"/>
      <c r="BW91" s="5" t="n"/>
      <c r="BX91" s="5" t="n"/>
      <c r="BY91" s="5" t="n"/>
      <c r="BZ91" s="5" t="n"/>
      <c r="CA91" s="5" t="n"/>
      <c r="CF91" s="5" t="n"/>
    </row>
    <row r="92" ht="16.5" customHeight="1" s="241">
      <c r="A92" s="171" t="n">
        <v>45</v>
      </c>
      <c r="B92" s="171" t="n">
        <v>54</v>
      </c>
      <c r="C92" s="171" t="inlineStr">
        <is>
          <t>Plena 5</t>
        </is>
      </c>
      <c r="D92" s="170" t="n">
        <v>78</v>
      </c>
      <c r="E92" s="5" t="n"/>
      <c r="F92" s="5" t="n"/>
      <c r="G92" s="5" t="n"/>
      <c r="H92" s="5" t="n"/>
      <c r="I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BD92" s="5" t="n"/>
      <c r="BE92" s="5" t="n"/>
      <c r="BJ92" s="5" t="n"/>
      <c r="BK92" s="5" t="n"/>
      <c r="BP92" s="5" t="n"/>
      <c r="BQ92" s="5" t="n"/>
      <c r="BV92" s="5" t="n"/>
      <c r="BW92" s="5" t="n"/>
      <c r="BX92" s="5" t="n"/>
      <c r="BY92" s="5" t="n"/>
      <c r="BZ92" s="5" t="n"/>
      <c r="CA92" s="5" t="n"/>
      <c r="CF92" s="5" t="n"/>
    </row>
    <row r="93" ht="16.5" customHeight="1" s="241">
      <c r="A93" s="171" t="n">
        <v>55</v>
      </c>
      <c r="B93" s="171" t="n">
        <v>59</v>
      </c>
      <c r="C93" s="171" t="inlineStr">
        <is>
          <t>Plena 5</t>
        </is>
      </c>
      <c r="D93" s="170" t="n">
        <v>112</v>
      </c>
      <c r="E93" s="5" t="n"/>
      <c r="F93" s="5" t="n"/>
      <c r="G93" s="5" t="n"/>
      <c r="H93" s="5" t="n"/>
      <c r="I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BD93" s="5" t="n"/>
      <c r="BE93" s="5" t="n"/>
      <c r="BJ93" s="5" t="n"/>
      <c r="BK93" s="5" t="n"/>
      <c r="BP93" s="5" t="n"/>
      <c r="BQ93" s="5" t="n"/>
      <c r="BV93" s="5" t="n"/>
      <c r="BW93" s="5" t="n"/>
      <c r="BX93" s="5" t="n"/>
      <c r="BY93" s="5" t="n"/>
      <c r="BZ93" s="5" t="n"/>
      <c r="CA93" s="5" t="n"/>
      <c r="CF93" s="5" t="n"/>
    </row>
    <row r="94" ht="16.5" customHeight="1" s="241">
      <c r="A94" s="171" t="n">
        <v>60</v>
      </c>
      <c r="B94" s="171" t="n">
        <v>64</v>
      </c>
      <c r="C94" s="171" t="inlineStr">
        <is>
          <t>Plena 5</t>
        </is>
      </c>
      <c r="D94" s="170" t="n">
        <v>139</v>
      </c>
      <c r="E94" s="5" t="n"/>
      <c r="F94" s="5" t="n"/>
      <c r="G94" s="5" t="n"/>
      <c r="H94" s="5" t="n"/>
      <c r="I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BD94" s="5" t="n"/>
      <c r="BE94" s="5" t="n"/>
      <c r="BJ94" s="5" t="n"/>
      <c r="BK94" s="5" t="n"/>
      <c r="BP94" s="5" t="n"/>
      <c r="BQ94" s="5" t="n"/>
      <c r="BV94" s="5" t="n"/>
      <c r="BW94" s="5" t="n"/>
      <c r="BX94" s="5" t="n"/>
      <c r="BY94" s="5" t="n"/>
      <c r="BZ94" s="5" t="n"/>
      <c r="CA94" s="5" t="n"/>
      <c r="CF94" s="5" t="n"/>
    </row>
    <row r="95" ht="16.5" customHeight="1" s="241">
      <c r="A95" s="171" t="n">
        <v>65</v>
      </c>
      <c r="B95" s="171" t="n">
        <v>69</v>
      </c>
      <c r="C95" s="171" t="inlineStr">
        <is>
          <t>Plena 5</t>
        </is>
      </c>
      <c r="D95" s="170" t="n">
        <v>175</v>
      </c>
      <c r="E95" s="5" t="n"/>
      <c r="F95" s="5" t="n"/>
      <c r="G95" s="5" t="n"/>
      <c r="H95" s="5" t="n"/>
      <c r="I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BD95" s="5" t="n"/>
      <c r="BE95" s="5" t="n"/>
      <c r="BJ95" s="5" t="n"/>
      <c r="BK95" s="5" t="n"/>
      <c r="BP95" s="5" t="n"/>
      <c r="BQ95" s="5" t="n"/>
      <c r="BV95" s="5" t="n"/>
      <c r="BW95" s="5" t="n"/>
      <c r="BX95" s="5" t="n"/>
      <c r="BY95" s="5" t="n"/>
      <c r="BZ95" s="5" t="n"/>
      <c r="CA95" s="5" t="n"/>
      <c r="CF95" s="5" t="n"/>
    </row>
    <row r="96" ht="16.5" customHeight="1" s="241">
      <c r="A96" s="171" t="n">
        <v>70</v>
      </c>
      <c r="B96" s="171" t="n">
        <v>120</v>
      </c>
      <c r="C96" s="171" t="inlineStr">
        <is>
          <t>Plena 5</t>
        </is>
      </c>
      <c r="D96" s="170" t="n">
        <v>239</v>
      </c>
      <c r="E96" s="5" t="n"/>
      <c r="F96" s="5" t="n"/>
      <c r="G96" s="5" t="n"/>
      <c r="H96" s="5" t="n"/>
      <c r="I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BD96" s="5" t="n"/>
      <c r="BE96" s="5" t="n"/>
      <c r="BJ96" s="5" t="n"/>
      <c r="BK96" s="5" t="n"/>
      <c r="BP96" s="5" t="n"/>
      <c r="BQ96" s="5" t="n"/>
      <c r="BV96" s="5" t="n"/>
      <c r="BW96" s="5" t="n"/>
      <c r="BX96" s="5" t="n"/>
      <c r="BY96" s="5" t="n"/>
      <c r="BZ96" s="5" t="n"/>
      <c r="CA96" s="5" t="n"/>
      <c r="CF96" s="5" t="n"/>
    </row>
    <row r="97" ht="16.5" customHeight="1" s="241">
      <c r="A97" s="171" t="n">
        <v>0</v>
      </c>
      <c r="B97" s="171" t="n">
        <v>24</v>
      </c>
      <c r="C97" s="171" t="inlineStr">
        <is>
          <t>Plena 6</t>
        </is>
      </c>
      <c r="D97" s="170" t="n">
        <v>55</v>
      </c>
      <c r="E97" s="5" t="n"/>
      <c r="F97" s="5" t="n"/>
      <c r="G97" s="5" t="n"/>
      <c r="H97" s="5" t="n"/>
      <c r="I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BD97" s="5" t="n"/>
      <c r="BE97" s="5" t="n"/>
      <c r="BJ97" s="5" t="n"/>
      <c r="BK97" s="5" t="n"/>
      <c r="BP97" s="5" t="n"/>
      <c r="BQ97" s="5" t="n"/>
      <c r="BV97" s="5" t="n"/>
      <c r="BW97" s="5" t="n"/>
      <c r="BX97" s="5" t="n"/>
      <c r="BY97" s="5" t="n"/>
      <c r="BZ97" s="5" t="n"/>
      <c r="CA97" s="5" t="n"/>
      <c r="CF97" s="5" t="n"/>
    </row>
    <row r="98" ht="16.5" customHeight="1" s="241">
      <c r="A98" s="171" t="n">
        <v>25</v>
      </c>
      <c r="B98" s="171" t="n">
        <v>44</v>
      </c>
      <c r="C98" s="171" t="inlineStr">
        <is>
          <t>Plena 6</t>
        </is>
      </c>
      <c r="D98" s="170" t="n">
        <v>66</v>
      </c>
      <c r="E98" s="5" t="n"/>
      <c r="F98" s="5" t="n"/>
      <c r="G98" s="5" t="n"/>
      <c r="H98" s="5" t="n"/>
      <c r="I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BD98" s="5" t="n"/>
      <c r="BE98" s="5" t="n"/>
      <c r="BJ98" s="5" t="n"/>
      <c r="BK98" s="5" t="n"/>
      <c r="BP98" s="5" t="n"/>
      <c r="BQ98" s="5" t="n"/>
      <c r="BV98" s="5" t="n"/>
      <c r="BW98" s="5" t="n"/>
      <c r="BX98" s="5" t="n"/>
      <c r="BY98" s="5" t="n"/>
      <c r="BZ98" s="5" t="n"/>
      <c r="CA98" s="5" t="n"/>
      <c r="CF98" s="5" t="n"/>
    </row>
    <row r="99" ht="16.5" customHeight="1" s="241">
      <c r="A99" s="171" t="n">
        <v>45</v>
      </c>
      <c r="B99" s="171" t="n">
        <v>54</v>
      </c>
      <c r="C99" s="171" t="inlineStr">
        <is>
          <t>Plena 6</t>
        </is>
      </c>
      <c r="D99" s="170" t="n">
        <v>79</v>
      </c>
      <c r="E99" s="5" t="n"/>
      <c r="F99" s="5" t="n"/>
      <c r="G99" s="5" t="n"/>
      <c r="H99" s="5" t="n"/>
      <c r="I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BD99" s="5" t="n"/>
      <c r="BE99" s="5" t="n"/>
      <c r="BJ99" s="5" t="n"/>
      <c r="BK99" s="5" t="n"/>
      <c r="BP99" s="5" t="n"/>
      <c r="BQ99" s="5" t="n"/>
      <c r="BV99" s="5" t="n"/>
      <c r="BW99" s="5" t="n"/>
      <c r="BX99" s="5" t="n"/>
      <c r="BY99" s="5" t="n"/>
      <c r="BZ99" s="5" t="n"/>
      <c r="CA99" s="5" t="n"/>
      <c r="CF99" s="5" t="n"/>
    </row>
    <row r="100" ht="16.5" customHeight="1" s="241">
      <c r="A100" s="171" t="n">
        <v>55</v>
      </c>
      <c r="B100" s="171" t="n">
        <v>59</v>
      </c>
      <c r="C100" s="171" t="inlineStr">
        <is>
          <t>Plena 6</t>
        </is>
      </c>
      <c r="D100" s="170" t="n">
        <v>114</v>
      </c>
      <c r="E100" s="5" t="n"/>
      <c r="F100" s="5" t="n"/>
      <c r="G100" s="5" t="n"/>
      <c r="H100" s="5" t="n"/>
      <c r="I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BD100" s="5" t="n"/>
      <c r="BE100" s="5" t="n"/>
      <c r="BJ100" s="5" t="n"/>
      <c r="BK100" s="5" t="n"/>
      <c r="BP100" s="5" t="n"/>
      <c r="BQ100" s="5" t="n"/>
      <c r="BV100" s="5" t="n"/>
      <c r="BW100" s="5" t="n"/>
      <c r="BX100" s="5" t="n"/>
      <c r="BY100" s="5" t="n"/>
      <c r="BZ100" s="5" t="n"/>
      <c r="CA100" s="5" t="n"/>
      <c r="CF100" s="5" t="n"/>
    </row>
    <row r="101" ht="16.5" customHeight="1" s="241">
      <c r="A101" s="171" t="n">
        <v>60</v>
      </c>
      <c r="B101" s="171" t="n">
        <v>64</v>
      </c>
      <c r="C101" s="171" t="inlineStr">
        <is>
          <t>Plena 6</t>
        </is>
      </c>
      <c r="D101" s="170" t="n">
        <v>140</v>
      </c>
      <c r="E101" s="5" t="n"/>
      <c r="F101" s="5" t="n"/>
      <c r="G101" s="5" t="n"/>
      <c r="H101" s="5" t="n"/>
      <c r="I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BD101" s="5" t="n"/>
      <c r="BE101" s="5" t="n"/>
      <c r="BJ101" s="5" t="n"/>
      <c r="BK101" s="5" t="n"/>
      <c r="BP101" s="5" t="n"/>
      <c r="BQ101" s="5" t="n"/>
      <c r="BV101" s="5" t="n"/>
      <c r="BW101" s="5" t="n"/>
      <c r="BX101" s="5" t="n"/>
      <c r="BY101" s="5" t="n"/>
      <c r="BZ101" s="5" t="n"/>
      <c r="CA101" s="5" t="n"/>
      <c r="CF101" s="5" t="n"/>
    </row>
    <row r="102" ht="16.5" customHeight="1" s="241">
      <c r="A102" s="171" t="n">
        <v>65</v>
      </c>
      <c r="B102" s="171" t="n">
        <v>69</v>
      </c>
      <c r="C102" s="171" t="inlineStr">
        <is>
          <t>Plena 6</t>
        </is>
      </c>
      <c r="D102" s="170" t="n">
        <v>179</v>
      </c>
      <c r="E102" s="5" t="n"/>
      <c r="F102" s="5" t="n"/>
      <c r="G102" s="5" t="n"/>
      <c r="H102" s="5" t="n"/>
      <c r="I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BD102" s="5" t="n"/>
      <c r="BE102" s="5" t="n"/>
      <c r="BJ102" s="5" t="n"/>
      <c r="BK102" s="5" t="n"/>
      <c r="BP102" s="5" t="n"/>
      <c r="BQ102" s="5" t="n"/>
      <c r="BV102" s="5" t="n"/>
      <c r="BW102" s="5" t="n"/>
      <c r="BX102" s="5" t="n"/>
      <c r="BY102" s="5" t="n"/>
      <c r="BZ102" s="5" t="n"/>
      <c r="CA102" s="5" t="n"/>
      <c r="CF102" s="5" t="n"/>
    </row>
    <row r="103" ht="16.5" customHeight="1" s="241">
      <c r="A103" s="171" t="n">
        <v>70</v>
      </c>
      <c r="B103" s="171" t="n">
        <v>120</v>
      </c>
      <c r="C103" s="171" t="inlineStr">
        <is>
          <t>Plena 6</t>
        </is>
      </c>
      <c r="D103" s="170" t="n">
        <v>240</v>
      </c>
      <c r="E103" s="5" t="n"/>
      <c r="F103" s="5" t="n"/>
      <c r="G103" s="5" t="n"/>
      <c r="H103" s="5" t="n"/>
      <c r="I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BD103" s="5" t="n"/>
      <c r="BE103" s="5" t="n"/>
      <c r="BJ103" s="5" t="n"/>
      <c r="BK103" s="5" t="n"/>
      <c r="BP103" s="5" t="n"/>
      <c r="BQ103" s="5" t="n"/>
      <c r="BV103" s="5" t="n"/>
      <c r="BW103" s="5" t="n"/>
      <c r="BX103" s="5" t="n"/>
      <c r="BY103" s="5" t="n"/>
      <c r="BZ103" s="5" t="n"/>
      <c r="CA103" s="5" t="n"/>
      <c r="CF103" s="5" t="n"/>
    </row>
    <row r="104" ht="16.5" customHeight="1" s="241">
      <c r="A104" s="171" t="n">
        <v>0</v>
      </c>
      <c r="B104" s="171" t="n">
        <v>24</v>
      </c>
      <c r="C104" s="171" t="inlineStr">
        <is>
          <t>Plena Plus 1</t>
        </is>
      </c>
      <c r="D104" s="170" t="n">
        <v>62</v>
      </c>
      <c r="E104" s="5" t="n"/>
      <c r="F104" s="5" t="n"/>
      <c r="G104" s="5" t="n"/>
      <c r="H104" s="5" t="n"/>
      <c r="I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BD104" s="5" t="n"/>
      <c r="BE104" s="5" t="n"/>
      <c r="BJ104" s="5" t="n"/>
      <c r="BK104" s="5" t="n"/>
      <c r="BP104" s="5" t="n"/>
      <c r="BQ104" s="5" t="n"/>
      <c r="BV104" s="5" t="n"/>
      <c r="BW104" s="5" t="n"/>
      <c r="BX104" s="5" t="n"/>
      <c r="BY104" s="5" t="n"/>
      <c r="BZ104" s="5" t="n"/>
      <c r="CA104" s="5" t="n"/>
      <c r="CF104" s="5" t="n"/>
    </row>
    <row r="105" ht="16.5" customHeight="1" s="241">
      <c r="A105" s="171" t="n">
        <v>25</v>
      </c>
      <c r="B105" s="171" t="n">
        <v>44</v>
      </c>
      <c r="C105" s="171" t="inlineStr">
        <is>
          <t>Plena Plus 1</t>
        </is>
      </c>
      <c r="D105" s="170" t="n">
        <v>72</v>
      </c>
      <c r="E105" s="5" t="n"/>
      <c r="F105" s="5" t="n"/>
      <c r="G105" s="5" t="n"/>
      <c r="H105" s="5" t="n"/>
      <c r="I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BD105" s="5" t="n"/>
      <c r="BE105" s="5" t="n"/>
      <c r="BJ105" s="5" t="n"/>
      <c r="BK105" s="5" t="n"/>
      <c r="BP105" s="5" t="n"/>
      <c r="BQ105" s="5" t="n"/>
      <c r="BV105" s="5" t="n"/>
      <c r="BW105" s="5" t="n"/>
      <c r="BX105" s="5" t="n"/>
      <c r="BY105" s="5" t="n"/>
      <c r="BZ105" s="5" t="n"/>
      <c r="CA105" s="5" t="n"/>
      <c r="CF105" s="5" t="n"/>
    </row>
    <row r="106" ht="16.5" customHeight="1" s="241">
      <c r="A106" s="171" t="n">
        <v>45</v>
      </c>
      <c r="B106" s="171" t="n">
        <v>54</v>
      </c>
      <c r="C106" s="171" t="inlineStr">
        <is>
          <t>Plena Plus 1</t>
        </is>
      </c>
      <c r="D106" s="170" t="n">
        <v>92</v>
      </c>
      <c r="E106" s="5" t="n"/>
      <c r="F106" s="5" t="n"/>
      <c r="G106" s="5" t="n"/>
      <c r="H106" s="5" t="n"/>
      <c r="I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BD106" s="5" t="n"/>
      <c r="BE106" s="5" t="n"/>
      <c r="BJ106" s="5" t="n"/>
      <c r="BK106" s="5" t="n"/>
      <c r="BP106" s="5" t="n"/>
      <c r="BQ106" s="5" t="n"/>
      <c r="BV106" s="5" t="n"/>
      <c r="BW106" s="5" t="n"/>
      <c r="BX106" s="5" t="n"/>
      <c r="BY106" s="5" t="n"/>
      <c r="BZ106" s="5" t="n"/>
      <c r="CA106" s="5" t="n"/>
      <c r="CF106" s="5" t="n"/>
    </row>
    <row r="107" ht="16.5" customHeight="1" s="241">
      <c r="A107" s="171" t="n">
        <v>55</v>
      </c>
      <c r="B107" s="171" t="n">
        <v>59</v>
      </c>
      <c r="C107" s="171" t="inlineStr">
        <is>
          <t>Plena Plus 1</t>
        </is>
      </c>
      <c r="D107" s="170" t="n">
        <v>149</v>
      </c>
      <c r="E107" s="5" t="n"/>
      <c r="F107" s="5" t="n"/>
      <c r="G107" s="5" t="n"/>
      <c r="H107" s="5" t="n"/>
      <c r="I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BD107" s="5" t="n"/>
      <c r="BE107" s="5" t="n"/>
      <c r="BJ107" s="5" t="n"/>
      <c r="BK107" s="5" t="n"/>
      <c r="BP107" s="5" t="n"/>
      <c r="BQ107" s="5" t="n"/>
      <c r="BV107" s="5" t="n"/>
      <c r="BW107" s="5" t="n"/>
      <c r="BX107" s="5" t="n"/>
      <c r="BY107" s="5" t="n"/>
      <c r="BZ107" s="5" t="n"/>
      <c r="CA107" s="5" t="n"/>
      <c r="CF107" s="5" t="n"/>
    </row>
    <row r="108" ht="16.5" customHeight="1" s="241">
      <c r="A108" s="171" t="n">
        <v>60</v>
      </c>
      <c r="B108" s="171" t="n">
        <v>64</v>
      </c>
      <c r="C108" s="171" t="inlineStr">
        <is>
          <t>Plena Plus 1</t>
        </is>
      </c>
      <c r="D108" s="170" t="n">
        <v>175</v>
      </c>
      <c r="E108" s="5" t="n"/>
      <c r="F108" s="5" t="n"/>
      <c r="G108" s="5" t="n"/>
      <c r="H108" s="5" t="n"/>
      <c r="I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BD108" s="5" t="n"/>
      <c r="BE108" s="5" t="n"/>
      <c r="BJ108" s="5" t="n"/>
      <c r="BK108" s="5" t="n"/>
      <c r="BP108" s="5" t="n"/>
      <c r="BQ108" s="5" t="n"/>
      <c r="BV108" s="5" t="n"/>
      <c r="BW108" s="5" t="n"/>
      <c r="BX108" s="5" t="n"/>
      <c r="BY108" s="5" t="n"/>
      <c r="BZ108" s="5" t="n"/>
      <c r="CA108" s="5" t="n"/>
      <c r="CF108" s="5" t="n"/>
    </row>
    <row r="109" ht="16.5" customHeight="1" s="241">
      <c r="A109" s="171" t="n">
        <v>65</v>
      </c>
      <c r="B109" s="171" t="n">
        <v>69</v>
      </c>
      <c r="C109" s="171" t="inlineStr">
        <is>
          <t>Plena Plus 1</t>
        </is>
      </c>
      <c r="D109" s="170" t="n">
        <v>239</v>
      </c>
      <c r="E109" s="5" t="n"/>
      <c r="F109" s="5" t="n"/>
      <c r="G109" s="5" t="n"/>
      <c r="H109" s="5" t="n"/>
      <c r="I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BD109" s="5" t="n"/>
      <c r="BE109" s="5" t="n"/>
      <c r="BJ109" s="5" t="n"/>
      <c r="BK109" s="5" t="n"/>
      <c r="BP109" s="5" t="n"/>
      <c r="BQ109" s="5" t="n"/>
      <c r="BV109" s="5" t="n"/>
      <c r="BW109" s="5" t="n"/>
      <c r="BX109" s="5" t="n"/>
      <c r="BY109" s="5" t="n"/>
      <c r="BZ109" s="5" t="n"/>
      <c r="CA109" s="5" t="n"/>
      <c r="CF109" s="5" t="n"/>
    </row>
    <row r="110" ht="16.5" customHeight="1" s="241">
      <c r="A110" s="171" t="n">
        <v>70</v>
      </c>
      <c r="B110" s="171" t="n">
        <v>120</v>
      </c>
      <c r="C110" s="171" t="inlineStr">
        <is>
          <t>Plena Plus 1</t>
        </is>
      </c>
      <c r="D110" s="170" t="n">
        <v>255</v>
      </c>
      <c r="E110" s="5" t="n"/>
      <c r="F110" s="5" t="n"/>
      <c r="G110" s="5" t="n"/>
      <c r="H110" s="5" t="n"/>
      <c r="I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BD110" s="5" t="n"/>
      <c r="BE110" s="5" t="n"/>
      <c r="BJ110" s="5" t="n"/>
      <c r="BK110" s="5" t="n"/>
      <c r="BP110" s="5" t="n"/>
      <c r="BQ110" s="5" t="n"/>
      <c r="BV110" s="5" t="n"/>
      <c r="BW110" s="5" t="n"/>
      <c r="BX110" s="5" t="n"/>
      <c r="BY110" s="5" t="n"/>
      <c r="BZ110" s="5" t="n"/>
      <c r="CA110" s="5" t="n"/>
      <c r="CF110" s="5" t="n"/>
    </row>
    <row r="111" ht="16.5" customHeight="1" s="241">
      <c r="A111" s="171" t="n">
        <v>0</v>
      </c>
      <c r="B111" s="171" t="n">
        <v>24</v>
      </c>
      <c r="C111" s="171" t="inlineStr">
        <is>
          <t>Plena Plus 2</t>
        </is>
      </c>
      <c r="D111" s="170" t="n">
        <v>64</v>
      </c>
      <c r="E111" s="5" t="n"/>
      <c r="F111" s="5" t="n"/>
      <c r="G111" s="5" t="n"/>
      <c r="H111" s="5" t="n"/>
      <c r="I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BD111" s="5" t="n"/>
      <c r="BE111" s="5" t="n"/>
      <c r="BJ111" s="5" t="n"/>
      <c r="BK111" s="5" t="n"/>
      <c r="BP111" s="5" t="n"/>
      <c r="BQ111" s="5" t="n"/>
      <c r="BV111" s="5" t="n"/>
      <c r="BW111" s="5" t="n"/>
      <c r="BX111" s="5" t="n"/>
      <c r="BY111" s="5" t="n"/>
      <c r="BZ111" s="5" t="n"/>
      <c r="CA111" s="5" t="n"/>
      <c r="CF111" s="5" t="n"/>
    </row>
    <row r="112" ht="16.5" customHeight="1" s="241">
      <c r="A112" s="171" t="n">
        <v>25</v>
      </c>
      <c r="B112" s="171" t="n">
        <v>44</v>
      </c>
      <c r="C112" s="171" t="inlineStr">
        <is>
          <t>Plena Plus 2</t>
        </is>
      </c>
      <c r="D112" s="170" t="n">
        <v>75</v>
      </c>
      <c r="E112" s="5" t="n"/>
      <c r="F112" s="5" t="n"/>
      <c r="G112" s="5" t="n"/>
      <c r="H112" s="5" t="n"/>
      <c r="I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BD112" s="5" t="n"/>
      <c r="BE112" s="5" t="n"/>
      <c r="BJ112" s="5" t="n"/>
      <c r="BK112" s="5" t="n"/>
      <c r="BP112" s="5" t="n"/>
      <c r="BQ112" s="5" t="n"/>
      <c r="BV112" s="5" t="n"/>
      <c r="BW112" s="5" t="n"/>
      <c r="BX112" s="5" t="n"/>
      <c r="BY112" s="5" t="n"/>
      <c r="BZ112" s="5" t="n"/>
      <c r="CA112" s="5" t="n"/>
      <c r="CF112" s="5" t="n"/>
    </row>
    <row r="113" ht="16.5" customHeight="1" s="241">
      <c r="A113" s="171" t="n">
        <v>45</v>
      </c>
      <c r="B113" s="171" t="n">
        <v>54</v>
      </c>
      <c r="C113" s="171" t="inlineStr">
        <is>
          <t>Plena Plus 2</t>
        </is>
      </c>
      <c r="D113" s="170" t="n">
        <v>94</v>
      </c>
      <c r="E113" s="5" t="n"/>
      <c r="F113" s="5" t="n"/>
      <c r="G113" s="5" t="n"/>
      <c r="H113" s="5" t="n"/>
      <c r="I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BD113" s="5" t="n"/>
      <c r="BE113" s="5" t="n"/>
      <c r="BJ113" s="5" t="n"/>
      <c r="BK113" s="5" t="n"/>
      <c r="BP113" s="5" t="n"/>
      <c r="BQ113" s="5" t="n"/>
      <c r="BV113" s="5" t="n"/>
      <c r="BW113" s="5" t="n"/>
      <c r="BX113" s="5" t="n"/>
      <c r="BY113" s="5" t="n"/>
      <c r="BZ113" s="5" t="n"/>
      <c r="CA113" s="5" t="n"/>
      <c r="CF113" s="5" t="n"/>
    </row>
    <row r="114" ht="16.5" customHeight="1" s="241">
      <c r="A114" s="171" t="n">
        <v>55</v>
      </c>
      <c r="B114" s="171" t="n">
        <v>59</v>
      </c>
      <c r="C114" s="171" t="inlineStr">
        <is>
          <t>Plena Plus 2</t>
        </is>
      </c>
      <c r="D114" s="170" t="n">
        <v>155</v>
      </c>
      <c r="E114" s="5" t="n"/>
      <c r="F114" s="5" t="n"/>
      <c r="G114" s="5" t="n"/>
      <c r="H114" s="5" t="n"/>
      <c r="I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BD114" s="5" t="n"/>
      <c r="BE114" s="5" t="n"/>
      <c r="BJ114" s="5" t="n"/>
      <c r="BK114" s="5" t="n"/>
      <c r="BP114" s="5" t="n"/>
      <c r="BQ114" s="5" t="n"/>
      <c r="BV114" s="5" t="n"/>
      <c r="BW114" s="5" t="n"/>
      <c r="BX114" s="5" t="n"/>
      <c r="BY114" s="5" t="n"/>
      <c r="BZ114" s="5" t="n"/>
      <c r="CA114" s="5" t="n"/>
      <c r="CF114" s="5" t="n"/>
    </row>
    <row r="115" ht="16.5" customHeight="1" s="241">
      <c r="A115" s="171" t="n">
        <v>60</v>
      </c>
      <c r="B115" s="171" t="n">
        <v>64</v>
      </c>
      <c r="C115" s="171" t="inlineStr">
        <is>
          <t>Plena Plus 2</t>
        </is>
      </c>
      <c r="D115" s="170" t="n">
        <v>181</v>
      </c>
      <c r="E115" s="5" t="n"/>
      <c r="F115" s="5" t="n"/>
      <c r="G115" s="5" t="n"/>
      <c r="H115" s="5" t="n"/>
      <c r="I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BD115" s="5" t="n"/>
      <c r="BE115" s="5" t="n"/>
      <c r="BJ115" s="5" t="n"/>
      <c r="BK115" s="5" t="n"/>
      <c r="BP115" s="5" t="n"/>
      <c r="BQ115" s="5" t="n"/>
      <c r="BV115" s="5" t="n"/>
      <c r="BW115" s="5" t="n"/>
      <c r="BX115" s="5" t="n"/>
      <c r="BY115" s="5" t="n"/>
      <c r="BZ115" s="5" t="n"/>
      <c r="CA115" s="5" t="n"/>
      <c r="CF115" s="5" t="n"/>
    </row>
    <row r="116" ht="16.5" customHeight="1" s="241">
      <c r="A116" s="171" t="n">
        <v>65</v>
      </c>
      <c r="B116" s="171" t="n">
        <v>69</v>
      </c>
      <c r="C116" s="171" t="inlineStr">
        <is>
          <t>Plena Plus 2</t>
        </is>
      </c>
      <c r="D116" s="170" t="n">
        <v>255</v>
      </c>
      <c r="E116" s="5" t="n"/>
      <c r="F116" s="5" t="n"/>
      <c r="G116" s="5" t="n"/>
      <c r="H116" s="5" t="n"/>
      <c r="I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BD116" s="5" t="n"/>
      <c r="BE116" s="5" t="n"/>
      <c r="BJ116" s="5" t="n"/>
      <c r="BK116" s="5" t="n"/>
      <c r="BP116" s="5" t="n"/>
      <c r="BQ116" s="5" t="n"/>
      <c r="BV116" s="5" t="n"/>
      <c r="BW116" s="5" t="n"/>
      <c r="BX116" s="5" t="n"/>
      <c r="BY116" s="5" t="n"/>
      <c r="BZ116" s="5" t="n"/>
      <c r="CA116" s="5" t="n"/>
      <c r="CF116" s="5" t="n"/>
    </row>
    <row r="117" ht="16.5" customHeight="1" s="241">
      <c r="A117" s="171" t="n">
        <v>70</v>
      </c>
      <c r="B117" s="171" t="n">
        <v>120</v>
      </c>
      <c r="C117" s="171" t="inlineStr">
        <is>
          <t>Plena Plus 2</t>
        </is>
      </c>
      <c r="D117" s="170" t="n">
        <v>259</v>
      </c>
      <c r="E117" s="5" t="n"/>
      <c r="F117" s="5" t="n"/>
      <c r="G117" s="5" t="n"/>
      <c r="H117" s="5" t="n"/>
      <c r="I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BD117" s="5" t="n"/>
      <c r="BE117" s="5" t="n"/>
      <c r="BJ117" s="5" t="n"/>
      <c r="BK117" s="5" t="n"/>
      <c r="BP117" s="5" t="n"/>
      <c r="BQ117" s="5" t="n"/>
      <c r="BV117" s="5" t="n"/>
      <c r="BW117" s="5" t="n"/>
      <c r="BX117" s="5" t="n"/>
      <c r="BY117" s="5" t="n"/>
      <c r="BZ117" s="5" t="n"/>
      <c r="CA117" s="5" t="n"/>
      <c r="CF117" s="5" t="n"/>
    </row>
    <row r="118" ht="16.5" customHeight="1" s="241">
      <c r="A118" s="171" t="n">
        <v>0</v>
      </c>
      <c r="B118" s="171" t="n">
        <v>24</v>
      </c>
      <c r="C118" s="171" t="inlineStr">
        <is>
          <t>Plena Plus 3</t>
        </is>
      </c>
      <c r="D118" s="170" t="n">
        <v>64</v>
      </c>
      <c r="E118" s="5" t="n"/>
      <c r="F118" s="5" t="n"/>
      <c r="G118" s="5" t="n"/>
      <c r="H118" s="5" t="n"/>
      <c r="I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BD118" s="5" t="n"/>
      <c r="BE118" s="5" t="n"/>
      <c r="BJ118" s="5" t="n"/>
      <c r="BK118" s="5" t="n"/>
      <c r="BP118" s="5" t="n"/>
      <c r="BQ118" s="5" t="n"/>
      <c r="BV118" s="5" t="n"/>
      <c r="BW118" s="5" t="n"/>
      <c r="BX118" s="5" t="n"/>
      <c r="BY118" s="5" t="n"/>
      <c r="BZ118" s="5" t="n"/>
      <c r="CA118" s="5" t="n"/>
      <c r="CF118" s="5" t="n"/>
    </row>
    <row r="119" ht="16.5" customHeight="1" s="241">
      <c r="A119" s="171" t="n">
        <v>25</v>
      </c>
      <c r="B119" s="171" t="n">
        <v>44</v>
      </c>
      <c r="C119" s="171" t="inlineStr">
        <is>
          <t>Plena Plus 3</t>
        </is>
      </c>
      <c r="D119" s="170" t="n">
        <v>76</v>
      </c>
      <c r="E119" s="5" t="n"/>
      <c r="F119" s="5" t="n"/>
      <c r="G119" s="5" t="n"/>
      <c r="H119" s="5" t="n"/>
      <c r="I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BD119" s="5" t="n"/>
      <c r="BE119" s="5" t="n"/>
      <c r="BJ119" s="5" t="n"/>
      <c r="BK119" s="5" t="n"/>
      <c r="BP119" s="5" t="n"/>
      <c r="BQ119" s="5" t="n"/>
      <c r="BV119" s="5" t="n"/>
      <c r="BW119" s="5" t="n"/>
      <c r="BX119" s="5" t="n"/>
      <c r="BY119" s="5" t="n"/>
      <c r="BZ119" s="5" t="n"/>
      <c r="CA119" s="5" t="n"/>
      <c r="CF119" s="5" t="n"/>
    </row>
    <row r="120" ht="16.5" customHeight="1" s="241">
      <c r="A120" s="171" t="n">
        <v>45</v>
      </c>
      <c r="B120" s="171" t="n">
        <v>54</v>
      </c>
      <c r="C120" s="171" t="inlineStr">
        <is>
          <t>Plena Plus 3</t>
        </is>
      </c>
      <c r="D120" s="170" t="n">
        <v>96</v>
      </c>
      <c r="E120" s="5" t="n"/>
      <c r="F120" s="5" t="n"/>
      <c r="G120" s="5" t="n"/>
      <c r="H120" s="5" t="n"/>
      <c r="I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BD120" s="5" t="n"/>
      <c r="BE120" s="5" t="n"/>
      <c r="BJ120" s="5" t="n"/>
      <c r="BK120" s="5" t="n"/>
      <c r="BP120" s="5" t="n"/>
      <c r="BQ120" s="5" t="n"/>
      <c r="BV120" s="5" t="n"/>
      <c r="BW120" s="5" t="n"/>
      <c r="BX120" s="5" t="n"/>
      <c r="BY120" s="5" t="n"/>
      <c r="BZ120" s="5" t="n"/>
      <c r="CA120" s="5" t="n"/>
      <c r="CF120" s="5" t="n"/>
    </row>
    <row r="121" ht="16.5" customHeight="1" s="241">
      <c r="A121" s="171" t="n">
        <v>55</v>
      </c>
      <c r="B121" s="171" t="n">
        <v>59</v>
      </c>
      <c r="C121" s="171" t="inlineStr">
        <is>
          <t>Plena Plus 3</t>
        </is>
      </c>
      <c r="D121" s="170" t="n">
        <v>159</v>
      </c>
      <c r="E121" s="5" t="n"/>
      <c r="F121" s="5" t="n"/>
      <c r="G121" s="5" t="n"/>
      <c r="H121" s="5" t="n"/>
      <c r="I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BD121" s="5" t="n"/>
      <c r="BE121" s="5" t="n"/>
      <c r="BJ121" s="5" t="n"/>
      <c r="BK121" s="5" t="n"/>
      <c r="BP121" s="5" t="n"/>
      <c r="BQ121" s="5" t="n"/>
      <c r="BV121" s="5" t="n"/>
      <c r="BW121" s="5" t="n"/>
      <c r="BX121" s="5" t="n"/>
      <c r="BY121" s="5" t="n"/>
      <c r="BZ121" s="5" t="n"/>
      <c r="CA121" s="5" t="n"/>
      <c r="CF121" s="5" t="n"/>
    </row>
    <row r="122" ht="16.5" customHeight="1" s="241">
      <c r="A122" s="171" t="n">
        <v>60</v>
      </c>
      <c r="B122" s="171" t="n">
        <v>64</v>
      </c>
      <c r="C122" s="171" t="inlineStr">
        <is>
          <t>Plena Plus 3</t>
        </is>
      </c>
      <c r="D122" s="170" t="n">
        <v>185</v>
      </c>
      <c r="E122" s="5" t="n"/>
      <c r="F122" s="5" t="n"/>
      <c r="G122" s="5" t="n"/>
      <c r="H122" s="5" t="n"/>
      <c r="I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BD122" s="5" t="n"/>
      <c r="BE122" s="5" t="n"/>
      <c r="BJ122" s="5" t="n"/>
      <c r="BK122" s="5" t="n"/>
      <c r="BP122" s="5" t="n"/>
      <c r="BQ122" s="5" t="n"/>
      <c r="BV122" s="5" t="n"/>
      <c r="BW122" s="5" t="n"/>
      <c r="BX122" s="5" t="n"/>
      <c r="BY122" s="5" t="n"/>
      <c r="BZ122" s="5" t="n"/>
      <c r="CA122" s="5" t="n"/>
      <c r="CF122" s="5" t="n"/>
    </row>
    <row r="123" ht="16.5" customHeight="1" s="241">
      <c r="A123" s="171" t="n">
        <v>65</v>
      </c>
      <c r="B123" s="171" t="n">
        <v>69</v>
      </c>
      <c r="C123" s="171" t="inlineStr">
        <is>
          <t>Plena Plus 3</t>
        </is>
      </c>
      <c r="D123" s="170" t="n">
        <v>259</v>
      </c>
      <c r="E123" s="5" t="n"/>
      <c r="F123" s="5" t="n"/>
      <c r="G123" s="5" t="n"/>
      <c r="H123" s="5" t="n"/>
      <c r="I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BD123" s="5" t="n"/>
      <c r="BE123" s="5" t="n"/>
      <c r="BJ123" s="5" t="n"/>
      <c r="BK123" s="5" t="n"/>
      <c r="BP123" s="5" t="n"/>
      <c r="BQ123" s="5" t="n"/>
      <c r="BV123" s="5" t="n"/>
      <c r="BW123" s="5" t="n"/>
      <c r="BX123" s="5" t="n"/>
      <c r="BY123" s="5" t="n"/>
      <c r="BZ123" s="5" t="n"/>
      <c r="CA123" s="5" t="n"/>
      <c r="CF123" s="5" t="n"/>
    </row>
    <row r="124" ht="16.5" customHeight="1" s="241">
      <c r="A124" s="171" t="n">
        <v>70</v>
      </c>
      <c r="B124" s="171" t="n">
        <v>120</v>
      </c>
      <c r="C124" s="171" t="inlineStr">
        <is>
          <t>Plena Plus 3</t>
        </is>
      </c>
      <c r="D124" s="170" t="n">
        <v>265</v>
      </c>
      <c r="E124" s="5" t="n"/>
      <c r="F124" s="5" t="n"/>
      <c r="G124" s="5" t="n"/>
      <c r="H124" s="5" t="n"/>
      <c r="I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BD124" s="5" t="n"/>
      <c r="BE124" s="5" t="n"/>
      <c r="BJ124" s="5" t="n"/>
      <c r="BK124" s="5" t="n"/>
      <c r="BP124" s="5" t="n"/>
      <c r="BQ124" s="5" t="n"/>
      <c r="BV124" s="5" t="n"/>
      <c r="BW124" s="5" t="n"/>
      <c r="BX124" s="5" t="n"/>
      <c r="BY124" s="5" t="n"/>
      <c r="BZ124" s="5" t="n"/>
      <c r="CA124" s="5" t="n"/>
      <c r="CF124" s="5" t="n"/>
    </row>
    <row r="125" ht="16.5" customHeight="1" s="241">
      <c r="A125" s="171" t="n">
        <v>0</v>
      </c>
      <c r="B125" s="171" t="n">
        <v>24</v>
      </c>
      <c r="C125" s="171" t="inlineStr">
        <is>
          <t>Plena Plus 4</t>
        </is>
      </c>
      <c r="D125" s="170" t="n">
        <v>66</v>
      </c>
      <c r="E125" s="5" t="n"/>
      <c r="F125" s="5" t="n"/>
      <c r="G125" s="5" t="n"/>
      <c r="H125" s="5" t="n"/>
      <c r="I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BD125" s="5" t="n"/>
      <c r="BE125" s="5" t="n"/>
      <c r="BJ125" s="5" t="n"/>
      <c r="BK125" s="5" t="n"/>
      <c r="BP125" s="5" t="n"/>
      <c r="BQ125" s="5" t="n"/>
      <c r="BV125" s="5" t="n"/>
      <c r="BW125" s="5" t="n"/>
      <c r="BX125" s="5" t="n"/>
      <c r="BY125" s="5" t="n"/>
      <c r="BZ125" s="5" t="n"/>
      <c r="CA125" s="5" t="n"/>
      <c r="CF125" s="5" t="n"/>
    </row>
    <row r="126" ht="16.5" customHeight="1" s="241">
      <c r="A126" s="171" t="n">
        <v>25</v>
      </c>
      <c r="B126" s="171" t="n">
        <v>44</v>
      </c>
      <c r="C126" s="171" t="inlineStr">
        <is>
          <t>Plena Plus 4</t>
        </is>
      </c>
      <c r="D126" s="170" t="n">
        <v>77</v>
      </c>
      <c r="E126" s="5" t="n"/>
      <c r="F126" s="5" t="n"/>
      <c r="G126" s="5" t="n"/>
      <c r="H126" s="5" t="n"/>
      <c r="I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BD126" s="5" t="n"/>
      <c r="BE126" s="5" t="n"/>
      <c r="BJ126" s="5" t="n"/>
      <c r="BK126" s="5" t="n"/>
      <c r="BP126" s="5" t="n"/>
      <c r="BQ126" s="5" t="n"/>
      <c r="BV126" s="5" t="n"/>
      <c r="BW126" s="5" t="n"/>
      <c r="BX126" s="5" t="n"/>
      <c r="BY126" s="5" t="n"/>
      <c r="BZ126" s="5" t="n"/>
      <c r="CA126" s="5" t="n"/>
      <c r="CF126" s="5" t="n"/>
    </row>
    <row r="127" ht="16.5" customHeight="1" s="241">
      <c r="A127" s="171" t="n">
        <v>45</v>
      </c>
      <c r="B127" s="171" t="n">
        <v>54</v>
      </c>
      <c r="C127" s="171" t="inlineStr">
        <is>
          <t>Plena Plus 4</t>
        </is>
      </c>
      <c r="D127" s="170" t="n">
        <v>99</v>
      </c>
      <c r="E127" s="5" t="n"/>
      <c r="F127" s="5" t="n"/>
      <c r="G127" s="5" t="n"/>
      <c r="H127" s="5" t="n"/>
      <c r="I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BD127" s="5" t="n"/>
      <c r="BE127" s="5" t="n"/>
      <c r="BJ127" s="5" t="n"/>
      <c r="BK127" s="5" t="n"/>
      <c r="BP127" s="5" t="n"/>
      <c r="BQ127" s="5" t="n"/>
      <c r="BV127" s="5" t="n"/>
      <c r="BW127" s="5" t="n"/>
      <c r="BX127" s="5" t="n"/>
      <c r="BY127" s="5" t="n"/>
      <c r="BZ127" s="5" t="n"/>
      <c r="CA127" s="5" t="n"/>
      <c r="CF127" s="5" t="n"/>
    </row>
    <row r="128" ht="16.5" customHeight="1" s="241">
      <c r="A128" s="171" t="n">
        <v>55</v>
      </c>
      <c r="B128" s="171" t="n">
        <v>59</v>
      </c>
      <c r="C128" s="171" t="inlineStr">
        <is>
          <t>Plena Plus 4</t>
        </is>
      </c>
      <c r="D128" s="170" t="n">
        <v>164</v>
      </c>
      <c r="E128" s="5" t="n"/>
      <c r="F128" s="5" t="n"/>
      <c r="G128" s="5" t="n"/>
      <c r="H128" s="5" t="n"/>
      <c r="I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BD128" s="5" t="n"/>
      <c r="BE128" s="5" t="n"/>
      <c r="BJ128" s="5" t="n"/>
      <c r="BK128" s="5" t="n"/>
      <c r="BP128" s="5" t="n"/>
      <c r="BQ128" s="5" t="n"/>
      <c r="BV128" s="5" t="n"/>
      <c r="BW128" s="5" t="n"/>
      <c r="BX128" s="5" t="n"/>
      <c r="BY128" s="5" t="n"/>
      <c r="BZ128" s="5" t="n"/>
      <c r="CA128" s="5" t="n"/>
      <c r="CF128" s="5" t="n"/>
    </row>
    <row r="129" ht="16.5" customHeight="1" s="241">
      <c r="A129" s="171" t="n">
        <v>60</v>
      </c>
      <c r="B129" s="171" t="n">
        <v>64</v>
      </c>
      <c r="C129" s="171" t="inlineStr">
        <is>
          <t>Plena Plus 4</t>
        </is>
      </c>
      <c r="D129" s="170" t="n">
        <v>196</v>
      </c>
      <c r="E129" s="5" t="n"/>
      <c r="F129" s="5" t="n"/>
      <c r="G129" s="5" t="n"/>
      <c r="H129" s="5" t="n"/>
      <c r="I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BD129" s="5" t="n"/>
      <c r="BE129" s="5" t="n"/>
      <c r="BJ129" s="5" t="n"/>
      <c r="BK129" s="5" t="n"/>
      <c r="BP129" s="5" t="n"/>
      <c r="BQ129" s="5" t="n"/>
      <c r="BV129" s="5" t="n"/>
      <c r="BW129" s="5" t="n"/>
      <c r="BX129" s="5" t="n"/>
      <c r="BY129" s="5" t="n"/>
      <c r="BZ129" s="5" t="n"/>
      <c r="CA129" s="5" t="n"/>
      <c r="CF129" s="5" t="n"/>
    </row>
    <row r="130" ht="16.5" customHeight="1" s="241">
      <c r="A130" s="171" t="n">
        <v>65</v>
      </c>
      <c r="B130" s="171" t="n">
        <v>69</v>
      </c>
      <c r="C130" s="171" t="inlineStr">
        <is>
          <t>Plena Plus 4</t>
        </is>
      </c>
      <c r="D130" s="170" t="n">
        <v>275</v>
      </c>
      <c r="E130" s="5" t="n"/>
      <c r="F130" s="5" t="n"/>
      <c r="G130" s="5" t="n"/>
      <c r="H130" s="5" t="n"/>
      <c r="I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BD130" s="5" t="n"/>
      <c r="BE130" s="5" t="n"/>
      <c r="BJ130" s="5" t="n"/>
      <c r="BK130" s="5" t="n"/>
      <c r="BP130" s="5" t="n"/>
      <c r="BQ130" s="5" t="n"/>
      <c r="BV130" s="5" t="n"/>
      <c r="BW130" s="5" t="n"/>
      <c r="BX130" s="5" t="n"/>
      <c r="BY130" s="5" t="n"/>
      <c r="BZ130" s="5" t="n"/>
      <c r="CA130" s="5" t="n"/>
      <c r="CF130" s="5" t="n"/>
    </row>
    <row r="131" ht="16.5" customHeight="1" s="241">
      <c r="A131" s="171" t="n">
        <v>70</v>
      </c>
      <c r="B131" s="171" t="n">
        <v>120</v>
      </c>
      <c r="C131" s="171" t="inlineStr">
        <is>
          <t>Plena Plus 4</t>
        </is>
      </c>
      <c r="D131" s="170" t="n">
        <v>279</v>
      </c>
      <c r="E131" s="5" t="n"/>
      <c r="F131" s="5" t="n"/>
      <c r="G131" s="5" t="n"/>
      <c r="H131" s="5" t="n"/>
      <c r="I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BD131" s="5" t="n"/>
      <c r="BE131" s="5" t="n"/>
      <c r="BJ131" s="5" t="n"/>
      <c r="BK131" s="5" t="n"/>
      <c r="BP131" s="5" t="n"/>
      <c r="BQ131" s="5" t="n"/>
      <c r="BV131" s="5" t="n"/>
      <c r="BW131" s="5" t="n"/>
      <c r="BX131" s="5" t="n"/>
      <c r="BY131" s="5" t="n"/>
      <c r="BZ131" s="5" t="n"/>
      <c r="CA131" s="5" t="n"/>
      <c r="CF131" s="5" t="n"/>
    </row>
    <row r="132" ht="16.5" customHeight="1" s="241">
      <c r="A132" s="171" t="n">
        <v>0</v>
      </c>
      <c r="B132" s="171" t="n">
        <v>24</v>
      </c>
      <c r="C132" s="171" t="inlineStr">
        <is>
          <t>Plena Plus 5</t>
        </is>
      </c>
      <c r="D132" s="170" t="n">
        <v>67</v>
      </c>
      <c r="E132" s="5" t="n"/>
      <c r="F132" s="5" t="n"/>
      <c r="G132" s="5" t="n"/>
      <c r="H132" s="5" t="n"/>
      <c r="I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BD132" s="5" t="n"/>
      <c r="BE132" s="5" t="n"/>
      <c r="BJ132" s="5" t="n"/>
      <c r="BK132" s="5" t="n"/>
      <c r="BP132" s="5" t="n"/>
      <c r="BQ132" s="5" t="n"/>
      <c r="BV132" s="5" t="n"/>
      <c r="BW132" s="5" t="n"/>
      <c r="BX132" s="5" t="n"/>
      <c r="BY132" s="5" t="n"/>
      <c r="BZ132" s="5" t="n"/>
      <c r="CA132" s="5" t="n"/>
      <c r="CF132" s="5" t="n"/>
    </row>
    <row r="133" ht="16.5" customHeight="1" s="241">
      <c r="A133" s="171" t="n">
        <v>25</v>
      </c>
      <c r="B133" s="171" t="n">
        <v>44</v>
      </c>
      <c r="C133" s="171" t="inlineStr">
        <is>
          <t>Plena Plus 5</t>
        </is>
      </c>
      <c r="D133" s="170" t="n">
        <v>79</v>
      </c>
      <c r="E133" s="5" t="n"/>
      <c r="F133" s="5" t="n"/>
      <c r="G133" s="5" t="n"/>
      <c r="H133" s="5" t="n"/>
      <c r="I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BD133" s="5" t="n"/>
      <c r="BE133" s="5" t="n"/>
      <c r="BJ133" s="5" t="n"/>
      <c r="BK133" s="5" t="n"/>
      <c r="BP133" s="5" t="n"/>
      <c r="BQ133" s="5" t="n"/>
      <c r="BV133" s="5" t="n"/>
      <c r="BW133" s="5" t="n"/>
      <c r="BX133" s="5" t="n"/>
      <c r="BY133" s="5" t="n"/>
      <c r="BZ133" s="5" t="n"/>
      <c r="CA133" s="5" t="n"/>
      <c r="CF133" s="5" t="n"/>
    </row>
    <row r="134" ht="16.5" customHeight="1" s="241">
      <c r="A134" s="171" t="n">
        <v>45</v>
      </c>
      <c r="B134" s="171" t="n">
        <v>54</v>
      </c>
      <c r="C134" s="171" t="inlineStr">
        <is>
          <t>Plena Plus 5</t>
        </is>
      </c>
      <c r="D134" s="170" t="n">
        <v>100</v>
      </c>
      <c r="E134" s="5" t="n"/>
      <c r="F134" s="5" t="n"/>
      <c r="G134" s="5" t="n"/>
      <c r="H134" s="5" t="n"/>
      <c r="I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BD134" s="5" t="n"/>
      <c r="BE134" s="5" t="n"/>
      <c r="BJ134" s="5" t="n"/>
      <c r="BK134" s="5" t="n"/>
      <c r="BP134" s="5" t="n"/>
      <c r="BQ134" s="5" t="n"/>
      <c r="BV134" s="5" t="n"/>
      <c r="BW134" s="5" t="n"/>
      <c r="BX134" s="5" t="n"/>
      <c r="BY134" s="5" t="n"/>
      <c r="BZ134" s="5" t="n"/>
      <c r="CA134" s="5" t="n"/>
      <c r="CF134" s="5" t="n"/>
    </row>
    <row r="135" ht="16.5" customHeight="1" s="241">
      <c r="A135" s="171" t="n">
        <v>55</v>
      </c>
      <c r="B135" s="171" t="n">
        <v>59</v>
      </c>
      <c r="C135" s="171" t="inlineStr">
        <is>
          <t>Plena Plus 5</t>
        </is>
      </c>
      <c r="D135" s="170" t="n">
        <v>166</v>
      </c>
      <c r="E135" s="5" t="n"/>
      <c r="F135" s="5" t="n"/>
      <c r="G135" s="5" t="n"/>
      <c r="H135" s="5" t="n"/>
      <c r="I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BD135" s="5" t="n"/>
      <c r="BE135" s="5" t="n"/>
      <c r="BJ135" s="5" t="n"/>
      <c r="BK135" s="5" t="n"/>
      <c r="BP135" s="5" t="n"/>
      <c r="BQ135" s="5" t="n"/>
      <c r="BV135" s="5" t="n"/>
      <c r="BW135" s="5" t="n"/>
      <c r="BX135" s="5" t="n"/>
      <c r="BY135" s="5" t="n"/>
      <c r="BZ135" s="5" t="n"/>
      <c r="CA135" s="5" t="n"/>
      <c r="CF135" s="5" t="n"/>
    </row>
    <row r="136" ht="16.5" customHeight="1" s="241">
      <c r="A136" s="171" t="n">
        <v>60</v>
      </c>
      <c r="B136" s="171" t="n">
        <v>64</v>
      </c>
      <c r="C136" s="171" t="inlineStr">
        <is>
          <t>Plena Plus 5</t>
        </is>
      </c>
      <c r="D136" s="170" t="n">
        <v>205</v>
      </c>
      <c r="E136" s="5" t="n"/>
      <c r="F136" s="5" t="n"/>
      <c r="G136" s="5" t="n"/>
      <c r="H136" s="5" t="n"/>
      <c r="I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BD136" s="5" t="n"/>
      <c r="BE136" s="5" t="n"/>
      <c r="BJ136" s="5" t="n"/>
      <c r="BK136" s="5" t="n"/>
      <c r="BP136" s="5" t="n"/>
      <c r="BQ136" s="5" t="n"/>
      <c r="BV136" s="5" t="n"/>
      <c r="BW136" s="5" t="n"/>
      <c r="BX136" s="5" t="n"/>
      <c r="BY136" s="5" t="n"/>
      <c r="BZ136" s="5" t="n"/>
      <c r="CA136" s="5" t="n"/>
      <c r="CF136" s="5" t="n"/>
    </row>
    <row r="137" ht="16.5" customHeight="1" s="241">
      <c r="A137" s="171" t="n">
        <v>65</v>
      </c>
      <c r="B137" s="171" t="n">
        <v>69</v>
      </c>
      <c r="C137" s="171" t="inlineStr">
        <is>
          <t>Plena Plus 5</t>
        </is>
      </c>
      <c r="D137" s="170" t="n">
        <v>289</v>
      </c>
      <c r="E137" s="5" t="n"/>
      <c r="F137" s="5" t="n"/>
      <c r="G137" s="5" t="n"/>
      <c r="H137" s="5" t="n"/>
      <c r="I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BD137" s="5" t="n"/>
      <c r="BE137" s="5" t="n"/>
      <c r="BJ137" s="5" t="n"/>
      <c r="BK137" s="5" t="n"/>
      <c r="BP137" s="5" t="n"/>
      <c r="BQ137" s="5" t="n"/>
      <c r="BV137" s="5" t="n"/>
      <c r="BW137" s="5" t="n"/>
      <c r="BX137" s="5" t="n"/>
      <c r="BY137" s="5" t="n"/>
      <c r="BZ137" s="5" t="n"/>
      <c r="CA137" s="5" t="n"/>
      <c r="CF137" s="5" t="n"/>
    </row>
    <row r="138" ht="16.5" customHeight="1" s="241">
      <c r="A138" s="171" t="n">
        <v>70</v>
      </c>
      <c r="B138" s="171" t="n">
        <v>120</v>
      </c>
      <c r="C138" s="171" t="inlineStr">
        <is>
          <t>Plena Plus 5</t>
        </is>
      </c>
      <c r="D138" s="170" t="n">
        <v>295</v>
      </c>
      <c r="E138" s="5" t="n"/>
      <c r="F138" s="5" t="n"/>
      <c r="G138" s="5" t="n"/>
      <c r="H138" s="5" t="n"/>
      <c r="I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BD138" s="5" t="n"/>
      <c r="BE138" s="5" t="n"/>
      <c r="BJ138" s="5" t="n"/>
      <c r="BK138" s="5" t="n"/>
      <c r="BP138" s="5" t="n"/>
      <c r="BQ138" s="5" t="n"/>
      <c r="BV138" s="5" t="n"/>
      <c r="BW138" s="5" t="n"/>
      <c r="BX138" s="5" t="n"/>
      <c r="BY138" s="5" t="n"/>
      <c r="BZ138" s="5" t="n"/>
      <c r="CA138" s="5" t="n"/>
      <c r="CF138" s="5" t="n"/>
    </row>
    <row r="139" ht="16.5" customHeight="1" s="241">
      <c r="A139" s="171" t="n">
        <v>0</v>
      </c>
      <c r="B139" s="171" t="n">
        <v>24</v>
      </c>
      <c r="C139" s="171" t="inlineStr">
        <is>
          <t>Plena Plus 6</t>
        </is>
      </c>
      <c r="D139" s="170" t="n">
        <v>69</v>
      </c>
      <c r="E139" s="5" t="n"/>
      <c r="F139" s="5" t="n"/>
      <c r="G139" s="5" t="n"/>
      <c r="H139" s="5" t="n"/>
      <c r="I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BD139" s="5" t="n"/>
      <c r="BE139" s="5" t="n"/>
      <c r="BJ139" s="5" t="n"/>
      <c r="BK139" s="5" t="n"/>
      <c r="BP139" s="5" t="n"/>
      <c r="BQ139" s="5" t="n"/>
      <c r="BV139" s="5" t="n"/>
      <c r="BW139" s="5" t="n"/>
      <c r="BX139" s="5" t="n"/>
      <c r="BY139" s="5" t="n"/>
      <c r="BZ139" s="5" t="n"/>
      <c r="CA139" s="5" t="n"/>
      <c r="CF139" s="5" t="n"/>
    </row>
    <row r="140" ht="16.5" customHeight="1" s="241">
      <c r="A140" s="171" t="n">
        <v>25</v>
      </c>
      <c r="B140" s="171" t="n">
        <v>44</v>
      </c>
      <c r="C140" s="171" t="inlineStr">
        <is>
          <t>Plena Plus 6</t>
        </is>
      </c>
      <c r="D140" s="170" t="n">
        <v>79</v>
      </c>
      <c r="E140" s="5" t="n"/>
      <c r="F140" s="5" t="n"/>
      <c r="G140" s="5" t="n"/>
      <c r="H140" s="5" t="n"/>
      <c r="I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BD140" s="5" t="n"/>
      <c r="BE140" s="5" t="n"/>
      <c r="BJ140" s="5" t="n"/>
      <c r="BK140" s="5" t="n"/>
      <c r="BP140" s="5" t="n"/>
      <c r="BQ140" s="5" t="n"/>
      <c r="BV140" s="5" t="n"/>
      <c r="BW140" s="5" t="n"/>
      <c r="BX140" s="5" t="n"/>
      <c r="BY140" s="5" t="n"/>
      <c r="BZ140" s="5" t="n"/>
      <c r="CA140" s="5" t="n"/>
      <c r="CF140" s="5" t="n"/>
    </row>
    <row r="141" ht="16.5" customHeight="1" s="241">
      <c r="A141" s="171" t="n">
        <v>45</v>
      </c>
      <c r="B141" s="171" t="n">
        <v>54</v>
      </c>
      <c r="C141" s="171" t="inlineStr">
        <is>
          <t>Plena Plus 6</t>
        </is>
      </c>
      <c r="D141" s="170" t="n">
        <v>105</v>
      </c>
      <c r="E141" s="5" t="n"/>
      <c r="F141" s="5" t="n"/>
      <c r="G141" s="5" t="n"/>
      <c r="H141" s="5" t="n"/>
      <c r="I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BD141" s="5" t="n"/>
      <c r="BE141" s="5" t="n"/>
      <c r="BJ141" s="5" t="n"/>
      <c r="BK141" s="5" t="n"/>
      <c r="BP141" s="5" t="n"/>
      <c r="BQ141" s="5" t="n"/>
      <c r="BV141" s="5" t="n"/>
      <c r="BW141" s="5" t="n"/>
      <c r="BX141" s="5" t="n"/>
      <c r="BY141" s="5" t="n"/>
      <c r="BZ141" s="5" t="n"/>
      <c r="CA141" s="5" t="n"/>
      <c r="CF141" s="5" t="n"/>
    </row>
    <row r="142" ht="16.5" customHeight="1" s="241">
      <c r="A142" s="171" t="n">
        <v>55</v>
      </c>
      <c r="B142" s="171" t="n">
        <v>59</v>
      </c>
      <c r="C142" s="171" t="inlineStr">
        <is>
          <t>Plena Plus 6</t>
        </is>
      </c>
      <c r="D142" s="170" t="n">
        <v>167</v>
      </c>
      <c r="E142" s="5" t="n"/>
      <c r="F142" s="5" t="n"/>
      <c r="G142" s="5" t="n"/>
      <c r="H142" s="5" t="n"/>
      <c r="I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BD142" s="5" t="n"/>
      <c r="BE142" s="5" t="n"/>
      <c r="BJ142" s="5" t="n"/>
      <c r="BK142" s="5" t="n"/>
      <c r="BP142" s="5" t="n"/>
      <c r="BQ142" s="5" t="n"/>
      <c r="BV142" s="5" t="n"/>
      <c r="BW142" s="5" t="n"/>
      <c r="BX142" s="5" t="n"/>
      <c r="BY142" s="5" t="n"/>
      <c r="BZ142" s="5" t="n"/>
      <c r="CA142" s="5" t="n"/>
      <c r="CF142" s="5" t="n"/>
    </row>
    <row r="143" ht="16.5" customHeight="1" s="241">
      <c r="A143" s="171" t="n">
        <v>60</v>
      </c>
      <c r="B143" s="171" t="n">
        <v>64</v>
      </c>
      <c r="C143" s="171" t="inlineStr">
        <is>
          <t>Plena Plus 6</t>
        </is>
      </c>
      <c r="D143" s="170" t="n">
        <v>207</v>
      </c>
      <c r="E143" s="5" t="n"/>
      <c r="F143" s="5" t="n"/>
      <c r="G143" s="5" t="n"/>
      <c r="H143" s="5" t="n"/>
      <c r="I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BD143" s="5" t="n"/>
      <c r="BE143" s="5" t="n"/>
      <c r="BJ143" s="5" t="n"/>
      <c r="BK143" s="5" t="n"/>
      <c r="BP143" s="5" t="n"/>
      <c r="BQ143" s="5" t="n"/>
      <c r="BV143" s="5" t="n"/>
      <c r="BW143" s="5" t="n"/>
      <c r="BX143" s="5" t="n"/>
      <c r="BY143" s="5" t="n"/>
      <c r="BZ143" s="5" t="n"/>
      <c r="CA143" s="5" t="n"/>
      <c r="CF143" s="5" t="n"/>
    </row>
    <row r="144" ht="16.5" customHeight="1" s="241">
      <c r="A144" s="171" t="n">
        <v>65</v>
      </c>
      <c r="B144" s="171" t="n">
        <v>69</v>
      </c>
      <c r="C144" s="171" t="inlineStr">
        <is>
          <t>Plena Plus 6</t>
        </is>
      </c>
      <c r="D144" s="170" t="n">
        <v>291</v>
      </c>
      <c r="E144" s="5" t="n"/>
      <c r="F144" s="5" t="n"/>
      <c r="G144" s="5" t="n"/>
      <c r="H144" s="5" t="n"/>
      <c r="I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BD144" s="5" t="n"/>
      <c r="BE144" s="5" t="n"/>
      <c r="BJ144" s="5" t="n"/>
      <c r="BK144" s="5" t="n"/>
      <c r="BP144" s="5" t="n"/>
      <c r="BQ144" s="5" t="n"/>
      <c r="BV144" s="5" t="n"/>
      <c r="BW144" s="5" t="n"/>
      <c r="BX144" s="5" t="n"/>
      <c r="BY144" s="5" t="n"/>
      <c r="BZ144" s="5" t="n"/>
      <c r="CA144" s="5" t="n"/>
      <c r="CF144" s="5" t="n"/>
    </row>
    <row r="145" ht="16.5" customHeight="1" s="241">
      <c r="A145" s="171" t="n">
        <v>70</v>
      </c>
      <c r="B145" s="171" t="n">
        <v>120</v>
      </c>
      <c r="C145" s="171" t="inlineStr">
        <is>
          <t>Plena Plus 6</t>
        </is>
      </c>
      <c r="D145" s="170" t="n">
        <v>297</v>
      </c>
      <c r="E145" s="5" t="n"/>
      <c r="F145" s="5" t="n"/>
      <c r="G145" s="5" t="n"/>
      <c r="H145" s="5" t="n"/>
      <c r="I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BD145" s="5" t="n"/>
      <c r="BE145" s="5" t="n"/>
      <c r="BJ145" s="5" t="n"/>
      <c r="BK145" s="5" t="n"/>
      <c r="BP145" s="5" t="n"/>
      <c r="BQ145" s="5" t="n"/>
      <c r="BV145" s="5" t="n"/>
      <c r="BW145" s="5" t="n"/>
      <c r="BX145" s="5" t="n"/>
      <c r="BY145" s="5" t="n"/>
      <c r="BZ145" s="5" t="n"/>
      <c r="CA145" s="5" t="n"/>
      <c r="CF145" s="5" t="n"/>
    </row>
    <row r="146" ht="16.5" customHeight="1" s="241">
      <c r="A146" s="171" t="n">
        <v>0</v>
      </c>
      <c r="B146" s="171" t="n">
        <v>24</v>
      </c>
      <c r="C146" s="171" t="inlineStr">
        <is>
          <t>Plena Total 1</t>
        </is>
      </c>
      <c r="D146" s="170" t="n">
        <v>83</v>
      </c>
      <c r="E146" s="5" t="n"/>
      <c r="F146" s="5" t="n"/>
      <c r="G146" s="5" t="n"/>
      <c r="H146" s="5" t="n"/>
      <c r="I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BD146" s="5" t="n"/>
      <c r="BE146" s="5" t="n"/>
      <c r="BJ146" s="5" t="n"/>
      <c r="BK146" s="5" t="n"/>
      <c r="BP146" s="5" t="n"/>
      <c r="BQ146" s="5" t="n"/>
      <c r="BV146" s="5" t="n"/>
      <c r="BW146" s="5" t="n"/>
      <c r="BX146" s="5" t="n"/>
      <c r="BY146" s="5" t="n"/>
      <c r="BZ146" s="5" t="n"/>
      <c r="CA146" s="5" t="n"/>
      <c r="CF146" s="5" t="n"/>
    </row>
    <row r="147" ht="16.5" customHeight="1" s="241">
      <c r="A147" s="171" t="n">
        <v>25</v>
      </c>
      <c r="B147" s="171" t="n">
        <v>44</v>
      </c>
      <c r="C147" s="171" t="inlineStr">
        <is>
          <t>Plena Total 1</t>
        </is>
      </c>
      <c r="D147" s="170" t="n">
        <v>99</v>
      </c>
      <c r="E147" s="5" t="n"/>
      <c r="F147" s="5" t="n"/>
      <c r="G147" s="5" t="n"/>
      <c r="H147" s="5" t="n"/>
      <c r="I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BD147" s="5" t="n"/>
      <c r="BE147" s="5" t="n"/>
      <c r="BJ147" s="5" t="n"/>
      <c r="BK147" s="5" t="n"/>
      <c r="BP147" s="5" t="n"/>
      <c r="BQ147" s="5" t="n"/>
      <c r="BV147" s="5" t="n"/>
      <c r="BW147" s="5" t="n"/>
      <c r="BX147" s="5" t="n"/>
      <c r="BY147" s="5" t="n"/>
      <c r="BZ147" s="5" t="n"/>
      <c r="CA147" s="5" t="n"/>
      <c r="CF147" s="5" t="n"/>
    </row>
    <row r="148" ht="16.5" customHeight="1" s="241">
      <c r="A148" s="171" t="n">
        <v>45</v>
      </c>
      <c r="B148" s="171" t="n">
        <v>54</v>
      </c>
      <c r="C148" s="171" t="inlineStr">
        <is>
          <t>Plena Total 1</t>
        </is>
      </c>
      <c r="D148" s="170" t="n">
        <v>121</v>
      </c>
      <c r="E148" s="5" t="n"/>
      <c r="F148" s="5" t="n"/>
      <c r="G148" s="5" t="n"/>
      <c r="H148" s="5" t="n"/>
      <c r="I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BD148" s="5" t="n"/>
      <c r="BE148" s="5" t="n"/>
      <c r="BJ148" s="5" t="n"/>
      <c r="BK148" s="5" t="n"/>
      <c r="BP148" s="5" t="n"/>
      <c r="BQ148" s="5" t="n"/>
      <c r="BV148" s="5" t="n"/>
      <c r="BW148" s="5" t="n"/>
      <c r="BX148" s="5" t="n"/>
      <c r="BY148" s="5" t="n"/>
      <c r="BZ148" s="5" t="n"/>
      <c r="CA148" s="5" t="n"/>
      <c r="CF148" s="5" t="n"/>
    </row>
    <row r="149" ht="16.5" customHeight="1" s="241">
      <c r="A149" s="171" t="n">
        <v>55</v>
      </c>
      <c r="B149" s="171" t="n">
        <v>59</v>
      </c>
      <c r="C149" s="171" t="inlineStr">
        <is>
          <t>Plena Total 1</t>
        </is>
      </c>
      <c r="D149" s="170" t="n">
        <v>169</v>
      </c>
      <c r="E149" s="5" t="n"/>
      <c r="F149" s="5" t="n"/>
      <c r="G149" s="5" t="n"/>
      <c r="H149" s="5" t="n"/>
      <c r="I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BD149" s="5" t="n"/>
      <c r="BE149" s="5" t="n"/>
      <c r="BJ149" s="5" t="n"/>
      <c r="BK149" s="5" t="n"/>
      <c r="BP149" s="5" t="n"/>
      <c r="BQ149" s="5" t="n"/>
      <c r="BV149" s="5" t="n"/>
      <c r="BW149" s="5" t="n"/>
      <c r="BX149" s="5" t="n"/>
      <c r="BY149" s="5" t="n"/>
      <c r="BZ149" s="5" t="n"/>
      <c r="CA149" s="5" t="n"/>
      <c r="CF149" s="5" t="n"/>
    </row>
    <row r="150" ht="16.5" customHeight="1" s="241">
      <c r="A150" s="171" t="n">
        <v>60</v>
      </c>
      <c r="B150" s="171" t="n">
        <v>62</v>
      </c>
      <c r="C150" s="171" t="inlineStr">
        <is>
          <t>Plena Total 1</t>
        </is>
      </c>
      <c r="D150" s="170" t="n">
        <v>207</v>
      </c>
      <c r="E150" s="5" t="n"/>
      <c r="F150" s="5" t="n"/>
      <c r="G150" s="5" t="n"/>
      <c r="H150" s="5" t="n"/>
      <c r="I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BD150" s="5" t="n"/>
      <c r="BE150" s="5" t="n"/>
      <c r="BJ150" s="5" t="n"/>
      <c r="BK150" s="5" t="n"/>
      <c r="BP150" s="5" t="n"/>
      <c r="BQ150" s="5" t="n"/>
      <c r="BV150" s="5" t="n"/>
      <c r="BW150" s="5" t="n"/>
      <c r="BX150" s="5" t="n"/>
      <c r="BY150" s="5" t="n"/>
      <c r="BZ150" s="5" t="n"/>
      <c r="CA150" s="5" t="n"/>
      <c r="CF150" s="5" t="n"/>
    </row>
    <row r="151" ht="16.5" customHeight="1" s="241">
      <c r="A151" s="171" t="n">
        <v>63</v>
      </c>
      <c r="B151" s="171" t="n">
        <v>120</v>
      </c>
      <c r="C151" s="171" t="inlineStr">
        <is>
          <t>Plena Total 1</t>
        </is>
      </c>
      <c r="D151" s="170" t="n">
        <v>273</v>
      </c>
      <c r="E151" s="5" t="n"/>
      <c r="F151" s="5" t="n"/>
      <c r="G151" s="5" t="n"/>
      <c r="H151" s="5" t="n"/>
      <c r="I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BD151" s="5" t="n"/>
      <c r="BE151" s="5" t="n"/>
      <c r="BJ151" s="5" t="n"/>
      <c r="BK151" s="5" t="n"/>
      <c r="BP151" s="5" t="n"/>
      <c r="BQ151" s="5" t="n"/>
      <c r="BV151" s="5" t="n"/>
      <c r="BW151" s="5" t="n"/>
      <c r="BX151" s="5" t="n"/>
      <c r="BY151" s="5" t="n"/>
      <c r="BZ151" s="5" t="n"/>
      <c r="CA151" s="5" t="n"/>
      <c r="CF151" s="5" t="n"/>
    </row>
    <row r="152" ht="16.5" customHeight="1" s="241">
      <c r="A152" s="171" t="n">
        <v>0</v>
      </c>
      <c r="B152" s="171" t="n">
        <v>24</v>
      </c>
      <c r="C152" s="171" t="inlineStr">
        <is>
          <t>Plena Total 2</t>
        </is>
      </c>
      <c r="D152" s="170" t="n">
        <v>85</v>
      </c>
      <c r="E152" s="5" t="n"/>
      <c r="F152" s="5" t="n"/>
      <c r="G152" s="5" t="n"/>
      <c r="H152" s="5" t="n"/>
      <c r="I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BD152" s="5" t="n"/>
      <c r="BE152" s="5" t="n"/>
      <c r="BJ152" s="5" t="n"/>
      <c r="BK152" s="5" t="n"/>
      <c r="BP152" s="5" t="n"/>
      <c r="BQ152" s="5" t="n"/>
      <c r="BV152" s="5" t="n"/>
      <c r="BW152" s="5" t="n"/>
      <c r="BX152" s="5" t="n"/>
      <c r="BY152" s="5" t="n"/>
      <c r="BZ152" s="5" t="n"/>
      <c r="CA152" s="5" t="n"/>
      <c r="CF152" s="5" t="n"/>
    </row>
    <row r="153" ht="16.5" customHeight="1" s="241">
      <c r="A153" s="171" t="n">
        <v>25</v>
      </c>
      <c r="B153" s="171" t="n">
        <v>44</v>
      </c>
      <c r="C153" s="171" t="inlineStr">
        <is>
          <t>Plena Total 2</t>
        </is>
      </c>
      <c r="D153" s="170" t="n">
        <v>103</v>
      </c>
      <c r="E153" s="5" t="n"/>
      <c r="F153" s="5" t="n"/>
      <c r="G153" s="5" t="n"/>
      <c r="H153" s="5" t="n"/>
      <c r="I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BD153" s="5" t="n"/>
      <c r="BE153" s="5" t="n"/>
      <c r="BJ153" s="5" t="n"/>
      <c r="BK153" s="5" t="n"/>
      <c r="BP153" s="5" t="n"/>
      <c r="BQ153" s="5" t="n"/>
      <c r="BV153" s="5" t="n"/>
      <c r="BW153" s="5" t="n"/>
      <c r="BX153" s="5" t="n"/>
      <c r="BY153" s="5" t="n"/>
      <c r="BZ153" s="5" t="n"/>
      <c r="CA153" s="5" t="n"/>
      <c r="CF153" s="5" t="n"/>
    </row>
    <row r="154" ht="16.5" customHeight="1" s="241">
      <c r="A154" s="171" t="n">
        <v>45</v>
      </c>
      <c r="B154" s="171" t="n">
        <v>54</v>
      </c>
      <c r="C154" s="171" t="inlineStr">
        <is>
          <t>Plena Total 2</t>
        </is>
      </c>
      <c r="D154" s="170" t="n">
        <v>124</v>
      </c>
      <c r="E154" s="5" t="n"/>
      <c r="F154" s="5" t="n"/>
      <c r="G154" s="5" t="n"/>
      <c r="H154" s="5" t="n"/>
      <c r="I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BD154" s="5" t="n"/>
      <c r="BE154" s="5" t="n"/>
      <c r="BJ154" s="5" t="n"/>
      <c r="BK154" s="5" t="n"/>
      <c r="BP154" s="5" t="n"/>
      <c r="BQ154" s="5" t="n"/>
      <c r="BV154" s="5" t="n"/>
      <c r="BW154" s="5" t="n"/>
      <c r="BX154" s="5" t="n"/>
      <c r="BY154" s="5" t="n"/>
      <c r="BZ154" s="5" t="n"/>
      <c r="CA154" s="5" t="n"/>
      <c r="CF154" s="5" t="n"/>
    </row>
    <row r="155" ht="16.5" customHeight="1" s="241">
      <c r="A155" s="171" t="n">
        <v>55</v>
      </c>
      <c r="B155" s="171" t="n">
        <v>59</v>
      </c>
      <c r="C155" s="171" t="inlineStr">
        <is>
          <t>Plena Total 2</t>
        </is>
      </c>
      <c r="D155" s="170" t="n">
        <v>176</v>
      </c>
      <c r="E155" s="5" t="n"/>
      <c r="F155" s="5" t="n"/>
      <c r="G155" s="5" t="n"/>
      <c r="H155" s="5" t="n"/>
      <c r="I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BD155" s="5" t="n"/>
      <c r="BE155" s="5" t="n"/>
      <c r="BJ155" s="5" t="n"/>
      <c r="BK155" s="5" t="n"/>
      <c r="BP155" s="5" t="n"/>
      <c r="BQ155" s="5" t="n"/>
      <c r="BV155" s="5" t="n"/>
      <c r="BW155" s="5" t="n"/>
      <c r="BX155" s="5" t="n"/>
      <c r="BY155" s="5" t="n"/>
      <c r="BZ155" s="5" t="n"/>
      <c r="CA155" s="5" t="n"/>
      <c r="CF155" s="5" t="n"/>
    </row>
    <row r="156" ht="16.5" customHeight="1" s="241">
      <c r="A156" s="171" t="n">
        <v>60</v>
      </c>
      <c r="B156" s="171" t="n">
        <v>62</v>
      </c>
      <c r="C156" s="171" t="inlineStr">
        <is>
          <t>Plena Total 2</t>
        </is>
      </c>
      <c r="D156" s="170" t="n">
        <v>217</v>
      </c>
      <c r="E156" s="5" t="n"/>
      <c r="F156" s="5" t="n"/>
      <c r="G156" s="5" t="n"/>
      <c r="H156" s="5" t="n"/>
      <c r="I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BD156" s="5" t="n"/>
      <c r="BE156" s="5" t="n"/>
      <c r="BJ156" s="5" t="n"/>
      <c r="BK156" s="5" t="n"/>
      <c r="BP156" s="5" t="n"/>
      <c r="BQ156" s="5" t="n"/>
      <c r="BV156" s="5" t="n"/>
      <c r="BW156" s="5" t="n"/>
      <c r="BX156" s="5" t="n"/>
      <c r="BY156" s="5" t="n"/>
      <c r="BZ156" s="5" t="n"/>
      <c r="CA156" s="5" t="n"/>
      <c r="CF156" s="5" t="n"/>
    </row>
    <row r="157" ht="16.5" customHeight="1" s="241">
      <c r="A157" s="171" t="n">
        <v>63</v>
      </c>
      <c r="B157" s="171" t="n">
        <v>120</v>
      </c>
      <c r="C157" s="171" t="inlineStr">
        <is>
          <t>Plena Total 2</t>
        </is>
      </c>
      <c r="D157" s="170" t="n">
        <v>284</v>
      </c>
      <c r="E157" s="5" t="n"/>
      <c r="F157" s="5" t="n"/>
      <c r="G157" s="5" t="n"/>
      <c r="H157" s="5" t="n"/>
      <c r="I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BD157" s="5" t="n"/>
      <c r="BE157" s="5" t="n"/>
      <c r="BJ157" s="5" t="n"/>
      <c r="BK157" s="5" t="n"/>
      <c r="BP157" s="5" t="n"/>
      <c r="BQ157" s="5" t="n"/>
      <c r="BV157" s="5" t="n"/>
      <c r="BW157" s="5" t="n"/>
      <c r="BX157" s="5" t="n"/>
      <c r="BY157" s="5" t="n"/>
      <c r="BZ157" s="5" t="n"/>
      <c r="CA157" s="5" t="n"/>
      <c r="CF157" s="5" t="n"/>
    </row>
    <row r="158" ht="16.5" customHeight="1" s="241">
      <c r="A158" s="171" t="n">
        <v>0</v>
      </c>
      <c r="B158" s="171" t="n">
        <v>24</v>
      </c>
      <c r="C158" s="171" t="inlineStr">
        <is>
          <t>Plena Total 3</t>
        </is>
      </c>
      <c r="D158" s="170" t="n">
        <v>86</v>
      </c>
      <c r="E158" s="5" t="n"/>
      <c r="F158" s="5" t="n"/>
      <c r="G158" s="5" t="n"/>
      <c r="H158" s="5" t="n"/>
      <c r="I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BD158" s="5" t="n"/>
      <c r="BE158" s="5" t="n"/>
      <c r="BJ158" s="5" t="n"/>
      <c r="BK158" s="5" t="n"/>
      <c r="BP158" s="5" t="n"/>
      <c r="BQ158" s="5" t="n"/>
      <c r="BV158" s="5" t="n"/>
      <c r="BW158" s="5" t="n"/>
      <c r="BX158" s="5" t="n"/>
      <c r="BY158" s="5" t="n"/>
      <c r="BZ158" s="5" t="n"/>
      <c r="CA158" s="5" t="n"/>
      <c r="CF158" s="5" t="n"/>
    </row>
    <row r="159" ht="16.5" customHeight="1" s="241">
      <c r="A159" s="171" t="n">
        <v>25</v>
      </c>
      <c r="B159" s="171" t="n">
        <v>44</v>
      </c>
      <c r="C159" s="171" t="inlineStr">
        <is>
          <t>Plena Total 3</t>
        </is>
      </c>
      <c r="D159" s="170" t="n">
        <v>104</v>
      </c>
      <c r="E159" s="5" t="n"/>
      <c r="F159" s="5" t="n"/>
      <c r="G159" s="5" t="n"/>
      <c r="H159" s="5" t="n"/>
      <c r="I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BD159" s="5" t="n"/>
      <c r="BE159" s="5" t="n"/>
      <c r="BJ159" s="5" t="n"/>
      <c r="BK159" s="5" t="n"/>
      <c r="BP159" s="5" t="n"/>
      <c r="BQ159" s="5" t="n"/>
      <c r="BV159" s="5" t="n"/>
      <c r="BW159" s="5" t="n"/>
      <c r="BX159" s="5" t="n"/>
      <c r="BY159" s="5" t="n"/>
      <c r="BZ159" s="5" t="n"/>
      <c r="CA159" s="5" t="n"/>
      <c r="CF159" s="5" t="n"/>
    </row>
    <row r="160" ht="16.5" customHeight="1" s="241">
      <c r="A160" s="171" t="n">
        <v>45</v>
      </c>
      <c r="B160" s="171" t="n">
        <v>54</v>
      </c>
      <c r="C160" s="171" t="inlineStr">
        <is>
          <t>Plena Total 3</t>
        </is>
      </c>
      <c r="D160" s="170" t="n">
        <v>126.5</v>
      </c>
      <c r="E160" s="5" t="n"/>
      <c r="F160" s="5" t="n"/>
      <c r="G160" s="5" t="n"/>
      <c r="H160" s="5" t="n"/>
      <c r="I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BD160" s="5" t="n"/>
      <c r="BE160" s="5" t="n"/>
      <c r="BJ160" s="5" t="n"/>
      <c r="BK160" s="5" t="n"/>
      <c r="BP160" s="5" t="n"/>
      <c r="BQ160" s="5" t="n"/>
      <c r="BV160" s="5" t="n"/>
      <c r="BW160" s="5" t="n"/>
      <c r="BX160" s="5" t="n"/>
      <c r="BY160" s="5" t="n"/>
      <c r="BZ160" s="5" t="n"/>
      <c r="CA160" s="5" t="n"/>
      <c r="CF160" s="5" t="n"/>
    </row>
    <row r="161" ht="16.5" customHeight="1" s="241">
      <c r="A161" s="171" t="n">
        <v>55</v>
      </c>
      <c r="B161" s="171" t="n">
        <v>59</v>
      </c>
      <c r="C161" s="171" t="inlineStr">
        <is>
          <t>Plena Total 3</t>
        </is>
      </c>
      <c r="D161" s="170" t="n">
        <v>179</v>
      </c>
      <c r="E161" s="5" t="n"/>
      <c r="F161" s="5" t="n"/>
      <c r="G161" s="5" t="n"/>
      <c r="H161" s="5" t="n"/>
      <c r="I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BD161" s="5" t="n"/>
      <c r="BE161" s="5" t="n"/>
      <c r="BJ161" s="5" t="n"/>
      <c r="BK161" s="5" t="n"/>
      <c r="BP161" s="5" t="n"/>
      <c r="BQ161" s="5" t="n"/>
      <c r="BV161" s="5" t="n"/>
      <c r="BW161" s="5" t="n"/>
      <c r="BX161" s="5" t="n"/>
      <c r="BY161" s="5" t="n"/>
      <c r="BZ161" s="5" t="n"/>
      <c r="CA161" s="5" t="n"/>
      <c r="CF161" s="5" t="n"/>
    </row>
    <row r="162" ht="16.5" customHeight="1" s="241">
      <c r="A162" s="171" t="n">
        <v>60</v>
      </c>
      <c r="B162" s="171" t="n">
        <v>62</v>
      </c>
      <c r="C162" s="171" t="inlineStr">
        <is>
          <t>Plena Total 3</t>
        </is>
      </c>
      <c r="D162" s="170" t="n">
        <v>223</v>
      </c>
      <c r="E162" s="5" t="n"/>
      <c r="F162" s="5" t="n"/>
      <c r="G162" s="5" t="n"/>
      <c r="H162" s="5" t="n"/>
      <c r="I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BD162" s="5" t="n"/>
      <c r="BE162" s="5" t="n"/>
      <c r="BJ162" s="5" t="n"/>
      <c r="BK162" s="5" t="n"/>
      <c r="BP162" s="5" t="n"/>
      <c r="BQ162" s="5" t="n"/>
      <c r="BV162" s="5" t="n"/>
      <c r="BW162" s="5" t="n"/>
      <c r="BX162" s="5" t="n"/>
      <c r="BY162" s="5" t="n"/>
      <c r="BZ162" s="5" t="n"/>
      <c r="CA162" s="5" t="n"/>
      <c r="CF162" s="5" t="n"/>
    </row>
    <row r="163" ht="16.5" customHeight="1" s="241">
      <c r="A163" s="171" t="n">
        <v>63</v>
      </c>
      <c r="B163" s="171" t="n">
        <v>120</v>
      </c>
      <c r="C163" s="171" t="inlineStr">
        <is>
          <t>Plena Total 3</t>
        </is>
      </c>
      <c r="D163" s="170" t="n">
        <v>288</v>
      </c>
      <c r="E163" s="5" t="n"/>
      <c r="F163" s="5" t="n"/>
      <c r="G163" s="5" t="n"/>
      <c r="H163" s="5" t="n"/>
      <c r="I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BD163" s="5" t="n"/>
      <c r="BE163" s="5" t="n"/>
      <c r="BJ163" s="5" t="n"/>
      <c r="BK163" s="5" t="n"/>
      <c r="BP163" s="5" t="n"/>
      <c r="BQ163" s="5" t="n"/>
      <c r="BV163" s="5" t="n"/>
      <c r="BW163" s="5" t="n"/>
      <c r="BX163" s="5" t="n"/>
      <c r="BY163" s="5" t="n"/>
      <c r="BZ163" s="5" t="n"/>
      <c r="CA163" s="5" t="n"/>
      <c r="CF163" s="5" t="n"/>
    </row>
    <row r="164" ht="16.5" customHeight="1" s="241">
      <c r="A164" s="171" t="n">
        <v>0</v>
      </c>
      <c r="B164" s="171" t="n">
        <v>24</v>
      </c>
      <c r="C164" s="171" t="inlineStr">
        <is>
          <t>Plena Total 4</t>
        </is>
      </c>
      <c r="D164" s="170" t="n">
        <v>87</v>
      </c>
      <c r="E164" s="5" t="n"/>
      <c r="F164" s="5" t="n"/>
      <c r="G164" s="5" t="n"/>
      <c r="H164" s="5" t="n"/>
      <c r="I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BD164" s="5" t="n"/>
      <c r="BE164" s="5" t="n"/>
      <c r="BJ164" s="5" t="n"/>
      <c r="BK164" s="5" t="n"/>
      <c r="BP164" s="5" t="n"/>
      <c r="BQ164" s="5" t="n"/>
      <c r="BV164" s="5" t="n"/>
      <c r="BW164" s="5" t="n"/>
      <c r="BX164" s="5" t="n"/>
      <c r="BY164" s="5" t="n"/>
      <c r="BZ164" s="5" t="n"/>
      <c r="CA164" s="5" t="n"/>
      <c r="CF164" s="5" t="n"/>
    </row>
    <row r="165" ht="16.5" customHeight="1" s="241">
      <c r="A165" s="171" t="n">
        <v>25</v>
      </c>
      <c r="B165" s="171" t="n">
        <v>44</v>
      </c>
      <c r="C165" s="171" t="inlineStr">
        <is>
          <t>Plena Total 4</t>
        </is>
      </c>
      <c r="D165" s="170" t="n">
        <v>105.5</v>
      </c>
      <c r="E165" s="5" t="n"/>
      <c r="F165" s="5" t="n"/>
      <c r="G165" s="5" t="n"/>
      <c r="H165" s="5" t="n"/>
      <c r="I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BD165" s="5" t="n"/>
      <c r="BE165" s="5" t="n"/>
      <c r="BJ165" s="5" t="n"/>
      <c r="BK165" s="5" t="n"/>
      <c r="BP165" s="5" t="n"/>
      <c r="BQ165" s="5" t="n"/>
      <c r="BV165" s="5" t="n"/>
      <c r="BW165" s="5" t="n"/>
      <c r="BX165" s="5" t="n"/>
      <c r="BY165" s="5" t="n"/>
      <c r="BZ165" s="5" t="n"/>
      <c r="CA165" s="5" t="n"/>
      <c r="CF165" s="5" t="n"/>
    </row>
    <row r="166" ht="16.5" customHeight="1" s="241">
      <c r="A166" s="171" t="n">
        <v>45</v>
      </c>
      <c r="B166" s="171" t="n">
        <v>54</v>
      </c>
      <c r="C166" s="171" t="inlineStr">
        <is>
          <t>Plena Total 4</t>
        </is>
      </c>
      <c r="D166" s="170" t="n">
        <v>131</v>
      </c>
      <c r="E166" s="5" t="n"/>
      <c r="F166" s="5" t="n"/>
      <c r="G166" s="5" t="n"/>
      <c r="H166" s="5" t="n"/>
      <c r="I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BD166" s="5" t="n"/>
      <c r="BE166" s="5" t="n"/>
      <c r="BJ166" s="5" t="n"/>
      <c r="BK166" s="5" t="n"/>
      <c r="BP166" s="5" t="n"/>
      <c r="BQ166" s="5" t="n"/>
      <c r="BV166" s="5" t="n"/>
      <c r="BW166" s="5" t="n"/>
      <c r="BX166" s="5" t="n"/>
      <c r="BY166" s="5" t="n"/>
      <c r="BZ166" s="5" t="n"/>
      <c r="CA166" s="5" t="n"/>
      <c r="CF166" s="5" t="n"/>
    </row>
    <row r="167" ht="16.5" customHeight="1" s="241">
      <c r="A167" s="171" t="n">
        <v>55</v>
      </c>
      <c r="B167" s="171" t="n">
        <v>59</v>
      </c>
      <c r="C167" s="171" t="inlineStr">
        <is>
          <t>Plena Total 4</t>
        </is>
      </c>
      <c r="D167" s="170" t="n">
        <v>181</v>
      </c>
      <c r="E167" s="5" t="n"/>
      <c r="F167" s="5" t="n"/>
      <c r="G167" s="5" t="n"/>
      <c r="H167" s="5" t="n"/>
      <c r="I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BD167" s="5" t="n"/>
      <c r="BE167" s="5" t="n"/>
      <c r="BJ167" s="5" t="n"/>
      <c r="BK167" s="5" t="n"/>
      <c r="BP167" s="5" t="n"/>
      <c r="BQ167" s="5" t="n"/>
      <c r="BV167" s="5" t="n"/>
      <c r="BW167" s="5" t="n"/>
      <c r="BX167" s="5" t="n"/>
      <c r="BY167" s="5" t="n"/>
      <c r="BZ167" s="5" t="n"/>
      <c r="CA167" s="5" t="n"/>
      <c r="CF167" s="5" t="n"/>
    </row>
    <row r="168" ht="16.5" customHeight="1" s="241">
      <c r="A168" s="171" t="n">
        <v>60</v>
      </c>
      <c r="B168" s="171" t="n">
        <v>62</v>
      </c>
      <c r="C168" s="171" t="inlineStr">
        <is>
          <t>Plena Total 4</t>
        </is>
      </c>
      <c r="D168" s="170" t="n">
        <v>227</v>
      </c>
      <c r="E168" s="5" t="n"/>
      <c r="F168" s="5" t="n"/>
      <c r="G168" s="5" t="n"/>
      <c r="H168" s="5" t="n"/>
      <c r="I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BD168" s="5" t="n"/>
      <c r="BE168" s="5" t="n"/>
      <c r="BJ168" s="5" t="n"/>
      <c r="BK168" s="5" t="n"/>
      <c r="BP168" s="5" t="n"/>
      <c r="BQ168" s="5" t="n"/>
      <c r="BV168" s="5" t="n"/>
      <c r="BW168" s="5" t="n"/>
      <c r="BX168" s="5" t="n"/>
      <c r="BY168" s="5" t="n"/>
      <c r="BZ168" s="5" t="n"/>
      <c r="CA168" s="5" t="n"/>
      <c r="CF168" s="5" t="n"/>
    </row>
    <row r="169" ht="16.5" customHeight="1" s="241">
      <c r="A169" s="171" t="n">
        <v>63</v>
      </c>
      <c r="B169" s="171" t="n">
        <v>120</v>
      </c>
      <c r="C169" s="171" t="inlineStr">
        <is>
          <t>Plena Total 4</t>
        </is>
      </c>
      <c r="D169" s="170" t="n">
        <v>294</v>
      </c>
      <c r="E169" s="5" t="n"/>
      <c r="F169" s="5" t="n"/>
      <c r="G169" s="5" t="n"/>
      <c r="H169" s="5" t="n"/>
      <c r="I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BD169" s="5" t="n"/>
      <c r="BE169" s="5" t="n"/>
      <c r="BJ169" s="5" t="n"/>
      <c r="BK169" s="5" t="n"/>
      <c r="BP169" s="5" t="n"/>
      <c r="BQ169" s="5" t="n"/>
      <c r="BV169" s="5" t="n"/>
      <c r="BW169" s="5" t="n"/>
      <c r="BX169" s="5" t="n"/>
      <c r="BY169" s="5" t="n"/>
      <c r="BZ169" s="5" t="n"/>
      <c r="CA169" s="5" t="n"/>
      <c r="CF169" s="5" t="n"/>
    </row>
    <row r="170" ht="16.5" customHeight="1" s="241">
      <c r="A170" s="171" t="n">
        <v>0</v>
      </c>
      <c r="B170" s="171" t="n">
        <v>24</v>
      </c>
      <c r="C170" s="171" t="inlineStr">
        <is>
          <t>Plena Total 5</t>
        </is>
      </c>
      <c r="D170" s="170" t="n">
        <v>88.5</v>
      </c>
      <c r="E170" s="5" t="n"/>
      <c r="F170" s="5" t="n"/>
      <c r="G170" s="5" t="n"/>
      <c r="H170" s="5" t="n"/>
      <c r="I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BD170" s="5" t="n"/>
      <c r="BE170" s="5" t="n"/>
      <c r="BJ170" s="5" t="n"/>
      <c r="BK170" s="5" t="n"/>
      <c r="BP170" s="5" t="n"/>
      <c r="BQ170" s="5" t="n"/>
      <c r="BV170" s="5" t="n"/>
      <c r="BW170" s="5" t="n"/>
      <c r="BX170" s="5" t="n"/>
      <c r="BY170" s="5" t="n"/>
      <c r="BZ170" s="5" t="n"/>
      <c r="CA170" s="5" t="n"/>
      <c r="CF170" s="5" t="n"/>
    </row>
    <row r="171" ht="16.5" customHeight="1" s="241">
      <c r="A171" s="171" t="n">
        <v>25</v>
      </c>
      <c r="B171" s="171" t="n">
        <v>44</v>
      </c>
      <c r="C171" s="171" t="inlineStr">
        <is>
          <t>Plena Total 5</t>
        </is>
      </c>
      <c r="D171" s="170" t="n">
        <v>108.5</v>
      </c>
      <c r="E171" s="5" t="n"/>
      <c r="F171" s="5" t="n"/>
      <c r="G171" s="5" t="n"/>
      <c r="H171" s="5" t="n"/>
      <c r="I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BD171" s="5" t="n"/>
      <c r="BE171" s="5" t="n"/>
      <c r="BJ171" s="5" t="n"/>
      <c r="BK171" s="5" t="n"/>
      <c r="BP171" s="5" t="n"/>
      <c r="BQ171" s="5" t="n"/>
      <c r="BV171" s="5" t="n"/>
      <c r="BW171" s="5" t="n"/>
      <c r="BX171" s="5" t="n"/>
      <c r="BY171" s="5" t="n"/>
      <c r="BZ171" s="5" t="n"/>
      <c r="CA171" s="5" t="n"/>
      <c r="CF171" s="5" t="n"/>
    </row>
    <row r="172" ht="16.5" customHeight="1" s="241">
      <c r="A172" s="171" t="n">
        <v>45</v>
      </c>
      <c r="B172" s="171" t="n">
        <v>54</v>
      </c>
      <c r="C172" s="171" t="inlineStr">
        <is>
          <t>Plena Total 5</t>
        </is>
      </c>
      <c r="D172" s="170" t="n">
        <v>135.5</v>
      </c>
      <c r="E172" s="5" t="n"/>
      <c r="F172" s="5" t="n"/>
      <c r="G172" s="5" t="n"/>
      <c r="H172" s="5" t="n"/>
      <c r="I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BD172" s="5" t="n"/>
      <c r="BE172" s="5" t="n"/>
      <c r="BJ172" s="5" t="n"/>
      <c r="BK172" s="5" t="n"/>
      <c r="BP172" s="5" t="n"/>
      <c r="BQ172" s="5" t="n"/>
      <c r="BV172" s="5" t="n"/>
      <c r="BW172" s="5" t="n"/>
      <c r="BX172" s="5" t="n"/>
      <c r="BY172" s="5" t="n"/>
      <c r="BZ172" s="5" t="n"/>
      <c r="CA172" s="5" t="n"/>
      <c r="CF172" s="5" t="n"/>
    </row>
    <row r="173" ht="16.5" customHeight="1" s="241">
      <c r="A173" s="171" t="n">
        <v>55</v>
      </c>
      <c r="B173" s="171" t="n">
        <v>59</v>
      </c>
      <c r="C173" s="171" t="inlineStr">
        <is>
          <t>Plena Total 5</t>
        </is>
      </c>
      <c r="D173" s="170" t="n">
        <v>189</v>
      </c>
      <c r="E173" s="5" t="n"/>
      <c r="F173" s="5" t="n"/>
      <c r="G173" s="5" t="n"/>
      <c r="H173" s="5" t="n"/>
      <c r="I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BD173" s="5" t="n"/>
      <c r="BE173" s="5" t="n"/>
      <c r="BJ173" s="5" t="n"/>
      <c r="BK173" s="5" t="n"/>
      <c r="BP173" s="5" t="n"/>
      <c r="BQ173" s="5" t="n"/>
      <c r="BV173" s="5" t="n"/>
      <c r="BW173" s="5" t="n"/>
      <c r="BX173" s="5" t="n"/>
      <c r="BY173" s="5" t="n"/>
      <c r="BZ173" s="5" t="n"/>
      <c r="CA173" s="5" t="n"/>
      <c r="CF173" s="5" t="n"/>
    </row>
    <row r="174" ht="16.5" customHeight="1" s="241">
      <c r="A174" s="171" t="n">
        <v>60</v>
      </c>
      <c r="B174" s="171" t="n">
        <v>62</v>
      </c>
      <c r="C174" s="171" t="inlineStr">
        <is>
          <t>Plena Total 5</t>
        </is>
      </c>
      <c r="D174" s="170" t="n">
        <v>243</v>
      </c>
      <c r="E174" s="5" t="n"/>
      <c r="F174" s="5" t="n"/>
      <c r="G174" s="5" t="n"/>
      <c r="H174" s="5" t="n"/>
      <c r="I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BD174" s="5" t="n"/>
      <c r="BE174" s="5" t="n"/>
      <c r="BJ174" s="5" t="n"/>
      <c r="BK174" s="5" t="n"/>
      <c r="BP174" s="5" t="n"/>
      <c r="BQ174" s="5" t="n"/>
      <c r="BV174" s="5" t="n"/>
      <c r="BW174" s="5" t="n"/>
      <c r="BX174" s="5" t="n"/>
      <c r="BY174" s="5" t="n"/>
      <c r="BZ174" s="5" t="n"/>
      <c r="CA174" s="5" t="n"/>
      <c r="CF174" s="5" t="n"/>
    </row>
    <row r="175" ht="16.5" customHeight="1" s="241">
      <c r="A175" s="171" t="n">
        <v>63</v>
      </c>
      <c r="B175" s="171" t="n">
        <v>120</v>
      </c>
      <c r="C175" s="171" t="inlineStr">
        <is>
          <t>Plena Total 5</t>
        </is>
      </c>
      <c r="D175" s="170" t="n">
        <v>315</v>
      </c>
      <c r="E175" s="5" t="n"/>
      <c r="F175" s="5" t="n"/>
      <c r="G175" s="5" t="n"/>
      <c r="H175" s="5" t="n"/>
      <c r="I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BD175" s="5" t="n"/>
      <c r="BE175" s="5" t="n"/>
      <c r="BJ175" s="5" t="n"/>
      <c r="BK175" s="5" t="n"/>
      <c r="BP175" s="5" t="n"/>
      <c r="BQ175" s="5" t="n"/>
      <c r="BV175" s="5" t="n"/>
      <c r="BW175" s="5" t="n"/>
      <c r="BX175" s="5" t="n"/>
      <c r="BY175" s="5" t="n"/>
      <c r="BZ175" s="5" t="n"/>
      <c r="CA175" s="5" t="n"/>
      <c r="CF175" s="5" t="n"/>
    </row>
    <row r="176" ht="16.5" customHeight="1" s="241">
      <c r="A176" s="171" t="n">
        <v>0</v>
      </c>
      <c r="B176" s="171" t="n">
        <v>24</v>
      </c>
      <c r="C176" s="171" t="inlineStr">
        <is>
          <t>Plena Total 6</t>
        </is>
      </c>
      <c r="D176" s="170" t="n">
        <v>89.5</v>
      </c>
      <c r="E176" s="5" t="n"/>
      <c r="F176" s="5" t="n"/>
      <c r="G176" s="5" t="n"/>
      <c r="H176" s="5" t="n"/>
      <c r="I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BD176" s="5" t="n"/>
      <c r="BE176" s="5" t="n"/>
      <c r="BJ176" s="5" t="n"/>
      <c r="BK176" s="5" t="n"/>
      <c r="BP176" s="5" t="n"/>
      <c r="BQ176" s="5" t="n"/>
      <c r="BV176" s="5" t="n"/>
      <c r="BW176" s="5" t="n"/>
      <c r="BX176" s="5" t="n"/>
      <c r="BY176" s="5" t="n"/>
      <c r="BZ176" s="5" t="n"/>
      <c r="CA176" s="5" t="n"/>
      <c r="CF176" s="5" t="n"/>
    </row>
    <row r="177" ht="16.5" customHeight="1" s="241">
      <c r="A177" s="171" t="n">
        <v>25</v>
      </c>
      <c r="B177" s="171" t="n">
        <v>44</v>
      </c>
      <c r="C177" s="171" t="inlineStr">
        <is>
          <t>Plena Total 6</t>
        </is>
      </c>
      <c r="D177" s="170" t="n">
        <v>111</v>
      </c>
      <c r="E177" s="5" t="n"/>
      <c r="F177" s="5" t="n"/>
      <c r="G177" s="5" t="n"/>
      <c r="H177" s="5" t="n"/>
      <c r="I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BD177" s="5" t="n"/>
      <c r="BE177" s="5" t="n"/>
      <c r="BJ177" s="5" t="n"/>
      <c r="BK177" s="5" t="n"/>
      <c r="BP177" s="5" t="n"/>
      <c r="BQ177" s="5" t="n"/>
      <c r="BV177" s="5" t="n"/>
      <c r="BW177" s="5" t="n"/>
      <c r="BX177" s="5" t="n"/>
      <c r="BY177" s="5" t="n"/>
      <c r="BZ177" s="5" t="n"/>
      <c r="CA177" s="5" t="n"/>
      <c r="CF177" s="5" t="n"/>
    </row>
    <row r="178" ht="16.5" customHeight="1" s="241">
      <c r="A178" s="171" t="n">
        <v>45</v>
      </c>
      <c r="B178" s="171" t="n">
        <v>54</v>
      </c>
      <c r="C178" s="171" t="inlineStr">
        <is>
          <t>Plena Total 6</t>
        </is>
      </c>
      <c r="D178" s="170" t="n">
        <v>137</v>
      </c>
      <c r="E178" s="5" t="n"/>
      <c r="F178" s="5" t="n"/>
      <c r="G178" s="5" t="n"/>
      <c r="H178" s="5" t="n"/>
      <c r="I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BD178" s="5" t="n"/>
      <c r="BE178" s="5" t="n"/>
      <c r="BJ178" s="5" t="n"/>
      <c r="BK178" s="5" t="n"/>
      <c r="BP178" s="5" t="n"/>
      <c r="BQ178" s="5" t="n"/>
      <c r="BV178" s="5" t="n"/>
      <c r="BW178" s="5" t="n"/>
      <c r="BX178" s="5" t="n"/>
      <c r="BY178" s="5" t="n"/>
      <c r="BZ178" s="5" t="n"/>
      <c r="CA178" s="5" t="n"/>
      <c r="CF178" s="5" t="n"/>
    </row>
    <row r="179" ht="16.5" customHeight="1" s="241">
      <c r="A179" s="171" t="n">
        <v>55</v>
      </c>
      <c r="B179" s="171" t="n">
        <v>59</v>
      </c>
      <c r="C179" s="171" t="inlineStr">
        <is>
          <t>Plena Total 6</t>
        </is>
      </c>
      <c r="D179" s="170" t="n">
        <v>192</v>
      </c>
      <c r="E179" s="5" t="n"/>
      <c r="F179" s="5" t="n"/>
      <c r="G179" s="5" t="n"/>
      <c r="H179" s="5" t="n"/>
      <c r="I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BD179" s="5" t="n"/>
      <c r="BE179" s="5" t="n"/>
      <c r="BJ179" s="5" t="n"/>
      <c r="BK179" s="5" t="n"/>
      <c r="BP179" s="5" t="n"/>
      <c r="BQ179" s="5" t="n"/>
      <c r="BV179" s="5" t="n"/>
      <c r="BW179" s="5" t="n"/>
      <c r="BX179" s="5" t="n"/>
      <c r="BY179" s="5" t="n"/>
      <c r="BZ179" s="5" t="n"/>
      <c r="CA179" s="5" t="n"/>
      <c r="CF179" s="5" t="n"/>
    </row>
    <row r="180" ht="16.5" customHeight="1" s="241">
      <c r="A180" s="171" t="n">
        <v>60</v>
      </c>
      <c r="B180" s="171" t="n">
        <v>62</v>
      </c>
      <c r="C180" s="171" t="inlineStr">
        <is>
          <t>Plena Total 6</t>
        </is>
      </c>
      <c r="D180" s="170" t="n">
        <v>247</v>
      </c>
      <c r="E180" s="5" t="n"/>
      <c r="F180" s="5" t="n"/>
      <c r="G180" s="5" t="n"/>
      <c r="H180" s="5" t="n"/>
      <c r="I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BD180" s="5" t="n"/>
      <c r="BE180" s="5" t="n"/>
      <c r="BJ180" s="5" t="n"/>
      <c r="BK180" s="5" t="n"/>
      <c r="BP180" s="5" t="n"/>
      <c r="BQ180" s="5" t="n"/>
      <c r="BV180" s="5" t="n"/>
      <c r="BW180" s="5" t="n"/>
      <c r="BX180" s="5" t="n"/>
      <c r="BY180" s="5" t="n"/>
      <c r="BZ180" s="5" t="n"/>
      <c r="CA180" s="5" t="n"/>
      <c r="CF180" s="5" t="n"/>
    </row>
    <row r="181" ht="16.5" customHeight="1" s="241">
      <c r="A181" s="171" t="n">
        <v>63</v>
      </c>
      <c r="B181" s="171" t="n">
        <v>120</v>
      </c>
      <c r="C181" s="171" t="inlineStr">
        <is>
          <t>Plena Total 6</t>
        </is>
      </c>
      <c r="D181" s="170" t="n">
        <v>318</v>
      </c>
      <c r="E181" s="5" t="n"/>
      <c r="F181" s="5" t="n"/>
      <c r="G181" s="5" t="n"/>
      <c r="H181" s="5" t="n"/>
      <c r="I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BD181" s="5" t="n"/>
      <c r="BE181" s="5" t="n"/>
      <c r="BJ181" s="5" t="n"/>
      <c r="BK181" s="5" t="n"/>
      <c r="BP181" s="5" t="n"/>
      <c r="BQ181" s="5" t="n"/>
      <c r="BV181" s="5" t="n"/>
      <c r="BW181" s="5" t="n"/>
      <c r="BX181" s="5" t="n"/>
      <c r="BY181" s="5" t="n"/>
      <c r="BZ181" s="5" t="n"/>
      <c r="CA181" s="5" t="n"/>
      <c r="CF181" s="5" t="n"/>
    </row>
    <row r="182" ht="16.5" customHeight="1" s="241">
      <c r="A182" s="171" t="n">
        <v>0</v>
      </c>
      <c r="B182" s="171" t="n">
        <v>44</v>
      </c>
      <c r="C182" s="171" t="inlineStr">
        <is>
          <t>Negocios CIF 1</t>
        </is>
      </c>
      <c r="D182" s="170" t="n">
        <v>51</v>
      </c>
      <c r="E182" s="5" t="n"/>
      <c r="F182" s="5" t="n"/>
      <c r="G182" s="5" t="n"/>
      <c r="H182" s="5" t="n"/>
      <c r="I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BD182" s="5" t="n"/>
      <c r="BE182" s="5" t="n"/>
      <c r="BJ182" s="5" t="n"/>
      <c r="BK182" s="5" t="n"/>
      <c r="BP182" s="5" t="n"/>
      <c r="BQ182" s="5" t="n"/>
      <c r="BV182" s="5" t="n"/>
      <c r="BW182" s="5" t="n"/>
      <c r="BX182" s="5" t="n"/>
      <c r="BY182" s="5" t="n"/>
      <c r="BZ182" s="5" t="n"/>
      <c r="CA182" s="5" t="n"/>
      <c r="CF182" s="5" t="n"/>
    </row>
    <row r="183" ht="16.5" customHeight="1" s="241">
      <c r="A183" s="171" t="n">
        <v>45</v>
      </c>
      <c r="B183" s="171" t="n">
        <v>54</v>
      </c>
      <c r="C183" s="171" t="inlineStr">
        <is>
          <t>Negocios CIF 1</t>
        </is>
      </c>
      <c r="D183" s="170" t="n">
        <v>59</v>
      </c>
      <c r="E183" s="5" t="n"/>
      <c r="F183" s="5" t="n"/>
      <c r="G183" s="5" t="n"/>
      <c r="H183" s="5" t="n"/>
      <c r="I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BD183" s="5" t="n"/>
      <c r="BE183" s="5" t="n"/>
      <c r="BJ183" s="5" t="n"/>
      <c r="BK183" s="5" t="n"/>
      <c r="BP183" s="5" t="n"/>
      <c r="BQ183" s="5" t="n"/>
      <c r="BV183" s="5" t="n"/>
      <c r="BW183" s="5" t="n"/>
      <c r="BX183" s="5" t="n"/>
      <c r="BY183" s="5" t="n"/>
      <c r="BZ183" s="5" t="n"/>
      <c r="CA183" s="5" t="n"/>
      <c r="CF183" s="5" t="n"/>
    </row>
    <row r="184" ht="16.5" customHeight="1" s="241">
      <c r="A184" s="171" t="n">
        <v>55</v>
      </c>
      <c r="B184" s="171" t="n">
        <v>59</v>
      </c>
      <c r="C184" s="171" t="inlineStr">
        <is>
          <t>Negocios CIF 1</t>
        </is>
      </c>
      <c r="D184" s="170" t="n">
        <v>76</v>
      </c>
      <c r="E184" s="5" t="n"/>
      <c r="F184" s="5" t="n"/>
      <c r="G184" s="5" t="n"/>
      <c r="H184" s="5" t="n"/>
      <c r="I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BD184" s="5" t="n"/>
      <c r="BE184" s="5" t="n"/>
      <c r="BJ184" s="5" t="n"/>
      <c r="BK184" s="5" t="n"/>
      <c r="BP184" s="5" t="n"/>
      <c r="BQ184" s="5" t="n"/>
      <c r="BV184" s="5" t="n"/>
      <c r="BW184" s="5" t="n"/>
      <c r="BX184" s="5" t="n"/>
      <c r="BY184" s="5" t="n"/>
      <c r="BZ184" s="5" t="n"/>
      <c r="CA184" s="5" t="n"/>
      <c r="CF184" s="5" t="n"/>
    </row>
    <row r="185" ht="16.5" customHeight="1" s="241">
      <c r="A185" s="171" t="n">
        <v>60</v>
      </c>
      <c r="B185" s="171" t="n">
        <v>67</v>
      </c>
      <c r="C185" s="171" t="inlineStr">
        <is>
          <t>Negocios CIF 1</t>
        </is>
      </c>
      <c r="D185" s="170" t="n">
        <v>97</v>
      </c>
      <c r="E185" s="5" t="n"/>
      <c r="F185" s="5" t="n"/>
      <c r="G185" s="5" t="n"/>
      <c r="H185" s="5" t="n"/>
      <c r="I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BD185" s="5" t="n"/>
      <c r="BE185" s="5" t="n"/>
      <c r="BJ185" s="5" t="n"/>
      <c r="BK185" s="5" t="n"/>
      <c r="BP185" s="5" t="n"/>
      <c r="BQ185" s="5" t="n"/>
      <c r="BV185" s="5" t="n"/>
      <c r="BW185" s="5" t="n"/>
      <c r="BX185" s="5" t="n"/>
      <c r="BY185" s="5" t="n"/>
      <c r="BZ185" s="5" t="n"/>
      <c r="CA185" s="5" t="n"/>
      <c r="CF185" s="5" t="n"/>
    </row>
    <row r="186" ht="16.5" customHeight="1" s="241">
      <c r="A186" s="171" t="n">
        <v>68</v>
      </c>
      <c r="B186" s="171" t="n">
        <v>120</v>
      </c>
      <c r="C186" s="171" t="inlineStr">
        <is>
          <t>Negocios CIF 1</t>
        </is>
      </c>
      <c r="D186" s="170" t="n">
        <v>160</v>
      </c>
      <c r="E186" s="5" t="n"/>
      <c r="F186" s="5" t="n"/>
      <c r="G186" s="5" t="n"/>
      <c r="H186" s="5" t="n"/>
      <c r="I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BD186" s="5" t="n"/>
      <c r="BE186" s="5" t="n"/>
      <c r="BJ186" s="5" t="n"/>
      <c r="BK186" s="5" t="n"/>
      <c r="BP186" s="5" t="n"/>
      <c r="BQ186" s="5" t="n"/>
      <c r="BV186" s="5" t="n"/>
      <c r="BW186" s="5" t="n"/>
      <c r="BX186" s="5" t="n"/>
      <c r="BY186" s="5" t="n"/>
      <c r="BZ186" s="5" t="n"/>
      <c r="CA186" s="5" t="n"/>
      <c r="CF186" s="5" t="n"/>
    </row>
    <row r="187" ht="16.5" customHeight="1" s="241">
      <c r="A187" s="171" t="n">
        <v>0</v>
      </c>
      <c r="B187" s="171" t="n">
        <v>44</v>
      </c>
      <c r="C187" s="171" t="inlineStr">
        <is>
          <t>Negocios CIF 2</t>
        </is>
      </c>
      <c r="D187" s="170" t="n">
        <v>52</v>
      </c>
      <c r="E187" s="5" t="n"/>
      <c r="F187" s="5" t="n"/>
      <c r="G187" s="5" t="n"/>
      <c r="H187" s="5" t="n"/>
      <c r="I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BD187" s="5" t="n"/>
      <c r="BE187" s="5" t="n"/>
      <c r="BJ187" s="5" t="n"/>
      <c r="BK187" s="5" t="n"/>
      <c r="BP187" s="5" t="n"/>
      <c r="BQ187" s="5" t="n"/>
      <c r="BV187" s="5" t="n"/>
      <c r="BW187" s="5" t="n"/>
      <c r="BX187" s="5" t="n"/>
      <c r="BY187" s="5" t="n"/>
      <c r="BZ187" s="5" t="n"/>
      <c r="CA187" s="5" t="n"/>
      <c r="CF187" s="5" t="n"/>
    </row>
    <row r="188" ht="16.5" customHeight="1" s="241">
      <c r="A188" s="171" t="n">
        <v>45</v>
      </c>
      <c r="B188" s="171" t="n">
        <v>54</v>
      </c>
      <c r="C188" s="171" t="inlineStr">
        <is>
          <t>Negocios CIF 2</t>
        </is>
      </c>
      <c r="D188" s="170" t="n">
        <v>61.5</v>
      </c>
      <c r="E188" s="5" t="n"/>
      <c r="F188" s="5" t="n"/>
      <c r="G188" s="5" t="n"/>
      <c r="H188" s="5" t="n"/>
      <c r="I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BD188" s="5" t="n"/>
      <c r="BE188" s="5" t="n"/>
      <c r="BJ188" s="5" t="n"/>
      <c r="BK188" s="5" t="n"/>
      <c r="BP188" s="5" t="n"/>
      <c r="BQ188" s="5" t="n"/>
      <c r="BV188" s="5" t="n"/>
      <c r="BW188" s="5" t="n"/>
      <c r="BX188" s="5" t="n"/>
      <c r="BY188" s="5" t="n"/>
      <c r="BZ188" s="5" t="n"/>
      <c r="CA188" s="5" t="n"/>
      <c r="CF188" s="5" t="n"/>
    </row>
    <row r="189" ht="16.5" customHeight="1" s="241">
      <c r="A189" s="171" t="n">
        <v>55</v>
      </c>
      <c r="B189" s="171" t="n">
        <v>59</v>
      </c>
      <c r="C189" s="171" t="inlineStr">
        <is>
          <t>Negocios CIF 2</t>
        </is>
      </c>
      <c r="D189" s="170" t="n">
        <v>81</v>
      </c>
      <c r="E189" s="5" t="n"/>
      <c r="F189" s="5" t="n"/>
      <c r="G189" s="5" t="n"/>
      <c r="H189" s="5" t="n"/>
      <c r="I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BD189" s="5" t="n"/>
      <c r="BE189" s="5" t="n"/>
      <c r="BJ189" s="5" t="n"/>
      <c r="BK189" s="5" t="n"/>
      <c r="BP189" s="5" t="n"/>
      <c r="BQ189" s="5" t="n"/>
      <c r="BV189" s="5" t="n"/>
      <c r="BW189" s="5" t="n"/>
      <c r="BX189" s="5" t="n"/>
      <c r="BY189" s="5" t="n"/>
      <c r="BZ189" s="5" t="n"/>
      <c r="CA189" s="5" t="n"/>
      <c r="CF189" s="5" t="n"/>
    </row>
    <row r="190" ht="16.5" customHeight="1" s="241">
      <c r="A190" s="171" t="n">
        <v>60</v>
      </c>
      <c r="B190" s="171" t="n">
        <v>67</v>
      </c>
      <c r="C190" s="171" t="inlineStr">
        <is>
          <t>Negocios CIF 2</t>
        </is>
      </c>
      <c r="D190" s="170" t="n">
        <v>105</v>
      </c>
      <c r="E190" s="5" t="n"/>
      <c r="F190" s="5" t="n"/>
      <c r="G190" s="5" t="n"/>
      <c r="H190" s="5" t="n"/>
      <c r="I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BD190" s="5" t="n"/>
      <c r="BE190" s="5" t="n"/>
      <c r="BJ190" s="5" t="n"/>
      <c r="BK190" s="5" t="n"/>
      <c r="BP190" s="5" t="n"/>
      <c r="BQ190" s="5" t="n"/>
      <c r="BV190" s="5" t="n"/>
      <c r="BW190" s="5" t="n"/>
      <c r="BX190" s="5" t="n"/>
      <c r="BY190" s="5" t="n"/>
      <c r="BZ190" s="5" t="n"/>
      <c r="CA190" s="5" t="n"/>
      <c r="CF190" s="5" t="n"/>
    </row>
    <row r="191" ht="16.5" customHeight="1" s="241">
      <c r="A191" s="171" t="n">
        <v>68</v>
      </c>
      <c r="B191" s="171" t="n">
        <v>120</v>
      </c>
      <c r="C191" s="171" t="inlineStr">
        <is>
          <t>Negocios CIF 2</t>
        </is>
      </c>
      <c r="D191" s="170" t="n">
        <v>169</v>
      </c>
      <c r="E191" s="5" t="n"/>
      <c r="F191" s="5" t="n"/>
      <c r="G191" s="5" t="n"/>
      <c r="H191" s="5" t="n"/>
      <c r="I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BD191" s="5" t="n"/>
      <c r="BE191" s="5" t="n"/>
      <c r="BJ191" s="5" t="n"/>
      <c r="BK191" s="5" t="n"/>
      <c r="BP191" s="5" t="n"/>
      <c r="BQ191" s="5" t="n"/>
      <c r="BV191" s="5" t="n"/>
      <c r="BW191" s="5" t="n"/>
      <c r="BX191" s="5" t="n"/>
      <c r="BY191" s="5" t="n"/>
      <c r="BZ191" s="5" t="n"/>
      <c r="CA191" s="5" t="n"/>
      <c r="CF191" s="5" t="n"/>
    </row>
    <row r="192" ht="16.5" customHeight="1" s="241">
      <c r="A192" s="171" t="n">
        <v>0</v>
      </c>
      <c r="B192" s="171" t="n">
        <v>44</v>
      </c>
      <c r="C192" s="171" t="inlineStr">
        <is>
          <t>Negocios CIF 3</t>
        </is>
      </c>
      <c r="D192" s="170" t="n">
        <v>53</v>
      </c>
      <c r="E192" s="5" t="n"/>
      <c r="F192" s="5" t="n"/>
      <c r="G192" s="5" t="n"/>
      <c r="H192" s="5" t="n"/>
      <c r="I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BD192" s="5" t="n"/>
      <c r="BE192" s="5" t="n"/>
      <c r="BJ192" s="5" t="n"/>
      <c r="BK192" s="5" t="n"/>
      <c r="BP192" s="5" t="n"/>
      <c r="BQ192" s="5" t="n"/>
      <c r="BV192" s="5" t="n"/>
      <c r="BW192" s="5" t="n"/>
      <c r="BX192" s="5" t="n"/>
      <c r="BY192" s="5" t="n"/>
      <c r="BZ192" s="5" t="n"/>
      <c r="CA192" s="5" t="n"/>
      <c r="CF192" s="5" t="n"/>
    </row>
    <row r="193" ht="16.5" customHeight="1" s="241">
      <c r="A193" s="171" t="n">
        <v>45</v>
      </c>
      <c r="B193" s="171" t="n">
        <v>54</v>
      </c>
      <c r="C193" s="171" t="inlineStr">
        <is>
          <t>Negocios CIF 3</t>
        </is>
      </c>
      <c r="D193" s="170" t="n">
        <v>62</v>
      </c>
      <c r="E193" s="5" t="n"/>
      <c r="F193" s="5" t="n"/>
      <c r="G193" s="5" t="n"/>
      <c r="H193" s="5" t="n"/>
      <c r="I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BD193" s="5" t="n"/>
      <c r="BE193" s="5" t="n"/>
      <c r="BJ193" s="5" t="n"/>
      <c r="BK193" s="5" t="n"/>
      <c r="BP193" s="5" t="n"/>
      <c r="BQ193" s="5" t="n"/>
      <c r="BV193" s="5" t="n"/>
      <c r="BW193" s="5" t="n"/>
      <c r="BX193" s="5" t="n"/>
      <c r="BY193" s="5" t="n"/>
      <c r="BZ193" s="5" t="n"/>
      <c r="CA193" s="5" t="n"/>
      <c r="CF193" s="5" t="n"/>
    </row>
    <row r="194" ht="16.5" customHeight="1" s="241">
      <c r="A194" s="171" t="n">
        <v>55</v>
      </c>
      <c r="B194" s="171" t="n">
        <v>59</v>
      </c>
      <c r="C194" s="171" t="inlineStr">
        <is>
          <t>Negocios CIF 3</t>
        </is>
      </c>
      <c r="D194" s="170" t="n">
        <v>82</v>
      </c>
      <c r="E194" s="5" t="n"/>
      <c r="F194" s="5" t="n"/>
      <c r="G194" s="5" t="n"/>
      <c r="H194" s="5" t="n"/>
      <c r="I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BD194" s="5" t="n"/>
      <c r="BE194" s="5" t="n"/>
      <c r="BJ194" s="5" t="n"/>
      <c r="BK194" s="5" t="n"/>
      <c r="BP194" s="5" t="n"/>
      <c r="BQ194" s="5" t="n"/>
      <c r="BV194" s="5" t="n"/>
      <c r="BW194" s="5" t="n"/>
      <c r="BX194" s="5" t="n"/>
      <c r="BY194" s="5" t="n"/>
      <c r="BZ194" s="5" t="n"/>
      <c r="CA194" s="5" t="n"/>
      <c r="CF194" s="5" t="n"/>
    </row>
    <row r="195" ht="16.5" customHeight="1" s="241">
      <c r="A195" s="171" t="n">
        <v>60</v>
      </c>
      <c r="B195" s="171" t="n">
        <v>67</v>
      </c>
      <c r="C195" s="171" t="inlineStr">
        <is>
          <t>Negocios CIF 3</t>
        </is>
      </c>
      <c r="D195" s="170" t="n">
        <v>105.5</v>
      </c>
      <c r="E195" s="5" t="n"/>
      <c r="F195" s="5" t="n"/>
      <c r="G195" s="5" t="n"/>
      <c r="H195" s="5" t="n"/>
      <c r="I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BD195" s="5" t="n"/>
      <c r="BE195" s="5" t="n"/>
      <c r="BJ195" s="5" t="n"/>
      <c r="BK195" s="5" t="n"/>
      <c r="BP195" s="5" t="n"/>
      <c r="BQ195" s="5" t="n"/>
      <c r="BV195" s="5" t="n"/>
      <c r="BW195" s="5" t="n"/>
      <c r="BX195" s="5" t="n"/>
      <c r="BY195" s="5" t="n"/>
      <c r="BZ195" s="5" t="n"/>
      <c r="CA195" s="5" t="n"/>
      <c r="CF195" s="5" t="n"/>
    </row>
    <row r="196" ht="16.5" customHeight="1" s="241">
      <c r="A196" s="171" t="n">
        <v>68</v>
      </c>
      <c r="B196" s="171" t="n">
        <v>120</v>
      </c>
      <c r="C196" s="171" t="inlineStr">
        <is>
          <t>Negocios CIF 3</t>
        </is>
      </c>
      <c r="D196" s="170" t="n">
        <v>170</v>
      </c>
      <c r="E196" s="5" t="n"/>
      <c r="F196" s="5" t="n"/>
      <c r="G196" s="5" t="n"/>
      <c r="H196" s="5" t="n"/>
      <c r="I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BD196" s="5" t="n"/>
      <c r="BE196" s="5" t="n"/>
      <c r="BJ196" s="5" t="n"/>
      <c r="BK196" s="5" t="n"/>
      <c r="BP196" s="5" t="n"/>
      <c r="BQ196" s="5" t="n"/>
      <c r="BV196" s="5" t="n"/>
      <c r="BW196" s="5" t="n"/>
      <c r="BX196" s="5" t="n"/>
      <c r="BY196" s="5" t="n"/>
      <c r="BZ196" s="5" t="n"/>
      <c r="CA196" s="5" t="n"/>
      <c r="CF196" s="5" t="n"/>
    </row>
    <row r="197" ht="16.5" customHeight="1" s="241">
      <c r="A197" s="171" t="n">
        <v>0</v>
      </c>
      <c r="B197" s="171" t="n">
        <v>44</v>
      </c>
      <c r="C197" s="171" t="inlineStr">
        <is>
          <t>Negocios CIF 4</t>
        </is>
      </c>
      <c r="D197" s="170" t="n">
        <v>54</v>
      </c>
      <c r="E197" s="5" t="n"/>
      <c r="F197" s="5" t="n"/>
      <c r="G197" s="5" t="n"/>
      <c r="H197" s="5" t="n"/>
      <c r="I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BD197" s="5" t="n"/>
      <c r="BE197" s="5" t="n"/>
      <c r="BJ197" s="5" t="n"/>
      <c r="BK197" s="5" t="n"/>
      <c r="BP197" s="5" t="n"/>
      <c r="BQ197" s="5" t="n"/>
      <c r="BV197" s="5" t="n"/>
      <c r="BW197" s="5" t="n"/>
      <c r="BX197" s="5" t="n"/>
      <c r="BY197" s="5" t="n"/>
      <c r="BZ197" s="5" t="n"/>
      <c r="CA197" s="5" t="n"/>
      <c r="CF197" s="5" t="n"/>
    </row>
    <row r="198" ht="16.5" customHeight="1" s="241">
      <c r="A198" s="171" t="n">
        <v>45</v>
      </c>
      <c r="B198" s="171" t="n">
        <v>54</v>
      </c>
      <c r="C198" s="171" t="inlineStr">
        <is>
          <t>Negocios CIF 4</t>
        </is>
      </c>
      <c r="D198" s="170" t="n">
        <v>63.5</v>
      </c>
      <c r="E198" s="5" t="n"/>
      <c r="F198" s="5" t="n"/>
      <c r="G198" s="5" t="n"/>
      <c r="H198" s="5" t="n"/>
      <c r="I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BD198" s="5" t="n"/>
      <c r="BE198" s="5" t="n"/>
      <c r="BJ198" s="5" t="n"/>
      <c r="BK198" s="5" t="n"/>
      <c r="BP198" s="5" t="n"/>
      <c r="BQ198" s="5" t="n"/>
      <c r="BV198" s="5" t="n"/>
      <c r="BW198" s="5" t="n"/>
      <c r="BX198" s="5" t="n"/>
      <c r="BY198" s="5" t="n"/>
      <c r="BZ198" s="5" t="n"/>
      <c r="CA198" s="5" t="n"/>
      <c r="CF198" s="5" t="n"/>
    </row>
    <row r="199" ht="16.5" customHeight="1" s="241">
      <c r="A199" s="171" t="n">
        <v>55</v>
      </c>
      <c r="B199" s="171" t="n">
        <v>59</v>
      </c>
      <c r="C199" s="171" t="inlineStr">
        <is>
          <t>Negocios CIF 4</t>
        </is>
      </c>
      <c r="D199" s="170" t="n">
        <v>85.5</v>
      </c>
      <c r="E199" s="5" t="n"/>
      <c r="F199" s="5" t="n"/>
      <c r="G199" s="5" t="n"/>
      <c r="H199" s="5" t="n"/>
      <c r="I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BD199" s="5" t="n"/>
      <c r="BE199" s="5" t="n"/>
      <c r="BJ199" s="5" t="n"/>
      <c r="BK199" s="5" t="n"/>
      <c r="BP199" s="5" t="n"/>
      <c r="BQ199" s="5" t="n"/>
      <c r="BV199" s="5" t="n"/>
      <c r="BW199" s="5" t="n"/>
      <c r="BX199" s="5" t="n"/>
      <c r="BY199" s="5" t="n"/>
      <c r="BZ199" s="5" t="n"/>
      <c r="CA199" s="5" t="n"/>
      <c r="CF199" s="5" t="n"/>
    </row>
    <row r="200" ht="16.5" customHeight="1" s="241">
      <c r="A200" s="171" t="n">
        <v>60</v>
      </c>
      <c r="B200" s="171" t="n">
        <v>67</v>
      </c>
      <c r="C200" s="171" t="inlineStr">
        <is>
          <t>Negocios CIF 4</t>
        </is>
      </c>
      <c r="D200" s="170" t="n">
        <v>109</v>
      </c>
      <c r="E200" s="5" t="n"/>
      <c r="F200" s="5" t="n"/>
      <c r="G200" s="5" t="n"/>
      <c r="H200" s="5" t="n"/>
      <c r="I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BD200" s="5" t="n"/>
      <c r="BE200" s="5" t="n"/>
      <c r="BJ200" s="5" t="n"/>
      <c r="BK200" s="5" t="n"/>
      <c r="BP200" s="5" t="n"/>
      <c r="BQ200" s="5" t="n"/>
      <c r="BV200" s="5" t="n"/>
      <c r="BW200" s="5" t="n"/>
      <c r="BX200" s="5" t="n"/>
      <c r="BY200" s="5" t="n"/>
      <c r="BZ200" s="5" t="n"/>
      <c r="CA200" s="5" t="n"/>
      <c r="CF200" s="5" t="n"/>
    </row>
    <row r="201" ht="16.5" customHeight="1" s="241">
      <c r="A201" s="171" t="n">
        <v>68</v>
      </c>
      <c r="B201" s="171" t="n">
        <v>120</v>
      </c>
      <c r="C201" s="171" t="inlineStr">
        <is>
          <t>Negocios CIF 4</t>
        </is>
      </c>
      <c r="D201" s="170" t="n">
        <v>179</v>
      </c>
      <c r="E201" s="5" t="n"/>
      <c r="F201" s="5" t="n"/>
      <c r="G201" s="5" t="n"/>
      <c r="H201" s="5" t="n"/>
      <c r="I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BD201" s="5" t="n"/>
      <c r="BE201" s="5" t="n"/>
      <c r="BJ201" s="5" t="n"/>
      <c r="BK201" s="5" t="n"/>
      <c r="BP201" s="5" t="n"/>
      <c r="BQ201" s="5" t="n"/>
      <c r="BV201" s="5" t="n"/>
      <c r="BW201" s="5" t="n"/>
      <c r="BX201" s="5" t="n"/>
      <c r="BY201" s="5" t="n"/>
      <c r="BZ201" s="5" t="n"/>
      <c r="CA201" s="5" t="n"/>
      <c r="CF201" s="5" t="n"/>
    </row>
    <row r="202" ht="16.5" customHeight="1" s="241">
      <c r="A202" s="171" t="n">
        <v>0</v>
      </c>
      <c r="B202" s="171" t="n">
        <v>44</v>
      </c>
      <c r="C202" s="171" t="inlineStr">
        <is>
          <t>Negocios CIF 5</t>
        </is>
      </c>
      <c r="D202" s="170" t="n">
        <v>55</v>
      </c>
      <c r="E202" s="5" t="n"/>
      <c r="F202" s="5" t="n"/>
      <c r="G202" s="5" t="n"/>
      <c r="H202" s="5" t="n"/>
      <c r="I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BD202" s="5" t="n"/>
      <c r="BE202" s="5" t="n"/>
      <c r="BJ202" s="5" t="n"/>
      <c r="BK202" s="5" t="n"/>
      <c r="BP202" s="5" t="n"/>
      <c r="BQ202" s="5" t="n"/>
      <c r="BV202" s="5" t="n"/>
      <c r="BW202" s="5" t="n"/>
      <c r="BX202" s="5" t="n"/>
      <c r="BY202" s="5" t="n"/>
      <c r="BZ202" s="5" t="n"/>
      <c r="CA202" s="5" t="n"/>
      <c r="CF202" s="5" t="n"/>
    </row>
    <row r="203" ht="16.5" customHeight="1" s="241">
      <c r="A203" s="171" t="n">
        <v>45</v>
      </c>
      <c r="B203" s="171" t="n">
        <v>54</v>
      </c>
      <c r="C203" s="171" t="inlineStr">
        <is>
          <t>Negocios CIF 5</t>
        </is>
      </c>
      <c r="D203" s="170" t="n">
        <v>65.5</v>
      </c>
      <c r="E203" s="5" t="n"/>
      <c r="F203" s="5" t="n"/>
      <c r="G203" s="5" t="n"/>
      <c r="H203" s="5" t="n"/>
      <c r="I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BD203" s="5" t="n"/>
      <c r="BE203" s="5" t="n"/>
      <c r="BJ203" s="5" t="n"/>
      <c r="BK203" s="5" t="n"/>
      <c r="BP203" s="5" t="n"/>
      <c r="BQ203" s="5" t="n"/>
      <c r="BV203" s="5" t="n"/>
      <c r="BW203" s="5" t="n"/>
      <c r="BX203" s="5" t="n"/>
      <c r="BY203" s="5" t="n"/>
      <c r="BZ203" s="5" t="n"/>
      <c r="CA203" s="5" t="n"/>
      <c r="CF203" s="5" t="n"/>
    </row>
    <row r="204" ht="16.5" customHeight="1" s="241">
      <c r="A204" s="171" t="n">
        <v>55</v>
      </c>
      <c r="B204" s="171" t="n">
        <v>59</v>
      </c>
      <c r="C204" s="171" t="inlineStr">
        <is>
          <t>Negocios CIF 5</t>
        </is>
      </c>
      <c r="D204" s="170" t="n">
        <v>90</v>
      </c>
      <c r="E204" s="5" t="n"/>
      <c r="F204" s="5" t="n"/>
      <c r="G204" s="5" t="n"/>
      <c r="H204" s="5" t="n"/>
      <c r="I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BD204" s="5" t="n"/>
      <c r="BE204" s="5" t="n"/>
      <c r="BJ204" s="5" t="n"/>
      <c r="BK204" s="5" t="n"/>
      <c r="BP204" s="5" t="n"/>
      <c r="BQ204" s="5" t="n"/>
      <c r="BV204" s="5" t="n"/>
      <c r="BW204" s="5" t="n"/>
      <c r="BX204" s="5" t="n"/>
      <c r="BY204" s="5" t="n"/>
      <c r="BZ204" s="5" t="n"/>
      <c r="CA204" s="5" t="n"/>
      <c r="CF204" s="5" t="n"/>
    </row>
    <row r="205" ht="16.5" customHeight="1" s="241">
      <c r="A205" s="171" t="n">
        <v>60</v>
      </c>
      <c r="B205" s="171" t="n">
        <v>67</v>
      </c>
      <c r="C205" s="171" t="inlineStr">
        <is>
          <t>Negocios CIF 5</t>
        </is>
      </c>
      <c r="D205" s="170" t="n">
        <v>112</v>
      </c>
      <c r="E205" s="5" t="n"/>
      <c r="F205" s="5" t="n"/>
      <c r="G205" s="5" t="n"/>
      <c r="H205" s="5" t="n"/>
      <c r="I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BD205" s="5" t="n"/>
      <c r="BE205" s="5" t="n"/>
      <c r="BJ205" s="5" t="n"/>
      <c r="BK205" s="5" t="n"/>
      <c r="BP205" s="5" t="n"/>
      <c r="BQ205" s="5" t="n"/>
      <c r="BV205" s="5" t="n"/>
      <c r="BW205" s="5" t="n"/>
      <c r="BX205" s="5" t="n"/>
      <c r="BY205" s="5" t="n"/>
      <c r="BZ205" s="5" t="n"/>
      <c r="CA205" s="5" t="n"/>
      <c r="CF205" s="5" t="n"/>
    </row>
    <row r="206" ht="16.5" customHeight="1" s="241">
      <c r="A206" s="171" t="n">
        <v>68</v>
      </c>
      <c r="B206" s="171" t="n">
        <v>120</v>
      </c>
      <c r="C206" s="171" t="inlineStr">
        <is>
          <t>Negocios CIF 5</t>
        </is>
      </c>
      <c r="D206" s="170" t="n">
        <v>185</v>
      </c>
      <c r="E206" s="5" t="n"/>
      <c r="F206" s="5" t="n"/>
      <c r="G206" s="5" t="n"/>
      <c r="H206" s="5" t="n"/>
      <c r="I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BD206" s="5" t="n"/>
      <c r="BE206" s="5" t="n"/>
      <c r="BJ206" s="5" t="n"/>
      <c r="BK206" s="5" t="n"/>
      <c r="BP206" s="5" t="n"/>
      <c r="BQ206" s="5" t="n"/>
      <c r="BV206" s="5" t="n"/>
      <c r="BW206" s="5" t="n"/>
      <c r="BX206" s="5" t="n"/>
      <c r="BY206" s="5" t="n"/>
      <c r="BZ206" s="5" t="n"/>
      <c r="CA206" s="5" t="n"/>
      <c r="CF206" s="5" t="n"/>
    </row>
    <row r="207" ht="16.5" customHeight="1" s="241">
      <c r="A207" s="171" t="n">
        <v>0</v>
      </c>
      <c r="B207" s="171" t="n">
        <v>44</v>
      </c>
      <c r="C207" s="171" t="inlineStr">
        <is>
          <t>Negocios CIF 6</t>
        </is>
      </c>
      <c r="D207" s="170" t="n">
        <v>56</v>
      </c>
      <c r="E207" s="5" t="n"/>
      <c r="F207" s="5" t="n"/>
      <c r="G207" s="5" t="n"/>
      <c r="H207" s="5" t="n"/>
      <c r="I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BD207" s="5" t="n"/>
      <c r="BE207" s="5" t="n"/>
      <c r="BJ207" s="5" t="n"/>
      <c r="BK207" s="5" t="n"/>
      <c r="BP207" s="5" t="n"/>
      <c r="BQ207" s="5" t="n"/>
      <c r="BV207" s="5" t="n"/>
      <c r="BW207" s="5" t="n"/>
      <c r="BX207" s="5" t="n"/>
      <c r="BY207" s="5" t="n"/>
      <c r="BZ207" s="5" t="n"/>
      <c r="CA207" s="5" t="n"/>
      <c r="CF207" s="5" t="n"/>
    </row>
    <row r="208" ht="16.5" customHeight="1" s="241">
      <c r="A208" s="171" t="n">
        <v>45</v>
      </c>
      <c r="B208" s="171" t="n">
        <v>54</v>
      </c>
      <c r="C208" s="171" t="inlineStr">
        <is>
          <t>Negocios CIF 6</t>
        </is>
      </c>
      <c r="D208" s="170" t="n">
        <v>66.5</v>
      </c>
      <c r="E208" s="5" t="n"/>
      <c r="F208" s="5" t="n"/>
      <c r="G208" s="5" t="n"/>
      <c r="H208" s="5" t="n"/>
      <c r="I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BD208" s="5" t="n"/>
      <c r="BE208" s="5" t="n"/>
      <c r="BJ208" s="5" t="n"/>
      <c r="BK208" s="5" t="n"/>
      <c r="BP208" s="5" t="n"/>
      <c r="BQ208" s="5" t="n"/>
      <c r="BV208" s="5" t="n"/>
      <c r="BW208" s="5" t="n"/>
      <c r="BX208" s="5" t="n"/>
      <c r="BY208" s="5" t="n"/>
      <c r="BZ208" s="5" t="n"/>
      <c r="CA208" s="5" t="n"/>
      <c r="CF208" s="5" t="n"/>
    </row>
    <row r="209" ht="16.5" customHeight="1" s="241">
      <c r="A209" s="171" t="n">
        <v>55</v>
      </c>
      <c r="B209" s="171" t="n">
        <v>59</v>
      </c>
      <c r="C209" s="171" t="inlineStr">
        <is>
          <t>Negocios CIF 6</t>
        </is>
      </c>
      <c r="D209" s="170" t="n">
        <v>91</v>
      </c>
      <c r="E209" s="5" t="n"/>
      <c r="F209" s="5" t="n"/>
      <c r="G209" s="5" t="n"/>
      <c r="H209" s="5" t="n"/>
      <c r="I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BD209" s="5" t="n"/>
      <c r="BE209" s="5" t="n"/>
      <c r="BJ209" s="5" t="n"/>
      <c r="BK209" s="5" t="n"/>
      <c r="BP209" s="5" t="n"/>
      <c r="BQ209" s="5" t="n"/>
      <c r="BV209" s="5" t="n"/>
      <c r="BW209" s="5" t="n"/>
      <c r="BX209" s="5" t="n"/>
      <c r="BY209" s="5" t="n"/>
      <c r="BZ209" s="5" t="n"/>
      <c r="CA209" s="5" t="n"/>
      <c r="CF209" s="5" t="n"/>
    </row>
    <row r="210" ht="16.5" customHeight="1" s="241">
      <c r="A210" s="171" t="n">
        <v>60</v>
      </c>
      <c r="B210" s="171" t="n">
        <v>67</v>
      </c>
      <c r="C210" s="171" t="inlineStr">
        <is>
          <t>Negocios CIF 6</t>
        </is>
      </c>
      <c r="D210" s="170" t="n">
        <v>113</v>
      </c>
      <c r="E210" s="5" t="n"/>
      <c r="F210" s="5" t="n"/>
      <c r="G210" s="5" t="n"/>
      <c r="H210" s="5" t="n"/>
      <c r="I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BD210" s="5" t="n"/>
      <c r="BE210" s="5" t="n"/>
      <c r="BJ210" s="5" t="n"/>
      <c r="BK210" s="5" t="n"/>
      <c r="BP210" s="5" t="n"/>
      <c r="BQ210" s="5" t="n"/>
      <c r="BV210" s="5" t="n"/>
      <c r="BW210" s="5" t="n"/>
      <c r="BX210" s="5" t="n"/>
      <c r="BY210" s="5" t="n"/>
      <c r="BZ210" s="5" t="n"/>
      <c r="CA210" s="5" t="n"/>
      <c r="CF210" s="5" t="n"/>
    </row>
    <row r="211" ht="16.5" customHeight="1" s="241">
      <c r="A211" s="171" t="n">
        <v>68</v>
      </c>
      <c r="B211" s="171" t="n">
        <v>120</v>
      </c>
      <c r="C211" s="171" t="inlineStr">
        <is>
          <t>Negocios CIF 6</t>
        </is>
      </c>
      <c r="D211" s="170" t="n">
        <v>186</v>
      </c>
      <c r="E211" s="5" t="n"/>
      <c r="F211" s="5" t="n"/>
      <c r="G211" s="5" t="n"/>
      <c r="H211" s="5" t="n"/>
      <c r="I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BD211" s="5" t="n"/>
      <c r="BE211" s="5" t="n"/>
      <c r="BJ211" s="5" t="n"/>
      <c r="BK211" s="5" t="n"/>
      <c r="BP211" s="5" t="n"/>
      <c r="BQ211" s="5" t="n"/>
      <c r="BV211" s="5" t="n"/>
      <c r="BW211" s="5" t="n"/>
      <c r="BX211" s="5" t="n"/>
      <c r="BY211" s="5" t="n"/>
      <c r="BZ211" s="5" t="n"/>
      <c r="CA211" s="5" t="n"/>
      <c r="CF211" s="5" t="n"/>
    </row>
    <row r="212" ht="16.5" customHeight="1" s="241">
      <c r="A212" s="171" t="n">
        <v>0</v>
      </c>
      <c r="B212" s="171" t="n">
        <v>44</v>
      </c>
      <c r="C212" s="171" t="inlineStr">
        <is>
          <t>Extra Negocios CIF 1</t>
        </is>
      </c>
      <c r="D212" s="170" t="n">
        <v>74.5</v>
      </c>
      <c r="E212" s="5" t="n"/>
      <c r="F212" s="5" t="n"/>
      <c r="G212" s="5" t="n"/>
      <c r="H212" s="5" t="n"/>
      <c r="I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BD212" s="5" t="n"/>
      <c r="BE212" s="5" t="n"/>
      <c r="BJ212" s="5" t="n"/>
      <c r="BK212" s="5" t="n"/>
      <c r="BP212" s="5" t="n"/>
      <c r="BQ212" s="5" t="n"/>
      <c r="BV212" s="5" t="n"/>
      <c r="BW212" s="5" t="n"/>
      <c r="BX212" s="5" t="n"/>
      <c r="BY212" s="5" t="n"/>
      <c r="BZ212" s="5" t="n"/>
      <c r="CA212" s="5" t="n"/>
      <c r="CF212" s="5" t="n"/>
    </row>
    <row r="213" ht="16.5" customHeight="1" s="241">
      <c r="A213" s="171" t="n">
        <v>45</v>
      </c>
      <c r="B213" s="171" t="n">
        <v>54</v>
      </c>
      <c r="C213" s="171" t="inlineStr">
        <is>
          <t>Extra Negocios CIF 1</t>
        </is>
      </c>
      <c r="D213" s="170" t="n">
        <v>76.5</v>
      </c>
      <c r="E213" s="5" t="n"/>
      <c r="F213" s="5" t="n"/>
      <c r="G213" s="5" t="n"/>
      <c r="H213" s="5" t="n"/>
      <c r="I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BD213" s="5" t="n"/>
      <c r="BE213" s="5" t="n"/>
      <c r="BJ213" s="5" t="n"/>
      <c r="BK213" s="5" t="n"/>
      <c r="BP213" s="5" t="n"/>
      <c r="BQ213" s="5" t="n"/>
      <c r="BV213" s="5" t="n"/>
      <c r="BW213" s="5" t="n"/>
      <c r="BX213" s="5" t="n"/>
      <c r="BY213" s="5" t="n"/>
      <c r="BZ213" s="5" t="n"/>
      <c r="CA213" s="5" t="n"/>
      <c r="CF213" s="5" t="n"/>
    </row>
    <row r="214" ht="16.5" customHeight="1" s="241">
      <c r="A214" s="171" t="n">
        <v>55</v>
      </c>
      <c r="B214" s="171" t="n">
        <v>59</v>
      </c>
      <c r="C214" s="171" t="inlineStr">
        <is>
          <t>Extra Negocios CIF 1</t>
        </is>
      </c>
      <c r="D214" s="170" t="n">
        <v>111</v>
      </c>
      <c r="E214" s="5" t="n"/>
      <c r="F214" s="5" t="n"/>
      <c r="G214" s="5" t="n"/>
      <c r="H214" s="5" t="n"/>
      <c r="I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BD214" s="5" t="n"/>
      <c r="BE214" s="5" t="n"/>
      <c r="BJ214" s="5" t="n"/>
      <c r="BK214" s="5" t="n"/>
      <c r="BP214" s="5" t="n"/>
      <c r="BQ214" s="5" t="n"/>
      <c r="BV214" s="5" t="n"/>
      <c r="BW214" s="5" t="n"/>
      <c r="BX214" s="5" t="n"/>
      <c r="BY214" s="5" t="n"/>
      <c r="BZ214" s="5" t="n"/>
      <c r="CA214" s="5" t="n"/>
      <c r="CF214" s="5" t="n"/>
    </row>
    <row r="215" ht="16.5" customHeight="1" s="241">
      <c r="A215" s="171" t="n">
        <v>60</v>
      </c>
      <c r="B215" s="171" t="n">
        <v>67</v>
      </c>
      <c r="C215" s="171" t="inlineStr">
        <is>
          <t>Extra Negocios CIF 1</t>
        </is>
      </c>
      <c r="D215" s="170" t="n">
        <v>133</v>
      </c>
      <c r="E215" s="5" t="n"/>
      <c r="F215" s="5" t="n"/>
      <c r="G215" s="5" t="n"/>
      <c r="H215" s="5" t="n"/>
      <c r="I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BD215" s="5" t="n"/>
      <c r="BE215" s="5" t="n"/>
      <c r="BJ215" s="5" t="n"/>
      <c r="BK215" s="5" t="n"/>
      <c r="BP215" s="5" t="n"/>
      <c r="BQ215" s="5" t="n"/>
      <c r="BV215" s="5" t="n"/>
      <c r="BW215" s="5" t="n"/>
      <c r="BX215" s="5" t="n"/>
      <c r="BY215" s="5" t="n"/>
      <c r="BZ215" s="5" t="n"/>
      <c r="CA215" s="5" t="n"/>
      <c r="CF215" s="5" t="n"/>
    </row>
    <row r="216" ht="16.5" customHeight="1" s="241">
      <c r="A216" s="171" t="n">
        <v>68</v>
      </c>
      <c r="B216" s="171" t="n">
        <v>120</v>
      </c>
      <c r="C216" s="171" t="inlineStr">
        <is>
          <t>Extra Negocios CIF 1</t>
        </is>
      </c>
      <c r="D216" s="170" t="n">
        <v>205</v>
      </c>
      <c r="E216" s="5" t="n"/>
      <c r="F216" s="5" t="n"/>
      <c r="G216" s="5" t="n"/>
      <c r="H216" s="5" t="n"/>
      <c r="I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BD216" s="5" t="n"/>
      <c r="BE216" s="5" t="n"/>
      <c r="BJ216" s="5" t="n"/>
      <c r="BK216" s="5" t="n"/>
      <c r="BP216" s="5" t="n"/>
      <c r="BQ216" s="5" t="n"/>
      <c r="BV216" s="5" t="n"/>
      <c r="BW216" s="5" t="n"/>
      <c r="BX216" s="5" t="n"/>
      <c r="BY216" s="5" t="n"/>
      <c r="BZ216" s="5" t="n"/>
      <c r="CA216" s="5" t="n"/>
      <c r="CF216" s="5" t="n"/>
    </row>
    <row r="217" ht="16.5" customHeight="1" s="241">
      <c r="A217" s="171" t="n">
        <v>0</v>
      </c>
      <c r="B217" s="171" t="n">
        <v>44</v>
      </c>
      <c r="C217" s="171" t="inlineStr">
        <is>
          <t>Extra Negocios CIF 2</t>
        </is>
      </c>
      <c r="D217" s="170" t="n">
        <v>76.5</v>
      </c>
      <c r="E217" s="5" t="n"/>
      <c r="F217" s="5" t="n"/>
      <c r="G217" s="5" t="n"/>
      <c r="H217" s="5" t="n"/>
      <c r="I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BD217" s="5" t="n"/>
      <c r="BE217" s="5" t="n"/>
      <c r="BJ217" s="5" t="n"/>
      <c r="BK217" s="5" t="n"/>
      <c r="BP217" s="5" t="n"/>
      <c r="BQ217" s="5" t="n"/>
      <c r="BV217" s="5" t="n"/>
      <c r="BW217" s="5" t="n"/>
      <c r="BX217" s="5" t="n"/>
      <c r="BY217" s="5" t="n"/>
      <c r="BZ217" s="5" t="n"/>
      <c r="CA217" s="5" t="n"/>
      <c r="CF217" s="5" t="n"/>
    </row>
    <row r="218" ht="16.5" customHeight="1" s="241">
      <c r="A218" s="171" t="n">
        <v>45</v>
      </c>
      <c r="B218" s="171" t="n">
        <v>54</v>
      </c>
      <c r="C218" s="171" t="inlineStr">
        <is>
          <t>Extra Negocios CIF 2</t>
        </is>
      </c>
      <c r="D218" s="170" t="n">
        <v>79.5</v>
      </c>
      <c r="E218" s="5" t="n"/>
      <c r="F218" s="5" t="n"/>
      <c r="G218" s="5" t="n"/>
      <c r="H218" s="5" t="n"/>
      <c r="I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BD218" s="5" t="n"/>
      <c r="BE218" s="5" t="n"/>
      <c r="BJ218" s="5" t="n"/>
      <c r="BK218" s="5" t="n"/>
      <c r="BP218" s="5" t="n"/>
      <c r="BQ218" s="5" t="n"/>
      <c r="BV218" s="5" t="n"/>
      <c r="BW218" s="5" t="n"/>
      <c r="BX218" s="5" t="n"/>
      <c r="BY218" s="5" t="n"/>
      <c r="BZ218" s="5" t="n"/>
      <c r="CA218" s="5" t="n"/>
      <c r="CF218" s="5" t="n"/>
    </row>
    <row r="219" ht="16.5" customHeight="1" s="241">
      <c r="A219" s="171" t="n">
        <v>55</v>
      </c>
      <c r="B219" s="171" t="n">
        <v>59</v>
      </c>
      <c r="C219" s="171" t="inlineStr">
        <is>
          <t>Extra Negocios CIF 2</t>
        </is>
      </c>
      <c r="D219" s="170" t="n">
        <v>115</v>
      </c>
      <c r="E219" s="5" t="n"/>
      <c r="F219" s="5" t="n"/>
      <c r="G219" s="5" t="n"/>
      <c r="H219" s="5" t="n"/>
      <c r="I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BD219" s="5" t="n"/>
      <c r="BE219" s="5" t="n"/>
      <c r="BJ219" s="5" t="n"/>
      <c r="BK219" s="5" t="n"/>
      <c r="BP219" s="5" t="n"/>
      <c r="BQ219" s="5" t="n"/>
      <c r="BV219" s="5" t="n"/>
      <c r="BW219" s="5" t="n"/>
      <c r="BX219" s="5" t="n"/>
      <c r="BY219" s="5" t="n"/>
      <c r="BZ219" s="5" t="n"/>
      <c r="CA219" s="5" t="n"/>
      <c r="CF219" s="5" t="n"/>
    </row>
    <row r="220" ht="16.5" customHeight="1" s="241">
      <c r="A220" s="171" t="n">
        <v>60</v>
      </c>
      <c r="B220" s="171" t="n">
        <v>67</v>
      </c>
      <c r="C220" s="171" t="inlineStr">
        <is>
          <t>Extra Negocios CIF 2</t>
        </is>
      </c>
      <c r="D220" s="170" t="n">
        <v>137</v>
      </c>
      <c r="E220" s="5" t="n"/>
      <c r="F220" s="5" t="n"/>
      <c r="G220" s="5" t="n"/>
      <c r="H220" s="5" t="n"/>
      <c r="I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BD220" s="5" t="n"/>
      <c r="BE220" s="5" t="n"/>
      <c r="BJ220" s="5" t="n"/>
      <c r="BK220" s="5" t="n"/>
      <c r="BP220" s="5" t="n"/>
      <c r="BQ220" s="5" t="n"/>
      <c r="BV220" s="5" t="n"/>
      <c r="BW220" s="5" t="n"/>
      <c r="BX220" s="5" t="n"/>
      <c r="BY220" s="5" t="n"/>
      <c r="BZ220" s="5" t="n"/>
      <c r="CA220" s="5" t="n"/>
      <c r="CF220" s="5" t="n"/>
    </row>
    <row r="221" ht="16.5" customHeight="1" s="241">
      <c r="A221" s="171" t="n">
        <v>68</v>
      </c>
      <c r="B221" s="171" t="n">
        <v>120</v>
      </c>
      <c r="C221" s="171" t="inlineStr">
        <is>
          <t>Extra Negocios CIF 2</t>
        </is>
      </c>
      <c r="D221" s="170" t="n">
        <v>210</v>
      </c>
      <c r="E221" s="5" t="n"/>
      <c r="F221" s="5" t="n"/>
      <c r="G221" s="5" t="n"/>
      <c r="H221" s="5" t="n"/>
      <c r="I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BD221" s="5" t="n"/>
      <c r="BE221" s="5" t="n"/>
      <c r="BJ221" s="5" t="n"/>
      <c r="BK221" s="5" t="n"/>
      <c r="BP221" s="5" t="n"/>
      <c r="BQ221" s="5" t="n"/>
      <c r="BV221" s="5" t="n"/>
      <c r="BW221" s="5" t="n"/>
      <c r="BX221" s="5" t="n"/>
      <c r="BY221" s="5" t="n"/>
      <c r="BZ221" s="5" t="n"/>
      <c r="CA221" s="5" t="n"/>
      <c r="CF221" s="5" t="n"/>
    </row>
    <row r="222" ht="16.5" customHeight="1" s="241">
      <c r="A222" s="171" t="n">
        <v>0</v>
      </c>
      <c r="B222" s="171" t="n">
        <v>44</v>
      </c>
      <c r="C222" s="171" t="inlineStr">
        <is>
          <t>Extra Negocios CIF 3</t>
        </is>
      </c>
      <c r="D222" s="170" t="n">
        <v>77.5</v>
      </c>
      <c r="E222" s="5" t="n"/>
      <c r="F222" s="5" t="n"/>
      <c r="G222" s="5" t="n"/>
      <c r="H222" s="5" t="n"/>
      <c r="I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BD222" s="5" t="n"/>
      <c r="BE222" s="5" t="n"/>
      <c r="BJ222" s="5" t="n"/>
      <c r="BK222" s="5" t="n"/>
      <c r="BP222" s="5" t="n"/>
      <c r="BQ222" s="5" t="n"/>
      <c r="BV222" s="5" t="n"/>
      <c r="BW222" s="5" t="n"/>
      <c r="BX222" s="5" t="n"/>
      <c r="BY222" s="5" t="n"/>
      <c r="BZ222" s="5" t="n"/>
      <c r="CA222" s="5" t="n"/>
      <c r="CF222" s="5" t="n"/>
    </row>
    <row r="223" ht="16.5" customHeight="1" s="241">
      <c r="A223" s="171" t="n">
        <v>45</v>
      </c>
      <c r="B223" s="171" t="n">
        <v>54</v>
      </c>
      <c r="C223" s="171" t="inlineStr">
        <is>
          <t>Extra Negocios CIF 3</t>
        </is>
      </c>
      <c r="D223" s="170" t="n">
        <v>80</v>
      </c>
      <c r="E223" s="5" t="n"/>
      <c r="F223" s="5" t="n"/>
      <c r="G223" s="5" t="n"/>
      <c r="H223" s="5" t="n"/>
      <c r="I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BD223" s="5" t="n"/>
      <c r="BE223" s="5" t="n"/>
      <c r="BJ223" s="5" t="n"/>
      <c r="BK223" s="5" t="n"/>
      <c r="BP223" s="5" t="n"/>
      <c r="BQ223" s="5" t="n"/>
      <c r="BV223" s="5" t="n"/>
      <c r="BW223" s="5" t="n"/>
      <c r="BX223" s="5" t="n"/>
      <c r="BY223" s="5" t="n"/>
      <c r="BZ223" s="5" t="n"/>
      <c r="CA223" s="5" t="n"/>
      <c r="CF223" s="5" t="n"/>
    </row>
    <row r="224" ht="16.5" customHeight="1" s="241">
      <c r="A224" s="171" t="n">
        <v>55</v>
      </c>
      <c r="B224" s="171" t="n">
        <v>59</v>
      </c>
      <c r="C224" s="171" t="inlineStr">
        <is>
          <t>Extra Negocios CIF 3</t>
        </is>
      </c>
      <c r="D224" s="170" t="n">
        <v>116</v>
      </c>
      <c r="E224" s="5" t="n"/>
      <c r="F224" s="5" t="n"/>
      <c r="G224" s="5" t="n"/>
      <c r="H224" s="5" t="n"/>
      <c r="I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BD224" s="5" t="n"/>
      <c r="BE224" s="5" t="n"/>
      <c r="BJ224" s="5" t="n"/>
      <c r="BK224" s="5" t="n"/>
      <c r="BP224" s="5" t="n"/>
      <c r="BQ224" s="5" t="n"/>
      <c r="BV224" s="5" t="n"/>
      <c r="BW224" s="5" t="n"/>
      <c r="BX224" s="5" t="n"/>
      <c r="BY224" s="5" t="n"/>
      <c r="BZ224" s="5" t="n"/>
      <c r="CA224" s="5" t="n"/>
      <c r="CF224" s="5" t="n"/>
    </row>
    <row r="225" ht="16.5" customHeight="1" s="241">
      <c r="A225" s="171" t="n">
        <v>60</v>
      </c>
      <c r="B225" s="171" t="n">
        <v>67</v>
      </c>
      <c r="C225" s="171" t="inlineStr">
        <is>
          <t>Extra Negocios CIF 3</t>
        </is>
      </c>
      <c r="D225" s="170" t="n">
        <v>141</v>
      </c>
      <c r="E225" s="5" t="n"/>
      <c r="F225" s="5" t="n"/>
      <c r="G225" s="5" t="n"/>
      <c r="H225" s="5" t="n"/>
      <c r="I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BD225" s="5" t="n"/>
      <c r="BE225" s="5" t="n"/>
      <c r="BJ225" s="5" t="n"/>
      <c r="BK225" s="5" t="n"/>
      <c r="BP225" s="5" t="n"/>
      <c r="BQ225" s="5" t="n"/>
      <c r="BV225" s="5" t="n"/>
      <c r="BW225" s="5" t="n"/>
      <c r="BX225" s="5" t="n"/>
      <c r="BY225" s="5" t="n"/>
      <c r="BZ225" s="5" t="n"/>
      <c r="CA225" s="5" t="n"/>
      <c r="CF225" s="5" t="n"/>
    </row>
    <row r="226" ht="16.5" customHeight="1" s="241">
      <c r="A226" s="171" t="n">
        <v>68</v>
      </c>
      <c r="B226" s="171" t="n">
        <v>120</v>
      </c>
      <c r="C226" s="171" t="inlineStr">
        <is>
          <t>Extra Negocios CIF 3</t>
        </is>
      </c>
      <c r="D226" s="170" t="n">
        <v>215</v>
      </c>
      <c r="E226" s="5" t="n"/>
      <c r="F226" s="5" t="n"/>
      <c r="G226" s="5" t="n"/>
      <c r="H226" s="5" t="n"/>
      <c r="I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BD226" s="5" t="n"/>
      <c r="BE226" s="5" t="n"/>
      <c r="BJ226" s="5" t="n"/>
      <c r="BK226" s="5" t="n"/>
      <c r="BP226" s="5" t="n"/>
      <c r="BQ226" s="5" t="n"/>
      <c r="BV226" s="5" t="n"/>
      <c r="BW226" s="5" t="n"/>
      <c r="BX226" s="5" t="n"/>
      <c r="BY226" s="5" t="n"/>
      <c r="BZ226" s="5" t="n"/>
      <c r="CA226" s="5" t="n"/>
      <c r="CF226" s="5" t="n"/>
    </row>
    <row r="227" ht="16.5" customHeight="1" s="241">
      <c r="A227" s="171" t="n">
        <v>0</v>
      </c>
      <c r="B227" s="171" t="n">
        <v>44</v>
      </c>
      <c r="C227" s="171" t="inlineStr">
        <is>
          <t>Extra Negocios CIF 4</t>
        </is>
      </c>
      <c r="D227" s="170" t="n">
        <v>80</v>
      </c>
      <c r="E227" s="5" t="n"/>
      <c r="F227" s="5" t="n"/>
      <c r="G227" s="5" t="n"/>
      <c r="H227" s="5" t="n"/>
      <c r="I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BD227" s="5" t="n"/>
      <c r="BE227" s="5" t="n"/>
      <c r="BJ227" s="5" t="n"/>
      <c r="BK227" s="5" t="n"/>
      <c r="BP227" s="5" t="n"/>
      <c r="BQ227" s="5" t="n"/>
      <c r="BV227" s="5" t="n"/>
      <c r="BW227" s="5" t="n"/>
      <c r="BX227" s="5" t="n"/>
      <c r="BY227" s="5" t="n"/>
      <c r="BZ227" s="5" t="n"/>
      <c r="CA227" s="5" t="n"/>
      <c r="CF227" s="5" t="n"/>
    </row>
    <row r="228" ht="16.5" customHeight="1" s="241">
      <c r="A228" s="171" t="n">
        <v>45</v>
      </c>
      <c r="B228" s="171" t="n">
        <v>54</v>
      </c>
      <c r="C228" s="171" t="inlineStr">
        <is>
          <t>Extra Negocios CIF 4</t>
        </is>
      </c>
      <c r="D228" s="170" t="n">
        <v>82</v>
      </c>
      <c r="E228" s="5" t="n"/>
      <c r="F228" s="5" t="n"/>
      <c r="G228" s="5" t="n"/>
      <c r="H228" s="5" t="n"/>
      <c r="I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BD228" s="5" t="n"/>
      <c r="BE228" s="5" t="n"/>
      <c r="BJ228" s="5" t="n"/>
      <c r="BK228" s="5" t="n"/>
      <c r="BP228" s="5" t="n"/>
      <c r="BQ228" s="5" t="n"/>
      <c r="BV228" s="5" t="n"/>
      <c r="BW228" s="5" t="n"/>
      <c r="BX228" s="5" t="n"/>
      <c r="BY228" s="5" t="n"/>
      <c r="BZ228" s="5" t="n"/>
      <c r="CA228" s="5" t="n"/>
      <c r="CF228" s="5" t="n"/>
    </row>
    <row r="229" ht="16.5" customHeight="1" s="241">
      <c r="A229" s="171" t="n">
        <v>55</v>
      </c>
      <c r="B229" s="171" t="n">
        <v>59</v>
      </c>
      <c r="C229" s="171" t="inlineStr">
        <is>
          <t>Extra Negocios CIF 4</t>
        </is>
      </c>
      <c r="D229" s="170" t="n">
        <v>119</v>
      </c>
      <c r="E229" s="5" t="n"/>
      <c r="F229" s="5" t="n"/>
      <c r="G229" s="5" t="n"/>
      <c r="H229" s="5" t="n"/>
      <c r="I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BD229" s="5" t="n"/>
      <c r="BE229" s="5" t="n"/>
      <c r="BJ229" s="5" t="n"/>
      <c r="BK229" s="5" t="n"/>
      <c r="BP229" s="5" t="n"/>
      <c r="BQ229" s="5" t="n"/>
      <c r="BV229" s="5" t="n"/>
      <c r="BW229" s="5" t="n"/>
      <c r="BX229" s="5" t="n"/>
      <c r="BY229" s="5" t="n"/>
      <c r="BZ229" s="5" t="n"/>
      <c r="CA229" s="5" t="n"/>
      <c r="CF229" s="5" t="n"/>
    </row>
    <row r="230" ht="16.5" customHeight="1" s="241">
      <c r="A230" s="171" t="n">
        <v>60</v>
      </c>
      <c r="B230" s="171" t="n">
        <v>67</v>
      </c>
      <c r="C230" s="171" t="inlineStr">
        <is>
          <t>Extra Negocios CIF 4</t>
        </is>
      </c>
      <c r="D230" s="170" t="n">
        <v>143</v>
      </c>
      <c r="E230" s="5" t="n"/>
      <c r="F230" s="5" t="n"/>
      <c r="G230" s="5" t="n"/>
      <c r="H230" s="5" t="n"/>
      <c r="I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BD230" s="5" t="n"/>
      <c r="BE230" s="5" t="n"/>
      <c r="BJ230" s="5" t="n"/>
      <c r="BK230" s="5" t="n"/>
      <c r="BP230" s="5" t="n"/>
      <c r="BQ230" s="5" t="n"/>
      <c r="BV230" s="5" t="n"/>
      <c r="BW230" s="5" t="n"/>
      <c r="BX230" s="5" t="n"/>
      <c r="BY230" s="5" t="n"/>
      <c r="BZ230" s="5" t="n"/>
      <c r="CA230" s="5" t="n"/>
      <c r="CF230" s="5" t="n"/>
    </row>
    <row r="231" ht="16.5" customHeight="1" s="241">
      <c r="A231" s="171" t="n">
        <v>68</v>
      </c>
      <c r="B231" s="171" t="n">
        <v>120</v>
      </c>
      <c r="C231" s="171" t="inlineStr">
        <is>
          <t>Extra Negocios CIF 4</t>
        </is>
      </c>
      <c r="D231" s="170" t="n">
        <v>219</v>
      </c>
      <c r="E231" s="5" t="n"/>
      <c r="F231" s="5" t="n"/>
      <c r="G231" s="5" t="n"/>
      <c r="H231" s="5" t="n"/>
      <c r="I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BD231" s="5" t="n"/>
      <c r="BE231" s="5" t="n"/>
      <c r="BJ231" s="5" t="n"/>
      <c r="BK231" s="5" t="n"/>
      <c r="BP231" s="5" t="n"/>
      <c r="BQ231" s="5" t="n"/>
      <c r="BV231" s="5" t="n"/>
      <c r="BW231" s="5" t="n"/>
      <c r="BX231" s="5" t="n"/>
      <c r="BY231" s="5" t="n"/>
      <c r="BZ231" s="5" t="n"/>
      <c r="CA231" s="5" t="n"/>
      <c r="CF231" s="5" t="n"/>
    </row>
    <row r="232" ht="16.5" customHeight="1" s="241">
      <c r="A232" s="171" t="n">
        <v>0</v>
      </c>
      <c r="B232" s="171" t="n">
        <v>44</v>
      </c>
      <c r="C232" s="171" t="inlineStr">
        <is>
          <t>Extra Negocios CIF 5</t>
        </is>
      </c>
      <c r="D232" s="170" t="n">
        <v>81</v>
      </c>
      <c r="E232" s="5" t="n"/>
      <c r="F232" s="5" t="n"/>
      <c r="G232" s="5" t="n"/>
      <c r="H232" s="5" t="n"/>
      <c r="I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BD232" s="5" t="n"/>
      <c r="BE232" s="5" t="n"/>
      <c r="BJ232" s="5" t="n"/>
      <c r="BK232" s="5" t="n"/>
      <c r="BP232" s="5" t="n"/>
      <c r="BQ232" s="5" t="n"/>
      <c r="BV232" s="5" t="n"/>
      <c r="BW232" s="5" t="n"/>
      <c r="BX232" s="5" t="n"/>
      <c r="BY232" s="5" t="n"/>
      <c r="BZ232" s="5" t="n"/>
      <c r="CA232" s="5" t="n"/>
      <c r="CF232" s="5" t="n"/>
    </row>
    <row r="233" ht="16.5" customHeight="1" s="241">
      <c r="A233" s="171" t="n">
        <v>45</v>
      </c>
      <c r="B233" s="171" t="n">
        <v>54</v>
      </c>
      <c r="C233" s="171" t="inlineStr">
        <is>
          <t>Extra Negocios CIF 5</t>
        </is>
      </c>
      <c r="D233" s="170" t="n">
        <v>84</v>
      </c>
      <c r="E233" s="5" t="n"/>
      <c r="F233" s="5" t="n"/>
      <c r="G233" s="5" t="n"/>
      <c r="H233" s="5" t="n"/>
      <c r="I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BD233" s="5" t="n"/>
      <c r="BE233" s="5" t="n"/>
      <c r="BJ233" s="5" t="n"/>
      <c r="BK233" s="5" t="n"/>
      <c r="BP233" s="5" t="n"/>
      <c r="BQ233" s="5" t="n"/>
      <c r="BV233" s="5" t="n"/>
      <c r="BW233" s="5" t="n"/>
      <c r="BX233" s="5" t="n"/>
      <c r="BY233" s="5" t="n"/>
      <c r="BZ233" s="5" t="n"/>
      <c r="CA233" s="5" t="n"/>
      <c r="CF233" s="5" t="n"/>
    </row>
    <row r="234" ht="16.5" customHeight="1" s="241">
      <c r="A234" s="171" t="n">
        <v>55</v>
      </c>
      <c r="B234" s="171" t="n">
        <v>59</v>
      </c>
      <c r="C234" s="171" t="inlineStr">
        <is>
          <t>Extra Negocios CIF 5</t>
        </is>
      </c>
      <c r="D234" s="170" t="n">
        <v>122</v>
      </c>
      <c r="E234" s="5" t="n"/>
      <c r="F234" s="5" t="n"/>
      <c r="G234" s="5" t="n"/>
      <c r="H234" s="5" t="n"/>
      <c r="I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BD234" s="5" t="n"/>
      <c r="BE234" s="5" t="n"/>
      <c r="BJ234" s="5" t="n"/>
      <c r="BK234" s="5" t="n"/>
      <c r="BP234" s="5" t="n"/>
      <c r="BQ234" s="5" t="n"/>
      <c r="BV234" s="5" t="n"/>
      <c r="BW234" s="5" t="n"/>
      <c r="BX234" s="5" t="n"/>
      <c r="BY234" s="5" t="n"/>
      <c r="BZ234" s="5" t="n"/>
      <c r="CA234" s="5" t="n"/>
      <c r="CF234" s="5" t="n"/>
    </row>
    <row r="235" ht="16.5" customHeight="1" s="241">
      <c r="A235" s="171" t="n">
        <v>60</v>
      </c>
      <c r="B235" s="171" t="n">
        <v>67</v>
      </c>
      <c r="C235" s="171" t="inlineStr">
        <is>
          <t>Extra Negocios CIF 5</t>
        </is>
      </c>
      <c r="D235" s="170" t="n">
        <v>147</v>
      </c>
      <c r="E235" s="5" t="n"/>
      <c r="F235" s="5" t="n"/>
      <c r="G235" s="5" t="n"/>
      <c r="H235" s="5" t="n"/>
      <c r="I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BD235" s="5" t="n"/>
      <c r="BE235" s="5" t="n"/>
      <c r="BJ235" s="5" t="n"/>
      <c r="BK235" s="5" t="n"/>
      <c r="BP235" s="5" t="n"/>
      <c r="BQ235" s="5" t="n"/>
      <c r="BV235" s="5" t="n"/>
      <c r="BW235" s="5" t="n"/>
      <c r="BX235" s="5" t="n"/>
      <c r="BY235" s="5" t="n"/>
      <c r="BZ235" s="5" t="n"/>
      <c r="CA235" s="5" t="n"/>
      <c r="CF235" s="5" t="n"/>
    </row>
    <row r="236" ht="16.5" customHeight="1" s="241">
      <c r="A236" s="171" t="n">
        <v>68</v>
      </c>
      <c r="B236" s="171" t="n">
        <v>120</v>
      </c>
      <c r="C236" s="171" t="inlineStr">
        <is>
          <t>Extra Negocios CIF 5</t>
        </is>
      </c>
      <c r="D236" s="170" t="n">
        <v>230</v>
      </c>
      <c r="E236" s="5" t="n"/>
      <c r="F236" s="5" t="n"/>
      <c r="G236" s="5" t="n"/>
      <c r="H236" s="5" t="n"/>
      <c r="I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BD236" s="5" t="n"/>
      <c r="BE236" s="5" t="n"/>
      <c r="BJ236" s="5" t="n"/>
      <c r="BK236" s="5" t="n"/>
      <c r="BP236" s="5" t="n"/>
      <c r="BQ236" s="5" t="n"/>
      <c r="BV236" s="5" t="n"/>
      <c r="BW236" s="5" t="n"/>
      <c r="BX236" s="5" t="n"/>
      <c r="BY236" s="5" t="n"/>
      <c r="BZ236" s="5" t="n"/>
      <c r="CA236" s="5" t="n"/>
      <c r="CF236" s="5" t="n"/>
    </row>
    <row r="237" ht="16.5" customHeight="1" s="241">
      <c r="A237" s="171" t="n">
        <v>0</v>
      </c>
      <c r="B237" s="171" t="n">
        <v>44</v>
      </c>
      <c r="C237" s="171" t="inlineStr">
        <is>
          <t>Extra Negocios CIF 6</t>
        </is>
      </c>
      <c r="D237" s="170" t="n">
        <v>82</v>
      </c>
      <c r="E237" s="5" t="n"/>
      <c r="F237" s="5" t="n"/>
      <c r="G237" s="5" t="n"/>
      <c r="H237" s="5" t="n"/>
      <c r="I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BD237" s="5" t="n"/>
      <c r="BE237" s="5" t="n"/>
      <c r="BJ237" s="5" t="n"/>
      <c r="BK237" s="5" t="n"/>
      <c r="BP237" s="5" t="n"/>
      <c r="BQ237" s="5" t="n"/>
      <c r="BV237" s="5" t="n"/>
      <c r="BW237" s="5" t="n"/>
      <c r="BX237" s="5" t="n"/>
      <c r="BY237" s="5" t="n"/>
      <c r="BZ237" s="5" t="n"/>
      <c r="CA237" s="5" t="n"/>
      <c r="CF237" s="5" t="n"/>
    </row>
    <row r="238" ht="16.5" customHeight="1" s="241">
      <c r="A238" s="171" t="n">
        <v>45</v>
      </c>
      <c r="B238" s="171" t="n">
        <v>54</v>
      </c>
      <c r="C238" s="171" t="inlineStr">
        <is>
          <t>Extra Negocios CIF 6</t>
        </is>
      </c>
      <c r="D238" s="170" t="n">
        <v>86</v>
      </c>
      <c r="E238" s="5" t="n"/>
      <c r="F238" s="5" t="n"/>
      <c r="G238" s="5" t="n"/>
      <c r="H238" s="5" t="n"/>
      <c r="I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BD238" s="5" t="n"/>
      <c r="BE238" s="5" t="n"/>
      <c r="BJ238" s="5" t="n"/>
      <c r="BK238" s="5" t="n"/>
      <c r="BP238" s="5" t="n"/>
      <c r="BQ238" s="5" t="n"/>
      <c r="BV238" s="5" t="n"/>
      <c r="BW238" s="5" t="n"/>
      <c r="BX238" s="5" t="n"/>
      <c r="BY238" s="5" t="n"/>
      <c r="BZ238" s="5" t="n"/>
      <c r="CA238" s="5" t="n"/>
      <c r="CF238" s="5" t="n"/>
    </row>
    <row r="239" ht="16.5" customHeight="1" s="241">
      <c r="A239" s="171" t="n">
        <v>55</v>
      </c>
      <c r="B239" s="171" t="n">
        <v>59</v>
      </c>
      <c r="C239" s="171" t="inlineStr">
        <is>
          <t>Extra Negocios CIF 6</t>
        </is>
      </c>
      <c r="D239" s="170" t="n">
        <v>125</v>
      </c>
      <c r="E239" s="5" t="n"/>
      <c r="F239" s="5" t="n"/>
      <c r="G239" s="5" t="n"/>
      <c r="H239" s="5" t="n"/>
      <c r="I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BD239" s="5" t="n"/>
      <c r="BE239" s="5" t="n"/>
      <c r="BJ239" s="5" t="n"/>
      <c r="BK239" s="5" t="n"/>
      <c r="BP239" s="5" t="n"/>
      <c r="BQ239" s="5" t="n"/>
      <c r="BV239" s="5" t="n"/>
      <c r="BW239" s="5" t="n"/>
      <c r="BX239" s="5" t="n"/>
      <c r="BY239" s="5" t="n"/>
      <c r="BZ239" s="5" t="n"/>
      <c r="CA239" s="5" t="n"/>
      <c r="CF239" s="5" t="n"/>
    </row>
    <row r="240" ht="16.5" customHeight="1" s="241">
      <c r="A240" s="171" t="n">
        <v>60</v>
      </c>
      <c r="B240" s="171" t="n">
        <v>67</v>
      </c>
      <c r="C240" s="171" t="inlineStr">
        <is>
          <t>Extra Negocios CIF 6</t>
        </is>
      </c>
      <c r="D240" s="170" t="n">
        <v>149</v>
      </c>
      <c r="E240" s="5" t="n"/>
      <c r="F240" s="5" t="n"/>
      <c r="G240" s="5" t="n"/>
      <c r="H240" s="5" t="n"/>
      <c r="I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BD240" s="5" t="n"/>
      <c r="BE240" s="5" t="n"/>
      <c r="BJ240" s="5" t="n"/>
      <c r="BK240" s="5" t="n"/>
      <c r="BP240" s="5" t="n"/>
      <c r="BQ240" s="5" t="n"/>
      <c r="BV240" s="5" t="n"/>
      <c r="BW240" s="5" t="n"/>
      <c r="BX240" s="5" t="n"/>
      <c r="BY240" s="5" t="n"/>
      <c r="BZ240" s="5" t="n"/>
      <c r="CA240" s="5" t="n"/>
      <c r="CF240" s="5" t="n"/>
    </row>
    <row r="241" ht="16.5" customHeight="1" s="241">
      <c r="A241" s="171" t="n">
        <v>68</v>
      </c>
      <c r="B241" s="171" t="n">
        <v>120</v>
      </c>
      <c r="C241" s="171" t="inlineStr">
        <is>
          <t>Extra Negocios CIF 6</t>
        </is>
      </c>
      <c r="D241" s="170" t="n">
        <v>231</v>
      </c>
      <c r="E241" s="5" t="n"/>
      <c r="F241" s="5" t="n"/>
      <c r="G241" s="5" t="n"/>
      <c r="H241" s="5" t="n"/>
      <c r="I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BD241" s="5" t="n"/>
      <c r="BE241" s="5" t="n"/>
      <c r="BJ241" s="5" t="n"/>
      <c r="BK241" s="5" t="n"/>
      <c r="BP241" s="5" t="n"/>
      <c r="BQ241" s="5" t="n"/>
      <c r="BV241" s="5" t="n"/>
      <c r="BW241" s="5" t="n"/>
      <c r="BX241" s="5" t="n"/>
      <c r="BY241" s="5" t="n"/>
      <c r="BZ241" s="5" t="n"/>
      <c r="CA241" s="5" t="n"/>
      <c r="CF241" s="5" t="n"/>
    </row>
    <row r="242" ht="16.5" customHeight="1" s="241">
      <c r="A242" s="171" t="n">
        <v>0</v>
      </c>
      <c r="B242" s="171" t="n">
        <v>65</v>
      </c>
      <c r="C242" s="171" t="inlineStr">
        <is>
          <t>Empresas 1</t>
        </is>
      </c>
      <c r="D242" s="170" t="n">
        <v>56</v>
      </c>
      <c r="E242" s="5" t="n"/>
      <c r="F242" s="5" t="n"/>
      <c r="G242" s="5" t="n"/>
      <c r="H242" s="5" t="n"/>
      <c r="I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BD242" s="5" t="n"/>
      <c r="BE242" s="5" t="n"/>
      <c r="BJ242" s="5" t="n"/>
      <c r="BK242" s="5" t="n"/>
      <c r="BP242" s="5" t="n"/>
      <c r="BQ242" s="5" t="n"/>
      <c r="BV242" s="5" t="n"/>
      <c r="BW242" s="5" t="n"/>
      <c r="BX242" s="5" t="n"/>
      <c r="BY242" s="5" t="n"/>
      <c r="BZ242" s="5" t="n"/>
      <c r="CA242" s="5" t="n"/>
      <c r="CF242" s="5" t="n"/>
    </row>
    <row r="243" ht="16.5" customHeight="1" s="241">
      <c r="A243" s="171" t="n">
        <v>66</v>
      </c>
      <c r="B243" s="171" t="n">
        <v>67</v>
      </c>
      <c r="C243" s="171" t="inlineStr">
        <is>
          <t>Empresas 1</t>
        </is>
      </c>
      <c r="D243" s="170" t="n">
        <v>89</v>
      </c>
      <c r="E243" s="5" t="n"/>
      <c r="F243" s="5" t="n"/>
      <c r="G243" s="5" t="n"/>
      <c r="H243" s="5" t="n"/>
      <c r="I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BD243" s="5" t="n"/>
      <c r="BE243" s="5" t="n"/>
      <c r="BJ243" s="5" t="n"/>
      <c r="BK243" s="5" t="n"/>
      <c r="BP243" s="5" t="n"/>
      <c r="BQ243" s="5" t="n"/>
      <c r="BV243" s="5" t="n"/>
      <c r="BW243" s="5" t="n"/>
      <c r="BX243" s="5" t="n"/>
      <c r="BY243" s="5" t="n"/>
      <c r="BZ243" s="5" t="n"/>
      <c r="CA243" s="5" t="n"/>
      <c r="CF243" s="5" t="n"/>
    </row>
    <row r="244" ht="16.5" customHeight="1" s="241">
      <c r="A244" s="171" t="n">
        <v>68</v>
      </c>
      <c r="B244" s="171" t="n">
        <v>120</v>
      </c>
      <c r="C244" s="171" t="inlineStr">
        <is>
          <t>Empresas 1</t>
        </is>
      </c>
      <c r="D244" s="170" t="n">
        <v>168</v>
      </c>
      <c r="E244" s="5" t="n"/>
      <c r="F244" s="5" t="n"/>
      <c r="G244" s="5" t="n"/>
      <c r="H244" s="5" t="n"/>
      <c r="I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BD244" s="5" t="n"/>
      <c r="BE244" s="5" t="n"/>
      <c r="BJ244" s="5" t="n"/>
      <c r="BK244" s="5" t="n"/>
      <c r="BP244" s="5" t="n"/>
      <c r="BQ244" s="5" t="n"/>
      <c r="BV244" s="5" t="n"/>
      <c r="BW244" s="5" t="n"/>
      <c r="BX244" s="5" t="n"/>
      <c r="BY244" s="5" t="n"/>
      <c r="BZ244" s="5" t="n"/>
      <c r="CA244" s="5" t="n"/>
      <c r="CF244" s="5" t="n"/>
    </row>
    <row r="245" ht="16.5" customHeight="1" s="241">
      <c r="A245" s="171" t="n">
        <v>0</v>
      </c>
      <c r="B245" s="171" t="n">
        <v>65</v>
      </c>
      <c r="C245" s="171" t="inlineStr">
        <is>
          <t>Empresas 2</t>
        </is>
      </c>
      <c r="D245" s="170" t="n">
        <v>58.5</v>
      </c>
      <c r="E245" s="5" t="n"/>
      <c r="F245" s="5" t="n"/>
      <c r="G245" s="5" t="n"/>
      <c r="H245" s="5" t="n"/>
      <c r="I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BD245" s="5" t="n"/>
      <c r="BE245" s="5" t="n"/>
      <c r="BJ245" s="5" t="n"/>
      <c r="BK245" s="5" t="n"/>
      <c r="BP245" s="5" t="n"/>
      <c r="BQ245" s="5" t="n"/>
      <c r="BV245" s="5" t="n"/>
      <c r="BW245" s="5" t="n"/>
      <c r="BX245" s="5" t="n"/>
      <c r="BY245" s="5" t="n"/>
      <c r="BZ245" s="5" t="n"/>
      <c r="CA245" s="5" t="n"/>
      <c r="CF245" s="5" t="n"/>
    </row>
    <row r="246" ht="16.5" customHeight="1" s="241">
      <c r="A246" s="171" t="n">
        <v>66</v>
      </c>
      <c r="B246" s="171" t="n">
        <v>67</v>
      </c>
      <c r="C246" s="171" t="inlineStr">
        <is>
          <t>Empresas 2</t>
        </is>
      </c>
      <c r="D246" s="170" t="n">
        <v>92</v>
      </c>
      <c r="E246" s="5" t="n"/>
      <c r="F246" s="5" t="n"/>
      <c r="G246" s="5" t="n"/>
      <c r="H246" s="5" t="n"/>
      <c r="I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BD246" s="5" t="n"/>
      <c r="BE246" s="5" t="n"/>
      <c r="BJ246" s="5" t="n"/>
      <c r="BK246" s="5" t="n"/>
      <c r="BP246" s="5" t="n"/>
      <c r="BQ246" s="5" t="n"/>
      <c r="BV246" s="5" t="n"/>
      <c r="BW246" s="5" t="n"/>
      <c r="BX246" s="5" t="n"/>
      <c r="BY246" s="5" t="n"/>
      <c r="BZ246" s="5" t="n"/>
      <c r="CA246" s="5" t="n"/>
      <c r="CF246" s="5" t="n"/>
    </row>
    <row r="247" ht="16.5" customHeight="1" s="241">
      <c r="A247" s="171" t="n">
        <v>68</v>
      </c>
      <c r="B247" s="171" t="n">
        <v>120</v>
      </c>
      <c r="C247" s="171" t="inlineStr">
        <is>
          <t>Empresas 2</t>
        </is>
      </c>
      <c r="D247" s="170" t="n">
        <v>175</v>
      </c>
      <c r="E247" s="5" t="n"/>
      <c r="F247" s="5" t="n"/>
      <c r="G247" s="5" t="n"/>
      <c r="H247" s="5" t="n"/>
      <c r="I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BD247" s="5" t="n"/>
      <c r="BE247" s="5" t="n"/>
      <c r="BJ247" s="5" t="n"/>
      <c r="BK247" s="5" t="n"/>
      <c r="BP247" s="5" t="n"/>
      <c r="BQ247" s="5" t="n"/>
      <c r="BV247" s="5" t="n"/>
      <c r="BW247" s="5" t="n"/>
      <c r="BX247" s="5" t="n"/>
      <c r="BY247" s="5" t="n"/>
      <c r="BZ247" s="5" t="n"/>
      <c r="CA247" s="5" t="n"/>
      <c r="CF247" s="5" t="n"/>
    </row>
    <row r="248" ht="16.5" customHeight="1" s="241">
      <c r="A248" s="171" t="n">
        <v>0</v>
      </c>
      <c r="B248" s="171" t="n">
        <v>65</v>
      </c>
      <c r="C248" s="171" t="inlineStr">
        <is>
          <t>Empresas 3</t>
        </is>
      </c>
      <c r="D248" s="170" t="n">
        <v>59</v>
      </c>
      <c r="E248" s="5" t="n"/>
      <c r="F248" s="5" t="n"/>
      <c r="G248" s="5" t="n"/>
      <c r="H248" s="5" t="n"/>
      <c r="I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BD248" s="5" t="n"/>
      <c r="BE248" s="5" t="n"/>
      <c r="BJ248" s="5" t="n"/>
      <c r="BK248" s="5" t="n"/>
      <c r="BP248" s="5" t="n"/>
      <c r="BQ248" s="5" t="n"/>
      <c r="BV248" s="5" t="n"/>
      <c r="BW248" s="5" t="n"/>
      <c r="BX248" s="5" t="n"/>
      <c r="BY248" s="5" t="n"/>
      <c r="BZ248" s="5" t="n"/>
      <c r="CA248" s="5" t="n"/>
      <c r="CF248" s="5" t="n"/>
    </row>
    <row r="249" ht="16.5" customHeight="1" s="241">
      <c r="A249" s="171" t="n">
        <v>66</v>
      </c>
      <c r="B249" s="171" t="n">
        <v>67</v>
      </c>
      <c r="C249" s="171" t="inlineStr">
        <is>
          <t>Empresas 3</t>
        </is>
      </c>
      <c r="D249" s="170" t="n">
        <v>100</v>
      </c>
      <c r="E249" s="5" t="n"/>
      <c r="F249" s="5" t="n"/>
      <c r="G249" s="5" t="n"/>
      <c r="H249" s="5" t="n"/>
      <c r="I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BD249" s="5" t="n"/>
      <c r="BE249" s="5" t="n"/>
      <c r="BJ249" s="5" t="n"/>
      <c r="BK249" s="5" t="n"/>
      <c r="BP249" s="5" t="n"/>
      <c r="BQ249" s="5" t="n"/>
      <c r="BV249" s="5" t="n"/>
      <c r="BW249" s="5" t="n"/>
      <c r="BX249" s="5" t="n"/>
      <c r="BY249" s="5" t="n"/>
      <c r="BZ249" s="5" t="n"/>
      <c r="CA249" s="5" t="n"/>
      <c r="CF249" s="5" t="n"/>
    </row>
    <row r="250" ht="16.5" customHeight="1" s="241">
      <c r="A250" s="171" t="n">
        <v>68</v>
      </c>
      <c r="B250" s="171" t="n">
        <v>120</v>
      </c>
      <c r="C250" s="171" t="inlineStr">
        <is>
          <t>Empresas 3</t>
        </is>
      </c>
      <c r="D250" s="170" t="n">
        <v>193</v>
      </c>
      <c r="E250" s="5" t="n"/>
      <c r="F250" s="5" t="n"/>
      <c r="G250" s="5" t="n"/>
      <c r="H250" s="5" t="n"/>
      <c r="I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BD250" s="5" t="n"/>
      <c r="BE250" s="5" t="n"/>
      <c r="BJ250" s="5" t="n"/>
      <c r="BK250" s="5" t="n"/>
      <c r="BP250" s="5" t="n"/>
      <c r="BQ250" s="5" t="n"/>
      <c r="BV250" s="5" t="n"/>
      <c r="BW250" s="5" t="n"/>
      <c r="BX250" s="5" t="n"/>
      <c r="BY250" s="5" t="n"/>
      <c r="BZ250" s="5" t="n"/>
      <c r="CA250" s="5" t="n"/>
      <c r="CF250" s="5" t="n"/>
    </row>
    <row r="251" ht="16.5" customHeight="1" s="241">
      <c r="A251" s="171" t="n">
        <v>0</v>
      </c>
      <c r="B251" s="171" t="n">
        <v>65</v>
      </c>
      <c r="C251" s="171" t="inlineStr">
        <is>
          <t>Empresas 4</t>
        </is>
      </c>
      <c r="D251" s="170" t="n">
        <v>60</v>
      </c>
      <c r="E251" s="5" t="n"/>
      <c r="F251" s="5" t="n"/>
      <c r="G251" s="5" t="n"/>
      <c r="H251" s="5" t="n"/>
      <c r="I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BD251" s="5" t="n"/>
      <c r="BE251" s="5" t="n"/>
      <c r="BJ251" s="5" t="n"/>
      <c r="BK251" s="5" t="n"/>
      <c r="BP251" s="5" t="n"/>
      <c r="BQ251" s="5" t="n"/>
      <c r="BV251" s="5" t="n"/>
      <c r="BW251" s="5" t="n"/>
      <c r="BX251" s="5" t="n"/>
      <c r="BY251" s="5" t="n"/>
      <c r="BZ251" s="5" t="n"/>
      <c r="CA251" s="5" t="n"/>
      <c r="CF251" s="5" t="n"/>
    </row>
    <row r="252" ht="16.5" customHeight="1" s="241">
      <c r="A252" s="171" t="n">
        <v>66</v>
      </c>
      <c r="B252" s="171" t="n">
        <v>67</v>
      </c>
      <c r="C252" s="171" t="inlineStr">
        <is>
          <t>Empresas 4</t>
        </is>
      </c>
      <c r="D252" s="170" t="n">
        <v>101</v>
      </c>
      <c r="E252" s="5" t="n"/>
      <c r="F252" s="5" t="n"/>
      <c r="G252" s="5" t="n"/>
      <c r="H252" s="5" t="n"/>
      <c r="I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BD252" s="5" t="n"/>
      <c r="BE252" s="5" t="n"/>
      <c r="BJ252" s="5" t="n"/>
      <c r="BK252" s="5" t="n"/>
      <c r="BP252" s="5" t="n"/>
      <c r="BQ252" s="5" t="n"/>
      <c r="BV252" s="5" t="n"/>
      <c r="BW252" s="5" t="n"/>
      <c r="BX252" s="5" t="n"/>
      <c r="BY252" s="5" t="n"/>
      <c r="BZ252" s="5" t="n"/>
      <c r="CA252" s="5" t="n"/>
      <c r="CF252" s="5" t="n"/>
    </row>
    <row r="253" ht="16.5" customHeight="1" s="241">
      <c r="A253" s="171" t="n">
        <v>68</v>
      </c>
      <c r="B253" s="171" t="n">
        <v>120</v>
      </c>
      <c r="C253" s="171" t="inlineStr">
        <is>
          <t>Empresas 4</t>
        </is>
      </c>
      <c r="D253" s="170" t="n">
        <v>199</v>
      </c>
      <c r="E253" s="5" t="n"/>
      <c r="F253" s="5" t="n"/>
      <c r="G253" s="5" t="n"/>
      <c r="H253" s="5" t="n"/>
      <c r="I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BD253" s="5" t="n"/>
      <c r="BE253" s="5" t="n"/>
      <c r="BJ253" s="5" t="n"/>
      <c r="BK253" s="5" t="n"/>
      <c r="BP253" s="5" t="n"/>
      <c r="BQ253" s="5" t="n"/>
      <c r="BV253" s="5" t="n"/>
      <c r="BW253" s="5" t="n"/>
      <c r="BX253" s="5" t="n"/>
      <c r="BY253" s="5" t="n"/>
      <c r="BZ253" s="5" t="n"/>
      <c r="CA253" s="5" t="n"/>
      <c r="CF253" s="5" t="n"/>
    </row>
    <row r="254" ht="16.5" customHeight="1" s="241">
      <c r="A254" s="171" t="n">
        <v>0</v>
      </c>
      <c r="B254" s="171" t="n">
        <v>65</v>
      </c>
      <c r="C254" s="171" t="inlineStr">
        <is>
          <t>Empresas 5</t>
        </is>
      </c>
      <c r="D254" s="170" t="n">
        <v>61.5</v>
      </c>
      <c r="E254" s="5" t="n"/>
      <c r="F254" s="5" t="n"/>
      <c r="G254" s="5" t="n"/>
      <c r="H254" s="5" t="n"/>
      <c r="I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BD254" s="5" t="n"/>
      <c r="BE254" s="5" t="n"/>
      <c r="BJ254" s="5" t="n"/>
      <c r="BK254" s="5" t="n"/>
      <c r="BP254" s="5" t="n"/>
      <c r="BQ254" s="5" t="n"/>
      <c r="BV254" s="5" t="n"/>
      <c r="BW254" s="5" t="n"/>
      <c r="BX254" s="5" t="n"/>
      <c r="BY254" s="5" t="n"/>
      <c r="BZ254" s="5" t="n"/>
      <c r="CA254" s="5" t="n"/>
      <c r="CF254" s="5" t="n"/>
    </row>
    <row r="255" ht="16.5" customHeight="1" s="241">
      <c r="A255" s="171" t="n">
        <v>66</v>
      </c>
      <c r="B255" s="171" t="n">
        <v>67</v>
      </c>
      <c r="C255" s="171" t="inlineStr">
        <is>
          <t>Empresas 5</t>
        </is>
      </c>
      <c r="D255" s="170" t="n">
        <v>102</v>
      </c>
      <c r="E255" s="5" t="n"/>
      <c r="F255" s="5" t="n"/>
      <c r="G255" s="5" t="n"/>
      <c r="H255" s="5" t="n"/>
      <c r="I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BD255" s="5" t="n"/>
      <c r="BE255" s="5" t="n"/>
      <c r="BJ255" s="5" t="n"/>
      <c r="BK255" s="5" t="n"/>
      <c r="BP255" s="5" t="n"/>
      <c r="BQ255" s="5" t="n"/>
      <c r="BV255" s="5" t="n"/>
      <c r="BW255" s="5" t="n"/>
      <c r="BX255" s="5" t="n"/>
      <c r="BY255" s="5" t="n"/>
      <c r="BZ255" s="5" t="n"/>
      <c r="CA255" s="5" t="n"/>
      <c r="CF255" s="5" t="n"/>
    </row>
    <row r="256" ht="16.5" customHeight="1" s="241">
      <c r="A256" s="171" t="n">
        <v>68</v>
      </c>
      <c r="B256" s="171" t="n">
        <v>120</v>
      </c>
      <c r="C256" s="171" t="inlineStr">
        <is>
          <t>Empresas 5</t>
        </is>
      </c>
      <c r="D256" s="170" t="n">
        <v>200</v>
      </c>
      <c r="E256" s="5" t="n"/>
      <c r="F256" s="5" t="n"/>
      <c r="G256" s="5" t="n"/>
      <c r="H256" s="5" t="n"/>
      <c r="I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BD256" s="5" t="n"/>
      <c r="BE256" s="5" t="n"/>
      <c r="BJ256" s="5" t="n"/>
      <c r="BK256" s="5" t="n"/>
      <c r="BP256" s="5" t="n"/>
      <c r="BQ256" s="5" t="n"/>
      <c r="BV256" s="5" t="n"/>
      <c r="BW256" s="5" t="n"/>
      <c r="BX256" s="5" t="n"/>
      <c r="BY256" s="5" t="n"/>
      <c r="BZ256" s="5" t="n"/>
      <c r="CA256" s="5" t="n"/>
      <c r="CF256" s="5" t="n"/>
    </row>
    <row r="257" ht="16.5" customHeight="1" s="241">
      <c r="A257" s="171" t="n">
        <v>0</v>
      </c>
      <c r="B257" s="171" t="n">
        <v>65</v>
      </c>
      <c r="C257" s="171" t="inlineStr">
        <is>
          <t>Empresas 6</t>
        </is>
      </c>
      <c r="D257" s="170" t="n">
        <v>62.5</v>
      </c>
      <c r="E257" s="5" t="n"/>
      <c r="F257" s="5" t="n"/>
      <c r="G257" s="5" t="n"/>
      <c r="H257" s="5" t="n"/>
      <c r="I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BD257" s="5" t="n"/>
      <c r="BE257" s="5" t="n"/>
      <c r="BJ257" s="5" t="n"/>
      <c r="BK257" s="5" t="n"/>
      <c r="BP257" s="5" t="n"/>
      <c r="BQ257" s="5" t="n"/>
      <c r="BV257" s="5" t="n"/>
      <c r="BW257" s="5" t="n"/>
      <c r="BX257" s="5" t="n"/>
      <c r="BY257" s="5" t="n"/>
      <c r="BZ257" s="5" t="n"/>
      <c r="CA257" s="5" t="n"/>
      <c r="CF257" s="5" t="n"/>
    </row>
    <row r="258" ht="16.5" customHeight="1" s="241">
      <c r="A258" s="171" t="n">
        <v>66</v>
      </c>
      <c r="B258" s="171" t="n">
        <v>67</v>
      </c>
      <c r="C258" s="171" t="inlineStr">
        <is>
          <t>Empresas 6</t>
        </is>
      </c>
      <c r="D258" s="170" t="n">
        <v>103</v>
      </c>
      <c r="E258" s="5" t="n"/>
      <c r="F258" s="5" t="n"/>
      <c r="G258" s="5" t="n"/>
      <c r="H258" s="5" t="n"/>
      <c r="I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BD258" s="5" t="n"/>
      <c r="BE258" s="5" t="n"/>
      <c r="BJ258" s="5" t="n"/>
      <c r="BK258" s="5" t="n"/>
      <c r="BP258" s="5" t="n"/>
      <c r="BQ258" s="5" t="n"/>
      <c r="BV258" s="5" t="n"/>
      <c r="BW258" s="5" t="n"/>
      <c r="BX258" s="5" t="n"/>
      <c r="BY258" s="5" t="n"/>
      <c r="BZ258" s="5" t="n"/>
      <c r="CA258" s="5" t="n"/>
      <c r="CF258" s="5" t="n"/>
    </row>
    <row r="259" ht="16.5" customHeight="1" s="241">
      <c r="A259" s="171" t="n">
        <v>68</v>
      </c>
      <c r="B259" s="171" t="n">
        <v>120</v>
      </c>
      <c r="C259" s="171" t="inlineStr">
        <is>
          <t>Empresas 6</t>
        </is>
      </c>
      <c r="D259" s="170" t="n">
        <v>201</v>
      </c>
      <c r="E259" s="5" t="n"/>
      <c r="F259" s="5" t="n"/>
      <c r="G259" s="5" t="n"/>
      <c r="H259" s="5" t="n"/>
      <c r="I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BD259" s="5" t="n"/>
      <c r="BE259" s="5" t="n"/>
      <c r="BJ259" s="5" t="n"/>
      <c r="BK259" s="5" t="n"/>
      <c r="BP259" s="5" t="n"/>
      <c r="BQ259" s="5" t="n"/>
      <c r="BV259" s="5" t="n"/>
      <c r="BW259" s="5" t="n"/>
      <c r="BX259" s="5" t="n"/>
      <c r="BY259" s="5" t="n"/>
      <c r="BZ259" s="5" t="n"/>
      <c r="CA259" s="5" t="n"/>
      <c r="CF259" s="5" t="n"/>
    </row>
    <row r="260" ht="16.5" customHeight="1" s="241">
      <c r="A260" s="171" t="n">
        <v>0</v>
      </c>
      <c r="B260" s="171" t="n">
        <v>65</v>
      </c>
      <c r="C260" s="171" t="inlineStr">
        <is>
          <t>Extra Empresas 1</t>
        </is>
      </c>
      <c r="D260" s="170" t="n">
        <v>79</v>
      </c>
      <c r="E260" s="5" t="n"/>
      <c r="F260" s="5" t="n"/>
      <c r="G260" s="5" t="n"/>
      <c r="H260" s="5" t="n"/>
      <c r="I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BD260" s="5" t="n"/>
      <c r="BE260" s="5" t="n"/>
      <c r="BJ260" s="5" t="n"/>
      <c r="BK260" s="5" t="n"/>
      <c r="BP260" s="5" t="n"/>
      <c r="BQ260" s="5" t="n"/>
      <c r="BV260" s="5" t="n"/>
      <c r="BW260" s="5" t="n"/>
      <c r="BX260" s="5" t="n"/>
      <c r="BY260" s="5" t="n"/>
      <c r="BZ260" s="5" t="n"/>
      <c r="CA260" s="5" t="n"/>
      <c r="CF260" s="5" t="n"/>
    </row>
    <row r="261" ht="16.5" customHeight="1" s="241">
      <c r="A261" s="171" t="n">
        <v>66</v>
      </c>
      <c r="B261" s="171" t="n">
        <v>67</v>
      </c>
      <c r="C261" s="171" t="inlineStr">
        <is>
          <t>Extra Empresas 1</t>
        </is>
      </c>
      <c r="D261" s="170" t="n">
        <v>106</v>
      </c>
      <c r="E261" s="5" t="n"/>
      <c r="F261" s="5" t="n"/>
      <c r="G261" s="5" t="n"/>
      <c r="H261" s="5" t="n"/>
      <c r="I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BD261" s="5" t="n"/>
      <c r="BE261" s="5" t="n"/>
      <c r="BJ261" s="5" t="n"/>
      <c r="BK261" s="5" t="n"/>
      <c r="BP261" s="5" t="n"/>
      <c r="BQ261" s="5" t="n"/>
      <c r="BV261" s="5" t="n"/>
      <c r="BW261" s="5" t="n"/>
      <c r="BX261" s="5" t="n"/>
      <c r="BY261" s="5" t="n"/>
      <c r="BZ261" s="5" t="n"/>
      <c r="CA261" s="5" t="n"/>
      <c r="CB261" s="5" t="n"/>
      <c r="CC261" s="5" t="n"/>
      <c r="CD261" s="5" t="n"/>
      <c r="CE261" s="5" t="n"/>
      <c r="CF261" s="5" t="n"/>
    </row>
    <row r="262" ht="16.5" customHeight="1" s="241">
      <c r="A262" s="171" t="n">
        <v>68</v>
      </c>
      <c r="B262" s="171" t="n">
        <v>120</v>
      </c>
      <c r="C262" s="171" t="inlineStr">
        <is>
          <t>Extra Empresas 1</t>
        </is>
      </c>
      <c r="D262" s="170" t="n">
        <v>199</v>
      </c>
      <c r="E262" s="5" t="n"/>
      <c r="F262" s="5" t="n"/>
      <c r="G262" s="5" t="n"/>
      <c r="H262" s="5" t="n"/>
      <c r="I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BD262" s="5" t="n"/>
      <c r="BE262" s="5" t="n"/>
      <c r="BJ262" s="5" t="n"/>
      <c r="BK262" s="5" t="n"/>
      <c r="BP262" s="5" t="n"/>
      <c r="BQ262" s="5" t="n"/>
      <c r="BV262" s="5" t="n"/>
      <c r="BW262" s="5" t="n"/>
      <c r="BX262" s="5" t="n"/>
      <c r="BY262" s="5" t="n"/>
      <c r="BZ262" s="5" t="n"/>
      <c r="CA262" s="5" t="n"/>
      <c r="CB262" s="5" t="n"/>
      <c r="CC262" s="5" t="n"/>
      <c r="CD262" s="5" t="n"/>
      <c r="CE262" s="5" t="n"/>
      <c r="CF262" s="5" t="n"/>
    </row>
    <row r="263" ht="16.5" customHeight="1" s="241">
      <c r="A263" s="171" t="n">
        <v>0</v>
      </c>
      <c r="B263" s="171" t="n">
        <v>65</v>
      </c>
      <c r="C263" s="171" t="inlineStr">
        <is>
          <t>Extra Empresas 2</t>
        </is>
      </c>
      <c r="D263" s="170" t="n">
        <v>81.5</v>
      </c>
      <c r="E263" s="5" t="n"/>
      <c r="F263" s="5" t="n"/>
      <c r="G263" s="5" t="n"/>
      <c r="H263" s="5" t="n"/>
      <c r="I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BD263" s="5" t="n"/>
      <c r="BE263" s="5" t="n"/>
      <c r="BJ263" s="5" t="n"/>
      <c r="BK263" s="5" t="n"/>
      <c r="BP263" s="5" t="n"/>
      <c r="BQ263" s="5" t="n"/>
      <c r="BV263" s="5" t="n"/>
      <c r="BW263" s="5" t="n"/>
      <c r="BX263" s="5" t="n"/>
      <c r="BY263" s="5" t="n"/>
      <c r="BZ263" s="5" t="n"/>
      <c r="CA263" s="5" t="n"/>
      <c r="CB263" s="5" t="n"/>
      <c r="CC263" s="5" t="n"/>
      <c r="CD263" s="5" t="n"/>
      <c r="CE263" s="5" t="n"/>
      <c r="CF263" s="5" t="n"/>
    </row>
    <row r="264" ht="16.5" customHeight="1" s="241">
      <c r="A264" s="171" t="n">
        <v>66</v>
      </c>
      <c r="B264" s="171" t="n">
        <v>67</v>
      </c>
      <c r="C264" s="171" t="inlineStr">
        <is>
          <t>Extra Empresas 2</t>
        </is>
      </c>
      <c r="D264" s="170" t="n">
        <v>115</v>
      </c>
      <c r="E264" s="5" t="n"/>
      <c r="F264" s="5" t="n"/>
      <c r="G264" s="5" t="n"/>
      <c r="H264" s="5" t="n"/>
      <c r="I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BD264" s="5" t="n"/>
      <c r="BE264" s="5" t="n"/>
      <c r="BJ264" s="5" t="n"/>
      <c r="BK264" s="5" t="n"/>
      <c r="BP264" s="5" t="n"/>
      <c r="BQ264" s="5" t="n"/>
      <c r="BV264" s="5" t="n"/>
      <c r="BW264" s="5" t="n"/>
      <c r="BX264" s="5" t="n"/>
      <c r="BY264" s="5" t="n"/>
      <c r="BZ264" s="5" t="n"/>
      <c r="CA264" s="5" t="n"/>
      <c r="CB264" s="5" t="n"/>
      <c r="CC264" s="5" t="n"/>
      <c r="CD264" s="5" t="n"/>
      <c r="CE264" s="5" t="n"/>
      <c r="CF264" s="5" t="n"/>
    </row>
    <row r="265" ht="16.5" customHeight="1" s="241">
      <c r="A265" s="171" t="n">
        <v>68</v>
      </c>
      <c r="B265" s="171" t="n">
        <v>120</v>
      </c>
      <c r="C265" s="171" t="inlineStr">
        <is>
          <t>Extra Empresas 2</t>
        </is>
      </c>
      <c r="D265" s="170" t="n">
        <v>219</v>
      </c>
      <c r="E265" s="5" t="n"/>
      <c r="F265" s="5" t="n"/>
      <c r="G265" s="5" t="n"/>
      <c r="H265" s="5" t="n"/>
      <c r="I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BD265" s="5" t="n"/>
      <c r="BE265" s="5" t="n"/>
      <c r="BJ265" s="5" t="n"/>
      <c r="BK265" s="5" t="n"/>
      <c r="BP265" s="5" t="n"/>
      <c r="BQ265" s="5" t="n"/>
      <c r="BV265" s="5" t="n"/>
      <c r="BW265" s="5" t="n"/>
      <c r="BX265" s="5" t="n"/>
      <c r="BY265" s="5" t="n"/>
      <c r="BZ265" s="5" t="n"/>
      <c r="CA265" s="5" t="n"/>
      <c r="CB265" s="5" t="n"/>
      <c r="CC265" s="5" t="n"/>
      <c r="CD265" s="5" t="n"/>
      <c r="CE265" s="5" t="n"/>
      <c r="CF265" s="5" t="n"/>
    </row>
    <row r="266" ht="16.5" customHeight="1" s="241">
      <c r="A266" s="171" t="n">
        <v>0</v>
      </c>
      <c r="B266" s="171" t="n">
        <v>65</v>
      </c>
      <c r="C266" s="171" t="inlineStr">
        <is>
          <t>Extra Empresas 3</t>
        </is>
      </c>
      <c r="D266" s="170" t="n">
        <v>82.5</v>
      </c>
      <c r="E266" s="5" t="n"/>
      <c r="F266" s="5" t="n"/>
      <c r="G266" s="5" t="n"/>
      <c r="H266" s="5" t="n"/>
      <c r="I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BD266" s="5" t="n"/>
      <c r="BE266" s="5" t="n"/>
      <c r="BJ266" s="5" t="n"/>
      <c r="BK266" s="5" t="n"/>
      <c r="BP266" s="5" t="n"/>
      <c r="BQ266" s="5" t="n"/>
      <c r="BV266" s="5" t="n"/>
      <c r="BW266" s="5" t="n"/>
      <c r="BX266" s="5" t="n"/>
      <c r="BY266" s="5" t="n"/>
      <c r="BZ266" s="5" t="n"/>
      <c r="CA266" s="5" t="n"/>
      <c r="CB266" s="5" t="n"/>
      <c r="CC266" s="5" t="n"/>
      <c r="CD266" s="5" t="n"/>
      <c r="CE266" s="5" t="n"/>
      <c r="CF266" s="5" t="n"/>
    </row>
    <row r="267" ht="16.5" customHeight="1" s="241">
      <c r="A267" s="171" t="n">
        <v>66</v>
      </c>
      <c r="B267" s="171" t="n">
        <v>67</v>
      </c>
      <c r="C267" s="171" t="inlineStr">
        <is>
          <t>Extra Empresas 3</t>
        </is>
      </c>
      <c r="D267" s="170" t="n">
        <v>120</v>
      </c>
      <c r="E267" s="5" t="n"/>
      <c r="F267" s="5" t="n"/>
      <c r="G267" s="5" t="n"/>
      <c r="H267" s="5" t="n"/>
      <c r="I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BD267" s="5" t="n"/>
      <c r="BE267" s="5" t="n"/>
      <c r="BJ267" s="5" t="n"/>
      <c r="BK267" s="5" t="n"/>
      <c r="BP267" s="5" t="n"/>
      <c r="BQ267" s="5" t="n"/>
      <c r="BV267" s="5" t="n"/>
      <c r="BW267" s="5" t="n"/>
      <c r="BX267" s="5" t="n"/>
      <c r="BY267" s="5" t="n"/>
      <c r="BZ267" s="5" t="n"/>
      <c r="CA267" s="5" t="n"/>
      <c r="CB267" s="5" t="n"/>
      <c r="CC267" s="5" t="n"/>
      <c r="CD267" s="5" t="n"/>
      <c r="CE267" s="5" t="n"/>
      <c r="CF267" s="5" t="n"/>
    </row>
    <row r="268" ht="16.5" customHeight="1" s="241">
      <c r="A268" s="171" t="n">
        <v>68</v>
      </c>
      <c r="B268" s="171" t="n">
        <v>120</v>
      </c>
      <c r="C268" s="171" t="inlineStr">
        <is>
          <t>Extra Empresas 3</t>
        </is>
      </c>
      <c r="D268" s="170" t="n">
        <v>225</v>
      </c>
      <c r="E268" s="5" t="n"/>
      <c r="F268" s="5" t="n"/>
      <c r="G268" s="5" t="n"/>
      <c r="H268" s="5" t="n"/>
      <c r="I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BD268" s="5" t="n"/>
      <c r="BE268" s="5" t="n"/>
      <c r="BJ268" s="5" t="n"/>
      <c r="BK268" s="5" t="n"/>
      <c r="BP268" s="5" t="n"/>
      <c r="BQ268" s="5" t="n"/>
      <c r="BV268" s="5" t="n"/>
      <c r="BW268" s="5" t="n"/>
      <c r="BX268" s="5" t="n"/>
      <c r="BY268" s="5" t="n"/>
      <c r="BZ268" s="5" t="n"/>
      <c r="CA268" s="5" t="n"/>
      <c r="CB268" s="5" t="n"/>
      <c r="CC268" s="5" t="n"/>
      <c r="CD268" s="5" t="n"/>
      <c r="CE268" s="5" t="n"/>
      <c r="CF268" s="5" t="n"/>
    </row>
    <row r="269" ht="16.5" customHeight="1" s="241">
      <c r="A269" s="171" t="n">
        <v>0</v>
      </c>
      <c r="B269" s="171" t="n">
        <v>65</v>
      </c>
      <c r="C269" s="171" t="inlineStr">
        <is>
          <t>Extra Empresas 4</t>
        </is>
      </c>
      <c r="D269" s="170" t="n">
        <v>85</v>
      </c>
      <c r="E269" s="5" t="n"/>
      <c r="F269" s="5" t="n"/>
      <c r="G269" s="5" t="n"/>
      <c r="H269" s="5" t="n"/>
      <c r="I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BD269" s="5" t="n"/>
      <c r="BE269" s="5" t="n"/>
      <c r="BJ269" s="5" t="n"/>
      <c r="BK269" s="5" t="n"/>
      <c r="BP269" s="5" t="n"/>
      <c r="BQ269" s="5" t="n"/>
      <c r="BV269" s="5" t="n"/>
      <c r="BW269" s="5" t="n"/>
      <c r="BX269" s="5" t="n"/>
      <c r="BY269" s="5" t="n"/>
      <c r="BZ269" s="5" t="n"/>
      <c r="CA269" s="5" t="n"/>
      <c r="CB269" s="5" t="n"/>
      <c r="CC269" s="5" t="n"/>
      <c r="CD269" s="5" t="n"/>
      <c r="CE269" s="5" t="n"/>
      <c r="CF269" s="5" t="n"/>
    </row>
    <row r="270" ht="16.5" customHeight="1" s="241">
      <c r="A270" s="171" t="n">
        <v>66</v>
      </c>
      <c r="B270" s="171" t="n">
        <v>67</v>
      </c>
      <c r="C270" s="171" t="inlineStr">
        <is>
          <t>Extra Empresas 4</t>
        </is>
      </c>
      <c r="D270" s="170" t="n">
        <v>120.5</v>
      </c>
      <c r="E270" s="5" t="n"/>
      <c r="F270" s="5" t="n"/>
      <c r="G270" s="5" t="n"/>
      <c r="H270" s="5" t="n"/>
      <c r="I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BD270" s="5" t="n"/>
      <c r="BE270" s="5" t="n"/>
      <c r="BJ270" s="5" t="n"/>
      <c r="BK270" s="5" t="n"/>
      <c r="BP270" s="5" t="n"/>
      <c r="BQ270" s="5" t="n"/>
      <c r="BV270" s="5" t="n"/>
      <c r="BW270" s="5" t="n"/>
      <c r="BX270" s="5" t="n"/>
      <c r="BY270" s="5" t="n"/>
      <c r="BZ270" s="5" t="n"/>
      <c r="CA270" s="5" t="n"/>
      <c r="CB270" s="5" t="n"/>
      <c r="CC270" s="5" t="n"/>
      <c r="CD270" s="5" t="n"/>
      <c r="CE270" s="5" t="n"/>
      <c r="CF270" s="5" t="n"/>
    </row>
    <row r="271" ht="16.5" customHeight="1" s="241">
      <c r="A271" s="171" t="n">
        <v>68</v>
      </c>
      <c r="B271" s="171" t="n">
        <v>120</v>
      </c>
      <c r="C271" s="171" t="inlineStr">
        <is>
          <t>Extra Empresas 4</t>
        </is>
      </c>
      <c r="D271" s="170" t="n">
        <v>225.5</v>
      </c>
      <c r="E271" s="5" t="n"/>
      <c r="F271" s="5" t="n"/>
      <c r="G271" s="5" t="n"/>
      <c r="H271" s="5" t="n"/>
      <c r="I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BD271" s="5" t="n"/>
      <c r="BE271" s="5" t="n"/>
      <c r="BJ271" s="5" t="n"/>
      <c r="BK271" s="5" t="n"/>
      <c r="BP271" s="5" t="n"/>
      <c r="BQ271" s="5" t="n"/>
      <c r="BV271" s="5" t="n"/>
      <c r="BW271" s="5" t="n"/>
      <c r="BX271" s="5" t="n"/>
      <c r="BY271" s="5" t="n"/>
      <c r="BZ271" s="5" t="n"/>
      <c r="CA271" s="5" t="n"/>
      <c r="CB271" s="5" t="n"/>
      <c r="CC271" s="5" t="n"/>
      <c r="CD271" s="5" t="n"/>
      <c r="CE271" s="5" t="n"/>
      <c r="CF271" s="5" t="n"/>
    </row>
    <row r="272" ht="16.5" customHeight="1" s="241">
      <c r="A272" s="171" t="n">
        <v>0</v>
      </c>
      <c r="B272" s="171" t="n">
        <v>65</v>
      </c>
      <c r="C272" s="171" t="inlineStr">
        <is>
          <t>Extra Empresas 5</t>
        </is>
      </c>
      <c r="D272" s="170" t="n">
        <v>87</v>
      </c>
      <c r="E272" s="5" t="n"/>
      <c r="F272" s="5" t="n"/>
      <c r="G272" s="5" t="n"/>
      <c r="H272" s="5" t="n"/>
      <c r="I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BD272" s="5" t="n"/>
      <c r="BE272" s="5" t="n"/>
      <c r="BJ272" s="5" t="n"/>
      <c r="BK272" s="5" t="n"/>
      <c r="BP272" s="5" t="n"/>
      <c r="BQ272" s="5" t="n"/>
      <c r="BV272" s="5" t="n"/>
      <c r="BW272" s="5" t="n"/>
      <c r="BX272" s="5" t="n"/>
      <c r="BY272" s="5" t="n"/>
      <c r="BZ272" s="5" t="n"/>
      <c r="CA272" s="5" t="n"/>
      <c r="CB272" s="5" t="n"/>
      <c r="CC272" s="5" t="n"/>
      <c r="CD272" s="5" t="n"/>
      <c r="CE272" s="5" t="n"/>
      <c r="CF272" s="5" t="n"/>
    </row>
    <row r="273" ht="16.5" customHeight="1" s="241">
      <c r="A273" s="171" t="n">
        <v>66</v>
      </c>
      <c r="B273" s="171" t="n">
        <v>67</v>
      </c>
      <c r="C273" s="171" t="inlineStr">
        <is>
          <t>Extra Empresas 5</t>
        </is>
      </c>
      <c r="D273" s="170" t="n">
        <v>121</v>
      </c>
      <c r="E273" s="5" t="n"/>
      <c r="F273" s="5" t="n"/>
      <c r="G273" s="5" t="n"/>
      <c r="H273" s="5" t="n"/>
      <c r="I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BD273" s="5" t="n"/>
      <c r="BE273" s="5" t="n"/>
      <c r="BJ273" s="5" t="n"/>
      <c r="BK273" s="5" t="n"/>
      <c r="BP273" s="5" t="n"/>
      <c r="BQ273" s="5" t="n"/>
      <c r="BV273" s="5" t="n"/>
      <c r="BW273" s="5" t="n"/>
      <c r="BX273" s="5" t="n"/>
      <c r="BY273" s="5" t="n"/>
      <c r="BZ273" s="5" t="n"/>
      <c r="CA273" s="5" t="n"/>
      <c r="CB273" s="5" t="n"/>
      <c r="CC273" s="5" t="n"/>
      <c r="CD273" s="5" t="n"/>
      <c r="CE273" s="5" t="n"/>
      <c r="CF273" s="5" t="n"/>
    </row>
    <row r="274" ht="16.5" customHeight="1" s="241">
      <c r="A274" s="171" t="n">
        <v>68</v>
      </c>
      <c r="B274" s="171" t="n">
        <v>120</v>
      </c>
      <c r="C274" s="171" t="inlineStr">
        <is>
          <t>Extra Empresas 5</t>
        </is>
      </c>
      <c r="D274" s="170" t="n">
        <v>226</v>
      </c>
      <c r="E274" s="5" t="n"/>
      <c r="F274" s="5" t="n"/>
      <c r="G274" s="5" t="n"/>
      <c r="H274" s="5" t="n"/>
      <c r="I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BD274" s="5" t="n"/>
      <c r="BE274" s="5" t="n"/>
      <c r="BJ274" s="5" t="n"/>
      <c r="BK274" s="5" t="n"/>
      <c r="BP274" s="5" t="n"/>
      <c r="BQ274" s="5" t="n"/>
      <c r="BV274" s="5" t="n"/>
      <c r="BW274" s="5" t="n"/>
      <c r="BX274" s="5" t="n"/>
      <c r="BY274" s="5" t="n"/>
      <c r="BZ274" s="5" t="n"/>
      <c r="CA274" s="5" t="n"/>
      <c r="CB274" s="5" t="n"/>
      <c r="CC274" s="5" t="n"/>
      <c r="CD274" s="5" t="n"/>
      <c r="CE274" s="5" t="n"/>
      <c r="CF274" s="5" t="n"/>
    </row>
    <row r="275" ht="16.5" customHeight="1" s="241">
      <c r="A275" s="171" t="n">
        <v>0</v>
      </c>
      <c r="B275" s="171" t="n">
        <v>65</v>
      </c>
      <c r="C275" s="171" t="inlineStr">
        <is>
          <t>Extra Empresas 6</t>
        </is>
      </c>
      <c r="D275" s="170" t="n">
        <v>88.5</v>
      </c>
      <c r="E275" s="5" t="n"/>
      <c r="F275" s="5" t="n"/>
      <c r="G275" s="5" t="n"/>
      <c r="H275" s="5" t="n"/>
      <c r="I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BD275" s="5" t="n"/>
      <c r="BE275" s="5" t="n"/>
      <c r="BJ275" s="5" t="n"/>
      <c r="BK275" s="5" t="n"/>
      <c r="BP275" s="5" t="n"/>
      <c r="BQ275" s="5" t="n"/>
      <c r="BV275" s="5" t="n"/>
      <c r="BW275" s="5" t="n"/>
      <c r="BX275" s="5" t="n"/>
      <c r="BY275" s="5" t="n"/>
      <c r="BZ275" s="5" t="n"/>
      <c r="CA275" s="5" t="n"/>
      <c r="CB275" s="5" t="n"/>
      <c r="CC275" s="5" t="n"/>
      <c r="CD275" s="5" t="n"/>
      <c r="CE275" s="5" t="n"/>
      <c r="CF275" s="5" t="n"/>
    </row>
    <row r="276" ht="16.5" customHeight="1" s="241">
      <c r="A276" s="171" t="n">
        <v>66</v>
      </c>
      <c r="B276" s="171" t="n">
        <v>67</v>
      </c>
      <c r="C276" s="171" t="inlineStr">
        <is>
          <t>Extra Empresas 6</t>
        </is>
      </c>
      <c r="D276" s="170" t="n">
        <v>121.5</v>
      </c>
      <c r="E276" s="5" t="n"/>
      <c r="F276" s="5" t="n"/>
      <c r="G276" s="5" t="n"/>
      <c r="H276" s="5" t="n"/>
      <c r="I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BD276" s="5" t="n"/>
      <c r="BE276" s="5" t="n"/>
      <c r="BJ276" s="5" t="n"/>
      <c r="BK276" s="5" t="n"/>
      <c r="BP276" s="5" t="n"/>
      <c r="BQ276" s="5" t="n"/>
      <c r="BV276" s="5" t="n"/>
      <c r="BW276" s="5" t="n"/>
      <c r="BX276" s="5" t="n"/>
      <c r="BY276" s="5" t="n"/>
      <c r="BZ276" s="5" t="n"/>
      <c r="CA276" s="5" t="n"/>
      <c r="CB276" s="5" t="n"/>
      <c r="CC276" s="5" t="n"/>
      <c r="CD276" s="5" t="n"/>
      <c r="CE276" s="5" t="n"/>
      <c r="CF276" s="5" t="n"/>
    </row>
    <row r="277" ht="16.5" customHeight="1" s="241">
      <c r="A277" s="171" t="n">
        <v>68</v>
      </c>
      <c r="B277" s="171" t="n">
        <v>120</v>
      </c>
      <c r="C277" s="171" t="inlineStr">
        <is>
          <t>Extra Empresas 6</t>
        </is>
      </c>
      <c r="D277" s="170" t="n">
        <v>227</v>
      </c>
      <c r="E277" s="5" t="n"/>
      <c r="F277" s="5" t="n"/>
      <c r="G277" s="5" t="n"/>
      <c r="H277" s="5" t="n"/>
      <c r="I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BD277" s="5" t="n"/>
      <c r="BE277" s="5" t="n"/>
      <c r="BJ277" s="5" t="n"/>
      <c r="BK277" s="5" t="n"/>
      <c r="BP277" s="5" t="n"/>
      <c r="BQ277" s="5" t="n"/>
      <c r="BV277" s="5" t="n"/>
      <c r="BW277" s="5" t="n"/>
      <c r="BX277" s="5" t="n"/>
      <c r="BY277" s="5" t="n"/>
      <c r="BZ277" s="5" t="n"/>
      <c r="CA277" s="5" t="n"/>
      <c r="CB277" s="5" t="n"/>
      <c r="CC277" s="5" t="n"/>
      <c r="CD277" s="5" t="n"/>
      <c r="CE277" s="5" t="n"/>
      <c r="CF277" s="5" t="n"/>
    </row>
    <row r="278" ht="16.5" customHeight="1" s="241">
      <c r="A278" s="171" t="n">
        <v>0</v>
      </c>
      <c r="B278" s="171" t="n">
        <v>49</v>
      </c>
      <c r="C278" s="171" t="inlineStr">
        <is>
          <t>Seniors 1</t>
        </is>
      </c>
      <c r="D278" s="170" t="inlineStr">
        <is>
          <t>No asegurable</t>
        </is>
      </c>
      <c r="E278" s="5" t="n"/>
      <c r="F278" s="5" t="n"/>
      <c r="G278" s="5" t="n"/>
      <c r="H278" s="5" t="n"/>
      <c r="I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BD278" s="5" t="n"/>
      <c r="BE278" s="5" t="n"/>
      <c r="BJ278" s="5" t="n"/>
      <c r="BK278" s="5" t="n"/>
      <c r="BP278" s="5" t="n"/>
      <c r="BQ278" s="5" t="n"/>
      <c r="BV278" s="5" t="n"/>
      <c r="BW278" s="5" t="n"/>
      <c r="BX278" s="5" t="n"/>
      <c r="BY278" s="5" t="n"/>
      <c r="BZ278" s="5" t="n"/>
      <c r="CA278" s="5" t="n"/>
      <c r="CB278" s="5" t="n"/>
      <c r="CC278" s="5" t="n"/>
      <c r="CD278" s="5" t="n"/>
      <c r="CE278" s="5" t="n"/>
      <c r="CF278" s="5" t="n"/>
    </row>
    <row r="279" ht="16.5" customHeight="1" s="241">
      <c r="A279" s="171" t="n">
        <v>50</v>
      </c>
      <c r="B279" s="171" t="n">
        <v>54</v>
      </c>
      <c r="C279" s="171" t="inlineStr">
        <is>
          <t>Seniors 1</t>
        </is>
      </c>
      <c r="D279" s="170" t="n">
        <v>67.5</v>
      </c>
      <c r="E279" s="5" t="n"/>
      <c r="F279" s="5" t="n"/>
      <c r="G279" s="5" t="n"/>
      <c r="H279" s="5" t="n"/>
      <c r="I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BD279" s="5" t="n"/>
      <c r="BE279" s="5" t="n"/>
      <c r="BJ279" s="5" t="n"/>
      <c r="BK279" s="5" t="n"/>
      <c r="BP279" s="5" t="n"/>
      <c r="BQ279" s="5" t="n"/>
      <c r="BV279" s="5" t="n"/>
      <c r="BW279" s="5" t="n"/>
      <c r="BX279" s="5" t="n"/>
      <c r="BY279" s="5" t="n"/>
      <c r="BZ279" s="5" t="n"/>
      <c r="CA279" s="5" t="n"/>
      <c r="CB279" s="5" t="n"/>
      <c r="CC279" s="5" t="n"/>
      <c r="CD279" s="5" t="n"/>
      <c r="CE279" s="5" t="n"/>
      <c r="CF279" s="5" t="n"/>
    </row>
    <row r="280" ht="16.5" customHeight="1" s="241">
      <c r="A280" s="171" t="n">
        <v>55</v>
      </c>
      <c r="B280" s="171" t="n">
        <v>59</v>
      </c>
      <c r="C280" s="171" t="inlineStr">
        <is>
          <t>Seniors 1</t>
        </is>
      </c>
      <c r="D280" s="170" t="n">
        <v>67.5</v>
      </c>
      <c r="E280" s="5" t="n"/>
      <c r="F280" s="5" t="n"/>
      <c r="G280" s="5" t="n"/>
      <c r="H280" s="5" t="n"/>
      <c r="I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BD280" s="5" t="n"/>
      <c r="BE280" s="5" t="n"/>
      <c r="BJ280" s="5" t="n"/>
      <c r="BK280" s="5" t="n"/>
      <c r="BP280" s="5" t="n"/>
      <c r="BQ280" s="5" t="n"/>
      <c r="BV280" s="5" t="n"/>
      <c r="BW280" s="5" t="n"/>
      <c r="BX280" s="5" t="n"/>
      <c r="BY280" s="5" t="n"/>
      <c r="BZ280" s="5" t="n"/>
      <c r="CA280" s="5" t="n"/>
      <c r="CB280" s="5" t="n"/>
      <c r="CC280" s="5" t="n"/>
      <c r="CD280" s="5" t="n"/>
      <c r="CE280" s="5" t="n"/>
      <c r="CF280" s="5" t="n"/>
    </row>
    <row r="281" ht="16.5" customHeight="1" s="241">
      <c r="A281" s="171" t="n">
        <v>60</v>
      </c>
      <c r="B281" s="171" t="n">
        <v>64</v>
      </c>
      <c r="C281" s="171" t="inlineStr">
        <is>
          <t>Seniors 1</t>
        </is>
      </c>
      <c r="D281" s="170" t="n">
        <v>86</v>
      </c>
      <c r="E281" s="5" t="n"/>
      <c r="F281" s="5" t="n"/>
      <c r="G281" s="5" t="n"/>
      <c r="H281" s="5" t="n"/>
      <c r="I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BD281" s="5" t="n"/>
      <c r="BE281" s="5" t="n"/>
      <c r="BJ281" s="5" t="n"/>
      <c r="BK281" s="5" t="n"/>
      <c r="BP281" s="5" t="n"/>
      <c r="BQ281" s="5" t="n"/>
      <c r="BV281" s="5" t="n"/>
      <c r="BW281" s="5" t="n"/>
      <c r="BX281" s="5" t="n"/>
      <c r="BY281" s="5" t="n"/>
      <c r="BZ281" s="5" t="n"/>
      <c r="CA281" s="5" t="n"/>
      <c r="CB281" s="5" t="n"/>
      <c r="CC281" s="5" t="n"/>
      <c r="CD281" s="5" t="n"/>
      <c r="CE281" s="5" t="n"/>
      <c r="CF281" s="5" t="n"/>
    </row>
    <row r="282" ht="16.5" customHeight="1" s="241">
      <c r="A282" s="171" t="n">
        <v>65</v>
      </c>
      <c r="B282" s="171" t="n">
        <v>69</v>
      </c>
      <c r="C282" s="171" t="inlineStr">
        <is>
          <t>Seniors 1</t>
        </is>
      </c>
      <c r="D282" s="170" t="n">
        <v>103</v>
      </c>
      <c r="E282" s="5" t="n"/>
      <c r="F282" s="5" t="n"/>
      <c r="G282" s="5" t="n"/>
      <c r="H282" s="5" t="n"/>
      <c r="I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BD282" s="5" t="n"/>
      <c r="BE282" s="5" t="n"/>
      <c r="BJ282" s="5" t="n"/>
      <c r="BK282" s="5" t="n"/>
      <c r="BP282" s="5" t="n"/>
      <c r="BQ282" s="5" t="n"/>
      <c r="BV282" s="5" t="n"/>
      <c r="BW282" s="5" t="n"/>
      <c r="BX282" s="5" t="n"/>
      <c r="BY282" s="5" t="n"/>
      <c r="BZ282" s="5" t="n"/>
      <c r="CA282" s="5" t="n"/>
      <c r="CB282" s="5" t="n"/>
      <c r="CC282" s="5" t="n"/>
      <c r="CD282" s="5" t="n"/>
      <c r="CE282" s="5" t="n"/>
      <c r="CF282" s="5" t="n"/>
    </row>
    <row r="283" ht="16.5" customHeight="1" s="241">
      <c r="A283" s="171" t="n">
        <v>70</v>
      </c>
      <c r="B283" s="171" t="n">
        <v>74</v>
      </c>
      <c r="C283" s="171" t="inlineStr">
        <is>
          <t>Seniors 1</t>
        </is>
      </c>
      <c r="D283" s="170" t="n">
        <v>133</v>
      </c>
      <c r="E283" s="5" t="n"/>
      <c r="F283" s="5" t="n"/>
      <c r="G283" s="5" t="n"/>
      <c r="H283" s="5" t="n"/>
      <c r="I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BD283" s="5" t="n"/>
      <c r="BE283" s="5" t="n"/>
      <c r="BJ283" s="5" t="n"/>
      <c r="BK283" s="5" t="n"/>
      <c r="BP283" s="5" t="n"/>
      <c r="BQ283" s="5" t="n"/>
      <c r="BV283" s="5" t="n"/>
      <c r="BW283" s="5" t="n"/>
      <c r="BX283" s="5" t="n"/>
      <c r="BY283" s="5" t="n"/>
      <c r="BZ283" s="5" t="n"/>
      <c r="CA283" s="5" t="n"/>
      <c r="CB283" s="5" t="n"/>
      <c r="CC283" s="5" t="n"/>
      <c r="CD283" s="5" t="n"/>
      <c r="CE283" s="5" t="n"/>
      <c r="CF283" s="5" t="n"/>
    </row>
    <row r="284" ht="16.5" customHeight="1" s="241">
      <c r="A284" s="171" t="n">
        <v>75</v>
      </c>
      <c r="B284" s="171" t="n">
        <v>79</v>
      </c>
      <c r="C284" s="171" t="inlineStr">
        <is>
          <t>Seniors 1</t>
        </is>
      </c>
      <c r="D284" s="170" t="n">
        <v>162</v>
      </c>
      <c r="E284" s="5" t="n"/>
      <c r="F284" s="5" t="n"/>
      <c r="G284" s="5" t="n"/>
      <c r="H284" s="5" t="n"/>
      <c r="I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BD284" s="5" t="n"/>
      <c r="BE284" s="5" t="n"/>
      <c r="BJ284" s="5" t="n"/>
      <c r="BK284" s="5" t="n"/>
      <c r="BP284" s="5" t="n"/>
      <c r="BQ284" s="5" t="n"/>
      <c r="BV284" s="5" t="n"/>
      <c r="BW284" s="5" t="n"/>
      <c r="BX284" s="5" t="n"/>
      <c r="BY284" s="5" t="n"/>
      <c r="BZ284" s="5" t="n"/>
      <c r="CA284" s="5" t="n"/>
      <c r="CB284" s="5" t="n"/>
      <c r="CC284" s="5" t="n"/>
      <c r="CD284" s="5" t="n"/>
      <c r="CE284" s="5" t="n"/>
      <c r="CF284" s="5" t="n"/>
    </row>
    <row r="285" ht="16.5" customHeight="1" s="241">
      <c r="A285" s="171" t="n">
        <v>80</v>
      </c>
      <c r="B285" s="171" t="n">
        <v>84</v>
      </c>
      <c r="C285" s="171" t="inlineStr">
        <is>
          <t>Seniors 1</t>
        </is>
      </c>
      <c r="D285" s="170" t="n">
        <v>170</v>
      </c>
      <c r="E285" s="5" t="n"/>
      <c r="F285" s="5" t="n"/>
      <c r="G285" s="5" t="n"/>
      <c r="H285" s="5" t="n"/>
      <c r="I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BD285" s="5" t="n"/>
      <c r="BE285" s="5" t="n"/>
      <c r="BJ285" s="5" t="n"/>
      <c r="BK285" s="5" t="n"/>
      <c r="BP285" s="5" t="n"/>
      <c r="BQ285" s="5" t="n"/>
      <c r="BV285" s="5" t="n"/>
      <c r="BW285" s="5" t="n"/>
      <c r="BX285" s="5" t="n"/>
      <c r="BY285" s="5" t="n"/>
      <c r="BZ285" s="5" t="n"/>
      <c r="CA285" s="5" t="n"/>
      <c r="CB285" s="5" t="n"/>
      <c r="CC285" s="5" t="n"/>
      <c r="CD285" s="5" t="n"/>
      <c r="CE285" s="5" t="n"/>
      <c r="CF285" s="5" t="n"/>
    </row>
    <row r="286" ht="16.5" customHeight="1" s="241">
      <c r="A286" s="171" t="n">
        <v>85</v>
      </c>
      <c r="B286" s="171" t="n">
        <v>120</v>
      </c>
      <c r="C286" s="171" t="inlineStr">
        <is>
          <t>Seniors 1</t>
        </is>
      </c>
      <c r="D286" s="170" t="inlineStr">
        <is>
          <t>No asegurable</t>
        </is>
      </c>
      <c r="E286" s="5" t="n"/>
      <c r="F286" s="5" t="n"/>
      <c r="G286" s="5" t="n"/>
      <c r="H286" s="5" t="n"/>
      <c r="I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BD286" s="5" t="n"/>
      <c r="BE286" s="5" t="n"/>
      <c r="BJ286" s="5" t="n"/>
      <c r="BK286" s="5" t="n"/>
      <c r="BP286" s="5" t="n"/>
      <c r="BQ286" s="5" t="n"/>
      <c r="BV286" s="5" t="n"/>
      <c r="BW286" s="5" t="n"/>
      <c r="BX286" s="5" t="n"/>
      <c r="BY286" s="5" t="n"/>
      <c r="BZ286" s="5" t="n"/>
      <c r="CA286" s="5" t="n"/>
      <c r="CB286" s="5" t="n"/>
      <c r="CC286" s="5" t="n"/>
      <c r="CD286" s="5" t="n"/>
      <c r="CE286" s="5" t="n"/>
      <c r="CF286" s="5" t="n"/>
    </row>
    <row r="287" ht="16.5" customHeight="1" s="241">
      <c r="A287" s="171" t="n">
        <v>0</v>
      </c>
      <c r="B287" s="171" t="n">
        <v>49</v>
      </c>
      <c r="C287" s="171" t="inlineStr">
        <is>
          <t>Seniors 2</t>
        </is>
      </c>
      <c r="D287" s="170" t="inlineStr">
        <is>
          <t>No asegurable</t>
        </is>
      </c>
      <c r="E287" s="5" t="n"/>
      <c r="F287" s="5" t="n"/>
      <c r="G287" s="5" t="n"/>
      <c r="H287" s="5" t="n"/>
      <c r="I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BD287" s="5" t="n"/>
      <c r="BE287" s="5" t="n"/>
      <c r="BJ287" s="5" t="n"/>
      <c r="BK287" s="5" t="n"/>
      <c r="BP287" s="5" t="n"/>
      <c r="BQ287" s="5" t="n"/>
      <c r="BV287" s="5" t="n"/>
      <c r="BW287" s="5" t="n"/>
      <c r="BX287" s="5" t="n"/>
      <c r="BY287" s="5" t="n"/>
      <c r="BZ287" s="5" t="n"/>
      <c r="CA287" s="5" t="n"/>
      <c r="CB287" s="5" t="n"/>
      <c r="CC287" s="5" t="n"/>
      <c r="CD287" s="5" t="n"/>
      <c r="CE287" s="5" t="n"/>
      <c r="CF287" s="5" t="n"/>
    </row>
    <row r="288" ht="16.5" customHeight="1" s="241">
      <c r="A288" s="171" t="n">
        <v>50</v>
      </c>
      <c r="B288" s="171" t="n">
        <v>54</v>
      </c>
      <c r="C288" s="171" t="inlineStr">
        <is>
          <t>Seniors 2</t>
        </is>
      </c>
      <c r="D288" s="170" t="n">
        <v>70</v>
      </c>
      <c r="E288" s="5" t="n"/>
      <c r="F288" s="5" t="n"/>
      <c r="G288" s="5" t="n"/>
      <c r="H288" s="5" t="n"/>
      <c r="I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BD288" s="5" t="n"/>
      <c r="BE288" s="5" t="n"/>
      <c r="BJ288" s="5" t="n"/>
      <c r="BK288" s="5" t="n"/>
      <c r="BP288" s="5" t="n"/>
      <c r="BQ288" s="5" t="n"/>
      <c r="BV288" s="5" t="n"/>
      <c r="BW288" s="5" t="n"/>
      <c r="BX288" s="5" t="n"/>
      <c r="BY288" s="5" t="n"/>
      <c r="BZ288" s="5" t="n"/>
      <c r="CA288" s="5" t="n"/>
      <c r="CB288" s="5" t="n"/>
      <c r="CC288" s="5" t="n"/>
      <c r="CD288" s="5" t="n"/>
      <c r="CE288" s="5" t="n"/>
      <c r="CF288" s="5" t="n"/>
    </row>
    <row r="289" ht="16.5" customHeight="1" s="241">
      <c r="A289" s="171" t="n">
        <v>55</v>
      </c>
      <c r="B289" s="171" t="n">
        <v>59</v>
      </c>
      <c r="C289" s="171" t="inlineStr">
        <is>
          <t>Seniors 2</t>
        </is>
      </c>
      <c r="D289" s="170" t="n">
        <v>70</v>
      </c>
      <c r="E289" s="5" t="n"/>
      <c r="F289" s="5" t="n"/>
      <c r="G289" s="5" t="n"/>
      <c r="H289" s="5" t="n"/>
      <c r="I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BD289" s="5" t="n"/>
      <c r="BE289" s="5" t="n"/>
      <c r="BJ289" s="5" t="n"/>
      <c r="BK289" s="5" t="n"/>
      <c r="BP289" s="5" t="n"/>
      <c r="BQ289" s="5" t="n"/>
      <c r="BV289" s="5" t="n"/>
      <c r="BW289" s="5" t="n"/>
      <c r="BX289" s="5" t="n"/>
      <c r="BY289" s="5" t="n"/>
      <c r="BZ289" s="5" t="n"/>
      <c r="CA289" s="5" t="n"/>
      <c r="CB289" s="5" t="n"/>
      <c r="CC289" s="5" t="n"/>
      <c r="CD289" s="5" t="n"/>
      <c r="CE289" s="5" t="n"/>
      <c r="CF289" s="5" t="n"/>
    </row>
    <row r="290" ht="16.5" customHeight="1" s="241">
      <c r="A290" s="171" t="n">
        <v>60</v>
      </c>
      <c r="B290" s="171" t="n">
        <v>64</v>
      </c>
      <c r="C290" s="171" t="inlineStr">
        <is>
          <t>Seniors 2</t>
        </is>
      </c>
      <c r="D290" s="170" t="n">
        <v>88</v>
      </c>
      <c r="E290" s="5" t="n"/>
      <c r="F290" s="5" t="n"/>
      <c r="G290" s="5" t="n"/>
      <c r="H290" s="5" t="n"/>
      <c r="I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BD290" s="5" t="n"/>
      <c r="BE290" s="5" t="n"/>
      <c r="BJ290" s="5" t="n"/>
      <c r="BK290" s="5" t="n"/>
      <c r="BP290" s="5" t="n"/>
      <c r="BQ290" s="5" t="n"/>
      <c r="BV290" s="5" t="n"/>
      <c r="BW290" s="5" t="n"/>
      <c r="BX290" s="5" t="n"/>
      <c r="BY290" s="5" t="n"/>
      <c r="BZ290" s="5" t="n"/>
      <c r="CA290" s="5" t="n"/>
      <c r="CB290" s="5" t="n"/>
      <c r="CC290" s="5" t="n"/>
      <c r="CD290" s="5" t="n"/>
      <c r="CE290" s="5" t="n"/>
      <c r="CF290" s="5" t="n"/>
    </row>
    <row r="291" ht="16.5" customHeight="1" s="241">
      <c r="A291" s="171" t="n">
        <v>65</v>
      </c>
      <c r="B291" s="171" t="n">
        <v>69</v>
      </c>
      <c r="C291" s="171" t="inlineStr">
        <is>
          <t>Seniors 2</t>
        </is>
      </c>
      <c r="D291" s="170" t="n">
        <v>105</v>
      </c>
      <c r="E291" s="5" t="n"/>
      <c r="F291" s="5" t="n"/>
      <c r="G291" s="5" t="n"/>
      <c r="H291" s="5" t="n"/>
      <c r="I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BD291" s="5" t="n"/>
      <c r="BE291" s="5" t="n"/>
      <c r="BJ291" s="5" t="n"/>
      <c r="BK291" s="5" t="n"/>
      <c r="BP291" s="5" t="n"/>
      <c r="BQ291" s="5" t="n"/>
      <c r="BR291" s="5" t="n"/>
      <c r="BS291" s="5" t="n"/>
      <c r="BT291" s="5" t="n"/>
      <c r="BU291" s="5" t="n"/>
      <c r="BV291" s="5" t="n"/>
      <c r="BW291" s="5" t="n"/>
      <c r="BX291" s="5" t="n"/>
      <c r="BY291" s="5" t="n"/>
      <c r="BZ291" s="5" t="n"/>
      <c r="CA291" s="5" t="n"/>
      <c r="CB291" s="5" t="n"/>
      <c r="CC291" s="5" t="n"/>
      <c r="CD291" s="5" t="n"/>
      <c r="CE291" s="5" t="n"/>
      <c r="CF291" s="5" t="n"/>
    </row>
    <row r="292" ht="16.5" customHeight="1" s="241">
      <c r="A292" s="171" t="n">
        <v>70</v>
      </c>
      <c r="B292" s="171" t="n">
        <v>74</v>
      </c>
      <c r="C292" s="171" t="inlineStr">
        <is>
          <t>Seniors 2</t>
        </is>
      </c>
      <c r="D292" s="170" t="n">
        <v>138</v>
      </c>
      <c r="E292" s="5" t="n"/>
      <c r="F292" s="5" t="n"/>
      <c r="G292" s="5" t="n"/>
      <c r="H292" s="5" t="n"/>
      <c r="I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BD292" s="5" t="n"/>
      <c r="BE292" s="5" t="n"/>
      <c r="BJ292" s="5" t="n"/>
      <c r="BK292" s="5" t="n"/>
      <c r="BP292" s="5" t="n"/>
      <c r="BQ292" s="5" t="n"/>
      <c r="BR292" s="5" t="n"/>
      <c r="BS292" s="5" t="n"/>
      <c r="BT292" s="5" t="n"/>
      <c r="BU292" s="5" t="n"/>
      <c r="BV292" s="5" t="n"/>
      <c r="BW292" s="5" t="n"/>
      <c r="BX292" s="5" t="n"/>
      <c r="BY292" s="5" t="n"/>
      <c r="BZ292" s="5" t="n"/>
      <c r="CA292" s="5" t="n"/>
      <c r="CB292" s="5" t="n"/>
      <c r="CC292" s="5" t="n"/>
      <c r="CD292" s="5" t="n"/>
      <c r="CE292" s="5" t="n"/>
      <c r="CF292" s="5" t="n"/>
    </row>
    <row r="293" ht="16.5" customHeight="1" s="241">
      <c r="A293" s="171" t="n">
        <v>75</v>
      </c>
      <c r="B293" s="171" t="n">
        <v>79</v>
      </c>
      <c r="C293" s="171" t="inlineStr">
        <is>
          <t>Seniors 2</t>
        </is>
      </c>
      <c r="D293" s="170" t="n">
        <v>167</v>
      </c>
      <c r="E293" s="5" t="n"/>
      <c r="F293" s="5" t="n"/>
      <c r="G293" s="5" t="n"/>
      <c r="H293" s="5" t="n"/>
      <c r="I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BD293" s="5" t="n"/>
      <c r="BE293" s="5" t="n"/>
      <c r="BJ293" s="5" t="n"/>
      <c r="BK293" s="5" t="n"/>
      <c r="BP293" s="5" t="n"/>
      <c r="BQ293" s="5" t="n"/>
      <c r="BR293" s="5" t="n"/>
      <c r="BS293" s="5" t="n"/>
      <c r="BT293" s="5" t="n"/>
      <c r="BU293" s="5" t="n"/>
      <c r="BV293" s="5" t="n"/>
      <c r="BW293" s="5" t="n"/>
      <c r="BX293" s="5" t="n"/>
      <c r="BY293" s="5" t="n"/>
      <c r="BZ293" s="5" t="n"/>
      <c r="CA293" s="5" t="n"/>
      <c r="CB293" s="5" t="n"/>
      <c r="CC293" s="5" t="n"/>
      <c r="CD293" s="5" t="n"/>
      <c r="CE293" s="5" t="n"/>
      <c r="CF293" s="5" t="n"/>
    </row>
    <row r="294" ht="16.5" customHeight="1" s="241">
      <c r="A294" s="171" t="n">
        <v>80</v>
      </c>
      <c r="B294" s="171" t="n">
        <v>84</v>
      </c>
      <c r="C294" s="171" t="inlineStr">
        <is>
          <t>Seniors 2</t>
        </is>
      </c>
      <c r="D294" s="170" t="n">
        <v>175</v>
      </c>
      <c r="E294" s="5" t="n"/>
      <c r="F294" s="5" t="n"/>
      <c r="G294" s="5" t="n"/>
      <c r="H294" s="5" t="n"/>
      <c r="I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BD294" s="5" t="n"/>
      <c r="BE294" s="5" t="n"/>
      <c r="BJ294" s="5" t="n"/>
      <c r="BK294" s="5" t="n"/>
      <c r="BP294" s="5" t="n"/>
      <c r="BQ294" s="5" t="n"/>
      <c r="BR294" s="5" t="n"/>
      <c r="BS294" s="5" t="n"/>
      <c r="BT294" s="5" t="n"/>
      <c r="BU294" s="5" t="n"/>
      <c r="BV294" s="5" t="n"/>
      <c r="BW294" s="5" t="n"/>
      <c r="BX294" s="5" t="n"/>
      <c r="BY294" s="5" t="n"/>
      <c r="BZ294" s="5" t="n"/>
      <c r="CA294" s="5" t="n"/>
      <c r="CB294" s="5" t="n"/>
      <c r="CC294" s="5" t="n"/>
      <c r="CD294" s="5" t="n"/>
      <c r="CE294" s="5" t="n"/>
      <c r="CF294" s="5" t="n"/>
    </row>
    <row r="295" ht="16.5" customHeight="1" s="241">
      <c r="A295" s="171" t="n">
        <v>85</v>
      </c>
      <c r="B295" s="171" t="n">
        <v>120</v>
      </c>
      <c r="C295" s="171" t="inlineStr">
        <is>
          <t>Seniors 2</t>
        </is>
      </c>
      <c r="D295" s="170" t="inlineStr">
        <is>
          <t>No asegurable</t>
        </is>
      </c>
      <c r="E295" s="5" t="n"/>
      <c r="F295" s="5" t="n"/>
      <c r="G295" s="5" t="n"/>
      <c r="H295" s="5" t="n"/>
      <c r="I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BD295" s="5" t="n"/>
      <c r="BE295" s="5" t="n"/>
      <c r="BJ295" s="5" t="n"/>
      <c r="BK295" s="5" t="n"/>
      <c r="BP295" s="5" t="n"/>
      <c r="BQ295" s="5" t="n"/>
      <c r="BR295" s="5" t="n"/>
      <c r="BS295" s="5" t="n"/>
      <c r="BT295" s="5" t="n"/>
      <c r="BU295" s="5" t="n"/>
      <c r="BV295" s="5" t="n"/>
      <c r="BW295" s="5" t="n"/>
      <c r="BX295" s="5" t="n"/>
      <c r="BY295" s="5" t="n"/>
      <c r="BZ295" s="5" t="n"/>
      <c r="CA295" s="5" t="n"/>
      <c r="CB295" s="5" t="n"/>
      <c r="CC295" s="5" t="n"/>
      <c r="CD295" s="5" t="n"/>
      <c r="CE295" s="5" t="n"/>
      <c r="CF295" s="5" t="n"/>
    </row>
    <row r="296" ht="16.5" customHeight="1" s="241">
      <c r="A296" s="171" t="n">
        <v>0</v>
      </c>
      <c r="B296" s="171" t="n">
        <v>49</v>
      </c>
      <c r="C296" s="171" t="inlineStr">
        <is>
          <t>Seniors 3</t>
        </is>
      </c>
      <c r="D296" s="170" t="inlineStr">
        <is>
          <t>No asegurable</t>
        </is>
      </c>
      <c r="E296" s="5" t="n"/>
      <c r="F296" s="5" t="n"/>
      <c r="G296" s="5" t="n"/>
      <c r="H296" s="5" t="n"/>
      <c r="I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BD296" s="5" t="n"/>
      <c r="BE296" s="5" t="n"/>
      <c r="BJ296" s="5" t="n"/>
      <c r="BK296" s="5" t="n"/>
      <c r="BP296" s="5" t="n"/>
      <c r="BQ296" s="5" t="n"/>
      <c r="BR296" s="5" t="n"/>
      <c r="BS296" s="5" t="n"/>
      <c r="BT296" s="5" t="n"/>
      <c r="BU296" s="5" t="n"/>
      <c r="BV296" s="5" t="n"/>
      <c r="BW296" s="5" t="n"/>
      <c r="BX296" s="5" t="n"/>
      <c r="BY296" s="5" t="n"/>
      <c r="BZ296" s="5" t="n"/>
      <c r="CA296" s="5" t="n"/>
      <c r="CB296" s="5" t="n"/>
      <c r="CC296" s="5" t="n"/>
      <c r="CD296" s="5" t="n"/>
      <c r="CE296" s="5" t="n"/>
      <c r="CF296" s="5" t="n"/>
    </row>
    <row r="297" ht="16.5" customHeight="1" s="241">
      <c r="A297" s="171" t="n">
        <v>50</v>
      </c>
      <c r="B297" s="171" t="n">
        <v>54</v>
      </c>
      <c r="C297" s="171" t="inlineStr">
        <is>
          <t>Seniors 3</t>
        </is>
      </c>
      <c r="D297" s="170" t="n">
        <v>71</v>
      </c>
      <c r="E297" s="5" t="n"/>
      <c r="F297" s="5" t="n"/>
      <c r="G297" s="5" t="n"/>
      <c r="H297" s="5" t="n"/>
      <c r="I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BD297" s="5" t="n"/>
      <c r="BE297" s="5" t="n"/>
      <c r="BJ297" s="5" t="n"/>
      <c r="BK297" s="5" t="n"/>
      <c r="BP297" s="5" t="n"/>
      <c r="BQ297" s="5" t="n"/>
      <c r="BR297" s="5" t="n"/>
      <c r="BS297" s="5" t="n"/>
      <c r="BT297" s="5" t="n"/>
      <c r="BU297" s="5" t="n"/>
      <c r="BV297" s="5" t="n"/>
      <c r="BW297" s="5" t="n"/>
      <c r="BX297" s="5" t="n"/>
      <c r="BY297" s="5" t="n"/>
      <c r="BZ297" s="5" t="n"/>
      <c r="CA297" s="5" t="n"/>
      <c r="CB297" s="5" t="n"/>
      <c r="CC297" s="5" t="n"/>
      <c r="CD297" s="5" t="n"/>
      <c r="CE297" s="5" t="n"/>
      <c r="CF297" s="5" t="n"/>
    </row>
    <row r="298" ht="16.5" customHeight="1" s="241">
      <c r="A298" s="171" t="n">
        <v>55</v>
      </c>
      <c r="B298" s="171" t="n">
        <v>59</v>
      </c>
      <c r="C298" s="171" t="inlineStr">
        <is>
          <t>Seniors 3</t>
        </is>
      </c>
      <c r="D298" s="170" t="n">
        <v>71</v>
      </c>
      <c r="E298" s="5" t="n"/>
      <c r="F298" s="5" t="n"/>
      <c r="G298" s="5" t="n"/>
      <c r="H298" s="5" t="n"/>
      <c r="I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BD298" s="5" t="n"/>
      <c r="BE298" s="5" t="n"/>
      <c r="BJ298" s="5" t="n"/>
      <c r="BK298" s="5" t="n"/>
      <c r="BP298" s="5" t="n"/>
      <c r="BQ298" s="5" t="n"/>
      <c r="BR298" s="5" t="n"/>
      <c r="BS298" s="5" t="n"/>
      <c r="BT298" s="5" t="n"/>
      <c r="BU298" s="5" t="n"/>
      <c r="BV298" s="5" t="n"/>
      <c r="BW298" s="5" t="n"/>
      <c r="BX298" s="5" t="n"/>
      <c r="BY298" s="5" t="n"/>
      <c r="BZ298" s="5" t="n"/>
      <c r="CA298" s="5" t="n"/>
      <c r="CB298" s="5" t="n"/>
      <c r="CC298" s="5" t="n"/>
      <c r="CD298" s="5" t="n"/>
      <c r="CE298" s="5" t="n"/>
      <c r="CF298" s="5" t="n"/>
    </row>
    <row r="299" ht="16.5" customHeight="1" s="241">
      <c r="A299" s="171" t="n">
        <v>60</v>
      </c>
      <c r="B299" s="171" t="n">
        <v>64</v>
      </c>
      <c r="C299" s="171" t="inlineStr">
        <is>
          <t>Seniors 3</t>
        </is>
      </c>
      <c r="D299" s="170" t="n">
        <v>89.5</v>
      </c>
      <c r="E299" s="5" t="n"/>
      <c r="F299" s="5" t="n"/>
      <c r="G299" s="5" t="n"/>
      <c r="H299" s="5" t="n"/>
      <c r="I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BD299" s="5" t="n"/>
      <c r="BE299" s="5" t="n"/>
      <c r="BJ299" s="5" t="n"/>
      <c r="BK299" s="5" t="n"/>
      <c r="BP299" s="5" t="n"/>
      <c r="BQ299" s="5" t="n"/>
      <c r="BR299" s="5" t="n"/>
      <c r="BS299" s="5" t="n"/>
      <c r="BT299" s="5" t="n"/>
      <c r="BU299" s="5" t="n"/>
      <c r="BV299" s="5" t="n"/>
      <c r="BW299" s="5" t="n"/>
      <c r="BX299" s="5" t="n"/>
      <c r="BY299" s="5" t="n"/>
      <c r="BZ299" s="5" t="n"/>
      <c r="CA299" s="5" t="n"/>
      <c r="CB299" s="5" t="n"/>
      <c r="CC299" s="5" t="n"/>
      <c r="CD299" s="5" t="n"/>
      <c r="CE299" s="5" t="n"/>
      <c r="CF299" s="5" t="n"/>
    </row>
    <row r="300" ht="16.5" customHeight="1" s="241">
      <c r="A300" s="171" t="n">
        <v>65</v>
      </c>
      <c r="B300" s="171" t="n">
        <v>69</v>
      </c>
      <c r="C300" s="171" t="inlineStr">
        <is>
          <t>Seniors 3</t>
        </is>
      </c>
      <c r="D300" s="170" t="n">
        <v>106</v>
      </c>
      <c r="E300" s="5" t="n"/>
      <c r="F300" s="5" t="n"/>
      <c r="G300" s="5" t="n"/>
      <c r="H300" s="5" t="n"/>
      <c r="I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BD300" s="5" t="n"/>
      <c r="BE300" s="5" t="n"/>
      <c r="BJ300" s="5" t="n"/>
      <c r="BK300" s="5" t="n"/>
      <c r="BP300" s="5" t="n"/>
      <c r="BQ300" s="5" t="n"/>
      <c r="BR300" s="5" t="n"/>
      <c r="BS300" s="5" t="n"/>
      <c r="BT300" s="5" t="n"/>
      <c r="BU300" s="5" t="n"/>
      <c r="BV300" s="5" t="n"/>
      <c r="BW300" s="5" t="n"/>
      <c r="BX300" s="5" t="n"/>
      <c r="BY300" s="5" t="n"/>
      <c r="BZ300" s="5" t="n"/>
      <c r="CA300" s="5" t="n"/>
      <c r="CB300" s="5" t="n"/>
      <c r="CC300" s="5" t="n"/>
      <c r="CD300" s="5" t="n"/>
      <c r="CE300" s="5" t="n"/>
      <c r="CF300" s="5" t="n"/>
    </row>
    <row r="301" ht="16.5" customHeight="1" s="241">
      <c r="A301" s="171" t="n">
        <v>70</v>
      </c>
      <c r="B301" s="171" t="n">
        <v>74</v>
      </c>
      <c r="C301" s="171" t="inlineStr">
        <is>
          <t>Seniors 3</t>
        </is>
      </c>
      <c r="D301" s="170" t="n">
        <v>140</v>
      </c>
      <c r="E301" s="5" t="n"/>
      <c r="F301" s="5" t="n"/>
      <c r="G301" s="5" t="n"/>
      <c r="H301" s="5" t="n"/>
      <c r="I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BD301" s="5" t="n"/>
      <c r="BE301" s="5" t="n"/>
      <c r="BJ301" s="5" t="n"/>
      <c r="BK301" s="5" t="n"/>
      <c r="BP301" s="5" t="n"/>
      <c r="BQ301" s="5" t="n"/>
      <c r="BR301" s="5" t="n"/>
      <c r="BS301" s="5" t="n"/>
      <c r="BT301" s="5" t="n"/>
      <c r="BU301" s="5" t="n"/>
      <c r="BV301" s="5" t="n"/>
      <c r="BW301" s="5" t="n"/>
      <c r="BX301" s="5" t="n"/>
      <c r="BY301" s="5" t="n"/>
      <c r="BZ301" s="5" t="n"/>
      <c r="CA301" s="5" t="n"/>
      <c r="CB301" s="5" t="n"/>
      <c r="CC301" s="5" t="n"/>
      <c r="CD301" s="5" t="n"/>
      <c r="CE301" s="5" t="n"/>
      <c r="CF301" s="5" t="n"/>
    </row>
    <row r="302" ht="16.5" customHeight="1" s="241">
      <c r="A302" s="171" t="n">
        <v>75</v>
      </c>
      <c r="B302" s="171" t="n">
        <v>79</v>
      </c>
      <c r="C302" s="171" t="inlineStr">
        <is>
          <t>Seniors 3</t>
        </is>
      </c>
      <c r="D302" s="170" t="n">
        <v>170</v>
      </c>
      <c r="E302" s="5" t="n"/>
      <c r="F302" s="5" t="n"/>
      <c r="G302" s="5" t="n"/>
      <c r="H302" s="5" t="n"/>
      <c r="I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BD302" s="5" t="n"/>
      <c r="BE302" s="5" t="n"/>
      <c r="BJ302" s="5" t="n"/>
      <c r="BK302" s="5" t="n"/>
      <c r="BP302" s="5" t="n"/>
      <c r="BQ302" s="5" t="n"/>
      <c r="BR302" s="5" t="n"/>
      <c r="BS302" s="5" t="n"/>
      <c r="BT302" s="5" t="n"/>
      <c r="BU302" s="5" t="n"/>
      <c r="BV302" s="5" t="n"/>
      <c r="BW302" s="5" t="n"/>
      <c r="BX302" s="5" t="n"/>
      <c r="BY302" s="5" t="n"/>
      <c r="BZ302" s="5" t="n"/>
      <c r="CA302" s="5" t="n"/>
      <c r="CB302" s="5" t="n"/>
      <c r="CC302" s="5" t="n"/>
      <c r="CD302" s="5" t="n"/>
      <c r="CE302" s="5" t="n"/>
      <c r="CF302" s="5" t="n"/>
    </row>
    <row r="303" ht="16.5" customHeight="1" s="241">
      <c r="A303" s="171" t="n">
        <v>80</v>
      </c>
      <c r="B303" s="171" t="n">
        <v>84</v>
      </c>
      <c r="C303" s="171" t="inlineStr">
        <is>
          <t>Seniors 3</t>
        </is>
      </c>
      <c r="D303" s="170" t="n">
        <v>177</v>
      </c>
      <c r="E303" s="5" t="n"/>
      <c r="F303" s="5" t="n"/>
      <c r="G303" s="5" t="n"/>
      <c r="H303" s="5" t="n"/>
      <c r="I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BD303" s="5" t="n"/>
      <c r="BE303" s="5" t="n"/>
      <c r="BJ303" s="5" t="n"/>
      <c r="BK303" s="5" t="n"/>
      <c r="BP303" s="5" t="n"/>
      <c r="BQ303" s="5" t="n"/>
      <c r="BR303" s="5" t="n"/>
      <c r="BS303" s="5" t="n"/>
      <c r="BT303" s="5" t="n"/>
      <c r="BU303" s="5" t="n"/>
      <c r="BV303" s="5" t="n"/>
      <c r="BW303" s="5" t="n"/>
      <c r="BX303" s="5" t="n"/>
      <c r="BY303" s="5" t="n"/>
      <c r="BZ303" s="5" t="n"/>
      <c r="CA303" s="5" t="n"/>
      <c r="CB303" s="5" t="n"/>
      <c r="CC303" s="5" t="n"/>
      <c r="CD303" s="5" t="n"/>
      <c r="CE303" s="5" t="n"/>
      <c r="CF303" s="5" t="n"/>
    </row>
    <row r="304" ht="16.5" customHeight="1" s="241">
      <c r="A304" s="171" t="n">
        <v>85</v>
      </c>
      <c r="B304" s="171" t="n">
        <v>120</v>
      </c>
      <c r="C304" s="171" t="inlineStr">
        <is>
          <t>Seniors 3</t>
        </is>
      </c>
      <c r="D304" s="170" t="inlineStr">
        <is>
          <t>No asegurable</t>
        </is>
      </c>
      <c r="E304" s="5" t="n"/>
      <c r="F304" s="5" t="n"/>
      <c r="G304" s="5" t="n"/>
      <c r="H304" s="5" t="n"/>
      <c r="I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BD304" s="5" t="n"/>
      <c r="BE304" s="5" t="n"/>
      <c r="BJ304" s="5" t="n"/>
      <c r="BK304" s="5" t="n"/>
      <c r="BP304" s="5" t="n"/>
      <c r="BQ304" s="5" t="n"/>
      <c r="BR304" s="5" t="n"/>
      <c r="BS304" s="5" t="n"/>
      <c r="BT304" s="5" t="n"/>
      <c r="BU304" s="5" t="n"/>
      <c r="BV304" s="5" t="n"/>
      <c r="BW304" s="5" t="n"/>
      <c r="BX304" s="5" t="n"/>
      <c r="BY304" s="5" t="n"/>
      <c r="BZ304" s="5" t="n"/>
      <c r="CA304" s="5" t="n"/>
      <c r="CB304" s="5" t="n"/>
      <c r="CC304" s="5" t="n"/>
      <c r="CD304" s="5" t="n"/>
      <c r="CE304" s="5" t="n"/>
      <c r="CF304" s="5" t="n"/>
    </row>
    <row r="305" ht="16.5" customHeight="1" s="241">
      <c r="A305" s="171" t="n">
        <v>0</v>
      </c>
      <c r="B305" s="171" t="n">
        <v>49</v>
      </c>
      <c r="C305" s="171" t="inlineStr">
        <is>
          <t>Seniors 4</t>
        </is>
      </c>
      <c r="D305" s="170" t="inlineStr">
        <is>
          <t>No asegurable</t>
        </is>
      </c>
      <c r="E305" s="5" t="n"/>
      <c r="F305" s="5" t="n"/>
      <c r="G305" s="5" t="n"/>
      <c r="H305" s="5" t="n"/>
      <c r="I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BD305" s="5" t="n"/>
      <c r="BE305" s="5" t="n"/>
      <c r="BJ305" s="5" t="n"/>
      <c r="BK305" s="5" t="n"/>
      <c r="BP305" s="5" t="n"/>
      <c r="BQ305" s="5" t="n"/>
      <c r="BR305" s="5" t="n"/>
      <c r="BS305" s="5" t="n"/>
      <c r="BT305" s="5" t="n"/>
      <c r="BU305" s="5" t="n"/>
      <c r="BV305" s="5" t="n"/>
      <c r="BW305" s="5" t="n"/>
      <c r="BX305" s="5" t="n"/>
      <c r="BY305" s="5" t="n"/>
      <c r="BZ305" s="5" t="n"/>
      <c r="CA305" s="5" t="n"/>
      <c r="CB305" s="5" t="n"/>
      <c r="CC305" s="5" t="n"/>
      <c r="CD305" s="5" t="n"/>
      <c r="CE305" s="5" t="n"/>
      <c r="CF305" s="5" t="n"/>
    </row>
    <row r="306" ht="16.5" customHeight="1" s="241">
      <c r="A306" s="171" t="n">
        <v>50</v>
      </c>
      <c r="B306" s="171" t="n">
        <v>54</v>
      </c>
      <c r="C306" s="171" t="inlineStr">
        <is>
          <t>Seniors 4</t>
        </is>
      </c>
      <c r="D306" s="170" t="n">
        <v>72</v>
      </c>
      <c r="E306" s="5" t="n"/>
      <c r="F306" s="5" t="n"/>
      <c r="G306" s="5" t="n"/>
      <c r="H306" s="5" t="n"/>
      <c r="I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BD306" s="5" t="n"/>
      <c r="BE306" s="5" t="n"/>
      <c r="BJ306" s="5" t="n"/>
      <c r="BK306" s="5" t="n"/>
      <c r="BP306" s="5" t="n"/>
      <c r="BQ306" s="5" t="n"/>
      <c r="BR306" s="5" t="n"/>
      <c r="BS306" s="5" t="n"/>
      <c r="BT306" s="5" t="n"/>
      <c r="BU306" s="5" t="n"/>
      <c r="BV306" s="5" t="n"/>
      <c r="BW306" s="5" t="n"/>
      <c r="BX306" s="5" t="n"/>
      <c r="BY306" s="5" t="n"/>
      <c r="BZ306" s="5" t="n"/>
      <c r="CA306" s="5" t="n"/>
      <c r="CB306" s="5" t="n"/>
      <c r="CC306" s="5" t="n"/>
      <c r="CD306" s="5" t="n"/>
      <c r="CE306" s="5" t="n"/>
      <c r="CF306" s="5" t="n"/>
    </row>
    <row r="307" ht="16.5" customHeight="1" s="241">
      <c r="A307" s="171" t="n">
        <v>55</v>
      </c>
      <c r="B307" s="171" t="n">
        <v>59</v>
      </c>
      <c r="C307" s="171" t="inlineStr">
        <is>
          <t>Seniors 4</t>
        </is>
      </c>
      <c r="D307" s="170" t="n">
        <v>72</v>
      </c>
      <c r="E307" s="5" t="n"/>
      <c r="F307" s="5" t="n"/>
      <c r="G307" s="5" t="n"/>
      <c r="H307" s="5" t="n"/>
      <c r="I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BD307" s="5" t="n"/>
      <c r="BE307" s="5" t="n"/>
      <c r="BJ307" s="5" t="n"/>
      <c r="BK307" s="5" t="n"/>
      <c r="BP307" s="5" t="n"/>
      <c r="BQ307" s="5" t="n"/>
      <c r="BR307" s="5" t="n"/>
      <c r="BS307" s="5" t="n"/>
      <c r="BT307" s="5" t="n"/>
      <c r="BU307" s="5" t="n"/>
      <c r="BV307" s="5" t="n"/>
      <c r="BW307" s="5" t="n"/>
      <c r="BX307" s="5" t="n"/>
      <c r="BY307" s="5" t="n"/>
      <c r="BZ307" s="5" t="n"/>
      <c r="CA307" s="5" t="n"/>
      <c r="CB307" s="5" t="n"/>
      <c r="CC307" s="5" t="n"/>
      <c r="CD307" s="5" t="n"/>
      <c r="CE307" s="5" t="n"/>
      <c r="CF307" s="5" t="n"/>
    </row>
    <row r="308" ht="16.5" customHeight="1" s="241">
      <c r="A308" s="171" t="n">
        <v>60</v>
      </c>
      <c r="B308" s="171" t="n">
        <v>64</v>
      </c>
      <c r="C308" s="171" t="inlineStr">
        <is>
          <t>Seniors 4</t>
        </is>
      </c>
      <c r="D308" s="170" t="n">
        <v>92</v>
      </c>
      <c r="E308" s="5" t="n"/>
      <c r="F308" s="5" t="n"/>
      <c r="G308" s="5" t="n"/>
      <c r="H308" s="5" t="n"/>
      <c r="I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BD308" s="5" t="n"/>
      <c r="BE308" s="5" t="n"/>
      <c r="BJ308" s="5" t="n"/>
      <c r="BK308" s="5" t="n"/>
      <c r="BP308" s="5" t="n"/>
      <c r="BQ308" s="5" t="n"/>
      <c r="BR308" s="5" t="n"/>
      <c r="BS308" s="5" t="n"/>
      <c r="BT308" s="5" t="n"/>
      <c r="BU308" s="5" t="n"/>
      <c r="BV308" s="5" t="n"/>
      <c r="BW308" s="5" t="n"/>
      <c r="BX308" s="5" t="n"/>
      <c r="BY308" s="5" t="n"/>
      <c r="BZ308" s="5" t="n"/>
      <c r="CA308" s="5" t="n"/>
      <c r="CB308" s="5" t="n"/>
      <c r="CC308" s="5" t="n"/>
      <c r="CD308" s="5" t="n"/>
      <c r="CE308" s="5" t="n"/>
      <c r="CF308" s="5" t="n"/>
    </row>
    <row r="309" ht="16.5" customHeight="1" s="241">
      <c r="A309" s="171" t="n">
        <v>65</v>
      </c>
      <c r="B309" s="171" t="n">
        <v>69</v>
      </c>
      <c r="C309" s="171" t="inlineStr">
        <is>
          <t>Seniors 4</t>
        </is>
      </c>
      <c r="D309" s="170" t="n">
        <v>111</v>
      </c>
      <c r="E309" s="5" t="n"/>
      <c r="F309" s="5" t="n"/>
      <c r="G309" s="5" t="n"/>
      <c r="H309" s="5" t="n"/>
      <c r="I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BD309" s="5" t="n"/>
      <c r="BE309" s="5" t="n"/>
      <c r="BJ309" s="5" t="n"/>
      <c r="BK309" s="5" t="n"/>
      <c r="BP309" s="5" t="n"/>
      <c r="BQ309" s="5" t="n"/>
      <c r="BR309" s="5" t="n"/>
      <c r="BS309" s="5" t="n"/>
      <c r="BT309" s="5" t="n"/>
      <c r="BU309" s="5" t="n"/>
      <c r="BV309" s="5" t="n"/>
      <c r="BW309" s="5" t="n"/>
      <c r="BX309" s="5" t="n"/>
      <c r="BY309" s="5" t="n"/>
      <c r="BZ309" s="5" t="n"/>
      <c r="CA309" s="5" t="n"/>
      <c r="CB309" s="5" t="n"/>
      <c r="CC309" s="5" t="n"/>
      <c r="CD309" s="5" t="n"/>
      <c r="CE309" s="5" t="n"/>
      <c r="CF309" s="5" t="n"/>
    </row>
    <row r="310" ht="16.5" customHeight="1" s="241">
      <c r="A310" s="171" t="n">
        <v>70</v>
      </c>
      <c r="B310" s="171" t="n">
        <v>74</v>
      </c>
      <c r="C310" s="171" t="inlineStr">
        <is>
          <t>Seniors 4</t>
        </is>
      </c>
      <c r="D310" s="170" t="n">
        <v>145</v>
      </c>
      <c r="E310" s="5" t="n"/>
      <c r="F310" s="5" t="n"/>
      <c r="G310" s="5" t="n"/>
      <c r="H310" s="5" t="n"/>
      <c r="I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BD310" s="5" t="n"/>
      <c r="BE310" s="5" t="n"/>
      <c r="BJ310" s="5" t="n"/>
      <c r="BK310" s="5" t="n"/>
      <c r="BP310" s="5" t="n"/>
      <c r="BQ310" s="5" t="n"/>
      <c r="BR310" s="5" t="n"/>
      <c r="BS310" s="5" t="n"/>
      <c r="BT310" s="5" t="n"/>
      <c r="BU310" s="5" t="n"/>
      <c r="BV310" s="5" t="n"/>
      <c r="BW310" s="5" t="n"/>
      <c r="BX310" s="5" t="n"/>
      <c r="BY310" s="5" t="n"/>
      <c r="BZ310" s="5" t="n"/>
      <c r="CA310" s="5" t="n"/>
      <c r="CB310" s="5" t="n"/>
      <c r="CC310" s="5" t="n"/>
      <c r="CD310" s="5" t="n"/>
      <c r="CE310" s="5" t="n"/>
      <c r="CF310" s="5" t="n"/>
    </row>
    <row r="311" ht="16.5" customHeight="1" s="241">
      <c r="A311" s="171" t="n">
        <v>75</v>
      </c>
      <c r="B311" s="171" t="n">
        <v>79</v>
      </c>
      <c r="C311" s="171" t="inlineStr">
        <is>
          <t>Seniors 4</t>
        </is>
      </c>
      <c r="D311" s="170" t="n">
        <v>175</v>
      </c>
      <c r="E311" s="5" t="n"/>
      <c r="F311" s="5" t="n"/>
      <c r="G311" s="5" t="n"/>
      <c r="H311" s="5" t="n"/>
      <c r="I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BD311" s="5" t="n"/>
      <c r="BE311" s="5" t="n"/>
      <c r="BJ311" s="5" t="n"/>
      <c r="BK311" s="5" t="n"/>
      <c r="BP311" s="5" t="n"/>
      <c r="BQ311" s="5" t="n"/>
      <c r="BR311" s="5" t="n"/>
      <c r="BS311" s="5" t="n"/>
      <c r="BT311" s="5" t="n"/>
      <c r="BU311" s="5" t="n"/>
      <c r="BV311" s="5" t="n"/>
      <c r="BW311" s="5" t="n"/>
      <c r="BX311" s="5" t="n"/>
      <c r="BY311" s="5" t="n"/>
      <c r="BZ311" s="5" t="n"/>
      <c r="CA311" s="5" t="n"/>
      <c r="CB311" s="5" t="n"/>
      <c r="CC311" s="5" t="n"/>
      <c r="CD311" s="5" t="n"/>
      <c r="CE311" s="5" t="n"/>
      <c r="CF311" s="5" t="n"/>
    </row>
    <row r="312" ht="16.5" customHeight="1" s="241">
      <c r="A312" s="171" t="n">
        <v>80</v>
      </c>
      <c r="B312" s="171" t="n">
        <v>84</v>
      </c>
      <c r="C312" s="171" t="inlineStr">
        <is>
          <t>Seniors 4</t>
        </is>
      </c>
      <c r="D312" s="170" t="n">
        <v>182</v>
      </c>
      <c r="E312" s="5" t="n"/>
      <c r="F312" s="5" t="n"/>
      <c r="G312" s="5" t="n"/>
      <c r="H312" s="5" t="n"/>
      <c r="I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BD312" s="5" t="n"/>
      <c r="BE312" s="5" t="n"/>
      <c r="BJ312" s="5" t="n"/>
      <c r="BK312" s="5" t="n"/>
      <c r="BP312" s="5" t="n"/>
      <c r="BQ312" s="5" t="n"/>
      <c r="BR312" s="5" t="n"/>
      <c r="BS312" s="5" t="n"/>
      <c r="BT312" s="5" t="n"/>
      <c r="BU312" s="5" t="n"/>
      <c r="BV312" s="5" t="n"/>
      <c r="BW312" s="5" t="n"/>
      <c r="BX312" s="5" t="n"/>
      <c r="BY312" s="5" t="n"/>
      <c r="BZ312" s="5" t="n"/>
      <c r="CA312" s="5" t="n"/>
      <c r="CB312" s="5" t="n"/>
      <c r="CC312" s="5" t="n"/>
      <c r="CD312" s="5" t="n"/>
      <c r="CE312" s="5" t="n"/>
      <c r="CF312" s="5" t="n"/>
    </row>
    <row r="313" ht="16.5" customHeight="1" s="241">
      <c r="A313" s="171" t="n">
        <v>85</v>
      </c>
      <c r="B313" s="171" t="n">
        <v>120</v>
      </c>
      <c r="C313" s="171" t="inlineStr">
        <is>
          <t>Seniors 4</t>
        </is>
      </c>
      <c r="D313" s="170" t="inlineStr">
        <is>
          <t>No asegurable</t>
        </is>
      </c>
      <c r="E313" s="5" t="n"/>
      <c r="F313" s="5" t="n"/>
      <c r="G313" s="5" t="n"/>
      <c r="H313" s="5" t="n"/>
      <c r="I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BD313" s="5" t="n"/>
      <c r="BE313" s="5" t="n"/>
      <c r="BJ313" s="5" t="n"/>
      <c r="BK313" s="5" t="n"/>
      <c r="BP313" s="5" t="n"/>
      <c r="BQ313" s="5" t="n"/>
      <c r="BR313" s="5" t="n"/>
      <c r="BS313" s="5" t="n"/>
      <c r="BT313" s="5" t="n"/>
      <c r="BU313" s="5" t="n"/>
      <c r="BV313" s="5" t="n"/>
      <c r="BW313" s="5" t="n"/>
      <c r="BX313" s="5" t="n"/>
      <c r="BY313" s="5" t="n"/>
      <c r="BZ313" s="5" t="n"/>
      <c r="CA313" s="5" t="n"/>
      <c r="CB313" s="5" t="n"/>
      <c r="CC313" s="5" t="n"/>
      <c r="CD313" s="5" t="n"/>
      <c r="CE313" s="5" t="n"/>
      <c r="CF313" s="5" t="n"/>
    </row>
    <row r="314" ht="16.5" customHeight="1" s="241">
      <c r="A314" s="171" t="n">
        <v>0</v>
      </c>
      <c r="B314" s="171" t="n">
        <v>49</v>
      </c>
      <c r="C314" s="171" t="inlineStr">
        <is>
          <t>Seniors 5</t>
        </is>
      </c>
      <c r="D314" s="170" t="inlineStr">
        <is>
          <t>No asegurable</t>
        </is>
      </c>
      <c r="E314" s="5" t="n"/>
      <c r="F314" s="5" t="n"/>
      <c r="G314" s="5" t="n"/>
      <c r="H314" s="5" t="n"/>
      <c r="I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BD314" s="5" t="n"/>
      <c r="BE314" s="5" t="n"/>
      <c r="BJ314" s="5" t="n"/>
      <c r="BK314" s="5" t="n"/>
      <c r="BP314" s="5" t="n"/>
      <c r="BQ314" s="5" t="n"/>
      <c r="BR314" s="5" t="n"/>
      <c r="BS314" s="5" t="n"/>
      <c r="BT314" s="5" t="n"/>
      <c r="BU314" s="5" t="n"/>
      <c r="BV314" s="5" t="n"/>
      <c r="BW314" s="5" t="n"/>
      <c r="BX314" s="5" t="n"/>
      <c r="BY314" s="5" t="n"/>
      <c r="BZ314" s="5" t="n"/>
      <c r="CA314" s="5" t="n"/>
      <c r="CB314" s="5" t="n"/>
      <c r="CC314" s="5" t="n"/>
      <c r="CD314" s="5" t="n"/>
      <c r="CE314" s="5" t="n"/>
      <c r="CF314" s="5" t="n"/>
    </row>
    <row r="315" ht="16.5" customHeight="1" s="241">
      <c r="A315" s="171" t="n">
        <v>50</v>
      </c>
      <c r="B315" s="171" t="n">
        <v>54</v>
      </c>
      <c r="C315" s="171" t="inlineStr">
        <is>
          <t>Seniors 5</t>
        </is>
      </c>
      <c r="D315" s="170" t="n">
        <v>73</v>
      </c>
      <c r="E315" s="5" t="n"/>
      <c r="F315" s="5" t="n"/>
      <c r="G315" s="5" t="n"/>
      <c r="H315" s="5" t="n"/>
      <c r="I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BD315" s="5" t="n"/>
      <c r="BE315" s="5" t="n"/>
      <c r="BJ315" s="5" t="n"/>
      <c r="BK315" s="5" t="n"/>
      <c r="BP315" s="5" t="n"/>
      <c r="BQ315" s="5" t="n"/>
      <c r="BR315" s="5" t="n"/>
      <c r="BS315" s="5" t="n"/>
      <c r="BT315" s="5" t="n"/>
      <c r="BU315" s="5" t="n"/>
      <c r="BV315" s="5" t="n"/>
      <c r="BW315" s="5" t="n"/>
      <c r="BX315" s="5" t="n"/>
      <c r="BY315" s="5" t="n"/>
      <c r="BZ315" s="5" t="n"/>
      <c r="CA315" s="5" t="n"/>
      <c r="CB315" s="5" t="n"/>
      <c r="CC315" s="5" t="n"/>
      <c r="CD315" s="5" t="n"/>
      <c r="CE315" s="5" t="n"/>
      <c r="CF315" s="5" t="n"/>
    </row>
    <row r="316" ht="16.5" customHeight="1" s="241">
      <c r="A316" s="171" t="n">
        <v>55</v>
      </c>
      <c r="B316" s="171" t="n">
        <v>59</v>
      </c>
      <c r="C316" s="171" t="inlineStr">
        <is>
          <t>Seniors 5</t>
        </is>
      </c>
      <c r="D316" s="170" t="n">
        <v>73</v>
      </c>
      <c r="E316" s="5" t="n"/>
      <c r="F316" s="5" t="n"/>
      <c r="G316" s="5" t="n"/>
      <c r="H316" s="5" t="n"/>
      <c r="I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BD316" s="5" t="n"/>
      <c r="BE316" s="5" t="n"/>
      <c r="BJ316" s="5" t="n"/>
      <c r="BK316" s="5" t="n"/>
      <c r="BP316" s="5" t="n"/>
      <c r="BQ316" s="5" t="n"/>
      <c r="BR316" s="5" t="n"/>
      <c r="BS316" s="5" t="n"/>
      <c r="BT316" s="5" t="n"/>
      <c r="BU316" s="5" t="n"/>
      <c r="BV316" s="5" t="n"/>
      <c r="BW316" s="5" t="n"/>
      <c r="BX316" s="5" t="n"/>
      <c r="BY316" s="5" t="n"/>
      <c r="BZ316" s="5" t="n"/>
      <c r="CA316" s="5" t="n"/>
      <c r="CB316" s="5" t="n"/>
      <c r="CC316" s="5" t="n"/>
      <c r="CD316" s="5" t="n"/>
      <c r="CE316" s="5" t="n"/>
      <c r="CF316" s="5" t="n"/>
    </row>
    <row r="317" ht="16.5" customHeight="1" s="241">
      <c r="A317" s="171" t="n">
        <v>60</v>
      </c>
      <c r="B317" s="171" t="n">
        <v>64</v>
      </c>
      <c r="C317" s="171" t="inlineStr">
        <is>
          <t>Seniors 5</t>
        </is>
      </c>
      <c r="D317" s="170" t="n">
        <v>93</v>
      </c>
      <c r="E317" s="5" t="n"/>
      <c r="F317" s="5" t="n"/>
      <c r="G317" s="5" t="n"/>
      <c r="H317" s="5" t="n"/>
      <c r="I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BD317" s="5" t="n"/>
      <c r="BE317" s="5" t="n"/>
      <c r="BJ317" s="5" t="n"/>
      <c r="BK317" s="5" t="n"/>
      <c r="BP317" s="5" t="n"/>
      <c r="BQ317" s="5" t="n"/>
      <c r="BR317" s="5" t="n"/>
      <c r="BS317" s="5" t="n"/>
      <c r="BT317" s="5" t="n"/>
      <c r="BU317" s="5" t="n"/>
      <c r="BV317" s="5" t="n"/>
      <c r="BW317" s="5" t="n"/>
      <c r="BX317" s="5" t="n"/>
      <c r="BY317" s="5" t="n"/>
      <c r="BZ317" s="5" t="n"/>
      <c r="CA317" s="5" t="n"/>
      <c r="CB317" s="5" t="n"/>
      <c r="CC317" s="5" t="n"/>
      <c r="CD317" s="5" t="n"/>
      <c r="CE317" s="5" t="n"/>
      <c r="CF317" s="5" t="n"/>
    </row>
    <row r="318" ht="16.5" customHeight="1" s="241">
      <c r="A318" s="171" t="n">
        <v>65</v>
      </c>
      <c r="B318" s="171" t="n">
        <v>69</v>
      </c>
      <c r="C318" s="171" t="inlineStr">
        <is>
          <t>Seniors 5</t>
        </is>
      </c>
      <c r="D318" s="170" t="n">
        <v>113</v>
      </c>
      <c r="E318" s="5" t="n"/>
      <c r="F318" s="5" t="n"/>
      <c r="G318" s="5" t="n"/>
      <c r="H318" s="5" t="n"/>
      <c r="I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BD318" s="5" t="n"/>
      <c r="BE318" s="5" t="n"/>
      <c r="BJ318" s="5" t="n"/>
      <c r="BK318" s="5" t="n"/>
      <c r="BP318" s="5" t="n"/>
      <c r="BQ318" s="5" t="n"/>
      <c r="BR318" s="5" t="n"/>
      <c r="BS318" s="5" t="n"/>
      <c r="BT318" s="5" t="n"/>
      <c r="BU318" s="5" t="n"/>
      <c r="BV318" s="5" t="n"/>
      <c r="BW318" s="5" t="n"/>
      <c r="BX318" s="5" t="n"/>
      <c r="BY318" s="5" t="n"/>
      <c r="BZ318" s="5" t="n"/>
      <c r="CA318" s="5" t="n"/>
      <c r="CB318" s="5" t="n"/>
      <c r="CC318" s="5" t="n"/>
      <c r="CD318" s="5" t="n"/>
      <c r="CE318" s="5" t="n"/>
      <c r="CF318" s="5" t="n"/>
    </row>
    <row r="319" ht="16.5" customHeight="1" s="241">
      <c r="A319" s="171" t="n">
        <v>70</v>
      </c>
      <c r="B319" s="171" t="n">
        <v>74</v>
      </c>
      <c r="C319" s="171" t="inlineStr">
        <is>
          <t>Seniors 5</t>
        </is>
      </c>
      <c r="D319" s="170" t="n">
        <v>149</v>
      </c>
      <c r="E319" s="5" t="n"/>
      <c r="F319" s="5" t="n"/>
      <c r="G319" s="5" t="n"/>
      <c r="H319" s="5" t="n"/>
      <c r="I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BD319" s="5" t="n"/>
      <c r="BE319" s="5" t="n"/>
      <c r="BJ319" s="5" t="n"/>
      <c r="BK319" s="5" t="n"/>
      <c r="BP319" s="5" t="n"/>
      <c r="BQ319" s="5" t="n"/>
      <c r="BR319" s="5" t="n"/>
      <c r="BS319" s="5" t="n"/>
      <c r="BT319" s="5" t="n"/>
      <c r="BU319" s="5" t="n"/>
      <c r="BV319" s="5" t="n"/>
      <c r="BW319" s="5" t="n"/>
      <c r="BX319" s="5" t="n"/>
      <c r="BY319" s="5" t="n"/>
      <c r="BZ319" s="5" t="n"/>
      <c r="CA319" s="5" t="n"/>
      <c r="CB319" s="5" t="n"/>
      <c r="CC319" s="5" t="n"/>
      <c r="CD319" s="5" t="n"/>
      <c r="CE319" s="5" t="n"/>
      <c r="CF319" s="5" t="n"/>
    </row>
    <row r="320" ht="16.5" customHeight="1" s="241">
      <c r="A320" s="171" t="n">
        <v>75</v>
      </c>
      <c r="B320" s="171" t="n">
        <v>79</v>
      </c>
      <c r="C320" s="171" t="inlineStr">
        <is>
          <t>Seniors 5</t>
        </is>
      </c>
      <c r="D320" s="170" t="n">
        <v>179</v>
      </c>
      <c r="E320" s="5" t="n"/>
      <c r="F320" s="5" t="n"/>
      <c r="G320" s="5" t="n"/>
      <c r="H320" s="5" t="n"/>
      <c r="I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BD320" s="5" t="n"/>
      <c r="BE320" s="5" t="n"/>
      <c r="BJ320" s="5" t="n"/>
      <c r="BK320" s="5" t="n"/>
      <c r="BP320" s="5" t="n"/>
      <c r="BQ320" s="5" t="n"/>
      <c r="BR320" s="5" t="n"/>
      <c r="BS320" s="5" t="n"/>
      <c r="BT320" s="5" t="n"/>
      <c r="BU320" s="5" t="n"/>
      <c r="BV320" s="5" t="n"/>
      <c r="BW320" s="5" t="n"/>
      <c r="BX320" s="5" t="n"/>
      <c r="BY320" s="5" t="n"/>
      <c r="BZ320" s="5" t="n"/>
      <c r="CA320" s="5" t="n"/>
      <c r="CB320" s="5" t="n"/>
      <c r="CC320" s="5" t="n"/>
      <c r="CD320" s="5" t="n"/>
      <c r="CE320" s="5" t="n"/>
      <c r="CF320" s="5" t="n"/>
    </row>
    <row r="321" ht="16.5" customHeight="1" s="241">
      <c r="A321" s="171" t="n">
        <v>80</v>
      </c>
      <c r="B321" s="171" t="n">
        <v>84</v>
      </c>
      <c r="C321" s="171" t="inlineStr">
        <is>
          <t>Seniors 5</t>
        </is>
      </c>
      <c r="D321" s="170" t="n">
        <v>188</v>
      </c>
      <c r="E321" s="5" t="n"/>
      <c r="F321" s="5" t="n"/>
      <c r="G321" s="5" t="n"/>
      <c r="H321" s="5" t="n"/>
      <c r="I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BD321" s="5" t="n"/>
      <c r="BE321" s="5" t="n"/>
      <c r="BJ321" s="5" t="n"/>
      <c r="BK321" s="5" t="n"/>
      <c r="BP321" s="5" t="n"/>
      <c r="BQ321" s="5" t="n"/>
      <c r="BR321" s="5" t="n"/>
      <c r="BS321" s="5" t="n"/>
      <c r="BT321" s="5" t="n"/>
      <c r="BU321" s="5" t="n"/>
      <c r="BV321" s="5" t="n"/>
      <c r="BW321" s="5" t="n"/>
      <c r="BX321" s="5" t="n"/>
      <c r="BY321" s="5" t="n"/>
      <c r="BZ321" s="5" t="n"/>
      <c r="CA321" s="5" t="n"/>
      <c r="CB321" s="5" t="n"/>
      <c r="CC321" s="5" t="n"/>
      <c r="CD321" s="5" t="n"/>
      <c r="CE321" s="5" t="n"/>
      <c r="CF321" s="5" t="n"/>
    </row>
    <row r="322" ht="16.5" customHeight="1" s="241">
      <c r="A322" s="171" t="n">
        <v>85</v>
      </c>
      <c r="B322" s="171" t="n">
        <v>120</v>
      </c>
      <c r="C322" s="171" t="inlineStr">
        <is>
          <t>Seniors 5</t>
        </is>
      </c>
      <c r="D322" s="170" t="inlineStr">
        <is>
          <t>No asegurable</t>
        </is>
      </c>
      <c r="E322" s="5" t="n"/>
      <c r="F322" s="5" t="n"/>
      <c r="G322" s="5" t="n"/>
      <c r="H322" s="5" t="n"/>
      <c r="I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BD322" s="5" t="n"/>
      <c r="BE322" s="5" t="n"/>
      <c r="BJ322" s="5" t="n"/>
      <c r="BK322" s="5" t="n"/>
      <c r="BP322" s="5" t="n"/>
      <c r="BQ322" s="5" t="n"/>
      <c r="BR322" s="5" t="n"/>
      <c r="BS322" s="5" t="n"/>
      <c r="BT322" s="5" t="n"/>
      <c r="BU322" s="5" t="n"/>
      <c r="BV322" s="5" t="n"/>
      <c r="BW322" s="5" t="n"/>
      <c r="BX322" s="5" t="n"/>
      <c r="BY322" s="5" t="n"/>
      <c r="BZ322" s="5" t="n"/>
      <c r="CA322" s="5" t="n"/>
      <c r="CB322" s="5" t="n"/>
      <c r="CC322" s="5" t="n"/>
      <c r="CD322" s="5" t="n"/>
      <c r="CE322" s="5" t="n"/>
      <c r="CF322" s="5" t="n"/>
    </row>
    <row r="323" ht="16.5" customHeight="1" s="241">
      <c r="A323" s="171" t="n">
        <v>0</v>
      </c>
      <c r="B323" s="171" t="n">
        <v>49</v>
      </c>
      <c r="C323" s="171" t="inlineStr">
        <is>
          <t>Seniors 6</t>
        </is>
      </c>
      <c r="D323" s="170" t="inlineStr">
        <is>
          <t>No asegurable</t>
        </is>
      </c>
      <c r="E323" s="5" t="n"/>
      <c r="F323" s="5" t="n"/>
      <c r="G323" s="5" t="n"/>
      <c r="H323" s="5" t="n"/>
      <c r="I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BD323" s="5" t="n"/>
      <c r="BE323" s="5" t="n"/>
      <c r="BJ323" s="5" t="n"/>
      <c r="BK323" s="5" t="n"/>
      <c r="BP323" s="5" t="n"/>
      <c r="BQ323" s="5" t="n"/>
      <c r="BR323" s="5" t="n"/>
      <c r="BS323" s="5" t="n"/>
      <c r="BT323" s="5" t="n"/>
      <c r="BU323" s="5" t="n"/>
      <c r="BV323" s="5" t="n"/>
      <c r="BW323" s="5" t="n"/>
      <c r="BX323" s="5" t="n"/>
      <c r="BY323" s="5" t="n"/>
      <c r="BZ323" s="5" t="n"/>
      <c r="CA323" s="5" t="n"/>
      <c r="CB323" s="5" t="n"/>
      <c r="CC323" s="5" t="n"/>
      <c r="CD323" s="5" t="n"/>
      <c r="CE323" s="5" t="n"/>
      <c r="CF323" s="5" t="n"/>
    </row>
    <row r="324" ht="16.5" customHeight="1" s="241">
      <c r="A324" s="171" t="n">
        <v>50</v>
      </c>
      <c r="B324" s="171" t="n">
        <v>54</v>
      </c>
      <c r="C324" s="171" t="inlineStr">
        <is>
          <t>Seniors 6</t>
        </is>
      </c>
      <c r="D324" s="170" t="n">
        <v>74</v>
      </c>
      <c r="E324" s="5" t="n"/>
      <c r="F324" s="5" t="n"/>
      <c r="G324" s="5" t="n"/>
      <c r="H324" s="5" t="n"/>
      <c r="I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BD324" s="5" t="n"/>
      <c r="BE324" s="5" t="n"/>
      <c r="BJ324" s="5" t="n"/>
      <c r="BK324" s="5" t="n"/>
      <c r="BP324" s="5" t="n"/>
      <c r="BQ324" s="5" t="n"/>
      <c r="BR324" s="5" t="n"/>
      <c r="BS324" s="5" t="n"/>
      <c r="BT324" s="5" t="n"/>
      <c r="BU324" s="5" t="n"/>
      <c r="BV324" s="5" t="n"/>
      <c r="BW324" s="5" t="n"/>
      <c r="BX324" s="5" t="n"/>
      <c r="BY324" s="5" t="n"/>
      <c r="BZ324" s="5" t="n"/>
      <c r="CA324" s="5" t="n"/>
      <c r="CB324" s="5" t="n"/>
      <c r="CC324" s="5" t="n"/>
      <c r="CD324" s="5" t="n"/>
      <c r="CE324" s="5" t="n"/>
      <c r="CF324" s="5" t="n"/>
    </row>
    <row r="325" ht="16.5" customHeight="1" s="241">
      <c r="A325" s="171" t="n">
        <v>55</v>
      </c>
      <c r="B325" s="171" t="n">
        <v>59</v>
      </c>
      <c r="C325" s="171" t="inlineStr">
        <is>
          <t>Seniors 6</t>
        </is>
      </c>
      <c r="D325" s="170" t="n">
        <v>74</v>
      </c>
      <c r="E325" s="5" t="n"/>
      <c r="F325" s="5" t="n"/>
      <c r="G325" s="5" t="n"/>
      <c r="H325" s="5" t="n"/>
      <c r="I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BD325" s="5" t="n"/>
      <c r="BE325" s="5" t="n"/>
      <c r="BJ325" s="5" t="n"/>
      <c r="BK325" s="5" t="n"/>
      <c r="BP325" s="5" t="n"/>
      <c r="BQ325" s="5" t="n"/>
      <c r="BR325" s="5" t="n"/>
      <c r="BS325" s="5" t="n"/>
      <c r="BT325" s="5" t="n"/>
      <c r="BU325" s="5" t="n"/>
      <c r="BV325" s="5" t="n"/>
      <c r="BW325" s="5" t="n"/>
      <c r="BX325" s="5" t="n"/>
      <c r="BY325" s="5" t="n"/>
      <c r="BZ325" s="5" t="n"/>
      <c r="CA325" s="5" t="n"/>
      <c r="CB325" s="5" t="n"/>
      <c r="CC325" s="5" t="n"/>
      <c r="CD325" s="5" t="n"/>
      <c r="CE325" s="5" t="n"/>
      <c r="CF325" s="5" t="n"/>
    </row>
    <row r="326" ht="16.5" customHeight="1" s="241">
      <c r="A326" s="171" t="n">
        <v>60</v>
      </c>
      <c r="B326" s="171" t="n">
        <v>64</v>
      </c>
      <c r="C326" s="171" t="inlineStr">
        <is>
          <t>Seniors 6</t>
        </is>
      </c>
      <c r="D326" s="170" t="n">
        <v>94</v>
      </c>
      <c r="E326" s="5" t="n"/>
      <c r="F326" s="5" t="n"/>
      <c r="G326" s="5" t="n"/>
      <c r="H326" s="5" t="n"/>
      <c r="I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BD326" s="5" t="n"/>
      <c r="BE326" s="5" t="n"/>
      <c r="BJ326" s="5" t="n"/>
      <c r="BK326" s="5" t="n"/>
      <c r="BP326" s="5" t="n"/>
      <c r="BQ326" s="5" t="n"/>
      <c r="BR326" s="5" t="n"/>
      <c r="BS326" s="5" t="n"/>
      <c r="BT326" s="5" t="n"/>
      <c r="BU326" s="5" t="n"/>
      <c r="BV326" s="5" t="n"/>
      <c r="BW326" s="5" t="n"/>
      <c r="BX326" s="5" t="n"/>
      <c r="BY326" s="5" t="n"/>
      <c r="BZ326" s="5" t="n"/>
      <c r="CA326" s="5" t="n"/>
      <c r="CB326" s="5" t="n"/>
      <c r="CC326" s="5" t="n"/>
      <c r="CD326" s="5" t="n"/>
      <c r="CE326" s="5" t="n"/>
      <c r="CF326" s="5" t="n"/>
    </row>
    <row r="327" ht="16.5" customHeight="1" s="241">
      <c r="A327" s="171" t="n">
        <v>65</v>
      </c>
      <c r="B327" s="171" t="n">
        <v>69</v>
      </c>
      <c r="C327" s="171" t="inlineStr">
        <is>
          <t>Seniors 6</t>
        </is>
      </c>
      <c r="D327" s="170" t="n">
        <v>115</v>
      </c>
      <c r="E327" s="5" t="n"/>
      <c r="F327" s="5" t="n"/>
      <c r="G327" s="5" t="n"/>
      <c r="H327" s="5" t="n"/>
      <c r="I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BD327" s="5" t="n"/>
      <c r="BE327" s="5" t="n"/>
      <c r="BJ327" s="5" t="n"/>
      <c r="BK327" s="5" t="n"/>
      <c r="BP327" s="5" t="n"/>
      <c r="BQ327" s="5" t="n"/>
      <c r="BR327" s="5" t="n"/>
      <c r="BS327" s="5" t="n"/>
      <c r="BT327" s="5" t="n"/>
      <c r="BU327" s="5" t="n"/>
      <c r="BV327" s="5" t="n"/>
      <c r="BW327" s="5" t="n"/>
      <c r="BX327" s="5" t="n"/>
      <c r="BY327" s="5" t="n"/>
      <c r="BZ327" s="5" t="n"/>
      <c r="CA327" s="5" t="n"/>
      <c r="CB327" s="5" t="n"/>
      <c r="CC327" s="5" t="n"/>
      <c r="CD327" s="5" t="n"/>
      <c r="CE327" s="5" t="n"/>
      <c r="CF327" s="5" t="n"/>
    </row>
    <row r="328" ht="16.5" customHeight="1" s="241">
      <c r="A328" s="171" t="n">
        <v>70</v>
      </c>
      <c r="B328" s="171" t="n">
        <v>74</v>
      </c>
      <c r="C328" s="171" t="inlineStr">
        <is>
          <t>Seniors 6</t>
        </is>
      </c>
      <c r="D328" s="170" t="n">
        <v>150</v>
      </c>
      <c r="E328" s="5" t="n"/>
      <c r="F328" s="5" t="n"/>
      <c r="G328" s="5" t="n"/>
      <c r="H328" s="5" t="n"/>
      <c r="I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BD328" s="5" t="n"/>
      <c r="BE328" s="5" t="n"/>
      <c r="BJ328" s="5" t="n"/>
      <c r="BK328" s="5" t="n"/>
      <c r="BP328" s="5" t="n"/>
      <c r="BQ328" s="5" t="n"/>
      <c r="BR328" s="5" t="n"/>
      <c r="BS328" s="5" t="n"/>
      <c r="BT328" s="5" t="n"/>
      <c r="BU328" s="5" t="n"/>
      <c r="BV328" s="5" t="n"/>
      <c r="BW328" s="5" t="n"/>
      <c r="BX328" s="5" t="n"/>
      <c r="BY328" s="5" t="n"/>
      <c r="BZ328" s="5" t="n"/>
      <c r="CA328" s="5" t="n"/>
      <c r="CB328" s="5" t="n"/>
      <c r="CC328" s="5" t="n"/>
      <c r="CD328" s="5" t="n"/>
      <c r="CE328" s="5" t="n"/>
      <c r="CF328" s="5" t="n"/>
    </row>
    <row r="329" ht="16.5" customHeight="1" s="241">
      <c r="A329" s="171" t="n">
        <v>75</v>
      </c>
      <c r="B329" s="171" t="n">
        <v>79</v>
      </c>
      <c r="C329" s="171" t="inlineStr">
        <is>
          <t>Seniors 6</t>
        </is>
      </c>
      <c r="D329" s="170" t="n">
        <v>183</v>
      </c>
      <c r="E329" s="5" t="n"/>
      <c r="F329" s="5" t="n"/>
      <c r="G329" s="5" t="n"/>
      <c r="H329" s="5" t="n"/>
      <c r="I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BD329" s="5" t="n"/>
      <c r="BE329" s="5" t="n"/>
      <c r="BJ329" s="5" t="n"/>
      <c r="BK329" s="5" t="n"/>
      <c r="BP329" s="5" t="n"/>
      <c r="BQ329" s="5" t="n"/>
      <c r="BR329" s="5" t="n"/>
      <c r="BS329" s="5" t="n"/>
      <c r="BT329" s="5" t="n"/>
      <c r="BU329" s="5" t="n"/>
      <c r="BV329" s="5" t="n"/>
      <c r="BW329" s="5" t="n"/>
      <c r="BX329" s="5" t="n"/>
      <c r="BY329" s="5" t="n"/>
      <c r="BZ329" s="5" t="n"/>
      <c r="CA329" s="5" t="n"/>
      <c r="CB329" s="5" t="n"/>
      <c r="CC329" s="5" t="n"/>
      <c r="CD329" s="5" t="n"/>
      <c r="CE329" s="5" t="n"/>
      <c r="CF329" s="5" t="n"/>
    </row>
    <row r="330" ht="16.5" customHeight="1" s="241">
      <c r="A330" s="171" t="n">
        <v>80</v>
      </c>
      <c r="B330" s="171" t="n">
        <v>84</v>
      </c>
      <c r="C330" s="171" t="inlineStr">
        <is>
          <t>Seniors 6</t>
        </is>
      </c>
      <c r="D330" s="170" t="n">
        <v>190</v>
      </c>
      <c r="E330" s="5" t="n"/>
      <c r="F330" s="5" t="n"/>
      <c r="G330" s="5" t="n"/>
      <c r="H330" s="5" t="n"/>
      <c r="I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BD330" s="5" t="n"/>
      <c r="BE330" s="5" t="n"/>
      <c r="BJ330" s="5" t="n"/>
      <c r="BK330" s="5" t="n"/>
      <c r="BP330" s="5" t="n"/>
      <c r="BQ330" s="5" t="n"/>
      <c r="BR330" s="5" t="n"/>
      <c r="BS330" s="5" t="n"/>
      <c r="BT330" s="5" t="n"/>
      <c r="BU330" s="5" t="n"/>
      <c r="BV330" s="5" t="n"/>
      <c r="BW330" s="5" t="n"/>
      <c r="BX330" s="5" t="n"/>
      <c r="BY330" s="5" t="n"/>
      <c r="BZ330" s="5" t="n"/>
      <c r="CA330" s="5" t="n"/>
      <c r="CB330" s="5" t="n"/>
      <c r="CC330" s="5" t="n"/>
      <c r="CD330" s="5" t="n"/>
      <c r="CE330" s="5" t="n"/>
      <c r="CF330" s="5" t="n"/>
    </row>
    <row r="331" ht="16.5" customHeight="1" s="241">
      <c r="A331" s="171" t="n">
        <v>85</v>
      </c>
      <c r="B331" s="171" t="n">
        <v>120</v>
      </c>
      <c r="C331" s="171" t="inlineStr">
        <is>
          <t>Seniors 6</t>
        </is>
      </c>
      <c r="D331" s="170" t="inlineStr">
        <is>
          <t>No asegurable</t>
        </is>
      </c>
      <c r="E331" s="5" t="n"/>
      <c r="F331" s="5" t="n"/>
      <c r="G331" s="5" t="n"/>
      <c r="H331" s="5" t="n"/>
      <c r="I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BD331" s="5" t="n"/>
      <c r="BE331" s="5" t="n"/>
      <c r="BJ331" s="5" t="n"/>
      <c r="BK331" s="5" t="n"/>
      <c r="BP331" s="5" t="n"/>
      <c r="BQ331" s="5" t="n"/>
      <c r="BR331" s="5" t="n"/>
      <c r="BS331" s="5" t="n"/>
      <c r="BT331" s="5" t="n"/>
      <c r="BU331" s="5" t="n"/>
      <c r="BV331" s="5" t="n"/>
      <c r="BW331" s="5" t="n"/>
      <c r="BX331" s="5" t="n"/>
      <c r="BY331" s="5" t="n"/>
      <c r="BZ331" s="5" t="n"/>
      <c r="CA331" s="5" t="n"/>
      <c r="CB331" s="5" t="n"/>
      <c r="CC331" s="5" t="n"/>
      <c r="CD331" s="5" t="n"/>
      <c r="CE331" s="5" t="n"/>
      <c r="CF331" s="5" t="n"/>
    </row>
    <row r="332" ht="16.5" customHeight="1" s="241">
      <c r="A332" s="171" t="n">
        <v>0</v>
      </c>
      <c r="B332" s="171" t="n">
        <v>59</v>
      </c>
      <c r="C332" s="171" t="inlineStr">
        <is>
          <t>Seniors total 1</t>
        </is>
      </c>
      <c r="D332" s="170" t="inlineStr">
        <is>
          <t>No asegurable</t>
        </is>
      </c>
      <c r="E332" s="5" t="n"/>
      <c r="F332" s="5" t="n"/>
      <c r="G332" s="5" t="n"/>
      <c r="H332" s="5" t="n"/>
      <c r="I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BD332" s="5" t="n"/>
      <c r="BE332" s="5" t="n"/>
      <c r="BJ332" s="5" t="n"/>
      <c r="BK332" s="5" t="n"/>
      <c r="BP332" s="5" t="n"/>
      <c r="BQ332" s="5" t="n"/>
      <c r="BR332" s="5" t="n"/>
      <c r="BS332" s="5" t="n"/>
      <c r="BT332" s="5" t="n"/>
      <c r="BU332" s="5" t="n"/>
      <c r="BV332" s="5" t="n"/>
      <c r="BW332" s="5" t="n"/>
      <c r="BX332" s="5" t="n"/>
      <c r="BY332" s="5" t="n"/>
      <c r="BZ332" s="5" t="n"/>
      <c r="CA332" s="5" t="n"/>
      <c r="CB332" s="5" t="n"/>
      <c r="CC332" s="5" t="n"/>
      <c r="CD332" s="5" t="n"/>
      <c r="CE332" s="5" t="n"/>
      <c r="CF332" s="5" t="n"/>
    </row>
    <row r="333" ht="16.5" customHeight="1" s="241">
      <c r="A333" s="171" t="n">
        <v>60</v>
      </c>
      <c r="B333" s="171" t="n">
        <v>62</v>
      </c>
      <c r="C333" s="171" t="inlineStr">
        <is>
          <t>Seniors total 1</t>
        </is>
      </c>
      <c r="D333" s="170" t="n">
        <v>101</v>
      </c>
      <c r="E333" s="5" t="n"/>
      <c r="F333" s="5" t="n"/>
      <c r="G333" s="5" t="n"/>
      <c r="H333" s="5" t="n"/>
      <c r="I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BD333" s="5" t="n"/>
      <c r="BE333" s="5" t="n"/>
      <c r="BJ333" s="5" t="n"/>
      <c r="BK333" s="5" t="n"/>
      <c r="BP333" s="5" t="n"/>
      <c r="BQ333" s="5" t="n"/>
      <c r="BR333" s="5" t="n"/>
      <c r="BS333" s="5" t="n"/>
      <c r="BT333" s="5" t="n"/>
      <c r="BU333" s="5" t="n"/>
      <c r="BV333" s="5" t="n"/>
      <c r="BW333" s="5" t="n"/>
      <c r="BX333" s="5" t="n"/>
      <c r="BY333" s="5" t="n"/>
      <c r="BZ333" s="5" t="n"/>
      <c r="CA333" s="5" t="n"/>
      <c r="CB333" s="5" t="n"/>
      <c r="CC333" s="5" t="n"/>
      <c r="CD333" s="5" t="n"/>
      <c r="CE333" s="5" t="n"/>
      <c r="CF333" s="5" t="n"/>
    </row>
    <row r="334" ht="16.5" customHeight="1" s="241">
      <c r="A334" s="171" t="n">
        <v>63</v>
      </c>
      <c r="B334" s="171" t="n">
        <v>64</v>
      </c>
      <c r="C334" s="171" t="inlineStr">
        <is>
          <t>Seniors total 1</t>
        </is>
      </c>
      <c r="D334" s="170" t="n">
        <v>101</v>
      </c>
      <c r="E334" s="5" t="n"/>
      <c r="F334" s="5" t="n"/>
      <c r="G334" s="5" t="n"/>
      <c r="H334" s="5" t="n"/>
      <c r="I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BD334" s="5" t="n"/>
      <c r="BE334" s="5" t="n"/>
      <c r="BJ334" s="5" t="n"/>
      <c r="BK334" s="5" t="n"/>
      <c r="BP334" s="5" t="n"/>
      <c r="BQ334" s="5" t="n"/>
      <c r="BR334" s="5" t="n"/>
      <c r="BS334" s="5" t="n"/>
      <c r="BT334" s="5" t="n"/>
      <c r="BU334" s="5" t="n"/>
      <c r="BV334" s="5" t="n"/>
      <c r="BW334" s="5" t="n"/>
      <c r="BX334" s="5" t="n"/>
      <c r="BY334" s="5" t="n"/>
      <c r="BZ334" s="5" t="n"/>
      <c r="CA334" s="5" t="n"/>
      <c r="CB334" s="5" t="n"/>
      <c r="CC334" s="5" t="n"/>
      <c r="CD334" s="5" t="n"/>
      <c r="CE334" s="5" t="n"/>
      <c r="CF334" s="5" t="n"/>
    </row>
    <row r="335" ht="16.5" customHeight="1" s="241">
      <c r="A335" s="171" t="n">
        <v>65</v>
      </c>
      <c r="B335" s="171" t="n">
        <v>69</v>
      </c>
      <c r="C335" s="171" t="inlineStr">
        <is>
          <t>Seniors total 1</t>
        </is>
      </c>
      <c r="D335" s="170" t="n">
        <v>138</v>
      </c>
      <c r="E335" s="5" t="n"/>
      <c r="F335" s="5" t="n"/>
      <c r="G335" s="5" t="n"/>
      <c r="H335" s="5" t="n"/>
      <c r="I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BD335" s="5" t="n"/>
      <c r="BE335" s="5" t="n"/>
      <c r="BJ335" s="5" t="n"/>
      <c r="BK335" s="5" t="n"/>
      <c r="BP335" s="5" t="n"/>
      <c r="BQ335" s="5" t="n"/>
      <c r="BR335" s="5" t="n"/>
      <c r="BS335" s="5" t="n"/>
      <c r="BT335" s="5" t="n"/>
      <c r="BU335" s="5" t="n"/>
      <c r="BV335" s="5" t="n"/>
      <c r="BW335" s="5" t="n"/>
      <c r="BX335" s="5" t="n"/>
      <c r="BY335" s="5" t="n"/>
      <c r="BZ335" s="5" t="n"/>
      <c r="CA335" s="5" t="n"/>
      <c r="CB335" s="5" t="n"/>
      <c r="CC335" s="5" t="n"/>
      <c r="CD335" s="5" t="n"/>
      <c r="CE335" s="5" t="n"/>
      <c r="CF335" s="5" t="n"/>
    </row>
    <row r="336" ht="16.5" customHeight="1" s="241">
      <c r="A336" s="171" t="n">
        <v>70</v>
      </c>
      <c r="B336" s="171" t="n">
        <v>74</v>
      </c>
      <c r="C336" s="171" t="inlineStr">
        <is>
          <t>Seniors total 1</t>
        </is>
      </c>
      <c r="D336" s="170" t="n">
        <v>172</v>
      </c>
      <c r="E336" s="5" t="n"/>
      <c r="F336" s="5" t="n"/>
      <c r="G336" s="5" t="n"/>
      <c r="H336" s="5" t="n"/>
      <c r="I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BD336" s="5" t="n"/>
      <c r="BE336" s="5" t="n"/>
      <c r="BJ336" s="5" t="n"/>
      <c r="BK336" s="5" t="n"/>
      <c r="BP336" s="5" t="n"/>
      <c r="BQ336" s="5" t="n"/>
      <c r="BR336" s="5" t="n"/>
      <c r="BS336" s="5" t="n"/>
      <c r="BT336" s="5" t="n"/>
      <c r="BU336" s="5" t="n"/>
      <c r="BV336" s="5" t="n"/>
      <c r="BW336" s="5" t="n"/>
      <c r="BX336" s="5" t="n"/>
      <c r="BY336" s="5" t="n"/>
      <c r="BZ336" s="5" t="n"/>
      <c r="CA336" s="5" t="n"/>
      <c r="CB336" s="5" t="n"/>
      <c r="CC336" s="5" t="n"/>
      <c r="CD336" s="5" t="n"/>
      <c r="CE336" s="5" t="n"/>
      <c r="CF336" s="5" t="n"/>
    </row>
    <row r="337" ht="16.5" customHeight="1" s="241">
      <c r="A337" s="171" t="n">
        <v>75</v>
      </c>
      <c r="B337" s="171" t="n">
        <v>84</v>
      </c>
      <c r="C337" s="171" t="inlineStr">
        <is>
          <t>Seniors total 1</t>
        </is>
      </c>
      <c r="D337" s="170" t="n">
        <v>231</v>
      </c>
      <c r="E337" s="5" t="n"/>
      <c r="F337" s="5" t="n"/>
      <c r="G337" s="5" t="n"/>
      <c r="H337" s="5" t="n"/>
      <c r="I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BD337" s="5" t="n"/>
      <c r="BE337" s="5" t="n"/>
      <c r="BJ337" s="5" t="n"/>
      <c r="BK337" s="5" t="n"/>
      <c r="BP337" s="5" t="n"/>
      <c r="BQ337" s="5" t="n"/>
      <c r="BR337" s="5" t="n"/>
      <c r="BS337" s="5" t="n"/>
      <c r="BT337" s="5" t="n"/>
      <c r="BU337" s="5" t="n"/>
      <c r="BV337" s="5" t="n"/>
      <c r="BW337" s="5" t="n"/>
      <c r="BX337" s="5" t="n"/>
      <c r="BY337" s="5" t="n"/>
      <c r="BZ337" s="5" t="n"/>
      <c r="CA337" s="5" t="n"/>
      <c r="CB337" s="5" t="n"/>
      <c r="CC337" s="5" t="n"/>
      <c r="CD337" s="5" t="n"/>
      <c r="CE337" s="5" t="n"/>
      <c r="CF337" s="5" t="n"/>
    </row>
    <row r="338" ht="16.5" customHeight="1" s="241">
      <c r="A338" s="171" t="n">
        <v>85</v>
      </c>
      <c r="B338" s="171" t="n">
        <v>120</v>
      </c>
      <c r="C338" s="171" t="inlineStr">
        <is>
          <t>Seniors total 1</t>
        </is>
      </c>
      <c r="D338" s="170" t="inlineStr">
        <is>
          <t>No asegurable</t>
        </is>
      </c>
      <c r="E338" s="5" t="n"/>
      <c r="F338" s="5" t="n"/>
      <c r="G338" s="5" t="n"/>
      <c r="H338" s="5" t="n"/>
      <c r="I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BD338" s="5" t="n"/>
      <c r="BE338" s="5" t="n"/>
      <c r="BJ338" s="5" t="n"/>
      <c r="BK338" s="5" t="n"/>
      <c r="BP338" s="5" t="n"/>
      <c r="BQ338" s="5" t="n"/>
      <c r="BR338" s="5" t="n"/>
      <c r="BS338" s="5" t="n"/>
      <c r="BT338" s="5" t="n"/>
      <c r="BU338" s="5" t="n"/>
      <c r="BV338" s="5" t="n"/>
      <c r="BW338" s="5" t="n"/>
      <c r="BX338" s="5" t="n"/>
      <c r="BY338" s="5" t="n"/>
      <c r="BZ338" s="5" t="n"/>
      <c r="CA338" s="5" t="n"/>
      <c r="CB338" s="5" t="n"/>
      <c r="CC338" s="5" t="n"/>
      <c r="CD338" s="5" t="n"/>
      <c r="CE338" s="5" t="n"/>
      <c r="CF338" s="5" t="n"/>
    </row>
    <row r="339" ht="16.5" customHeight="1" s="241">
      <c r="A339" s="171" t="n">
        <v>0</v>
      </c>
      <c r="B339" s="171" t="n">
        <v>59</v>
      </c>
      <c r="C339" s="171" t="inlineStr">
        <is>
          <t>Seniors total 2</t>
        </is>
      </c>
      <c r="D339" s="170" t="inlineStr">
        <is>
          <t>No asegurable</t>
        </is>
      </c>
      <c r="E339" s="5" t="n"/>
      <c r="F339" s="5" t="n"/>
      <c r="G339" s="5" t="n"/>
      <c r="H339" s="5" t="n"/>
      <c r="I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BD339" s="5" t="n"/>
      <c r="BE339" s="5" t="n"/>
      <c r="BJ339" s="5" t="n"/>
      <c r="BK339" s="5" t="n"/>
      <c r="BP339" s="5" t="n"/>
      <c r="BQ339" s="5" t="n"/>
      <c r="BR339" s="5" t="n"/>
      <c r="BS339" s="5" t="n"/>
      <c r="BT339" s="5" t="n"/>
      <c r="BU339" s="5" t="n"/>
      <c r="BV339" s="5" t="n"/>
      <c r="BW339" s="5" t="n"/>
      <c r="BX339" s="5" t="n"/>
      <c r="BY339" s="5" t="n"/>
      <c r="BZ339" s="5" t="n"/>
      <c r="CA339" s="5" t="n"/>
      <c r="CB339" s="5" t="n"/>
      <c r="CC339" s="5" t="n"/>
      <c r="CD339" s="5" t="n"/>
      <c r="CE339" s="5" t="n"/>
      <c r="CF339" s="5" t="n"/>
    </row>
    <row r="340" ht="16.5" customHeight="1" s="241">
      <c r="A340" s="171" t="n">
        <v>60</v>
      </c>
      <c r="B340" s="171" t="n">
        <v>62</v>
      </c>
      <c r="C340" s="171" t="inlineStr">
        <is>
          <t>Seniors total 2</t>
        </is>
      </c>
      <c r="D340" s="170" t="n">
        <v>104</v>
      </c>
      <c r="E340" s="5" t="n"/>
      <c r="F340" s="5" t="n"/>
      <c r="G340" s="5" t="n"/>
      <c r="H340" s="5" t="n"/>
      <c r="I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BD340" s="5" t="n"/>
      <c r="BE340" s="5" t="n"/>
      <c r="BJ340" s="5" t="n"/>
      <c r="BK340" s="5" t="n"/>
      <c r="BP340" s="5" t="n"/>
      <c r="BQ340" s="5" t="n"/>
      <c r="BR340" s="5" t="n"/>
      <c r="BS340" s="5" t="n"/>
      <c r="BT340" s="5" t="n"/>
      <c r="BU340" s="5" t="n"/>
      <c r="BV340" s="5" t="n"/>
      <c r="BW340" s="5" t="n"/>
      <c r="BX340" s="5" t="n"/>
      <c r="BY340" s="5" t="n"/>
      <c r="BZ340" s="5" t="n"/>
      <c r="CA340" s="5" t="n"/>
      <c r="CB340" s="5" t="n"/>
      <c r="CC340" s="5" t="n"/>
      <c r="CD340" s="5" t="n"/>
      <c r="CE340" s="5" t="n"/>
      <c r="CF340" s="5" t="n"/>
    </row>
    <row r="341" ht="16.5" customHeight="1" s="241">
      <c r="A341" s="171" t="n">
        <v>63</v>
      </c>
      <c r="B341" s="171" t="n">
        <v>64</v>
      </c>
      <c r="C341" s="171" t="inlineStr">
        <is>
          <t>Seniors total 2</t>
        </is>
      </c>
      <c r="D341" s="170" t="n">
        <v>104</v>
      </c>
      <c r="E341" s="5" t="n"/>
      <c r="F341" s="5" t="n"/>
      <c r="G341" s="5" t="n"/>
      <c r="H341" s="5" t="n"/>
      <c r="I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BD341" s="5" t="n"/>
      <c r="BE341" s="5" t="n"/>
      <c r="BJ341" s="5" t="n"/>
      <c r="BK341" s="5" t="n"/>
      <c r="BP341" s="5" t="n"/>
      <c r="BQ341" s="5" t="n"/>
      <c r="BR341" s="5" t="n"/>
      <c r="BS341" s="5" t="n"/>
      <c r="BT341" s="5" t="n"/>
      <c r="BU341" s="5" t="n"/>
      <c r="BV341" s="5" t="n"/>
      <c r="BW341" s="5" t="n"/>
      <c r="BX341" s="5" t="n"/>
      <c r="BY341" s="5" t="n"/>
      <c r="BZ341" s="5" t="n"/>
      <c r="CA341" s="5" t="n"/>
      <c r="CB341" s="5" t="n"/>
      <c r="CC341" s="5" t="n"/>
      <c r="CD341" s="5" t="n"/>
      <c r="CE341" s="5" t="n"/>
      <c r="CF341" s="5" t="n"/>
    </row>
    <row r="342" ht="16.5" customHeight="1" s="241">
      <c r="A342" s="171" t="n">
        <v>65</v>
      </c>
      <c r="B342" s="171" t="n">
        <v>69</v>
      </c>
      <c r="C342" s="171" t="inlineStr">
        <is>
          <t>Seniors total 2</t>
        </is>
      </c>
      <c r="D342" s="170" t="n">
        <v>142</v>
      </c>
      <c r="E342" s="5" t="n"/>
      <c r="F342" s="5" t="n"/>
      <c r="G342" s="5" t="n"/>
      <c r="H342" s="5" t="n"/>
      <c r="I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BD342" s="5" t="n"/>
      <c r="BE342" s="5" t="n"/>
      <c r="BJ342" s="5" t="n"/>
      <c r="BK342" s="5" t="n"/>
      <c r="BP342" s="5" t="n"/>
      <c r="BQ342" s="5" t="n"/>
      <c r="BR342" s="5" t="n"/>
      <c r="BS342" s="5" t="n"/>
      <c r="BT342" s="5" t="n"/>
      <c r="BU342" s="5" t="n"/>
      <c r="BV342" s="5" t="n"/>
      <c r="BW342" s="5" t="n"/>
      <c r="BX342" s="5" t="n"/>
      <c r="BY342" s="5" t="n"/>
      <c r="BZ342" s="5" t="n"/>
      <c r="CA342" s="5" t="n"/>
      <c r="CB342" s="5" t="n"/>
      <c r="CC342" s="5" t="n"/>
      <c r="CD342" s="5" t="n"/>
      <c r="CE342" s="5" t="n"/>
      <c r="CF342" s="5" t="n"/>
    </row>
    <row r="343" ht="16.5" customHeight="1" s="241">
      <c r="A343" s="171" t="n">
        <v>70</v>
      </c>
      <c r="B343" s="171" t="n">
        <v>74</v>
      </c>
      <c r="C343" s="171" t="inlineStr">
        <is>
          <t>Seniors total 2</t>
        </is>
      </c>
      <c r="D343" s="170" t="n">
        <v>176</v>
      </c>
      <c r="E343" s="5" t="n"/>
      <c r="F343" s="5" t="n"/>
      <c r="G343" s="5" t="n"/>
      <c r="H343" s="5" t="n"/>
      <c r="I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BD343" s="5" t="n"/>
      <c r="BE343" s="5" t="n"/>
      <c r="BJ343" s="5" t="n"/>
      <c r="BK343" s="5" t="n"/>
      <c r="BP343" s="5" t="n"/>
      <c r="BQ343" s="5" t="n"/>
      <c r="BR343" s="5" t="n"/>
      <c r="BS343" s="5" t="n"/>
      <c r="BT343" s="5" t="n"/>
      <c r="BU343" s="5" t="n"/>
      <c r="BV343" s="5" t="n"/>
      <c r="BW343" s="5" t="n"/>
      <c r="BX343" s="5" t="n"/>
      <c r="BY343" s="5" t="n"/>
      <c r="BZ343" s="5" t="n"/>
      <c r="CA343" s="5" t="n"/>
      <c r="CB343" s="5" t="n"/>
      <c r="CC343" s="5" t="n"/>
      <c r="CD343" s="5" t="n"/>
      <c r="CE343" s="5" t="n"/>
      <c r="CF343" s="5" t="n"/>
    </row>
    <row r="344" ht="16.5" customHeight="1" s="241">
      <c r="A344" s="171" t="n">
        <v>75</v>
      </c>
      <c r="B344" s="171" t="n">
        <v>84</v>
      </c>
      <c r="C344" s="171" t="inlineStr">
        <is>
          <t>Seniors total 2</t>
        </is>
      </c>
      <c r="D344" s="170" t="n">
        <v>239</v>
      </c>
      <c r="E344" s="5" t="n"/>
      <c r="F344" s="5" t="n"/>
      <c r="G344" s="5" t="n"/>
      <c r="H344" s="5" t="n"/>
      <c r="I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BD344" s="5" t="n"/>
      <c r="BE344" s="5" t="n"/>
      <c r="BJ344" s="5" t="n"/>
      <c r="BK344" s="5" t="n"/>
      <c r="BP344" s="5" t="n"/>
      <c r="BQ344" s="5" t="n"/>
      <c r="BR344" s="5" t="n"/>
      <c r="BS344" s="5" t="n"/>
      <c r="BT344" s="5" t="n"/>
      <c r="BU344" s="5" t="n"/>
      <c r="BV344" s="5" t="n"/>
      <c r="BW344" s="5" t="n"/>
      <c r="BX344" s="5" t="n"/>
      <c r="BY344" s="5" t="n"/>
      <c r="BZ344" s="5" t="n"/>
      <c r="CA344" s="5" t="n"/>
      <c r="CB344" s="5" t="n"/>
      <c r="CC344" s="5" t="n"/>
      <c r="CD344" s="5" t="n"/>
      <c r="CE344" s="5" t="n"/>
      <c r="CF344" s="5" t="n"/>
    </row>
    <row r="345" ht="16.5" customHeight="1" s="241">
      <c r="A345" s="171" t="n">
        <v>85</v>
      </c>
      <c r="B345" s="171" t="n">
        <v>120</v>
      </c>
      <c r="C345" s="171" t="inlineStr">
        <is>
          <t>Seniors total 2</t>
        </is>
      </c>
      <c r="D345" s="170" t="inlineStr">
        <is>
          <t>No asegurable</t>
        </is>
      </c>
      <c r="E345" s="5" t="n"/>
      <c r="F345" s="5" t="n"/>
      <c r="G345" s="5" t="n"/>
      <c r="H345" s="5" t="n"/>
      <c r="I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BD345" s="5" t="n"/>
      <c r="BE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5" t="n"/>
      <c r="BW345" s="5" t="n"/>
      <c r="BX345" s="5" t="n"/>
      <c r="BY345" s="5" t="n"/>
      <c r="BZ345" s="5" t="n"/>
      <c r="CA345" s="5" t="n"/>
      <c r="CB345" s="5" t="n"/>
      <c r="CC345" s="5" t="n"/>
      <c r="CD345" s="5" t="n"/>
      <c r="CE345" s="5" t="n"/>
      <c r="CF345" s="5" t="n"/>
    </row>
    <row r="346" ht="16.5" customHeight="1" s="241">
      <c r="A346" s="171" t="n">
        <v>0</v>
      </c>
      <c r="B346" s="171" t="n">
        <v>59</v>
      </c>
      <c r="C346" s="171" t="inlineStr">
        <is>
          <t>Seniors total 3</t>
        </is>
      </c>
      <c r="D346" s="170" t="inlineStr">
        <is>
          <t>No asegurable</t>
        </is>
      </c>
      <c r="E346" s="5" t="n"/>
      <c r="F346" s="5" t="n"/>
      <c r="G346" s="5" t="n"/>
      <c r="H346" s="5" t="n"/>
      <c r="I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BD346" s="5" t="n"/>
      <c r="BE346" s="5" t="n"/>
      <c r="BJ346" s="5" t="n"/>
      <c r="BK346" s="5" t="n"/>
      <c r="BL346" s="5" t="n"/>
      <c r="BM346" s="5" t="n"/>
      <c r="BN346" s="5" t="n"/>
      <c r="BO346" s="5" t="n"/>
      <c r="BP346" s="5" t="n"/>
      <c r="BQ346" s="5" t="n"/>
      <c r="BR346" s="5" t="n"/>
      <c r="BS346" s="5" t="n"/>
      <c r="BT346" s="5" t="n"/>
      <c r="BU346" s="5" t="n"/>
      <c r="BV346" s="5" t="n"/>
      <c r="BW346" s="5" t="n"/>
      <c r="BX346" s="5" t="n"/>
      <c r="BY346" s="5" t="n"/>
      <c r="BZ346" s="5" t="n"/>
      <c r="CA346" s="5" t="n"/>
      <c r="CB346" s="5" t="n"/>
      <c r="CC346" s="5" t="n"/>
      <c r="CD346" s="5" t="n"/>
      <c r="CE346" s="5" t="n"/>
      <c r="CF346" s="5" t="n"/>
    </row>
    <row r="347" ht="16.5" customHeight="1" s="241">
      <c r="A347" s="171" t="n">
        <v>60</v>
      </c>
      <c r="B347" s="171" t="n">
        <v>62</v>
      </c>
      <c r="C347" s="171" t="inlineStr">
        <is>
          <t>Seniors total 3</t>
        </is>
      </c>
      <c r="D347" s="170" t="n">
        <v>105</v>
      </c>
      <c r="E347" s="5" t="n"/>
      <c r="F347" s="5" t="n"/>
      <c r="G347" s="5" t="n"/>
      <c r="H347" s="5" t="n"/>
      <c r="I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BD347" s="5" t="n"/>
      <c r="BE347" s="5" t="n"/>
      <c r="BJ347" s="5" t="n"/>
      <c r="BK347" s="5" t="n"/>
      <c r="BL347" s="5" t="n"/>
      <c r="BM347" s="5" t="n"/>
      <c r="BN347" s="5" t="n"/>
      <c r="BO347" s="5" t="n"/>
      <c r="BP347" s="5" t="n"/>
      <c r="BQ347" s="5" t="n"/>
      <c r="BR347" s="5" t="n"/>
      <c r="BS347" s="5" t="n"/>
      <c r="BT347" s="5" t="n"/>
      <c r="BU347" s="5" t="n"/>
      <c r="BV347" s="5" t="n"/>
      <c r="BW347" s="5" t="n"/>
      <c r="BX347" s="5" t="n"/>
      <c r="BY347" s="5" t="n"/>
      <c r="BZ347" s="5" t="n"/>
      <c r="CA347" s="5" t="n"/>
      <c r="CB347" s="5" t="n"/>
      <c r="CC347" s="5" t="n"/>
      <c r="CD347" s="5" t="n"/>
      <c r="CE347" s="5" t="n"/>
      <c r="CF347" s="5" t="n"/>
    </row>
    <row r="348" ht="16.5" customHeight="1" s="241">
      <c r="A348" s="171" t="n">
        <v>63</v>
      </c>
      <c r="B348" s="171" t="n">
        <v>64</v>
      </c>
      <c r="C348" s="171" t="inlineStr">
        <is>
          <t>Seniors total 3</t>
        </is>
      </c>
      <c r="D348" s="170" t="n">
        <v>105</v>
      </c>
      <c r="E348" s="5" t="n"/>
      <c r="F348" s="5" t="n"/>
      <c r="G348" s="5" t="n"/>
      <c r="H348" s="5" t="n"/>
      <c r="I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BD348" s="5" t="n"/>
      <c r="BE348" s="5" t="n"/>
      <c r="BJ348" s="5" t="n"/>
      <c r="BK348" s="5" t="n"/>
      <c r="BL348" s="5" t="n"/>
      <c r="BM348" s="5" t="n"/>
      <c r="BN348" s="5" t="n"/>
      <c r="BO348" s="5" t="n"/>
      <c r="BP348" s="5" t="n"/>
      <c r="BQ348" s="5" t="n"/>
      <c r="BR348" s="5" t="n"/>
      <c r="BS348" s="5" t="n"/>
      <c r="BT348" s="5" t="n"/>
      <c r="BU348" s="5" t="n"/>
      <c r="BV348" s="5" t="n"/>
      <c r="BW348" s="5" t="n"/>
      <c r="BX348" s="5" t="n"/>
      <c r="BY348" s="5" t="n"/>
      <c r="BZ348" s="5" t="n"/>
      <c r="CA348" s="5" t="n"/>
      <c r="CB348" s="5" t="n"/>
      <c r="CC348" s="5" t="n"/>
      <c r="CD348" s="5" t="n"/>
      <c r="CE348" s="5" t="n"/>
      <c r="CF348" s="5" t="n"/>
    </row>
    <row r="349" ht="16.5" customHeight="1" s="241">
      <c r="A349" s="171" t="n">
        <v>65</v>
      </c>
      <c r="B349" s="171" t="n">
        <v>69</v>
      </c>
      <c r="C349" s="171" t="inlineStr">
        <is>
          <t>Seniors total 3</t>
        </is>
      </c>
      <c r="D349" s="170" t="n">
        <v>144</v>
      </c>
      <c r="E349" s="5" t="n"/>
      <c r="F349" s="5" t="n"/>
      <c r="G349" s="5" t="n"/>
      <c r="H349" s="5" t="n"/>
      <c r="I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BD349" s="5" t="n"/>
      <c r="BE349" s="5" t="n"/>
      <c r="BJ349" s="5" t="n"/>
      <c r="BK349" s="5" t="n"/>
      <c r="BL349" s="5" t="n"/>
      <c r="BM349" s="5" t="n"/>
      <c r="BN349" s="5" t="n"/>
      <c r="BO349" s="5" t="n"/>
      <c r="BP349" s="5" t="n"/>
      <c r="BQ349" s="5" t="n"/>
      <c r="BR349" s="5" t="n"/>
      <c r="BS349" s="5" t="n"/>
      <c r="BT349" s="5" t="n"/>
      <c r="BU349" s="5" t="n"/>
      <c r="BV349" s="5" t="n"/>
      <c r="BW349" s="5" t="n"/>
      <c r="BX349" s="5" t="n"/>
      <c r="BY349" s="5" t="n"/>
      <c r="BZ349" s="5" t="n"/>
      <c r="CA349" s="5" t="n"/>
      <c r="CB349" s="5" t="n"/>
      <c r="CC349" s="5" t="n"/>
      <c r="CD349" s="5" t="n"/>
      <c r="CE349" s="5" t="n"/>
      <c r="CF349" s="5" t="n"/>
    </row>
    <row r="350" ht="16.5" customHeight="1" s="241">
      <c r="A350" s="171" t="n">
        <v>70</v>
      </c>
      <c r="B350" s="171" t="n">
        <v>74</v>
      </c>
      <c r="C350" s="171" t="inlineStr">
        <is>
          <t>Seniors total 3</t>
        </is>
      </c>
      <c r="D350" s="170" t="n">
        <v>180</v>
      </c>
      <c r="E350" s="5" t="n"/>
      <c r="F350" s="5" t="n"/>
      <c r="G350" s="5" t="n"/>
      <c r="H350" s="5" t="n"/>
      <c r="I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BD350" s="5" t="n"/>
      <c r="BE350" s="5" t="n"/>
      <c r="BJ350" s="5" t="n"/>
      <c r="BK350" s="5" t="n"/>
      <c r="BL350" s="5" t="n"/>
      <c r="BM350" s="5" t="n"/>
      <c r="BN350" s="5" t="n"/>
      <c r="BO350" s="5" t="n"/>
      <c r="BP350" s="5" t="n"/>
      <c r="BQ350" s="5" t="n"/>
      <c r="BR350" s="5" t="n"/>
      <c r="BS350" s="5" t="n"/>
      <c r="BT350" s="5" t="n"/>
      <c r="BU350" s="5" t="n"/>
      <c r="BV350" s="5" t="n"/>
      <c r="BW350" s="5" t="n"/>
      <c r="BX350" s="5" t="n"/>
      <c r="BY350" s="5" t="n"/>
      <c r="BZ350" s="5" t="n"/>
      <c r="CA350" s="5" t="n"/>
      <c r="CB350" s="5" t="n"/>
      <c r="CC350" s="5" t="n"/>
      <c r="CD350" s="5" t="n"/>
      <c r="CE350" s="5" t="n"/>
      <c r="CF350" s="5" t="n"/>
    </row>
    <row r="351" ht="16.5" customHeight="1" s="241">
      <c r="A351" s="171" t="n">
        <v>75</v>
      </c>
      <c r="B351" s="171" t="n">
        <v>84</v>
      </c>
      <c r="C351" s="171" t="inlineStr">
        <is>
          <t>Seniors total 3</t>
        </is>
      </c>
      <c r="D351" s="170" t="n">
        <v>245</v>
      </c>
      <c r="E351" s="5" t="n"/>
      <c r="F351" s="5" t="n"/>
      <c r="G351" s="5" t="n"/>
      <c r="H351" s="5" t="n"/>
      <c r="I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BD351" s="5" t="n"/>
      <c r="BE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/>
      <c r="BR351" s="5" t="n"/>
      <c r="BS351" s="5" t="n"/>
      <c r="BT351" s="5" t="n"/>
      <c r="BU351" s="5" t="n"/>
      <c r="BV351" s="5" t="n"/>
      <c r="BW351" s="5" t="n"/>
      <c r="BX351" s="5" t="n"/>
      <c r="BY351" s="5" t="n"/>
      <c r="BZ351" s="5" t="n"/>
      <c r="CA351" s="5" t="n"/>
      <c r="CB351" s="5" t="n"/>
      <c r="CC351" s="5" t="n"/>
      <c r="CD351" s="5" t="n"/>
      <c r="CE351" s="5" t="n"/>
      <c r="CF351" s="5" t="n"/>
    </row>
    <row r="352" ht="16.5" customHeight="1" s="241">
      <c r="A352" s="171" t="n">
        <v>85</v>
      </c>
      <c r="B352" s="171" t="n">
        <v>120</v>
      </c>
      <c r="C352" s="171" t="inlineStr">
        <is>
          <t>Seniors total 3</t>
        </is>
      </c>
      <c r="D352" s="170" t="inlineStr">
        <is>
          <t>No asegurable</t>
        </is>
      </c>
      <c r="E352" s="5" t="n"/>
      <c r="F352" s="5" t="n"/>
      <c r="G352" s="5" t="n"/>
      <c r="H352" s="5" t="n"/>
      <c r="I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BD352" s="5" t="n"/>
      <c r="BE352" s="5" t="n"/>
      <c r="BJ352" s="5" t="n"/>
      <c r="BK352" s="5" t="n"/>
      <c r="BL352" s="5" t="n"/>
      <c r="BM352" s="5" t="n"/>
      <c r="BN352" s="5" t="n"/>
      <c r="BO352" s="5" t="n"/>
      <c r="BP352" s="5" t="n"/>
      <c r="BQ352" s="5" t="n"/>
      <c r="BR352" s="5" t="n"/>
      <c r="BS352" s="5" t="n"/>
      <c r="BT352" s="5" t="n"/>
      <c r="BU352" s="5" t="n"/>
      <c r="BV352" s="5" t="n"/>
      <c r="BW352" s="5" t="n"/>
      <c r="BX352" s="5" t="n"/>
      <c r="BY352" s="5" t="n"/>
      <c r="BZ352" s="5" t="n"/>
      <c r="CA352" s="5" t="n"/>
      <c r="CB352" s="5" t="n"/>
      <c r="CC352" s="5" t="n"/>
      <c r="CD352" s="5" t="n"/>
      <c r="CE352" s="5" t="n"/>
      <c r="CF352" s="5" t="n"/>
    </row>
    <row r="353" ht="16.5" customHeight="1" s="241">
      <c r="A353" s="171" t="n">
        <v>0</v>
      </c>
      <c r="B353" s="171" t="n">
        <v>59</v>
      </c>
      <c r="C353" s="171" t="inlineStr">
        <is>
          <t>Seniors total 4</t>
        </is>
      </c>
      <c r="D353" s="170" t="inlineStr">
        <is>
          <t>No asegurable</t>
        </is>
      </c>
      <c r="E353" s="5" t="n"/>
      <c r="F353" s="5" t="n"/>
      <c r="G353" s="5" t="n"/>
      <c r="H353" s="5" t="n"/>
      <c r="I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BD353" s="5" t="n"/>
      <c r="BE353" s="5" t="n"/>
      <c r="BJ353" s="5" t="n"/>
      <c r="BK353" s="5" t="n"/>
      <c r="BL353" s="5" t="n"/>
      <c r="BM353" s="5" t="n"/>
      <c r="BN353" s="5" t="n"/>
      <c r="BO353" s="5" t="n"/>
      <c r="BP353" s="5" t="n"/>
      <c r="BQ353" s="5" t="n"/>
      <c r="BR353" s="5" t="n"/>
      <c r="BS353" s="5" t="n"/>
      <c r="BT353" s="5" t="n"/>
      <c r="BU353" s="5" t="n"/>
      <c r="BV353" s="5" t="n"/>
      <c r="BW353" s="5" t="n"/>
      <c r="BX353" s="5" t="n"/>
      <c r="BY353" s="5" t="n"/>
      <c r="BZ353" s="5" t="n"/>
      <c r="CA353" s="5" t="n"/>
      <c r="CB353" s="5" t="n"/>
      <c r="CC353" s="5" t="n"/>
      <c r="CD353" s="5" t="n"/>
      <c r="CE353" s="5" t="n"/>
      <c r="CF353" s="5" t="n"/>
    </row>
    <row r="354" ht="16.5" customHeight="1" s="241">
      <c r="A354" s="171" t="n">
        <v>60</v>
      </c>
      <c r="B354" s="171" t="n">
        <v>62</v>
      </c>
      <c r="C354" s="171" t="inlineStr">
        <is>
          <t>Seniors total 4</t>
        </is>
      </c>
      <c r="D354" s="170" t="n">
        <v>110</v>
      </c>
      <c r="E354" s="5" t="n"/>
      <c r="F354" s="5" t="n"/>
      <c r="G354" s="5" t="n"/>
      <c r="H354" s="5" t="n"/>
      <c r="I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BD354" s="5" t="n"/>
      <c r="BE354" s="5" t="n"/>
      <c r="BJ354" s="5" t="n"/>
      <c r="BK354" s="5" t="n"/>
      <c r="BL354" s="5" t="n"/>
      <c r="BM354" s="5" t="n"/>
      <c r="BN354" s="5" t="n"/>
      <c r="BO354" s="5" t="n"/>
      <c r="BP354" s="5" t="n"/>
      <c r="BQ354" s="5" t="n"/>
      <c r="BR354" s="5" t="n"/>
      <c r="BS354" s="5" t="n"/>
      <c r="BT354" s="5" t="n"/>
      <c r="BU354" s="5" t="n"/>
      <c r="BV354" s="5" t="n"/>
      <c r="BW354" s="5" t="n"/>
      <c r="BX354" s="5" t="n"/>
      <c r="BY354" s="5" t="n"/>
      <c r="BZ354" s="5" t="n"/>
      <c r="CA354" s="5" t="n"/>
      <c r="CB354" s="5" t="n"/>
      <c r="CC354" s="5" t="n"/>
      <c r="CD354" s="5" t="n"/>
      <c r="CE354" s="5" t="n"/>
      <c r="CF354" s="5" t="n"/>
    </row>
    <row r="355" ht="16.5" customHeight="1" s="241">
      <c r="A355" s="171" t="n">
        <v>63</v>
      </c>
      <c r="B355" s="171" t="n">
        <v>64</v>
      </c>
      <c r="C355" s="171" t="inlineStr">
        <is>
          <t>Seniors total 4</t>
        </is>
      </c>
      <c r="D355" s="170" t="n">
        <v>110</v>
      </c>
      <c r="E355" s="5" t="n"/>
      <c r="F355" s="5" t="n"/>
      <c r="G355" s="5" t="n"/>
      <c r="H355" s="5" t="n"/>
      <c r="I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BD355" s="5" t="n"/>
      <c r="BE355" s="5" t="n"/>
      <c r="BJ355" s="5" t="n"/>
      <c r="BK355" s="5" t="n"/>
      <c r="BL355" s="5" t="n"/>
      <c r="BM355" s="5" t="n"/>
      <c r="BN355" s="5" t="n"/>
      <c r="BO355" s="5" t="n"/>
      <c r="BP355" s="5" t="n"/>
      <c r="BQ355" s="5" t="n"/>
      <c r="BR355" s="5" t="n"/>
      <c r="BS355" s="5" t="n"/>
      <c r="BT355" s="5" t="n"/>
      <c r="BU355" s="5" t="n"/>
      <c r="BV355" s="5" t="n"/>
      <c r="BW355" s="5" t="n"/>
      <c r="BX355" s="5" t="n"/>
      <c r="BY355" s="5" t="n"/>
      <c r="BZ355" s="5" t="n"/>
      <c r="CA355" s="5" t="n"/>
      <c r="CB355" s="5" t="n"/>
      <c r="CC355" s="5" t="n"/>
      <c r="CD355" s="5" t="n"/>
      <c r="CE355" s="5" t="n"/>
      <c r="CF355" s="5" t="n"/>
    </row>
    <row r="356" ht="16.5" customHeight="1" s="241">
      <c r="A356" s="171" t="n">
        <v>65</v>
      </c>
      <c r="B356" s="171" t="n">
        <v>69</v>
      </c>
      <c r="C356" s="171" t="inlineStr">
        <is>
          <t>Seniors total 4</t>
        </is>
      </c>
      <c r="D356" s="170" t="n">
        <v>145</v>
      </c>
      <c r="E356" s="5" t="n"/>
      <c r="F356" s="5" t="n"/>
      <c r="G356" s="5" t="n"/>
      <c r="H356" s="5" t="n"/>
      <c r="I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BD356" s="5" t="n"/>
      <c r="BE356" s="5" t="n"/>
      <c r="BJ356" s="5" t="n"/>
      <c r="BK356" s="5" t="n"/>
      <c r="BL356" s="5" t="n"/>
      <c r="BM356" s="5" t="n"/>
      <c r="BN356" s="5" t="n"/>
      <c r="BO356" s="5" t="n"/>
      <c r="BP356" s="5" t="n"/>
      <c r="BQ356" s="5" t="n"/>
      <c r="BR356" s="5" t="n"/>
      <c r="BS356" s="5" t="n"/>
      <c r="BT356" s="5" t="n"/>
      <c r="BU356" s="5" t="n"/>
      <c r="BV356" s="5" t="n"/>
      <c r="BW356" s="5" t="n"/>
      <c r="BX356" s="5" t="n"/>
      <c r="BY356" s="5" t="n"/>
      <c r="BZ356" s="5" t="n"/>
      <c r="CA356" s="5" t="n"/>
      <c r="CB356" s="5" t="n"/>
      <c r="CC356" s="5" t="n"/>
      <c r="CD356" s="5" t="n"/>
      <c r="CE356" s="5" t="n"/>
      <c r="CF356" s="5" t="n"/>
    </row>
    <row r="357" ht="16.5" customHeight="1" s="241">
      <c r="A357" s="171" t="n">
        <v>70</v>
      </c>
      <c r="B357" s="171" t="n">
        <v>74</v>
      </c>
      <c r="C357" s="171" t="inlineStr">
        <is>
          <t>Seniors total 4</t>
        </is>
      </c>
      <c r="D357" s="170" t="n">
        <v>184</v>
      </c>
      <c r="E357" s="5" t="n"/>
      <c r="F357" s="5" t="n"/>
      <c r="G357" s="5" t="n"/>
      <c r="H357" s="5" t="n"/>
      <c r="I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BD357" s="5" t="n"/>
      <c r="BE357" s="5" t="n"/>
      <c r="BJ357" s="5" t="n"/>
      <c r="BK357" s="5" t="n"/>
      <c r="BL357" s="5" t="n"/>
      <c r="BM357" s="5" t="n"/>
      <c r="BN357" s="5" t="n"/>
      <c r="BO357" s="5" t="n"/>
      <c r="BP357" s="5" t="n"/>
      <c r="BQ357" s="5" t="n"/>
      <c r="BR357" s="5" t="n"/>
      <c r="BS357" s="5" t="n"/>
      <c r="BT357" s="5" t="n"/>
      <c r="BU357" s="5" t="n"/>
      <c r="BV357" s="5" t="n"/>
      <c r="BW357" s="5" t="n"/>
      <c r="BX357" s="5" t="n"/>
      <c r="BY357" s="5" t="n"/>
      <c r="BZ357" s="5" t="n"/>
      <c r="CA357" s="5" t="n"/>
      <c r="CB357" s="5" t="n"/>
      <c r="CC357" s="5" t="n"/>
      <c r="CD357" s="5" t="n"/>
      <c r="CE357" s="5" t="n"/>
      <c r="CF357" s="5" t="n"/>
    </row>
    <row r="358" ht="16.5" customHeight="1" s="241">
      <c r="A358" s="171" t="n">
        <v>75</v>
      </c>
      <c r="B358" s="171" t="n">
        <v>84</v>
      </c>
      <c r="C358" s="171" t="inlineStr">
        <is>
          <t>Seniors total 4</t>
        </is>
      </c>
      <c r="D358" s="170" t="n">
        <v>252</v>
      </c>
      <c r="E358" s="5" t="n"/>
      <c r="F358" s="5" t="n"/>
      <c r="G358" s="5" t="n"/>
      <c r="H358" s="5" t="n"/>
      <c r="I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BD358" s="5" t="n"/>
      <c r="BE358" s="5" t="n"/>
      <c r="BJ358" s="5" t="n"/>
      <c r="BK358" s="5" t="n"/>
      <c r="BL358" s="5" t="n"/>
      <c r="BM358" s="5" t="n"/>
      <c r="BN358" s="5" t="n"/>
      <c r="BO358" s="5" t="n"/>
      <c r="BP358" s="5" t="n"/>
      <c r="BQ358" s="5" t="n"/>
      <c r="BR358" s="5" t="n"/>
      <c r="BS358" s="5" t="n"/>
      <c r="BT358" s="5" t="n"/>
      <c r="BU358" s="5" t="n"/>
      <c r="BV358" s="5" t="n"/>
      <c r="BW358" s="5" t="n"/>
      <c r="BX358" s="5" t="n"/>
      <c r="BY358" s="5" t="n"/>
      <c r="BZ358" s="5" t="n"/>
      <c r="CA358" s="5" t="n"/>
      <c r="CB358" s="5" t="n"/>
      <c r="CC358" s="5" t="n"/>
      <c r="CD358" s="5" t="n"/>
      <c r="CE358" s="5" t="n"/>
      <c r="CF358" s="5" t="n"/>
    </row>
    <row r="359" ht="16.5" customHeight="1" s="241">
      <c r="A359" s="171" t="n">
        <v>85</v>
      </c>
      <c r="B359" s="171" t="n">
        <v>120</v>
      </c>
      <c r="C359" s="171" t="inlineStr">
        <is>
          <t>Seniors total 4</t>
        </is>
      </c>
      <c r="D359" s="170" t="inlineStr">
        <is>
          <t>No asegurable</t>
        </is>
      </c>
      <c r="E359" s="5" t="n"/>
      <c r="F359" s="5" t="n"/>
      <c r="G359" s="5" t="n"/>
      <c r="H359" s="5" t="n"/>
      <c r="I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BD359" s="5" t="n"/>
      <c r="BE359" s="5" t="n"/>
      <c r="BJ359" s="5" t="n"/>
      <c r="BK359" s="5" t="n"/>
      <c r="BL359" s="5" t="n"/>
      <c r="BM359" s="5" t="n"/>
      <c r="BN359" s="5" t="n"/>
      <c r="BO359" s="5" t="n"/>
      <c r="BP359" s="5" t="n"/>
      <c r="BQ359" s="5" t="n"/>
      <c r="BR359" s="5" t="n"/>
      <c r="BS359" s="5" t="n"/>
      <c r="BT359" s="5" t="n"/>
      <c r="BU359" s="5" t="n"/>
      <c r="BV359" s="5" t="n"/>
      <c r="BW359" s="5" t="n"/>
      <c r="BX359" s="5" t="n"/>
      <c r="BY359" s="5" t="n"/>
      <c r="BZ359" s="5" t="n"/>
      <c r="CA359" s="5" t="n"/>
      <c r="CB359" s="5" t="n"/>
      <c r="CC359" s="5" t="n"/>
      <c r="CD359" s="5" t="n"/>
      <c r="CE359" s="5" t="n"/>
      <c r="CF359" s="5" t="n"/>
    </row>
    <row r="360" ht="16.5" customHeight="1" s="241">
      <c r="A360" s="171" t="n">
        <v>0</v>
      </c>
      <c r="B360" s="171" t="n">
        <v>59</v>
      </c>
      <c r="C360" s="171" t="inlineStr">
        <is>
          <t>Seniors total 5</t>
        </is>
      </c>
      <c r="D360" s="170" t="inlineStr">
        <is>
          <t>No asegurable</t>
        </is>
      </c>
      <c r="E360" s="5" t="n"/>
      <c r="F360" s="5" t="n"/>
      <c r="G360" s="5" t="n"/>
      <c r="H360" s="5" t="n"/>
      <c r="I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BD360" s="5" t="n"/>
      <c r="BE360" s="5" t="n"/>
      <c r="BF360" s="5" t="n"/>
      <c r="BG360" s="5" t="n"/>
      <c r="BH360" s="5" t="n"/>
      <c r="BI360" s="5" t="n"/>
      <c r="BJ360" s="5" t="n"/>
      <c r="BK360" s="5" t="n"/>
      <c r="BL360" s="5" t="n"/>
      <c r="BM360" s="5" t="n"/>
      <c r="BN360" s="5" t="n"/>
      <c r="BO360" s="5" t="n"/>
      <c r="BP360" s="5" t="n"/>
      <c r="BQ360" s="5" t="n"/>
      <c r="BR360" s="5" t="n"/>
      <c r="BS360" s="5" t="n"/>
      <c r="BT360" s="5" t="n"/>
      <c r="BU360" s="5" t="n"/>
      <c r="BV360" s="5" t="n"/>
      <c r="BW360" s="5" t="n"/>
      <c r="BX360" s="5" t="n"/>
      <c r="BY360" s="5" t="n"/>
      <c r="BZ360" s="5" t="n"/>
      <c r="CA360" s="5" t="n"/>
      <c r="CB360" s="5" t="n"/>
      <c r="CC360" s="5" t="n"/>
      <c r="CD360" s="5" t="n"/>
      <c r="CE360" s="5" t="n"/>
      <c r="CF360" s="5" t="n"/>
    </row>
    <row r="361" ht="16.5" customHeight="1" s="241">
      <c r="A361" s="171" t="n">
        <v>60</v>
      </c>
      <c r="B361" s="171" t="n">
        <v>62</v>
      </c>
      <c r="C361" s="171" t="inlineStr">
        <is>
          <t>Seniors total 5</t>
        </is>
      </c>
      <c r="D361" s="170" t="n">
        <v>113</v>
      </c>
      <c r="E361" s="5" t="n"/>
      <c r="F361" s="5" t="n"/>
      <c r="G361" s="5" t="n"/>
      <c r="H361" s="5" t="n"/>
      <c r="I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BD361" s="5" t="n"/>
      <c r="BE361" s="5" t="n"/>
      <c r="BF361" s="5" t="n"/>
      <c r="BG361" s="5" t="n"/>
      <c r="BH361" s="5" t="n"/>
      <c r="BI361" s="5" t="n"/>
      <c r="BJ361" s="5" t="n"/>
      <c r="BK361" s="5" t="n"/>
      <c r="BL361" s="5" t="n"/>
      <c r="BM361" s="5" t="n"/>
      <c r="BN361" s="5" t="n"/>
      <c r="BO361" s="5" t="n"/>
      <c r="BP361" s="5" t="n"/>
      <c r="BQ361" s="5" t="n"/>
      <c r="BR361" s="5" t="n"/>
      <c r="BS361" s="5" t="n"/>
      <c r="BT361" s="5" t="n"/>
      <c r="BU361" s="5" t="n"/>
      <c r="BV361" s="5" t="n"/>
      <c r="BW361" s="5" t="n"/>
      <c r="BX361" s="5" t="n"/>
      <c r="BY361" s="5" t="n"/>
      <c r="BZ361" s="5" t="n"/>
      <c r="CA361" s="5" t="n"/>
      <c r="CB361" s="5" t="n"/>
      <c r="CC361" s="5" t="n"/>
      <c r="CD361" s="5" t="n"/>
      <c r="CE361" s="5" t="n"/>
      <c r="CF361" s="5" t="n"/>
    </row>
    <row r="362" ht="16.5" customHeight="1" s="241">
      <c r="A362" s="171" t="n">
        <v>63</v>
      </c>
      <c r="B362" s="171" t="n">
        <v>64</v>
      </c>
      <c r="C362" s="171" t="inlineStr">
        <is>
          <t>Seniors total 5</t>
        </is>
      </c>
      <c r="D362" s="170" t="n">
        <v>113</v>
      </c>
      <c r="E362" s="5" t="n"/>
      <c r="F362" s="5" t="n"/>
      <c r="G362" s="5" t="n"/>
      <c r="H362" s="5" t="n"/>
      <c r="I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BD362" s="5" t="n"/>
      <c r="BE362" s="5" t="n"/>
      <c r="BF362" s="5" t="n"/>
      <c r="BG362" s="5" t="n"/>
      <c r="BH362" s="5" t="n"/>
      <c r="BI362" s="5" t="n"/>
      <c r="BJ362" s="5" t="n"/>
      <c r="BK362" s="5" t="n"/>
      <c r="BL362" s="5" t="n"/>
      <c r="BM362" s="5" t="n"/>
      <c r="BN362" s="5" t="n"/>
      <c r="BO362" s="5" t="n"/>
      <c r="BP362" s="5" t="n"/>
      <c r="BQ362" s="5" t="n"/>
      <c r="BR362" s="5" t="n"/>
      <c r="BS362" s="5" t="n"/>
      <c r="BT362" s="5" t="n"/>
      <c r="BU362" s="5" t="n"/>
      <c r="BV362" s="5" t="n"/>
      <c r="BW362" s="5" t="n"/>
      <c r="BX362" s="5" t="n"/>
      <c r="BY362" s="5" t="n"/>
      <c r="BZ362" s="5" t="n"/>
      <c r="CA362" s="5" t="n"/>
      <c r="CB362" s="5" t="n"/>
      <c r="CC362" s="5" t="n"/>
      <c r="CD362" s="5" t="n"/>
      <c r="CE362" s="5" t="n"/>
      <c r="CF362" s="5" t="n"/>
    </row>
    <row r="363" ht="16.5" customHeight="1" s="241">
      <c r="A363" s="171" t="n">
        <v>65</v>
      </c>
      <c r="B363" s="171" t="n">
        <v>69</v>
      </c>
      <c r="C363" s="171" t="inlineStr">
        <is>
          <t>Seniors total 5</t>
        </is>
      </c>
      <c r="D363" s="170" t="n">
        <v>151.5</v>
      </c>
      <c r="E363" s="5" t="n"/>
      <c r="F363" s="5" t="n"/>
      <c r="G363" s="5" t="n"/>
      <c r="H363" s="5" t="n"/>
      <c r="I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  <c r="BN363" s="5" t="n"/>
      <c r="BO363" s="5" t="n"/>
      <c r="BP363" s="5" t="n"/>
      <c r="BQ363" s="5" t="n"/>
      <c r="BR363" s="5" t="n"/>
      <c r="BS363" s="5" t="n"/>
      <c r="BT363" s="5" t="n"/>
      <c r="BU363" s="5" t="n"/>
      <c r="BV363" s="5" t="n"/>
      <c r="BW363" s="5" t="n"/>
      <c r="BX363" s="5" t="n"/>
      <c r="BY363" s="5" t="n"/>
      <c r="BZ363" s="5" t="n"/>
      <c r="CA363" s="5" t="n"/>
      <c r="CB363" s="5" t="n"/>
      <c r="CC363" s="5" t="n"/>
      <c r="CD363" s="5" t="n"/>
      <c r="CE363" s="5" t="n"/>
      <c r="CF363" s="5" t="n"/>
    </row>
    <row r="364" ht="16.5" customHeight="1" s="241">
      <c r="A364" s="171" t="n">
        <v>70</v>
      </c>
      <c r="B364" s="171" t="n">
        <v>74</v>
      </c>
      <c r="C364" s="171" t="inlineStr">
        <is>
          <t>Seniors total 5</t>
        </is>
      </c>
      <c r="D364" s="170" t="n">
        <v>190</v>
      </c>
      <c r="E364" s="5" t="n"/>
      <c r="F364" s="5" t="n"/>
      <c r="G364" s="5" t="n"/>
      <c r="H364" s="5" t="n"/>
      <c r="I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BD364" s="5" t="n"/>
      <c r="BE364" s="5" t="n"/>
      <c r="BF364" s="5" t="n"/>
      <c r="BG364" s="5" t="n"/>
      <c r="BH364" s="5" t="n"/>
      <c r="BI364" s="5" t="n"/>
      <c r="BJ364" s="5" t="n"/>
      <c r="BK364" s="5" t="n"/>
      <c r="BL364" s="5" t="n"/>
      <c r="BM364" s="5" t="n"/>
      <c r="BN364" s="5" t="n"/>
      <c r="BO364" s="5" t="n"/>
      <c r="BP364" s="5" t="n"/>
      <c r="BQ364" s="5" t="n"/>
      <c r="BR364" s="5" t="n"/>
      <c r="BS364" s="5" t="n"/>
      <c r="BT364" s="5" t="n"/>
      <c r="BU364" s="5" t="n"/>
      <c r="BV364" s="5" t="n"/>
      <c r="BW364" s="5" t="n"/>
      <c r="BX364" s="5" t="n"/>
      <c r="BY364" s="5" t="n"/>
      <c r="BZ364" s="5" t="n"/>
      <c r="CA364" s="5" t="n"/>
      <c r="CB364" s="5" t="n"/>
      <c r="CC364" s="5" t="n"/>
      <c r="CD364" s="5" t="n"/>
      <c r="CE364" s="5" t="n"/>
      <c r="CF364" s="5" t="n"/>
    </row>
    <row r="365" ht="16.5" customHeight="1" s="241">
      <c r="A365" s="171" t="n">
        <v>75</v>
      </c>
      <c r="B365" s="171" t="n">
        <v>84</v>
      </c>
      <c r="C365" s="171" t="inlineStr">
        <is>
          <t>Seniors total 5</t>
        </is>
      </c>
      <c r="D365" s="170" t="n">
        <v>254</v>
      </c>
      <c r="E365" s="5" t="n"/>
      <c r="F365" s="5" t="n"/>
      <c r="G365" s="5" t="n"/>
      <c r="H365" s="5" t="n"/>
      <c r="I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BD365" s="5" t="n"/>
      <c r="BE365" s="5" t="n"/>
      <c r="BF365" s="5" t="n"/>
      <c r="BG365" s="5" t="n"/>
      <c r="BH365" s="5" t="n"/>
      <c r="BI365" s="5" t="n"/>
      <c r="BJ365" s="5" t="n"/>
      <c r="BK365" s="5" t="n"/>
      <c r="BL365" s="5" t="n"/>
      <c r="BM365" s="5" t="n"/>
      <c r="BN365" s="5" t="n"/>
      <c r="BO365" s="5" t="n"/>
      <c r="BP365" s="5" t="n"/>
      <c r="BQ365" s="5" t="n"/>
      <c r="BR365" s="5" t="n"/>
      <c r="BS365" s="5" t="n"/>
      <c r="BT365" s="5" t="n"/>
      <c r="BU365" s="5" t="n"/>
      <c r="BV365" s="5" t="n"/>
      <c r="BW365" s="5" t="n"/>
      <c r="BX365" s="5" t="n"/>
      <c r="BY365" s="5" t="n"/>
      <c r="BZ365" s="5" t="n"/>
      <c r="CA365" s="5" t="n"/>
      <c r="CB365" s="5" t="n"/>
      <c r="CC365" s="5" t="n"/>
      <c r="CD365" s="5" t="n"/>
      <c r="CE365" s="5" t="n"/>
      <c r="CF365" s="5" t="n"/>
    </row>
    <row r="366" ht="16.5" customHeight="1" s="241">
      <c r="A366" s="171" t="n">
        <v>85</v>
      </c>
      <c r="B366" s="171" t="n">
        <v>120</v>
      </c>
      <c r="C366" s="171" t="inlineStr">
        <is>
          <t>Seniors total 5</t>
        </is>
      </c>
      <c r="D366" s="170" t="inlineStr">
        <is>
          <t>No asegurable</t>
        </is>
      </c>
      <c r="E366" s="5" t="n"/>
      <c r="F366" s="5" t="n"/>
      <c r="G366" s="5" t="n"/>
      <c r="H366" s="5" t="n"/>
      <c r="I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BD366" s="5" t="n"/>
      <c r="BE366" s="5" t="n"/>
      <c r="BF366" s="5" t="n"/>
      <c r="BG366" s="5" t="n"/>
      <c r="BH366" s="5" t="n"/>
      <c r="BI366" s="5" t="n"/>
      <c r="BJ366" s="5" t="n"/>
      <c r="BK366" s="5" t="n"/>
      <c r="BL366" s="5" t="n"/>
      <c r="BM366" s="5" t="n"/>
      <c r="BN366" s="5" t="n"/>
      <c r="BO366" s="5" t="n"/>
      <c r="BP366" s="5" t="n"/>
      <c r="BQ366" s="5" t="n"/>
      <c r="BR366" s="5" t="n"/>
      <c r="BS366" s="5" t="n"/>
      <c r="BT366" s="5" t="n"/>
      <c r="BU366" s="5" t="n"/>
      <c r="BV366" s="5" t="n"/>
      <c r="BW366" s="5" t="n"/>
      <c r="BX366" s="5" t="n"/>
      <c r="BY366" s="5" t="n"/>
      <c r="BZ366" s="5" t="n"/>
      <c r="CA366" s="5" t="n"/>
      <c r="CB366" s="5" t="n"/>
      <c r="CC366" s="5" t="n"/>
      <c r="CD366" s="5" t="n"/>
      <c r="CE366" s="5" t="n"/>
      <c r="CF366" s="5" t="n"/>
    </row>
    <row r="367" ht="16.5" customHeight="1" s="241">
      <c r="A367" s="171" t="n">
        <v>0</v>
      </c>
      <c r="B367" s="171" t="n">
        <v>59</v>
      </c>
      <c r="C367" s="171" t="inlineStr">
        <is>
          <t>Seniors total 6</t>
        </is>
      </c>
      <c r="D367" s="170" t="inlineStr">
        <is>
          <t>No asegurable</t>
        </is>
      </c>
      <c r="E367" s="5" t="n"/>
      <c r="F367" s="5" t="n"/>
      <c r="G367" s="5" t="n"/>
      <c r="H367" s="5" t="n"/>
      <c r="I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BD367" s="5" t="n"/>
      <c r="BE367" s="5" t="n"/>
      <c r="BF367" s="5" t="n"/>
      <c r="BG367" s="5" t="n"/>
      <c r="BH367" s="5" t="n"/>
      <c r="BI367" s="5" t="n"/>
      <c r="BJ367" s="5" t="n"/>
      <c r="BK367" s="5" t="n"/>
      <c r="BL367" s="5" t="n"/>
      <c r="BM367" s="5" t="n"/>
      <c r="BN367" s="5" t="n"/>
      <c r="BO367" s="5" t="n"/>
      <c r="BP367" s="5" t="n"/>
      <c r="BQ367" s="5" t="n"/>
      <c r="BR367" s="5" t="n"/>
      <c r="BS367" s="5" t="n"/>
      <c r="BT367" s="5" t="n"/>
      <c r="BU367" s="5" t="n"/>
      <c r="BV367" s="5" t="n"/>
      <c r="BW367" s="5" t="n"/>
      <c r="BX367" s="5" t="n"/>
      <c r="BY367" s="5" t="n"/>
      <c r="BZ367" s="5" t="n"/>
      <c r="CA367" s="5" t="n"/>
      <c r="CB367" s="5" t="n"/>
      <c r="CC367" s="5" t="n"/>
      <c r="CD367" s="5" t="n"/>
      <c r="CE367" s="5" t="n"/>
      <c r="CF367" s="5" t="n"/>
    </row>
    <row r="368" ht="16.5" customHeight="1" s="241">
      <c r="A368" s="171" t="n">
        <v>60</v>
      </c>
      <c r="B368" s="171" t="n">
        <v>62</v>
      </c>
      <c r="C368" s="171" t="inlineStr">
        <is>
          <t>Seniors total 6</t>
        </is>
      </c>
      <c r="D368" s="170" t="n">
        <v>116</v>
      </c>
      <c r="E368" s="5" t="n"/>
      <c r="F368" s="5" t="n"/>
      <c r="G368" s="5" t="n"/>
      <c r="H368" s="5" t="n"/>
      <c r="I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BD368" s="5" t="n"/>
      <c r="BE368" s="5" t="n"/>
      <c r="BF368" s="5" t="n"/>
      <c r="BG368" s="5" t="n"/>
      <c r="BH368" s="5" t="n"/>
      <c r="BI368" s="5" t="n"/>
      <c r="BJ368" s="5" t="n"/>
      <c r="BK368" s="5" t="n"/>
      <c r="BL368" s="5" t="n"/>
      <c r="BM368" s="5" t="n"/>
      <c r="BN368" s="5" t="n"/>
      <c r="BO368" s="5" t="n"/>
      <c r="BP368" s="5" t="n"/>
      <c r="BQ368" s="5" t="n"/>
      <c r="BR368" s="5" t="n"/>
      <c r="BS368" s="5" t="n"/>
      <c r="BT368" s="5" t="n"/>
      <c r="BU368" s="5" t="n"/>
      <c r="BV368" s="5" t="n"/>
      <c r="BW368" s="5" t="n"/>
      <c r="BX368" s="5" t="n"/>
      <c r="BY368" s="5" t="n"/>
      <c r="BZ368" s="5" t="n"/>
      <c r="CA368" s="5" t="n"/>
      <c r="CB368" s="5" t="n"/>
      <c r="CC368" s="5" t="n"/>
      <c r="CD368" s="5" t="n"/>
      <c r="CE368" s="5" t="n"/>
      <c r="CF368" s="5" t="n"/>
    </row>
    <row r="369" ht="16.5" customHeight="1" s="241">
      <c r="A369" s="171" t="n">
        <v>63</v>
      </c>
      <c r="B369" s="171" t="n">
        <v>64</v>
      </c>
      <c r="C369" s="171" t="inlineStr">
        <is>
          <t>Seniors total 6</t>
        </is>
      </c>
      <c r="D369" s="170" t="n">
        <v>116</v>
      </c>
      <c r="E369" s="5" t="n"/>
      <c r="F369" s="5" t="n"/>
      <c r="G369" s="5" t="n"/>
      <c r="H369" s="5" t="n"/>
      <c r="I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  <c r="BN369" s="5" t="n"/>
      <c r="BO369" s="5" t="n"/>
      <c r="BP369" s="5" t="n"/>
      <c r="BQ369" s="5" t="n"/>
      <c r="BR369" s="5" t="n"/>
      <c r="BS369" s="5" t="n"/>
      <c r="BT369" s="5" t="n"/>
      <c r="BU369" s="5" t="n"/>
      <c r="BV369" s="5" t="n"/>
      <c r="BW369" s="5" t="n"/>
      <c r="BX369" s="5" t="n"/>
      <c r="BY369" s="5" t="n"/>
      <c r="BZ369" s="5" t="n"/>
      <c r="CA369" s="5" t="n"/>
      <c r="CB369" s="5" t="n"/>
      <c r="CC369" s="5" t="n"/>
      <c r="CD369" s="5" t="n"/>
      <c r="CE369" s="5" t="n"/>
      <c r="CF369" s="5" t="n"/>
    </row>
    <row r="370" ht="16.5" customHeight="1" s="241">
      <c r="A370" s="171" t="n">
        <v>65</v>
      </c>
      <c r="B370" s="171" t="n">
        <v>69</v>
      </c>
      <c r="C370" s="171" t="inlineStr">
        <is>
          <t>Seniors total 6</t>
        </is>
      </c>
      <c r="D370" s="170" t="n">
        <v>155</v>
      </c>
      <c r="E370" s="5" t="n"/>
      <c r="F370" s="5" t="n"/>
      <c r="G370" s="5" t="n"/>
      <c r="H370" s="5" t="n"/>
      <c r="I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BD370" s="5" t="n"/>
      <c r="BE370" s="5" t="n"/>
      <c r="BF370" s="5" t="n"/>
      <c r="BG370" s="5" t="n"/>
      <c r="BH370" s="5" t="n"/>
      <c r="BI370" s="5" t="n"/>
      <c r="BJ370" s="5" t="n"/>
      <c r="BK370" s="5" t="n"/>
      <c r="BL370" s="5" t="n"/>
      <c r="BM370" s="5" t="n"/>
      <c r="BN370" s="5" t="n"/>
      <c r="BO370" s="5" t="n"/>
      <c r="BP370" s="5" t="n"/>
      <c r="BQ370" s="5" t="n"/>
      <c r="BR370" s="5" t="n"/>
      <c r="BS370" s="5" t="n"/>
      <c r="BT370" s="5" t="n"/>
      <c r="BU370" s="5" t="n"/>
      <c r="BV370" s="5" t="n"/>
      <c r="BW370" s="5" t="n"/>
      <c r="BX370" s="5" t="n"/>
      <c r="BY370" s="5" t="n"/>
      <c r="BZ370" s="5" t="n"/>
      <c r="CA370" s="5" t="n"/>
      <c r="CB370" s="5" t="n"/>
      <c r="CC370" s="5" t="n"/>
      <c r="CD370" s="5" t="n"/>
      <c r="CE370" s="5" t="n"/>
      <c r="CF370" s="5" t="n"/>
    </row>
    <row r="371" ht="16.5" customHeight="1" s="241">
      <c r="A371" s="171" t="n">
        <v>70</v>
      </c>
      <c r="B371" s="171" t="n">
        <v>74</v>
      </c>
      <c r="C371" s="171" t="inlineStr">
        <is>
          <t>Seniors total 6</t>
        </is>
      </c>
      <c r="D371" s="170" t="n">
        <v>195</v>
      </c>
      <c r="E371" s="5" t="n"/>
      <c r="F371" s="5" t="n"/>
      <c r="G371" s="5" t="n"/>
      <c r="H371" s="5" t="n"/>
      <c r="I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  <c r="BN371" s="5" t="n"/>
      <c r="BO371" s="5" t="n"/>
      <c r="BP371" s="5" t="n"/>
      <c r="BQ371" s="5" t="n"/>
      <c r="BR371" s="5" t="n"/>
      <c r="BS371" s="5" t="n"/>
      <c r="BT371" s="5" t="n"/>
      <c r="BU371" s="5" t="n"/>
      <c r="BV371" s="5" t="n"/>
      <c r="BW371" s="5" t="n"/>
      <c r="BX371" s="5" t="n"/>
      <c r="BY371" s="5" t="n"/>
      <c r="BZ371" s="5" t="n"/>
      <c r="CA371" s="5" t="n"/>
      <c r="CB371" s="5" t="n"/>
      <c r="CC371" s="5" t="n"/>
      <c r="CD371" s="5" t="n"/>
      <c r="CE371" s="5" t="n"/>
      <c r="CF371" s="5" t="n"/>
    </row>
    <row r="372" ht="16.5" customHeight="1" s="241">
      <c r="A372" s="171" t="n">
        <v>75</v>
      </c>
      <c r="B372" s="171" t="n">
        <v>84</v>
      </c>
      <c r="C372" s="171" t="inlineStr">
        <is>
          <t>Seniors total 6</t>
        </is>
      </c>
      <c r="D372" s="170" t="n">
        <v>259</v>
      </c>
      <c r="E372" s="5" t="n"/>
      <c r="F372" s="5" t="n"/>
      <c r="G372" s="5" t="n"/>
      <c r="H372" s="5" t="n"/>
      <c r="I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  <c r="BN372" s="5" t="n"/>
      <c r="BO372" s="5" t="n"/>
      <c r="BP372" s="5" t="n"/>
      <c r="BQ372" s="5" t="n"/>
      <c r="BR372" s="5" t="n"/>
      <c r="BS372" s="5" t="n"/>
      <c r="BT372" s="5" t="n"/>
      <c r="BU372" s="5" t="n"/>
      <c r="BV372" s="5" t="n"/>
      <c r="BW372" s="5" t="n"/>
      <c r="BX372" s="5" t="n"/>
      <c r="BY372" s="5" t="n"/>
      <c r="BZ372" s="5" t="n"/>
      <c r="CA372" s="5" t="n"/>
      <c r="CB372" s="5" t="n"/>
      <c r="CC372" s="5" t="n"/>
      <c r="CD372" s="5" t="n"/>
      <c r="CE372" s="5" t="n"/>
      <c r="CF372" s="5" t="n"/>
    </row>
    <row r="373" ht="16.5" customHeight="1" s="241">
      <c r="A373" s="171" t="n">
        <v>85</v>
      </c>
      <c r="B373" s="171" t="n">
        <v>120</v>
      </c>
      <c r="C373" s="171" t="inlineStr">
        <is>
          <t>Seniors total 6</t>
        </is>
      </c>
      <c r="D373" s="170" t="inlineStr">
        <is>
          <t>No asegurable</t>
        </is>
      </c>
      <c r="E373" s="5" t="n"/>
      <c r="F373" s="5" t="n"/>
      <c r="G373" s="5" t="n"/>
      <c r="H373" s="5" t="n"/>
      <c r="I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  <c r="BN373" s="5" t="n"/>
      <c r="BO373" s="5" t="n"/>
      <c r="BP373" s="5" t="n"/>
      <c r="BQ373" s="5" t="n"/>
      <c r="BR373" s="5" t="n"/>
      <c r="BS373" s="5" t="n"/>
      <c r="BT373" s="5" t="n"/>
      <c r="BU373" s="5" t="n"/>
      <c r="BV373" s="5" t="n"/>
      <c r="BW373" s="5" t="n"/>
      <c r="BX373" s="5" t="n"/>
      <c r="BY373" s="5" t="n"/>
      <c r="BZ373" s="5" t="n"/>
      <c r="CA373" s="5" t="n"/>
      <c r="CB373" s="5" t="n"/>
      <c r="CC373" s="5" t="n"/>
      <c r="CD373" s="5" t="n"/>
      <c r="CE373" s="5" t="n"/>
      <c r="CF373" s="5" t="n"/>
    </row>
    <row r="374" ht="16.5" customHeight="1" s="241">
      <c r="A374" s="171" t="n">
        <v>0</v>
      </c>
      <c r="B374" s="171" t="n">
        <v>44</v>
      </c>
      <c r="C374" s="171" t="inlineStr">
        <is>
          <t>Pymes Total 1</t>
        </is>
      </c>
      <c r="D374" s="170" t="n">
        <v>60</v>
      </c>
      <c r="E374" s="5" t="n"/>
      <c r="F374" s="5" t="n"/>
      <c r="G374" s="5" t="n"/>
      <c r="H374" s="5" t="n"/>
      <c r="I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  <c r="BN374" s="5" t="n"/>
      <c r="BO374" s="5" t="n"/>
      <c r="BP374" s="5" t="n"/>
      <c r="BQ374" s="5" t="n"/>
      <c r="BR374" s="5" t="n"/>
      <c r="BS374" s="5" t="n"/>
      <c r="BT374" s="5" t="n"/>
      <c r="BU374" s="5" t="n"/>
      <c r="BV374" s="5" t="n"/>
      <c r="BW374" s="5" t="n"/>
      <c r="BX374" s="5" t="n"/>
      <c r="BY374" s="5" t="n"/>
      <c r="BZ374" s="5" t="n"/>
      <c r="CA374" s="5" t="n"/>
      <c r="CB374" s="5" t="n"/>
      <c r="CC374" s="5" t="n"/>
      <c r="CD374" s="5" t="n"/>
      <c r="CE374" s="5" t="n"/>
      <c r="CF374" s="5" t="n"/>
    </row>
    <row r="375" ht="16.5" customHeight="1" s="241">
      <c r="A375" s="171" t="n">
        <v>45</v>
      </c>
      <c r="B375" s="171" t="n">
        <v>54</v>
      </c>
      <c r="C375" s="171" t="inlineStr">
        <is>
          <t>Pymes Total 1</t>
        </is>
      </c>
      <c r="D375" s="170" t="n">
        <v>72</v>
      </c>
      <c r="E375" s="5" t="n"/>
      <c r="F375" s="5" t="n"/>
      <c r="G375" s="5" t="n"/>
      <c r="H375" s="5" t="n"/>
      <c r="I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5" t="n"/>
      <c r="BW375" s="5" t="n"/>
      <c r="BX375" s="5" t="n"/>
      <c r="BY375" s="5" t="n"/>
      <c r="BZ375" s="5" t="n"/>
      <c r="CA375" s="5" t="n"/>
      <c r="CB375" s="5" t="n"/>
      <c r="CC375" s="5" t="n"/>
      <c r="CD375" s="5" t="n"/>
      <c r="CE375" s="5" t="n"/>
      <c r="CF375" s="5" t="n"/>
    </row>
    <row r="376" ht="16.5" customHeight="1" s="241">
      <c r="A376" s="171" t="n">
        <v>55</v>
      </c>
      <c r="B376" s="171" t="n">
        <v>59</v>
      </c>
      <c r="C376" s="171" t="inlineStr">
        <is>
          <t>Pymes Total 1</t>
        </is>
      </c>
      <c r="D376" s="170" t="n">
        <v>89</v>
      </c>
      <c r="E376" s="5" t="n"/>
      <c r="F376" s="5" t="n"/>
      <c r="G376" s="5" t="n"/>
      <c r="H376" s="5" t="n"/>
      <c r="I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BD376" s="5" t="n"/>
      <c r="BE376" s="5" t="n"/>
      <c r="BF376" s="5" t="n"/>
      <c r="BG376" s="5" t="n"/>
      <c r="BH376" s="5" t="n"/>
      <c r="BI376" s="5" t="n"/>
      <c r="BJ376" s="5" t="n"/>
      <c r="BK376" s="5" t="n"/>
      <c r="BL376" s="5" t="n"/>
      <c r="BM376" s="5" t="n"/>
      <c r="BN376" s="5" t="n"/>
      <c r="BO376" s="5" t="n"/>
      <c r="BP376" s="5" t="n"/>
      <c r="BQ376" s="5" t="n"/>
      <c r="BR376" s="5" t="n"/>
      <c r="BS376" s="5" t="n"/>
      <c r="BT376" s="5" t="n"/>
      <c r="BU376" s="5" t="n"/>
      <c r="BV376" s="5" t="n"/>
      <c r="BW376" s="5" t="n"/>
      <c r="BX376" s="5" t="n"/>
      <c r="BY376" s="5" t="n"/>
      <c r="BZ376" s="5" t="n"/>
      <c r="CA376" s="5" t="n"/>
      <c r="CB376" s="5" t="n"/>
      <c r="CC376" s="5" t="n"/>
      <c r="CD376" s="5" t="n"/>
      <c r="CE376" s="5" t="n"/>
      <c r="CF376" s="5" t="n"/>
    </row>
    <row r="377" ht="16.5" customHeight="1" s="241">
      <c r="A377" s="171" t="n">
        <v>60</v>
      </c>
      <c r="B377" s="171" t="n">
        <v>67</v>
      </c>
      <c r="C377" s="171" t="inlineStr">
        <is>
          <t>Pymes Total 1</t>
        </is>
      </c>
      <c r="D377" s="170" t="n">
        <v>125</v>
      </c>
      <c r="E377" s="5" t="n"/>
      <c r="F377" s="5" t="n"/>
      <c r="G377" s="5" t="n"/>
      <c r="H377" s="5" t="n"/>
      <c r="I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  <c r="BN377" s="5" t="n"/>
      <c r="BO377" s="5" t="n"/>
      <c r="BP377" s="5" t="n"/>
      <c r="BQ377" s="5" t="n"/>
      <c r="BR377" s="5" t="n"/>
      <c r="BS377" s="5" t="n"/>
      <c r="BT377" s="5" t="n"/>
      <c r="BU377" s="5" t="n"/>
      <c r="BV377" s="5" t="n"/>
      <c r="BW377" s="5" t="n"/>
      <c r="BX377" s="5" t="n"/>
      <c r="BY377" s="5" t="n"/>
      <c r="BZ377" s="5" t="n"/>
      <c r="CA377" s="5" t="n"/>
      <c r="CB377" s="5" t="n"/>
      <c r="CC377" s="5" t="n"/>
      <c r="CD377" s="5" t="n"/>
      <c r="CE377" s="5" t="n"/>
      <c r="CF377" s="5" t="n"/>
    </row>
    <row r="378" ht="16.5" customHeight="1" s="241">
      <c r="A378" s="171" t="n">
        <v>68</v>
      </c>
      <c r="B378" s="171" t="n">
        <v>120</v>
      </c>
      <c r="C378" s="171" t="inlineStr">
        <is>
          <t>Pymes Total 1</t>
        </is>
      </c>
      <c r="D378" s="170" t="n">
        <v>189</v>
      </c>
      <c r="E378" s="5" t="n"/>
      <c r="F378" s="5" t="n"/>
      <c r="G378" s="5" t="n"/>
      <c r="H378" s="5" t="n"/>
      <c r="I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BD378" s="5" t="n"/>
      <c r="BE378" s="5" t="n"/>
      <c r="BF378" s="5" t="n"/>
      <c r="BG378" s="5" t="n"/>
      <c r="BH378" s="5" t="n"/>
      <c r="BI378" s="5" t="n"/>
      <c r="BJ378" s="5" t="n"/>
      <c r="BK378" s="5" t="n"/>
      <c r="BL378" s="5" t="n"/>
      <c r="BM378" s="5" t="n"/>
      <c r="BN378" s="5" t="n"/>
      <c r="BO378" s="5" t="n"/>
      <c r="BP378" s="5" t="n"/>
      <c r="BQ378" s="5" t="n"/>
      <c r="BR378" s="5" t="n"/>
      <c r="BS378" s="5" t="n"/>
      <c r="BT378" s="5" t="n"/>
      <c r="BU378" s="5" t="n"/>
      <c r="BV378" s="5" t="n"/>
      <c r="BW378" s="5" t="n"/>
      <c r="BX378" s="5" t="n"/>
      <c r="BY378" s="5" t="n"/>
      <c r="BZ378" s="5" t="n"/>
      <c r="CA378" s="5" t="n"/>
      <c r="CB378" s="5" t="n"/>
      <c r="CC378" s="5" t="n"/>
      <c r="CD378" s="5" t="n"/>
      <c r="CE378" s="5" t="n"/>
      <c r="CF378" s="5" t="n"/>
    </row>
    <row r="379" ht="16.5" customHeight="1" s="241">
      <c r="A379" s="171" t="n">
        <v>0</v>
      </c>
      <c r="B379" s="171" t="n">
        <v>44</v>
      </c>
      <c r="C379" s="171" t="inlineStr">
        <is>
          <t>Pymes Total 2</t>
        </is>
      </c>
      <c r="D379" s="170" t="n">
        <v>62</v>
      </c>
      <c r="E379" s="5" t="n"/>
      <c r="F379" s="5" t="n"/>
      <c r="G379" s="5" t="n"/>
      <c r="H379" s="5" t="n"/>
      <c r="I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BD379" s="5" t="n"/>
      <c r="BE379" s="5" t="n"/>
      <c r="BF379" s="5" t="n"/>
      <c r="BG379" s="5" t="n"/>
      <c r="BH379" s="5" t="n"/>
      <c r="BI379" s="5" t="n"/>
      <c r="BJ379" s="5" t="n"/>
      <c r="BK379" s="5" t="n"/>
      <c r="BL379" s="5" t="n"/>
      <c r="BM379" s="5" t="n"/>
      <c r="BN379" s="5" t="n"/>
      <c r="BO379" s="5" t="n"/>
      <c r="BP379" s="5" t="n"/>
      <c r="BQ379" s="5" t="n"/>
      <c r="BR379" s="5" t="n"/>
      <c r="BS379" s="5" t="n"/>
      <c r="BT379" s="5" t="n"/>
      <c r="BU379" s="5" t="n"/>
      <c r="BV379" s="5" t="n"/>
      <c r="BW379" s="5" t="n"/>
      <c r="BX379" s="5" t="n"/>
      <c r="BY379" s="5" t="n"/>
      <c r="BZ379" s="5" t="n"/>
      <c r="CA379" s="5" t="n"/>
      <c r="CB379" s="5" t="n"/>
      <c r="CC379" s="5" t="n"/>
      <c r="CD379" s="5" t="n"/>
      <c r="CE379" s="5" t="n"/>
      <c r="CF379" s="5" t="n"/>
    </row>
    <row r="380" ht="16.5" customHeight="1" s="241">
      <c r="A380" s="171" t="n">
        <v>45</v>
      </c>
      <c r="B380" s="171" t="n">
        <v>54</v>
      </c>
      <c r="C380" s="171" t="inlineStr">
        <is>
          <t>Pymes Total 2</t>
        </is>
      </c>
      <c r="D380" s="170" t="n">
        <v>73</v>
      </c>
      <c r="E380" s="5" t="n"/>
      <c r="F380" s="5" t="n"/>
      <c r="G380" s="5" t="n"/>
      <c r="H380" s="5" t="n"/>
      <c r="I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BD380" s="5" t="n"/>
      <c r="BE380" s="5" t="n"/>
      <c r="BF380" s="5" t="n"/>
      <c r="BG380" s="5" t="n"/>
      <c r="BH380" s="5" t="n"/>
      <c r="BI380" s="5" t="n"/>
      <c r="BJ380" s="5" t="n"/>
      <c r="BK380" s="5" t="n"/>
      <c r="BL380" s="5" t="n"/>
      <c r="BM380" s="5" t="n"/>
      <c r="BN380" s="5" t="n"/>
      <c r="BO380" s="5" t="n"/>
      <c r="BP380" s="5" t="n"/>
      <c r="BQ380" s="5" t="n"/>
      <c r="BR380" s="5" t="n"/>
      <c r="BS380" s="5" t="n"/>
      <c r="BT380" s="5" t="n"/>
      <c r="BU380" s="5" t="n"/>
      <c r="BV380" s="5" t="n"/>
      <c r="BW380" s="5" t="n"/>
      <c r="BX380" s="5" t="n"/>
      <c r="BY380" s="5" t="n"/>
      <c r="BZ380" s="5" t="n"/>
      <c r="CA380" s="5" t="n"/>
      <c r="CB380" s="5" t="n"/>
      <c r="CC380" s="5" t="n"/>
      <c r="CD380" s="5" t="n"/>
      <c r="CE380" s="5" t="n"/>
      <c r="CF380" s="5" t="n"/>
    </row>
    <row r="381" ht="16.5" customHeight="1" s="241">
      <c r="A381" s="171" t="n">
        <v>55</v>
      </c>
      <c r="B381" s="171" t="n">
        <v>59</v>
      </c>
      <c r="C381" s="171" t="inlineStr">
        <is>
          <t>Pymes Total 2</t>
        </is>
      </c>
      <c r="D381" s="170" t="n">
        <v>95</v>
      </c>
      <c r="E381" s="5" t="n"/>
      <c r="F381" s="5" t="n"/>
      <c r="G381" s="5" t="n"/>
      <c r="H381" s="5" t="n"/>
      <c r="I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BD381" s="5" t="n"/>
      <c r="BE381" s="5" t="n"/>
      <c r="BF381" s="5" t="n"/>
      <c r="BG381" s="5" t="n"/>
      <c r="BH381" s="5" t="n"/>
      <c r="BI381" s="5" t="n"/>
      <c r="BJ381" s="5" t="n"/>
      <c r="BK381" s="5" t="n"/>
      <c r="BL381" s="5" t="n"/>
      <c r="BM381" s="5" t="n"/>
      <c r="BN381" s="5" t="n"/>
      <c r="BO381" s="5" t="n"/>
      <c r="BP381" s="5" t="n"/>
      <c r="BQ381" s="5" t="n"/>
      <c r="BR381" s="5" t="n"/>
      <c r="BS381" s="5" t="n"/>
      <c r="BT381" s="5" t="n"/>
      <c r="BU381" s="5" t="n"/>
      <c r="BV381" s="5" t="n"/>
      <c r="BW381" s="5" t="n"/>
      <c r="BX381" s="5" t="n"/>
      <c r="BY381" s="5" t="n"/>
      <c r="BZ381" s="5" t="n"/>
      <c r="CA381" s="5" t="n"/>
      <c r="CB381" s="5" t="n"/>
      <c r="CC381" s="5" t="n"/>
      <c r="CD381" s="5" t="n"/>
      <c r="CE381" s="5" t="n"/>
      <c r="CF381" s="5" t="n"/>
    </row>
    <row r="382" ht="16.5" customHeight="1" s="241">
      <c r="A382" s="171" t="n">
        <v>60</v>
      </c>
      <c r="B382" s="171" t="n">
        <v>67</v>
      </c>
      <c r="C382" s="171" t="inlineStr">
        <is>
          <t>Pymes Total 2</t>
        </is>
      </c>
      <c r="D382" s="170" t="n">
        <v>129</v>
      </c>
      <c r="E382" s="5" t="n"/>
      <c r="F382" s="5" t="n"/>
      <c r="G382" s="5" t="n"/>
      <c r="H382" s="5" t="n"/>
      <c r="I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BD382" s="5" t="n"/>
      <c r="BE382" s="5" t="n"/>
      <c r="BF382" s="5" t="n"/>
      <c r="BG382" s="5" t="n"/>
      <c r="BH382" s="5" t="n"/>
      <c r="BI382" s="5" t="n"/>
      <c r="BJ382" s="5" t="n"/>
      <c r="BK382" s="5" t="n"/>
      <c r="BL382" s="5" t="n"/>
      <c r="BM382" s="5" t="n"/>
      <c r="BN382" s="5" t="n"/>
      <c r="BO382" s="5" t="n"/>
      <c r="BP382" s="5" t="n"/>
      <c r="BQ382" s="5" t="n"/>
      <c r="BR382" s="5" t="n"/>
      <c r="BS382" s="5" t="n"/>
      <c r="BT382" s="5" t="n"/>
      <c r="BU382" s="5" t="n"/>
      <c r="BV382" s="5" t="n"/>
      <c r="BW382" s="5" t="n"/>
      <c r="BX382" s="5" t="n"/>
      <c r="BY382" s="5" t="n"/>
      <c r="BZ382" s="5" t="n"/>
      <c r="CA382" s="5" t="n"/>
      <c r="CB382" s="5" t="n"/>
      <c r="CC382" s="5" t="n"/>
      <c r="CD382" s="5" t="n"/>
      <c r="CE382" s="5" t="n"/>
      <c r="CF382" s="5" t="n"/>
    </row>
    <row r="383" ht="16.5" customHeight="1" s="241">
      <c r="A383" s="171" t="n">
        <v>68</v>
      </c>
      <c r="B383" s="171" t="n">
        <v>120</v>
      </c>
      <c r="C383" s="171" t="inlineStr">
        <is>
          <t>Pymes Total 2</t>
        </is>
      </c>
      <c r="D383" s="170" t="n">
        <v>199</v>
      </c>
      <c r="E383" s="5" t="n"/>
      <c r="F383" s="5" t="n"/>
      <c r="G383" s="5" t="n"/>
      <c r="H383" s="5" t="n"/>
      <c r="I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BD383" s="5" t="n"/>
      <c r="BE383" s="5" t="n"/>
      <c r="BF383" s="5" t="n"/>
      <c r="BG383" s="5" t="n"/>
      <c r="BH383" s="5" t="n"/>
      <c r="BI383" s="5" t="n"/>
      <c r="BJ383" s="5" t="n"/>
      <c r="BK383" s="5" t="n"/>
      <c r="BL383" s="5" t="n"/>
      <c r="BM383" s="5" t="n"/>
      <c r="BN383" s="5" t="n"/>
      <c r="BO383" s="5" t="n"/>
      <c r="BP383" s="5" t="n"/>
      <c r="BQ383" s="5" t="n"/>
      <c r="BR383" s="5" t="n"/>
      <c r="BS383" s="5" t="n"/>
      <c r="BT383" s="5" t="n"/>
      <c r="BU383" s="5" t="n"/>
      <c r="BV383" s="5" t="n"/>
      <c r="BW383" s="5" t="n"/>
      <c r="BX383" s="5" t="n"/>
      <c r="BY383" s="5" t="n"/>
      <c r="BZ383" s="5" t="n"/>
      <c r="CA383" s="5" t="n"/>
      <c r="CB383" s="5" t="n"/>
      <c r="CC383" s="5" t="n"/>
      <c r="CD383" s="5" t="n"/>
      <c r="CE383" s="5" t="n"/>
      <c r="CF383" s="5" t="n"/>
    </row>
    <row r="384" ht="16.5" customHeight="1" s="241">
      <c r="A384" s="171" t="n">
        <v>0</v>
      </c>
      <c r="B384" s="171" t="n">
        <v>44</v>
      </c>
      <c r="C384" s="171" t="inlineStr">
        <is>
          <t>Pymes Total 3</t>
        </is>
      </c>
      <c r="D384" s="170" t="n">
        <v>63</v>
      </c>
      <c r="E384" s="5" t="n"/>
      <c r="F384" s="5" t="n"/>
      <c r="G384" s="5" t="n"/>
      <c r="H384" s="5" t="n"/>
      <c r="I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BD384" s="5" t="n"/>
      <c r="BE384" s="5" t="n"/>
      <c r="BF384" s="5" t="n"/>
      <c r="BG384" s="5" t="n"/>
      <c r="BH384" s="5" t="n"/>
      <c r="BI384" s="5" t="n"/>
      <c r="BJ384" s="5" t="n"/>
      <c r="BK384" s="5" t="n"/>
      <c r="BL384" s="5" t="n"/>
      <c r="BM384" s="5" t="n"/>
      <c r="BN384" s="5" t="n"/>
      <c r="BO384" s="5" t="n"/>
      <c r="BP384" s="5" t="n"/>
      <c r="BQ384" s="5" t="n"/>
      <c r="BR384" s="5" t="n"/>
      <c r="BS384" s="5" t="n"/>
      <c r="BT384" s="5" t="n"/>
      <c r="BU384" s="5" t="n"/>
      <c r="BV384" s="5" t="n"/>
      <c r="BW384" s="5" t="n"/>
      <c r="BX384" s="5" t="n"/>
      <c r="BY384" s="5" t="n"/>
      <c r="BZ384" s="5" t="n"/>
      <c r="CA384" s="5" t="n"/>
      <c r="CB384" s="5" t="n"/>
      <c r="CC384" s="5" t="n"/>
      <c r="CD384" s="5" t="n"/>
      <c r="CE384" s="5" t="n"/>
      <c r="CF384" s="5" t="n"/>
    </row>
    <row r="385" ht="16.5" customHeight="1" s="241">
      <c r="A385" s="171" t="n">
        <v>45</v>
      </c>
      <c r="B385" s="171" t="n">
        <v>54</v>
      </c>
      <c r="C385" s="171" t="inlineStr">
        <is>
          <t>Pymes Total 3</t>
        </is>
      </c>
      <c r="D385" s="170" t="n">
        <v>75</v>
      </c>
      <c r="E385" s="5" t="n"/>
      <c r="F385" s="5" t="n"/>
      <c r="G385" s="5" t="n"/>
      <c r="H385" s="5" t="n"/>
      <c r="I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BD385" s="5" t="n"/>
      <c r="BE385" s="5" t="n"/>
      <c r="BF385" s="5" t="n"/>
      <c r="BG385" s="5" t="n"/>
      <c r="BH385" s="5" t="n"/>
      <c r="BI385" s="5" t="n"/>
      <c r="BJ385" s="5" t="n"/>
      <c r="BK385" s="5" t="n"/>
      <c r="BL385" s="5" t="n"/>
      <c r="BM385" s="5" t="n"/>
      <c r="BN385" s="5" t="n"/>
      <c r="BO385" s="5" t="n"/>
      <c r="BP385" s="5" t="n"/>
      <c r="BQ385" s="5" t="n"/>
      <c r="BR385" s="5" t="n"/>
      <c r="BS385" s="5" t="n"/>
      <c r="BT385" s="5" t="n"/>
      <c r="BU385" s="5" t="n"/>
      <c r="BV385" s="5" t="n"/>
      <c r="BW385" s="5" t="n"/>
      <c r="BX385" s="5" t="n"/>
      <c r="BY385" s="5" t="n"/>
      <c r="BZ385" s="5" t="n"/>
      <c r="CA385" s="5" t="n"/>
      <c r="CB385" s="5" t="n"/>
      <c r="CC385" s="5" t="n"/>
      <c r="CD385" s="5" t="n"/>
      <c r="CE385" s="5" t="n"/>
      <c r="CF385" s="5" t="n"/>
    </row>
    <row r="386" ht="16.5" customHeight="1" s="241">
      <c r="A386" s="171" t="n">
        <v>55</v>
      </c>
      <c r="B386" s="171" t="n">
        <v>59</v>
      </c>
      <c r="C386" s="171" t="inlineStr">
        <is>
          <t>Pymes Total 3</t>
        </is>
      </c>
      <c r="D386" s="170" t="n">
        <v>98</v>
      </c>
      <c r="E386" s="5" t="n"/>
      <c r="F386" s="5" t="n"/>
      <c r="G386" s="5" t="n"/>
      <c r="H386" s="5" t="n"/>
      <c r="I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  <c r="BG386" s="5" t="n"/>
      <c r="BH386" s="5" t="n"/>
      <c r="BI386" s="5" t="n"/>
      <c r="BJ386" s="5" t="n"/>
      <c r="BK386" s="5" t="n"/>
      <c r="BL386" s="5" t="n"/>
      <c r="BM386" s="5" t="n"/>
      <c r="BN386" s="5" t="n"/>
      <c r="BO386" s="5" t="n"/>
      <c r="BP386" s="5" t="n"/>
      <c r="BQ386" s="5" t="n"/>
      <c r="BR386" s="5" t="n"/>
      <c r="BS386" s="5" t="n"/>
      <c r="BT386" s="5" t="n"/>
      <c r="BU386" s="5" t="n"/>
      <c r="BV386" s="5" t="n"/>
      <c r="BW386" s="5" t="n"/>
      <c r="BX386" s="5" t="n"/>
      <c r="BY386" s="5" t="n"/>
      <c r="BZ386" s="5" t="n"/>
      <c r="CA386" s="5" t="n"/>
      <c r="CB386" s="5" t="n"/>
      <c r="CC386" s="5" t="n"/>
      <c r="CD386" s="5" t="n"/>
      <c r="CE386" s="5" t="n"/>
      <c r="CF386" s="5" t="n"/>
    </row>
    <row r="387" ht="16.5" customHeight="1" s="241">
      <c r="A387" s="171" t="n">
        <v>60</v>
      </c>
      <c r="B387" s="171" t="n">
        <v>67</v>
      </c>
      <c r="C387" s="171" t="inlineStr">
        <is>
          <t>Pymes Total 3</t>
        </is>
      </c>
      <c r="D387" s="170" t="n">
        <v>135</v>
      </c>
      <c r="E387" s="5" t="n"/>
      <c r="F387" s="5" t="n"/>
      <c r="G387" s="5" t="n"/>
      <c r="H387" s="5" t="n"/>
      <c r="I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  <c r="BG387" s="5" t="n"/>
      <c r="BH387" s="5" t="n"/>
      <c r="BI387" s="5" t="n"/>
      <c r="BJ387" s="5" t="n"/>
      <c r="BK387" s="5" t="n"/>
      <c r="BL387" s="5" t="n"/>
      <c r="BM387" s="5" t="n"/>
      <c r="BN387" s="5" t="n"/>
      <c r="BO387" s="5" t="n"/>
      <c r="BP387" s="5" t="n"/>
      <c r="BQ387" s="5" t="n"/>
      <c r="BR387" s="5" t="n"/>
      <c r="BS387" s="5" t="n"/>
      <c r="BT387" s="5" t="n"/>
      <c r="BU387" s="5" t="n"/>
      <c r="BV387" s="5" t="n"/>
      <c r="BW387" s="5" t="n"/>
      <c r="BX387" s="5" t="n"/>
      <c r="BY387" s="5" t="n"/>
      <c r="BZ387" s="5" t="n"/>
      <c r="CA387" s="5" t="n"/>
      <c r="CB387" s="5" t="n"/>
      <c r="CC387" s="5" t="n"/>
      <c r="CD387" s="5" t="n"/>
      <c r="CE387" s="5" t="n"/>
      <c r="CF387" s="5" t="n"/>
    </row>
    <row r="388" ht="16.5" customHeight="1" s="241">
      <c r="A388" s="171" t="n">
        <v>68</v>
      </c>
      <c r="B388" s="171" t="n">
        <v>120</v>
      </c>
      <c r="C388" s="171" t="inlineStr">
        <is>
          <t>Pymes Total 3</t>
        </is>
      </c>
      <c r="D388" s="170" t="n">
        <v>205</v>
      </c>
      <c r="E388" s="5" t="n"/>
      <c r="F388" s="5" t="n"/>
      <c r="G388" s="5" t="n"/>
      <c r="H388" s="5" t="n"/>
      <c r="I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  <c r="BA388" s="5" t="n"/>
      <c r="BB388" s="5" t="n"/>
      <c r="BC388" s="5" t="n"/>
      <c r="BD388" s="5" t="n"/>
      <c r="BE388" s="5" t="n"/>
      <c r="BF388" s="5" t="n"/>
      <c r="BG388" s="5" t="n"/>
      <c r="BH388" s="5" t="n"/>
      <c r="BI388" s="5" t="n"/>
      <c r="BJ388" s="5" t="n"/>
      <c r="BK388" s="5" t="n"/>
      <c r="BL388" s="5" t="n"/>
      <c r="BM388" s="5" t="n"/>
      <c r="BN388" s="5" t="n"/>
      <c r="BO388" s="5" t="n"/>
      <c r="BP388" s="5" t="n"/>
      <c r="BQ388" s="5" t="n"/>
      <c r="BR388" s="5" t="n"/>
      <c r="BS388" s="5" t="n"/>
      <c r="BT388" s="5" t="n"/>
      <c r="BU388" s="5" t="n"/>
      <c r="BV388" s="5" t="n"/>
      <c r="BW388" s="5" t="n"/>
      <c r="BX388" s="5" t="n"/>
      <c r="BY388" s="5" t="n"/>
      <c r="BZ388" s="5" t="n"/>
      <c r="CA388" s="5" t="n"/>
      <c r="CB388" s="5" t="n"/>
      <c r="CC388" s="5" t="n"/>
      <c r="CD388" s="5" t="n"/>
      <c r="CE388" s="5" t="n"/>
      <c r="CF388" s="5" t="n"/>
    </row>
    <row r="389" ht="16.5" customHeight="1" s="241">
      <c r="A389" s="171" t="n">
        <v>0</v>
      </c>
      <c r="B389" s="171" t="n">
        <v>44</v>
      </c>
      <c r="C389" s="171" t="inlineStr">
        <is>
          <t>Pymes Total 4</t>
        </is>
      </c>
      <c r="D389" s="170" t="n">
        <v>65</v>
      </c>
      <c r="E389" s="5" t="n"/>
      <c r="F389" s="5" t="n"/>
      <c r="G389" s="5" t="n"/>
      <c r="H389" s="5" t="n"/>
      <c r="I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5" t="n"/>
      <c r="BL389" s="5" t="n"/>
      <c r="BM389" s="5" t="n"/>
      <c r="BN389" s="5" t="n"/>
      <c r="BO389" s="5" t="n"/>
      <c r="BP389" s="5" t="n"/>
      <c r="BQ389" s="5" t="n"/>
      <c r="BR389" s="5" t="n"/>
      <c r="BS389" s="5" t="n"/>
      <c r="BT389" s="5" t="n"/>
      <c r="BU389" s="5" t="n"/>
      <c r="BV389" s="5" t="n"/>
      <c r="BW389" s="5" t="n"/>
      <c r="BX389" s="5" t="n"/>
      <c r="BY389" s="5" t="n"/>
      <c r="BZ389" s="5" t="n"/>
      <c r="CA389" s="5" t="n"/>
      <c r="CB389" s="5" t="n"/>
      <c r="CC389" s="5" t="n"/>
      <c r="CD389" s="5" t="n"/>
      <c r="CE389" s="5" t="n"/>
      <c r="CF389" s="5" t="n"/>
    </row>
    <row r="390" ht="16.5" customHeight="1" s="241">
      <c r="A390" s="171" t="n">
        <v>45</v>
      </c>
      <c r="B390" s="171" t="n">
        <v>54</v>
      </c>
      <c r="C390" s="171" t="inlineStr">
        <is>
          <t>Pymes Total 4</t>
        </is>
      </c>
      <c r="D390" s="170" t="n">
        <v>76</v>
      </c>
      <c r="E390" s="5" t="n"/>
      <c r="F390" s="5" t="n"/>
      <c r="G390" s="5" t="n"/>
      <c r="H390" s="5" t="n"/>
      <c r="I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  <c r="BA390" s="5" t="n"/>
      <c r="BB390" s="5" t="n"/>
      <c r="BC390" s="5" t="n"/>
      <c r="BD390" s="5" t="n"/>
      <c r="BE390" s="5" t="n"/>
      <c r="BF390" s="5" t="n"/>
      <c r="BG390" s="5" t="n"/>
      <c r="BH390" s="5" t="n"/>
      <c r="BI390" s="5" t="n"/>
      <c r="BJ390" s="5" t="n"/>
      <c r="BK390" s="5" t="n"/>
      <c r="BL390" s="5" t="n"/>
      <c r="BM390" s="5" t="n"/>
      <c r="BN390" s="5" t="n"/>
      <c r="BO390" s="5" t="n"/>
      <c r="BP390" s="5" t="n"/>
      <c r="BQ390" s="5" t="n"/>
      <c r="BR390" s="5" t="n"/>
      <c r="BS390" s="5" t="n"/>
      <c r="BT390" s="5" t="n"/>
      <c r="BU390" s="5" t="n"/>
      <c r="BV390" s="5" t="n"/>
      <c r="BW390" s="5" t="n"/>
      <c r="BX390" s="5" t="n"/>
      <c r="BY390" s="5" t="n"/>
      <c r="BZ390" s="5" t="n"/>
      <c r="CA390" s="5" t="n"/>
      <c r="CB390" s="5" t="n"/>
      <c r="CC390" s="5" t="n"/>
      <c r="CD390" s="5" t="n"/>
      <c r="CE390" s="5" t="n"/>
      <c r="CF390" s="5" t="n"/>
    </row>
    <row r="391" ht="16.5" customHeight="1" s="241">
      <c r="A391" s="171" t="n">
        <v>55</v>
      </c>
      <c r="B391" s="171" t="n">
        <v>59</v>
      </c>
      <c r="C391" s="171" t="inlineStr">
        <is>
          <t>Pymes Total 4</t>
        </is>
      </c>
      <c r="D391" s="170" t="n">
        <v>99</v>
      </c>
      <c r="E391" s="5" t="n"/>
      <c r="F391" s="5" t="n"/>
      <c r="G391" s="5" t="n"/>
      <c r="H391" s="5" t="n"/>
      <c r="I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  <c r="BA391" s="5" t="n"/>
      <c r="BB391" s="5" t="n"/>
      <c r="BC391" s="5" t="n"/>
      <c r="BD391" s="5" t="n"/>
      <c r="BE391" s="5" t="n"/>
      <c r="BF391" s="5" t="n"/>
      <c r="BG391" s="5" t="n"/>
      <c r="BH391" s="5" t="n"/>
      <c r="BI391" s="5" t="n"/>
      <c r="BJ391" s="5" t="n"/>
      <c r="BK391" s="5" t="n"/>
      <c r="BL391" s="5" t="n"/>
      <c r="BM391" s="5" t="n"/>
      <c r="BN391" s="5" t="n"/>
      <c r="BO391" s="5" t="n"/>
      <c r="BP391" s="5" t="n"/>
      <c r="BQ391" s="5" t="n"/>
      <c r="BR391" s="5" t="n"/>
      <c r="BS391" s="5" t="n"/>
      <c r="BT391" s="5" t="n"/>
      <c r="BU391" s="5" t="n"/>
      <c r="BV391" s="5" t="n"/>
      <c r="BW391" s="5" t="n"/>
      <c r="BX391" s="5" t="n"/>
      <c r="BY391" s="5" t="n"/>
      <c r="BZ391" s="5" t="n"/>
      <c r="CA391" s="5" t="n"/>
      <c r="CB391" s="5" t="n"/>
      <c r="CC391" s="5" t="n"/>
      <c r="CD391" s="5" t="n"/>
      <c r="CE391" s="5" t="n"/>
      <c r="CF391" s="5" t="n"/>
    </row>
    <row r="392" ht="16.5" customHeight="1" s="241">
      <c r="A392" s="171" t="n">
        <v>60</v>
      </c>
      <c r="B392" s="171" t="n">
        <v>67</v>
      </c>
      <c r="C392" s="171" t="inlineStr">
        <is>
          <t>Pymes Total 4</t>
        </is>
      </c>
      <c r="D392" s="170" t="n">
        <v>139</v>
      </c>
      <c r="E392" s="5" t="n"/>
      <c r="F392" s="5" t="n"/>
      <c r="G392" s="5" t="n"/>
      <c r="H392" s="5" t="n"/>
      <c r="I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  <c r="BA392" s="5" t="n"/>
      <c r="BB392" s="5" t="n"/>
      <c r="BC392" s="5" t="n"/>
      <c r="BD392" s="5" t="n"/>
      <c r="BE392" s="5" t="n"/>
      <c r="BF392" s="5" t="n"/>
      <c r="BG392" s="5" t="n"/>
      <c r="BH392" s="5" t="n"/>
      <c r="BI392" s="5" t="n"/>
      <c r="BJ392" s="5" t="n"/>
      <c r="BK392" s="5" t="n"/>
      <c r="BL392" s="5" t="n"/>
      <c r="BM392" s="5" t="n"/>
      <c r="BN392" s="5" t="n"/>
      <c r="BO392" s="5" t="n"/>
      <c r="BP392" s="5" t="n"/>
      <c r="BQ392" s="5" t="n"/>
      <c r="BR392" s="5" t="n"/>
      <c r="BS392" s="5" t="n"/>
      <c r="BT392" s="5" t="n"/>
      <c r="BU392" s="5" t="n"/>
      <c r="BV392" s="5" t="n"/>
      <c r="BW392" s="5" t="n"/>
      <c r="BX392" s="5" t="n"/>
      <c r="BY392" s="5" t="n"/>
      <c r="BZ392" s="5" t="n"/>
      <c r="CA392" s="5" t="n"/>
      <c r="CB392" s="5" t="n"/>
      <c r="CC392" s="5" t="n"/>
      <c r="CD392" s="5" t="n"/>
      <c r="CE392" s="5" t="n"/>
      <c r="CF392" s="5" t="n"/>
    </row>
    <row r="393" ht="16.5" customHeight="1" s="241">
      <c r="A393" s="171" t="n">
        <v>68</v>
      </c>
      <c r="B393" s="171" t="n">
        <v>120</v>
      </c>
      <c r="C393" s="171" t="inlineStr">
        <is>
          <t>Pymes Total 4</t>
        </is>
      </c>
      <c r="D393" s="170" t="n">
        <v>209</v>
      </c>
      <c r="E393" s="5" t="n"/>
      <c r="F393" s="5" t="n"/>
      <c r="G393" s="5" t="n"/>
      <c r="H393" s="5" t="n"/>
      <c r="I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  <c r="BG393" s="5" t="n"/>
      <c r="BH393" s="5" t="n"/>
      <c r="BI393" s="5" t="n"/>
      <c r="BJ393" s="5" t="n"/>
      <c r="BK393" s="5" t="n"/>
      <c r="BL393" s="5" t="n"/>
      <c r="BM393" s="5" t="n"/>
      <c r="BN393" s="5" t="n"/>
      <c r="BO393" s="5" t="n"/>
      <c r="BP393" s="5" t="n"/>
      <c r="BQ393" s="5" t="n"/>
      <c r="BR393" s="5" t="n"/>
      <c r="BS393" s="5" t="n"/>
      <c r="BT393" s="5" t="n"/>
      <c r="BU393" s="5" t="n"/>
      <c r="BV393" s="5" t="n"/>
      <c r="BW393" s="5" t="n"/>
      <c r="BX393" s="5" t="n"/>
      <c r="BY393" s="5" t="n"/>
      <c r="BZ393" s="5" t="n"/>
      <c r="CA393" s="5" t="n"/>
      <c r="CB393" s="5" t="n"/>
      <c r="CC393" s="5" t="n"/>
      <c r="CD393" s="5" t="n"/>
      <c r="CE393" s="5" t="n"/>
      <c r="CF393" s="5" t="n"/>
    </row>
    <row r="394" ht="16.5" customHeight="1" s="241">
      <c r="A394" s="171" t="n">
        <v>0</v>
      </c>
      <c r="B394" s="171" t="n">
        <v>44</v>
      </c>
      <c r="C394" s="171" t="inlineStr">
        <is>
          <t>Pymes Total 5</t>
        </is>
      </c>
      <c r="D394" s="169" t="n">
        <v>66</v>
      </c>
      <c r="E394" s="5" t="n"/>
      <c r="F394" s="5" t="n"/>
      <c r="G394" s="5" t="n"/>
      <c r="H394" s="5" t="n"/>
      <c r="I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  <c r="BG394" s="5" t="n"/>
      <c r="BH394" s="5" t="n"/>
      <c r="BI394" s="5" t="n"/>
      <c r="BJ394" s="5" t="n"/>
      <c r="BK394" s="5" t="n"/>
      <c r="BL394" s="5" t="n"/>
      <c r="BM394" s="5" t="n"/>
      <c r="BN394" s="5" t="n"/>
      <c r="BO394" s="5" t="n"/>
      <c r="BP394" s="5" t="n"/>
      <c r="BQ394" s="5" t="n"/>
      <c r="BR394" s="5" t="n"/>
      <c r="BS394" s="5" t="n"/>
      <c r="BT394" s="5" t="n"/>
      <c r="BU394" s="5" t="n"/>
      <c r="BV394" s="5" t="n"/>
      <c r="BW394" s="5" t="n"/>
      <c r="BX394" s="5" t="n"/>
      <c r="BY394" s="5" t="n"/>
      <c r="BZ394" s="5" t="n"/>
      <c r="CA394" s="5" t="n"/>
      <c r="CB394" s="5" t="n"/>
      <c r="CC394" s="5" t="n"/>
      <c r="CD394" s="5" t="n"/>
      <c r="CE394" s="5" t="n"/>
      <c r="CF394" s="5" t="n"/>
    </row>
    <row r="395" ht="16.5" customHeight="1" s="241">
      <c r="A395" s="171" t="n">
        <v>45</v>
      </c>
      <c r="B395" s="171" t="n">
        <v>54</v>
      </c>
      <c r="C395" s="171" t="inlineStr">
        <is>
          <t>Pymes Total 5</t>
        </is>
      </c>
      <c r="D395" s="169" t="n">
        <v>79</v>
      </c>
      <c r="E395" s="5" t="n"/>
      <c r="F395" s="5" t="n"/>
      <c r="G395" s="5" t="n"/>
      <c r="H395" s="5" t="n"/>
      <c r="I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  <c r="BA395" s="5" t="n"/>
      <c r="BB395" s="5" t="n"/>
      <c r="BC395" s="5" t="n"/>
      <c r="BD395" s="5" t="n"/>
      <c r="BE395" s="5" t="n"/>
      <c r="BF395" s="5" t="n"/>
      <c r="BG395" s="5" t="n"/>
      <c r="BH395" s="5" t="n"/>
      <c r="BI395" s="5" t="n"/>
      <c r="BJ395" s="5" t="n"/>
      <c r="BK395" s="5" t="n"/>
      <c r="BL395" s="5" t="n"/>
      <c r="BM395" s="5" t="n"/>
      <c r="BN395" s="5" t="n"/>
      <c r="BO395" s="5" t="n"/>
      <c r="BP395" s="5" t="n"/>
      <c r="BQ395" s="5" t="n"/>
      <c r="BR395" s="5" t="n"/>
      <c r="BS395" s="5" t="n"/>
      <c r="BT395" s="5" t="n"/>
      <c r="BU395" s="5" t="n"/>
      <c r="BV395" s="5" t="n"/>
      <c r="BW395" s="5" t="n"/>
      <c r="BX395" s="5" t="n"/>
      <c r="BY395" s="5" t="n"/>
      <c r="BZ395" s="5" t="n"/>
      <c r="CA395" s="5" t="n"/>
      <c r="CB395" s="5" t="n"/>
      <c r="CC395" s="5" t="n"/>
      <c r="CD395" s="5" t="n"/>
      <c r="CE395" s="5" t="n"/>
      <c r="CF395" s="5" t="n"/>
    </row>
    <row r="396" ht="16.5" customHeight="1" s="241">
      <c r="A396" s="171" t="n">
        <v>55</v>
      </c>
      <c r="B396" s="171" t="n">
        <v>59</v>
      </c>
      <c r="C396" s="171" t="inlineStr">
        <is>
          <t>Pymes Total 5</t>
        </is>
      </c>
      <c r="D396" s="169" t="n">
        <v>105</v>
      </c>
      <c r="E396" s="5" t="n"/>
      <c r="F396" s="5" t="n"/>
      <c r="G396" s="5" t="n"/>
      <c r="H396" s="5" t="n"/>
      <c r="I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  <c r="BA396" s="5" t="n"/>
      <c r="BB396" s="5" t="n"/>
      <c r="BC396" s="5" t="n"/>
      <c r="BD396" s="5" t="n"/>
      <c r="BE396" s="5" t="n"/>
      <c r="BF396" s="5" t="n"/>
      <c r="BG396" s="5" t="n"/>
      <c r="BH396" s="5" t="n"/>
      <c r="BI396" s="5" t="n"/>
      <c r="BJ396" s="5" t="n"/>
      <c r="BK396" s="5" t="n"/>
      <c r="BL396" s="5" t="n"/>
      <c r="BM396" s="5" t="n"/>
      <c r="BN396" s="5" t="n"/>
      <c r="BO396" s="5" t="n"/>
      <c r="BP396" s="5" t="n"/>
      <c r="BQ396" s="5" t="n"/>
      <c r="BR396" s="5" t="n"/>
      <c r="BS396" s="5" t="n"/>
      <c r="BT396" s="5" t="n"/>
      <c r="BU396" s="5" t="n"/>
      <c r="BV396" s="5" t="n"/>
      <c r="BW396" s="5" t="n"/>
      <c r="BX396" s="5" t="n"/>
      <c r="BY396" s="5" t="n"/>
      <c r="BZ396" s="5" t="n"/>
      <c r="CA396" s="5" t="n"/>
      <c r="CB396" s="5" t="n"/>
      <c r="CC396" s="5" t="n"/>
      <c r="CD396" s="5" t="n"/>
      <c r="CE396" s="5" t="n"/>
      <c r="CF396" s="5" t="n"/>
    </row>
    <row r="397" ht="16.5" customHeight="1" s="241">
      <c r="A397" s="171" t="n">
        <v>60</v>
      </c>
      <c r="B397" s="171" t="n">
        <v>67</v>
      </c>
      <c r="C397" s="171" t="inlineStr">
        <is>
          <t>Pymes Total 5</t>
        </is>
      </c>
      <c r="D397" s="169" t="n">
        <v>139</v>
      </c>
      <c r="E397" s="5" t="n"/>
      <c r="F397" s="5" t="n"/>
      <c r="G397" s="5" t="n"/>
      <c r="H397" s="5" t="n"/>
      <c r="I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5" t="n"/>
      <c r="BL397" s="5" t="n"/>
      <c r="BM397" s="5" t="n"/>
      <c r="BN397" s="5" t="n"/>
      <c r="BO397" s="5" t="n"/>
      <c r="BP397" s="5" t="n"/>
      <c r="BQ397" s="5" t="n"/>
      <c r="BR397" s="5" t="n"/>
      <c r="BS397" s="5" t="n"/>
      <c r="BT397" s="5" t="n"/>
      <c r="BU397" s="5" t="n"/>
      <c r="BV397" s="5" t="n"/>
      <c r="BW397" s="5" t="n"/>
      <c r="BX397" s="5" t="n"/>
      <c r="BY397" s="5" t="n"/>
      <c r="BZ397" s="5" t="n"/>
      <c r="CA397" s="5" t="n"/>
      <c r="CB397" s="5" t="n"/>
      <c r="CC397" s="5" t="n"/>
      <c r="CD397" s="5" t="n"/>
      <c r="CE397" s="5" t="n"/>
      <c r="CF397" s="5" t="n"/>
    </row>
    <row r="398" ht="16.5" customHeight="1" s="241">
      <c r="A398" s="171" t="n">
        <v>68</v>
      </c>
      <c r="B398" s="171" t="n">
        <v>120</v>
      </c>
      <c r="C398" s="171" t="inlineStr">
        <is>
          <t>Pymes Total 5</t>
        </is>
      </c>
      <c r="D398" s="169" t="n">
        <v>219</v>
      </c>
      <c r="E398" s="5" t="n"/>
      <c r="F398" s="5" t="n"/>
      <c r="G398" s="5" t="n"/>
      <c r="H398" s="5" t="n"/>
      <c r="I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  <c r="BG398" s="5" t="n"/>
      <c r="BH398" s="5" t="n"/>
      <c r="BI398" s="5" t="n"/>
      <c r="BJ398" s="5" t="n"/>
      <c r="BK398" s="5" t="n"/>
      <c r="BL398" s="5" t="n"/>
      <c r="BM398" s="5" t="n"/>
      <c r="BN398" s="5" t="n"/>
      <c r="BO398" s="5" t="n"/>
      <c r="BP398" s="5" t="n"/>
      <c r="BQ398" s="5" t="n"/>
      <c r="BR398" s="5" t="n"/>
      <c r="BS398" s="5" t="n"/>
      <c r="BT398" s="5" t="n"/>
      <c r="BU398" s="5" t="n"/>
      <c r="BV398" s="5" t="n"/>
      <c r="BW398" s="5" t="n"/>
      <c r="BX398" s="5" t="n"/>
      <c r="BY398" s="5" t="n"/>
      <c r="BZ398" s="5" t="n"/>
      <c r="CA398" s="5" t="n"/>
      <c r="CB398" s="5" t="n"/>
      <c r="CC398" s="5" t="n"/>
      <c r="CD398" s="5" t="n"/>
      <c r="CE398" s="5" t="n"/>
      <c r="CF398" s="5" t="n"/>
    </row>
    <row r="399" ht="16.5" customHeight="1" s="241">
      <c r="A399" s="171" t="n">
        <v>0</v>
      </c>
      <c r="B399" s="171" t="n">
        <v>44</v>
      </c>
      <c r="C399" s="171" t="inlineStr">
        <is>
          <t>Pymes Total 6</t>
        </is>
      </c>
      <c r="D399" s="169" t="n">
        <v>67</v>
      </c>
      <c r="E399" s="5" t="n"/>
      <c r="F399" s="5" t="n"/>
      <c r="G399" s="5" t="n"/>
      <c r="H399" s="5" t="n"/>
      <c r="I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5" t="n"/>
      <c r="BL399" s="5" t="n"/>
      <c r="BM399" s="5" t="n"/>
      <c r="BN399" s="5" t="n"/>
      <c r="BO399" s="5" t="n"/>
      <c r="BP399" s="5" t="n"/>
      <c r="BQ399" s="5" t="n"/>
      <c r="BR399" s="5" t="n"/>
      <c r="BS399" s="5" t="n"/>
      <c r="BT399" s="5" t="n"/>
      <c r="BU399" s="5" t="n"/>
      <c r="BV399" s="5" t="n"/>
      <c r="BW399" s="5" t="n"/>
      <c r="BX399" s="5" t="n"/>
      <c r="BY399" s="5" t="n"/>
      <c r="BZ399" s="5" t="n"/>
      <c r="CA399" s="5" t="n"/>
      <c r="CB399" s="5" t="n"/>
      <c r="CC399" s="5" t="n"/>
      <c r="CD399" s="5" t="n"/>
      <c r="CE399" s="5" t="n"/>
      <c r="CF399" s="5" t="n"/>
    </row>
    <row r="400" ht="16.5" customHeight="1" s="241">
      <c r="A400" s="171" t="n">
        <v>45</v>
      </c>
      <c r="B400" s="171" t="n">
        <v>54</v>
      </c>
      <c r="C400" s="171" t="inlineStr">
        <is>
          <t>Pymes Total 6</t>
        </is>
      </c>
      <c r="D400" s="169" t="n">
        <v>80</v>
      </c>
      <c r="E400" s="5" t="n"/>
      <c r="F400" s="5" t="n"/>
      <c r="G400" s="5" t="n"/>
      <c r="H400" s="5" t="n"/>
      <c r="I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  <c r="BA400" s="5" t="n"/>
      <c r="BB400" s="5" t="n"/>
      <c r="BC400" s="5" t="n"/>
      <c r="BD400" s="5" t="n"/>
      <c r="BE400" s="5" t="n"/>
      <c r="BF400" s="5" t="n"/>
      <c r="BG400" s="5" t="n"/>
      <c r="BH400" s="5" t="n"/>
      <c r="BI400" s="5" t="n"/>
      <c r="BJ400" s="5" t="n"/>
      <c r="BK400" s="5" t="n"/>
      <c r="BL400" s="5" t="n"/>
      <c r="BM400" s="5" t="n"/>
      <c r="BN400" s="5" t="n"/>
      <c r="BO400" s="5" t="n"/>
      <c r="BP400" s="5" t="n"/>
      <c r="BQ400" s="5" t="n"/>
      <c r="BR400" s="5" t="n"/>
      <c r="BS400" s="5" t="n"/>
      <c r="BT400" s="5" t="n"/>
      <c r="BU400" s="5" t="n"/>
      <c r="BV400" s="5" t="n"/>
      <c r="BW400" s="5" t="n"/>
      <c r="BX400" s="5" t="n"/>
      <c r="BY400" s="5" t="n"/>
      <c r="BZ400" s="5" t="n"/>
      <c r="CA400" s="5" t="n"/>
      <c r="CB400" s="5" t="n"/>
      <c r="CC400" s="5" t="n"/>
      <c r="CD400" s="5" t="n"/>
      <c r="CE400" s="5" t="n"/>
      <c r="CF400" s="5" t="n"/>
    </row>
    <row r="401" ht="16.5" customHeight="1" s="241">
      <c r="A401" s="171" t="n">
        <v>55</v>
      </c>
      <c r="B401" s="171" t="n">
        <v>59</v>
      </c>
      <c r="C401" s="171" t="inlineStr">
        <is>
          <t>Pymes Total 6</t>
        </is>
      </c>
      <c r="D401" s="169" t="n">
        <v>110</v>
      </c>
      <c r="E401" s="5" t="n"/>
      <c r="F401" s="5" t="n"/>
      <c r="G401" s="5" t="n"/>
      <c r="H401" s="5" t="n"/>
      <c r="I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  <c r="BG401" s="5" t="n"/>
      <c r="BH401" s="5" t="n"/>
      <c r="BI401" s="5" t="n"/>
      <c r="BJ401" s="5" t="n"/>
      <c r="BK401" s="5" t="n"/>
      <c r="BL401" s="5" t="n"/>
      <c r="BM401" s="5" t="n"/>
      <c r="BN401" s="5" t="n"/>
      <c r="BO401" s="5" t="n"/>
      <c r="BP401" s="5" t="n"/>
      <c r="BQ401" s="5" t="n"/>
      <c r="BR401" s="5" t="n"/>
      <c r="BS401" s="5" t="n"/>
      <c r="BT401" s="5" t="n"/>
      <c r="BU401" s="5" t="n"/>
      <c r="BV401" s="5" t="n"/>
      <c r="BW401" s="5" t="n"/>
      <c r="BX401" s="5" t="n"/>
      <c r="BY401" s="5" t="n"/>
      <c r="BZ401" s="5" t="n"/>
      <c r="CA401" s="5" t="n"/>
      <c r="CB401" s="5" t="n"/>
      <c r="CC401" s="5" t="n"/>
      <c r="CD401" s="5" t="n"/>
      <c r="CE401" s="5" t="n"/>
      <c r="CF401" s="5" t="n"/>
    </row>
    <row r="402" ht="16.5" customHeight="1" s="241">
      <c r="A402" s="171" t="n">
        <v>60</v>
      </c>
      <c r="B402" s="171" t="n">
        <v>67</v>
      </c>
      <c r="C402" s="171" t="inlineStr">
        <is>
          <t>Pymes Total 6</t>
        </is>
      </c>
      <c r="D402" s="169" t="n">
        <v>145</v>
      </c>
      <c r="E402" s="5" t="n"/>
      <c r="F402" s="5" t="n"/>
      <c r="G402" s="5" t="n"/>
      <c r="H402" s="5" t="n"/>
      <c r="I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  <c r="BG402" s="5" t="n"/>
      <c r="BH402" s="5" t="n"/>
      <c r="BI402" s="5" t="n"/>
      <c r="BJ402" s="5" t="n"/>
      <c r="BK402" s="5" t="n"/>
      <c r="BL402" s="5" t="n"/>
      <c r="BM402" s="5" t="n"/>
      <c r="BN402" s="5" t="n"/>
      <c r="BO402" s="5" t="n"/>
      <c r="BP402" s="5" t="n"/>
      <c r="BQ402" s="5" t="n"/>
      <c r="BR402" s="5" t="n"/>
      <c r="BS402" s="5" t="n"/>
      <c r="BT402" s="5" t="n"/>
      <c r="BU402" s="5" t="n"/>
      <c r="BV402" s="5" t="n"/>
      <c r="BW402" s="5" t="n"/>
      <c r="BX402" s="5" t="n"/>
      <c r="BY402" s="5" t="n"/>
      <c r="BZ402" s="5" t="n"/>
      <c r="CA402" s="5" t="n"/>
      <c r="CB402" s="5" t="n"/>
      <c r="CC402" s="5" t="n"/>
      <c r="CD402" s="5" t="n"/>
      <c r="CE402" s="5" t="n"/>
      <c r="CF402" s="5" t="n"/>
    </row>
    <row r="403" ht="16.5" customHeight="1" s="241">
      <c r="A403" s="171" t="n">
        <v>68</v>
      </c>
      <c r="B403" s="171" t="n">
        <v>120</v>
      </c>
      <c r="C403" s="171" t="inlineStr">
        <is>
          <t>Pymes Total 6</t>
        </is>
      </c>
      <c r="D403" s="169" t="n">
        <v>225</v>
      </c>
      <c r="E403" s="5" t="n"/>
      <c r="F403" s="5" t="n"/>
      <c r="G403" s="5" t="n"/>
      <c r="H403" s="5" t="n"/>
      <c r="I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5" t="n"/>
      <c r="BL403" s="5" t="n"/>
      <c r="BM403" s="5" t="n"/>
      <c r="BN403" s="5" t="n"/>
      <c r="BO403" s="5" t="n"/>
      <c r="BP403" s="5" t="n"/>
      <c r="BQ403" s="5" t="n"/>
      <c r="BR403" s="5" t="n"/>
      <c r="BS403" s="5" t="n"/>
      <c r="BT403" s="5" t="n"/>
      <c r="BU403" s="5" t="n"/>
      <c r="BV403" s="5" t="n"/>
      <c r="BW403" s="5" t="n"/>
      <c r="BX403" s="5" t="n"/>
      <c r="BY403" s="5" t="n"/>
      <c r="BZ403" s="5" t="n"/>
      <c r="CA403" s="5" t="n"/>
      <c r="CB403" s="5" t="n"/>
      <c r="CC403" s="5" t="n"/>
      <c r="CD403" s="5" t="n"/>
      <c r="CE403" s="5" t="n"/>
      <c r="CF403" s="5" t="n"/>
    </row>
    <row r="404" ht="16.5" customHeight="1" s="241">
      <c r="A404" s="171" t="n">
        <v>0</v>
      </c>
      <c r="B404" s="171" t="n">
        <v>24</v>
      </c>
      <c r="C404" s="171" t="inlineStr">
        <is>
          <t>Negocios NIF 1</t>
        </is>
      </c>
      <c r="D404" s="169" t="n">
        <v>55.5</v>
      </c>
      <c r="E404" s="5" t="n"/>
      <c r="F404" s="5" t="n"/>
      <c r="G404" s="5" t="n"/>
      <c r="H404" s="5" t="n"/>
      <c r="I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  <c r="BG404" s="5" t="n"/>
      <c r="BH404" s="5" t="n"/>
      <c r="BI404" s="5" t="n"/>
      <c r="BJ404" s="5" t="n"/>
      <c r="BK404" s="5" t="n"/>
      <c r="BL404" s="5" t="n"/>
      <c r="BM404" s="5" t="n"/>
      <c r="BN404" s="5" t="n"/>
      <c r="BO404" s="5" t="n"/>
      <c r="BP404" s="5" t="n"/>
      <c r="BQ404" s="5" t="n"/>
      <c r="BR404" s="5" t="n"/>
      <c r="BS404" s="5" t="n"/>
      <c r="BT404" s="5" t="n"/>
      <c r="BU404" s="5" t="n"/>
      <c r="BV404" s="5" t="n"/>
      <c r="BW404" s="5" t="n"/>
      <c r="BX404" s="5" t="n"/>
      <c r="BY404" s="5" t="n"/>
      <c r="BZ404" s="5" t="n"/>
      <c r="CA404" s="5" t="n"/>
      <c r="CB404" s="5" t="n"/>
      <c r="CC404" s="5" t="n"/>
      <c r="CD404" s="5" t="n"/>
      <c r="CE404" s="5" t="n"/>
      <c r="CF404" s="5" t="n"/>
    </row>
    <row r="405" ht="16.5" customHeight="1" s="241">
      <c r="A405" s="171" t="n">
        <v>25</v>
      </c>
      <c r="B405" s="171" t="n">
        <v>44</v>
      </c>
      <c r="C405" s="171" t="inlineStr">
        <is>
          <t>Negocios NIF 1</t>
        </is>
      </c>
      <c r="D405" s="169" t="n">
        <v>61</v>
      </c>
      <c r="E405" s="5" t="n"/>
      <c r="F405" s="5" t="n"/>
      <c r="G405" s="5" t="n"/>
      <c r="H405" s="5" t="n"/>
      <c r="I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  <c r="BG405" s="5" t="n"/>
      <c r="BH405" s="5" t="n"/>
      <c r="BI405" s="5" t="n"/>
      <c r="BJ405" s="5" t="n"/>
      <c r="BK405" s="5" t="n"/>
      <c r="BL405" s="5" t="n"/>
      <c r="BM405" s="5" t="n"/>
      <c r="BN405" s="5" t="n"/>
      <c r="BO405" s="5" t="n"/>
      <c r="BP405" s="5" t="n"/>
      <c r="BQ405" s="5" t="n"/>
      <c r="BR405" s="5" t="n"/>
      <c r="BS405" s="5" t="n"/>
      <c r="BT405" s="5" t="n"/>
      <c r="BU405" s="5" t="n"/>
      <c r="BV405" s="5" t="n"/>
      <c r="BW405" s="5" t="n"/>
      <c r="BX405" s="5" t="n"/>
      <c r="BY405" s="5" t="n"/>
      <c r="BZ405" s="5" t="n"/>
      <c r="CA405" s="5" t="n"/>
      <c r="CB405" s="5" t="n"/>
      <c r="CC405" s="5" t="n"/>
      <c r="CD405" s="5" t="n"/>
      <c r="CE405" s="5" t="n"/>
      <c r="CF405" s="5" t="n"/>
    </row>
    <row r="406" ht="16.5" customHeight="1" s="241">
      <c r="A406" s="171" t="n">
        <v>45</v>
      </c>
      <c r="B406" s="171" t="n">
        <v>54</v>
      </c>
      <c r="C406" s="171" t="inlineStr">
        <is>
          <t>Negocios NIF 1</t>
        </is>
      </c>
      <c r="D406" s="169" t="n">
        <v>79</v>
      </c>
      <c r="E406" s="5" t="n"/>
      <c r="F406" s="5" t="n"/>
      <c r="G406" s="5" t="n"/>
      <c r="H406" s="5" t="n"/>
      <c r="I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  <c r="BA406" s="5" t="n"/>
      <c r="BB406" s="5" t="n"/>
      <c r="BC406" s="5" t="n"/>
      <c r="BD406" s="5" t="n"/>
      <c r="BE406" s="5" t="n"/>
      <c r="BF406" s="5" t="n"/>
      <c r="BG406" s="5" t="n"/>
      <c r="BH406" s="5" t="n"/>
      <c r="BI406" s="5" t="n"/>
      <c r="BJ406" s="5" t="n"/>
      <c r="BK406" s="5" t="n"/>
      <c r="BL406" s="5" t="n"/>
      <c r="BM406" s="5" t="n"/>
      <c r="BN406" s="5" t="n"/>
      <c r="BO406" s="5" t="n"/>
      <c r="BP406" s="5" t="n"/>
      <c r="BQ406" s="5" t="n"/>
      <c r="BR406" s="5" t="n"/>
      <c r="BS406" s="5" t="n"/>
      <c r="BT406" s="5" t="n"/>
      <c r="BU406" s="5" t="n"/>
      <c r="BV406" s="5" t="n"/>
      <c r="BW406" s="5" t="n"/>
      <c r="BX406" s="5" t="n"/>
      <c r="BY406" s="5" t="n"/>
      <c r="BZ406" s="5" t="n"/>
      <c r="CA406" s="5" t="n"/>
      <c r="CB406" s="5" t="n"/>
      <c r="CC406" s="5" t="n"/>
      <c r="CD406" s="5" t="n"/>
      <c r="CE406" s="5" t="n"/>
      <c r="CF406" s="5" t="n"/>
    </row>
    <row r="407" ht="16.5" customHeight="1" s="241">
      <c r="A407" s="171" t="n">
        <v>55</v>
      </c>
      <c r="B407" s="171" t="n">
        <v>59</v>
      </c>
      <c r="C407" s="171" t="inlineStr">
        <is>
          <t>Negocios NIF 1</t>
        </is>
      </c>
      <c r="D407" s="169" t="n">
        <v>123</v>
      </c>
      <c r="E407" s="5" t="n"/>
      <c r="F407" s="5" t="n"/>
      <c r="G407" s="5" t="n"/>
      <c r="H407" s="5" t="n"/>
      <c r="I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/>
      <c r="BV407" s="5" t="n"/>
      <c r="BW407" s="5" t="n"/>
      <c r="BX407" s="5" t="n"/>
      <c r="BY407" s="5" t="n"/>
      <c r="BZ407" s="5" t="n"/>
      <c r="CA407" s="5" t="n"/>
      <c r="CB407" s="5" t="n"/>
      <c r="CC407" s="5" t="n"/>
      <c r="CD407" s="5" t="n"/>
      <c r="CE407" s="5" t="n"/>
      <c r="CF407" s="5" t="n"/>
    </row>
    <row r="408" ht="16.5" customHeight="1" s="241">
      <c r="A408" s="171" t="n">
        <v>60</v>
      </c>
      <c r="B408" s="171" t="n">
        <v>64</v>
      </c>
      <c r="C408" s="171" t="inlineStr">
        <is>
          <t>Negocios NIF 1</t>
        </is>
      </c>
      <c r="D408" s="169" t="n">
        <v>153</v>
      </c>
      <c r="E408" s="5" t="n"/>
      <c r="F408" s="5" t="n"/>
      <c r="G408" s="5" t="n"/>
      <c r="H408" s="5" t="n"/>
      <c r="I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  <c r="BG408" s="5" t="n"/>
      <c r="BH408" s="5" t="n"/>
      <c r="BI408" s="5" t="n"/>
      <c r="BJ408" s="5" t="n"/>
      <c r="BK408" s="5" t="n"/>
      <c r="BL408" s="5" t="n"/>
      <c r="BM408" s="5" t="n"/>
      <c r="BN408" s="5" t="n"/>
      <c r="BO408" s="5" t="n"/>
      <c r="BP408" s="5" t="n"/>
      <c r="BQ408" s="5" t="n"/>
      <c r="BR408" s="5" t="n"/>
      <c r="BS408" s="5" t="n"/>
      <c r="BT408" s="5" t="n"/>
      <c r="BU408" s="5" t="n"/>
      <c r="BV408" s="5" t="n"/>
      <c r="BW408" s="5" t="n"/>
      <c r="BX408" s="5" t="n"/>
      <c r="BY408" s="5" t="n"/>
      <c r="BZ408" s="5" t="n"/>
      <c r="CA408" s="5" t="n"/>
      <c r="CB408" s="5" t="n"/>
      <c r="CC408" s="5" t="n"/>
      <c r="CD408" s="5" t="n"/>
      <c r="CE408" s="5" t="n"/>
      <c r="CF408" s="5" t="n"/>
    </row>
    <row r="409" ht="16.5" customHeight="1" s="241">
      <c r="A409" s="171" t="n">
        <v>65</v>
      </c>
      <c r="B409" s="171" t="n">
        <v>69</v>
      </c>
      <c r="C409" s="171" t="inlineStr">
        <is>
          <t>Negocios NIF 1</t>
        </is>
      </c>
      <c r="D409" s="170" t="n">
        <v>235</v>
      </c>
      <c r="E409" s="5" t="n"/>
      <c r="F409" s="5" t="n"/>
      <c r="G409" s="5" t="n"/>
      <c r="H409" s="5" t="n"/>
      <c r="I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  <c r="BG409" s="5" t="n"/>
      <c r="BH409" s="5" t="n"/>
      <c r="BI409" s="5" t="n"/>
      <c r="BJ409" s="5" t="n"/>
      <c r="BK409" s="5" t="n"/>
      <c r="BL409" s="5" t="n"/>
      <c r="BM409" s="5" t="n"/>
      <c r="BN409" s="5" t="n"/>
      <c r="BO409" s="5" t="n"/>
      <c r="BP409" s="5" t="n"/>
      <c r="BQ409" s="5" t="n"/>
      <c r="BR409" s="5" t="n"/>
      <c r="BS409" s="5" t="n"/>
      <c r="BT409" s="5" t="n"/>
      <c r="BU409" s="5" t="n"/>
      <c r="BV409" s="5" t="n"/>
      <c r="BW409" s="5" t="n"/>
      <c r="BX409" s="5" t="n"/>
      <c r="BY409" s="5" t="n"/>
      <c r="BZ409" s="5" t="n"/>
      <c r="CA409" s="5" t="n"/>
      <c r="CB409" s="5" t="n"/>
      <c r="CC409" s="5" t="n"/>
      <c r="CD409" s="5" t="n"/>
      <c r="CE409" s="5" t="n"/>
      <c r="CF409" s="5" t="n"/>
    </row>
    <row r="410" ht="16.5" customHeight="1" s="241">
      <c r="A410" s="171" t="n">
        <v>70</v>
      </c>
      <c r="B410" s="171" t="n">
        <v>120</v>
      </c>
      <c r="C410" s="171" t="inlineStr">
        <is>
          <t>Negocios NIF 1</t>
        </is>
      </c>
      <c r="D410" s="170" t="n">
        <v>239</v>
      </c>
      <c r="E410" s="5" t="n"/>
      <c r="F410" s="5" t="n"/>
      <c r="G410" s="5" t="n"/>
      <c r="H410" s="5" t="n"/>
      <c r="I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  <c r="BA410" s="5" t="n"/>
      <c r="BB410" s="5" t="n"/>
      <c r="BC410" s="5" t="n"/>
      <c r="BD410" s="5" t="n"/>
      <c r="BE410" s="5" t="n"/>
      <c r="BF410" s="5" t="n"/>
      <c r="BG410" s="5" t="n"/>
      <c r="BH410" s="5" t="n"/>
      <c r="BI410" s="5" t="n"/>
      <c r="BJ410" s="5" t="n"/>
      <c r="BK410" s="5" t="n"/>
      <c r="BL410" s="5" t="n"/>
      <c r="BM410" s="5" t="n"/>
      <c r="BN410" s="5" t="n"/>
      <c r="BO410" s="5" t="n"/>
      <c r="BP410" s="5" t="n"/>
      <c r="BQ410" s="5" t="n"/>
      <c r="BR410" s="5" t="n"/>
      <c r="BS410" s="5" t="n"/>
      <c r="BT410" s="5" t="n"/>
      <c r="BU410" s="5" t="n"/>
      <c r="BV410" s="5" t="n"/>
      <c r="BW410" s="5" t="n"/>
      <c r="BX410" s="5" t="n"/>
      <c r="BY410" s="5" t="n"/>
      <c r="BZ410" s="5" t="n"/>
      <c r="CA410" s="5" t="n"/>
      <c r="CB410" s="5" t="n"/>
      <c r="CC410" s="5" t="n"/>
      <c r="CD410" s="5" t="n"/>
      <c r="CE410" s="5" t="n"/>
      <c r="CF410" s="5" t="n"/>
    </row>
    <row r="411" ht="16.5" customHeight="1" s="241">
      <c r="A411" s="171" t="n">
        <v>0</v>
      </c>
      <c r="B411" s="171" t="n">
        <v>24</v>
      </c>
      <c r="C411" s="171" t="inlineStr">
        <is>
          <t>Negocios NIF 2</t>
        </is>
      </c>
      <c r="D411" s="170" t="n">
        <v>56.5</v>
      </c>
      <c r="E411" s="5" t="n"/>
      <c r="F411" s="5" t="n"/>
      <c r="G411" s="5" t="n"/>
      <c r="H411" s="5" t="n"/>
      <c r="I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5" t="n"/>
      <c r="BL411" s="5" t="n"/>
      <c r="BM411" s="5" t="n"/>
      <c r="BN411" s="5" t="n"/>
      <c r="BO411" s="5" t="n"/>
      <c r="BP411" s="5" t="n"/>
      <c r="BQ411" s="5" t="n"/>
      <c r="BR411" s="5" t="n"/>
      <c r="BS411" s="5" t="n"/>
      <c r="BT411" s="5" t="n"/>
      <c r="BU411" s="5" t="n"/>
      <c r="BV411" s="5" t="n"/>
      <c r="BW411" s="5" t="n"/>
      <c r="BX411" s="5" t="n"/>
      <c r="BY411" s="5" t="n"/>
      <c r="BZ411" s="5" t="n"/>
      <c r="CA411" s="5" t="n"/>
      <c r="CB411" s="5" t="n"/>
      <c r="CC411" s="5" t="n"/>
      <c r="CD411" s="5" t="n"/>
      <c r="CE411" s="5" t="n"/>
      <c r="CF411" s="5" t="n"/>
    </row>
    <row r="412" ht="16.5" customHeight="1" s="241">
      <c r="A412" s="171" t="n">
        <v>25</v>
      </c>
      <c r="B412" s="171" t="n">
        <v>44</v>
      </c>
      <c r="C412" s="171" t="inlineStr">
        <is>
          <t>Negocios NIF 2</t>
        </is>
      </c>
      <c r="D412" s="170" t="n">
        <v>63.5</v>
      </c>
      <c r="E412" s="5" t="n"/>
      <c r="F412" s="5" t="n"/>
      <c r="G412" s="5" t="n"/>
      <c r="H412" s="5" t="n"/>
      <c r="I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5" t="n"/>
      <c r="BL412" s="5" t="n"/>
      <c r="BM412" s="5" t="n"/>
      <c r="BN412" s="5" t="n"/>
      <c r="BO412" s="5" t="n"/>
      <c r="BP412" s="5" t="n"/>
      <c r="BQ412" s="5" t="n"/>
      <c r="BR412" s="5" t="n"/>
      <c r="BS412" s="5" t="n"/>
      <c r="BT412" s="5" t="n"/>
      <c r="BU412" s="5" t="n"/>
      <c r="BV412" s="5" t="n"/>
      <c r="BW412" s="5" t="n"/>
      <c r="BX412" s="5" t="n"/>
      <c r="BY412" s="5" t="n"/>
      <c r="BZ412" s="5" t="n"/>
      <c r="CA412" s="5" t="n"/>
      <c r="CB412" s="5" t="n"/>
      <c r="CC412" s="5" t="n"/>
      <c r="CD412" s="5" t="n"/>
      <c r="CE412" s="5" t="n"/>
      <c r="CF412" s="5" t="n"/>
    </row>
    <row r="413" ht="16.5" customHeight="1" s="241">
      <c r="A413" s="171" t="n">
        <v>45</v>
      </c>
      <c r="B413" s="171" t="n">
        <v>54</v>
      </c>
      <c r="C413" s="171" t="inlineStr">
        <is>
          <t>Negocios NIF 2</t>
        </is>
      </c>
      <c r="D413" s="170" t="n">
        <v>83</v>
      </c>
      <c r="E413" s="5" t="n"/>
      <c r="F413" s="5" t="n"/>
      <c r="G413" s="5" t="n"/>
      <c r="H413" s="5" t="n"/>
      <c r="I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5" t="n"/>
      <c r="BL413" s="5" t="n"/>
      <c r="BM413" s="5" t="n"/>
      <c r="BN413" s="5" t="n"/>
      <c r="BO413" s="5" t="n"/>
      <c r="BP413" s="5" t="n"/>
      <c r="BQ413" s="5" t="n"/>
      <c r="BR413" s="5" t="n"/>
      <c r="BS413" s="5" t="n"/>
      <c r="BT413" s="5" t="n"/>
      <c r="BU413" s="5" t="n"/>
      <c r="BV413" s="5" t="n"/>
      <c r="BW413" s="5" t="n"/>
      <c r="BX413" s="5" t="n"/>
      <c r="BY413" s="5" t="n"/>
      <c r="BZ413" s="5" t="n"/>
      <c r="CA413" s="5" t="n"/>
      <c r="CB413" s="5" t="n"/>
      <c r="CC413" s="5" t="n"/>
      <c r="CD413" s="5" t="n"/>
      <c r="CE413" s="5" t="n"/>
      <c r="CF413" s="5" t="n"/>
    </row>
    <row r="414" ht="16.5" customHeight="1" s="241">
      <c r="A414" s="171" t="n">
        <v>55</v>
      </c>
      <c r="B414" s="171" t="n">
        <v>59</v>
      </c>
      <c r="C414" s="171" t="inlineStr">
        <is>
          <t>Negocios NIF 2</t>
        </is>
      </c>
      <c r="D414" s="170" t="n">
        <v>127</v>
      </c>
      <c r="E414" s="5" t="n"/>
      <c r="F414" s="5" t="n"/>
      <c r="G414" s="5" t="n"/>
      <c r="H414" s="5" t="n"/>
      <c r="I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  <c r="BG414" s="5" t="n"/>
      <c r="BH414" s="5" t="n"/>
      <c r="BI414" s="5" t="n"/>
      <c r="BJ414" s="5" t="n"/>
      <c r="BK414" s="5" t="n"/>
      <c r="BL414" s="5" t="n"/>
      <c r="BM414" s="5" t="n"/>
      <c r="BN414" s="5" t="n"/>
      <c r="BO414" s="5" t="n"/>
      <c r="BP414" s="5" t="n"/>
      <c r="BQ414" s="5" t="n"/>
      <c r="BR414" s="5" t="n"/>
      <c r="BS414" s="5" t="n"/>
      <c r="BT414" s="5" t="n"/>
      <c r="BU414" s="5" t="n"/>
      <c r="BV414" s="5" t="n"/>
      <c r="BW414" s="5" t="n"/>
      <c r="BX414" s="5" t="n"/>
      <c r="BY414" s="5" t="n"/>
      <c r="BZ414" s="5" t="n"/>
      <c r="CA414" s="5" t="n"/>
      <c r="CB414" s="5" t="n"/>
      <c r="CC414" s="5" t="n"/>
      <c r="CD414" s="5" t="n"/>
      <c r="CE414" s="5" t="n"/>
      <c r="CF414" s="5" t="n"/>
    </row>
    <row r="415" ht="16.5" customHeight="1" s="241">
      <c r="A415" s="171" t="n">
        <v>60</v>
      </c>
      <c r="B415" s="171" t="n">
        <v>64</v>
      </c>
      <c r="C415" s="171" t="inlineStr">
        <is>
          <t>Negocios NIF 2</t>
        </is>
      </c>
      <c r="D415" s="170" t="n">
        <v>159</v>
      </c>
      <c r="E415" s="5" t="n"/>
      <c r="F415" s="5" t="n"/>
      <c r="G415" s="5" t="n"/>
      <c r="H415" s="5" t="n"/>
      <c r="I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/>
      <c r="BV415" s="5" t="n"/>
      <c r="BW415" s="5" t="n"/>
      <c r="BX415" s="5" t="n"/>
      <c r="BY415" s="5" t="n"/>
      <c r="BZ415" s="5" t="n"/>
      <c r="CA415" s="5" t="n"/>
      <c r="CB415" s="5" t="n"/>
      <c r="CC415" s="5" t="n"/>
      <c r="CD415" s="5" t="n"/>
      <c r="CE415" s="5" t="n"/>
      <c r="CF415" s="5" t="n"/>
    </row>
    <row r="416" ht="16.5" customHeight="1" s="241">
      <c r="A416" s="171" t="n">
        <v>65</v>
      </c>
      <c r="B416" s="171" t="n">
        <v>69</v>
      </c>
      <c r="C416" s="171" t="inlineStr">
        <is>
          <t>Negocios NIF 2</t>
        </is>
      </c>
      <c r="D416" s="170" t="n">
        <v>238</v>
      </c>
      <c r="E416" s="5" t="n"/>
      <c r="F416" s="5" t="n"/>
      <c r="G416" s="5" t="n"/>
      <c r="H416" s="5" t="n"/>
      <c r="I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5" t="n"/>
      <c r="BL416" s="5" t="n"/>
      <c r="BM416" s="5" t="n"/>
      <c r="BN416" s="5" t="n"/>
      <c r="BO416" s="5" t="n"/>
      <c r="BP416" s="5" t="n"/>
      <c r="BQ416" s="5" t="n"/>
      <c r="BR416" s="5" t="n"/>
      <c r="BS416" s="5" t="n"/>
      <c r="BT416" s="5" t="n"/>
      <c r="BU416" s="5" t="n"/>
      <c r="BV416" s="5" t="n"/>
      <c r="BW416" s="5" t="n"/>
      <c r="BX416" s="5" t="n"/>
      <c r="BY416" s="5" t="n"/>
      <c r="BZ416" s="5" t="n"/>
      <c r="CA416" s="5" t="n"/>
      <c r="CB416" s="5" t="n"/>
      <c r="CC416" s="5" t="n"/>
      <c r="CD416" s="5" t="n"/>
      <c r="CE416" s="5" t="n"/>
      <c r="CF416" s="5" t="n"/>
    </row>
    <row r="417" ht="16.5" customHeight="1" s="241">
      <c r="A417" s="171" t="n">
        <v>70</v>
      </c>
      <c r="B417" s="171" t="n">
        <v>120</v>
      </c>
      <c r="C417" s="171" t="inlineStr">
        <is>
          <t>Negocios NIF 2</t>
        </is>
      </c>
      <c r="D417" s="170" t="n">
        <v>246</v>
      </c>
      <c r="E417" s="5" t="n"/>
      <c r="F417" s="5" t="n"/>
      <c r="G417" s="5" t="n"/>
      <c r="H417" s="5" t="n"/>
      <c r="I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/>
      <c r="BV417" s="5" t="n"/>
      <c r="BW417" s="5" t="n"/>
      <c r="BX417" s="5" t="n"/>
      <c r="BY417" s="5" t="n"/>
      <c r="BZ417" s="5" t="n"/>
      <c r="CA417" s="5" t="n"/>
      <c r="CB417" s="5" t="n"/>
      <c r="CC417" s="5" t="n"/>
      <c r="CD417" s="5" t="n"/>
      <c r="CE417" s="5" t="n"/>
      <c r="CF417" s="5" t="n"/>
    </row>
    <row r="418" ht="16.5" customHeight="1" s="241">
      <c r="A418" s="171" t="n">
        <v>0</v>
      </c>
      <c r="B418" s="171" t="n">
        <v>24</v>
      </c>
      <c r="C418" s="171" t="inlineStr">
        <is>
          <t>Negocios NIF 3</t>
        </is>
      </c>
      <c r="D418" s="170" t="n">
        <v>57</v>
      </c>
      <c r="E418" s="5" t="n"/>
      <c r="F418" s="5" t="n"/>
      <c r="G418" s="5" t="n"/>
      <c r="H418" s="5" t="n"/>
      <c r="I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  <c r="BG418" s="5" t="n"/>
      <c r="BH418" s="5" t="n"/>
      <c r="BI418" s="5" t="n"/>
      <c r="BJ418" s="5" t="n"/>
      <c r="BK418" s="5" t="n"/>
      <c r="BL418" s="5" t="n"/>
      <c r="BM418" s="5" t="n"/>
      <c r="BN418" s="5" t="n"/>
      <c r="BO418" s="5" t="n"/>
      <c r="BP418" s="5" t="n"/>
      <c r="BQ418" s="5" t="n"/>
      <c r="BR418" s="5" t="n"/>
      <c r="BS418" s="5" t="n"/>
      <c r="BT418" s="5" t="n"/>
      <c r="BU418" s="5" t="n"/>
      <c r="BV418" s="5" t="n"/>
      <c r="BW418" s="5" t="n"/>
      <c r="BX418" s="5" t="n"/>
      <c r="BY418" s="5" t="n"/>
      <c r="BZ418" s="5" t="n"/>
      <c r="CA418" s="5" t="n"/>
      <c r="CB418" s="5" t="n"/>
      <c r="CC418" s="5" t="n"/>
      <c r="CD418" s="5" t="n"/>
      <c r="CE418" s="5" t="n"/>
      <c r="CF418" s="5" t="n"/>
    </row>
    <row r="419" ht="16.5" customHeight="1" s="241">
      <c r="A419" s="171" t="n">
        <v>25</v>
      </c>
      <c r="B419" s="171" t="n">
        <v>44</v>
      </c>
      <c r="C419" s="171" t="inlineStr">
        <is>
          <t>Negocios NIF 3</t>
        </is>
      </c>
      <c r="D419" s="170" t="n">
        <v>64.5</v>
      </c>
      <c r="E419" s="5" t="n"/>
      <c r="F419" s="5" t="n"/>
      <c r="G419" s="5" t="n"/>
      <c r="H419" s="5" t="n"/>
      <c r="I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/>
      <c r="BV419" s="5" t="n"/>
      <c r="BW419" s="5" t="n"/>
      <c r="BX419" s="5" t="n"/>
      <c r="BY419" s="5" t="n"/>
      <c r="BZ419" s="5" t="n"/>
      <c r="CA419" s="5" t="n"/>
      <c r="CB419" s="5" t="n"/>
      <c r="CC419" s="5" t="n"/>
      <c r="CD419" s="5" t="n"/>
      <c r="CE419" s="5" t="n"/>
      <c r="CF419" s="5" t="n"/>
    </row>
    <row r="420" ht="16.5" customHeight="1" s="241">
      <c r="A420" s="171" t="n">
        <v>45</v>
      </c>
      <c r="B420" s="171" t="n">
        <v>54</v>
      </c>
      <c r="C420" s="171" t="inlineStr">
        <is>
          <t>Negocios NIF 3</t>
        </is>
      </c>
      <c r="D420" s="170" t="n">
        <v>84</v>
      </c>
      <c r="E420" s="5" t="n"/>
      <c r="F420" s="5" t="n"/>
      <c r="G420" s="5" t="n"/>
      <c r="H420" s="5" t="n"/>
      <c r="I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5" t="n"/>
      <c r="BL420" s="5" t="n"/>
      <c r="BM420" s="5" t="n"/>
      <c r="BN420" s="5" t="n"/>
      <c r="BO420" s="5" t="n"/>
      <c r="BP420" s="5" t="n"/>
      <c r="BQ420" s="5" t="n"/>
      <c r="BR420" s="5" t="n"/>
      <c r="BS420" s="5" t="n"/>
      <c r="BT420" s="5" t="n"/>
      <c r="BU420" s="5" t="n"/>
      <c r="BV420" s="5" t="n"/>
      <c r="BW420" s="5" t="n"/>
      <c r="BX420" s="5" t="n"/>
      <c r="BY420" s="5" t="n"/>
      <c r="BZ420" s="5" t="n"/>
      <c r="CA420" s="5" t="n"/>
      <c r="CB420" s="5" t="n"/>
      <c r="CC420" s="5" t="n"/>
      <c r="CD420" s="5" t="n"/>
      <c r="CE420" s="5" t="n"/>
      <c r="CF420" s="5" t="n"/>
    </row>
    <row r="421" ht="16.5" customHeight="1" s="241">
      <c r="A421" s="171" t="n">
        <v>55</v>
      </c>
      <c r="B421" s="171" t="n">
        <v>59</v>
      </c>
      <c r="C421" s="171" t="inlineStr">
        <is>
          <t>Negocios NIF 3</t>
        </is>
      </c>
      <c r="D421" s="170" t="n">
        <v>129</v>
      </c>
      <c r="E421" s="5" t="n"/>
      <c r="F421" s="5" t="n"/>
      <c r="G421" s="5" t="n"/>
      <c r="H421" s="5" t="n"/>
      <c r="I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5" t="n"/>
      <c r="BL421" s="5" t="n"/>
      <c r="BM421" s="5" t="n"/>
      <c r="BN421" s="5" t="n"/>
      <c r="BO421" s="5" t="n"/>
      <c r="BP421" s="5" t="n"/>
      <c r="BQ421" s="5" t="n"/>
      <c r="BR421" s="5" t="n"/>
      <c r="BS421" s="5" t="n"/>
      <c r="BT421" s="5" t="n"/>
      <c r="BU421" s="5" t="n"/>
      <c r="BV421" s="5" t="n"/>
      <c r="BW421" s="5" t="n"/>
      <c r="BX421" s="5" t="n"/>
      <c r="BY421" s="5" t="n"/>
      <c r="BZ421" s="5" t="n"/>
      <c r="CA421" s="5" t="n"/>
      <c r="CB421" s="5" t="n"/>
      <c r="CC421" s="5" t="n"/>
      <c r="CD421" s="5" t="n"/>
      <c r="CE421" s="5" t="n"/>
      <c r="CF421" s="5" t="n"/>
    </row>
    <row r="422" ht="16.5" customHeight="1" s="241">
      <c r="A422" s="171" t="n">
        <v>60</v>
      </c>
      <c r="B422" s="171" t="n">
        <v>64</v>
      </c>
      <c r="C422" s="171" t="inlineStr">
        <is>
          <t>Negocios NIF 3</t>
        </is>
      </c>
      <c r="D422" s="170" t="n">
        <v>160</v>
      </c>
      <c r="E422" s="5" t="n"/>
      <c r="F422" s="5" t="n"/>
      <c r="G422" s="5" t="n"/>
      <c r="H422" s="5" t="n"/>
      <c r="I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  <c r="BG422" s="5" t="n"/>
      <c r="BH422" s="5" t="n"/>
      <c r="BI422" s="5" t="n"/>
      <c r="BJ422" s="5" t="n"/>
      <c r="BK422" s="5" t="n"/>
      <c r="BL422" s="5" t="n"/>
      <c r="BM422" s="5" t="n"/>
      <c r="BN422" s="5" t="n"/>
      <c r="BO422" s="5" t="n"/>
      <c r="BP422" s="5" t="n"/>
      <c r="BQ422" s="5" t="n"/>
      <c r="BR422" s="5" t="n"/>
      <c r="BS422" s="5" t="n"/>
      <c r="BT422" s="5" t="n"/>
      <c r="BU422" s="5" t="n"/>
      <c r="BV422" s="5" t="n"/>
      <c r="BW422" s="5" t="n"/>
      <c r="BX422" s="5" t="n"/>
      <c r="BY422" s="5" t="n"/>
      <c r="BZ422" s="5" t="n"/>
      <c r="CA422" s="5" t="n"/>
      <c r="CB422" s="5" t="n"/>
      <c r="CC422" s="5" t="n"/>
      <c r="CD422" s="5" t="n"/>
      <c r="CE422" s="5" t="n"/>
      <c r="CF422" s="5" t="n"/>
    </row>
    <row r="423" ht="16.5" customHeight="1" s="241">
      <c r="A423" s="171" t="n">
        <v>65</v>
      </c>
      <c r="B423" s="171" t="n">
        <v>69</v>
      </c>
      <c r="C423" s="171" t="inlineStr">
        <is>
          <t>Negocios NIF 3</t>
        </is>
      </c>
      <c r="D423" s="170" t="n">
        <v>240</v>
      </c>
      <c r="E423" s="5" t="n"/>
      <c r="F423" s="5" t="n"/>
      <c r="G423" s="5" t="n"/>
      <c r="H423" s="5" t="n"/>
      <c r="I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5" t="n"/>
      <c r="BL423" s="5" t="n"/>
      <c r="BM423" s="5" t="n"/>
      <c r="BN423" s="5" t="n"/>
      <c r="BO423" s="5" t="n"/>
      <c r="BP423" s="5" t="n"/>
      <c r="BQ423" s="5" t="n"/>
      <c r="BR423" s="5" t="n"/>
      <c r="BS423" s="5" t="n"/>
      <c r="BT423" s="5" t="n"/>
      <c r="BU423" s="5" t="n"/>
      <c r="BV423" s="5" t="n"/>
      <c r="BW423" s="5" t="n"/>
      <c r="BX423" s="5" t="n"/>
      <c r="BY423" s="5" t="n"/>
      <c r="BZ423" s="5" t="n"/>
      <c r="CA423" s="5" t="n"/>
      <c r="CB423" s="5" t="n"/>
      <c r="CC423" s="5" t="n"/>
      <c r="CD423" s="5" t="n"/>
      <c r="CE423" s="5" t="n"/>
      <c r="CF423" s="5" t="n"/>
    </row>
    <row r="424" ht="16.5" customHeight="1" s="241">
      <c r="A424" s="171" t="n">
        <v>70</v>
      </c>
      <c r="B424" s="171" t="n">
        <v>120</v>
      </c>
      <c r="C424" s="171" t="inlineStr">
        <is>
          <t>Negocios NIF 3</t>
        </is>
      </c>
      <c r="D424" s="170" t="n">
        <v>249</v>
      </c>
      <c r="E424" s="5" t="n"/>
      <c r="F424" s="5" t="n"/>
      <c r="G424" s="5" t="n"/>
      <c r="H424" s="5" t="n"/>
      <c r="I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  <c r="BG424" s="5" t="n"/>
      <c r="BH424" s="5" t="n"/>
      <c r="BI424" s="5" t="n"/>
      <c r="BJ424" s="5" t="n"/>
      <c r="BK424" s="5" t="n"/>
      <c r="BL424" s="5" t="n"/>
      <c r="BM424" s="5" t="n"/>
      <c r="BN424" s="5" t="n"/>
      <c r="BO424" s="5" t="n"/>
      <c r="BP424" s="5" t="n"/>
      <c r="BQ424" s="5" t="n"/>
      <c r="BR424" s="5" t="n"/>
      <c r="BS424" s="5" t="n"/>
      <c r="BT424" s="5" t="n"/>
      <c r="BU424" s="5" t="n"/>
      <c r="BV424" s="5" t="n"/>
      <c r="BW424" s="5" t="n"/>
      <c r="BX424" s="5" t="n"/>
      <c r="BY424" s="5" t="n"/>
      <c r="BZ424" s="5" t="n"/>
      <c r="CA424" s="5" t="n"/>
      <c r="CB424" s="5" t="n"/>
      <c r="CC424" s="5" t="n"/>
      <c r="CD424" s="5" t="n"/>
      <c r="CE424" s="5" t="n"/>
      <c r="CF424" s="5" t="n"/>
    </row>
    <row r="425" ht="16.5" customHeight="1" s="241">
      <c r="A425" s="171" t="n">
        <v>0</v>
      </c>
      <c r="B425" s="171" t="n">
        <v>24</v>
      </c>
      <c r="C425" s="171" t="inlineStr">
        <is>
          <t>Negocios NIF 4</t>
        </is>
      </c>
      <c r="D425" s="170" t="n">
        <v>59</v>
      </c>
      <c r="E425" s="5" t="n"/>
      <c r="F425" s="5" t="n"/>
      <c r="G425" s="5" t="n"/>
      <c r="H425" s="5" t="n"/>
      <c r="I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5" t="n"/>
      <c r="BL425" s="5" t="n"/>
      <c r="BM425" s="5" t="n"/>
      <c r="BN425" s="5" t="n"/>
      <c r="BO425" s="5" t="n"/>
      <c r="BP425" s="5" t="n"/>
      <c r="BQ425" s="5" t="n"/>
      <c r="BR425" s="5" t="n"/>
      <c r="BS425" s="5" t="n"/>
      <c r="BT425" s="5" t="n"/>
      <c r="BU425" s="5" t="n"/>
      <c r="BV425" s="5" t="n"/>
      <c r="BW425" s="5" t="n"/>
      <c r="BX425" s="5" t="n"/>
      <c r="BY425" s="5" t="n"/>
      <c r="BZ425" s="5" t="n"/>
      <c r="CA425" s="5" t="n"/>
      <c r="CB425" s="5" t="n"/>
      <c r="CC425" s="5" t="n"/>
      <c r="CD425" s="5" t="n"/>
      <c r="CE425" s="5" t="n"/>
      <c r="CF425" s="5" t="n"/>
    </row>
    <row r="426" ht="16.5" customHeight="1" s="241">
      <c r="A426" s="171" t="n">
        <v>25</v>
      </c>
      <c r="B426" s="171" t="n">
        <v>44</v>
      </c>
      <c r="C426" s="171" t="inlineStr">
        <is>
          <t>Negocios NIF 4</t>
        </is>
      </c>
      <c r="D426" s="170" t="n">
        <v>65.5</v>
      </c>
      <c r="E426" s="5" t="n"/>
      <c r="F426" s="5" t="n"/>
      <c r="G426" s="5" t="n"/>
      <c r="H426" s="5" t="n"/>
      <c r="I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  <c r="BG426" s="5" t="n"/>
      <c r="BH426" s="5" t="n"/>
      <c r="BI426" s="5" t="n"/>
      <c r="BJ426" s="5" t="n"/>
      <c r="BK426" s="5" t="n"/>
      <c r="BL426" s="5" t="n"/>
      <c r="BM426" s="5" t="n"/>
      <c r="BN426" s="5" t="n"/>
      <c r="BO426" s="5" t="n"/>
      <c r="BP426" s="5" t="n"/>
      <c r="BQ426" s="5" t="n"/>
      <c r="BR426" s="5" t="n"/>
      <c r="BS426" s="5" t="n"/>
      <c r="BT426" s="5" t="n"/>
      <c r="BU426" s="5" t="n"/>
      <c r="BV426" s="5" t="n"/>
      <c r="BW426" s="5" t="n"/>
      <c r="BX426" s="5" t="n"/>
      <c r="BY426" s="5" t="n"/>
      <c r="BZ426" s="5" t="n"/>
      <c r="CA426" s="5" t="n"/>
      <c r="CB426" s="5" t="n"/>
      <c r="CC426" s="5" t="n"/>
      <c r="CD426" s="5" t="n"/>
      <c r="CE426" s="5" t="n"/>
      <c r="CF426" s="5" t="n"/>
    </row>
    <row r="427" ht="16.5" customHeight="1" s="241">
      <c r="A427" s="171" t="n">
        <v>45</v>
      </c>
      <c r="B427" s="171" t="n">
        <v>54</v>
      </c>
      <c r="C427" s="171" t="inlineStr">
        <is>
          <t>Negocios NIF 4</t>
        </is>
      </c>
      <c r="D427" s="170" t="n">
        <v>86.5</v>
      </c>
      <c r="E427" s="5" t="n"/>
      <c r="F427" s="5" t="n"/>
      <c r="G427" s="5" t="n"/>
      <c r="H427" s="5" t="n"/>
      <c r="I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/>
      <c r="BV427" s="5" t="n"/>
      <c r="BW427" s="5" t="n"/>
      <c r="BX427" s="5" t="n"/>
      <c r="BY427" s="5" t="n"/>
      <c r="BZ427" s="5" t="n"/>
      <c r="CA427" s="5" t="n"/>
      <c r="CB427" s="5" t="n"/>
      <c r="CC427" s="5" t="n"/>
      <c r="CD427" s="5" t="n"/>
      <c r="CE427" s="5" t="n"/>
      <c r="CF427" s="5" t="n"/>
    </row>
    <row r="428" ht="16.5" customHeight="1" s="241">
      <c r="A428" s="171" t="n">
        <v>55</v>
      </c>
      <c r="B428" s="171" t="n">
        <v>59</v>
      </c>
      <c r="C428" s="171" t="inlineStr">
        <is>
          <t>Negocios NIF 4</t>
        </is>
      </c>
      <c r="D428" s="170" t="n">
        <v>134</v>
      </c>
      <c r="E428" s="5" t="n"/>
      <c r="F428" s="5" t="n"/>
      <c r="G428" s="5" t="n"/>
      <c r="H428" s="5" t="n"/>
      <c r="I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5" t="n"/>
      <c r="BL428" s="5" t="n"/>
      <c r="BM428" s="5" t="n"/>
      <c r="BN428" s="5" t="n"/>
      <c r="BO428" s="5" t="n"/>
      <c r="BP428" s="5" t="n"/>
      <c r="BQ428" s="5" t="n"/>
      <c r="BR428" s="5" t="n"/>
      <c r="BS428" s="5" t="n"/>
      <c r="BT428" s="5" t="n"/>
      <c r="BU428" s="5" t="n"/>
      <c r="BV428" s="5" t="n"/>
      <c r="BW428" s="5" t="n"/>
      <c r="BX428" s="5" t="n"/>
      <c r="BY428" s="5" t="n"/>
      <c r="BZ428" s="5" t="n"/>
      <c r="CA428" s="5" t="n"/>
      <c r="CB428" s="5" t="n"/>
      <c r="CC428" s="5" t="n"/>
      <c r="CD428" s="5" t="n"/>
      <c r="CE428" s="5" t="n"/>
      <c r="CF428" s="5" t="n"/>
    </row>
    <row r="429" ht="16.5" customHeight="1" s="241">
      <c r="A429" s="171" t="n">
        <v>60</v>
      </c>
      <c r="B429" s="171" t="n">
        <v>64</v>
      </c>
      <c r="C429" s="171" t="inlineStr">
        <is>
          <t>Negocios NIF 4</t>
        </is>
      </c>
      <c r="D429" s="170" t="n">
        <v>170</v>
      </c>
      <c r="E429" s="5" t="n"/>
      <c r="F429" s="5" t="n"/>
      <c r="G429" s="5" t="n"/>
      <c r="H429" s="5" t="n"/>
      <c r="I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  <c r="BG429" s="5" t="n"/>
      <c r="BH429" s="5" t="n"/>
      <c r="BI429" s="5" t="n"/>
      <c r="BJ429" s="5" t="n"/>
      <c r="BK429" s="5" t="n"/>
      <c r="BL429" s="5" t="n"/>
      <c r="BM429" s="5" t="n"/>
      <c r="BN429" s="5" t="n"/>
      <c r="BO429" s="5" t="n"/>
      <c r="BP429" s="5" t="n"/>
      <c r="BQ429" s="5" t="n"/>
      <c r="BR429" s="5" t="n"/>
      <c r="BS429" s="5" t="n"/>
      <c r="BT429" s="5" t="n"/>
      <c r="BU429" s="5" t="n"/>
      <c r="BV429" s="5" t="n"/>
      <c r="BW429" s="5" t="n"/>
      <c r="BX429" s="5" t="n"/>
      <c r="BY429" s="5" t="n"/>
      <c r="BZ429" s="5" t="n"/>
      <c r="CA429" s="5" t="n"/>
      <c r="CB429" s="5" t="n"/>
      <c r="CC429" s="5" t="n"/>
      <c r="CD429" s="5" t="n"/>
      <c r="CE429" s="5" t="n"/>
      <c r="CF429" s="5" t="n"/>
    </row>
    <row r="430" ht="16.5" customHeight="1" s="241">
      <c r="A430" s="171" t="n">
        <v>65</v>
      </c>
      <c r="B430" s="171" t="n">
        <v>69</v>
      </c>
      <c r="C430" s="171" t="inlineStr">
        <is>
          <t>Negocios NIF 4</t>
        </is>
      </c>
      <c r="D430" s="170" t="n">
        <v>249</v>
      </c>
      <c r="E430" s="5" t="n"/>
      <c r="F430" s="5" t="n"/>
      <c r="G430" s="5" t="n"/>
      <c r="H430" s="5" t="n"/>
      <c r="I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5" t="n"/>
      <c r="BL430" s="5" t="n"/>
      <c r="BM430" s="5" t="n"/>
      <c r="BN430" s="5" t="n"/>
      <c r="BO430" s="5" t="n"/>
      <c r="BP430" s="5" t="n"/>
      <c r="BQ430" s="5" t="n"/>
      <c r="BR430" s="5" t="n"/>
      <c r="BS430" s="5" t="n"/>
      <c r="BT430" s="5" t="n"/>
      <c r="BU430" s="5" t="n"/>
      <c r="BV430" s="5" t="n"/>
      <c r="BW430" s="5" t="n"/>
      <c r="BX430" s="5" t="n"/>
      <c r="BY430" s="5" t="n"/>
      <c r="BZ430" s="5" t="n"/>
      <c r="CA430" s="5" t="n"/>
      <c r="CB430" s="5" t="n"/>
      <c r="CC430" s="5" t="n"/>
      <c r="CD430" s="5" t="n"/>
      <c r="CE430" s="5" t="n"/>
      <c r="CF430" s="5" t="n"/>
    </row>
    <row r="431" ht="16.5" customHeight="1" s="241">
      <c r="A431" s="171" t="n">
        <v>70</v>
      </c>
      <c r="B431" s="171" t="n">
        <v>120</v>
      </c>
      <c r="C431" s="171" t="inlineStr">
        <is>
          <t>Negocios NIF 4</t>
        </is>
      </c>
      <c r="D431" s="170" t="n">
        <v>261</v>
      </c>
      <c r="E431" s="5" t="n"/>
      <c r="F431" s="5" t="n"/>
      <c r="G431" s="5" t="n"/>
      <c r="H431" s="5" t="n"/>
      <c r="I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/>
      <c r="BV431" s="5" t="n"/>
      <c r="BW431" s="5" t="n"/>
      <c r="BX431" s="5" t="n"/>
      <c r="BY431" s="5" t="n"/>
      <c r="BZ431" s="5" t="n"/>
      <c r="CA431" s="5" t="n"/>
      <c r="CB431" s="5" t="n"/>
      <c r="CC431" s="5" t="n"/>
      <c r="CD431" s="5" t="n"/>
      <c r="CE431" s="5" t="n"/>
      <c r="CF431" s="5" t="n"/>
    </row>
    <row r="432" ht="16.5" customHeight="1" s="241">
      <c r="A432" s="171" t="n">
        <v>0</v>
      </c>
      <c r="B432" s="171" t="n">
        <v>24</v>
      </c>
      <c r="C432" s="171" t="inlineStr">
        <is>
          <t>Negocios NIF 5</t>
        </is>
      </c>
      <c r="D432" s="169" t="n">
        <v>61</v>
      </c>
      <c r="E432" s="5" t="n"/>
      <c r="F432" s="5" t="n"/>
      <c r="G432" s="5" t="n"/>
      <c r="H432" s="5" t="n"/>
      <c r="I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5" t="n"/>
      <c r="BL432" s="5" t="n"/>
      <c r="BM432" s="5" t="n"/>
      <c r="BN432" s="5" t="n"/>
      <c r="BO432" s="5" t="n"/>
      <c r="BP432" s="5" t="n"/>
      <c r="BQ432" s="5" t="n"/>
      <c r="BR432" s="5" t="n"/>
      <c r="BS432" s="5" t="n"/>
      <c r="BT432" s="5" t="n"/>
      <c r="BU432" s="5" t="n"/>
      <c r="BV432" s="5" t="n"/>
      <c r="BW432" s="5" t="n"/>
      <c r="BX432" s="5" t="n"/>
      <c r="BY432" s="5" t="n"/>
      <c r="BZ432" s="5" t="n"/>
      <c r="CA432" s="5" t="n"/>
      <c r="CB432" s="5" t="n"/>
      <c r="CC432" s="5" t="n"/>
      <c r="CD432" s="5" t="n"/>
      <c r="CE432" s="5" t="n"/>
      <c r="CF432" s="5" t="n"/>
    </row>
    <row r="433" ht="16.5" customHeight="1" s="241">
      <c r="A433" s="171" t="n">
        <v>25</v>
      </c>
      <c r="B433" s="171" t="n">
        <v>44</v>
      </c>
      <c r="C433" s="171" t="inlineStr">
        <is>
          <t>Negocios NIF 5</t>
        </is>
      </c>
      <c r="D433" s="169" t="n">
        <v>66.5</v>
      </c>
      <c r="E433" s="5" t="n"/>
      <c r="F433" s="5" t="n"/>
      <c r="G433" s="5" t="n"/>
      <c r="H433" s="5" t="n"/>
      <c r="I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5" t="n"/>
      <c r="BL433" s="5" t="n"/>
      <c r="BM433" s="5" t="n"/>
      <c r="BN433" s="5" t="n"/>
      <c r="BO433" s="5" t="n"/>
      <c r="BP433" s="5" t="n"/>
      <c r="BQ433" s="5" t="n"/>
      <c r="BR433" s="5" t="n"/>
      <c r="BS433" s="5" t="n"/>
      <c r="BT433" s="5" t="n"/>
      <c r="BU433" s="5" t="n"/>
      <c r="BV433" s="5" t="n"/>
      <c r="BW433" s="5" t="n"/>
      <c r="BX433" s="5" t="n"/>
      <c r="BY433" s="5" t="n"/>
      <c r="BZ433" s="5" t="n"/>
      <c r="CA433" s="5" t="n"/>
      <c r="CB433" s="5" t="n"/>
      <c r="CC433" s="5" t="n"/>
      <c r="CD433" s="5" t="n"/>
      <c r="CE433" s="5" t="n"/>
      <c r="CF433" s="5" t="n"/>
    </row>
    <row r="434" ht="16.5" customHeight="1" s="241">
      <c r="A434" s="171" t="n">
        <v>45</v>
      </c>
      <c r="B434" s="171" t="n">
        <v>54</v>
      </c>
      <c r="C434" s="171" t="inlineStr">
        <is>
          <t>Negocios NIF 5</t>
        </is>
      </c>
      <c r="D434" s="169" t="n">
        <v>88.5</v>
      </c>
      <c r="E434" s="5" t="n"/>
      <c r="F434" s="5" t="n"/>
      <c r="G434" s="5" t="n"/>
      <c r="H434" s="5" t="n"/>
      <c r="I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  <c r="BG434" s="5" t="n"/>
      <c r="BH434" s="5" t="n"/>
      <c r="BI434" s="5" t="n"/>
      <c r="BJ434" s="5" t="n"/>
      <c r="BK434" s="5" t="n"/>
      <c r="BL434" s="5" t="n"/>
      <c r="BM434" s="5" t="n"/>
      <c r="BN434" s="5" t="n"/>
      <c r="BO434" s="5" t="n"/>
      <c r="BP434" s="5" t="n"/>
      <c r="BQ434" s="5" t="n"/>
      <c r="BR434" s="5" t="n"/>
      <c r="BS434" s="5" t="n"/>
      <c r="BT434" s="5" t="n"/>
      <c r="BU434" s="5" t="n"/>
      <c r="BV434" s="5" t="n"/>
      <c r="BW434" s="5" t="n"/>
      <c r="BX434" s="5" t="n"/>
      <c r="BY434" s="5" t="n"/>
      <c r="BZ434" s="5" t="n"/>
      <c r="CA434" s="5" t="n"/>
      <c r="CB434" s="5" t="n"/>
      <c r="CC434" s="5" t="n"/>
      <c r="CD434" s="5" t="n"/>
      <c r="CE434" s="5" t="n"/>
      <c r="CF434" s="5" t="n"/>
    </row>
    <row r="435" ht="16.5" customHeight="1" s="241">
      <c r="A435" s="171" t="n">
        <v>55</v>
      </c>
      <c r="B435" s="171" t="n">
        <v>59</v>
      </c>
      <c r="C435" s="171" t="inlineStr">
        <is>
          <t>Negocios NIF 5</t>
        </is>
      </c>
      <c r="D435" s="169" t="n">
        <v>139</v>
      </c>
      <c r="E435" s="5" t="n"/>
      <c r="F435" s="5" t="n"/>
      <c r="G435" s="5" t="n"/>
      <c r="H435" s="5" t="n"/>
      <c r="I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/>
      <c r="BV435" s="5" t="n"/>
      <c r="BW435" s="5" t="n"/>
      <c r="BX435" s="5" t="n"/>
      <c r="BY435" s="5" t="n"/>
      <c r="BZ435" s="5" t="n"/>
      <c r="CA435" s="5" t="n"/>
      <c r="CB435" s="5" t="n"/>
      <c r="CC435" s="5" t="n"/>
      <c r="CD435" s="5" t="n"/>
      <c r="CE435" s="5" t="n"/>
      <c r="CF435" s="5" t="n"/>
    </row>
    <row r="436" ht="16.5" customHeight="1" s="241">
      <c r="A436" s="171" t="n">
        <v>60</v>
      </c>
      <c r="B436" s="171" t="n">
        <v>64</v>
      </c>
      <c r="C436" s="171" t="inlineStr">
        <is>
          <t>Negocios NIF 5</t>
        </is>
      </c>
      <c r="D436" s="169" t="n">
        <v>175</v>
      </c>
      <c r="E436" s="5" t="n"/>
      <c r="F436" s="5" t="n"/>
      <c r="G436" s="5" t="n"/>
      <c r="H436" s="5" t="n"/>
      <c r="I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  <c r="BV436" s="5" t="n"/>
      <c r="BW436" s="5" t="n"/>
      <c r="BX436" s="5" t="n"/>
      <c r="BY436" s="5" t="n"/>
      <c r="BZ436" s="5" t="n"/>
      <c r="CA436" s="5" t="n"/>
      <c r="CB436" s="5" t="n"/>
      <c r="CC436" s="5" t="n"/>
      <c r="CD436" s="5" t="n"/>
      <c r="CE436" s="5" t="n"/>
      <c r="CF436" s="5" t="n"/>
    </row>
    <row r="437" ht="16.5" customHeight="1" s="241">
      <c r="A437" s="171" t="n">
        <v>65</v>
      </c>
      <c r="B437" s="171" t="n">
        <v>69</v>
      </c>
      <c r="C437" s="171" t="inlineStr">
        <is>
          <t>Negocios NIF 5</t>
        </is>
      </c>
      <c r="D437" s="169" t="n">
        <v>259</v>
      </c>
      <c r="E437" s="5" t="n"/>
      <c r="F437" s="5" t="n"/>
      <c r="G437" s="5" t="n"/>
      <c r="H437" s="5" t="n"/>
      <c r="I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R437" s="5" t="n"/>
      <c r="AS437" s="5" t="n"/>
      <c r="AT437" s="5" t="n"/>
      <c r="AU437" s="5" t="n"/>
      <c r="AV437" s="5" t="n"/>
      <c r="AW437" s="5" t="n"/>
      <c r="AX437" s="5" t="n"/>
      <c r="AY437" s="5" t="n"/>
      <c r="AZ437" s="5" t="n"/>
      <c r="BA437" s="5" t="n"/>
      <c r="BB437" s="5" t="n"/>
      <c r="BC437" s="5" t="n"/>
      <c r="BD437" s="5" t="n"/>
      <c r="BE437" s="5" t="n"/>
      <c r="BF437" s="5" t="n"/>
      <c r="BG437" s="5" t="n"/>
      <c r="BH437" s="5" t="n"/>
      <c r="BI437" s="5" t="n"/>
      <c r="BJ437" s="5" t="n"/>
      <c r="BK437" s="5" t="n"/>
      <c r="BL437" s="5" t="n"/>
      <c r="BM437" s="5" t="n"/>
      <c r="BN437" s="5" t="n"/>
      <c r="BO437" s="5" t="n"/>
      <c r="BP437" s="5" t="n"/>
      <c r="BQ437" s="5" t="n"/>
      <c r="BR437" s="5" t="n"/>
      <c r="BS437" s="5" t="n"/>
      <c r="BT437" s="5" t="n"/>
      <c r="BU437" s="5" t="n"/>
      <c r="BV437" s="5" t="n"/>
      <c r="BW437" s="5" t="n"/>
      <c r="BX437" s="5" t="n"/>
      <c r="BY437" s="5" t="n"/>
      <c r="BZ437" s="5" t="n"/>
      <c r="CA437" s="5" t="n"/>
      <c r="CB437" s="5" t="n"/>
      <c r="CC437" s="5" t="n"/>
      <c r="CD437" s="5" t="n"/>
      <c r="CE437" s="5" t="n"/>
      <c r="CF437" s="5" t="n"/>
    </row>
    <row r="438" ht="16.5" customHeight="1" s="241">
      <c r="A438" s="171" t="n">
        <v>70</v>
      </c>
      <c r="B438" s="171" t="n">
        <v>120</v>
      </c>
      <c r="C438" s="171" t="inlineStr">
        <is>
          <t>Negocios NIF 5</t>
        </is>
      </c>
      <c r="D438" s="169" t="n">
        <v>265</v>
      </c>
      <c r="E438" s="5" t="n"/>
      <c r="F438" s="5" t="n"/>
      <c r="G438" s="5" t="n"/>
      <c r="H438" s="5" t="n"/>
      <c r="I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R438" s="5" t="n"/>
      <c r="AS438" s="5" t="n"/>
      <c r="AT438" s="5" t="n"/>
      <c r="AU438" s="5" t="n"/>
      <c r="AV438" s="5" t="n"/>
      <c r="AW438" s="5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/>
      <c r="BJ438" s="5" t="n"/>
      <c r="BK438" s="5" t="n"/>
      <c r="BL438" s="5" t="n"/>
      <c r="BM438" s="5" t="n"/>
      <c r="BN438" s="5" t="n"/>
      <c r="BO438" s="5" t="n"/>
      <c r="BP438" s="5" t="n"/>
      <c r="BQ438" s="5" t="n"/>
      <c r="BR438" s="5" t="n"/>
      <c r="BS438" s="5" t="n"/>
      <c r="BT438" s="5" t="n"/>
      <c r="BU438" s="5" t="n"/>
      <c r="BV438" s="5" t="n"/>
      <c r="BW438" s="5" t="n"/>
      <c r="BX438" s="5" t="n"/>
      <c r="BY438" s="5" t="n"/>
      <c r="BZ438" s="5" t="n"/>
      <c r="CA438" s="5" t="n"/>
      <c r="CB438" s="5" t="n"/>
      <c r="CC438" s="5" t="n"/>
      <c r="CD438" s="5" t="n"/>
      <c r="CE438" s="5" t="n"/>
      <c r="CF438" s="5" t="n"/>
    </row>
    <row r="439" ht="16.5" customHeight="1" s="241">
      <c r="A439" s="171" t="n">
        <v>0</v>
      </c>
      <c r="B439" s="171" t="n">
        <v>24</v>
      </c>
      <c r="C439" s="171" t="inlineStr">
        <is>
          <t>Negocios NIF 6</t>
        </is>
      </c>
      <c r="D439" s="169" t="n">
        <v>61.5</v>
      </c>
      <c r="E439" s="5" t="n"/>
      <c r="F439" s="5" t="n"/>
      <c r="G439" s="5" t="n"/>
      <c r="H439" s="5" t="n"/>
      <c r="I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BV439" s="5" t="n"/>
      <c r="BW439" s="5" t="n"/>
      <c r="BX439" s="5" t="n"/>
      <c r="BY439" s="5" t="n"/>
      <c r="BZ439" s="5" t="n"/>
      <c r="CA439" s="5" t="n"/>
      <c r="CB439" s="5" t="n"/>
      <c r="CC439" s="5" t="n"/>
      <c r="CD439" s="5" t="n"/>
      <c r="CE439" s="5" t="n"/>
      <c r="CF439" s="5" t="n"/>
    </row>
    <row r="440" ht="16.5" customHeight="1" s="241">
      <c r="A440" s="171" t="n">
        <v>25</v>
      </c>
      <c r="B440" s="171" t="n">
        <v>44</v>
      </c>
      <c r="C440" s="171" t="inlineStr">
        <is>
          <t>Negocios NIF 6</t>
        </is>
      </c>
      <c r="D440" s="169" t="n">
        <v>68</v>
      </c>
      <c r="E440" s="5" t="n"/>
      <c r="F440" s="5" t="n"/>
      <c r="G440" s="5" t="n"/>
      <c r="H440" s="5" t="n"/>
      <c r="I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5" t="n"/>
      <c r="BL440" s="5" t="n"/>
      <c r="BM440" s="5" t="n"/>
      <c r="BN440" s="5" t="n"/>
      <c r="BO440" s="5" t="n"/>
      <c r="BP440" s="5" t="n"/>
      <c r="BQ440" s="5" t="n"/>
      <c r="BR440" s="5" t="n"/>
      <c r="BS440" s="5" t="n"/>
      <c r="BT440" s="5" t="n"/>
      <c r="BU440" s="5" t="n"/>
      <c r="BV440" s="5" t="n"/>
      <c r="BW440" s="5" t="n"/>
      <c r="BX440" s="5" t="n"/>
      <c r="BY440" s="5" t="n"/>
      <c r="BZ440" s="5" t="n"/>
      <c r="CA440" s="5" t="n"/>
      <c r="CB440" s="5" t="n"/>
      <c r="CC440" s="5" t="n"/>
      <c r="CD440" s="5" t="n"/>
      <c r="CE440" s="5" t="n"/>
      <c r="CF440" s="5" t="n"/>
    </row>
    <row r="441" ht="16.5" customHeight="1" s="241">
      <c r="A441" s="171" t="n">
        <v>45</v>
      </c>
      <c r="B441" s="171" t="n">
        <v>54</v>
      </c>
      <c r="C441" s="171" t="inlineStr">
        <is>
          <t>Negocios NIF 6</t>
        </is>
      </c>
      <c r="D441" s="169" t="n">
        <v>89.5</v>
      </c>
      <c r="E441" s="5" t="n"/>
      <c r="F441" s="5" t="n"/>
      <c r="G441" s="5" t="n"/>
      <c r="H441" s="5" t="n"/>
      <c r="I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R441" s="5" t="n"/>
      <c r="AS441" s="5" t="n"/>
      <c r="AT441" s="5" t="n"/>
      <c r="AU441" s="5" t="n"/>
      <c r="AV441" s="5" t="n"/>
      <c r="AW441" s="5" t="n"/>
      <c r="AX441" s="5" t="n"/>
      <c r="AY441" s="5" t="n"/>
      <c r="AZ441" s="5" t="n"/>
      <c r="BA441" s="5" t="n"/>
      <c r="BB441" s="5" t="n"/>
      <c r="BC441" s="5" t="n"/>
      <c r="BD441" s="5" t="n"/>
      <c r="BE441" s="5" t="n"/>
      <c r="BF441" s="5" t="n"/>
      <c r="BG441" s="5" t="n"/>
      <c r="BH441" s="5" t="n"/>
      <c r="BI441" s="5" t="n"/>
      <c r="BJ441" s="5" t="n"/>
      <c r="BK441" s="5" t="n"/>
      <c r="BL441" s="5" t="n"/>
      <c r="BM441" s="5" t="n"/>
      <c r="BN441" s="5" t="n"/>
      <c r="BO441" s="5" t="n"/>
      <c r="BP441" s="5" t="n"/>
      <c r="BQ441" s="5" t="n"/>
      <c r="BR441" s="5" t="n"/>
      <c r="BS441" s="5" t="n"/>
      <c r="BT441" s="5" t="n"/>
      <c r="BU441" s="5" t="n"/>
      <c r="BV441" s="5" t="n"/>
      <c r="BW441" s="5" t="n"/>
      <c r="BX441" s="5" t="n"/>
      <c r="BY441" s="5" t="n"/>
      <c r="BZ441" s="5" t="n"/>
      <c r="CA441" s="5" t="n"/>
      <c r="CB441" s="5" t="n"/>
      <c r="CC441" s="5" t="n"/>
      <c r="CD441" s="5" t="n"/>
      <c r="CE441" s="5" t="n"/>
      <c r="CF441" s="5" t="n"/>
    </row>
    <row r="442" ht="16.5" customHeight="1" s="241">
      <c r="A442" s="171" t="n">
        <v>55</v>
      </c>
      <c r="B442" s="171" t="n">
        <v>59</v>
      </c>
      <c r="C442" s="171" t="inlineStr">
        <is>
          <t>Negocios NIF 6</t>
        </is>
      </c>
      <c r="D442" s="169" t="n">
        <v>139.5</v>
      </c>
      <c r="E442" s="5" t="n"/>
      <c r="F442" s="5" t="n"/>
      <c r="G442" s="5" t="n"/>
      <c r="H442" s="5" t="n"/>
      <c r="I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R442" s="5" t="n"/>
      <c r="AS442" s="5" t="n"/>
      <c r="AT442" s="5" t="n"/>
      <c r="AU442" s="5" t="n"/>
      <c r="AV442" s="5" t="n"/>
      <c r="AW442" s="5" t="n"/>
      <c r="AX442" s="5" t="n"/>
      <c r="AY442" s="5" t="n"/>
      <c r="AZ442" s="5" t="n"/>
      <c r="BA442" s="5" t="n"/>
      <c r="BB442" s="5" t="n"/>
      <c r="BC442" s="5" t="n"/>
      <c r="BD442" s="5" t="n"/>
      <c r="BE442" s="5" t="n"/>
      <c r="BF442" s="5" t="n"/>
      <c r="BG442" s="5" t="n"/>
      <c r="BH442" s="5" t="n"/>
      <c r="BI442" s="5" t="n"/>
      <c r="BJ442" s="5" t="n"/>
      <c r="BK442" s="5" t="n"/>
      <c r="BL442" s="5" t="n"/>
      <c r="BM442" s="5" t="n"/>
      <c r="BN442" s="5" t="n"/>
      <c r="BO442" s="5" t="n"/>
      <c r="BP442" s="5" t="n"/>
      <c r="BQ442" s="5" t="n"/>
      <c r="BR442" s="5" t="n"/>
      <c r="BS442" s="5" t="n"/>
      <c r="BT442" s="5" t="n"/>
      <c r="BU442" s="5" t="n"/>
      <c r="BV442" s="5" t="n"/>
      <c r="BW442" s="5" t="n"/>
      <c r="BX442" s="5" t="n"/>
      <c r="BY442" s="5" t="n"/>
      <c r="BZ442" s="5" t="n"/>
      <c r="CA442" s="5" t="n"/>
      <c r="CB442" s="5" t="n"/>
      <c r="CC442" s="5" t="n"/>
      <c r="CD442" s="5" t="n"/>
      <c r="CE442" s="5" t="n"/>
      <c r="CF442" s="5" t="n"/>
    </row>
    <row r="443" ht="16.5" customHeight="1" s="241">
      <c r="A443" s="171" t="n">
        <v>60</v>
      </c>
      <c r="B443" s="171" t="n">
        <v>64</v>
      </c>
      <c r="C443" s="171" t="inlineStr">
        <is>
          <t>Negocios NIF 6</t>
        </is>
      </c>
      <c r="D443" s="169" t="n">
        <v>176</v>
      </c>
      <c r="E443" s="5" t="n"/>
      <c r="F443" s="5" t="n"/>
      <c r="G443" s="5" t="n"/>
      <c r="H443" s="5" t="n"/>
      <c r="I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/>
      <c r="BV443" s="5" t="n"/>
      <c r="BW443" s="5" t="n"/>
      <c r="BX443" s="5" t="n"/>
      <c r="BY443" s="5" t="n"/>
      <c r="BZ443" s="5" t="n"/>
      <c r="CA443" s="5" t="n"/>
      <c r="CB443" s="5" t="n"/>
      <c r="CC443" s="5" t="n"/>
      <c r="CD443" s="5" t="n"/>
      <c r="CE443" s="5" t="n"/>
      <c r="CF443" s="5" t="n"/>
    </row>
    <row r="444" ht="16.5" customHeight="1" s="241">
      <c r="A444" s="171" t="n">
        <v>65</v>
      </c>
      <c r="B444" s="171" t="n">
        <v>69</v>
      </c>
      <c r="C444" s="171" t="inlineStr">
        <is>
          <t>Negocios NIF 6</t>
        </is>
      </c>
      <c r="D444" s="169" t="n">
        <v>264</v>
      </c>
      <c r="E444" s="5" t="n"/>
      <c r="F444" s="5" t="n"/>
      <c r="G444" s="5" t="n"/>
      <c r="H444" s="5" t="n"/>
      <c r="I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R444" s="5" t="n"/>
      <c r="AS444" s="5" t="n"/>
      <c r="AT444" s="5" t="n"/>
      <c r="AU444" s="5" t="n"/>
      <c r="AV444" s="5" t="n"/>
      <c r="AW444" s="5" t="n"/>
      <c r="AX444" s="5" t="n"/>
      <c r="AY444" s="5" t="n"/>
      <c r="AZ444" s="5" t="n"/>
      <c r="BA444" s="5" t="n"/>
      <c r="BB444" s="5" t="n"/>
      <c r="BC444" s="5" t="n"/>
      <c r="BD444" s="5" t="n"/>
      <c r="BE444" s="5" t="n"/>
      <c r="BF444" s="5" t="n"/>
      <c r="BG444" s="5" t="n"/>
      <c r="BH444" s="5" t="n"/>
      <c r="BI444" s="5" t="n"/>
      <c r="BJ444" s="5" t="n"/>
      <c r="BK444" s="5" t="n"/>
      <c r="BL444" s="5" t="n"/>
      <c r="BM444" s="5" t="n"/>
      <c r="BN444" s="5" t="n"/>
      <c r="BO444" s="5" t="n"/>
      <c r="BP444" s="5" t="n"/>
      <c r="BQ444" s="5" t="n"/>
      <c r="BR444" s="5" t="n"/>
      <c r="BS444" s="5" t="n"/>
      <c r="BT444" s="5" t="n"/>
      <c r="BU444" s="5" t="n"/>
      <c r="BV444" s="5" t="n"/>
      <c r="BW444" s="5" t="n"/>
      <c r="BX444" s="5" t="n"/>
      <c r="BY444" s="5" t="n"/>
      <c r="BZ444" s="5" t="n"/>
      <c r="CA444" s="5" t="n"/>
      <c r="CB444" s="5" t="n"/>
      <c r="CC444" s="5" t="n"/>
      <c r="CD444" s="5" t="n"/>
      <c r="CE444" s="5" t="n"/>
      <c r="CF444" s="5" t="n"/>
    </row>
    <row r="445" ht="16.5" customHeight="1" s="241">
      <c r="A445" s="171" t="n">
        <v>70</v>
      </c>
      <c r="B445" s="171" t="n">
        <v>120</v>
      </c>
      <c r="C445" s="171" t="inlineStr">
        <is>
          <t>Negocios NIF 6</t>
        </is>
      </c>
      <c r="D445" s="169" t="n">
        <v>275</v>
      </c>
      <c r="E445" s="5" t="n"/>
      <c r="F445" s="5" t="n"/>
      <c r="G445" s="5" t="n"/>
      <c r="H445" s="5" t="n"/>
      <c r="I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R445" s="5" t="n"/>
      <c r="AS445" s="5" t="n"/>
      <c r="AT445" s="5" t="n"/>
      <c r="AU445" s="5" t="n"/>
      <c r="AV445" s="5" t="n"/>
      <c r="AW445" s="5" t="n"/>
      <c r="AX445" s="5" t="n"/>
      <c r="AY445" s="5" t="n"/>
      <c r="AZ445" s="5" t="n"/>
      <c r="BA445" s="5" t="n"/>
      <c r="BB445" s="5" t="n"/>
      <c r="BC445" s="5" t="n"/>
      <c r="BD445" s="5" t="n"/>
      <c r="BE445" s="5" t="n"/>
      <c r="BF445" s="5" t="n"/>
      <c r="BG445" s="5" t="n"/>
      <c r="BH445" s="5" t="n"/>
      <c r="BI445" s="5" t="n"/>
      <c r="BJ445" s="5" t="n"/>
      <c r="BK445" s="5" t="n"/>
      <c r="BL445" s="5" t="n"/>
      <c r="BM445" s="5" t="n"/>
      <c r="BN445" s="5" t="n"/>
      <c r="BO445" s="5" t="n"/>
      <c r="BP445" s="5" t="n"/>
      <c r="BQ445" s="5" t="n"/>
      <c r="BR445" s="5" t="n"/>
      <c r="BS445" s="5" t="n"/>
      <c r="BT445" s="5" t="n"/>
      <c r="BU445" s="5" t="n"/>
      <c r="BV445" s="5" t="n"/>
      <c r="BW445" s="5" t="n"/>
      <c r="BX445" s="5" t="n"/>
      <c r="BY445" s="5" t="n"/>
      <c r="BZ445" s="5" t="n"/>
      <c r="CA445" s="5" t="n"/>
      <c r="CB445" s="5" t="n"/>
      <c r="CC445" s="5" t="n"/>
      <c r="CD445" s="5" t="n"/>
      <c r="CE445" s="5" t="n"/>
      <c r="CF445" s="5" t="n"/>
    </row>
    <row r="446" ht="16.5" customHeight="1" s="241">
      <c r="A446" s="171" t="n">
        <v>0</v>
      </c>
      <c r="B446" s="171" t="n">
        <v>24</v>
      </c>
      <c r="C446" s="171" t="inlineStr">
        <is>
          <t>Extra Negocios NIF 1</t>
        </is>
      </c>
      <c r="D446" s="169" t="n"/>
      <c r="E446" s="5" t="n"/>
      <c r="F446" s="5" t="n"/>
      <c r="G446" s="5" t="n"/>
      <c r="H446" s="5" t="n"/>
      <c r="I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  <c r="BV446" s="5" t="n"/>
      <c r="BW446" s="5" t="n"/>
      <c r="BX446" s="5" t="n"/>
      <c r="BY446" s="5" t="n"/>
      <c r="BZ446" s="5" t="n"/>
      <c r="CA446" s="5" t="n"/>
      <c r="CB446" s="5" t="n"/>
      <c r="CC446" s="5" t="n"/>
      <c r="CD446" s="5" t="n"/>
      <c r="CE446" s="5" t="n"/>
      <c r="CF446" s="5" t="n"/>
    </row>
    <row r="447" ht="16.5" customHeight="1" s="241">
      <c r="A447" s="171" t="n">
        <v>25</v>
      </c>
      <c r="B447" s="171" t="n">
        <v>44</v>
      </c>
      <c r="C447" s="171" t="inlineStr">
        <is>
          <t>Extra Negocios NIF 1</t>
        </is>
      </c>
      <c r="D447" s="169" t="n"/>
      <c r="E447" s="5" t="n"/>
      <c r="F447" s="5" t="n"/>
      <c r="G447" s="5" t="n"/>
      <c r="H447" s="5" t="n"/>
      <c r="I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5" t="n"/>
      <c r="BL447" s="5" t="n"/>
      <c r="BM447" s="5" t="n"/>
      <c r="BN447" s="5" t="n"/>
      <c r="BO447" s="5" t="n"/>
      <c r="BP447" s="5" t="n"/>
      <c r="BQ447" s="5" t="n"/>
      <c r="BR447" s="5" t="n"/>
      <c r="BS447" s="5" t="n"/>
      <c r="BT447" s="5" t="n"/>
      <c r="BU447" s="5" t="n"/>
      <c r="BV447" s="5" t="n"/>
      <c r="BW447" s="5" t="n"/>
      <c r="BX447" s="5" t="n"/>
      <c r="BY447" s="5" t="n"/>
      <c r="BZ447" s="5" t="n"/>
      <c r="CA447" s="5" t="n"/>
      <c r="CB447" s="5" t="n"/>
      <c r="CC447" s="5" t="n"/>
      <c r="CD447" s="5" t="n"/>
      <c r="CE447" s="5" t="n"/>
      <c r="CF447" s="5" t="n"/>
    </row>
    <row r="448" ht="16.5" customHeight="1" s="241">
      <c r="A448" s="171" t="n">
        <v>45</v>
      </c>
      <c r="B448" s="171" t="n">
        <v>54</v>
      </c>
      <c r="C448" s="171" t="inlineStr">
        <is>
          <t>Extra Negocios NIF 1</t>
        </is>
      </c>
      <c r="D448" s="169" t="n"/>
      <c r="E448" s="5" t="n"/>
      <c r="F448" s="5" t="n"/>
      <c r="G448" s="5" t="n"/>
      <c r="H448" s="5" t="n"/>
      <c r="I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R448" s="5" t="n"/>
      <c r="AS448" s="5" t="n"/>
      <c r="AT448" s="5" t="n"/>
      <c r="AU448" s="5" t="n"/>
      <c r="AV448" s="5" t="n"/>
      <c r="AW448" s="5" t="n"/>
      <c r="AX448" s="5" t="n"/>
      <c r="AY448" s="5" t="n"/>
      <c r="AZ448" s="5" t="n"/>
      <c r="BA448" s="5" t="n"/>
      <c r="BB448" s="5" t="n"/>
      <c r="BC448" s="5" t="n"/>
      <c r="BD448" s="5" t="n"/>
      <c r="BE448" s="5" t="n"/>
      <c r="BF448" s="5" t="n"/>
      <c r="BG448" s="5" t="n"/>
      <c r="BH448" s="5" t="n"/>
      <c r="BI448" s="5" t="n"/>
      <c r="BJ448" s="5" t="n"/>
      <c r="BK448" s="5" t="n"/>
      <c r="BL448" s="5" t="n"/>
      <c r="BM448" s="5" t="n"/>
      <c r="BN448" s="5" t="n"/>
      <c r="BO448" s="5" t="n"/>
      <c r="BP448" s="5" t="n"/>
      <c r="BQ448" s="5" t="n"/>
      <c r="BR448" s="5" t="n"/>
      <c r="BS448" s="5" t="n"/>
      <c r="BT448" s="5" t="n"/>
      <c r="BU448" s="5" t="n"/>
      <c r="BV448" s="5" t="n"/>
      <c r="BW448" s="5" t="n"/>
      <c r="BX448" s="5" t="n"/>
      <c r="BY448" s="5" t="n"/>
      <c r="BZ448" s="5" t="n"/>
      <c r="CA448" s="5" t="n"/>
      <c r="CB448" s="5" t="n"/>
      <c r="CC448" s="5" t="n"/>
      <c r="CD448" s="5" t="n"/>
      <c r="CE448" s="5" t="n"/>
      <c r="CF448" s="5" t="n"/>
    </row>
    <row r="449" ht="16.5" customHeight="1" s="241">
      <c r="A449" s="171" t="n">
        <v>55</v>
      </c>
      <c r="B449" s="171" t="n">
        <v>59</v>
      </c>
      <c r="C449" s="171" t="inlineStr">
        <is>
          <t>Extra Negocios NIF 1</t>
        </is>
      </c>
      <c r="D449" s="169" t="n"/>
      <c r="E449" s="5" t="n"/>
      <c r="F449" s="5" t="n"/>
      <c r="G449" s="5" t="n"/>
      <c r="H449" s="5" t="n"/>
      <c r="I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5" t="n"/>
      <c r="BL449" s="5" t="n"/>
      <c r="BM449" s="5" t="n"/>
      <c r="BN449" s="5" t="n"/>
      <c r="BO449" s="5" t="n"/>
      <c r="BP449" s="5" t="n"/>
      <c r="BQ449" s="5" t="n"/>
      <c r="BR449" s="5" t="n"/>
      <c r="BS449" s="5" t="n"/>
      <c r="BT449" s="5" t="n"/>
      <c r="BU449" s="5" t="n"/>
      <c r="BV449" s="5" t="n"/>
      <c r="BW449" s="5" t="n"/>
      <c r="BX449" s="5" t="n"/>
      <c r="BY449" s="5" t="n"/>
      <c r="BZ449" s="5" t="n"/>
      <c r="CA449" s="5" t="n"/>
      <c r="CB449" s="5" t="n"/>
      <c r="CC449" s="5" t="n"/>
      <c r="CD449" s="5" t="n"/>
      <c r="CE449" s="5" t="n"/>
      <c r="CF449" s="5" t="n"/>
    </row>
    <row r="450" ht="16.5" customHeight="1" s="241">
      <c r="A450" s="171" t="n">
        <v>60</v>
      </c>
      <c r="B450" s="171" t="n">
        <v>64</v>
      </c>
      <c r="C450" s="171" t="inlineStr">
        <is>
          <t>Extra Negocios NIF 1</t>
        </is>
      </c>
      <c r="D450" s="169" t="n"/>
      <c r="E450" s="5" t="n"/>
      <c r="F450" s="5" t="n"/>
      <c r="G450" s="5" t="n"/>
      <c r="H450" s="5" t="n"/>
      <c r="I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  <c r="AY450" s="5" t="n"/>
      <c r="AZ450" s="5" t="n"/>
      <c r="BA450" s="5" t="n"/>
      <c r="BB450" s="5" t="n"/>
      <c r="BC450" s="5" t="n"/>
      <c r="BD450" s="5" t="n"/>
      <c r="BE450" s="5" t="n"/>
      <c r="BF450" s="5" t="n"/>
      <c r="BG450" s="5" t="n"/>
      <c r="BH450" s="5" t="n"/>
      <c r="BI450" s="5" t="n"/>
      <c r="BJ450" s="5" t="n"/>
      <c r="BK450" s="5" t="n"/>
      <c r="BL450" s="5" t="n"/>
      <c r="BM450" s="5" t="n"/>
      <c r="BN450" s="5" t="n"/>
      <c r="BO450" s="5" t="n"/>
      <c r="BP450" s="5" t="n"/>
      <c r="BQ450" s="5" t="n"/>
      <c r="BR450" s="5" t="n"/>
      <c r="BS450" s="5" t="n"/>
      <c r="BT450" s="5" t="n"/>
      <c r="BU450" s="5" t="n"/>
      <c r="BV450" s="5" t="n"/>
      <c r="BW450" s="5" t="n"/>
      <c r="BX450" s="5" t="n"/>
      <c r="BY450" s="5" t="n"/>
      <c r="BZ450" s="5" t="n"/>
      <c r="CA450" s="5" t="n"/>
      <c r="CB450" s="5" t="n"/>
      <c r="CC450" s="5" t="n"/>
      <c r="CD450" s="5" t="n"/>
      <c r="CE450" s="5" t="n"/>
      <c r="CF450" s="5" t="n"/>
    </row>
    <row r="451" ht="16.5" customHeight="1" s="241">
      <c r="A451" s="171" t="n">
        <v>65</v>
      </c>
      <c r="B451" s="171" t="n">
        <v>69</v>
      </c>
      <c r="C451" s="171" t="inlineStr">
        <is>
          <t>Extra Negocios NIF 1</t>
        </is>
      </c>
      <c r="D451" s="170" t="n"/>
      <c r="E451" s="5" t="n"/>
      <c r="F451" s="5" t="n"/>
      <c r="G451" s="5" t="n"/>
      <c r="H451" s="5" t="n"/>
      <c r="I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  <c r="BA451" s="5" t="n"/>
      <c r="BB451" s="5" t="n"/>
      <c r="BC451" s="5" t="n"/>
      <c r="BD451" s="5" t="n"/>
      <c r="BE451" s="5" t="n"/>
      <c r="BF451" s="5" t="n"/>
      <c r="BG451" s="5" t="n"/>
      <c r="BH451" s="5" t="n"/>
      <c r="BI451" s="5" t="n"/>
      <c r="BJ451" s="5" t="n"/>
      <c r="BK451" s="5" t="n"/>
      <c r="BL451" s="5" t="n"/>
      <c r="BM451" s="5" t="n"/>
      <c r="BN451" s="5" t="n"/>
      <c r="BO451" s="5" t="n"/>
      <c r="BP451" s="5" t="n"/>
      <c r="BQ451" s="5" t="n"/>
      <c r="BR451" s="5" t="n"/>
      <c r="BS451" s="5" t="n"/>
      <c r="BT451" s="5" t="n"/>
      <c r="BU451" s="5" t="n"/>
      <c r="BV451" s="5" t="n"/>
      <c r="BW451" s="5" t="n"/>
      <c r="BX451" s="5" t="n"/>
      <c r="BY451" s="5" t="n"/>
      <c r="BZ451" s="5" t="n"/>
      <c r="CA451" s="5" t="n"/>
      <c r="CB451" s="5" t="n"/>
      <c r="CC451" s="5" t="n"/>
      <c r="CD451" s="5" t="n"/>
      <c r="CE451" s="5" t="n"/>
      <c r="CF451" s="5" t="n"/>
    </row>
    <row r="452" ht="16.5" customHeight="1" s="241">
      <c r="A452" s="171" t="n">
        <v>70</v>
      </c>
      <c r="B452" s="171" t="n">
        <v>120</v>
      </c>
      <c r="C452" s="171" t="inlineStr">
        <is>
          <t>Extra Negocios NIF 1</t>
        </is>
      </c>
      <c r="D452" s="170" t="n"/>
      <c r="E452" s="5" t="n"/>
      <c r="F452" s="5" t="n"/>
      <c r="G452" s="5" t="n"/>
      <c r="H452" s="5" t="n"/>
      <c r="I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  <c r="BA452" s="5" t="n"/>
      <c r="BB452" s="5" t="n"/>
      <c r="BC452" s="5" t="n"/>
      <c r="BD452" s="5" t="n"/>
      <c r="BE452" s="5" t="n"/>
      <c r="BF452" s="5" t="n"/>
      <c r="BG452" s="5" t="n"/>
      <c r="BH452" s="5" t="n"/>
      <c r="BI452" s="5" t="n"/>
      <c r="BJ452" s="5" t="n"/>
      <c r="BK452" s="5" t="n"/>
      <c r="BL452" s="5" t="n"/>
      <c r="BM452" s="5" t="n"/>
      <c r="BN452" s="5" t="n"/>
      <c r="BO452" s="5" t="n"/>
      <c r="BP452" s="5" t="n"/>
      <c r="BQ452" s="5" t="n"/>
      <c r="BR452" s="5" t="n"/>
      <c r="BS452" s="5" t="n"/>
      <c r="BT452" s="5" t="n"/>
      <c r="BU452" s="5" t="n"/>
      <c r="BV452" s="5" t="n"/>
      <c r="BW452" s="5" t="n"/>
      <c r="BX452" s="5" t="n"/>
      <c r="BY452" s="5" t="n"/>
      <c r="BZ452" s="5" t="n"/>
      <c r="CA452" s="5" t="n"/>
      <c r="CB452" s="5" t="n"/>
      <c r="CC452" s="5" t="n"/>
      <c r="CD452" s="5" t="n"/>
      <c r="CE452" s="5" t="n"/>
      <c r="CF452" s="5" t="n"/>
    </row>
    <row r="453" ht="16.5" customHeight="1" s="241">
      <c r="A453" s="171" t="n">
        <v>0</v>
      </c>
      <c r="B453" s="171" t="n">
        <v>24</v>
      </c>
      <c r="C453" s="171" t="inlineStr">
        <is>
          <t>Extra Negocios NIF 2</t>
        </is>
      </c>
      <c r="D453" s="170" t="n"/>
      <c r="E453" s="5" t="n"/>
      <c r="F453" s="5" t="n"/>
      <c r="G453" s="5" t="n"/>
      <c r="H453" s="5" t="n"/>
      <c r="I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  <c r="AY453" s="5" t="n"/>
      <c r="AZ453" s="5" t="n"/>
      <c r="BA453" s="5" t="n"/>
      <c r="BB453" s="5" t="n"/>
      <c r="BC453" s="5" t="n"/>
      <c r="BD453" s="5" t="n"/>
      <c r="BE453" s="5" t="n"/>
      <c r="BF453" s="5" t="n"/>
      <c r="BG453" s="5" t="n"/>
      <c r="BH453" s="5" t="n"/>
      <c r="BI453" s="5" t="n"/>
      <c r="BJ453" s="5" t="n"/>
      <c r="BK453" s="5" t="n"/>
      <c r="BL453" s="5" t="n"/>
      <c r="BM453" s="5" t="n"/>
      <c r="BN453" s="5" t="n"/>
      <c r="BO453" s="5" t="n"/>
      <c r="BP453" s="5" t="n"/>
      <c r="BQ453" s="5" t="n"/>
      <c r="BR453" s="5" t="n"/>
      <c r="BS453" s="5" t="n"/>
      <c r="BT453" s="5" t="n"/>
      <c r="BU453" s="5" t="n"/>
      <c r="BV453" s="5" t="n"/>
      <c r="BW453" s="5" t="n"/>
      <c r="BX453" s="5" t="n"/>
      <c r="BY453" s="5" t="n"/>
      <c r="BZ453" s="5" t="n"/>
      <c r="CA453" s="5" t="n"/>
      <c r="CB453" s="5" t="n"/>
      <c r="CC453" s="5" t="n"/>
      <c r="CD453" s="5" t="n"/>
      <c r="CE453" s="5" t="n"/>
      <c r="CF453" s="5" t="n"/>
    </row>
    <row r="454" ht="16.5" customHeight="1" s="241">
      <c r="A454" s="171" t="n">
        <v>25</v>
      </c>
      <c r="B454" s="171" t="n">
        <v>44</v>
      </c>
      <c r="C454" s="171" t="inlineStr">
        <is>
          <t>Extra Negocios NIF 2</t>
        </is>
      </c>
      <c r="D454" s="170" t="n"/>
      <c r="E454" s="5" t="n"/>
      <c r="F454" s="5" t="n"/>
      <c r="G454" s="5" t="n"/>
      <c r="H454" s="5" t="n"/>
      <c r="I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  <c r="AY454" s="5" t="n"/>
      <c r="AZ454" s="5" t="n"/>
      <c r="BA454" s="5" t="n"/>
      <c r="BB454" s="5" t="n"/>
      <c r="BC454" s="5" t="n"/>
      <c r="BD454" s="5" t="n"/>
      <c r="BE454" s="5" t="n"/>
      <c r="BF454" s="5" t="n"/>
      <c r="BG454" s="5" t="n"/>
      <c r="BH454" s="5" t="n"/>
      <c r="BI454" s="5" t="n"/>
      <c r="BJ454" s="5" t="n"/>
      <c r="BK454" s="5" t="n"/>
      <c r="BL454" s="5" t="n"/>
      <c r="BM454" s="5" t="n"/>
      <c r="BN454" s="5" t="n"/>
      <c r="BO454" s="5" t="n"/>
      <c r="BP454" s="5" t="n"/>
      <c r="BQ454" s="5" t="n"/>
      <c r="BR454" s="5" t="n"/>
      <c r="BS454" s="5" t="n"/>
      <c r="BT454" s="5" t="n"/>
      <c r="BU454" s="5" t="n"/>
      <c r="BV454" s="5" t="n"/>
      <c r="BW454" s="5" t="n"/>
      <c r="BX454" s="5" t="n"/>
      <c r="BY454" s="5" t="n"/>
      <c r="BZ454" s="5" t="n"/>
      <c r="CA454" s="5" t="n"/>
      <c r="CB454" s="5" t="n"/>
      <c r="CC454" s="5" t="n"/>
      <c r="CD454" s="5" t="n"/>
      <c r="CE454" s="5" t="n"/>
      <c r="CF454" s="5" t="n"/>
    </row>
    <row r="455" ht="16.5" customHeight="1" s="241">
      <c r="A455" s="171" t="n">
        <v>45</v>
      </c>
      <c r="B455" s="171" t="n">
        <v>54</v>
      </c>
      <c r="C455" s="171" t="inlineStr">
        <is>
          <t>Extra Negocios NIF 2</t>
        </is>
      </c>
      <c r="D455" s="170" t="n"/>
      <c r="E455" s="5" t="n"/>
      <c r="F455" s="5" t="n"/>
      <c r="G455" s="5" t="n"/>
      <c r="H455" s="5" t="n"/>
      <c r="I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  <c r="BG455" s="5" t="n"/>
      <c r="BH455" s="5" t="n"/>
      <c r="BI455" s="5" t="n"/>
      <c r="BJ455" s="5" t="n"/>
      <c r="BK455" s="5" t="n"/>
      <c r="BL455" s="5" t="n"/>
      <c r="BM455" s="5" t="n"/>
      <c r="BN455" s="5" t="n"/>
      <c r="BO455" s="5" t="n"/>
      <c r="BP455" s="5" t="n"/>
      <c r="BQ455" s="5" t="n"/>
      <c r="BR455" s="5" t="n"/>
      <c r="BS455" s="5" t="n"/>
      <c r="BT455" s="5" t="n"/>
      <c r="BU455" s="5" t="n"/>
      <c r="BV455" s="5" t="n"/>
      <c r="BW455" s="5" t="n"/>
      <c r="BX455" s="5" t="n"/>
      <c r="BY455" s="5" t="n"/>
      <c r="BZ455" s="5" t="n"/>
      <c r="CA455" s="5" t="n"/>
      <c r="CB455" s="5" t="n"/>
      <c r="CC455" s="5" t="n"/>
      <c r="CD455" s="5" t="n"/>
      <c r="CE455" s="5" t="n"/>
      <c r="CF455" s="5" t="n"/>
    </row>
    <row r="456" ht="16.5" customHeight="1" s="241">
      <c r="A456" s="171" t="n">
        <v>55</v>
      </c>
      <c r="B456" s="171" t="n">
        <v>59</v>
      </c>
      <c r="C456" s="171" t="inlineStr">
        <is>
          <t>Extra Negocios NIF 2</t>
        </is>
      </c>
      <c r="D456" s="170" t="n"/>
      <c r="E456" s="5" t="n"/>
      <c r="F456" s="5" t="n"/>
      <c r="G456" s="5" t="n"/>
      <c r="H456" s="5" t="n"/>
      <c r="I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5" t="n"/>
      <c r="BL456" s="5" t="n"/>
      <c r="BM456" s="5" t="n"/>
      <c r="BN456" s="5" t="n"/>
      <c r="BO456" s="5" t="n"/>
      <c r="BP456" s="5" t="n"/>
      <c r="BQ456" s="5" t="n"/>
      <c r="BR456" s="5" t="n"/>
      <c r="BS456" s="5" t="n"/>
      <c r="BT456" s="5" t="n"/>
      <c r="BU456" s="5" t="n"/>
      <c r="BV456" s="5" t="n"/>
      <c r="BW456" s="5" t="n"/>
      <c r="BX456" s="5" t="n"/>
      <c r="BY456" s="5" t="n"/>
      <c r="BZ456" s="5" t="n"/>
      <c r="CA456" s="5" t="n"/>
      <c r="CB456" s="5" t="n"/>
      <c r="CC456" s="5" t="n"/>
      <c r="CD456" s="5" t="n"/>
      <c r="CE456" s="5" t="n"/>
      <c r="CF456" s="5" t="n"/>
    </row>
    <row r="457" ht="16.5" customHeight="1" s="241">
      <c r="A457" s="171" t="n">
        <v>60</v>
      </c>
      <c r="B457" s="171" t="n">
        <v>64</v>
      </c>
      <c r="C457" s="171" t="inlineStr">
        <is>
          <t>Extra Negocios NIF 2</t>
        </is>
      </c>
      <c r="D457" s="170" t="n"/>
      <c r="E457" s="5" t="n"/>
      <c r="F457" s="5" t="n"/>
      <c r="G457" s="5" t="n"/>
      <c r="H457" s="5" t="n"/>
      <c r="I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  <c r="BA457" s="5" t="n"/>
      <c r="BB457" s="5" t="n"/>
      <c r="BC457" s="5" t="n"/>
      <c r="BD457" s="5" t="n"/>
      <c r="BE457" s="5" t="n"/>
      <c r="BF457" s="5" t="n"/>
      <c r="BG457" s="5" t="n"/>
      <c r="BH457" s="5" t="n"/>
      <c r="BI457" s="5" t="n"/>
      <c r="BJ457" s="5" t="n"/>
      <c r="BK457" s="5" t="n"/>
      <c r="BL457" s="5" t="n"/>
      <c r="BM457" s="5" t="n"/>
      <c r="BN457" s="5" t="n"/>
      <c r="BO457" s="5" t="n"/>
      <c r="BP457" s="5" t="n"/>
      <c r="BQ457" s="5" t="n"/>
      <c r="BR457" s="5" t="n"/>
      <c r="BS457" s="5" t="n"/>
      <c r="BT457" s="5" t="n"/>
      <c r="BU457" s="5" t="n"/>
      <c r="BV457" s="5" t="n"/>
      <c r="BW457" s="5" t="n"/>
      <c r="BX457" s="5" t="n"/>
      <c r="BY457" s="5" t="n"/>
      <c r="BZ457" s="5" t="n"/>
      <c r="CA457" s="5" t="n"/>
      <c r="CB457" s="5" t="n"/>
      <c r="CC457" s="5" t="n"/>
      <c r="CD457" s="5" t="n"/>
      <c r="CE457" s="5" t="n"/>
      <c r="CF457" s="5" t="n"/>
    </row>
    <row r="458" ht="16.5" customHeight="1" s="241">
      <c r="A458" s="171" t="n">
        <v>65</v>
      </c>
      <c r="B458" s="171" t="n">
        <v>69</v>
      </c>
      <c r="C458" s="171" t="inlineStr">
        <is>
          <t>Extra Negocios NIF 2</t>
        </is>
      </c>
      <c r="D458" s="170" t="n"/>
      <c r="E458" s="5" t="n"/>
      <c r="F458" s="5" t="n"/>
      <c r="G458" s="5" t="n"/>
      <c r="H458" s="5" t="n"/>
      <c r="I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  <c r="AY458" s="5" t="n"/>
      <c r="AZ458" s="5" t="n"/>
      <c r="BA458" s="5" t="n"/>
      <c r="BB458" s="5" t="n"/>
      <c r="BC458" s="5" t="n"/>
      <c r="BD458" s="5" t="n"/>
      <c r="BE458" s="5" t="n"/>
      <c r="BF458" s="5" t="n"/>
      <c r="BG458" s="5" t="n"/>
      <c r="BH458" s="5" t="n"/>
      <c r="BI458" s="5" t="n"/>
      <c r="BJ458" s="5" t="n"/>
      <c r="BK458" s="5" t="n"/>
      <c r="BL458" s="5" t="n"/>
      <c r="BM458" s="5" t="n"/>
      <c r="BN458" s="5" t="n"/>
      <c r="BO458" s="5" t="n"/>
      <c r="BP458" s="5" t="n"/>
      <c r="BQ458" s="5" t="n"/>
      <c r="BR458" s="5" t="n"/>
      <c r="BS458" s="5" t="n"/>
      <c r="BT458" s="5" t="n"/>
      <c r="BU458" s="5" t="n"/>
      <c r="BV458" s="5" t="n"/>
      <c r="BW458" s="5" t="n"/>
      <c r="BX458" s="5" t="n"/>
      <c r="BY458" s="5" t="n"/>
      <c r="BZ458" s="5" t="n"/>
      <c r="CA458" s="5" t="n"/>
      <c r="CB458" s="5" t="n"/>
      <c r="CC458" s="5" t="n"/>
      <c r="CD458" s="5" t="n"/>
      <c r="CE458" s="5" t="n"/>
      <c r="CF458" s="5" t="n"/>
    </row>
    <row r="459" ht="16.5" customHeight="1" s="241">
      <c r="A459" s="171" t="n">
        <v>70</v>
      </c>
      <c r="B459" s="171" t="n">
        <v>120</v>
      </c>
      <c r="C459" s="171" t="inlineStr">
        <is>
          <t>Extra Negocios NIF 2</t>
        </is>
      </c>
      <c r="D459" s="170" t="n"/>
      <c r="E459" s="5" t="n"/>
      <c r="F459" s="5" t="n"/>
      <c r="G459" s="5" t="n"/>
      <c r="H459" s="5" t="n"/>
      <c r="I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  <c r="BA459" s="5" t="n"/>
      <c r="BB459" s="5" t="n"/>
      <c r="BC459" s="5" t="n"/>
      <c r="BD459" s="5" t="n"/>
      <c r="BE459" s="5" t="n"/>
      <c r="BF459" s="5" t="n"/>
      <c r="BG459" s="5" t="n"/>
      <c r="BH459" s="5" t="n"/>
      <c r="BI459" s="5" t="n"/>
      <c r="BJ459" s="5" t="n"/>
      <c r="BK459" s="5" t="n"/>
      <c r="BL459" s="5" t="n"/>
      <c r="BM459" s="5" t="n"/>
      <c r="BN459" s="5" t="n"/>
      <c r="BO459" s="5" t="n"/>
      <c r="BP459" s="5" t="n"/>
      <c r="BQ459" s="5" t="n"/>
      <c r="BR459" s="5" t="n"/>
      <c r="BS459" s="5" t="n"/>
      <c r="BT459" s="5" t="n"/>
      <c r="BU459" s="5" t="n"/>
      <c r="BV459" s="5" t="n"/>
      <c r="BW459" s="5" t="n"/>
      <c r="BX459" s="5" t="n"/>
      <c r="BY459" s="5" t="n"/>
      <c r="BZ459" s="5" t="n"/>
      <c r="CA459" s="5" t="n"/>
      <c r="CB459" s="5" t="n"/>
      <c r="CC459" s="5" t="n"/>
      <c r="CD459" s="5" t="n"/>
      <c r="CE459" s="5" t="n"/>
      <c r="CF459" s="5" t="n"/>
    </row>
    <row r="460" ht="16.5" customHeight="1" s="241">
      <c r="A460" s="171" t="n">
        <v>0</v>
      </c>
      <c r="B460" s="171" t="n">
        <v>24</v>
      </c>
      <c r="C460" s="171" t="inlineStr">
        <is>
          <t>Extra Negocios NIF 3</t>
        </is>
      </c>
      <c r="D460" s="170" t="n"/>
      <c r="E460" s="5" t="n"/>
      <c r="F460" s="5" t="n"/>
      <c r="G460" s="5" t="n"/>
      <c r="H460" s="5" t="n"/>
      <c r="I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  <c r="BA460" s="5" t="n"/>
      <c r="BB460" s="5" t="n"/>
      <c r="BC460" s="5" t="n"/>
      <c r="BD460" s="5" t="n"/>
      <c r="BE460" s="5" t="n"/>
      <c r="BF460" s="5" t="n"/>
      <c r="BG460" s="5" t="n"/>
      <c r="BH460" s="5" t="n"/>
      <c r="BI460" s="5" t="n"/>
      <c r="BJ460" s="5" t="n"/>
      <c r="BK460" s="5" t="n"/>
      <c r="BL460" s="5" t="n"/>
      <c r="BM460" s="5" t="n"/>
      <c r="BN460" s="5" t="n"/>
      <c r="BO460" s="5" t="n"/>
      <c r="BP460" s="5" t="n"/>
      <c r="BQ460" s="5" t="n"/>
      <c r="BR460" s="5" t="n"/>
      <c r="BS460" s="5" t="n"/>
      <c r="BT460" s="5" t="n"/>
      <c r="BU460" s="5" t="n"/>
      <c r="BV460" s="5" t="n"/>
      <c r="BW460" s="5" t="n"/>
      <c r="BX460" s="5" t="n"/>
      <c r="BY460" s="5" t="n"/>
      <c r="BZ460" s="5" t="n"/>
      <c r="CA460" s="5" t="n"/>
      <c r="CB460" s="5" t="n"/>
      <c r="CC460" s="5" t="n"/>
      <c r="CD460" s="5" t="n"/>
      <c r="CE460" s="5" t="n"/>
      <c r="CF460" s="5" t="n"/>
    </row>
    <row r="461" ht="16.5" customHeight="1" s="241">
      <c r="A461" s="171" t="n">
        <v>25</v>
      </c>
      <c r="B461" s="171" t="n">
        <v>44</v>
      </c>
      <c r="C461" s="171" t="inlineStr">
        <is>
          <t>Extra Negocios NIF 3</t>
        </is>
      </c>
      <c r="D461" s="170" t="n"/>
      <c r="E461" s="5" t="n"/>
      <c r="F461" s="5" t="n"/>
      <c r="G461" s="5" t="n"/>
      <c r="H461" s="5" t="n"/>
      <c r="I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  <c r="BA461" s="5" t="n"/>
      <c r="BB461" s="5" t="n"/>
      <c r="BC461" s="5" t="n"/>
      <c r="BD461" s="5" t="n"/>
      <c r="BE461" s="5" t="n"/>
      <c r="BF461" s="5" t="n"/>
      <c r="BG461" s="5" t="n"/>
      <c r="BH461" s="5" t="n"/>
      <c r="BI461" s="5" t="n"/>
      <c r="BJ461" s="5" t="n"/>
      <c r="BK461" s="5" t="n"/>
      <c r="BL461" s="5" t="n"/>
      <c r="BM461" s="5" t="n"/>
      <c r="BN461" s="5" t="n"/>
      <c r="BO461" s="5" t="n"/>
      <c r="BP461" s="5" t="n"/>
      <c r="BQ461" s="5" t="n"/>
      <c r="BR461" s="5" t="n"/>
      <c r="BS461" s="5" t="n"/>
      <c r="BT461" s="5" t="n"/>
      <c r="BU461" s="5" t="n"/>
      <c r="BV461" s="5" t="n"/>
      <c r="BW461" s="5" t="n"/>
      <c r="BX461" s="5" t="n"/>
      <c r="BY461" s="5" t="n"/>
      <c r="BZ461" s="5" t="n"/>
      <c r="CA461" s="5" t="n"/>
      <c r="CB461" s="5" t="n"/>
      <c r="CC461" s="5" t="n"/>
      <c r="CD461" s="5" t="n"/>
      <c r="CE461" s="5" t="n"/>
      <c r="CF461" s="5" t="n"/>
    </row>
    <row r="462" ht="16.5" customHeight="1" s="241">
      <c r="A462" s="171" t="n">
        <v>45</v>
      </c>
      <c r="B462" s="171" t="n">
        <v>54</v>
      </c>
      <c r="C462" s="171" t="inlineStr">
        <is>
          <t>Extra Negocios NIF 3</t>
        </is>
      </c>
      <c r="D462" s="170" t="n"/>
      <c r="E462" s="5" t="n"/>
      <c r="F462" s="5" t="n"/>
      <c r="G462" s="5" t="n"/>
      <c r="H462" s="5" t="n"/>
      <c r="I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  <c r="AY462" s="5" t="n"/>
      <c r="AZ462" s="5" t="n"/>
      <c r="BA462" s="5" t="n"/>
      <c r="BB462" s="5" t="n"/>
      <c r="BC462" s="5" t="n"/>
      <c r="BD462" s="5" t="n"/>
      <c r="BE462" s="5" t="n"/>
      <c r="BF462" s="5" t="n"/>
      <c r="BG462" s="5" t="n"/>
      <c r="BH462" s="5" t="n"/>
      <c r="BI462" s="5" t="n"/>
      <c r="BJ462" s="5" t="n"/>
      <c r="BK462" s="5" t="n"/>
      <c r="BL462" s="5" t="n"/>
      <c r="BM462" s="5" t="n"/>
      <c r="BN462" s="5" t="n"/>
      <c r="BO462" s="5" t="n"/>
      <c r="BP462" s="5" t="n"/>
      <c r="BQ462" s="5" t="n"/>
      <c r="BR462" s="5" t="n"/>
      <c r="BS462" s="5" t="n"/>
      <c r="BT462" s="5" t="n"/>
      <c r="BU462" s="5" t="n"/>
      <c r="BV462" s="5" t="n"/>
      <c r="BW462" s="5" t="n"/>
      <c r="BX462" s="5" t="n"/>
      <c r="BY462" s="5" t="n"/>
      <c r="BZ462" s="5" t="n"/>
      <c r="CA462" s="5" t="n"/>
      <c r="CB462" s="5" t="n"/>
      <c r="CC462" s="5" t="n"/>
      <c r="CD462" s="5" t="n"/>
      <c r="CE462" s="5" t="n"/>
      <c r="CF462" s="5" t="n"/>
    </row>
    <row r="463" ht="16.5" customHeight="1" s="241">
      <c r="A463" s="171" t="n">
        <v>55</v>
      </c>
      <c r="B463" s="171" t="n">
        <v>59</v>
      </c>
      <c r="C463" s="171" t="inlineStr">
        <is>
          <t>Extra Negocios NIF 3</t>
        </is>
      </c>
      <c r="D463" s="170" t="n"/>
      <c r="E463" s="5" t="n"/>
      <c r="F463" s="5" t="n"/>
      <c r="G463" s="5" t="n"/>
      <c r="H463" s="5" t="n"/>
      <c r="I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  <c r="BG463" s="5" t="n"/>
      <c r="BH463" s="5" t="n"/>
      <c r="BI463" s="5" t="n"/>
      <c r="BJ463" s="5" t="n"/>
      <c r="BK463" s="5" t="n"/>
      <c r="BL463" s="5" t="n"/>
      <c r="BM463" s="5" t="n"/>
      <c r="BN463" s="5" t="n"/>
      <c r="BO463" s="5" t="n"/>
      <c r="BP463" s="5" t="n"/>
      <c r="BQ463" s="5" t="n"/>
      <c r="BR463" s="5" t="n"/>
      <c r="BS463" s="5" t="n"/>
      <c r="BT463" s="5" t="n"/>
      <c r="BU463" s="5" t="n"/>
      <c r="BV463" s="5" t="n"/>
      <c r="BW463" s="5" t="n"/>
      <c r="BX463" s="5" t="n"/>
      <c r="BY463" s="5" t="n"/>
      <c r="BZ463" s="5" t="n"/>
      <c r="CA463" s="5" t="n"/>
      <c r="CB463" s="5" t="n"/>
      <c r="CC463" s="5" t="n"/>
      <c r="CD463" s="5" t="n"/>
      <c r="CE463" s="5" t="n"/>
      <c r="CF463" s="5" t="n"/>
    </row>
    <row r="464" ht="16.5" customHeight="1" s="241">
      <c r="A464" s="171" t="n">
        <v>60</v>
      </c>
      <c r="B464" s="171" t="n">
        <v>64</v>
      </c>
      <c r="C464" s="171" t="inlineStr">
        <is>
          <t>Extra Negocios NIF 3</t>
        </is>
      </c>
      <c r="D464" s="170" t="n"/>
      <c r="E464" s="5" t="n"/>
      <c r="F464" s="5" t="n"/>
      <c r="G464" s="5" t="n"/>
      <c r="H464" s="5" t="n"/>
      <c r="I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  <c r="AY464" s="5" t="n"/>
      <c r="AZ464" s="5" t="n"/>
      <c r="BA464" s="5" t="n"/>
      <c r="BB464" s="5" t="n"/>
      <c r="BC464" s="5" t="n"/>
      <c r="BD464" s="5" t="n"/>
      <c r="BE464" s="5" t="n"/>
      <c r="BF464" s="5" t="n"/>
      <c r="BG464" s="5" t="n"/>
      <c r="BH464" s="5" t="n"/>
      <c r="BI464" s="5" t="n"/>
      <c r="BJ464" s="5" t="n"/>
      <c r="BK464" s="5" t="n"/>
      <c r="BL464" s="5" t="n"/>
      <c r="BM464" s="5" t="n"/>
      <c r="BN464" s="5" t="n"/>
      <c r="BO464" s="5" t="n"/>
      <c r="BP464" s="5" t="n"/>
      <c r="BQ464" s="5" t="n"/>
      <c r="BR464" s="5" t="n"/>
      <c r="BS464" s="5" t="n"/>
      <c r="BT464" s="5" t="n"/>
      <c r="BU464" s="5" t="n"/>
      <c r="BV464" s="5" t="n"/>
      <c r="BW464" s="5" t="n"/>
      <c r="BX464" s="5" t="n"/>
      <c r="BY464" s="5" t="n"/>
      <c r="BZ464" s="5" t="n"/>
      <c r="CA464" s="5" t="n"/>
      <c r="CB464" s="5" t="n"/>
      <c r="CC464" s="5" t="n"/>
      <c r="CD464" s="5" t="n"/>
      <c r="CE464" s="5" t="n"/>
      <c r="CF464" s="5" t="n"/>
    </row>
    <row r="465" ht="16.5" customHeight="1" s="241">
      <c r="A465" s="171" t="n">
        <v>65</v>
      </c>
      <c r="B465" s="171" t="n">
        <v>69</v>
      </c>
      <c r="C465" s="171" t="inlineStr">
        <is>
          <t>Extra Negocios NIF 3</t>
        </is>
      </c>
      <c r="D465" s="170" t="n"/>
      <c r="E465" s="5" t="n"/>
      <c r="F465" s="5" t="n"/>
      <c r="G465" s="5" t="n"/>
      <c r="H465" s="5" t="n"/>
      <c r="I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  <c r="BG465" s="5" t="n"/>
      <c r="BH465" s="5" t="n"/>
      <c r="BI465" s="5" t="n"/>
      <c r="BJ465" s="5" t="n"/>
      <c r="BK465" s="5" t="n"/>
      <c r="BL465" s="5" t="n"/>
      <c r="BM465" s="5" t="n"/>
      <c r="BN465" s="5" t="n"/>
      <c r="BO465" s="5" t="n"/>
      <c r="BP465" s="5" t="n"/>
      <c r="BQ465" s="5" t="n"/>
      <c r="BR465" s="5" t="n"/>
      <c r="BS465" s="5" t="n"/>
      <c r="BT465" s="5" t="n"/>
      <c r="BU465" s="5" t="n"/>
      <c r="BV465" s="5" t="n"/>
      <c r="BW465" s="5" t="n"/>
      <c r="BX465" s="5" t="n"/>
      <c r="BY465" s="5" t="n"/>
      <c r="BZ465" s="5" t="n"/>
      <c r="CA465" s="5" t="n"/>
      <c r="CB465" s="5" t="n"/>
      <c r="CC465" s="5" t="n"/>
      <c r="CD465" s="5" t="n"/>
      <c r="CE465" s="5" t="n"/>
      <c r="CF465" s="5" t="n"/>
    </row>
    <row r="466" ht="16.5" customHeight="1" s="241">
      <c r="A466" s="171" t="n">
        <v>70</v>
      </c>
      <c r="B466" s="171" t="n">
        <v>120</v>
      </c>
      <c r="C466" s="171" t="inlineStr">
        <is>
          <t>Extra Negocios NIF 3</t>
        </is>
      </c>
      <c r="D466" s="170" t="n"/>
      <c r="E466" s="5" t="n"/>
      <c r="F466" s="5" t="n"/>
      <c r="G466" s="5" t="n"/>
      <c r="H466" s="5" t="n"/>
      <c r="I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  <c r="BG466" s="5" t="n"/>
      <c r="BH466" s="5" t="n"/>
      <c r="BI466" s="5" t="n"/>
      <c r="BJ466" s="5" t="n"/>
      <c r="BK466" s="5" t="n"/>
      <c r="BL466" s="5" t="n"/>
      <c r="BM466" s="5" t="n"/>
      <c r="BN466" s="5" t="n"/>
      <c r="BO466" s="5" t="n"/>
      <c r="BP466" s="5" t="n"/>
      <c r="BQ466" s="5" t="n"/>
      <c r="BR466" s="5" t="n"/>
      <c r="BS466" s="5" t="n"/>
      <c r="BT466" s="5" t="n"/>
      <c r="BU466" s="5" t="n"/>
      <c r="BV466" s="5" t="n"/>
      <c r="BW466" s="5" t="n"/>
      <c r="BX466" s="5" t="n"/>
      <c r="BY466" s="5" t="n"/>
      <c r="BZ466" s="5" t="n"/>
      <c r="CA466" s="5" t="n"/>
      <c r="CB466" s="5" t="n"/>
      <c r="CC466" s="5" t="n"/>
      <c r="CD466" s="5" t="n"/>
      <c r="CE466" s="5" t="n"/>
      <c r="CF466" s="5" t="n"/>
    </row>
    <row r="467" ht="16.5" customHeight="1" s="241">
      <c r="A467" s="171" t="n">
        <v>0</v>
      </c>
      <c r="B467" s="171" t="n">
        <v>24</v>
      </c>
      <c r="C467" s="171" t="inlineStr">
        <is>
          <t>Extra Negocios NIF 4</t>
        </is>
      </c>
      <c r="D467" s="170" t="n"/>
      <c r="E467" s="5" t="n"/>
      <c r="F467" s="5" t="n"/>
      <c r="G467" s="5" t="n"/>
      <c r="H467" s="5" t="n"/>
      <c r="I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/>
      <c r="BJ467" s="5" t="n"/>
      <c r="BK467" s="5" t="n"/>
      <c r="BL467" s="5" t="n"/>
      <c r="BM467" s="5" t="n"/>
      <c r="BN467" s="5" t="n"/>
      <c r="BO467" s="5" t="n"/>
      <c r="BP467" s="5" t="n"/>
      <c r="BQ467" s="5" t="n"/>
      <c r="BR467" s="5" t="n"/>
      <c r="BS467" s="5" t="n"/>
      <c r="BT467" s="5" t="n"/>
      <c r="BU467" s="5" t="n"/>
      <c r="BV467" s="5" t="n"/>
      <c r="BW467" s="5" t="n"/>
      <c r="BX467" s="5" t="n"/>
      <c r="BY467" s="5" t="n"/>
      <c r="BZ467" s="5" t="n"/>
      <c r="CA467" s="5" t="n"/>
      <c r="CB467" s="5" t="n"/>
      <c r="CC467" s="5" t="n"/>
      <c r="CD467" s="5" t="n"/>
      <c r="CE467" s="5" t="n"/>
      <c r="CF467" s="5" t="n"/>
    </row>
    <row r="468" ht="16.5" customHeight="1" s="241">
      <c r="A468" s="171" t="n">
        <v>25</v>
      </c>
      <c r="B468" s="171" t="n">
        <v>44</v>
      </c>
      <c r="C468" s="171" t="inlineStr">
        <is>
          <t>Extra Negocios NIF 4</t>
        </is>
      </c>
      <c r="D468" s="170" t="n"/>
      <c r="E468" s="5" t="n"/>
      <c r="F468" s="5" t="n"/>
      <c r="G468" s="5" t="n"/>
      <c r="H468" s="5" t="n"/>
      <c r="I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  <c r="AY468" s="5" t="n"/>
      <c r="AZ468" s="5" t="n"/>
      <c r="BA468" s="5" t="n"/>
      <c r="BB468" s="5" t="n"/>
      <c r="BC468" s="5" t="n"/>
      <c r="BD468" s="5" t="n"/>
      <c r="BE468" s="5" t="n"/>
      <c r="BF468" s="5" t="n"/>
      <c r="BG468" s="5" t="n"/>
      <c r="BH468" s="5" t="n"/>
      <c r="BI468" s="5" t="n"/>
      <c r="BJ468" s="5" t="n"/>
      <c r="BK468" s="5" t="n"/>
      <c r="BL468" s="5" t="n"/>
      <c r="BM468" s="5" t="n"/>
      <c r="BN468" s="5" t="n"/>
      <c r="BO468" s="5" t="n"/>
      <c r="BP468" s="5" t="n"/>
      <c r="BQ468" s="5" t="n"/>
      <c r="BR468" s="5" t="n"/>
      <c r="BS468" s="5" t="n"/>
      <c r="BT468" s="5" t="n"/>
      <c r="BU468" s="5" t="n"/>
      <c r="BV468" s="5" t="n"/>
      <c r="BW468" s="5" t="n"/>
      <c r="BX468" s="5" t="n"/>
      <c r="BY468" s="5" t="n"/>
      <c r="BZ468" s="5" t="n"/>
      <c r="CA468" s="5" t="n"/>
      <c r="CB468" s="5" t="n"/>
      <c r="CC468" s="5" t="n"/>
      <c r="CD468" s="5" t="n"/>
      <c r="CE468" s="5" t="n"/>
      <c r="CF468" s="5" t="n"/>
    </row>
    <row r="469" ht="16.5" customHeight="1" s="241">
      <c r="A469" s="171" t="n">
        <v>45</v>
      </c>
      <c r="B469" s="171" t="n">
        <v>54</v>
      </c>
      <c r="C469" s="171" t="inlineStr">
        <is>
          <t>Extra Negocios NIF 4</t>
        </is>
      </c>
      <c r="D469" s="170" t="n"/>
      <c r="E469" s="5" t="n"/>
      <c r="F469" s="5" t="n"/>
      <c r="G469" s="5" t="n"/>
      <c r="H469" s="5" t="n"/>
      <c r="I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  <c r="AY469" s="5" t="n"/>
      <c r="AZ469" s="5" t="n"/>
      <c r="BA469" s="5" t="n"/>
      <c r="BB469" s="5" t="n"/>
      <c r="BC469" s="5" t="n"/>
      <c r="BD469" s="5" t="n"/>
      <c r="BE469" s="5" t="n"/>
      <c r="BF469" s="5" t="n"/>
      <c r="BG469" s="5" t="n"/>
      <c r="BH469" s="5" t="n"/>
      <c r="BI469" s="5" t="n"/>
      <c r="BJ469" s="5" t="n"/>
      <c r="BK469" s="5" t="n"/>
      <c r="BL469" s="5" t="n"/>
      <c r="BM469" s="5" t="n"/>
      <c r="BN469" s="5" t="n"/>
      <c r="BO469" s="5" t="n"/>
      <c r="BP469" s="5" t="n"/>
      <c r="BQ469" s="5" t="n"/>
      <c r="BR469" s="5" t="n"/>
      <c r="BS469" s="5" t="n"/>
      <c r="BT469" s="5" t="n"/>
      <c r="BU469" s="5" t="n"/>
      <c r="BV469" s="5" t="n"/>
      <c r="BW469" s="5" t="n"/>
      <c r="BX469" s="5" t="n"/>
      <c r="BY469" s="5" t="n"/>
      <c r="BZ469" s="5" t="n"/>
      <c r="CA469" s="5" t="n"/>
      <c r="CB469" s="5" t="n"/>
      <c r="CC469" s="5" t="n"/>
      <c r="CD469" s="5" t="n"/>
      <c r="CE469" s="5" t="n"/>
      <c r="CF469" s="5" t="n"/>
    </row>
    <row r="470" ht="16.5" customHeight="1" s="241">
      <c r="A470" s="171" t="n">
        <v>55</v>
      </c>
      <c r="B470" s="171" t="n">
        <v>59</v>
      </c>
      <c r="C470" s="171" t="inlineStr">
        <is>
          <t>Extra Negocios NIF 4</t>
        </is>
      </c>
      <c r="D470" s="170" t="n"/>
      <c r="E470" s="5" t="n"/>
      <c r="F470" s="5" t="n"/>
      <c r="G470" s="5" t="n"/>
      <c r="H470" s="5" t="n"/>
      <c r="I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  <c r="AY470" s="5" t="n"/>
      <c r="AZ470" s="5" t="n"/>
      <c r="BA470" s="5" t="n"/>
      <c r="BB470" s="5" t="n"/>
      <c r="BC470" s="5" t="n"/>
      <c r="BD470" s="5" t="n"/>
      <c r="BE470" s="5" t="n"/>
      <c r="BF470" s="5" t="n"/>
      <c r="BG470" s="5" t="n"/>
      <c r="BH470" s="5" t="n"/>
      <c r="BI470" s="5" t="n"/>
      <c r="BJ470" s="5" t="n"/>
      <c r="BK470" s="5" t="n"/>
      <c r="BL470" s="5" t="n"/>
      <c r="BM470" s="5" t="n"/>
      <c r="BN470" s="5" t="n"/>
      <c r="BO470" s="5" t="n"/>
      <c r="BP470" s="5" t="n"/>
      <c r="BQ470" s="5" t="n"/>
      <c r="BR470" s="5" t="n"/>
      <c r="BS470" s="5" t="n"/>
      <c r="BT470" s="5" t="n"/>
      <c r="BU470" s="5" t="n"/>
      <c r="BV470" s="5" t="n"/>
      <c r="BW470" s="5" t="n"/>
      <c r="BX470" s="5" t="n"/>
      <c r="BY470" s="5" t="n"/>
      <c r="BZ470" s="5" t="n"/>
      <c r="CA470" s="5" t="n"/>
      <c r="CB470" s="5" t="n"/>
      <c r="CC470" s="5" t="n"/>
      <c r="CD470" s="5" t="n"/>
      <c r="CE470" s="5" t="n"/>
      <c r="CF470" s="5" t="n"/>
    </row>
    <row r="471" ht="16.5" customHeight="1" s="241">
      <c r="A471" s="171" t="n">
        <v>60</v>
      </c>
      <c r="B471" s="171" t="n">
        <v>64</v>
      </c>
      <c r="C471" s="171" t="inlineStr">
        <is>
          <t>Extra Negocios NIF 4</t>
        </is>
      </c>
      <c r="D471" s="170" t="n"/>
      <c r="E471" s="5" t="n"/>
      <c r="F471" s="5" t="n"/>
      <c r="G471" s="5" t="n"/>
      <c r="H471" s="5" t="n"/>
      <c r="I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  <c r="BG471" s="5" t="n"/>
      <c r="BH471" s="5" t="n"/>
      <c r="BI471" s="5" t="n"/>
      <c r="BJ471" s="5" t="n"/>
      <c r="BK471" s="5" t="n"/>
      <c r="BL471" s="5" t="n"/>
      <c r="BM471" s="5" t="n"/>
      <c r="BN471" s="5" t="n"/>
      <c r="BO471" s="5" t="n"/>
      <c r="BP471" s="5" t="n"/>
      <c r="BQ471" s="5" t="n"/>
      <c r="BR471" s="5" t="n"/>
      <c r="BS471" s="5" t="n"/>
      <c r="BT471" s="5" t="n"/>
      <c r="BU471" s="5" t="n"/>
      <c r="BV471" s="5" t="n"/>
      <c r="BW471" s="5" t="n"/>
      <c r="BX471" s="5" t="n"/>
      <c r="BY471" s="5" t="n"/>
      <c r="BZ471" s="5" t="n"/>
      <c r="CA471" s="5" t="n"/>
      <c r="CB471" s="5" t="n"/>
      <c r="CC471" s="5" t="n"/>
      <c r="CD471" s="5" t="n"/>
      <c r="CE471" s="5" t="n"/>
      <c r="CF471" s="5" t="n"/>
    </row>
    <row r="472" ht="16.5" customHeight="1" s="241">
      <c r="A472" s="171" t="n">
        <v>65</v>
      </c>
      <c r="B472" s="171" t="n">
        <v>69</v>
      </c>
      <c r="C472" s="171" t="inlineStr">
        <is>
          <t>Extra Negocios NIF 4</t>
        </is>
      </c>
      <c r="D472" s="170" t="n"/>
      <c r="E472" s="5" t="n"/>
      <c r="F472" s="5" t="n"/>
      <c r="G472" s="5" t="n"/>
      <c r="H472" s="5" t="n"/>
      <c r="I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  <c r="AY472" s="5" t="n"/>
      <c r="AZ472" s="5" t="n"/>
      <c r="BA472" s="5" t="n"/>
      <c r="BB472" s="5" t="n"/>
      <c r="BC472" s="5" t="n"/>
      <c r="BD472" s="5" t="n"/>
      <c r="BE472" s="5" t="n"/>
      <c r="BF472" s="5" t="n"/>
      <c r="BG472" s="5" t="n"/>
      <c r="BH472" s="5" t="n"/>
      <c r="BI472" s="5" t="n"/>
      <c r="BJ472" s="5" t="n"/>
      <c r="BK472" s="5" t="n"/>
      <c r="BL472" s="5" t="n"/>
      <c r="BM472" s="5" t="n"/>
      <c r="BN472" s="5" t="n"/>
      <c r="BO472" s="5" t="n"/>
      <c r="BP472" s="5" t="n"/>
      <c r="BQ472" s="5" t="n"/>
      <c r="BR472" s="5" t="n"/>
      <c r="BS472" s="5" t="n"/>
      <c r="BT472" s="5" t="n"/>
      <c r="BU472" s="5" t="n"/>
      <c r="BV472" s="5" t="n"/>
      <c r="BW472" s="5" t="n"/>
      <c r="BX472" s="5" t="n"/>
      <c r="BY472" s="5" t="n"/>
      <c r="BZ472" s="5" t="n"/>
      <c r="CA472" s="5" t="n"/>
      <c r="CB472" s="5" t="n"/>
      <c r="CC472" s="5" t="n"/>
      <c r="CD472" s="5" t="n"/>
      <c r="CE472" s="5" t="n"/>
      <c r="CF472" s="5" t="n"/>
    </row>
    <row r="473" ht="16.5" customHeight="1" s="241">
      <c r="A473" s="171" t="n">
        <v>70</v>
      </c>
      <c r="B473" s="171" t="n">
        <v>120</v>
      </c>
      <c r="C473" s="171" t="inlineStr">
        <is>
          <t>Extra Negocios NIF 4</t>
        </is>
      </c>
      <c r="D473" s="170" t="n"/>
      <c r="E473" s="5" t="n"/>
      <c r="F473" s="5" t="n"/>
      <c r="G473" s="5" t="n"/>
      <c r="H473" s="5" t="n"/>
      <c r="I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  <c r="AY473" s="5" t="n"/>
      <c r="AZ473" s="5" t="n"/>
      <c r="BA473" s="5" t="n"/>
      <c r="BB473" s="5" t="n"/>
      <c r="BC473" s="5" t="n"/>
      <c r="BD473" s="5" t="n"/>
      <c r="BE473" s="5" t="n"/>
      <c r="BF473" s="5" t="n"/>
      <c r="BG473" s="5" t="n"/>
      <c r="BH473" s="5" t="n"/>
      <c r="BI473" s="5" t="n"/>
      <c r="BJ473" s="5" t="n"/>
      <c r="BK473" s="5" t="n"/>
      <c r="BL473" s="5" t="n"/>
      <c r="BM473" s="5" t="n"/>
      <c r="BN473" s="5" t="n"/>
      <c r="BO473" s="5" t="n"/>
      <c r="BP473" s="5" t="n"/>
      <c r="BQ473" s="5" t="n"/>
      <c r="BR473" s="5" t="n"/>
      <c r="BS473" s="5" t="n"/>
      <c r="BT473" s="5" t="n"/>
      <c r="BU473" s="5" t="n"/>
      <c r="BV473" s="5" t="n"/>
      <c r="BW473" s="5" t="n"/>
      <c r="BX473" s="5" t="n"/>
      <c r="BY473" s="5" t="n"/>
      <c r="BZ473" s="5" t="n"/>
      <c r="CA473" s="5" t="n"/>
      <c r="CB473" s="5" t="n"/>
      <c r="CC473" s="5" t="n"/>
      <c r="CD473" s="5" t="n"/>
      <c r="CE473" s="5" t="n"/>
      <c r="CF473" s="5" t="n"/>
    </row>
    <row r="474" ht="16.5" customHeight="1" s="241">
      <c r="A474" s="171" t="n">
        <v>0</v>
      </c>
      <c r="B474" s="171" t="n">
        <v>24</v>
      </c>
      <c r="C474" s="171" t="inlineStr">
        <is>
          <t>Extra Negocios NIF 5</t>
        </is>
      </c>
      <c r="D474" s="170" t="n"/>
      <c r="E474" s="5" t="n"/>
      <c r="F474" s="5" t="n"/>
      <c r="G474" s="5" t="n"/>
      <c r="H474" s="5" t="n"/>
      <c r="I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  <c r="AY474" s="5" t="n"/>
      <c r="AZ474" s="5" t="n"/>
      <c r="BA474" s="5" t="n"/>
      <c r="BB474" s="5" t="n"/>
      <c r="BC474" s="5" t="n"/>
      <c r="BD474" s="5" t="n"/>
      <c r="BE474" s="5" t="n"/>
      <c r="BF474" s="5" t="n"/>
      <c r="BG474" s="5" t="n"/>
      <c r="BH474" s="5" t="n"/>
      <c r="BI474" s="5" t="n"/>
      <c r="BJ474" s="5" t="n"/>
      <c r="BK474" s="5" t="n"/>
      <c r="BL474" s="5" t="n"/>
      <c r="BM474" s="5" t="n"/>
      <c r="BN474" s="5" t="n"/>
      <c r="BO474" s="5" t="n"/>
      <c r="BP474" s="5" t="n"/>
      <c r="BQ474" s="5" t="n"/>
      <c r="BR474" s="5" t="n"/>
      <c r="BS474" s="5" t="n"/>
      <c r="BT474" s="5" t="n"/>
      <c r="BU474" s="5" t="n"/>
      <c r="BV474" s="5" t="n"/>
      <c r="BW474" s="5" t="n"/>
      <c r="BX474" s="5" t="n"/>
      <c r="BY474" s="5" t="n"/>
      <c r="BZ474" s="5" t="n"/>
      <c r="CA474" s="5" t="n"/>
      <c r="CB474" s="5" t="n"/>
      <c r="CC474" s="5" t="n"/>
      <c r="CD474" s="5" t="n"/>
      <c r="CE474" s="5" t="n"/>
      <c r="CF474" s="5" t="n"/>
    </row>
    <row r="475" ht="16.5" customHeight="1" s="241">
      <c r="A475" s="171" t="n">
        <v>25</v>
      </c>
      <c r="B475" s="171" t="n">
        <v>44</v>
      </c>
      <c r="C475" s="171" t="inlineStr">
        <is>
          <t>Extra Negocios NIF 5</t>
        </is>
      </c>
      <c r="D475" s="170" t="n"/>
      <c r="E475" s="5" t="n"/>
      <c r="F475" s="5" t="n"/>
      <c r="G475" s="5" t="n"/>
      <c r="H475" s="5" t="n"/>
      <c r="I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  <c r="AY475" s="5" t="n"/>
      <c r="AZ475" s="5" t="n"/>
      <c r="BA475" s="5" t="n"/>
      <c r="BB475" s="5" t="n"/>
      <c r="BC475" s="5" t="n"/>
      <c r="BD475" s="5" t="n"/>
      <c r="BE475" s="5" t="n"/>
      <c r="BF475" s="5" t="n"/>
      <c r="BG475" s="5" t="n"/>
      <c r="BH475" s="5" t="n"/>
      <c r="BI475" s="5" t="n"/>
      <c r="BJ475" s="5" t="n"/>
      <c r="BK475" s="5" t="n"/>
      <c r="BL475" s="5" t="n"/>
      <c r="BM475" s="5" t="n"/>
      <c r="BN475" s="5" t="n"/>
      <c r="BO475" s="5" t="n"/>
      <c r="BP475" s="5" t="n"/>
      <c r="BQ475" s="5" t="n"/>
      <c r="BR475" s="5" t="n"/>
      <c r="BS475" s="5" t="n"/>
      <c r="BT475" s="5" t="n"/>
      <c r="BU475" s="5" t="n"/>
      <c r="BV475" s="5" t="n"/>
      <c r="BW475" s="5" t="n"/>
      <c r="BX475" s="5" t="n"/>
      <c r="BY475" s="5" t="n"/>
      <c r="BZ475" s="5" t="n"/>
      <c r="CA475" s="5" t="n"/>
      <c r="CB475" s="5" t="n"/>
      <c r="CC475" s="5" t="n"/>
      <c r="CD475" s="5" t="n"/>
      <c r="CE475" s="5" t="n"/>
      <c r="CF475" s="5" t="n"/>
    </row>
    <row r="476" ht="16.5" customHeight="1" s="241">
      <c r="A476" s="171" t="n">
        <v>45</v>
      </c>
      <c r="B476" s="171" t="n">
        <v>54</v>
      </c>
      <c r="C476" s="171" t="inlineStr">
        <is>
          <t>Extra Negocios NIF 5</t>
        </is>
      </c>
      <c r="D476" s="170" t="n"/>
      <c r="E476" s="5" t="n"/>
      <c r="F476" s="5" t="n"/>
      <c r="G476" s="5" t="n"/>
      <c r="H476" s="5" t="n"/>
      <c r="I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  <c r="AY476" s="5" t="n"/>
      <c r="AZ476" s="5" t="n"/>
      <c r="BA476" s="5" t="n"/>
      <c r="BB476" s="5" t="n"/>
      <c r="BC476" s="5" t="n"/>
      <c r="BD476" s="5" t="n"/>
      <c r="BE476" s="5" t="n"/>
      <c r="BF476" s="5" t="n"/>
      <c r="BG476" s="5" t="n"/>
      <c r="BH476" s="5" t="n"/>
      <c r="BI476" s="5" t="n"/>
      <c r="BJ476" s="5" t="n"/>
      <c r="BK476" s="5" t="n"/>
      <c r="BL476" s="5" t="n"/>
      <c r="BM476" s="5" t="n"/>
      <c r="BN476" s="5" t="n"/>
      <c r="BO476" s="5" t="n"/>
      <c r="BP476" s="5" t="n"/>
      <c r="BQ476" s="5" t="n"/>
      <c r="BR476" s="5" t="n"/>
      <c r="BS476" s="5" t="n"/>
      <c r="BT476" s="5" t="n"/>
      <c r="BU476" s="5" t="n"/>
      <c r="BV476" s="5" t="n"/>
      <c r="BW476" s="5" t="n"/>
      <c r="BX476" s="5" t="n"/>
      <c r="BY476" s="5" t="n"/>
      <c r="BZ476" s="5" t="n"/>
      <c r="CA476" s="5" t="n"/>
      <c r="CB476" s="5" t="n"/>
      <c r="CC476" s="5" t="n"/>
      <c r="CD476" s="5" t="n"/>
      <c r="CE476" s="5" t="n"/>
      <c r="CF476" s="5" t="n"/>
    </row>
    <row r="477" ht="16.5" customHeight="1" s="241">
      <c r="A477" s="171" t="n">
        <v>55</v>
      </c>
      <c r="B477" s="171" t="n">
        <v>59</v>
      </c>
      <c r="C477" s="171" t="inlineStr">
        <is>
          <t>Extra Negocios NIF 5</t>
        </is>
      </c>
      <c r="D477" s="170" t="n"/>
      <c r="E477" s="5" t="n"/>
      <c r="F477" s="5" t="n"/>
      <c r="G477" s="5" t="n"/>
      <c r="H477" s="5" t="n"/>
      <c r="I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  <c r="AY477" s="5" t="n"/>
      <c r="AZ477" s="5" t="n"/>
      <c r="BA477" s="5" t="n"/>
      <c r="BB477" s="5" t="n"/>
      <c r="BC477" s="5" t="n"/>
      <c r="BD477" s="5" t="n"/>
      <c r="BE477" s="5" t="n"/>
      <c r="BF477" s="5" t="n"/>
      <c r="BG477" s="5" t="n"/>
      <c r="BH477" s="5" t="n"/>
      <c r="BI477" s="5" t="n"/>
      <c r="BJ477" s="5" t="n"/>
      <c r="BK477" s="5" t="n"/>
      <c r="BL477" s="5" t="n"/>
      <c r="BM477" s="5" t="n"/>
      <c r="BN477" s="5" t="n"/>
      <c r="BO477" s="5" t="n"/>
      <c r="BP477" s="5" t="n"/>
      <c r="BQ477" s="5" t="n"/>
      <c r="BR477" s="5" t="n"/>
      <c r="BS477" s="5" t="n"/>
      <c r="BT477" s="5" t="n"/>
      <c r="BU477" s="5" t="n"/>
      <c r="BV477" s="5" t="n"/>
      <c r="BW477" s="5" t="n"/>
      <c r="BX477" s="5" t="n"/>
      <c r="BY477" s="5" t="n"/>
      <c r="BZ477" s="5" t="n"/>
      <c r="CA477" s="5" t="n"/>
      <c r="CB477" s="5" t="n"/>
      <c r="CC477" s="5" t="n"/>
      <c r="CD477" s="5" t="n"/>
      <c r="CE477" s="5" t="n"/>
      <c r="CF477" s="5" t="n"/>
    </row>
    <row r="478" ht="16.5" customHeight="1" s="241">
      <c r="A478" s="171" t="n">
        <v>60</v>
      </c>
      <c r="B478" s="171" t="n">
        <v>64</v>
      </c>
      <c r="C478" s="171" t="inlineStr">
        <is>
          <t>Extra Negocios NIF 5</t>
        </is>
      </c>
      <c r="D478" s="170" t="n"/>
      <c r="E478" s="5" t="n"/>
      <c r="F478" s="5" t="n"/>
      <c r="G478" s="5" t="n"/>
      <c r="H478" s="5" t="n"/>
      <c r="I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  <c r="AY478" s="5" t="n"/>
      <c r="AZ478" s="5" t="n"/>
      <c r="BA478" s="5" t="n"/>
      <c r="BB478" s="5" t="n"/>
      <c r="BC478" s="5" t="n"/>
      <c r="BD478" s="5" t="n"/>
      <c r="BE478" s="5" t="n"/>
      <c r="BF478" s="5" t="n"/>
      <c r="BG478" s="5" t="n"/>
      <c r="BH478" s="5" t="n"/>
      <c r="BI478" s="5" t="n"/>
      <c r="BJ478" s="5" t="n"/>
      <c r="BK478" s="5" t="n"/>
      <c r="BL478" s="5" t="n"/>
      <c r="BM478" s="5" t="n"/>
      <c r="BN478" s="5" t="n"/>
      <c r="BO478" s="5" t="n"/>
      <c r="BP478" s="5" t="n"/>
      <c r="BQ478" s="5" t="n"/>
      <c r="BR478" s="5" t="n"/>
      <c r="BS478" s="5" t="n"/>
      <c r="BT478" s="5" t="n"/>
      <c r="BU478" s="5" t="n"/>
      <c r="BV478" s="5" t="n"/>
      <c r="BW478" s="5" t="n"/>
      <c r="BX478" s="5" t="n"/>
      <c r="BY478" s="5" t="n"/>
      <c r="BZ478" s="5" t="n"/>
      <c r="CA478" s="5" t="n"/>
      <c r="CB478" s="5" t="n"/>
      <c r="CC478" s="5" t="n"/>
      <c r="CD478" s="5" t="n"/>
      <c r="CE478" s="5" t="n"/>
      <c r="CF478" s="5" t="n"/>
    </row>
    <row r="479" ht="16.5" customHeight="1" s="241">
      <c r="A479" s="171" t="n">
        <v>65</v>
      </c>
      <c r="B479" s="171" t="n">
        <v>69</v>
      </c>
      <c r="C479" s="171" t="inlineStr">
        <is>
          <t>Extra Negocios NIF 5</t>
        </is>
      </c>
      <c r="D479" s="170" t="n"/>
      <c r="E479" s="5" t="n"/>
      <c r="F479" s="5" t="n"/>
      <c r="G479" s="5" t="n"/>
      <c r="H479" s="5" t="n"/>
      <c r="I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  <c r="BN479" s="5" t="n"/>
      <c r="BO479" s="5" t="n"/>
      <c r="BP479" s="5" t="n"/>
      <c r="BQ479" s="5" t="n"/>
      <c r="BR479" s="5" t="n"/>
      <c r="BS479" s="5" t="n"/>
      <c r="BT479" s="5" t="n"/>
      <c r="BU479" s="5" t="n"/>
      <c r="BV479" s="5" t="n"/>
      <c r="BW479" s="5" t="n"/>
      <c r="BX479" s="5" t="n"/>
      <c r="BY479" s="5" t="n"/>
      <c r="BZ479" s="5" t="n"/>
      <c r="CA479" s="5" t="n"/>
      <c r="CB479" s="5" t="n"/>
      <c r="CC479" s="5" t="n"/>
      <c r="CD479" s="5" t="n"/>
      <c r="CE479" s="5" t="n"/>
      <c r="CF479" s="5" t="n"/>
    </row>
    <row r="480" ht="16.5" customHeight="1" s="241">
      <c r="A480" s="171" t="n">
        <v>70</v>
      </c>
      <c r="B480" s="171" t="n">
        <v>120</v>
      </c>
      <c r="C480" s="171" t="inlineStr">
        <is>
          <t>Extra Negocios NIF 5</t>
        </is>
      </c>
      <c r="D480" s="170" t="n"/>
      <c r="E480" s="5" t="n"/>
      <c r="F480" s="5" t="n"/>
      <c r="G480" s="5" t="n"/>
      <c r="H480" s="5" t="n"/>
      <c r="I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  <c r="AY480" s="5" t="n"/>
      <c r="AZ480" s="5" t="n"/>
      <c r="BA480" s="5" t="n"/>
      <c r="BB480" s="5" t="n"/>
      <c r="BC480" s="5" t="n"/>
      <c r="BD480" s="5" t="n"/>
      <c r="BE480" s="5" t="n"/>
      <c r="BF480" s="5" t="n"/>
      <c r="BG480" s="5" t="n"/>
      <c r="BH480" s="5" t="n"/>
      <c r="BI480" s="5" t="n"/>
      <c r="BJ480" s="5" t="n"/>
      <c r="BK480" s="5" t="n"/>
      <c r="BL480" s="5" t="n"/>
      <c r="BM480" s="5" t="n"/>
      <c r="BN480" s="5" t="n"/>
      <c r="BO480" s="5" t="n"/>
      <c r="BP480" s="5" t="n"/>
      <c r="BQ480" s="5" t="n"/>
      <c r="BR480" s="5" t="n"/>
      <c r="BS480" s="5" t="n"/>
      <c r="BT480" s="5" t="n"/>
      <c r="BU480" s="5" t="n"/>
      <c r="BV480" s="5" t="n"/>
      <c r="BW480" s="5" t="n"/>
      <c r="BX480" s="5" t="n"/>
      <c r="BY480" s="5" t="n"/>
      <c r="BZ480" s="5" t="n"/>
      <c r="CA480" s="5" t="n"/>
      <c r="CB480" s="5" t="n"/>
      <c r="CC480" s="5" t="n"/>
      <c r="CD480" s="5" t="n"/>
      <c r="CE480" s="5" t="n"/>
      <c r="CF480" s="5" t="n"/>
    </row>
    <row r="481" ht="16.5" customHeight="1" s="241">
      <c r="A481" s="171" t="n">
        <v>0</v>
      </c>
      <c r="B481" s="171" t="n">
        <v>24</v>
      </c>
      <c r="C481" s="171" t="inlineStr">
        <is>
          <t>Extra Negocios NIF 6</t>
        </is>
      </c>
      <c r="D481" s="170" t="n"/>
      <c r="E481" s="5" t="n"/>
      <c r="F481" s="5" t="n"/>
      <c r="G481" s="5" t="n"/>
      <c r="H481" s="5" t="n"/>
      <c r="I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  <c r="BG481" s="5" t="n"/>
      <c r="BH481" s="5" t="n"/>
      <c r="BI481" s="5" t="n"/>
      <c r="BJ481" s="5" t="n"/>
      <c r="BK481" s="5" t="n"/>
      <c r="BL481" s="5" t="n"/>
      <c r="BM481" s="5" t="n"/>
      <c r="BN481" s="5" t="n"/>
      <c r="BO481" s="5" t="n"/>
      <c r="BP481" s="5" t="n"/>
      <c r="BQ481" s="5" t="n"/>
      <c r="BR481" s="5" t="n"/>
      <c r="BS481" s="5" t="n"/>
      <c r="BT481" s="5" t="n"/>
      <c r="BU481" s="5" t="n"/>
      <c r="BV481" s="5" t="n"/>
      <c r="BW481" s="5" t="n"/>
      <c r="BX481" s="5" t="n"/>
      <c r="BY481" s="5" t="n"/>
      <c r="BZ481" s="5" t="n"/>
      <c r="CA481" s="5" t="n"/>
      <c r="CB481" s="5" t="n"/>
      <c r="CC481" s="5" t="n"/>
      <c r="CD481" s="5" t="n"/>
      <c r="CE481" s="5" t="n"/>
      <c r="CF481" s="5" t="n"/>
    </row>
    <row r="482" ht="16.5" customHeight="1" s="241">
      <c r="A482" s="171" t="n">
        <v>25</v>
      </c>
      <c r="B482" s="171" t="n">
        <v>44</v>
      </c>
      <c r="C482" s="171" t="inlineStr">
        <is>
          <t>Extra Negocios NIF 6</t>
        </is>
      </c>
      <c r="D482" s="170" t="n"/>
      <c r="E482" s="5" t="n"/>
      <c r="F482" s="5" t="n"/>
      <c r="G482" s="5" t="n"/>
      <c r="H482" s="5" t="n"/>
      <c r="I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  <c r="AY482" s="5" t="n"/>
      <c r="AZ482" s="5" t="n"/>
      <c r="BA482" s="5" t="n"/>
      <c r="BB482" s="5" t="n"/>
      <c r="BC482" s="5" t="n"/>
      <c r="BD482" s="5" t="n"/>
      <c r="BE482" s="5" t="n"/>
      <c r="BF482" s="5" t="n"/>
      <c r="BG482" s="5" t="n"/>
      <c r="BH482" s="5" t="n"/>
      <c r="BI482" s="5" t="n"/>
      <c r="BJ482" s="5" t="n"/>
      <c r="BK482" s="5" t="n"/>
      <c r="BL482" s="5" t="n"/>
      <c r="BM482" s="5" t="n"/>
      <c r="BN482" s="5" t="n"/>
      <c r="BO482" s="5" t="n"/>
      <c r="BP482" s="5" t="n"/>
      <c r="BQ482" s="5" t="n"/>
      <c r="BR482" s="5" t="n"/>
      <c r="BS482" s="5" t="n"/>
      <c r="BT482" s="5" t="n"/>
      <c r="BU482" s="5" t="n"/>
      <c r="BV482" s="5" t="n"/>
      <c r="BW482" s="5" t="n"/>
      <c r="BX482" s="5" t="n"/>
      <c r="BY482" s="5" t="n"/>
      <c r="BZ482" s="5" t="n"/>
      <c r="CA482" s="5" t="n"/>
      <c r="CB482" s="5" t="n"/>
      <c r="CC482" s="5" t="n"/>
      <c r="CD482" s="5" t="n"/>
      <c r="CE482" s="5" t="n"/>
      <c r="CF482" s="5" t="n"/>
    </row>
    <row r="483" ht="16.5" customHeight="1" s="241">
      <c r="A483" s="171" t="n">
        <v>45</v>
      </c>
      <c r="B483" s="171" t="n">
        <v>54</v>
      </c>
      <c r="C483" s="171" t="inlineStr">
        <is>
          <t>Extra Negocios NIF 6</t>
        </is>
      </c>
      <c r="D483" s="170" t="n"/>
      <c r="E483" s="5" t="n"/>
      <c r="F483" s="5" t="n"/>
      <c r="G483" s="5" t="n"/>
      <c r="H483" s="5" t="n"/>
      <c r="I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  <c r="BG483" s="5" t="n"/>
      <c r="BH483" s="5" t="n"/>
      <c r="BI483" s="5" t="n"/>
      <c r="BJ483" s="5" t="n"/>
      <c r="BK483" s="5" t="n"/>
      <c r="BL483" s="5" t="n"/>
      <c r="BM483" s="5" t="n"/>
      <c r="BN483" s="5" t="n"/>
      <c r="BO483" s="5" t="n"/>
      <c r="BP483" s="5" t="n"/>
      <c r="BQ483" s="5" t="n"/>
      <c r="BR483" s="5" t="n"/>
      <c r="BS483" s="5" t="n"/>
      <c r="BT483" s="5" t="n"/>
      <c r="BU483" s="5" t="n"/>
      <c r="BV483" s="5" t="n"/>
      <c r="BW483" s="5" t="n"/>
      <c r="BX483" s="5" t="n"/>
      <c r="BY483" s="5" t="n"/>
      <c r="BZ483" s="5" t="n"/>
      <c r="CA483" s="5" t="n"/>
      <c r="CB483" s="5" t="n"/>
      <c r="CC483" s="5" t="n"/>
      <c r="CD483" s="5" t="n"/>
      <c r="CE483" s="5" t="n"/>
      <c r="CF483" s="5" t="n"/>
    </row>
    <row r="484" ht="16.5" customHeight="1" s="241">
      <c r="A484" s="171" t="n">
        <v>55</v>
      </c>
      <c r="B484" s="171" t="n">
        <v>59</v>
      </c>
      <c r="C484" s="171" t="inlineStr">
        <is>
          <t>Extra Negocios NIF 6</t>
        </is>
      </c>
      <c r="D484" s="170" t="n"/>
      <c r="E484" s="5" t="n"/>
      <c r="F484" s="5" t="n"/>
      <c r="G484" s="5" t="n"/>
      <c r="H484" s="5" t="n"/>
      <c r="I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  <c r="AY484" s="5" t="n"/>
      <c r="AZ484" s="5" t="n"/>
      <c r="BA484" s="5" t="n"/>
      <c r="BB484" s="5" t="n"/>
      <c r="BC484" s="5" t="n"/>
      <c r="BD484" s="5" t="n"/>
      <c r="BE484" s="5" t="n"/>
      <c r="BF484" s="5" t="n"/>
      <c r="BG484" s="5" t="n"/>
      <c r="BH484" s="5" t="n"/>
      <c r="BI484" s="5" t="n"/>
      <c r="BJ484" s="5" t="n"/>
      <c r="BK484" s="5" t="n"/>
      <c r="BL484" s="5" t="n"/>
      <c r="BM484" s="5" t="n"/>
      <c r="BN484" s="5" t="n"/>
      <c r="BO484" s="5" t="n"/>
      <c r="BP484" s="5" t="n"/>
      <c r="BQ484" s="5" t="n"/>
      <c r="BR484" s="5" t="n"/>
      <c r="BS484" s="5" t="n"/>
      <c r="BT484" s="5" t="n"/>
      <c r="BU484" s="5" t="n"/>
      <c r="BV484" s="5" t="n"/>
      <c r="BW484" s="5" t="n"/>
      <c r="BX484" s="5" t="n"/>
      <c r="BY484" s="5" t="n"/>
      <c r="BZ484" s="5" t="n"/>
      <c r="CA484" s="5" t="n"/>
      <c r="CB484" s="5" t="n"/>
      <c r="CC484" s="5" t="n"/>
      <c r="CD484" s="5" t="n"/>
      <c r="CE484" s="5" t="n"/>
      <c r="CF484" s="5" t="n"/>
    </row>
    <row r="485" ht="16.5" customHeight="1" s="241">
      <c r="A485" s="171" t="n">
        <v>60</v>
      </c>
      <c r="B485" s="171" t="n">
        <v>64</v>
      </c>
      <c r="C485" s="171" t="inlineStr">
        <is>
          <t>Extra Negocios NIF 6</t>
        </is>
      </c>
      <c r="D485" s="170" t="n"/>
      <c r="E485" s="5" t="n"/>
      <c r="F485" s="5" t="n"/>
      <c r="G485" s="5" t="n"/>
      <c r="H485" s="5" t="n"/>
      <c r="I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/>
      <c r="BJ485" s="5" t="n"/>
      <c r="BK485" s="5" t="n"/>
      <c r="BL485" s="5" t="n"/>
      <c r="BM485" s="5" t="n"/>
      <c r="BN485" s="5" t="n"/>
      <c r="BO485" s="5" t="n"/>
      <c r="BP485" s="5" t="n"/>
      <c r="BQ485" s="5" t="n"/>
      <c r="BR485" s="5" t="n"/>
      <c r="BS485" s="5" t="n"/>
      <c r="BT485" s="5" t="n"/>
      <c r="BU485" s="5" t="n"/>
      <c r="BV485" s="5" t="n"/>
      <c r="BW485" s="5" t="n"/>
      <c r="BX485" s="5" t="n"/>
      <c r="BY485" s="5" t="n"/>
      <c r="BZ485" s="5" t="n"/>
      <c r="CA485" s="5" t="n"/>
      <c r="CB485" s="5" t="n"/>
      <c r="CC485" s="5" t="n"/>
      <c r="CD485" s="5" t="n"/>
      <c r="CE485" s="5" t="n"/>
      <c r="CF485" s="5" t="n"/>
    </row>
    <row r="486" ht="16.5" customHeight="1" s="241">
      <c r="A486" s="171" t="n">
        <v>65</v>
      </c>
      <c r="B486" s="171" t="n">
        <v>69</v>
      </c>
      <c r="C486" s="171" t="inlineStr">
        <is>
          <t>Extra Negocios NIF 6</t>
        </is>
      </c>
      <c r="D486" s="170" t="n"/>
      <c r="E486" s="5" t="n"/>
      <c r="F486" s="5" t="n"/>
      <c r="G486" s="5" t="n"/>
      <c r="H486" s="5" t="n"/>
      <c r="I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  <c r="AY486" s="5" t="n"/>
      <c r="AZ486" s="5" t="n"/>
      <c r="BA486" s="5" t="n"/>
      <c r="BB486" s="5" t="n"/>
      <c r="BC486" s="5" t="n"/>
      <c r="BD486" s="5" t="n"/>
      <c r="BE486" s="5" t="n"/>
      <c r="BF486" s="5" t="n"/>
      <c r="BG486" s="5" t="n"/>
      <c r="BH486" s="5" t="n"/>
      <c r="BI486" s="5" t="n"/>
      <c r="BJ486" s="5" t="n"/>
      <c r="BK486" s="5" t="n"/>
      <c r="BL486" s="5" t="n"/>
      <c r="BM486" s="5" t="n"/>
      <c r="BN486" s="5" t="n"/>
      <c r="BO486" s="5" t="n"/>
      <c r="BP486" s="5" t="n"/>
      <c r="BQ486" s="5" t="n"/>
      <c r="BR486" s="5" t="n"/>
      <c r="BS486" s="5" t="n"/>
      <c r="BT486" s="5" t="n"/>
      <c r="BU486" s="5" t="n"/>
      <c r="BV486" s="5" t="n"/>
      <c r="BW486" s="5" t="n"/>
      <c r="BX486" s="5" t="n"/>
      <c r="BY486" s="5" t="n"/>
      <c r="BZ486" s="5" t="n"/>
      <c r="CA486" s="5" t="n"/>
      <c r="CB486" s="5" t="n"/>
      <c r="CC486" s="5" t="n"/>
      <c r="CD486" s="5" t="n"/>
      <c r="CE486" s="5" t="n"/>
      <c r="CF486" s="5" t="n"/>
    </row>
    <row r="487" ht="16.5" customHeight="1" s="241">
      <c r="A487" s="171" t="n">
        <v>70</v>
      </c>
      <c r="B487" s="171" t="n">
        <v>120</v>
      </c>
      <c r="C487" s="171" t="inlineStr">
        <is>
          <t>Extra Negocios NIF 6</t>
        </is>
      </c>
      <c r="D487" s="170" t="n"/>
      <c r="E487" s="5" t="n"/>
      <c r="F487" s="5" t="n"/>
      <c r="G487" s="5" t="n"/>
      <c r="H487" s="5" t="n"/>
      <c r="I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/>
      <c r="BJ487" s="5" t="n"/>
      <c r="BK487" s="5" t="n"/>
      <c r="BL487" s="5" t="n"/>
      <c r="BM487" s="5" t="n"/>
      <c r="BN487" s="5" t="n"/>
      <c r="BO487" s="5" t="n"/>
      <c r="BP487" s="5" t="n"/>
      <c r="BQ487" s="5" t="n"/>
      <c r="BR487" s="5" t="n"/>
      <c r="BS487" s="5" t="n"/>
      <c r="BT487" s="5" t="n"/>
      <c r="BU487" s="5" t="n"/>
      <c r="BV487" s="5" t="n"/>
      <c r="BW487" s="5" t="n"/>
      <c r="BX487" s="5" t="n"/>
      <c r="BY487" s="5" t="n"/>
      <c r="BZ487" s="5" t="n"/>
      <c r="CA487" s="5" t="n"/>
      <c r="CB487" s="5" t="n"/>
      <c r="CC487" s="5" t="n"/>
      <c r="CD487" s="5" t="n"/>
      <c r="CE487" s="5" t="n"/>
      <c r="CF487" s="5" t="n"/>
    </row>
    <row r="488" ht="16.5" customHeight="1" s="241">
      <c r="A488" s="171" t="n">
        <v>0</v>
      </c>
      <c r="B488" s="171" t="n">
        <v>24</v>
      </c>
      <c r="C488" s="171" t="inlineStr">
        <is>
          <t>Plena Extra 150 1</t>
        </is>
      </c>
      <c r="D488" s="170" t="n">
        <v>90</v>
      </c>
      <c r="E488" s="5" t="n"/>
      <c r="F488" s="5" t="n"/>
      <c r="G488" s="5" t="n"/>
      <c r="H488" s="5" t="n"/>
      <c r="I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  <c r="BG488" s="5" t="n"/>
      <c r="BH488" s="5" t="n"/>
      <c r="BI488" s="5" t="n"/>
      <c r="BJ488" s="5" t="n"/>
      <c r="BK488" s="5" t="n"/>
      <c r="BL488" s="5" t="n"/>
      <c r="BM488" s="5" t="n"/>
      <c r="BN488" s="5" t="n"/>
      <c r="BO488" s="5" t="n"/>
      <c r="BP488" s="5" t="n"/>
      <c r="BQ488" s="5" t="n"/>
      <c r="BR488" s="5" t="n"/>
      <c r="BS488" s="5" t="n"/>
      <c r="BT488" s="5" t="n"/>
      <c r="BU488" s="5" t="n"/>
      <c r="BV488" s="5" t="n"/>
      <c r="BW488" s="5" t="n"/>
      <c r="BX488" s="5" t="n"/>
      <c r="BY488" s="5" t="n"/>
      <c r="BZ488" s="5" t="n"/>
      <c r="CA488" s="5" t="n"/>
      <c r="CB488" s="5" t="n"/>
      <c r="CC488" s="5" t="n"/>
      <c r="CD488" s="5" t="n"/>
      <c r="CE488" s="5" t="n"/>
      <c r="CF488" s="5" t="n"/>
    </row>
    <row r="489" ht="16.5" customHeight="1" s="241">
      <c r="A489" s="171" t="n">
        <v>25</v>
      </c>
      <c r="B489" s="171" t="n">
        <v>44</v>
      </c>
      <c r="C489" s="171" t="inlineStr">
        <is>
          <t>Plena Extra 150 1</t>
        </is>
      </c>
      <c r="D489" s="170" t="n">
        <v>106</v>
      </c>
      <c r="E489" s="5" t="n"/>
      <c r="F489" s="5" t="n"/>
      <c r="G489" s="5" t="n"/>
      <c r="H489" s="5" t="n"/>
      <c r="I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  <c r="BG489" s="5" t="n"/>
      <c r="BH489" s="5" t="n"/>
      <c r="BI489" s="5" t="n"/>
      <c r="BJ489" s="5" t="n"/>
      <c r="BK489" s="5" t="n"/>
      <c r="BL489" s="5" t="n"/>
      <c r="BM489" s="5" t="n"/>
      <c r="BN489" s="5" t="n"/>
      <c r="BO489" s="5" t="n"/>
      <c r="BP489" s="5" t="n"/>
      <c r="BQ489" s="5" t="n"/>
      <c r="BR489" s="5" t="n"/>
      <c r="BS489" s="5" t="n"/>
      <c r="BT489" s="5" t="n"/>
      <c r="BU489" s="5" t="n"/>
      <c r="BV489" s="5" t="n"/>
      <c r="BW489" s="5" t="n"/>
      <c r="BX489" s="5" t="n"/>
      <c r="BY489" s="5" t="n"/>
      <c r="BZ489" s="5" t="n"/>
      <c r="CA489" s="5" t="n"/>
      <c r="CB489" s="5" t="n"/>
      <c r="CC489" s="5" t="n"/>
      <c r="CD489" s="5" t="n"/>
      <c r="CE489" s="5" t="n"/>
      <c r="CF489" s="5" t="n"/>
    </row>
    <row r="490" ht="16.5" customHeight="1" s="241">
      <c r="A490" s="171" t="n">
        <v>45</v>
      </c>
      <c r="B490" s="171" t="n">
        <v>54</v>
      </c>
      <c r="C490" s="171" t="inlineStr">
        <is>
          <t>Plena Extra 150 1</t>
        </is>
      </c>
      <c r="D490" s="170" t="n">
        <v>112</v>
      </c>
      <c r="E490" s="5" t="n"/>
      <c r="F490" s="5" t="n"/>
      <c r="G490" s="5" t="n"/>
      <c r="H490" s="5" t="n"/>
      <c r="I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  <c r="AY490" s="5" t="n"/>
      <c r="AZ490" s="5" t="n"/>
      <c r="BA490" s="5" t="n"/>
      <c r="BB490" s="5" t="n"/>
      <c r="BC490" s="5" t="n"/>
      <c r="BD490" s="5" t="n"/>
      <c r="BE490" s="5" t="n"/>
      <c r="BF490" s="5" t="n"/>
      <c r="BG490" s="5" t="n"/>
      <c r="BH490" s="5" t="n"/>
      <c r="BI490" s="5" t="n"/>
      <c r="BJ490" s="5" t="n"/>
      <c r="BK490" s="5" t="n"/>
      <c r="BL490" s="5" t="n"/>
      <c r="BM490" s="5" t="n"/>
      <c r="BN490" s="5" t="n"/>
      <c r="BO490" s="5" t="n"/>
      <c r="BP490" s="5" t="n"/>
      <c r="BQ490" s="5" t="n"/>
      <c r="BR490" s="5" t="n"/>
      <c r="BS490" s="5" t="n"/>
      <c r="BT490" s="5" t="n"/>
      <c r="BU490" s="5" t="n"/>
      <c r="BV490" s="5" t="n"/>
      <c r="BW490" s="5" t="n"/>
      <c r="BX490" s="5" t="n"/>
      <c r="BY490" s="5" t="n"/>
      <c r="BZ490" s="5" t="n"/>
      <c r="CA490" s="5" t="n"/>
      <c r="CB490" s="5" t="n"/>
      <c r="CC490" s="5" t="n"/>
      <c r="CD490" s="5" t="n"/>
      <c r="CE490" s="5" t="n"/>
      <c r="CF490" s="5" t="n"/>
    </row>
    <row r="491" ht="16.5" customHeight="1" s="241">
      <c r="A491" s="171" t="n">
        <v>55</v>
      </c>
      <c r="B491" s="171" t="n">
        <v>59</v>
      </c>
      <c r="C491" s="171" t="inlineStr">
        <is>
          <t>Plena Extra 150 1</t>
        </is>
      </c>
      <c r="D491" s="170" t="n">
        <v>174</v>
      </c>
      <c r="E491" s="5" t="n"/>
      <c r="F491" s="5" t="n"/>
      <c r="G491" s="5" t="n"/>
      <c r="H491" s="5" t="n"/>
      <c r="I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/>
      <c r="BJ491" s="5" t="n"/>
      <c r="BK491" s="5" t="n"/>
      <c r="BL491" s="5" t="n"/>
      <c r="BM491" s="5" t="n"/>
      <c r="BN491" s="5" t="n"/>
      <c r="BO491" s="5" t="n"/>
      <c r="BP491" s="5" t="n"/>
      <c r="BQ491" s="5" t="n"/>
      <c r="BR491" s="5" t="n"/>
      <c r="BS491" s="5" t="n"/>
      <c r="BT491" s="5" t="n"/>
      <c r="BU491" s="5" t="n"/>
      <c r="BV491" s="5" t="n"/>
      <c r="BW491" s="5" t="n"/>
      <c r="BX491" s="5" t="n"/>
      <c r="BY491" s="5" t="n"/>
      <c r="BZ491" s="5" t="n"/>
      <c r="CA491" s="5" t="n"/>
      <c r="CB491" s="5" t="n"/>
      <c r="CC491" s="5" t="n"/>
      <c r="CD491" s="5" t="n"/>
      <c r="CE491" s="5" t="n"/>
      <c r="CF491" s="5" t="n"/>
    </row>
    <row r="492" ht="16.5" customHeight="1" s="241">
      <c r="A492" s="171" t="n">
        <v>60</v>
      </c>
      <c r="B492" s="171" t="n">
        <v>64</v>
      </c>
      <c r="C492" s="171" t="inlineStr">
        <is>
          <t>Plena Extra 150 1</t>
        </is>
      </c>
      <c r="D492" s="170" t="n">
        <v>206</v>
      </c>
      <c r="E492" s="5" t="n"/>
      <c r="F492" s="5" t="n"/>
      <c r="G492" s="5" t="n"/>
      <c r="H492" s="5" t="n"/>
      <c r="I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  <c r="BG492" s="5" t="n"/>
      <c r="BH492" s="5" t="n"/>
      <c r="BI492" s="5" t="n"/>
      <c r="BJ492" s="5" t="n"/>
      <c r="BK492" s="5" t="n"/>
      <c r="BL492" s="5" t="n"/>
      <c r="BM492" s="5" t="n"/>
      <c r="BN492" s="5" t="n"/>
      <c r="BO492" s="5" t="n"/>
      <c r="BP492" s="5" t="n"/>
      <c r="BQ492" s="5" t="n"/>
      <c r="BR492" s="5" t="n"/>
      <c r="BS492" s="5" t="n"/>
      <c r="BT492" s="5" t="n"/>
      <c r="BU492" s="5" t="n"/>
      <c r="BV492" s="5" t="n"/>
      <c r="BW492" s="5" t="n"/>
      <c r="BX492" s="5" t="n"/>
      <c r="BY492" s="5" t="n"/>
      <c r="BZ492" s="5" t="n"/>
      <c r="CA492" s="5" t="n"/>
      <c r="CB492" s="5" t="n"/>
      <c r="CC492" s="5" t="n"/>
      <c r="CD492" s="5" t="n"/>
      <c r="CE492" s="5" t="n"/>
      <c r="CF492" s="5" t="n"/>
    </row>
    <row r="493" ht="16.5" customHeight="1" s="241">
      <c r="A493" s="171" t="n">
        <v>65</v>
      </c>
      <c r="B493" s="171" t="n">
        <v>69</v>
      </c>
      <c r="C493" s="171" t="inlineStr">
        <is>
          <t>Plena Extra 150 1</t>
        </is>
      </c>
      <c r="D493" s="170" t="n">
        <v>293</v>
      </c>
      <c r="E493" s="5" t="n"/>
      <c r="F493" s="5" t="n"/>
      <c r="G493" s="5" t="n"/>
      <c r="H493" s="5" t="n"/>
      <c r="I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  <c r="BG493" s="5" t="n"/>
      <c r="BH493" s="5" t="n"/>
      <c r="BI493" s="5" t="n"/>
      <c r="BJ493" s="5" t="n"/>
      <c r="BK493" s="5" t="n"/>
      <c r="BL493" s="5" t="n"/>
      <c r="BM493" s="5" t="n"/>
      <c r="BN493" s="5" t="n"/>
      <c r="BO493" s="5" t="n"/>
      <c r="BP493" s="5" t="n"/>
      <c r="BQ493" s="5" t="n"/>
      <c r="BR493" s="5" t="n"/>
      <c r="BS493" s="5" t="n"/>
      <c r="BT493" s="5" t="n"/>
      <c r="BU493" s="5" t="n"/>
      <c r="BV493" s="5" t="n"/>
      <c r="BW493" s="5" t="n"/>
      <c r="BX493" s="5" t="n"/>
      <c r="BY493" s="5" t="n"/>
      <c r="BZ493" s="5" t="n"/>
      <c r="CA493" s="5" t="n"/>
      <c r="CB493" s="5" t="n"/>
      <c r="CC493" s="5" t="n"/>
      <c r="CD493" s="5" t="n"/>
      <c r="CE493" s="5" t="n"/>
      <c r="CF493" s="5" t="n"/>
    </row>
    <row r="494" ht="16.5" customHeight="1" s="241">
      <c r="A494" s="171" t="n">
        <v>70</v>
      </c>
      <c r="B494" s="171" t="n">
        <v>120</v>
      </c>
      <c r="C494" s="171" t="inlineStr">
        <is>
          <t>Plena Extra 150 1</t>
        </is>
      </c>
      <c r="D494" s="170" t="n">
        <v>304</v>
      </c>
      <c r="E494" s="5" t="n"/>
      <c r="F494" s="5" t="n"/>
      <c r="G494" s="5" t="n"/>
      <c r="H494" s="5" t="n"/>
      <c r="I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  <c r="AY494" s="5" t="n"/>
      <c r="AZ494" s="5" t="n"/>
      <c r="BA494" s="5" t="n"/>
      <c r="BB494" s="5" t="n"/>
      <c r="BC494" s="5" t="n"/>
      <c r="BD494" s="5" t="n"/>
      <c r="BE494" s="5" t="n"/>
      <c r="BF494" s="5" t="n"/>
      <c r="BG494" s="5" t="n"/>
      <c r="BH494" s="5" t="n"/>
      <c r="BI494" s="5" t="n"/>
      <c r="BJ494" s="5" t="n"/>
      <c r="BK494" s="5" t="n"/>
      <c r="BL494" s="5" t="n"/>
      <c r="BM494" s="5" t="n"/>
      <c r="BN494" s="5" t="n"/>
      <c r="BO494" s="5" t="n"/>
      <c r="BP494" s="5" t="n"/>
      <c r="BQ494" s="5" t="n"/>
      <c r="BR494" s="5" t="n"/>
      <c r="BS494" s="5" t="n"/>
      <c r="BT494" s="5" t="n"/>
      <c r="BU494" s="5" t="n"/>
      <c r="BV494" s="5" t="n"/>
      <c r="BW494" s="5" t="n"/>
      <c r="BX494" s="5" t="n"/>
      <c r="BY494" s="5" t="n"/>
      <c r="BZ494" s="5" t="n"/>
      <c r="CA494" s="5" t="n"/>
      <c r="CB494" s="5" t="n"/>
      <c r="CC494" s="5" t="n"/>
      <c r="CD494" s="5" t="n"/>
      <c r="CE494" s="5" t="n"/>
      <c r="CF494" s="5" t="n"/>
    </row>
    <row r="495" ht="16.5" customHeight="1" s="241">
      <c r="A495" s="171" t="n">
        <v>0</v>
      </c>
      <c r="B495" s="171" t="n">
        <v>24</v>
      </c>
      <c r="C495" s="171" t="inlineStr">
        <is>
          <t>Plena Extra 150 2</t>
        </is>
      </c>
      <c r="D495" s="170" t="n">
        <v>93</v>
      </c>
      <c r="E495" s="5" t="n"/>
      <c r="F495" s="5" t="n"/>
      <c r="G495" s="5" t="n"/>
      <c r="H495" s="5" t="n"/>
      <c r="I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/>
      <c r="BJ495" s="5" t="n"/>
      <c r="BK495" s="5" t="n"/>
      <c r="BL495" s="5" t="n"/>
      <c r="BM495" s="5" t="n"/>
      <c r="BN495" s="5" t="n"/>
      <c r="BO495" s="5" t="n"/>
      <c r="BP495" s="5" t="n"/>
      <c r="BQ495" s="5" t="n"/>
      <c r="BR495" s="5" t="n"/>
      <c r="BS495" s="5" t="n"/>
      <c r="BT495" s="5" t="n"/>
      <c r="BU495" s="5" t="n"/>
      <c r="BV495" s="5" t="n"/>
      <c r="BW495" s="5" t="n"/>
      <c r="BX495" s="5" t="n"/>
      <c r="BY495" s="5" t="n"/>
      <c r="BZ495" s="5" t="n"/>
      <c r="CA495" s="5" t="n"/>
      <c r="CB495" s="5" t="n"/>
      <c r="CC495" s="5" t="n"/>
      <c r="CD495" s="5" t="n"/>
      <c r="CE495" s="5" t="n"/>
      <c r="CF495" s="5" t="n"/>
    </row>
    <row r="496" ht="16.5" customHeight="1" s="241">
      <c r="A496" s="171" t="n">
        <v>25</v>
      </c>
      <c r="B496" s="171" t="n">
        <v>44</v>
      </c>
      <c r="C496" s="171" t="inlineStr">
        <is>
          <t>Plena Extra 150 2</t>
        </is>
      </c>
      <c r="D496" s="170" t="n">
        <v>110</v>
      </c>
      <c r="E496" s="5" t="n"/>
      <c r="F496" s="5" t="n"/>
      <c r="G496" s="5" t="n"/>
      <c r="H496" s="5" t="n"/>
      <c r="I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  <c r="AY496" s="5" t="n"/>
      <c r="AZ496" s="5" t="n"/>
      <c r="BA496" s="5" t="n"/>
      <c r="BB496" s="5" t="n"/>
      <c r="BC496" s="5" t="n"/>
      <c r="BD496" s="5" t="n"/>
      <c r="BE496" s="5" t="n"/>
      <c r="BF496" s="5" t="n"/>
      <c r="BG496" s="5" t="n"/>
      <c r="BH496" s="5" t="n"/>
      <c r="BI496" s="5" t="n"/>
      <c r="BJ496" s="5" t="n"/>
      <c r="BK496" s="5" t="n"/>
      <c r="BL496" s="5" t="n"/>
      <c r="BM496" s="5" t="n"/>
      <c r="BN496" s="5" t="n"/>
      <c r="BO496" s="5" t="n"/>
      <c r="BP496" s="5" t="n"/>
      <c r="BQ496" s="5" t="n"/>
      <c r="BR496" s="5" t="n"/>
      <c r="BS496" s="5" t="n"/>
      <c r="BT496" s="5" t="n"/>
      <c r="BU496" s="5" t="n"/>
      <c r="BV496" s="5" t="n"/>
      <c r="BW496" s="5" t="n"/>
      <c r="BX496" s="5" t="n"/>
      <c r="BY496" s="5" t="n"/>
      <c r="BZ496" s="5" t="n"/>
      <c r="CA496" s="5" t="n"/>
      <c r="CB496" s="5" t="n"/>
      <c r="CC496" s="5" t="n"/>
      <c r="CD496" s="5" t="n"/>
      <c r="CE496" s="5" t="n"/>
      <c r="CF496" s="5" t="n"/>
    </row>
    <row r="497" ht="16.5" customHeight="1" s="241">
      <c r="A497" s="171" t="n">
        <v>45</v>
      </c>
      <c r="B497" s="171" t="n">
        <v>54</v>
      </c>
      <c r="C497" s="171" t="inlineStr">
        <is>
          <t>Plena Extra 150 2</t>
        </is>
      </c>
      <c r="D497" s="170" t="n">
        <v>118</v>
      </c>
      <c r="E497" s="5" t="n"/>
      <c r="F497" s="5" t="n"/>
      <c r="G497" s="5" t="n"/>
      <c r="H497" s="5" t="n"/>
      <c r="I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  <c r="BG497" s="5" t="n"/>
      <c r="BH497" s="5" t="n"/>
      <c r="BI497" s="5" t="n"/>
      <c r="BJ497" s="5" t="n"/>
      <c r="BK497" s="5" t="n"/>
      <c r="BL497" s="5" t="n"/>
      <c r="BM497" s="5" t="n"/>
      <c r="BN497" s="5" t="n"/>
      <c r="BO497" s="5" t="n"/>
      <c r="BP497" s="5" t="n"/>
      <c r="BQ497" s="5" t="n"/>
      <c r="BR497" s="5" t="n"/>
      <c r="BS497" s="5" t="n"/>
      <c r="BT497" s="5" t="n"/>
      <c r="BU497" s="5" t="n"/>
      <c r="BV497" s="5" t="n"/>
      <c r="BW497" s="5" t="n"/>
      <c r="BX497" s="5" t="n"/>
      <c r="BY497" s="5" t="n"/>
      <c r="BZ497" s="5" t="n"/>
      <c r="CA497" s="5" t="n"/>
      <c r="CB497" s="5" t="n"/>
      <c r="CC497" s="5" t="n"/>
      <c r="CD497" s="5" t="n"/>
      <c r="CE497" s="5" t="n"/>
      <c r="CF497" s="5" t="n"/>
    </row>
    <row r="498" ht="16.5" customHeight="1" s="241">
      <c r="A498" s="171" t="n">
        <v>55</v>
      </c>
      <c r="B498" s="171" t="n">
        <v>59</v>
      </c>
      <c r="C498" s="171" t="inlineStr">
        <is>
          <t>Plena Extra 150 2</t>
        </is>
      </c>
      <c r="D498" s="170" t="n">
        <v>180</v>
      </c>
      <c r="E498" s="5" t="n"/>
      <c r="F498" s="5" t="n"/>
      <c r="G498" s="5" t="n"/>
      <c r="H498" s="5" t="n"/>
      <c r="I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  <c r="AY498" s="5" t="n"/>
      <c r="AZ498" s="5" t="n"/>
      <c r="BA498" s="5" t="n"/>
      <c r="BB498" s="5" t="n"/>
      <c r="BC498" s="5" t="n"/>
      <c r="BD498" s="5" t="n"/>
      <c r="BE498" s="5" t="n"/>
      <c r="BF498" s="5" t="n"/>
      <c r="BG498" s="5" t="n"/>
      <c r="BH498" s="5" t="n"/>
      <c r="BI498" s="5" t="n"/>
      <c r="BJ498" s="5" t="n"/>
      <c r="BK498" s="5" t="n"/>
      <c r="BL498" s="5" t="n"/>
      <c r="BM498" s="5" t="n"/>
      <c r="BN498" s="5" t="n"/>
      <c r="BO498" s="5" t="n"/>
      <c r="BP498" s="5" t="n"/>
      <c r="BQ498" s="5" t="n"/>
      <c r="BR498" s="5" t="n"/>
      <c r="BS498" s="5" t="n"/>
      <c r="BT498" s="5" t="n"/>
      <c r="BU498" s="5" t="n"/>
      <c r="BV498" s="5" t="n"/>
      <c r="BW498" s="5" t="n"/>
      <c r="BX498" s="5" t="n"/>
      <c r="BY498" s="5" t="n"/>
      <c r="BZ498" s="5" t="n"/>
      <c r="CA498" s="5" t="n"/>
      <c r="CB498" s="5" t="n"/>
      <c r="CC498" s="5" t="n"/>
      <c r="CD498" s="5" t="n"/>
      <c r="CE498" s="5" t="n"/>
      <c r="CF498" s="5" t="n"/>
    </row>
    <row r="499" ht="16.5" customHeight="1" s="241">
      <c r="A499" s="171" t="n">
        <v>60</v>
      </c>
      <c r="B499" s="171" t="n">
        <v>64</v>
      </c>
      <c r="C499" s="171" t="inlineStr">
        <is>
          <t>Plena Extra 150 2</t>
        </is>
      </c>
      <c r="D499" s="170" t="n">
        <v>210</v>
      </c>
      <c r="E499" s="5" t="n"/>
      <c r="F499" s="5" t="n"/>
      <c r="G499" s="5" t="n"/>
      <c r="H499" s="5" t="n"/>
      <c r="I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/>
      <c r="BJ499" s="5" t="n"/>
      <c r="BK499" s="5" t="n"/>
      <c r="BL499" s="5" t="n"/>
      <c r="BM499" s="5" t="n"/>
      <c r="BN499" s="5" t="n"/>
      <c r="BO499" s="5" t="n"/>
      <c r="BP499" s="5" t="n"/>
      <c r="BQ499" s="5" t="n"/>
      <c r="BR499" s="5" t="n"/>
      <c r="BS499" s="5" t="n"/>
      <c r="BT499" s="5" t="n"/>
      <c r="BU499" s="5" t="n"/>
      <c r="BV499" s="5" t="n"/>
      <c r="BW499" s="5" t="n"/>
      <c r="BX499" s="5" t="n"/>
      <c r="BY499" s="5" t="n"/>
      <c r="BZ499" s="5" t="n"/>
      <c r="CA499" s="5" t="n"/>
      <c r="CB499" s="5" t="n"/>
      <c r="CC499" s="5" t="n"/>
      <c r="CD499" s="5" t="n"/>
      <c r="CE499" s="5" t="n"/>
      <c r="CF499" s="5" t="n"/>
    </row>
    <row r="500" ht="16.5" customHeight="1" s="241">
      <c r="A500" s="171" t="n">
        <v>65</v>
      </c>
      <c r="B500" s="171" t="n">
        <v>69</v>
      </c>
      <c r="C500" s="171" t="inlineStr">
        <is>
          <t>Plena Extra 150 2</t>
        </is>
      </c>
      <c r="D500" s="170" t="n">
        <v>301</v>
      </c>
      <c r="E500" s="5" t="n"/>
      <c r="F500" s="5" t="n"/>
      <c r="G500" s="5" t="n"/>
      <c r="H500" s="5" t="n"/>
      <c r="I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  <c r="AY500" s="5" t="n"/>
      <c r="AZ500" s="5" t="n"/>
      <c r="BA500" s="5" t="n"/>
      <c r="BB500" s="5" t="n"/>
      <c r="BC500" s="5" t="n"/>
      <c r="BD500" s="5" t="n"/>
      <c r="BE500" s="5" t="n"/>
      <c r="BF500" s="5" t="n"/>
      <c r="BG500" s="5" t="n"/>
      <c r="BH500" s="5" t="n"/>
      <c r="BI500" s="5" t="n"/>
      <c r="BJ500" s="5" t="n"/>
      <c r="BK500" s="5" t="n"/>
      <c r="BL500" s="5" t="n"/>
      <c r="BM500" s="5" t="n"/>
      <c r="BN500" s="5" t="n"/>
      <c r="BO500" s="5" t="n"/>
      <c r="BP500" s="5" t="n"/>
      <c r="BQ500" s="5" t="n"/>
      <c r="BR500" s="5" t="n"/>
      <c r="BS500" s="5" t="n"/>
      <c r="BT500" s="5" t="n"/>
      <c r="BU500" s="5" t="n"/>
      <c r="BV500" s="5" t="n"/>
      <c r="BW500" s="5" t="n"/>
      <c r="BX500" s="5" t="n"/>
      <c r="BY500" s="5" t="n"/>
      <c r="BZ500" s="5" t="n"/>
      <c r="CA500" s="5" t="n"/>
      <c r="CB500" s="5" t="n"/>
      <c r="CC500" s="5" t="n"/>
      <c r="CD500" s="5" t="n"/>
      <c r="CE500" s="5" t="n"/>
      <c r="CF500" s="5" t="n"/>
    </row>
    <row r="501" ht="16.5" customHeight="1" s="241">
      <c r="A501" s="171" t="n">
        <v>70</v>
      </c>
      <c r="B501" s="171" t="n">
        <v>120</v>
      </c>
      <c r="C501" s="171" t="inlineStr">
        <is>
          <t>Plena Extra 150 2</t>
        </is>
      </c>
      <c r="D501" s="170" t="n">
        <v>309</v>
      </c>
      <c r="E501" s="5" t="n"/>
      <c r="F501" s="5" t="n"/>
      <c r="G501" s="5" t="n"/>
      <c r="H501" s="5" t="n"/>
      <c r="I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  <c r="BG501" s="5" t="n"/>
      <c r="BH501" s="5" t="n"/>
      <c r="BI501" s="5" t="n"/>
      <c r="BJ501" s="5" t="n"/>
      <c r="BK501" s="5" t="n"/>
      <c r="BL501" s="5" t="n"/>
      <c r="BM501" s="5" t="n"/>
      <c r="BN501" s="5" t="n"/>
      <c r="BO501" s="5" t="n"/>
      <c r="BP501" s="5" t="n"/>
      <c r="BQ501" s="5" t="n"/>
      <c r="BR501" s="5" t="n"/>
      <c r="BS501" s="5" t="n"/>
      <c r="BT501" s="5" t="n"/>
      <c r="BU501" s="5" t="n"/>
      <c r="BV501" s="5" t="n"/>
      <c r="BW501" s="5" t="n"/>
      <c r="BX501" s="5" t="n"/>
      <c r="BY501" s="5" t="n"/>
      <c r="BZ501" s="5" t="n"/>
      <c r="CA501" s="5" t="n"/>
      <c r="CB501" s="5" t="n"/>
      <c r="CC501" s="5" t="n"/>
      <c r="CD501" s="5" t="n"/>
      <c r="CE501" s="5" t="n"/>
      <c r="CF501" s="5" t="n"/>
    </row>
    <row r="502" ht="16.5" customHeight="1" s="241">
      <c r="A502" s="171" t="n">
        <v>0</v>
      </c>
      <c r="B502" s="171" t="n">
        <v>24</v>
      </c>
      <c r="C502" s="171" t="inlineStr">
        <is>
          <t>Plena Extra 150 3</t>
        </is>
      </c>
      <c r="D502" s="170" t="n">
        <v>94</v>
      </c>
      <c r="E502" s="5" t="n"/>
      <c r="F502" s="5" t="n"/>
      <c r="G502" s="5" t="n"/>
      <c r="H502" s="5" t="n"/>
      <c r="I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  <c r="AY502" s="5" t="n"/>
      <c r="AZ502" s="5" t="n"/>
      <c r="BA502" s="5" t="n"/>
      <c r="BB502" s="5" t="n"/>
      <c r="BC502" s="5" t="n"/>
      <c r="BD502" s="5" t="n"/>
      <c r="BE502" s="5" t="n"/>
      <c r="BF502" s="5" t="n"/>
      <c r="BG502" s="5" t="n"/>
      <c r="BH502" s="5" t="n"/>
      <c r="BI502" s="5" t="n"/>
      <c r="BJ502" s="5" t="n"/>
      <c r="BK502" s="5" t="n"/>
      <c r="BL502" s="5" t="n"/>
      <c r="BM502" s="5" t="n"/>
      <c r="BN502" s="5" t="n"/>
      <c r="BO502" s="5" t="n"/>
      <c r="BP502" s="5" t="n"/>
      <c r="BQ502" s="5" t="n"/>
      <c r="BR502" s="5" t="n"/>
      <c r="BS502" s="5" t="n"/>
      <c r="BT502" s="5" t="n"/>
      <c r="BU502" s="5" t="n"/>
      <c r="BV502" s="5" t="n"/>
      <c r="BW502" s="5" t="n"/>
      <c r="BX502" s="5" t="n"/>
      <c r="BY502" s="5" t="n"/>
      <c r="BZ502" s="5" t="n"/>
      <c r="CA502" s="5" t="n"/>
      <c r="CB502" s="5" t="n"/>
      <c r="CC502" s="5" t="n"/>
      <c r="CD502" s="5" t="n"/>
      <c r="CE502" s="5" t="n"/>
      <c r="CF502" s="5" t="n"/>
    </row>
    <row r="503" ht="16.5" customHeight="1" s="241">
      <c r="A503" s="171" t="n">
        <v>25</v>
      </c>
      <c r="B503" s="171" t="n">
        <v>44</v>
      </c>
      <c r="C503" s="171" t="inlineStr">
        <is>
          <t>Plena Extra 150 3</t>
        </is>
      </c>
      <c r="D503" s="170" t="n">
        <v>111</v>
      </c>
      <c r="E503" s="5" t="n"/>
      <c r="F503" s="5" t="n"/>
      <c r="G503" s="5" t="n"/>
      <c r="H503" s="5" t="n"/>
      <c r="I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5" t="n"/>
      <c r="BL503" s="5" t="n"/>
      <c r="BM503" s="5" t="n"/>
      <c r="BN503" s="5" t="n"/>
      <c r="BO503" s="5" t="n"/>
      <c r="BP503" s="5" t="n"/>
      <c r="BQ503" s="5" t="n"/>
      <c r="BR503" s="5" t="n"/>
      <c r="BS503" s="5" t="n"/>
      <c r="BT503" s="5" t="n"/>
      <c r="BU503" s="5" t="n"/>
      <c r="BV503" s="5" t="n"/>
      <c r="BW503" s="5" t="n"/>
      <c r="BX503" s="5" t="n"/>
      <c r="BY503" s="5" t="n"/>
      <c r="BZ503" s="5" t="n"/>
      <c r="CA503" s="5" t="n"/>
      <c r="CB503" s="5" t="n"/>
      <c r="CC503" s="5" t="n"/>
      <c r="CD503" s="5" t="n"/>
      <c r="CE503" s="5" t="n"/>
      <c r="CF503" s="5" t="n"/>
    </row>
    <row r="504" ht="16.5" customHeight="1" s="241">
      <c r="A504" s="171" t="n">
        <v>45</v>
      </c>
      <c r="B504" s="171" t="n">
        <v>54</v>
      </c>
      <c r="C504" s="171" t="inlineStr">
        <is>
          <t>Plena Extra 150 3</t>
        </is>
      </c>
      <c r="D504" s="170" t="n">
        <v>119</v>
      </c>
      <c r="E504" s="5" t="n"/>
      <c r="F504" s="5" t="n"/>
      <c r="G504" s="5" t="n"/>
      <c r="H504" s="5" t="n"/>
      <c r="I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/>
      <c r="BJ504" s="5" t="n"/>
      <c r="BK504" s="5" t="n"/>
      <c r="BL504" s="5" t="n"/>
      <c r="BM504" s="5" t="n"/>
      <c r="BN504" s="5" t="n"/>
      <c r="BO504" s="5" t="n"/>
      <c r="BP504" s="5" t="n"/>
      <c r="BQ504" s="5" t="n"/>
      <c r="BR504" s="5" t="n"/>
      <c r="BS504" s="5" t="n"/>
      <c r="BT504" s="5" t="n"/>
      <c r="BU504" s="5" t="n"/>
      <c r="BV504" s="5" t="n"/>
      <c r="BW504" s="5" t="n"/>
      <c r="BX504" s="5" t="n"/>
      <c r="BY504" s="5" t="n"/>
      <c r="BZ504" s="5" t="n"/>
      <c r="CA504" s="5" t="n"/>
      <c r="CB504" s="5" t="n"/>
      <c r="CC504" s="5" t="n"/>
      <c r="CD504" s="5" t="n"/>
      <c r="CE504" s="5" t="n"/>
      <c r="CF504" s="5" t="n"/>
    </row>
    <row r="505" ht="16.5" customHeight="1" s="241">
      <c r="A505" s="171" t="n">
        <v>55</v>
      </c>
      <c r="B505" s="171" t="n">
        <v>59</v>
      </c>
      <c r="C505" s="171" t="inlineStr">
        <is>
          <t>Plena Extra 150 3</t>
        </is>
      </c>
      <c r="D505" s="170" t="n">
        <v>185</v>
      </c>
      <c r="E505" s="5" t="n"/>
      <c r="F505" s="5" t="n"/>
      <c r="G505" s="5" t="n"/>
      <c r="H505" s="5" t="n"/>
      <c r="I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/>
      <c r="BJ505" s="5" t="n"/>
      <c r="BK505" s="5" t="n"/>
      <c r="BL505" s="5" t="n"/>
      <c r="BM505" s="5" t="n"/>
      <c r="BN505" s="5" t="n"/>
      <c r="BO505" s="5" t="n"/>
      <c r="BP505" s="5" t="n"/>
      <c r="BQ505" s="5" t="n"/>
      <c r="BR505" s="5" t="n"/>
      <c r="BS505" s="5" t="n"/>
      <c r="BT505" s="5" t="n"/>
      <c r="BU505" s="5" t="n"/>
      <c r="BV505" s="5" t="n"/>
      <c r="BW505" s="5" t="n"/>
      <c r="BX505" s="5" t="n"/>
      <c r="BY505" s="5" t="n"/>
      <c r="BZ505" s="5" t="n"/>
      <c r="CA505" s="5" t="n"/>
      <c r="CB505" s="5" t="n"/>
      <c r="CC505" s="5" t="n"/>
      <c r="CD505" s="5" t="n"/>
      <c r="CE505" s="5" t="n"/>
      <c r="CF505" s="5" t="n"/>
    </row>
    <row r="506" ht="16.5" customHeight="1" s="241">
      <c r="A506" s="171" t="n">
        <v>60</v>
      </c>
      <c r="B506" s="171" t="n">
        <v>64</v>
      </c>
      <c r="C506" s="171" t="inlineStr">
        <is>
          <t>Plena Extra 150 3</t>
        </is>
      </c>
      <c r="D506" s="170" t="n">
        <v>215</v>
      </c>
      <c r="E506" s="5" t="n"/>
      <c r="F506" s="5" t="n"/>
      <c r="G506" s="5" t="n"/>
      <c r="H506" s="5" t="n"/>
      <c r="I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/>
      <c r="BJ506" s="5" t="n"/>
      <c r="BK506" s="5" t="n"/>
      <c r="BL506" s="5" t="n"/>
      <c r="BM506" s="5" t="n"/>
      <c r="BN506" s="5" t="n"/>
      <c r="BO506" s="5" t="n"/>
      <c r="BP506" s="5" t="n"/>
      <c r="BQ506" s="5" t="n"/>
      <c r="BR506" s="5" t="n"/>
      <c r="BS506" s="5" t="n"/>
      <c r="BT506" s="5" t="n"/>
      <c r="BU506" s="5" t="n"/>
      <c r="BV506" s="5" t="n"/>
      <c r="BW506" s="5" t="n"/>
      <c r="BX506" s="5" t="n"/>
      <c r="BY506" s="5" t="n"/>
      <c r="BZ506" s="5" t="n"/>
      <c r="CA506" s="5" t="n"/>
      <c r="CB506" s="5" t="n"/>
      <c r="CC506" s="5" t="n"/>
      <c r="CD506" s="5" t="n"/>
      <c r="CE506" s="5" t="n"/>
      <c r="CF506" s="5" t="n"/>
    </row>
    <row r="507" ht="16.5" customHeight="1" s="241">
      <c r="A507" s="171" t="n">
        <v>65</v>
      </c>
      <c r="B507" s="171" t="n">
        <v>69</v>
      </c>
      <c r="C507" s="171" t="inlineStr">
        <is>
          <t>Plena Extra 150 3</t>
        </is>
      </c>
      <c r="D507" s="170" t="n">
        <v>308</v>
      </c>
      <c r="E507" s="5" t="n"/>
      <c r="F507" s="5" t="n"/>
      <c r="G507" s="5" t="n"/>
      <c r="H507" s="5" t="n"/>
      <c r="I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/>
      <c r="BJ507" s="5" t="n"/>
      <c r="BK507" s="5" t="n"/>
      <c r="BL507" s="5" t="n"/>
      <c r="BM507" s="5" t="n"/>
      <c r="BN507" s="5" t="n"/>
      <c r="BO507" s="5" t="n"/>
      <c r="BP507" s="5" t="n"/>
      <c r="BQ507" s="5" t="n"/>
      <c r="BR507" s="5" t="n"/>
      <c r="BS507" s="5" t="n"/>
      <c r="BT507" s="5" t="n"/>
      <c r="BU507" s="5" t="n"/>
      <c r="BV507" s="5" t="n"/>
      <c r="BW507" s="5" t="n"/>
      <c r="BX507" s="5" t="n"/>
      <c r="BY507" s="5" t="n"/>
      <c r="BZ507" s="5" t="n"/>
      <c r="CA507" s="5" t="n"/>
      <c r="CB507" s="5" t="n"/>
      <c r="CC507" s="5" t="n"/>
      <c r="CD507" s="5" t="n"/>
      <c r="CE507" s="5" t="n"/>
      <c r="CF507" s="5" t="n"/>
    </row>
    <row r="508" ht="16.5" customHeight="1" s="241">
      <c r="A508" s="171" t="n">
        <v>70</v>
      </c>
      <c r="B508" s="171" t="n">
        <v>120</v>
      </c>
      <c r="C508" s="171" t="inlineStr">
        <is>
          <t>Plena Extra 150 3</t>
        </is>
      </c>
      <c r="D508" s="170" t="n">
        <v>319</v>
      </c>
      <c r="E508" s="5" t="n"/>
      <c r="F508" s="5" t="n"/>
      <c r="G508" s="5" t="n"/>
      <c r="H508" s="5" t="n"/>
      <c r="I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/>
      <c r="BJ508" s="5" t="n"/>
      <c r="BK508" s="5" t="n"/>
      <c r="BL508" s="5" t="n"/>
      <c r="BM508" s="5" t="n"/>
      <c r="BN508" s="5" t="n"/>
      <c r="BO508" s="5" t="n"/>
      <c r="BP508" s="5" t="n"/>
      <c r="BQ508" s="5" t="n"/>
      <c r="BR508" s="5" t="n"/>
      <c r="BS508" s="5" t="n"/>
      <c r="BT508" s="5" t="n"/>
      <c r="BU508" s="5" t="n"/>
      <c r="BV508" s="5" t="n"/>
      <c r="BW508" s="5" t="n"/>
      <c r="BX508" s="5" t="n"/>
      <c r="BY508" s="5" t="n"/>
      <c r="BZ508" s="5" t="n"/>
      <c r="CA508" s="5" t="n"/>
      <c r="CB508" s="5" t="n"/>
      <c r="CC508" s="5" t="n"/>
      <c r="CD508" s="5" t="n"/>
      <c r="CE508" s="5" t="n"/>
      <c r="CF508" s="5" t="n"/>
    </row>
    <row r="509" ht="16.5" customHeight="1" s="241">
      <c r="A509" s="171" t="n">
        <v>0</v>
      </c>
      <c r="B509" s="171" t="n">
        <v>24</v>
      </c>
      <c r="C509" s="171" t="inlineStr">
        <is>
          <t>Plena Extra 150 4</t>
        </is>
      </c>
      <c r="D509" s="170" t="n">
        <v>102</v>
      </c>
      <c r="E509" s="5" t="n"/>
      <c r="F509" s="5" t="n"/>
      <c r="G509" s="5" t="n"/>
      <c r="H509" s="5" t="n"/>
      <c r="I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5" t="n"/>
      <c r="BL509" s="5" t="n"/>
      <c r="BM509" s="5" t="n"/>
      <c r="BN509" s="5" t="n"/>
      <c r="BO509" s="5" t="n"/>
      <c r="BP509" s="5" t="n"/>
      <c r="BQ509" s="5" t="n"/>
      <c r="BR509" s="5" t="n"/>
      <c r="BS509" s="5" t="n"/>
      <c r="BT509" s="5" t="n"/>
      <c r="BU509" s="5" t="n"/>
      <c r="BV509" s="5" t="n"/>
      <c r="BW509" s="5" t="n"/>
      <c r="BX509" s="5" t="n"/>
      <c r="BY509" s="5" t="n"/>
      <c r="BZ509" s="5" t="n"/>
      <c r="CA509" s="5" t="n"/>
      <c r="CB509" s="5" t="n"/>
      <c r="CC509" s="5" t="n"/>
      <c r="CD509" s="5" t="n"/>
      <c r="CE509" s="5" t="n"/>
      <c r="CF509" s="5" t="n"/>
    </row>
    <row r="510" ht="16.5" customHeight="1" s="241">
      <c r="A510" s="171" t="n">
        <v>25</v>
      </c>
      <c r="B510" s="171" t="n">
        <v>44</v>
      </c>
      <c r="C510" s="171" t="inlineStr">
        <is>
          <t>Plena Extra 150 4</t>
        </is>
      </c>
      <c r="D510" s="170" t="n">
        <v>120</v>
      </c>
      <c r="E510" s="5" t="n"/>
      <c r="F510" s="5" t="n"/>
      <c r="G510" s="5" t="n"/>
      <c r="H510" s="5" t="n"/>
      <c r="I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  <c r="AY510" s="5" t="n"/>
      <c r="AZ510" s="5" t="n"/>
      <c r="BA510" s="5" t="n"/>
      <c r="BB510" s="5" t="n"/>
      <c r="BC510" s="5" t="n"/>
      <c r="BD510" s="5" t="n"/>
      <c r="BE510" s="5" t="n"/>
      <c r="BF510" s="5" t="n"/>
      <c r="BG510" s="5" t="n"/>
      <c r="BH510" s="5" t="n"/>
      <c r="BI510" s="5" t="n"/>
      <c r="BJ510" s="5" t="n"/>
      <c r="BK510" s="5" t="n"/>
      <c r="BL510" s="5" t="n"/>
      <c r="BM510" s="5" t="n"/>
      <c r="BN510" s="5" t="n"/>
      <c r="BO510" s="5" t="n"/>
      <c r="BP510" s="5" t="n"/>
      <c r="BQ510" s="5" t="n"/>
      <c r="BR510" s="5" t="n"/>
      <c r="BS510" s="5" t="n"/>
      <c r="BT510" s="5" t="n"/>
      <c r="BU510" s="5" t="n"/>
      <c r="BV510" s="5" t="n"/>
      <c r="BW510" s="5" t="n"/>
      <c r="BX510" s="5" t="n"/>
      <c r="BY510" s="5" t="n"/>
      <c r="BZ510" s="5" t="n"/>
      <c r="CA510" s="5" t="n"/>
      <c r="CB510" s="5" t="n"/>
      <c r="CC510" s="5" t="n"/>
      <c r="CD510" s="5" t="n"/>
      <c r="CE510" s="5" t="n"/>
      <c r="CF510" s="5" t="n"/>
    </row>
    <row r="511" ht="16.5" customHeight="1" s="241">
      <c r="A511" s="171" t="n">
        <v>45</v>
      </c>
      <c r="B511" s="171" t="n">
        <v>54</v>
      </c>
      <c r="C511" s="171" t="inlineStr">
        <is>
          <t>Plena Extra 150 4</t>
        </is>
      </c>
      <c r="D511" s="170">
        <f>129</f>
        <v/>
      </c>
      <c r="E511" s="5" t="n"/>
      <c r="F511" s="5" t="n"/>
      <c r="G511" s="5" t="n"/>
      <c r="H511" s="5" t="n"/>
      <c r="I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  <c r="BG511" s="5" t="n"/>
      <c r="BH511" s="5" t="n"/>
      <c r="BI511" s="5" t="n"/>
      <c r="BJ511" s="5" t="n"/>
      <c r="BK511" s="5" t="n"/>
      <c r="BL511" s="5" t="n"/>
      <c r="BM511" s="5" t="n"/>
      <c r="BN511" s="5" t="n"/>
      <c r="BO511" s="5" t="n"/>
      <c r="BP511" s="5" t="n"/>
      <c r="BQ511" s="5" t="n"/>
      <c r="BR511" s="5" t="n"/>
      <c r="BS511" s="5" t="n"/>
      <c r="BT511" s="5" t="n"/>
      <c r="BU511" s="5" t="n"/>
      <c r="BV511" s="5" t="n"/>
      <c r="BW511" s="5" t="n"/>
      <c r="BX511" s="5" t="n"/>
      <c r="BY511" s="5" t="n"/>
      <c r="BZ511" s="5" t="n"/>
      <c r="CA511" s="5" t="n"/>
      <c r="CB511" s="5" t="n"/>
      <c r="CC511" s="5" t="n"/>
      <c r="CD511" s="5" t="n"/>
      <c r="CE511" s="5" t="n"/>
      <c r="CF511" s="5" t="n"/>
    </row>
    <row r="512" ht="16.5" customHeight="1" s="241">
      <c r="A512" s="171" t="n">
        <v>55</v>
      </c>
      <c r="B512" s="171" t="n">
        <v>59</v>
      </c>
      <c r="C512" s="171" t="inlineStr">
        <is>
          <t>Plena Extra 150 4</t>
        </is>
      </c>
      <c r="D512" s="170" t="n">
        <v>198</v>
      </c>
      <c r="E512" s="5" t="n"/>
      <c r="F512" s="5" t="n"/>
      <c r="G512" s="5" t="n"/>
      <c r="H512" s="5" t="n"/>
      <c r="I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/>
      <c r="BJ512" s="5" t="n"/>
      <c r="BK512" s="5" t="n"/>
      <c r="BL512" s="5" t="n"/>
      <c r="BM512" s="5" t="n"/>
      <c r="BN512" s="5" t="n"/>
      <c r="BO512" s="5" t="n"/>
      <c r="BP512" s="5" t="n"/>
      <c r="BQ512" s="5" t="n"/>
      <c r="BR512" s="5" t="n"/>
      <c r="BS512" s="5" t="n"/>
      <c r="BT512" s="5" t="n"/>
      <c r="BU512" s="5" t="n"/>
      <c r="BV512" s="5" t="n"/>
      <c r="BW512" s="5" t="n"/>
      <c r="BX512" s="5" t="n"/>
      <c r="BY512" s="5" t="n"/>
      <c r="BZ512" s="5" t="n"/>
      <c r="CA512" s="5" t="n"/>
      <c r="CB512" s="5" t="n"/>
      <c r="CC512" s="5" t="n"/>
      <c r="CD512" s="5" t="n"/>
      <c r="CE512" s="5" t="n"/>
      <c r="CF512" s="5" t="n"/>
    </row>
    <row r="513" ht="16.5" customHeight="1" s="241">
      <c r="A513" s="171" t="n">
        <v>60</v>
      </c>
      <c r="B513" s="171" t="n">
        <v>64</v>
      </c>
      <c r="C513" s="171" t="inlineStr">
        <is>
          <t>Plena Extra 150 4</t>
        </is>
      </c>
      <c r="D513" s="170" t="n">
        <v>228</v>
      </c>
      <c r="E513" s="5" t="n"/>
      <c r="F513" s="5" t="n"/>
      <c r="G513" s="5" t="n"/>
      <c r="H513" s="5" t="n"/>
      <c r="I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  <c r="BG513" s="5" t="n"/>
      <c r="BH513" s="5" t="n"/>
      <c r="BI513" s="5" t="n"/>
      <c r="BJ513" s="5" t="n"/>
      <c r="BK513" s="5" t="n"/>
      <c r="BL513" s="5" t="n"/>
      <c r="BM513" s="5" t="n"/>
      <c r="BN513" s="5" t="n"/>
      <c r="BO513" s="5" t="n"/>
      <c r="BP513" s="5" t="n"/>
      <c r="BQ513" s="5" t="n"/>
      <c r="BR513" s="5" t="n"/>
      <c r="BS513" s="5" t="n"/>
      <c r="BT513" s="5" t="n"/>
      <c r="BU513" s="5" t="n"/>
      <c r="BV513" s="5" t="n"/>
      <c r="BW513" s="5" t="n"/>
      <c r="BX513" s="5" t="n"/>
      <c r="BY513" s="5" t="n"/>
      <c r="BZ513" s="5" t="n"/>
      <c r="CA513" s="5" t="n"/>
      <c r="CB513" s="5" t="n"/>
      <c r="CC513" s="5" t="n"/>
      <c r="CD513" s="5" t="n"/>
      <c r="CE513" s="5" t="n"/>
      <c r="CF513" s="5" t="n"/>
    </row>
    <row r="514" ht="16.5" customHeight="1" s="241">
      <c r="A514" s="171" t="n">
        <v>65</v>
      </c>
      <c r="B514" s="171" t="n">
        <v>69</v>
      </c>
      <c r="C514" s="171" t="inlineStr">
        <is>
          <t>Plena Extra 150 4</t>
        </is>
      </c>
      <c r="D514" s="170" t="n">
        <v>320</v>
      </c>
      <c r="E514" s="5" t="n"/>
      <c r="F514" s="5" t="n"/>
      <c r="G514" s="5" t="n"/>
      <c r="H514" s="5" t="n"/>
      <c r="I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  <c r="AY514" s="5" t="n"/>
      <c r="AZ514" s="5" t="n"/>
      <c r="BA514" s="5" t="n"/>
      <c r="BB514" s="5" t="n"/>
      <c r="BC514" s="5" t="n"/>
      <c r="BD514" s="5" t="n"/>
      <c r="BE514" s="5" t="n"/>
      <c r="BF514" s="5" t="n"/>
      <c r="BG514" s="5" t="n"/>
      <c r="BH514" s="5" t="n"/>
      <c r="BI514" s="5" t="n"/>
      <c r="BJ514" s="5" t="n"/>
      <c r="BK514" s="5" t="n"/>
      <c r="BL514" s="5" t="n"/>
      <c r="BM514" s="5" t="n"/>
      <c r="BN514" s="5" t="n"/>
      <c r="BO514" s="5" t="n"/>
      <c r="BP514" s="5" t="n"/>
      <c r="BQ514" s="5" t="n"/>
      <c r="BR514" s="5" t="n"/>
      <c r="BS514" s="5" t="n"/>
      <c r="BT514" s="5" t="n"/>
      <c r="BU514" s="5" t="n"/>
      <c r="BV514" s="5" t="n"/>
      <c r="BW514" s="5" t="n"/>
      <c r="BX514" s="5" t="n"/>
      <c r="BY514" s="5" t="n"/>
      <c r="BZ514" s="5" t="n"/>
      <c r="CA514" s="5" t="n"/>
      <c r="CB514" s="5" t="n"/>
      <c r="CC514" s="5" t="n"/>
      <c r="CD514" s="5" t="n"/>
      <c r="CE514" s="5" t="n"/>
      <c r="CF514" s="5" t="n"/>
    </row>
    <row r="515" ht="16.5" customHeight="1" s="241">
      <c r="A515" s="171" t="n">
        <v>70</v>
      </c>
      <c r="B515" s="171" t="n">
        <v>120</v>
      </c>
      <c r="C515" s="171" t="inlineStr">
        <is>
          <t>Plena Extra 150 4</t>
        </is>
      </c>
      <c r="D515" s="170" t="n">
        <v>329</v>
      </c>
      <c r="E515" s="5" t="n"/>
      <c r="F515" s="5" t="n"/>
      <c r="G515" s="5" t="n"/>
      <c r="H515" s="5" t="n"/>
      <c r="I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/>
      <c r="BJ515" s="5" t="n"/>
      <c r="BK515" s="5" t="n"/>
      <c r="BL515" s="5" t="n"/>
      <c r="BM515" s="5" t="n"/>
      <c r="BN515" s="5" t="n"/>
      <c r="BO515" s="5" t="n"/>
      <c r="BP515" s="5" t="n"/>
      <c r="BQ515" s="5" t="n"/>
      <c r="BR515" s="5" t="n"/>
      <c r="BS515" s="5" t="n"/>
      <c r="BT515" s="5" t="n"/>
      <c r="BU515" s="5" t="n"/>
      <c r="BV515" s="5" t="n"/>
      <c r="BW515" s="5" t="n"/>
      <c r="BX515" s="5" t="n"/>
      <c r="BY515" s="5" t="n"/>
      <c r="BZ515" s="5" t="n"/>
      <c r="CA515" s="5" t="n"/>
      <c r="CB515" s="5" t="n"/>
      <c r="CC515" s="5" t="n"/>
      <c r="CD515" s="5" t="n"/>
      <c r="CE515" s="5" t="n"/>
      <c r="CF515" s="5" t="n"/>
    </row>
    <row r="516" ht="16.5" customHeight="1" s="241">
      <c r="A516" s="171" t="n">
        <v>0</v>
      </c>
      <c r="B516" s="171" t="n">
        <v>24</v>
      </c>
      <c r="C516" s="171" t="inlineStr">
        <is>
          <t>Plena Extra 150 5</t>
        </is>
      </c>
      <c r="D516" s="170" t="n">
        <v>102.5</v>
      </c>
      <c r="E516" s="5" t="n"/>
      <c r="F516" s="5" t="n"/>
      <c r="G516" s="5" t="n"/>
      <c r="H516" s="5" t="n"/>
      <c r="I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  <c r="BG516" s="5" t="n"/>
      <c r="BH516" s="5" t="n"/>
      <c r="BI516" s="5" t="n"/>
      <c r="BJ516" s="5" t="n"/>
      <c r="BK516" s="5" t="n"/>
      <c r="BL516" s="5" t="n"/>
      <c r="BM516" s="5" t="n"/>
      <c r="BN516" s="5" t="n"/>
      <c r="BO516" s="5" t="n"/>
      <c r="BP516" s="5" t="n"/>
      <c r="BQ516" s="5" t="n"/>
      <c r="BR516" s="5" t="n"/>
      <c r="BS516" s="5" t="n"/>
      <c r="BT516" s="5" t="n"/>
      <c r="BU516" s="5" t="n"/>
      <c r="BV516" s="5" t="n"/>
      <c r="BW516" s="5" t="n"/>
      <c r="BX516" s="5" t="n"/>
      <c r="BY516" s="5" t="n"/>
      <c r="BZ516" s="5" t="n"/>
      <c r="CA516" s="5" t="n"/>
      <c r="CB516" s="5" t="n"/>
      <c r="CC516" s="5" t="n"/>
      <c r="CD516" s="5" t="n"/>
      <c r="CE516" s="5" t="n"/>
      <c r="CF516" s="5" t="n"/>
    </row>
    <row r="517" ht="16.5" customHeight="1" s="241">
      <c r="A517" s="171" t="n">
        <v>25</v>
      </c>
      <c r="B517" s="171" t="n">
        <v>44</v>
      </c>
      <c r="C517" s="171" t="inlineStr">
        <is>
          <t>Plena Extra 150 5</t>
        </is>
      </c>
      <c r="D517" s="170" t="n">
        <v>120.5</v>
      </c>
      <c r="E517" s="5" t="n"/>
      <c r="F517" s="5" t="n"/>
      <c r="G517" s="5" t="n"/>
      <c r="H517" s="5" t="n"/>
      <c r="I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  <c r="BG517" s="5" t="n"/>
      <c r="BH517" s="5" t="n"/>
      <c r="BI517" s="5" t="n"/>
      <c r="BJ517" s="5" t="n"/>
      <c r="BK517" s="5" t="n"/>
      <c r="BL517" s="5" t="n"/>
      <c r="BM517" s="5" t="n"/>
      <c r="BN517" s="5" t="n"/>
      <c r="BO517" s="5" t="n"/>
      <c r="BP517" s="5" t="n"/>
      <c r="BQ517" s="5" t="n"/>
      <c r="BR517" s="5" t="n"/>
      <c r="BS517" s="5" t="n"/>
      <c r="BT517" s="5" t="n"/>
      <c r="BU517" s="5" t="n"/>
      <c r="BV517" s="5" t="n"/>
      <c r="BW517" s="5" t="n"/>
      <c r="BX517" s="5" t="n"/>
      <c r="BY517" s="5" t="n"/>
      <c r="BZ517" s="5" t="n"/>
      <c r="CA517" s="5" t="n"/>
      <c r="CB517" s="5" t="n"/>
      <c r="CC517" s="5" t="n"/>
      <c r="CD517" s="5" t="n"/>
      <c r="CE517" s="5" t="n"/>
      <c r="CF517" s="5" t="n"/>
    </row>
    <row r="518" ht="16.5" customHeight="1" s="241">
      <c r="A518" s="171" t="n">
        <v>45</v>
      </c>
      <c r="B518" s="171" t="n">
        <v>54</v>
      </c>
      <c r="C518" s="171" t="inlineStr">
        <is>
          <t>Plena Extra 150 5</t>
        </is>
      </c>
      <c r="D518" s="170" t="n">
        <v>130</v>
      </c>
      <c r="E518" s="5" t="n"/>
      <c r="F518" s="5" t="n"/>
      <c r="G518" s="5" t="n"/>
      <c r="H518" s="5" t="n"/>
      <c r="I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  <c r="AY518" s="5" t="n"/>
      <c r="AZ518" s="5" t="n"/>
      <c r="BA518" s="5" t="n"/>
      <c r="BB518" s="5" t="n"/>
      <c r="BC518" s="5" t="n"/>
      <c r="BD518" s="5" t="n"/>
      <c r="BE518" s="5" t="n"/>
      <c r="BF518" s="5" t="n"/>
      <c r="BG518" s="5" t="n"/>
      <c r="BH518" s="5" t="n"/>
      <c r="BI518" s="5" t="n"/>
      <c r="BJ518" s="5" t="n"/>
      <c r="BK518" s="5" t="n"/>
      <c r="BL518" s="5" t="n"/>
      <c r="BM518" s="5" t="n"/>
      <c r="BN518" s="5" t="n"/>
      <c r="BO518" s="5" t="n"/>
      <c r="BP518" s="5" t="n"/>
      <c r="BQ518" s="5" t="n"/>
      <c r="BR518" s="5" t="n"/>
      <c r="BS518" s="5" t="n"/>
      <c r="BT518" s="5" t="n"/>
      <c r="BU518" s="5" t="n"/>
      <c r="BV518" s="5" t="n"/>
      <c r="BW518" s="5" t="n"/>
      <c r="BX518" s="5" t="n"/>
      <c r="BY518" s="5" t="n"/>
      <c r="BZ518" s="5" t="n"/>
      <c r="CA518" s="5" t="n"/>
      <c r="CB518" s="5" t="n"/>
      <c r="CC518" s="5" t="n"/>
      <c r="CD518" s="5" t="n"/>
      <c r="CE518" s="5" t="n"/>
      <c r="CF518" s="5" t="n"/>
    </row>
    <row r="519" ht="16.5" customHeight="1" s="241">
      <c r="A519" s="171" t="n">
        <v>55</v>
      </c>
      <c r="B519" s="171" t="n">
        <v>59</v>
      </c>
      <c r="C519" s="171" t="inlineStr">
        <is>
          <t>Plena Extra 150 5</t>
        </is>
      </c>
      <c r="D519" s="170" t="n">
        <v>198.5</v>
      </c>
      <c r="E519" s="5" t="n"/>
      <c r="F519" s="5" t="n"/>
      <c r="G519" s="5" t="n"/>
      <c r="H519" s="5" t="n"/>
      <c r="I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/>
      <c r="BJ519" s="5" t="n"/>
      <c r="BK519" s="5" t="n"/>
      <c r="BL519" s="5" t="n"/>
      <c r="BM519" s="5" t="n"/>
      <c r="BN519" s="5" t="n"/>
      <c r="BO519" s="5" t="n"/>
      <c r="BP519" s="5" t="n"/>
      <c r="BQ519" s="5" t="n"/>
      <c r="BR519" s="5" t="n"/>
      <c r="BS519" s="5" t="n"/>
      <c r="BT519" s="5" t="n"/>
      <c r="BU519" s="5" t="n"/>
      <c r="BV519" s="5" t="n"/>
      <c r="BW519" s="5" t="n"/>
      <c r="BX519" s="5" t="n"/>
      <c r="BY519" s="5" t="n"/>
      <c r="BZ519" s="5" t="n"/>
      <c r="CA519" s="5" t="n"/>
      <c r="CB519" s="5" t="n"/>
      <c r="CC519" s="5" t="n"/>
      <c r="CD519" s="5" t="n"/>
      <c r="CE519" s="5" t="n"/>
      <c r="CF519" s="5" t="n"/>
    </row>
    <row r="520" ht="16.5" customHeight="1" s="241">
      <c r="A520" s="171" t="n">
        <v>60</v>
      </c>
      <c r="B520" s="171" t="n">
        <v>64</v>
      </c>
      <c r="C520" s="171" t="inlineStr">
        <is>
          <t>Plena Extra 150 5</t>
        </is>
      </c>
      <c r="D520" s="170" t="n">
        <v>228.5</v>
      </c>
      <c r="E520" s="5" t="n"/>
      <c r="F520" s="5" t="n"/>
      <c r="G520" s="5" t="n"/>
      <c r="H520" s="5" t="n"/>
      <c r="I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  <c r="BG520" s="5" t="n"/>
      <c r="BH520" s="5" t="n"/>
      <c r="BI520" s="5" t="n"/>
      <c r="BJ520" s="5" t="n"/>
      <c r="BK520" s="5" t="n"/>
      <c r="BL520" s="5" t="n"/>
      <c r="BM520" s="5" t="n"/>
      <c r="BN520" s="5" t="n"/>
      <c r="BO520" s="5" t="n"/>
      <c r="BP520" s="5" t="n"/>
      <c r="BQ520" s="5" t="n"/>
      <c r="BR520" s="5" t="n"/>
      <c r="BS520" s="5" t="n"/>
      <c r="BT520" s="5" t="n"/>
      <c r="BU520" s="5" t="n"/>
      <c r="BV520" s="5" t="n"/>
      <c r="BW520" s="5" t="n"/>
      <c r="BX520" s="5" t="n"/>
      <c r="BY520" s="5" t="n"/>
      <c r="BZ520" s="5" t="n"/>
      <c r="CA520" s="5" t="n"/>
      <c r="CB520" s="5" t="n"/>
      <c r="CC520" s="5" t="n"/>
      <c r="CD520" s="5" t="n"/>
      <c r="CE520" s="5" t="n"/>
      <c r="CF520" s="5" t="n"/>
    </row>
    <row r="521" ht="16.5" customHeight="1" s="241">
      <c r="A521" s="171" t="n">
        <v>65</v>
      </c>
      <c r="B521" s="171" t="n">
        <v>69</v>
      </c>
      <c r="C521" s="171" t="inlineStr">
        <is>
          <t>Plena Extra 150 5</t>
        </is>
      </c>
      <c r="D521" s="170" t="n">
        <v>321</v>
      </c>
      <c r="E521" s="5" t="n"/>
      <c r="F521" s="5" t="n"/>
      <c r="G521" s="5" t="n"/>
      <c r="H521" s="5" t="n"/>
      <c r="I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  <c r="AY521" s="5" t="n"/>
      <c r="AZ521" s="5" t="n"/>
      <c r="BA521" s="5" t="n"/>
      <c r="BB521" s="5" t="n"/>
      <c r="BC521" s="5" t="n"/>
      <c r="BD521" s="5" t="n"/>
      <c r="BE521" s="5" t="n"/>
      <c r="BF521" s="5" t="n"/>
      <c r="BG521" s="5" t="n"/>
      <c r="BH521" s="5" t="n"/>
      <c r="BI521" s="5" t="n"/>
      <c r="BJ521" s="5" t="n"/>
      <c r="BK521" s="5" t="n"/>
      <c r="BL521" s="5" t="n"/>
      <c r="BM521" s="5" t="n"/>
      <c r="BN521" s="5" t="n"/>
      <c r="BO521" s="5" t="n"/>
      <c r="BP521" s="5" t="n"/>
      <c r="BQ521" s="5" t="n"/>
      <c r="BR521" s="5" t="n"/>
      <c r="BS521" s="5" t="n"/>
      <c r="BT521" s="5" t="n"/>
      <c r="BU521" s="5" t="n"/>
      <c r="BV521" s="5" t="n"/>
      <c r="BW521" s="5" t="n"/>
      <c r="BX521" s="5" t="n"/>
      <c r="BY521" s="5" t="n"/>
      <c r="BZ521" s="5" t="n"/>
      <c r="CA521" s="5" t="n"/>
      <c r="CB521" s="5" t="n"/>
      <c r="CC521" s="5" t="n"/>
      <c r="CD521" s="5" t="n"/>
      <c r="CE521" s="5" t="n"/>
      <c r="CF521" s="5" t="n"/>
    </row>
    <row r="522" ht="16.5" customHeight="1" s="241">
      <c r="A522" s="171" t="n">
        <v>70</v>
      </c>
      <c r="B522" s="171" t="n">
        <v>120</v>
      </c>
      <c r="C522" s="171" t="inlineStr">
        <is>
          <t>Plena Extra 150 5</t>
        </is>
      </c>
      <c r="D522" s="170" t="n">
        <v>330</v>
      </c>
      <c r="E522" s="5" t="n"/>
      <c r="F522" s="5" t="n"/>
      <c r="G522" s="5" t="n"/>
      <c r="H522" s="5" t="n"/>
      <c r="I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  <c r="BG522" s="5" t="n"/>
      <c r="BH522" s="5" t="n"/>
      <c r="BI522" s="5" t="n"/>
      <c r="BJ522" s="5" t="n"/>
      <c r="BK522" s="5" t="n"/>
      <c r="BL522" s="5" t="n"/>
      <c r="BM522" s="5" t="n"/>
      <c r="BN522" s="5" t="n"/>
      <c r="BO522" s="5" t="n"/>
      <c r="BP522" s="5" t="n"/>
      <c r="BQ522" s="5" t="n"/>
      <c r="BR522" s="5" t="n"/>
      <c r="BS522" s="5" t="n"/>
      <c r="BT522" s="5" t="n"/>
      <c r="BU522" s="5" t="n"/>
      <c r="BV522" s="5" t="n"/>
      <c r="BW522" s="5" t="n"/>
      <c r="BX522" s="5" t="n"/>
      <c r="BY522" s="5" t="n"/>
      <c r="BZ522" s="5" t="n"/>
      <c r="CA522" s="5" t="n"/>
      <c r="CB522" s="5" t="n"/>
      <c r="CC522" s="5" t="n"/>
      <c r="CD522" s="5" t="n"/>
      <c r="CE522" s="5" t="n"/>
      <c r="CF522" s="5" t="n"/>
    </row>
    <row r="523" ht="16.5" customHeight="1" s="241">
      <c r="A523" s="171" t="n">
        <v>0</v>
      </c>
      <c r="B523" s="171" t="n">
        <v>24</v>
      </c>
      <c r="C523" s="171" t="inlineStr">
        <is>
          <t>Plena Extra 150 6</t>
        </is>
      </c>
      <c r="D523" s="170" t="n">
        <v>104</v>
      </c>
      <c r="E523" s="5" t="n"/>
      <c r="F523" s="5" t="n"/>
      <c r="G523" s="5" t="n"/>
      <c r="H523" s="5" t="n"/>
      <c r="I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/>
      <c r="BJ523" s="5" t="n"/>
      <c r="BK523" s="5" t="n"/>
      <c r="BL523" s="5" t="n"/>
      <c r="BM523" s="5" t="n"/>
      <c r="BN523" s="5" t="n"/>
      <c r="BO523" s="5" t="n"/>
      <c r="BP523" s="5" t="n"/>
      <c r="BQ523" s="5" t="n"/>
      <c r="BR523" s="5" t="n"/>
      <c r="BS523" s="5" t="n"/>
      <c r="BT523" s="5" t="n"/>
      <c r="BU523" s="5" t="n"/>
      <c r="BV523" s="5" t="n"/>
      <c r="BW523" s="5" t="n"/>
      <c r="BX523" s="5" t="n"/>
      <c r="BY523" s="5" t="n"/>
      <c r="BZ523" s="5" t="n"/>
      <c r="CA523" s="5" t="n"/>
      <c r="CB523" s="5" t="n"/>
      <c r="CC523" s="5" t="n"/>
      <c r="CD523" s="5" t="n"/>
      <c r="CE523" s="5" t="n"/>
      <c r="CF523" s="5" t="n"/>
    </row>
    <row r="524" ht="16.5" customHeight="1" s="241">
      <c r="A524" s="171" t="n">
        <v>25</v>
      </c>
      <c r="B524" s="171" t="n">
        <v>44</v>
      </c>
      <c r="C524" s="171" t="inlineStr">
        <is>
          <t>Plena Extra 150 6</t>
        </is>
      </c>
      <c r="D524" s="170" t="n">
        <v>122</v>
      </c>
      <c r="E524" s="5" t="n"/>
      <c r="F524" s="5" t="n"/>
      <c r="G524" s="5" t="n"/>
      <c r="H524" s="5" t="n"/>
      <c r="I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  <c r="AY524" s="5" t="n"/>
      <c r="AZ524" s="5" t="n"/>
      <c r="BA524" s="5" t="n"/>
      <c r="BB524" s="5" t="n"/>
      <c r="BC524" s="5" t="n"/>
      <c r="BD524" s="5" t="n"/>
      <c r="BE524" s="5" t="n"/>
      <c r="BF524" s="5" t="n"/>
      <c r="BG524" s="5" t="n"/>
      <c r="BH524" s="5" t="n"/>
      <c r="BI524" s="5" t="n"/>
      <c r="BJ524" s="5" t="n"/>
      <c r="BK524" s="5" t="n"/>
      <c r="BL524" s="5" t="n"/>
      <c r="BM524" s="5" t="n"/>
      <c r="BN524" s="5" t="n"/>
      <c r="BO524" s="5" t="n"/>
      <c r="BP524" s="5" t="n"/>
      <c r="BQ524" s="5" t="n"/>
      <c r="BR524" s="5" t="n"/>
      <c r="BS524" s="5" t="n"/>
      <c r="BT524" s="5" t="n"/>
      <c r="BU524" s="5" t="n"/>
      <c r="BV524" s="5" t="n"/>
      <c r="BW524" s="5" t="n"/>
      <c r="BX524" s="5" t="n"/>
      <c r="BY524" s="5" t="n"/>
      <c r="BZ524" s="5" t="n"/>
      <c r="CA524" s="5" t="n"/>
      <c r="CB524" s="5" t="n"/>
      <c r="CC524" s="5" t="n"/>
      <c r="CD524" s="5" t="n"/>
      <c r="CE524" s="5" t="n"/>
      <c r="CF524" s="5" t="n"/>
    </row>
    <row r="525" ht="16.5" customHeight="1" s="241">
      <c r="A525" s="171" t="n">
        <v>45</v>
      </c>
      <c r="B525" s="171" t="n">
        <v>54</v>
      </c>
      <c r="C525" s="171" t="inlineStr">
        <is>
          <t>Plena Extra 150 6</t>
        </is>
      </c>
      <c r="D525" s="170" t="n">
        <v>132</v>
      </c>
      <c r="E525" s="5" t="n"/>
      <c r="F525" s="5" t="n"/>
      <c r="G525" s="5" t="n"/>
      <c r="H525" s="5" t="n"/>
      <c r="I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  <c r="BG525" s="5" t="n"/>
      <c r="BH525" s="5" t="n"/>
      <c r="BI525" s="5" t="n"/>
      <c r="BJ525" s="5" t="n"/>
      <c r="BK525" s="5" t="n"/>
      <c r="BL525" s="5" t="n"/>
      <c r="BM525" s="5" t="n"/>
      <c r="BN525" s="5" t="n"/>
      <c r="BO525" s="5" t="n"/>
      <c r="BP525" s="5" t="n"/>
      <c r="BQ525" s="5" t="n"/>
      <c r="BR525" s="5" t="n"/>
      <c r="BS525" s="5" t="n"/>
      <c r="BT525" s="5" t="n"/>
      <c r="BU525" s="5" t="n"/>
      <c r="BV525" s="5" t="n"/>
      <c r="BW525" s="5" t="n"/>
      <c r="BX525" s="5" t="n"/>
      <c r="BY525" s="5" t="n"/>
      <c r="BZ525" s="5" t="n"/>
      <c r="CA525" s="5" t="n"/>
      <c r="CB525" s="5" t="n"/>
      <c r="CC525" s="5" t="n"/>
      <c r="CD525" s="5" t="n"/>
      <c r="CE525" s="5" t="n"/>
      <c r="CF525" s="5" t="n"/>
    </row>
    <row r="526" ht="16.5" customHeight="1" s="241">
      <c r="A526" s="171" t="n">
        <v>55</v>
      </c>
      <c r="B526" s="171" t="n">
        <v>59</v>
      </c>
      <c r="C526" s="171" t="inlineStr">
        <is>
          <t>Plena Extra 150 6</t>
        </is>
      </c>
      <c r="D526" s="170" t="n">
        <v>203</v>
      </c>
      <c r="E526" s="5" t="n"/>
      <c r="F526" s="5" t="n"/>
      <c r="G526" s="5" t="n"/>
      <c r="H526" s="5" t="n"/>
      <c r="I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  <c r="BG526" s="5" t="n"/>
      <c r="BH526" s="5" t="n"/>
      <c r="BI526" s="5" t="n"/>
      <c r="BJ526" s="5" t="n"/>
      <c r="BK526" s="5" t="n"/>
      <c r="BL526" s="5" t="n"/>
      <c r="BM526" s="5" t="n"/>
      <c r="BN526" s="5" t="n"/>
      <c r="BO526" s="5" t="n"/>
      <c r="BP526" s="5" t="n"/>
      <c r="BQ526" s="5" t="n"/>
      <c r="BR526" s="5" t="n"/>
      <c r="BS526" s="5" t="n"/>
      <c r="BT526" s="5" t="n"/>
      <c r="BU526" s="5" t="n"/>
      <c r="BV526" s="5" t="n"/>
      <c r="BW526" s="5" t="n"/>
      <c r="BX526" s="5" t="n"/>
      <c r="BY526" s="5" t="n"/>
      <c r="BZ526" s="5" t="n"/>
      <c r="CA526" s="5" t="n"/>
      <c r="CB526" s="5" t="n"/>
      <c r="CC526" s="5" t="n"/>
      <c r="CD526" s="5" t="n"/>
      <c r="CE526" s="5" t="n"/>
      <c r="CF526" s="5" t="n"/>
    </row>
    <row r="527" ht="16.5" customHeight="1" s="241">
      <c r="A527" s="171" t="n">
        <v>60</v>
      </c>
      <c r="B527" s="171" t="n">
        <v>64</v>
      </c>
      <c r="C527" s="171" t="inlineStr">
        <is>
          <t>Plena Extra 150 6</t>
        </is>
      </c>
      <c r="D527" s="170" t="n">
        <v>233</v>
      </c>
      <c r="E527" s="5" t="n"/>
      <c r="F527" s="5" t="n"/>
      <c r="G527" s="5" t="n"/>
      <c r="H527" s="5" t="n"/>
      <c r="I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  <c r="BG527" s="5" t="n"/>
      <c r="BH527" s="5" t="n"/>
      <c r="BI527" s="5" t="n"/>
      <c r="BJ527" s="5" t="n"/>
      <c r="BK527" s="5" t="n"/>
      <c r="BL527" s="5" t="n"/>
      <c r="BM527" s="5" t="n"/>
      <c r="BN527" s="5" t="n"/>
      <c r="BO527" s="5" t="n"/>
      <c r="BP527" s="5" t="n"/>
      <c r="BQ527" s="5" t="n"/>
      <c r="BR527" s="5" t="n"/>
      <c r="BS527" s="5" t="n"/>
      <c r="BT527" s="5" t="n"/>
      <c r="BU527" s="5" t="n"/>
      <c r="BV527" s="5" t="n"/>
      <c r="BW527" s="5" t="n"/>
      <c r="BX527" s="5" t="n"/>
      <c r="BY527" s="5" t="n"/>
      <c r="BZ527" s="5" t="n"/>
      <c r="CA527" s="5" t="n"/>
      <c r="CB527" s="5" t="n"/>
      <c r="CC527" s="5" t="n"/>
      <c r="CD527" s="5" t="n"/>
      <c r="CE527" s="5" t="n"/>
      <c r="CF527" s="5" t="n"/>
    </row>
    <row r="528" ht="16.5" customHeight="1" s="241">
      <c r="A528" s="171" t="n">
        <v>65</v>
      </c>
      <c r="B528" s="171" t="n">
        <v>69</v>
      </c>
      <c r="C528" s="171" t="inlineStr">
        <is>
          <t>Plena Extra 150 6</t>
        </is>
      </c>
      <c r="D528" s="170" t="n">
        <v>330</v>
      </c>
      <c r="E528" s="5" t="n"/>
      <c r="F528" s="5" t="n"/>
      <c r="G528" s="5" t="n"/>
      <c r="H528" s="5" t="n"/>
      <c r="I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  <c r="BG528" s="5" t="n"/>
      <c r="BH528" s="5" t="n"/>
      <c r="BI528" s="5" t="n"/>
      <c r="BJ528" s="5" t="n"/>
      <c r="BK528" s="5" t="n"/>
      <c r="BL528" s="5" t="n"/>
      <c r="BM528" s="5" t="n"/>
      <c r="BN528" s="5" t="n"/>
      <c r="BO528" s="5" t="n"/>
      <c r="BP528" s="5" t="n"/>
      <c r="BQ528" s="5" t="n"/>
      <c r="BR528" s="5" t="n"/>
      <c r="BS528" s="5" t="n"/>
      <c r="BT528" s="5" t="n"/>
      <c r="BU528" s="5" t="n"/>
      <c r="BV528" s="5" t="n"/>
      <c r="BW528" s="5" t="n"/>
      <c r="BX528" s="5" t="n"/>
      <c r="BY528" s="5" t="n"/>
      <c r="BZ528" s="5" t="n"/>
      <c r="CA528" s="5" t="n"/>
      <c r="CB528" s="5" t="n"/>
      <c r="CC528" s="5" t="n"/>
      <c r="CD528" s="5" t="n"/>
      <c r="CE528" s="5" t="n"/>
      <c r="CF528" s="5" t="n"/>
    </row>
    <row r="529" ht="16.5" customHeight="1" s="241">
      <c r="A529" s="171" t="n">
        <v>70</v>
      </c>
      <c r="B529" s="171" t="n">
        <v>120</v>
      </c>
      <c r="C529" s="171" t="inlineStr">
        <is>
          <t>Plena Extra 150 6</t>
        </is>
      </c>
      <c r="D529" s="170" t="n">
        <v>340</v>
      </c>
      <c r="E529" s="5" t="n"/>
      <c r="F529" s="5" t="n"/>
      <c r="G529" s="5" t="n"/>
      <c r="H529" s="5" t="n"/>
      <c r="I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  <c r="BG529" s="5" t="n"/>
      <c r="BH529" s="5" t="n"/>
      <c r="BI529" s="5" t="n"/>
      <c r="BJ529" s="5" t="n"/>
      <c r="BK529" s="5" t="n"/>
      <c r="BL529" s="5" t="n"/>
      <c r="BM529" s="5" t="n"/>
      <c r="BN529" s="5" t="n"/>
      <c r="BO529" s="5" t="n"/>
      <c r="BP529" s="5" t="n"/>
      <c r="BQ529" s="5" t="n"/>
      <c r="BR529" s="5" t="n"/>
      <c r="BS529" s="5" t="n"/>
      <c r="BT529" s="5" t="n"/>
      <c r="BU529" s="5" t="n"/>
      <c r="BV529" s="5" t="n"/>
      <c r="BW529" s="5" t="n"/>
      <c r="BX529" s="5" t="n"/>
      <c r="BY529" s="5" t="n"/>
      <c r="BZ529" s="5" t="n"/>
      <c r="CA529" s="5" t="n"/>
      <c r="CB529" s="5" t="n"/>
      <c r="CC529" s="5" t="n"/>
      <c r="CD529" s="5" t="n"/>
      <c r="CE529" s="5" t="n"/>
      <c r="CF529" s="5" t="n"/>
    </row>
    <row r="530" ht="16.5" customHeight="1" s="241">
      <c r="A530" s="171" t="n">
        <v>0</v>
      </c>
      <c r="B530" s="171" t="n">
        <v>24</v>
      </c>
      <c r="C530" s="171" t="inlineStr">
        <is>
          <t>Plena Total Vital 1</t>
        </is>
      </c>
      <c r="D530" s="170" t="n">
        <v>48.5</v>
      </c>
      <c r="E530" s="5" t="n"/>
      <c r="F530" s="5" t="n"/>
      <c r="G530" s="5" t="n"/>
      <c r="H530" s="5" t="n"/>
      <c r="I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  <c r="AY530" s="5" t="n"/>
      <c r="AZ530" s="5" t="n"/>
      <c r="BA530" s="5" t="n"/>
      <c r="BB530" s="5" t="n"/>
      <c r="BC530" s="5" t="n"/>
      <c r="BD530" s="5" t="n"/>
      <c r="BE530" s="5" t="n"/>
      <c r="BF530" s="5" t="n"/>
      <c r="BG530" s="5" t="n"/>
      <c r="BH530" s="5" t="n"/>
      <c r="BI530" s="5" t="n"/>
      <c r="BJ530" s="5" t="n"/>
      <c r="BK530" s="5" t="n"/>
      <c r="BL530" s="5" t="n"/>
      <c r="BM530" s="5" t="n"/>
      <c r="BN530" s="5" t="n"/>
      <c r="BO530" s="5" t="n"/>
      <c r="BP530" s="5" t="n"/>
      <c r="BQ530" s="5" t="n"/>
      <c r="BR530" s="5" t="n"/>
      <c r="BS530" s="5" t="n"/>
      <c r="BT530" s="5" t="n"/>
      <c r="BU530" s="5" t="n"/>
      <c r="BV530" s="5" t="n"/>
      <c r="BW530" s="5" t="n"/>
      <c r="BX530" s="5" t="n"/>
      <c r="BY530" s="5" t="n"/>
      <c r="BZ530" s="5" t="n"/>
      <c r="CA530" s="5" t="n"/>
      <c r="CB530" s="5" t="n"/>
      <c r="CC530" s="5" t="n"/>
      <c r="CD530" s="5" t="n"/>
      <c r="CE530" s="5" t="n"/>
      <c r="CF530" s="5" t="n"/>
    </row>
    <row r="531" ht="16.5" customHeight="1" s="241">
      <c r="A531" s="171" t="n">
        <v>25</v>
      </c>
      <c r="B531" s="171" t="n">
        <v>44</v>
      </c>
      <c r="C531" s="171" t="inlineStr">
        <is>
          <t>Plena Total Vital 1</t>
        </is>
      </c>
      <c r="D531" s="170" t="n">
        <v>59.5</v>
      </c>
      <c r="E531" s="5" t="n"/>
      <c r="F531" s="5" t="n"/>
      <c r="G531" s="5" t="n"/>
      <c r="H531" s="5" t="n"/>
      <c r="I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/>
      <c r="BJ531" s="5" t="n"/>
      <c r="BK531" s="5" t="n"/>
      <c r="BL531" s="5" t="n"/>
      <c r="BM531" s="5" t="n"/>
      <c r="BN531" s="5" t="n"/>
      <c r="BO531" s="5" t="n"/>
      <c r="BP531" s="5" t="n"/>
      <c r="BQ531" s="5" t="n"/>
      <c r="BR531" s="5" t="n"/>
      <c r="BS531" s="5" t="n"/>
      <c r="BT531" s="5" t="n"/>
      <c r="BU531" s="5" t="n"/>
      <c r="BV531" s="5" t="n"/>
      <c r="BW531" s="5" t="n"/>
      <c r="BX531" s="5" t="n"/>
      <c r="BY531" s="5" t="n"/>
      <c r="BZ531" s="5" t="n"/>
      <c r="CA531" s="5" t="n"/>
      <c r="CB531" s="5" t="n"/>
      <c r="CC531" s="5" t="n"/>
      <c r="CD531" s="5" t="n"/>
      <c r="CE531" s="5" t="n"/>
      <c r="CF531" s="5" t="n"/>
    </row>
    <row r="532" ht="16.5" customHeight="1" s="241">
      <c r="A532" s="171" t="n">
        <v>45</v>
      </c>
      <c r="B532" s="171" t="n">
        <v>54</v>
      </c>
      <c r="C532" s="171" t="inlineStr">
        <is>
          <t>Plena Total Vital 1</t>
        </is>
      </c>
      <c r="D532" s="170" t="n">
        <v>72.5</v>
      </c>
      <c r="E532" s="5" t="n"/>
      <c r="F532" s="5" t="n"/>
      <c r="G532" s="5" t="n"/>
      <c r="H532" s="5" t="n"/>
      <c r="I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  <c r="BG532" s="5" t="n"/>
      <c r="BH532" s="5" t="n"/>
      <c r="BI532" s="5" t="n"/>
      <c r="BJ532" s="5" t="n"/>
      <c r="BK532" s="5" t="n"/>
      <c r="BL532" s="5" t="n"/>
      <c r="BM532" s="5" t="n"/>
      <c r="BN532" s="5" t="n"/>
      <c r="BO532" s="5" t="n"/>
      <c r="BP532" s="5" t="n"/>
      <c r="BQ532" s="5" t="n"/>
      <c r="BR532" s="5" t="n"/>
      <c r="BS532" s="5" t="n"/>
      <c r="BT532" s="5" t="n"/>
      <c r="BU532" s="5" t="n"/>
      <c r="BV532" s="5" t="n"/>
      <c r="BW532" s="5" t="n"/>
      <c r="BX532" s="5" t="n"/>
      <c r="BY532" s="5" t="n"/>
      <c r="BZ532" s="5" t="n"/>
      <c r="CA532" s="5" t="n"/>
      <c r="CB532" s="5" t="n"/>
      <c r="CC532" s="5" t="n"/>
      <c r="CD532" s="5" t="n"/>
      <c r="CE532" s="5" t="n"/>
      <c r="CF532" s="5" t="n"/>
    </row>
    <row r="533" ht="16.5" customHeight="1" s="241">
      <c r="A533" s="171" t="n">
        <v>55</v>
      </c>
      <c r="B533" s="171" t="n">
        <v>59</v>
      </c>
      <c r="C533" s="171" t="inlineStr">
        <is>
          <t>Plena Total Vital 1</t>
        </is>
      </c>
      <c r="D533" s="170" t="n">
        <v>110</v>
      </c>
      <c r="E533" s="5" t="n"/>
      <c r="F533" s="5" t="n"/>
      <c r="G533" s="5" t="n"/>
      <c r="H533" s="5" t="n"/>
      <c r="I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  <c r="BG533" s="5" t="n"/>
      <c r="BH533" s="5" t="n"/>
      <c r="BI533" s="5" t="n"/>
      <c r="BJ533" s="5" t="n"/>
      <c r="BK533" s="5" t="n"/>
      <c r="BL533" s="5" t="n"/>
      <c r="BM533" s="5" t="n"/>
      <c r="BN533" s="5" t="n"/>
      <c r="BO533" s="5" t="n"/>
      <c r="BP533" s="5" t="n"/>
      <c r="BQ533" s="5" t="n"/>
      <c r="BR533" s="5" t="n"/>
      <c r="BS533" s="5" t="n"/>
      <c r="BT533" s="5" t="n"/>
      <c r="BU533" s="5" t="n"/>
      <c r="BV533" s="5" t="n"/>
      <c r="BW533" s="5" t="n"/>
      <c r="BX533" s="5" t="n"/>
      <c r="BY533" s="5" t="n"/>
      <c r="BZ533" s="5" t="n"/>
      <c r="CA533" s="5" t="n"/>
      <c r="CB533" s="5" t="n"/>
      <c r="CC533" s="5" t="n"/>
      <c r="CD533" s="5" t="n"/>
      <c r="CE533" s="5" t="n"/>
      <c r="CF533" s="5" t="n"/>
    </row>
    <row r="534" ht="16.5" customHeight="1" s="241">
      <c r="A534" s="171" t="n">
        <v>60</v>
      </c>
      <c r="B534" s="171" t="n">
        <v>62</v>
      </c>
      <c r="C534" s="171" t="inlineStr">
        <is>
          <t>Plena Total Vital 1</t>
        </is>
      </c>
      <c r="D534" s="170" t="n">
        <v>132</v>
      </c>
      <c r="E534" s="5" t="n"/>
      <c r="F534" s="5" t="n"/>
      <c r="G534" s="5" t="n"/>
      <c r="H534" s="5" t="n"/>
      <c r="I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  <c r="AY534" s="5" t="n"/>
      <c r="AZ534" s="5" t="n"/>
      <c r="BA534" s="5" t="n"/>
      <c r="BB534" s="5" t="n"/>
      <c r="BC534" s="5" t="n"/>
      <c r="BD534" s="5" t="n"/>
      <c r="BE534" s="5" t="n"/>
      <c r="BF534" s="5" t="n"/>
      <c r="BG534" s="5" t="n"/>
      <c r="BH534" s="5" t="n"/>
      <c r="BI534" s="5" t="n"/>
      <c r="BJ534" s="5" t="n"/>
      <c r="BK534" s="5" t="n"/>
      <c r="BL534" s="5" t="n"/>
      <c r="BM534" s="5" t="n"/>
      <c r="BN534" s="5" t="n"/>
      <c r="BO534" s="5" t="n"/>
      <c r="BP534" s="5" t="n"/>
      <c r="BQ534" s="5" t="n"/>
      <c r="BR534" s="5" t="n"/>
      <c r="BS534" s="5" t="n"/>
      <c r="BT534" s="5" t="n"/>
      <c r="BU534" s="5" t="n"/>
      <c r="BV534" s="5" t="n"/>
      <c r="BW534" s="5" t="n"/>
      <c r="BX534" s="5" t="n"/>
      <c r="BY534" s="5" t="n"/>
      <c r="BZ534" s="5" t="n"/>
      <c r="CA534" s="5" t="n"/>
      <c r="CB534" s="5" t="n"/>
      <c r="CC534" s="5" t="n"/>
      <c r="CD534" s="5" t="n"/>
      <c r="CE534" s="5" t="n"/>
      <c r="CF534" s="5" t="n"/>
    </row>
    <row r="535" ht="16.5" customHeight="1" s="241">
      <c r="A535" s="171" t="n">
        <v>63</v>
      </c>
      <c r="B535" s="171" t="n">
        <v>120</v>
      </c>
      <c r="C535" s="171" t="inlineStr">
        <is>
          <t>Plena Total Vital 1</t>
        </is>
      </c>
      <c r="D535" s="170" t="n">
        <v>196</v>
      </c>
      <c r="E535" s="5" t="n"/>
      <c r="F535" s="5" t="n"/>
      <c r="G535" s="5" t="n"/>
      <c r="H535" s="5" t="n"/>
      <c r="I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  <c r="BG535" s="5" t="n"/>
      <c r="BH535" s="5" t="n"/>
      <c r="BI535" s="5" t="n"/>
      <c r="BJ535" s="5" t="n"/>
      <c r="BK535" s="5" t="n"/>
      <c r="BL535" s="5" t="n"/>
      <c r="BM535" s="5" t="n"/>
      <c r="BN535" s="5" t="n"/>
      <c r="BO535" s="5" t="n"/>
      <c r="BP535" s="5" t="n"/>
      <c r="BQ535" s="5" t="n"/>
      <c r="BR535" s="5" t="n"/>
      <c r="BS535" s="5" t="n"/>
      <c r="BT535" s="5" t="n"/>
      <c r="BU535" s="5" t="n"/>
      <c r="BV535" s="5" t="n"/>
      <c r="BW535" s="5" t="n"/>
      <c r="BX535" s="5" t="n"/>
      <c r="BY535" s="5" t="n"/>
      <c r="BZ535" s="5" t="n"/>
      <c r="CA535" s="5" t="n"/>
      <c r="CB535" s="5" t="n"/>
      <c r="CC535" s="5" t="n"/>
      <c r="CD535" s="5" t="n"/>
      <c r="CE535" s="5" t="n"/>
      <c r="CF535" s="5" t="n"/>
    </row>
    <row r="536" ht="16.5" customHeight="1" s="241">
      <c r="A536" s="171" t="n">
        <v>0</v>
      </c>
      <c r="B536" s="171" t="n">
        <v>24</v>
      </c>
      <c r="C536" s="171" t="inlineStr">
        <is>
          <t>Plena Total Vital 2</t>
        </is>
      </c>
      <c r="D536" s="170" t="n">
        <v>49</v>
      </c>
      <c r="E536" s="5" t="n"/>
      <c r="F536" s="5" t="n"/>
      <c r="G536" s="5" t="n"/>
      <c r="H536" s="5" t="n"/>
      <c r="I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  <c r="BG536" s="5" t="n"/>
      <c r="BH536" s="5" t="n"/>
      <c r="BI536" s="5" t="n"/>
      <c r="BJ536" s="5" t="n"/>
      <c r="BK536" s="5" t="n"/>
      <c r="BL536" s="5" t="n"/>
      <c r="BM536" s="5" t="n"/>
      <c r="BN536" s="5" t="n"/>
      <c r="BO536" s="5" t="n"/>
      <c r="BP536" s="5" t="n"/>
      <c r="BQ536" s="5" t="n"/>
      <c r="BR536" s="5" t="n"/>
      <c r="BS536" s="5" t="n"/>
      <c r="BT536" s="5" t="n"/>
      <c r="BU536" s="5" t="n"/>
      <c r="BV536" s="5" t="n"/>
      <c r="BW536" s="5" t="n"/>
      <c r="BX536" s="5" t="n"/>
      <c r="BY536" s="5" t="n"/>
      <c r="BZ536" s="5" t="n"/>
      <c r="CA536" s="5" t="n"/>
      <c r="CB536" s="5" t="n"/>
      <c r="CC536" s="5" t="n"/>
      <c r="CD536" s="5" t="n"/>
      <c r="CE536" s="5" t="n"/>
      <c r="CF536" s="5" t="n"/>
    </row>
    <row r="537" ht="16.5" customHeight="1" s="241">
      <c r="A537" s="171" t="n">
        <v>25</v>
      </c>
      <c r="B537" s="171" t="n">
        <v>44</v>
      </c>
      <c r="C537" s="171" t="inlineStr">
        <is>
          <t>Plena Total Vital 2</t>
        </is>
      </c>
      <c r="D537" s="170" t="n">
        <v>61</v>
      </c>
      <c r="E537" s="5" t="n"/>
      <c r="F537" s="5" t="n"/>
      <c r="G537" s="5" t="n"/>
      <c r="H537" s="5" t="n"/>
      <c r="I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  <c r="BG537" s="5" t="n"/>
      <c r="BH537" s="5" t="n"/>
      <c r="BI537" s="5" t="n"/>
      <c r="BJ537" s="5" t="n"/>
      <c r="BK537" s="5" t="n"/>
      <c r="BL537" s="5" t="n"/>
      <c r="BM537" s="5" t="n"/>
      <c r="BN537" s="5" t="n"/>
      <c r="BO537" s="5" t="n"/>
      <c r="BP537" s="5" t="n"/>
      <c r="BQ537" s="5" t="n"/>
      <c r="BR537" s="5" t="n"/>
      <c r="BS537" s="5" t="n"/>
      <c r="BT537" s="5" t="n"/>
      <c r="BU537" s="5" t="n"/>
      <c r="BV537" s="5" t="n"/>
      <c r="BW537" s="5" t="n"/>
      <c r="BX537" s="5" t="n"/>
      <c r="BY537" s="5" t="n"/>
      <c r="BZ537" s="5" t="n"/>
      <c r="CA537" s="5" t="n"/>
      <c r="CB537" s="5" t="n"/>
      <c r="CC537" s="5" t="n"/>
      <c r="CD537" s="5" t="n"/>
      <c r="CE537" s="5" t="n"/>
      <c r="CF537" s="5" t="n"/>
    </row>
    <row r="538" ht="16.5" customHeight="1" s="241">
      <c r="A538" s="171" t="n">
        <v>45</v>
      </c>
      <c r="B538" s="171" t="n">
        <v>54</v>
      </c>
      <c r="C538" s="171" t="inlineStr">
        <is>
          <t>Plena Total Vital 2</t>
        </is>
      </c>
      <c r="D538" s="170" t="n">
        <v>73.5</v>
      </c>
      <c r="E538" s="5" t="n"/>
      <c r="F538" s="5" t="n"/>
      <c r="G538" s="5" t="n"/>
      <c r="H538" s="5" t="n"/>
      <c r="I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  <c r="BG538" s="5" t="n"/>
      <c r="BH538" s="5" t="n"/>
      <c r="BI538" s="5" t="n"/>
      <c r="BJ538" s="5" t="n"/>
      <c r="BK538" s="5" t="n"/>
      <c r="BL538" s="5" t="n"/>
      <c r="BM538" s="5" t="n"/>
      <c r="BN538" s="5" t="n"/>
      <c r="BO538" s="5" t="n"/>
      <c r="BP538" s="5" t="n"/>
      <c r="BQ538" s="5" t="n"/>
      <c r="BR538" s="5" t="n"/>
      <c r="BS538" s="5" t="n"/>
      <c r="BT538" s="5" t="n"/>
      <c r="BU538" s="5" t="n"/>
      <c r="BV538" s="5" t="n"/>
      <c r="BW538" s="5" t="n"/>
      <c r="BX538" s="5" t="n"/>
      <c r="BY538" s="5" t="n"/>
      <c r="BZ538" s="5" t="n"/>
      <c r="CA538" s="5" t="n"/>
      <c r="CB538" s="5" t="n"/>
      <c r="CC538" s="5" t="n"/>
      <c r="CD538" s="5" t="n"/>
      <c r="CE538" s="5" t="n"/>
      <c r="CF538" s="5" t="n"/>
    </row>
    <row r="539" ht="16.5" customHeight="1" s="241">
      <c r="A539" s="171" t="n">
        <v>55</v>
      </c>
      <c r="B539" s="171" t="n">
        <v>59</v>
      </c>
      <c r="C539" s="171" t="inlineStr">
        <is>
          <t>Plena Total Vital 2</t>
        </is>
      </c>
      <c r="D539" s="170" t="n">
        <v>112</v>
      </c>
      <c r="E539" s="5" t="n"/>
      <c r="F539" s="5" t="n"/>
      <c r="G539" s="5" t="n"/>
      <c r="H539" s="5" t="n"/>
      <c r="I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  <c r="BG539" s="5" t="n"/>
      <c r="BH539" s="5" t="n"/>
      <c r="BI539" s="5" t="n"/>
      <c r="BJ539" s="5" t="n"/>
      <c r="BK539" s="5" t="n"/>
      <c r="BL539" s="5" t="n"/>
      <c r="BM539" s="5" t="n"/>
      <c r="BN539" s="5" t="n"/>
      <c r="BO539" s="5" t="n"/>
      <c r="BP539" s="5" t="n"/>
      <c r="BQ539" s="5" t="n"/>
      <c r="BR539" s="5" t="n"/>
      <c r="BS539" s="5" t="n"/>
      <c r="BT539" s="5" t="n"/>
      <c r="BU539" s="5" t="n"/>
      <c r="BV539" s="5" t="n"/>
      <c r="BW539" s="5" t="n"/>
      <c r="BX539" s="5" t="n"/>
      <c r="BY539" s="5" t="n"/>
      <c r="BZ539" s="5" t="n"/>
      <c r="CA539" s="5" t="n"/>
      <c r="CB539" s="5" t="n"/>
      <c r="CC539" s="5" t="n"/>
      <c r="CD539" s="5" t="n"/>
      <c r="CE539" s="5" t="n"/>
      <c r="CF539" s="5" t="n"/>
    </row>
    <row r="540" ht="16.5" customHeight="1" s="241">
      <c r="A540" s="171" t="n">
        <v>60</v>
      </c>
      <c r="B540" s="171" t="n">
        <v>62</v>
      </c>
      <c r="C540" s="171" t="inlineStr">
        <is>
          <t>Plena Total Vital 2</t>
        </is>
      </c>
      <c r="D540" s="170" t="n">
        <v>133</v>
      </c>
      <c r="E540" s="5" t="n"/>
      <c r="F540" s="5" t="n"/>
      <c r="G540" s="5" t="n"/>
      <c r="H540" s="5" t="n"/>
      <c r="I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  <c r="BG540" s="5" t="n"/>
      <c r="BH540" s="5" t="n"/>
      <c r="BI540" s="5" t="n"/>
      <c r="BJ540" s="5" t="n"/>
      <c r="BK540" s="5" t="n"/>
      <c r="BL540" s="5" t="n"/>
      <c r="BM540" s="5" t="n"/>
      <c r="BN540" s="5" t="n"/>
      <c r="BO540" s="5" t="n"/>
      <c r="BP540" s="5" t="n"/>
      <c r="BQ540" s="5" t="n"/>
      <c r="BR540" s="5" t="n"/>
      <c r="BS540" s="5" t="n"/>
      <c r="BT540" s="5" t="n"/>
      <c r="BU540" s="5" t="n"/>
      <c r="BV540" s="5" t="n"/>
      <c r="BW540" s="5" t="n"/>
      <c r="BX540" s="5" t="n"/>
      <c r="BY540" s="5" t="n"/>
      <c r="BZ540" s="5" t="n"/>
      <c r="CA540" s="5" t="n"/>
      <c r="CB540" s="5" t="n"/>
      <c r="CC540" s="5" t="n"/>
      <c r="CD540" s="5" t="n"/>
      <c r="CE540" s="5" t="n"/>
      <c r="CF540" s="5" t="n"/>
    </row>
    <row r="541" ht="16.5" customHeight="1" s="241">
      <c r="A541" s="171" t="n">
        <v>63</v>
      </c>
      <c r="B541" s="171" t="n">
        <v>120</v>
      </c>
      <c r="C541" s="171" t="inlineStr">
        <is>
          <t>Plena Total Vital 2</t>
        </is>
      </c>
      <c r="D541" s="170" t="n">
        <v>201</v>
      </c>
      <c r="E541" s="5" t="n"/>
      <c r="F541" s="5" t="n"/>
      <c r="G541" s="5" t="n"/>
      <c r="H541" s="5" t="n"/>
      <c r="I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  <c r="BG541" s="5" t="n"/>
      <c r="BH541" s="5" t="n"/>
      <c r="BI541" s="5" t="n"/>
      <c r="BJ541" s="5" t="n"/>
      <c r="BK541" s="5" t="n"/>
      <c r="BL541" s="5" t="n"/>
      <c r="BM541" s="5" t="n"/>
      <c r="BN541" s="5" t="n"/>
      <c r="BO541" s="5" t="n"/>
      <c r="BP541" s="5" t="n"/>
      <c r="BQ541" s="5" t="n"/>
      <c r="BR541" s="5" t="n"/>
      <c r="BS541" s="5" t="n"/>
      <c r="BT541" s="5" t="n"/>
      <c r="BU541" s="5" t="n"/>
      <c r="BV541" s="5" t="n"/>
      <c r="BW541" s="5" t="n"/>
      <c r="BX541" s="5" t="n"/>
      <c r="BY541" s="5" t="n"/>
      <c r="BZ541" s="5" t="n"/>
      <c r="CA541" s="5" t="n"/>
      <c r="CB541" s="5" t="n"/>
      <c r="CC541" s="5" t="n"/>
      <c r="CD541" s="5" t="n"/>
      <c r="CE541" s="5" t="n"/>
      <c r="CF541" s="5" t="n"/>
    </row>
    <row r="542" ht="16.5" customHeight="1" s="241">
      <c r="A542" s="171" t="n">
        <v>0</v>
      </c>
      <c r="B542" s="171" t="n">
        <v>24</v>
      </c>
      <c r="C542" s="171" t="inlineStr">
        <is>
          <t>Plena Total Vital 3</t>
        </is>
      </c>
      <c r="D542" s="170" t="n">
        <v>50</v>
      </c>
      <c r="E542" s="5" t="n"/>
      <c r="F542" s="5" t="n"/>
      <c r="G542" s="5" t="n"/>
      <c r="H542" s="5" t="n"/>
      <c r="I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  <c r="AY542" s="5" t="n"/>
      <c r="AZ542" s="5" t="n"/>
      <c r="BA542" s="5" t="n"/>
      <c r="BB542" s="5" t="n"/>
      <c r="BC542" s="5" t="n"/>
      <c r="BD542" s="5" t="n"/>
      <c r="BE542" s="5" t="n"/>
      <c r="BF542" s="5" t="n"/>
      <c r="BG542" s="5" t="n"/>
      <c r="BH542" s="5" t="n"/>
      <c r="BI542" s="5" t="n"/>
      <c r="BJ542" s="5" t="n"/>
      <c r="BK542" s="5" t="n"/>
      <c r="BL542" s="5" t="n"/>
      <c r="BM542" s="5" t="n"/>
      <c r="BN542" s="5" t="n"/>
      <c r="BO542" s="5" t="n"/>
      <c r="BP542" s="5" t="n"/>
      <c r="BQ542" s="5" t="n"/>
      <c r="BR542" s="5" t="n"/>
      <c r="BS542" s="5" t="n"/>
      <c r="BT542" s="5" t="n"/>
      <c r="BU542" s="5" t="n"/>
      <c r="BV542" s="5" t="n"/>
      <c r="BW542" s="5" t="n"/>
      <c r="BX542" s="5" t="n"/>
      <c r="BY542" s="5" t="n"/>
      <c r="BZ542" s="5" t="n"/>
      <c r="CA542" s="5" t="n"/>
      <c r="CB542" s="5" t="n"/>
      <c r="CC542" s="5" t="n"/>
      <c r="CD542" s="5" t="n"/>
      <c r="CE542" s="5" t="n"/>
      <c r="CF542" s="5" t="n"/>
    </row>
    <row r="543" ht="16.5" customHeight="1" s="241">
      <c r="A543" s="171" t="n">
        <v>25</v>
      </c>
      <c r="B543" s="171" t="n">
        <v>44</v>
      </c>
      <c r="C543" s="171" t="inlineStr">
        <is>
          <t>Plena Total Vital 3</t>
        </is>
      </c>
      <c r="D543" s="170" t="n">
        <v>62</v>
      </c>
      <c r="E543" s="5" t="n"/>
      <c r="F543" s="5" t="n"/>
      <c r="G543" s="5" t="n"/>
      <c r="H543" s="5" t="n"/>
      <c r="I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  <c r="BG543" s="5" t="n"/>
      <c r="BH543" s="5" t="n"/>
      <c r="BI543" s="5" t="n"/>
      <c r="BJ543" s="5" t="n"/>
      <c r="BK543" s="5" t="n"/>
      <c r="BL543" s="5" t="n"/>
      <c r="BM543" s="5" t="n"/>
      <c r="BN543" s="5" t="n"/>
      <c r="BO543" s="5" t="n"/>
      <c r="BP543" s="5" t="n"/>
      <c r="BQ543" s="5" t="n"/>
      <c r="BR543" s="5" t="n"/>
      <c r="BS543" s="5" t="n"/>
      <c r="BT543" s="5" t="n"/>
      <c r="BU543" s="5" t="n"/>
      <c r="BV543" s="5" t="n"/>
      <c r="BW543" s="5" t="n"/>
      <c r="BX543" s="5" t="n"/>
      <c r="BY543" s="5" t="n"/>
      <c r="BZ543" s="5" t="n"/>
      <c r="CA543" s="5" t="n"/>
      <c r="CB543" s="5" t="n"/>
      <c r="CC543" s="5" t="n"/>
      <c r="CD543" s="5" t="n"/>
      <c r="CE543" s="5" t="n"/>
      <c r="CF543" s="5" t="n"/>
    </row>
    <row r="544" ht="16.5" customHeight="1" s="241">
      <c r="A544" s="171" t="n">
        <v>45</v>
      </c>
      <c r="B544" s="171" t="n">
        <v>54</v>
      </c>
      <c r="C544" s="171" t="inlineStr">
        <is>
          <t>Plena Total Vital 3</t>
        </is>
      </c>
      <c r="D544" s="170" t="n">
        <v>75</v>
      </c>
      <c r="E544" s="5" t="n"/>
      <c r="F544" s="5" t="n"/>
      <c r="G544" s="5" t="n"/>
      <c r="H544" s="5" t="n"/>
      <c r="I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  <c r="BG544" s="5" t="n"/>
      <c r="BH544" s="5" t="n"/>
      <c r="BI544" s="5" t="n"/>
      <c r="BJ544" s="5" t="n"/>
      <c r="BK544" s="5" t="n"/>
      <c r="BL544" s="5" t="n"/>
      <c r="BM544" s="5" t="n"/>
      <c r="BN544" s="5" t="n"/>
      <c r="BO544" s="5" t="n"/>
      <c r="BP544" s="5" t="n"/>
      <c r="BQ544" s="5" t="n"/>
      <c r="BR544" s="5" t="n"/>
      <c r="BS544" s="5" t="n"/>
      <c r="BT544" s="5" t="n"/>
      <c r="BU544" s="5" t="n"/>
      <c r="BV544" s="5" t="n"/>
      <c r="BW544" s="5" t="n"/>
      <c r="BX544" s="5" t="n"/>
      <c r="BY544" s="5" t="n"/>
      <c r="BZ544" s="5" t="n"/>
      <c r="CA544" s="5" t="n"/>
      <c r="CB544" s="5" t="n"/>
      <c r="CC544" s="5" t="n"/>
      <c r="CD544" s="5" t="n"/>
      <c r="CE544" s="5" t="n"/>
      <c r="CF544" s="5" t="n"/>
    </row>
    <row r="545" ht="16.5" customHeight="1" s="241">
      <c r="A545" s="171" t="n">
        <v>55</v>
      </c>
      <c r="B545" s="171" t="n">
        <v>59</v>
      </c>
      <c r="C545" s="171" t="inlineStr">
        <is>
          <t>Plena Total Vital 3</t>
        </is>
      </c>
      <c r="D545" s="170" t="n">
        <v>114</v>
      </c>
      <c r="E545" s="5" t="n"/>
      <c r="F545" s="5" t="n"/>
      <c r="G545" s="5" t="n"/>
      <c r="H545" s="5" t="n"/>
      <c r="I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/>
      <c r="BJ545" s="5" t="n"/>
      <c r="BK545" s="5" t="n"/>
      <c r="BL545" s="5" t="n"/>
      <c r="BM545" s="5" t="n"/>
      <c r="BN545" s="5" t="n"/>
      <c r="BO545" s="5" t="n"/>
      <c r="BP545" s="5" t="n"/>
      <c r="BQ545" s="5" t="n"/>
      <c r="BR545" s="5" t="n"/>
      <c r="BS545" s="5" t="n"/>
      <c r="BT545" s="5" t="n"/>
      <c r="BU545" s="5" t="n"/>
      <c r="BV545" s="5" t="n"/>
      <c r="BW545" s="5" t="n"/>
      <c r="BX545" s="5" t="n"/>
      <c r="BY545" s="5" t="n"/>
      <c r="BZ545" s="5" t="n"/>
      <c r="CA545" s="5" t="n"/>
      <c r="CB545" s="5" t="n"/>
      <c r="CC545" s="5" t="n"/>
      <c r="CD545" s="5" t="n"/>
      <c r="CE545" s="5" t="n"/>
      <c r="CF545" s="5" t="n"/>
    </row>
    <row r="546" ht="16.5" customHeight="1" s="241">
      <c r="A546" s="171" t="n">
        <v>60</v>
      </c>
      <c r="B546" s="171" t="n">
        <v>62</v>
      </c>
      <c r="C546" s="171" t="inlineStr">
        <is>
          <t>Plena Total Vital 3</t>
        </is>
      </c>
      <c r="D546" s="170" t="n">
        <v>137</v>
      </c>
      <c r="E546" s="5" t="n"/>
      <c r="F546" s="5" t="n"/>
      <c r="G546" s="5" t="n"/>
      <c r="H546" s="5" t="n"/>
      <c r="I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  <c r="AY546" s="5" t="n"/>
      <c r="AZ546" s="5" t="n"/>
      <c r="BA546" s="5" t="n"/>
      <c r="BB546" s="5" t="n"/>
      <c r="BC546" s="5" t="n"/>
      <c r="BD546" s="5" t="n"/>
      <c r="BE546" s="5" t="n"/>
      <c r="BF546" s="5" t="n"/>
      <c r="BG546" s="5" t="n"/>
      <c r="BH546" s="5" t="n"/>
      <c r="BI546" s="5" t="n"/>
      <c r="BJ546" s="5" t="n"/>
      <c r="BK546" s="5" t="n"/>
      <c r="BL546" s="5" t="n"/>
      <c r="BM546" s="5" t="n"/>
      <c r="BN546" s="5" t="n"/>
      <c r="BO546" s="5" t="n"/>
      <c r="BP546" s="5" t="n"/>
      <c r="BQ546" s="5" t="n"/>
      <c r="BR546" s="5" t="n"/>
      <c r="BS546" s="5" t="n"/>
      <c r="BT546" s="5" t="n"/>
      <c r="BU546" s="5" t="n"/>
      <c r="BV546" s="5" t="n"/>
      <c r="BW546" s="5" t="n"/>
      <c r="BX546" s="5" t="n"/>
      <c r="BY546" s="5" t="n"/>
      <c r="BZ546" s="5" t="n"/>
      <c r="CA546" s="5" t="n"/>
      <c r="CB546" s="5" t="n"/>
      <c r="CC546" s="5" t="n"/>
      <c r="CD546" s="5" t="n"/>
      <c r="CE546" s="5" t="n"/>
      <c r="CF546" s="5" t="n"/>
    </row>
    <row r="547" ht="16.5" customHeight="1" s="241">
      <c r="A547" s="171" t="n">
        <v>63</v>
      </c>
      <c r="B547" s="171" t="n">
        <v>120</v>
      </c>
      <c r="C547" s="171" t="inlineStr">
        <is>
          <t>Plena Total Vital 3</t>
        </is>
      </c>
      <c r="D547" s="170" t="n">
        <v>210</v>
      </c>
      <c r="E547" s="5" t="n"/>
      <c r="F547" s="5" t="n"/>
      <c r="G547" s="5" t="n"/>
      <c r="H547" s="5" t="n"/>
      <c r="I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  <c r="BG547" s="5" t="n"/>
      <c r="BH547" s="5" t="n"/>
      <c r="BI547" s="5" t="n"/>
      <c r="BJ547" s="5" t="n"/>
      <c r="BK547" s="5" t="n"/>
      <c r="BL547" s="5" t="n"/>
      <c r="BM547" s="5" t="n"/>
      <c r="BN547" s="5" t="n"/>
      <c r="BO547" s="5" t="n"/>
      <c r="BP547" s="5" t="n"/>
      <c r="BQ547" s="5" t="n"/>
      <c r="BR547" s="5" t="n"/>
      <c r="BS547" s="5" t="n"/>
      <c r="BT547" s="5" t="n"/>
      <c r="BU547" s="5" t="n"/>
      <c r="BV547" s="5" t="n"/>
      <c r="BW547" s="5" t="n"/>
      <c r="BX547" s="5" t="n"/>
      <c r="BY547" s="5" t="n"/>
      <c r="BZ547" s="5" t="n"/>
      <c r="CA547" s="5" t="n"/>
      <c r="CB547" s="5" t="n"/>
      <c r="CC547" s="5" t="n"/>
      <c r="CD547" s="5" t="n"/>
      <c r="CE547" s="5" t="n"/>
      <c r="CF547" s="5" t="n"/>
    </row>
    <row r="548" ht="16.5" customHeight="1" s="241">
      <c r="A548" s="171" t="n">
        <v>0</v>
      </c>
      <c r="B548" s="171" t="n">
        <v>24</v>
      </c>
      <c r="C548" s="171" t="inlineStr">
        <is>
          <t>Plena Total Vital 4</t>
        </is>
      </c>
      <c r="D548" s="170" t="n">
        <v>50.5</v>
      </c>
      <c r="E548" s="5" t="n"/>
      <c r="F548" s="5" t="n"/>
      <c r="G548" s="5" t="n"/>
      <c r="H548" s="5" t="n"/>
      <c r="I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  <c r="AY548" s="5" t="n"/>
      <c r="AZ548" s="5" t="n"/>
      <c r="BA548" s="5" t="n"/>
      <c r="BB548" s="5" t="n"/>
      <c r="BC548" s="5" t="n"/>
      <c r="BD548" s="5" t="n"/>
      <c r="BE548" s="5" t="n"/>
      <c r="BF548" s="5" t="n"/>
      <c r="BG548" s="5" t="n"/>
      <c r="BH548" s="5" t="n"/>
      <c r="BI548" s="5" t="n"/>
      <c r="BJ548" s="5" t="n"/>
      <c r="BK548" s="5" t="n"/>
      <c r="BL548" s="5" t="n"/>
      <c r="BM548" s="5" t="n"/>
      <c r="BN548" s="5" t="n"/>
      <c r="BO548" s="5" t="n"/>
      <c r="BP548" s="5" t="n"/>
      <c r="BQ548" s="5" t="n"/>
      <c r="BR548" s="5" t="n"/>
      <c r="BS548" s="5" t="n"/>
      <c r="BT548" s="5" t="n"/>
      <c r="BU548" s="5" t="n"/>
      <c r="BV548" s="5" t="n"/>
      <c r="BW548" s="5" t="n"/>
      <c r="BX548" s="5" t="n"/>
      <c r="BY548" s="5" t="n"/>
      <c r="BZ548" s="5" t="n"/>
      <c r="CA548" s="5" t="n"/>
      <c r="CB548" s="5" t="n"/>
      <c r="CC548" s="5" t="n"/>
      <c r="CD548" s="5" t="n"/>
      <c r="CE548" s="5" t="n"/>
      <c r="CF548" s="5" t="n"/>
    </row>
    <row r="549" ht="16.5" customHeight="1" s="241">
      <c r="A549" s="171" t="n">
        <v>25</v>
      </c>
      <c r="B549" s="171" t="n">
        <v>44</v>
      </c>
      <c r="C549" s="171" t="inlineStr">
        <is>
          <t>Plena Total Vital 4</t>
        </is>
      </c>
      <c r="D549" s="170" t="n">
        <v>62.5</v>
      </c>
      <c r="E549" s="5" t="n"/>
      <c r="F549" s="5" t="n"/>
      <c r="G549" s="5" t="n"/>
      <c r="H549" s="5" t="n"/>
      <c r="I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  <c r="AY549" s="5" t="n"/>
      <c r="AZ549" s="5" t="n"/>
      <c r="BA549" s="5" t="n"/>
      <c r="BB549" s="5" t="n"/>
      <c r="BC549" s="5" t="n"/>
      <c r="BD549" s="5" t="n"/>
      <c r="BE549" s="5" t="n"/>
      <c r="BF549" s="5" t="n"/>
      <c r="BG549" s="5" t="n"/>
      <c r="BH549" s="5" t="n"/>
      <c r="BI549" s="5" t="n"/>
      <c r="BJ549" s="5" t="n"/>
      <c r="BK549" s="5" t="n"/>
      <c r="BL549" s="5" t="n"/>
      <c r="BM549" s="5" t="n"/>
      <c r="BN549" s="5" t="n"/>
      <c r="BO549" s="5" t="n"/>
      <c r="BP549" s="5" t="n"/>
      <c r="BQ549" s="5" t="n"/>
      <c r="BR549" s="5" t="n"/>
      <c r="BS549" s="5" t="n"/>
      <c r="BT549" s="5" t="n"/>
      <c r="BU549" s="5" t="n"/>
      <c r="BV549" s="5" t="n"/>
      <c r="BW549" s="5" t="n"/>
      <c r="BX549" s="5" t="n"/>
      <c r="BY549" s="5" t="n"/>
      <c r="BZ549" s="5" t="n"/>
      <c r="CA549" s="5" t="n"/>
      <c r="CB549" s="5" t="n"/>
      <c r="CC549" s="5" t="n"/>
      <c r="CD549" s="5" t="n"/>
      <c r="CE549" s="5" t="n"/>
      <c r="CF549" s="5" t="n"/>
    </row>
    <row r="550" ht="16.5" customHeight="1" s="241">
      <c r="A550" s="171" t="n">
        <v>45</v>
      </c>
      <c r="B550" s="171" t="n">
        <v>54</v>
      </c>
      <c r="C550" s="171" t="inlineStr">
        <is>
          <t>Plena Total Vital 4</t>
        </is>
      </c>
      <c r="D550" s="170" t="n">
        <v>75.5</v>
      </c>
      <c r="E550" s="5" t="n"/>
      <c r="F550" s="5" t="n"/>
      <c r="G550" s="5" t="n"/>
      <c r="H550" s="5" t="n"/>
      <c r="I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  <c r="BG550" s="5" t="n"/>
      <c r="BH550" s="5" t="n"/>
      <c r="BI550" s="5" t="n"/>
      <c r="BJ550" s="5" t="n"/>
      <c r="BK550" s="5" t="n"/>
      <c r="BL550" s="5" t="n"/>
      <c r="BM550" s="5" t="n"/>
      <c r="BN550" s="5" t="n"/>
      <c r="BO550" s="5" t="n"/>
      <c r="BP550" s="5" t="n"/>
      <c r="BQ550" s="5" t="n"/>
      <c r="BR550" s="5" t="n"/>
      <c r="BS550" s="5" t="n"/>
      <c r="BT550" s="5" t="n"/>
      <c r="BU550" s="5" t="n"/>
      <c r="BV550" s="5" t="n"/>
      <c r="BW550" s="5" t="n"/>
      <c r="BX550" s="5" t="n"/>
      <c r="BY550" s="5" t="n"/>
      <c r="BZ550" s="5" t="n"/>
      <c r="CA550" s="5" t="n"/>
      <c r="CB550" s="5" t="n"/>
      <c r="CC550" s="5" t="n"/>
      <c r="CD550" s="5" t="n"/>
      <c r="CE550" s="5" t="n"/>
      <c r="CF550" s="5" t="n"/>
    </row>
    <row r="551" ht="16.5" customHeight="1" s="241">
      <c r="A551" s="171" t="n">
        <v>55</v>
      </c>
      <c r="B551" s="171" t="n">
        <v>59</v>
      </c>
      <c r="C551" s="171" t="inlineStr">
        <is>
          <t>Plena Total Vital 4</t>
        </is>
      </c>
      <c r="D551" s="170" t="n">
        <v>114.5</v>
      </c>
      <c r="E551" s="5" t="n"/>
      <c r="F551" s="5" t="n"/>
      <c r="G551" s="5" t="n"/>
      <c r="H551" s="5" t="n"/>
      <c r="I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  <c r="BG551" s="5" t="n"/>
      <c r="BH551" s="5" t="n"/>
      <c r="BI551" s="5" t="n"/>
      <c r="BJ551" s="5" t="n"/>
      <c r="BK551" s="5" t="n"/>
      <c r="BL551" s="5" t="n"/>
      <c r="BM551" s="5" t="n"/>
      <c r="BN551" s="5" t="n"/>
      <c r="BO551" s="5" t="n"/>
      <c r="BP551" s="5" t="n"/>
      <c r="BQ551" s="5" t="n"/>
      <c r="BR551" s="5" t="n"/>
      <c r="BS551" s="5" t="n"/>
      <c r="BT551" s="5" t="n"/>
      <c r="BU551" s="5" t="n"/>
      <c r="BV551" s="5" t="n"/>
      <c r="BW551" s="5" t="n"/>
      <c r="BX551" s="5" t="n"/>
      <c r="BY551" s="5" t="n"/>
      <c r="BZ551" s="5" t="n"/>
      <c r="CA551" s="5" t="n"/>
      <c r="CB551" s="5" t="n"/>
      <c r="CC551" s="5" t="n"/>
      <c r="CD551" s="5" t="n"/>
      <c r="CE551" s="5" t="n"/>
      <c r="CF551" s="5" t="n"/>
    </row>
    <row r="552" ht="16.5" customHeight="1" s="241">
      <c r="A552" s="171" t="n">
        <v>60</v>
      </c>
      <c r="B552" s="171" t="n">
        <v>62</v>
      </c>
      <c r="C552" s="171" t="inlineStr">
        <is>
          <t>Plena Total Vital 4</t>
        </is>
      </c>
      <c r="D552" s="170" t="n">
        <v>137.5</v>
      </c>
      <c r="E552" s="5" t="n"/>
      <c r="F552" s="5" t="n"/>
      <c r="G552" s="5" t="n"/>
      <c r="H552" s="5" t="n"/>
      <c r="I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/>
      <c r="BI552" s="5" t="n"/>
      <c r="BJ552" s="5" t="n"/>
      <c r="BK552" s="5" t="n"/>
      <c r="BL552" s="5" t="n"/>
      <c r="BM552" s="5" t="n"/>
      <c r="BN552" s="5" t="n"/>
      <c r="BO552" s="5" t="n"/>
      <c r="BP552" s="5" t="n"/>
      <c r="BQ552" s="5" t="n"/>
      <c r="BR552" s="5" t="n"/>
      <c r="BS552" s="5" t="n"/>
      <c r="BT552" s="5" t="n"/>
      <c r="BU552" s="5" t="n"/>
      <c r="BV552" s="5" t="n"/>
      <c r="BW552" s="5" t="n"/>
      <c r="BX552" s="5" t="n"/>
      <c r="BY552" s="5" t="n"/>
      <c r="BZ552" s="5" t="n"/>
      <c r="CA552" s="5" t="n"/>
      <c r="CB552" s="5" t="n"/>
      <c r="CC552" s="5" t="n"/>
      <c r="CD552" s="5" t="n"/>
      <c r="CE552" s="5" t="n"/>
      <c r="CF552" s="5" t="n"/>
    </row>
    <row r="553" ht="16.5" customHeight="1" s="241">
      <c r="A553" s="171" t="n">
        <v>63</v>
      </c>
      <c r="B553" s="171" t="n">
        <v>120</v>
      </c>
      <c r="C553" s="171" t="inlineStr">
        <is>
          <t>Plena Total Vital 4</t>
        </is>
      </c>
      <c r="D553" s="170" t="n">
        <v>210.5</v>
      </c>
      <c r="E553" s="5" t="n"/>
      <c r="F553" s="5" t="n"/>
      <c r="G553" s="5" t="n"/>
      <c r="H553" s="5" t="n"/>
      <c r="I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  <c r="AY553" s="5" t="n"/>
      <c r="AZ553" s="5" t="n"/>
      <c r="BA553" s="5" t="n"/>
      <c r="BB553" s="5" t="n"/>
      <c r="BC553" s="5" t="n"/>
      <c r="BD553" s="5" t="n"/>
      <c r="BE553" s="5" t="n"/>
      <c r="BF553" s="5" t="n"/>
      <c r="BG553" s="5" t="n"/>
      <c r="BH553" s="5" t="n"/>
      <c r="BI553" s="5" t="n"/>
      <c r="BJ553" s="5" t="n"/>
      <c r="BK553" s="5" t="n"/>
      <c r="BL553" s="5" t="n"/>
      <c r="BM553" s="5" t="n"/>
      <c r="BN553" s="5" t="n"/>
      <c r="BO553" s="5" t="n"/>
      <c r="BP553" s="5" t="n"/>
      <c r="BQ553" s="5" t="n"/>
      <c r="BR553" s="5" t="n"/>
      <c r="BS553" s="5" t="n"/>
      <c r="BT553" s="5" t="n"/>
      <c r="BU553" s="5" t="n"/>
      <c r="BV553" s="5" t="n"/>
      <c r="BW553" s="5" t="n"/>
      <c r="BX553" s="5" t="n"/>
      <c r="BY553" s="5" t="n"/>
      <c r="BZ553" s="5" t="n"/>
      <c r="CA553" s="5" t="n"/>
      <c r="CB553" s="5" t="n"/>
      <c r="CC553" s="5" t="n"/>
      <c r="CD553" s="5" t="n"/>
      <c r="CE553" s="5" t="n"/>
      <c r="CF553" s="5" t="n"/>
    </row>
    <row r="554" ht="16.5" customHeight="1" s="241">
      <c r="A554" s="171" t="n">
        <v>0</v>
      </c>
      <c r="B554" s="171" t="n">
        <v>24</v>
      </c>
      <c r="C554" s="171" t="inlineStr">
        <is>
          <t>Plena Total Vital 5</t>
        </is>
      </c>
      <c r="D554" s="169" t="n">
        <v>52</v>
      </c>
      <c r="E554" s="5" t="n"/>
      <c r="F554" s="5" t="n"/>
      <c r="G554" s="5" t="n"/>
      <c r="H554" s="5" t="n"/>
      <c r="I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  <c r="BG554" s="5" t="n"/>
      <c r="BH554" s="5" t="n"/>
      <c r="BI554" s="5" t="n"/>
      <c r="BJ554" s="5" t="n"/>
      <c r="BK554" s="5" t="n"/>
      <c r="BL554" s="5" t="n"/>
      <c r="BM554" s="5" t="n"/>
      <c r="BN554" s="5" t="n"/>
      <c r="BO554" s="5" t="n"/>
      <c r="BP554" s="5" t="n"/>
      <c r="BQ554" s="5" t="n"/>
      <c r="BR554" s="5" t="n"/>
      <c r="BS554" s="5" t="n"/>
      <c r="BT554" s="5" t="n"/>
      <c r="BU554" s="5" t="n"/>
      <c r="BV554" s="5" t="n"/>
      <c r="BW554" s="5" t="n"/>
      <c r="BX554" s="5" t="n"/>
      <c r="BY554" s="5" t="n"/>
      <c r="BZ554" s="5" t="n"/>
      <c r="CA554" s="5" t="n"/>
      <c r="CB554" s="5" t="n"/>
      <c r="CC554" s="5" t="n"/>
      <c r="CD554" s="5" t="n"/>
      <c r="CE554" s="5" t="n"/>
      <c r="CF554" s="5" t="n"/>
    </row>
    <row r="555" ht="16.5" customHeight="1" s="241">
      <c r="A555" s="171" t="n">
        <v>25</v>
      </c>
      <c r="B555" s="171" t="n">
        <v>44</v>
      </c>
      <c r="C555" s="171" t="inlineStr">
        <is>
          <t>Plena Total Vital 5</t>
        </is>
      </c>
      <c r="D555" s="169" t="n">
        <v>63</v>
      </c>
      <c r="E555" s="5" t="n"/>
      <c r="F555" s="5" t="n"/>
      <c r="G555" s="5" t="n"/>
      <c r="H555" s="5" t="n"/>
      <c r="I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  <c r="AY555" s="5" t="n"/>
      <c r="AZ555" s="5" t="n"/>
      <c r="BA555" s="5" t="n"/>
      <c r="BB555" s="5" t="n"/>
      <c r="BC555" s="5" t="n"/>
      <c r="BD555" s="5" t="n"/>
      <c r="BE555" s="5" t="n"/>
      <c r="BF555" s="5" t="n"/>
      <c r="BG555" s="5" t="n"/>
      <c r="BH555" s="5" t="n"/>
      <c r="BI555" s="5" t="n"/>
      <c r="BJ555" s="5" t="n"/>
      <c r="BK555" s="5" t="n"/>
      <c r="BL555" s="5" t="n"/>
      <c r="BM555" s="5" t="n"/>
      <c r="BN555" s="5" t="n"/>
      <c r="BO555" s="5" t="n"/>
      <c r="BP555" s="5" t="n"/>
      <c r="BQ555" s="5" t="n"/>
      <c r="BR555" s="5" t="n"/>
      <c r="BS555" s="5" t="n"/>
      <c r="BT555" s="5" t="n"/>
      <c r="BU555" s="5" t="n"/>
      <c r="BV555" s="5" t="n"/>
      <c r="BW555" s="5" t="n"/>
      <c r="BX555" s="5" t="n"/>
      <c r="BY555" s="5" t="n"/>
      <c r="BZ555" s="5" t="n"/>
      <c r="CA555" s="5" t="n"/>
      <c r="CB555" s="5" t="n"/>
      <c r="CC555" s="5" t="n"/>
      <c r="CD555" s="5" t="n"/>
      <c r="CE555" s="5" t="n"/>
      <c r="CF555" s="5" t="n"/>
    </row>
    <row r="556" ht="16.5" customHeight="1" s="241">
      <c r="A556" s="171" t="n">
        <v>45</v>
      </c>
      <c r="B556" s="171" t="n">
        <v>54</v>
      </c>
      <c r="C556" s="171" t="inlineStr">
        <is>
          <t>Plena Total Vital 5</t>
        </is>
      </c>
      <c r="D556" s="169" t="n">
        <v>77</v>
      </c>
      <c r="E556" s="5" t="n"/>
      <c r="F556" s="5" t="n"/>
      <c r="G556" s="5" t="n"/>
      <c r="H556" s="5" t="n"/>
      <c r="I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  <c r="AY556" s="5" t="n"/>
      <c r="AZ556" s="5" t="n"/>
      <c r="BA556" s="5" t="n"/>
      <c r="BB556" s="5" t="n"/>
      <c r="BC556" s="5" t="n"/>
      <c r="BD556" s="5" t="n"/>
      <c r="BE556" s="5" t="n"/>
      <c r="BF556" s="5" t="n"/>
      <c r="BG556" s="5" t="n"/>
      <c r="BH556" s="5" t="n"/>
      <c r="BI556" s="5" t="n"/>
      <c r="BJ556" s="5" t="n"/>
      <c r="BK556" s="5" t="n"/>
      <c r="BL556" s="5" t="n"/>
      <c r="BM556" s="5" t="n"/>
      <c r="BN556" s="5" t="n"/>
      <c r="BO556" s="5" t="n"/>
      <c r="BP556" s="5" t="n"/>
      <c r="BQ556" s="5" t="n"/>
      <c r="BR556" s="5" t="n"/>
      <c r="BS556" s="5" t="n"/>
      <c r="BT556" s="5" t="n"/>
      <c r="BU556" s="5" t="n"/>
      <c r="BV556" s="5" t="n"/>
      <c r="BW556" s="5" t="n"/>
      <c r="BX556" s="5" t="n"/>
      <c r="BY556" s="5" t="n"/>
      <c r="BZ556" s="5" t="n"/>
      <c r="CA556" s="5" t="n"/>
      <c r="CB556" s="5" t="n"/>
      <c r="CC556" s="5" t="n"/>
      <c r="CD556" s="5" t="n"/>
      <c r="CE556" s="5" t="n"/>
      <c r="CF556" s="5" t="n"/>
    </row>
    <row r="557" ht="16.5" customHeight="1" s="241">
      <c r="A557" s="171" t="n">
        <v>55</v>
      </c>
      <c r="B557" s="171" t="n">
        <v>59</v>
      </c>
      <c r="C557" s="171" t="inlineStr">
        <is>
          <t>Plena Total Vital 5</t>
        </is>
      </c>
      <c r="D557" s="169" t="n">
        <v>115</v>
      </c>
      <c r="E557" s="5" t="n"/>
      <c r="F557" s="5" t="n"/>
      <c r="G557" s="5" t="n"/>
      <c r="H557" s="5" t="n"/>
      <c r="I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  <c r="AY557" s="5" t="n"/>
      <c r="AZ557" s="5" t="n"/>
      <c r="BA557" s="5" t="n"/>
      <c r="BB557" s="5" t="n"/>
      <c r="BC557" s="5" t="n"/>
      <c r="BD557" s="5" t="n"/>
      <c r="BE557" s="5" t="n"/>
      <c r="BF557" s="5" t="n"/>
      <c r="BG557" s="5" t="n"/>
      <c r="BH557" s="5" t="n"/>
      <c r="BI557" s="5" t="n"/>
      <c r="BJ557" s="5" t="n"/>
      <c r="BK557" s="5" t="n"/>
      <c r="BL557" s="5" t="n"/>
      <c r="BM557" s="5" t="n"/>
      <c r="BN557" s="5" t="n"/>
      <c r="BO557" s="5" t="n"/>
      <c r="BP557" s="5" t="n"/>
      <c r="BQ557" s="5" t="n"/>
      <c r="BR557" s="5" t="n"/>
      <c r="BS557" s="5" t="n"/>
      <c r="BT557" s="5" t="n"/>
      <c r="BU557" s="5" t="n"/>
      <c r="BV557" s="5" t="n"/>
      <c r="BW557" s="5" t="n"/>
      <c r="BX557" s="5" t="n"/>
      <c r="BY557" s="5" t="n"/>
      <c r="BZ557" s="5" t="n"/>
      <c r="CA557" s="5" t="n"/>
      <c r="CB557" s="5" t="n"/>
      <c r="CC557" s="5" t="n"/>
      <c r="CD557" s="5" t="n"/>
      <c r="CE557" s="5" t="n"/>
      <c r="CF557" s="5" t="n"/>
    </row>
    <row r="558" ht="16.5" customHeight="1" s="241">
      <c r="A558" s="171" t="n">
        <v>60</v>
      </c>
      <c r="B558" s="171" t="n">
        <v>62</v>
      </c>
      <c r="C558" s="171" t="inlineStr">
        <is>
          <t>Plena Total Vital 5</t>
        </is>
      </c>
      <c r="D558" s="169" t="n">
        <v>140</v>
      </c>
      <c r="E558" s="5" t="n"/>
      <c r="F558" s="5" t="n"/>
      <c r="G558" s="5" t="n"/>
      <c r="H558" s="5" t="n"/>
      <c r="I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  <c r="AY558" s="5" t="n"/>
      <c r="AZ558" s="5" t="n"/>
      <c r="BA558" s="5" t="n"/>
      <c r="BB558" s="5" t="n"/>
      <c r="BC558" s="5" t="n"/>
      <c r="BD558" s="5" t="n"/>
      <c r="BE558" s="5" t="n"/>
      <c r="BF558" s="5" t="n"/>
      <c r="BG558" s="5" t="n"/>
      <c r="BH558" s="5" t="n"/>
      <c r="BI558" s="5" t="n"/>
      <c r="BJ558" s="5" t="n"/>
      <c r="BK558" s="5" t="n"/>
      <c r="BL558" s="5" t="n"/>
      <c r="BM558" s="5" t="n"/>
      <c r="BN558" s="5" t="n"/>
      <c r="BO558" s="5" t="n"/>
      <c r="BP558" s="5" t="n"/>
      <c r="BQ558" s="5" t="n"/>
      <c r="BR558" s="5" t="n"/>
      <c r="BS558" s="5" t="n"/>
      <c r="BT558" s="5" t="n"/>
      <c r="BU558" s="5" t="n"/>
      <c r="BV558" s="5" t="n"/>
      <c r="BW558" s="5" t="n"/>
      <c r="BX558" s="5" t="n"/>
      <c r="BY558" s="5" t="n"/>
      <c r="BZ558" s="5" t="n"/>
      <c r="CA558" s="5" t="n"/>
      <c r="CB558" s="5" t="n"/>
      <c r="CC558" s="5" t="n"/>
      <c r="CD558" s="5" t="n"/>
      <c r="CE558" s="5" t="n"/>
      <c r="CF558" s="5" t="n"/>
    </row>
    <row r="559" ht="16.5" customHeight="1" s="241">
      <c r="A559" s="171" t="n">
        <v>63</v>
      </c>
      <c r="B559" s="171" t="n">
        <v>120</v>
      </c>
      <c r="C559" s="171" t="inlineStr">
        <is>
          <t>Plena Total Vital 5</t>
        </is>
      </c>
      <c r="D559" s="169" t="n">
        <v>230</v>
      </c>
      <c r="E559" s="5" t="n"/>
      <c r="F559" s="5" t="n"/>
      <c r="G559" s="5" t="n"/>
      <c r="H559" s="5" t="n"/>
      <c r="I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  <c r="BG559" s="5" t="n"/>
      <c r="BH559" s="5" t="n"/>
      <c r="BI559" s="5" t="n"/>
      <c r="BJ559" s="5" t="n"/>
      <c r="BK559" s="5" t="n"/>
      <c r="BL559" s="5" t="n"/>
      <c r="BM559" s="5" t="n"/>
      <c r="BN559" s="5" t="n"/>
      <c r="BO559" s="5" t="n"/>
      <c r="BP559" s="5" t="n"/>
      <c r="BQ559" s="5" t="n"/>
      <c r="BR559" s="5" t="n"/>
      <c r="BS559" s="5" t="n"/>
      <c r="BT559" s="5" t="n"/>
      <c r="BU559" s="5" t="n"/>
      <c r="BV559" s="5" t="n"/>
      <c r="BW559" s="5" t="n"/>
      <c r="BX559" s="5" t="n"/>
      <c r="BY559" s="5" t="n"/>
      <c r="BZ559" s="5" t="n"/>
      <c r="CA559" s="5" t="n"/>
      <c r="CB559" s="5" t="n"/>
      <c r="CC559" s="5" t="n"/>
      <c r="CD559" s="5" t="n"/>
      <c r="CE559" s="5" t="n"/>
      <c r="CF559" s="5" t="n"/>
    </row>
    <row r="560" ht="16.5" customHeight="1" s="241">
      <c r="A560" s="171" t="n">
        <v>0</v>
      </c>
      <c r="B560" s="171" t="n">
        <v>24</v>
      </c>
      <c r="C560" s="171" t="inlineStr">
        <is>
          <t>Plena Total Vital 6</t>
        </is>
      </c>
      <c r="D560" s="169" t="n">
        <v>53</v>
      </c>
      <c r="E560" s="5" t="n"/>
      <c r="F560" s="5" t="n"/>
      <c r="G560" s="5" t="n"/>
      <c r="H560" s="5" t="n"/>
      <c r="I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  <c r="AY560" s="5" t="n"/>
      <c r="AZ560" s="5" t="n"/>
      <c r="BA560" s="5" t="n"/>
      <c r="BB560" s="5" t="n"/>
      <c r="BC560" s="5" t="n"/>
      <c r="BD560" s="5" t="n"/>
      <c r="BE560" s="5" t="n"/>
      <c r="BF560" s="5" t="n"/>
      <c r="BG560" s="5" t="n"/>
      <c r="BH560" s="5" t="n"/>
      <c r="BI560" s="5" t="n"/>
      <c r="BJ560" s="5" t="n"/>
      <c r="BK560" s="5" t="n"/>
      <c r="BL560" s="5" t="n"/>
      <c r="BM560" s="5" t="n"/>
      <c r="BN560" s="5" t="n"/>
      <c r="BO560" s="5" t="n"/>
      <c r="BP560" s="5" t="n"/>
      <c r="BQ560" s="5" t="n"/>
      <c r="BR560" s="5" t="n"/>
      <c r="BS560" s="5" t="n"/>
      <c r="BT560" s="5" t="n"/>
      <c r="BU560" s="5" t="n"/>
      <c r="BV560" s="5" t="n"/>
      <c r="BW560" s="5" t="n"/>
      <c r="BX560" s="5" t="n"/>
      <c r="BY560" s="5" t="n"/>
      <c r="BZ560" s="5" t="n"/>
      <c r="CA560" s="5" t="n"/>
      <c r="CB560" s="5" t="n"/>
      <c r="CC560" s="5" t="n"/>
      <c r="CD560" s="5" t="n"/>
      <c r="CE560" s="5" t="n"/>
      <c r="CF560" s="5" t="n"/>
    </row>
    <row r="561" ht="16.5" customHeight="1" s="241">
      <c r="A561" s="171" t="n">
        <v>25</v>
      </c>
      <c r="B561" s="171" t="n">
        <v>44</v>
      </c>
      <c r="C561" s="171" t="inlineStr">
        <is>
          <t>Plena Total Vital 6</t>
        </is>
      </c>
      <c r="D561" s="169" t="n">
        <v>65</v>
      </c>
      <c r="E561" s="5" t="n"/>
      <c r="F561" s="5" t="n"/>
      <c r="G561" s="5" t="n"/>
      <c r="H561" s="5" t="n"/>
      <c r="I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  <c r="AY561" s="5" t="n"/>
      <c r="AZ561" s="5" t="n"/>
      <c r="BA561" s="5" t="n"/>
      <c r="BB561" s="5" t="n"/>
      <c r="BC561" s="5" t="n"/>
      <c r="BD561" s="5" t="n"/>
      <c r="BE561" s="5" t="n"/>
      <c r="BF561" s="5" t="n"/>
      <c r="BG561" s="5" t="n"/>
      <c r="BH561" s="5" t="n"/>
      <c r="BI561" s="5" t="n"/>
      <c r="BJ561" s="5" t="n"/>
      <c r="BK561" s="5" t="n"/>
      <c r="BL561" s="5" t="n"/>
      <c r="BM561" s="5" t="n"/>
      <c r="BN561" s="5" t="n"/>
      <c r="BO561" s="5" t="n"/>
      <c r="BP561" s="5" t="n"/>
      <c r="BQ561" s="5" t="n"/>
      <c r="BR561" s="5" t="n"/>
      <c r="BS561" s="5" t="n"/>
      <c r="BT561" s="5" t="n"/>
      <c r="BU561" s="5" t="n"/>
      <c r="BV561" s="5" t="n"/>
      <c r="BW561" s="5" t="n"/>
      <c r="BX561" s="5" t="n"/>
      <c r="BY561" s="5" t="n"/>
      <c r="BZ561" s="5" t="n"/>
      <c r="CA561" s="5" t="n"/>
      <c r="CB561" s="5" t="n"/>
      <c r="CC561" s="5" t="n"/>
      <c r="CD561" s="5" t="n"/>
      <c r="CE561" s="5" t="n"/>
      <c r="CF561" s="5" t="n"/>
    </row>
    <row r="562" ht="16.5" customHeight="1" s="241">
      <c r="A562" s="171" t="n">
        <v>45</v>
      </c>
      <c r="B562" s="171" t="n">
        <v>54</v>
      </c>
      <c r="C562" s="171" t="inlineStr">
        <is>
          <t>Plena Total Vital 6</t>
        </is>
      </c>
      <c r="D562" s="169" t="n">
        <v>78.5</v>
      </c>
      <c r="E562" s="5" t="n"/>
      <c r="F562" s="5" t="n"/>
      <c r="G562" s="5" t="n"/>
      <c r="H562" s="5" t="n"/>
      <c r="I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  <c r="AY562" s="5" t="n"/>
      <c r="AZ562" s="5" t="n"/>
      <c r="BA562" s="5" t="n"/>
      <c r="BB562" s="5" t="n"/>
      <c r="BC562" s="5" t="n"/>
      <c r="BD562" s="5" t="n"/>
      <c r="BE562" s="5" t="n"/>
      <c r="BF562" s="5" t="n"/>
      <c r="BG562" s="5" t="n"/>
      <c r="BH562" s="5" t="n"/>
      <c r="BI562" s="5" t="n"/>
      <c r="BJ562" s="5" t="n"/>
      <c r="BK562" s="5" t="n"/>
      <c r="BL562" s="5" t="n"/>
      <c r="BM562" s="5" t="n"/>
      <c r="BN562" s="5" t="n"/>
      <c r="BO562" s="5" t="n"/>
      <c r="BP562" s="5" t="n"/>
      <c r="BQ562" s="5" t="n"/>
      <c r="BR562" s="5" t="n"/>
      <c r="BS562" s="5" t="n"/>
      <c r="BT562" s="5" t="n"/>
      <c r="BU562" s="5" t="n"/>
      <c r="BV562" s="5" t="n"/>
      <c r="BW562" s="5" t="n"/>
      <c r="BX562" s="5" t="n"/>
      <c r="BY562" s="5" t="n"/>
      <c r="BZ562" s="5" t="n"/>
      <c r="CA562" s="5" t="n"/>
      <c r="CB562" s="5" t="n"/>
      <c r="CC562" s="5" t="n"/>
      <c r="CD562" s="5" t="n"/>
      <c r="CE562" s="5" t="n"/>
      <c r="CF562" s="5" t="n"/>
    </row>
    <row r="563" ht="16.5" customHeight="1" s="241">
      <c r="A563" s="171" t="n">
        <v>55</v>
      </c>
      <c r="B563" s="171" t="n">
        <v>59</v>
      </c>
      <c r="C563" s="171" t="inlineStr">
        <is>
          <t>Plena Total Vital 6</t>
        </is>
      </c>
      <c r="D563" s="169" t="n">
        <v>118</v>
      </c>
      <c r="E563" s="5" t="n"/>
      <c r="F563" s="5" t="n"/>
      <c r="G563" s="5" t="n"/>
      <c r="H563" s="5" t="n"/>
      <c r="I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  <c r="AY563" s="5" t="n"/>
      <c r="AZ563" s="5" t="n"/>
      <c r="BA563" s="5" t="n"/>
      <c r="BB563" s="5" t="n"/>
      <c r="BC563" s="5" t="n"/>
      <c r="BD563" s="5" t="n"/>
      <c r="BE563" s="5" t="n"/>
      <c r="BF563" s="5" t="n"/>
      <c r="BG563" s="5" t="n"/>
      <c r="BH563" s="5" t="n"/>
      <c r="BI563" s="5" t="n"/>
      <c r="BJ563" s="5" t="n"/>
      <c r="BK563" s="5" t="n"/>
      <c r="BL563" s="5" t="n"/>
      <c r="BM563" s="5" t="n"/>
      <c r="BN563" s="5" t="n"/>
      <c r="BO563" s="5" t="n"/>
      <c r="BP563" s="5" t="n"/>
      <c r="BQ563" s="5" t="n"/>
      <c r="BR563" s="5" t="n"/>
      <c r="BS563" s="5" t="n"/>
      <c r="BT563" s="5" t="n"/>
      <c r="BU563" s="5" t="n"/>
      <c r="BV563" s="5" t="n"/>
      <c r="BW563" s="5" t="n"/>
      <c r="BX563" s="5" t="n"/>
      <c r="BY563" s="5" t="n"/>
      <c r="BZ563" s="5" t="n"/>
      <c r="CA563" s="5" t="n"/>
      <c r="CB563" s="5" t="n"/>
      <c r="CC563" s="5" t="n"/>
      <c r="CD563" s="5" t="n"/>
      <c r="CE563" s="5" t="n"/>
      <c r="CF563" s="5" t="n"/>
    </row>
    <row r="564" ht="16.5" customHeight="1" s="241">
      <c r="A564" s="171" t="n">
        <v>60</v>
      </c>
      <c r="B564" s="171" t="n">
        <v>62</v>
      </c>
      <c r="C564" s="171" t="inlineStr">
        <is>
          <t>Plena Total Vital 6</t>
        </is>
      </c>
      <c r="D564" s="169" t="n">
        <v>142</v>
      </c>
      <c r="E564" s="5" t="n"/>
      <c r="F564" s="5" t="n"/>
      <c r="G564" s="5" t="n"/>
      <c r="H564" s="5" t="n"/>
      <c r="I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  <c r="BA564" s="5" t="n"/>
      <c r="BB564" s="5" t="n"/>
      <c r="BC564" s="5" t="n"/>
      <c r="BD564" s="5" t="n"/>
      <c r="BE564" s="5" t="n"/>
      <c r="BF564" s="5" t="n"/>
      <c r="BG564" s="5" t="n"/>
      <c r="BH564" s="5" t="n"/>
      <c r="BI564" s="5" t="n"/>
      <c r="BJ564" s="5" t="n"/>
      <c r="BK564" s="5" t="n"/>
      <c r="BL564" s="5" t="n"/>
      <c r="BM564" s="5" t="n"/>
      <c r="BN564" s="5" t="n"/>
      <c r="BO564" s="5" t="n"/>
      <c r="BP564" s="5" t="n"/>
      <c r="BQ564" s="5" t="n"/>
      <c r="BR564" s="5" t="n"/>
      <c r="BS564" s="5" t="n"/>
      <c r="BT564" s="5" t="n"/>
      <c r="BU564" s="5" t="n"/>
      <c r="BV564" s="5" t="n"/>
      <c r="BW564" s="5" t="n"/>
      <c r="BX564" s="5" t="n"/>
      <c r="BY564" s="5" t="n"/>
      <c r="BZ564" s="5" t="n"/>
      <c r="CA564" s="5" t="n"/>
      <c r="CB564" s="5" t="n"/>
      <c r="CC564" s="5" t="n"/>
      <c r="CD564" s="5" t="n"/>
      <c r="CE564" s="5" t="n"/>
      <c r="CF564" s="5" t="n"/>
    </row>
    <row r="565" ht="16.5" customHeight="1" s="241">
      <c r="A565" s="171" t="n">
        <v>63</v>
      </c>
      <c r="B565" s="171" t="n">
        <v>120</v>
      </c>
      <c r="C565" s="171" t="inlineStr">
        <is>
          <t>Plena Total Vital 6</t>
        </is>
      </c>
      <c r="D565" s="169" t="n">
        <v>235</v>
      </c>
      <c r="E565" s="5" t="n"/>
      <c r="F565" s="5" t="n"/>
      <c r="G565" s="5" t="n"/>
      <c r="H565" s="5" t="n"/>
      <c r="I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  <c r="AY565" s="5" t="n"/>
      <c r="AZ565" s="5" t="n"/>
      <c r="BA565" s="5" t="n"/>
      <c r="BB565" s="5" t="n"/>
      <c r="BC565" s="5" t="n"/>
      <c r="BD565" s="5" t="n"/>
      <c r="BE565" s="5" t="n"/>
      <c r="BF565" s="5" t="n"/>
      <c r="BG565" s="5" t="n"/>
      <c r="BH565" s="5" t="n"/>
      <c r="BI565" s="5" t="n"/>
      <c r="BJ565" s="5" t="n"/>
      <c r="BK565" s="5" t="n"/>
      <c r="BL565" s="5" t="n"/>
      <c r="BM565" s="5" t="n"/>
      <c r="BN565" s="5" t="n"/>
      <c r="BO565" s="5" t="n"/>
      <c r="BP565" s="5" t="n"/>
      <c r="BQ565" s="5" t="n"/>
      <c r="BR565" s="5" t="n"/>
      <c r="BS565" s="5" t="n"/>
      <c r="BT565" s="5" t="n"/>
      <c r="BU565" s="5" t="n"/>
      <c r="BV565" s="5" t="n"/>
      <c r="BW565" s="5" t="n"/>
      <c r="BX565" s="5" t="n"/>
      <c r="BY565" s="5" t="n"/>
      <c r="BZ565" s="5" t="n"/>
      <c r="CA565" s="5" t="n"/>
      <c r="CB565" s="5" t="n"/>
      <c r="CC565" s="5" t="n"/>
      <c r="CD565" s="5" t="n"/>
      <c r="CE565" s="5" t="n"/>
      <c r="CF565" s="5" t="n"/>
    </row>
    <row r="566" ht="16.5" customHeight="1" s="241">
      <c r="A566" s="171" t="n">
        <v>0</v>
      </c>
      <c r="B566" s="171" t="n">
        <v>24</v>
      </c>
      <c r="C566" s="171" t="inlineStr">
        <is>
          <t>Extra Negocios NIF 1 1</t>
        </is>
      </c>
      <c r="D566" s="169" t="n">
        <v>90</v>
      </c>
      <c r="E566" s="5" t="n"/>
      <c r="F566" s="5" t="n"/>
      <c r="G566" s="5" t="n"/>
      <c r="H566" s="5" t="n"/>
      <c r="I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  <c r="AY566" s="5" t="n"/>
      <c r="AZ566" s="5" t="n"/>
      <c r="BA566" s="5" t="n"/>
      <c r="BB566" s="5" t="n"/>
      <c r="BC566" s="5" t="n"/>
      <c r="BD566" s="5" t="n"/>
      <c r="BE566" s="5" t="n"/>
      <c r="BF566" s="5" t="n"/>
      <c r="BG566" s="5" t="n"/>
      <c r="BH566" s="5" t="n"/>
      <c r="BI566" s="5" t="n"/>
      <c r="BJ566" s="5" t="n"/>
      <c r="BK566" s="5" t="n"/>
      <c r="BL566" s="5" t="n"/>
      <c r="BM566" s="5" t="n"/>
      <c r="BN566" s="5" t="n"/>
      <c r="BO566" s="5" t="n"/>
      <c r="BP566" s="5" t="n"/>
      <c r="BQ566" s="5" t="n"/>
      <c r="BR566" s="5" t="n"/>
      <c r="BS566" s="5" t="n"/>
      <c r="BT566" s="5" t="n"/>
      <c r="BU566" s="5" t="n"/>
      <c r="BV566" s="5" t="n"/>
      <c r="BW566" s="5" t="n"/>
      <c r="BX566" s="5" t="n"/>
      <c r="BY566" s="5" t="n"/>
      <c r="BZ566" s="5" t="n"/>
      <c r="CA566" s="5" t="n"/>
      <c r="CB566" s="5" t="n"/>
      <c r="CC566" s="5" t="n"/>
      <c r="CD566" s="5" t="n"/>
      <c r="CE566" s="5" t="n"/>
      <c r="CF566" s="5" t="n"/>
    </row>
    <row r="567" ht="16.5" customHeight="1" s="241">
      <c r="A567" s="171" t="n">
        <v>25</v>
      </c>
      <c r="B567" s="171" t="n">
        <v>44</v>
      </c>
      <c r="C567" s="171" t="inlineStr">
        <is>
          <t>Extra Negocios NIF 1 1</t>
        </is>
      </c>
      <c r="D567" s="169" t="n">
        <v>106</v>
      </c>
      <c r="E567" s="5" t="n"/>
      <c r="F567" s="5" t="n"/>
      <c r="G567" s="5" t="n"/>
      <c r="H567" s="5" t="n"/>
      <c r="I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  <c r="AY567" s="5" t="n"/>
      <c r="AZ567" s="5" t="n"/>
      <c r="BA567" s="5" t="n"/>
      <c r="BB567" s="5" t="n"/>
      <c r="BC567" s="5" t="n"/>
      <c r="BD567" s="5" t="n"/>
      <c r="BE567" s="5" t="n"/>
      <c r="BF567" s="5" t="n"/>
      <c r="BG567" s="5" t="n"/>
      <c r="BH567" s="5" t="n"/>
      <c r="BI567" s="5" t="n"/>
      <c r="BJ567" s="5" t="n"/>
      <c r="BK567" s="5" t="n"/>
      <c r="BL567" s="5" t="n"/>
      <c r="BM567" s="5" t="n"/>
      <c r="BN567" s="5" t="n"/>
      <c r="BO567" s="5" t="n"/>
      <c r="BP567" s="5" t="n"/>
      <c r="BQ567" s="5" t="n"/>
      <c r="BR567" s="5" t="n"/>
      <c r="BS567" s="5" t="n"/>
      <c r="BT567" s="5" t="n"/>
      <c r="BU567" s="5" t="n"/>
      <c r="BV567" s="5" t="n"/>
      <c r="BW567" s="5" t="n"/>
      <c r="BX567" s="5" t="n"/>
      <c r="BY567" s="5" t="n"/>
      <c r="BZ567" s="5" t="n"/>
      <c r="CA567" s="5" t="n"/>
      <c r="CB567" s="5" t="n"/>
      <c r="CC567" s="5" t="n"/>
      <c r="CD567" s="5" t="n"/>
      <c r="CE567" s="5" t="n"/>
      <c r="CF567" s="5" t="n"/>
    </row>
    <row r="568" ht="16.5" customHeight="1" s="241">
      <c r="A568" s="171" t="n">
        <v>45</v>
      </c>
      <c r="B568" s="171" t="n">
        <v>54</v>
      </c>
      <c r="C568" s="171" t="inlineStr">
        <is>
          <t>Extra Negocios NIF 1 1</t>
        </is>
      </c>
      <c r="D568" s="169" t="n">
        <v>112</v>
      </c>
      <c r="E568" s="5" t="n"/>
      <c r="F568" s="5" t="n"/>
      <c r="G568" s="5" t="n"/>
      <c r="H568" s="5" t="n"/>
      <c r="I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  <c r="AY568" s="5" t="n"/>
      <c r="AZ568" s="5" t="n"/>
      <c r="BA568" s="5" t="n"/>
      <c r="BB568" s="5" t="n"/>
      <c r="BC568" s="5" t="n"/>
      <c r="BD568" s="5" t="n"/>
      <c r="BE568" s="5" t="n"/>
      <c r="BF568" s="5" t="n"/>
      <c r="BG568" s="5" t="n"/>
      <c r="BH568" s="5" t="n"/>
      <c r="BI568" s="5" t="n"/>
      <c r="BJ568" s="5" t="n"/>
      <c r="BK568" s="5" t="n"/>
      <c r="BL568" s="5" t="n"/>
      <c r="BM568" s="5" t="n"/>
      <c r="BN568" s="5" t="n"/>
      <c r="BO568" s="5" t="n"/>
      <c r="BP568" s="5" t="n"/>
      <c r="BQ568" s="5" t="n"/>
      <c r="BR568" s="5" t="n"/>
      <c r="BS568" s="5" t="n"/>
      <c r="BT568" s="5" t="n"/>
      <c r="BU568" s="5" t="n"/>
      <c r="BV568" s="5" t="n"/>
      <c r="BW568" s="5" t="n"/>
      <c r="BX568" s="5" t="n"/>
      <c r="BY568" s="5" t="n"/>
      <c r="BZ568" s="5" t="n"/>
      <c r="CA568" s="5" t="n"/>
      <c r="CB568" s="5" t="n"/>
      <c r="CC568" s="5" t="n"/>
      <c r="CD568" s="5" t="n"/>
      <c r="CE568" s="5" t="n"/>
      <c r="CF568" s="5" t="n"/>
    </row>
    <row r="569" ht="16.5" customHeight="1" s="241">
      <c r="A569" s="171" t="n">
        <v>55</v>
      </c>
      <c r="B569" s="171" t="n">
        <v>59</v>
      </c>
      <c r="C569" s="171" t="inlineStr">
        <is>
          <t>Extra Negocios NIF 1 1</t>
        </is>
      </c>
      <c r="D569" s="169" t="n">
        <v>174</v>
      </c>
      <c r="E569" s="5" t="n"/>
      <c r="F569" s="5" t="n"/>
      <c r="G569" s="5" t="n"/>
      <c r="H569" s="5" t="n"/>
      <c r="I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  <c r="BA569" s="5" t="n"/>
      <c r="BB569" s="5" t="n"/>
      <c r="BC569" s="5" t="n"/>
      <c r="BD569" s="5" t="n"/>
      <c r="BE569" s="5" t="n"/>
      <c r="BF569" s="5" t="n"/>
      <c r="BG569" s="5" t="n"/>
      <c r="BH569" s="5" t="n"/>
      <c r="BI569" s="5" t="n"/>
      <c r="BJ569" s="5" t="n"/>
      <c r="BK569" s="5" t="n"/>
      <c r="BL569" s="5" t="n"/>
      <c r="BM569" s="5" t="n"/>
      <c r="BN569" s="5" t="n"/>
      <c r="BO569" s="5" t="n"/>
      <c r="BP569" s="5" t="n"/>
      <c r="BQ569" s="5" t="n"/>
      <c r="BR569" s="5" t="n"/>
      <c r="BS569" s="5" t="n"/>
      <c r="BT569" s="5" t="n"/>
      <c r="BU569" s="5" t="n"/>
      <c r="BV569" s="5" t="n"/>
      <c r="BW569" s="5" t="n"/>
      <c r="BX569" s="5" t="n"/>
      <c r="BY569" s="5" t="n"/>
      <c r="BZ569" s="5" t="n"/>
      <c r="CA569" s="5" t="n"/>
      <c r="CB569" s="5" t="n"/>
      <c r="CC569" s="5" t="n"/>
      <c r="CD569" s="5" t="n"/>
      <c r="CE569" s="5" t="n"/>
      <c r="CF569" s="5" t="n"/>
    </row>
    <row r="570" ht="16.5" customHeight="1" s="241">
      <c r="A570" s="171" t="n">
        <v>60</v>
      </c>
      <c r="B570" s="171" t="n">
        <v>64</v>
      </c>
      <c r="C570" s="171" t="inlineStr">
        <is>
          <t>Extra Negocios NIF 1 1</t>
        </is>
      </c>
      <c r="D570" s="169" t="n">
        <v>206</v>
      </c>
      <c r="E570" s="5" t="n"/>
      <c r="F570" s="5" t="n"/>
      <c r="G570" s="5" t="n"/>
      <c r="H570" s="5" t="n"/>
      <c r="I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  <c r="AY570" s="5" t="n"/>
      <c r="AZ570" s="5" t="n"/>
      <c r="BA570" s="5" t="n"/>
      <c r="BB570" s="5" t="n"/>
      <c r="BC570" s="5" t="n"/>
      <c r="BD570" s="5" t="n"/>
      <c r="BE570" s="5" t="n"/>
      <c r="BF570" s="5" t="n"/>
      <c r="BG570" s="5" t="n"/>
      <c r="BH570" s="5" t="n"/>
      <c r="BI570" s="5" t="n"/>
      <c r="BJ570" s="5" t="n"/>
      <c r="BK570" s="5" t="n"/>
      <c r="BL570" s="5" t="n"/>
      <c r="BM570" s="5" t="n"/>
      <c r="BN570" s="5" t="n"/>
      <c r="BO570" s="5" t="n"/>
      <c r="BP570" s="5" t="n"/>
      <c r="BQ570" s="5" t="n"/>
      <c r="BR570" s="5" t="n"/>
      <c r="BS570" s="5" t="n"/>
      <c r="BT570" s="5" t="n"/>
      <c r="BU570" s="5" t="n"/>
      <c r="BV570" s="5" t="n"/>
      <c r="BW570" s="5" t="n"/>
      <c r="BX570" s="5" t="n"/>
      <c r="BY570" s="5" t="n"/>
      <c r="BZ570" s="5" t="n"/>
      <c r="CA570" s="5" t="n"/>
      <c r="CB570" s="5" t="n"/>
      <c r="CC570" s="5" t="n"/>
      <c r="CD570" s="5" t="n"/>
      <c r="CE570" s="5" t="n"/>
      <c r="CF570" s="5" t="n"/>
    </row>
    <row r="571" ht="16.5" customHeight="1" s="241">
      <c r="A571" s="171" t="n">
        <v>65</v>
      </c>
      <c r="B571" s="171" t="n">
        <v>69</v>
      </c>
      <c r="C571" s="171" t="inlineStr">
        <is>
          <t>Extra Negocios NIF 1 1</t>
        </is>
      </c>
      <c r="D571" s="170" t="n">
        <v>293</v>
      </c>
      <c r="E571" s="5" t="n"/>
      <c r="F571" s="5" t="n"/>
      <c r="G571" s="5" t="n"/>
      <c r="H571" s="5" t="n"/>
      <c r="I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  <c r="AY571" s="5" t="n"/>
      <c r="AZ571" s="5" t="n"/>
      <c r="BA571" s="5" t="n"/>
      <c r="BB571" s="5" t="n"/>
      <c r="BC571" s="5" t="n"/>
      <c r="BD571" s="5" t="n"/>
      <c r="BE571" s="5" t="n"/>
      <c r="BF571" s="5" t="n"/>
      <c r="BG571" s="5" t="n"/>
      <c r="BH571" s="5" t="n"/>
      <c r="BI571" s="5" t="n"/>
      <c r="BJ571" s="5" t="n"/>
      <c r="BK571" s="5" t="n"/>
      <c r="BL571" s="5" t="n"/>
      <c r="BM571" s="5" t="n"/>
      <c r="BN571" s="5" t="n"/>
      <c r="BO571" s="5" t="n"/>
      <c r="BP571" s="5" t="n"/>
      <c r="BQ571" s="5" t="n"/>
      <c r="BR571" s="5" t="n"/>
      <c r="BS571" s="5" t="n"/>
      <c r="BT571" s="5" t="n"/>
      <c r="BU571" s="5" t="n"/>
      <c r="BV571" s="5" t="n"/>
      <c r="BW571" s="5" t="n"/>
      <c r="BX571" s="5" t="n"/>
      <c r="BY571" s="5" t="n"/>
      <c r="BZ571" s="5" t="n"/>
      <c r="CA571" s="5" t="n"/>
      <c r="CB571" s="5" t="n"/>
      <c r="CC571" s="5" t="n"/>
      <c r="CD571" s="5" t="n"/>
      <c r="CE571" s="5" t="n"/>
      <c r="CF571" s="5" t="n"/>
    </row>
    <row r="572" ht="16.5" customHeight="1" s="241">
      <c r="A572" s="171" t="n">
        <v>70</v>
      </c>
      <c r="B572" s="171" t="n">
        <v>120</v>
      </c>
      <c r="C572" s="171" t="inlineStr">
        <is>
          <t>Extra Negocios NIF 1 1</t>
        </is>
      </c>
      <c r="D572" s="170" t="n">
        <v>304</v>
      </c>
      <c r="E572" s="5" t="n"/>
      <c r="F572" s="5" t="n"/>
      <c r="G572" s="5" t="n"/>
      <c r="H572" s="5" t="n"/>
      <c r="I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  <c r="AY572" s="5" t="n"/>
      <c r="AZ572" s="5" t="n"/>
      <c r="BA572" s="5" t="n"/>
      <c r="BB572" s="5" t="n"/>
      <c r="BC572" s="5" t="n"/>
      <c r="BD572" s="5" t="n"/>
      <c r="BE572" s="5" t="n"/>
      <c r="BF572" s="5" t="n"/>
      <c r="BG572" s="5" t="n"/>
      <c r="BH572" s="5" t="n"/>
      <c r="BI572" s="5" t="n"/>
      <c r="BJ572" s="5" t="n"/>
      <c r="BK572" s="5" t="n"/>
      <c r="BL572" s="5" t="n"/>
      <c r="BM572" s="5" t="n"/>
      <c r="BN572" s="5" t="n"/>
      <c r="BO572" s="5" t="n"/>
      <c r="BP572" s="5" t="n"/>
      <c r="BQ572" s="5" t="n"/>
      <c r="BR572" s="5" t="n"/>
      <c r="BS572" s="5" t="n"/>
      <c r="BT572" s="5" t="n"/>
      <c r="BU572" s="5" t="n"/>
      <c r="BV572" s="5" t="n"/>
      <c r="BW572" s="5" t="n"/>
      <c r="BX572" s="5" t="n"/>
      <c r="BY572" s="5" t="n"/>
      <c r="BZ572" s="5" t="n"/>
      <c r="CA572" s="5" t="n"/>
      <c r="CB572" s="5" t="n"/>
      <c r="CC572" s="5" t="n"/>
      <c r="CD572" s="5" t="n"/>
      <c r="CE572" s="5" t="n"/>
      <c r="CF572" s="5" t="n"/>
    </row>
    <row r="573" ht="16.5" customHeight="1" s="241">
      <c r="A573" s="171" t="n">
        <v>0</v>
      </c>
      <c r="B573" s="171" t="n">
        <v>24</v>
      </c>
      <c r="C573" s="171" t="inlineStr">
        <is>
          <t>Extra Negocios NIF 2 1</t>
        </is>
      </c>
      <c r="D573" s="170" t="n">
        <v>93</v>
      </c>
      <c r="E573" s="5" t="n"/>
      <c r="F573" s="5" t="n"/>
      <c r="G573" s="5" t="n"/>
      <c r="H573" s="5" t="n"/>
      <c r="I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  <c r="AY573" s="5" t="n"/>
      <c r="AZ573" s="5" t="n"/>
      <c r="BA573" s="5" t="n"/>
      <c r="BB573" s="5" t="n"/>
      <c r="BC573" s="5" t="n"/>
      <c r="BD573" s="5" t="n"/>
      <c r="BE573" s="5" t="n"/>
      <c r="BF573" s="5" t="n"/>
      <c r="BG573" s="5" t="n"/>
      <c r="BH573" s="5" t="n"/>
      <c r="BI573" s="5" t="n"/>
      <c r="BJ573" s="5" t="n"/>
      <c r="BK573" s="5" t="n"/>
      <c r="BL573" s="5" t="n"/>
      <c r="BM573" s="5" t="n"/>
      <c r="BN573" s="5" t="n"/>
      <c r="BO573" s="5" t="n"/>
      <c r="BP573" s="5" t="n"/>
      <c r="BQ573" s="5" t="n"/>
      <c r="BR573" s="5" t="n"/>
      <c r="BS573" s="5" t="n"/>
      <c r="BT573" s="5" t="n"/>
      <c r="BU573" s="5" t="n"/>
      <c r="BV573" s="5" t="n"/>
      <c r="BW573" s="5" t="n"/>
      <c r="BX573" s="5" t="n"/>
      <c r="BY573" s="5" t="n"/>
      <c r="BZ573" s="5" t="n"/>
      <c r="CA573" s="5" t="n"/>
      <c r="CB573" s="5" t="n"/>
      <c r="CC573" s="5" t="n"/>
      <c r="CD573" s="5" t="n"/>
      <c r="CE573" s="5" t="n"/>
      <c r="CF573" s="5" t="n"/>
    </row>
    <row r="574" ht="16.5" customHeight="1" s="241">
      <c r="A574" s="171" t="n">
        <v>25</v>
      </c>
      <c r="B574" s="171" t="n">
        <v>44</v>
      </c>
      <c r="C574" s="171" t="inlineStr">
        <is>
          <t>Extra Negocios NIF 2 1</t>
        </is>
      </c>
      <c r="D574" s="170" t="n">
        <v>110</v>
      </c>
      <c r="E574" s="5" t="n"/>
      <c r="F574" s="5" t="n"/>
      <c r="G574" s="5" t="n"/>
      <c r="H574" s="5" t="n"/>
      <c r="I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  <c r="AY574" s="5" t="n"/>
      <c r="AZ574" s="5" t="n"/>
      <c r="BA574" s="5" t="n"/>
      <c r="BB574" s="5" t="n"/>
      <c r="BC574" s="5" t="n"/>
      <c r="BD574" s="5" t="n"/>
      <c r="BE574" s="5" t="n"/>
      <c r="BF574" s="5" t="n"/>
      <c r="BG574" s="5" t="n"/>
      <c r="BH574" s="5" t="n"/>
      <c r="BI574" s="5" t="n"/>
      <c r="BJ574" s="5" t="n"/>
      <c r="BK574" s="5" t="n"/>
      <c r="BL574" s="5" t="n"/>
      <c r="BM574" s="5" t="n"/>
      <c r="BN574" s="5" t="n"/>
      <c r="BO574" s="5" t="n"/>
      <c r="BP574" s="5" t="n"/>
      <c r="BQ574" s="5" t="n"/>
      <c r="BR574" s="5" t="n"/>
      <c r="BS574" s="5" t="n"/>
      <c r="BT574" s="5" t="n"/>
      <c r="BU574" s="5" t="n"/>
      <c r="BV574" s="5" t="n"/>
      <c r="BW574" s="5" t="n"/>
      <c r="BX574" s="5" t="n"/>
      <c r="BY574" s="5" t="n"/>
      <c r="BZ574" s="5" t="n"/>
      <c r="CA574" s="5" t="n"/>
      <c r="CB574" s="5" t="n"/>
      <c r="CC574" s="5" t="n"/>
      <c r="CD574" s="5" t="n"/>
      <c r="CE574" s="5" t="n"/>
      <c r="CF574" s="5" t="n"/>
    </row>
    <row r="575" ht="16.5" customHeight="1" s="241">
      <c r="A575" s="171" t="n">
        <v>45</v>
      </c>
      <c r="B575" s="171" t="n">
        <v>54</v>
      </c>
      <c r="C575" s="171" t="inlineStr">
        <is>
          <t>Extra Negocios NIF 2 1</t>
        </is>
      </c>
      <c r="D575" s="170" t="n">
        <v>118</v>
      </c>
      <c r="E575" s="5" t="n"/>
      <c r="F575" s="5" t="n"/>
      <c r="G575" s="5" t="n"/>
      <c r="H575" s="5" t="n"/>
      <c r="I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  <c r="AY575" s="5" t="n"/>
      <c r="AZ575" s="5" t="n"/>
      <c r="BA575" s="5" t="n"/>
      <c r="BB575" s="5" t="n"/>
      <c r="BC575" s="5" t="n"/>
      <c r="BD575" s="5" t="n"/>
      <c r="BE575" s="5" t="n"/>
      <c r="BF575" s="5" t="n"/>
      <c r="BG575" s="5" t="n"/>
      <c r="BH575" s="5" t="n"/>
      <c r="BI575" s="5" t="n"/>
      <c r="BJ575" s="5" t="n"/>
      <c r="BK575" s="5" t="n"/>
      <c r="BL575" s="5" t="n"/>
      <c r="BM575" s="5" t="n"/>
      <c r="BN575" s="5" t="n"/>
      <c r="BO575" s="5" t="n"/>
      <c r="BP575" s="5" t="n"/>
      <c r="BQ575" s="5" t="n"/>
      <c r="BR575" s="5" t="n"/>
      <c r="BS575" s="5" t="n"/>
      <c r="BT575" s="5" t="n"/>
      <c r="BU575" s="5" t="n"/>
      <c r="BV575" s="5" t="n"/>
      <c r="BW575" s="5" t="n"/>
      <c r="BX575" s="5" t="n"/>
      <c r="BY575" s="5" t="n"/>
      <c r="BZ575" s="5" t="n"/>
      <c r="CA575" s="5" t="n"/>
      <c r="CB575" s="5" t="n"/>
      <c r="CC575" s="5" t="n"/>
      <c r="CD575" s="5" t="n"/>
      <c r="CE575" s="5" t="n"/>
      <c r="CF575" s="5" t="n"/>
    </row>
    <row r="576" ht="16.5" customHeight="1" s="241">
      <c r="A576" s="171" t="n">
        <v>55</v>
      </c>
      <c r="B576" s="171" t="n">
        <v>59</v>
      </c>
      <c r="C576" s="171" t="inlineStr">
        <is>
          <t>Extra Negocios NIF 2 1</t>
        </is>
      </c>
      <c r="D576" s="170" t="n">
        <v>180</v>
      </c>
      <c r="E576" s="5" t="n"/>
      <c r="F576" s="5" t="n"/>
      <c r="G576" s="5" t="n"/>
      <c r="H576" s="5" t="n"/>
      <c r="I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  <c r="AY576" s="5" t="n"/>
      <c r="AZ576" s="5" t="n"/>
      <c r="BA576" s="5" t="n"/>
      <c r="BB576" s="5" t="n"/>
      <c r="BC576" s="5" t="n"/>
      <c r="BD576" s="5" t="n"/>
      <c r="BE576" s="5" t="n"/>
      <c r="BF576" s="5" t="n"/>
      <c r="BG576" s="5" t="n"/>
      <c r="BH576" s="5" t="n"/>
      <c r="BI576" s="5" t="n"/>
      <c r="BJ576" s="5" t="n"/>
      <c r="BK576" s="5" t="n"/>
      <c r="BL576" s="5" t="n"/>
      <c r="BM576" s="5" t="n"/>
      <c r="BN576" s="5" t="n"/>
      <c r="BO576" s="5" t="n"/>
      <c r="BP576" s="5" t="n"/>
      <c r="BQ576" s="5" t="n"/>
      <c r="BR576" s="5" t="n"/>
      <c r="BS576" s="5" t="n"/>
      <c r="BT576" s="5" t="n"/>
      <c r="BU576" s="5" t="n"/>
      <c r="BV576" s="5" t="n"/>
      <c r="BW576" s="5" t="n"/>
      <c r="BX576" s="5" t="n"/>
      <c r="BY576" s="5" t="n"/>
      <c r="BZ576" s="5" t="n"/>
      <c r="CA576" s="5" t="n"/>
      <c r="CB576" s="5" t="n"/>
      <c r="CC576" s="5" t="n"/>
      <c r="CD576" s="5" t="n"/>
      <c r="CE576" s="5" t="n"/>
      <c r="CF576" s="5" t="n"/>
    </row>
    <row r="577" ht="16.5" customHeight="1" s="241">
      <c r="A577" s="171" t="n">
        <v>60</v>
      </c>
      <c r="B577" s="171" t="n">
        <v>64</v>
      </c>
      <c r="C577" s="171" t="inlineStr">
        <is>
          <t>Extra Negocios NIF 2 1</t>
        </is>
      </c>
      <c r="D577" s="170" t="n">
        <v>210</v>
      </c>
      <c r="E577" s="5" t="n"/>
      <c r="F577" s="5" t="n"/>
      <c r="G577" s="5" t="n"/>
      <c r="H577" s="5" t="n"/>
      <c r="I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  <c r="AY577" s="5" t="n"/>
      <c r="AZ577" s="5" t="n"/>
      <c r="BA577" s="5" t="n"/>
      <c r="BB577" s="5" t="n"/>
      <c r="BC577" s="5" t="n"/>
      <c r="BD577" s="5" t="n"/>
      <c r="BE577" s="5" t="n"/>
      <c r="BF577" s="5" t="n"/>
      <c r="BG577" s="5" t="n"/>
      <c r="BH577" s="5" t="n"/>
      <c r="BI577" s="5" t="n"/>
      <c r="BJ577" s="5" t="n"/>
      <c r="BK577" s="5" t="n"/>
      <c r="BL577" s="5" t="n"/>
      <c r="BM577" s="5" t="n"/>
      <c r="BN577" s="5" t="n"/>
      <c r="BO577" s="5" t="n"/>
      <c r="BP577" s="5" t="n"/>
      <c r="BQ577" s="5" t="n"/>
      <c r="BR577" s="5" t="n"/>
      <c r="BS577" s="5" t="n"/>
      <c r="BT577" s="5" t="n"/>
      <c r="BU577" s="5" t="n"/>
      <c r="BV577" s="5" t="n"/>
      <c r="BW577" s="5" t="n"/>
      <c r="BX577" s="5" t="n"/>
      <c r="BY577" s="5" t="n"/>
      <c r="BZ577" s="5" t="n"/>
      <c r="CA577" s="5" t="n"/>
      <c r="CB577" s="5" t="n"/>
      <c r="CC577" s="5" t="n"/>
      <c r="CD577" s="5" t="n"/>
      <c r="CE577" s="5" t="n"/>
      <c r="CF577" s="5" t="n"/>
    </row>
    <row r="578" ht="16.5" customHeight="1" s="241">
      <c r="A578" s="171" t="n">
        <v>65</v>
      </c>
      <c r="B578" s="171" t="n">
        <v>69</v>
      </c>
      <c r="C578" s="171" t="inlineStr">
        <is>
          <t>Extra Negocios NIF 2 1</t>
        </is>
      </c>
      <c r="D578" s="170" t="n">
        <v>301</v>
      </c>
      <c r="E578" s="5" t="n"/>
      <c r="F578" s="5" t="n"/>
      <c r="G578" s="5" t="n"/>
      <c r="H578" s="5" t="n"/>
      <c r="I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  <c r="BA578" s="5" t="n"/>
      <c r="BB578" s="5" t="n"/>
      <c r="BC578" s="5" t="n"/>
      <c r="BD578" s="5" t="n"/>
      <c r="BE578" s="5" t="n"/>
      <c r="BF578" s="5" t="n"/>
      <c r="BG578" s="5" t="n"/>
      <c r="BH578" s="5" t="n"/>
      <c r="BI578" s="5" t="n"/>
      <c r="BJ578" s="5" t="n"/>
      <c r="BK578" s="5" t="n"/>
      <c r="BL578" s="5" t="n"/>
      <c r="BM578" s="5" t="n"/>
      <c r="BN578" s="5" t="n"/>
      <c r="BO578" s="5" t="n"/>
      <c r="BP578" s="5" t="n"/>
      <c r="BQ578" s="5" t="n"/>
      <c r="BR578" s="5" t="n"/>
      <c r="BS578" s="5" t="n"/>
      <c r="BT578" s="5" t="n"/>
      <c r="BU578" s="5" t="n"/>
      <c r="BV578" s="5" t="n"/>
      <c r="BW578" s="5" t="n"/>
      <c r="BX578" s="5" t="n"/>
      <c r="BY578" s="5" t="n"/>
      <c r="BZ578" s="5" t="n"/>
      <c r="CA578" s="5" t="n"/>
      <c r="CB578" s="5" t="n"/>
      <c r="CC578" s="5" t="n"/>
      <c r="CD578" s="5" t="n"/>
      <c r="CE578" s="5" t="n"/>
      <c r="CF578" s="5" t="n"/>
    </row>
    <row r="579" ht="16.5" customHeight="1" s="241">
      <c r="A579" s="171" t="n">
        <v>70</v>
      </c>
      <c r="B579" s="171" t="n">
        <v>120</v>
      </c>
      <c r="C579" s="171" t="inlineStr">
        <is>
          <t>Extra Negocios NIF 2 1</t>
        </is>
      </c>
      <c r="D579" s="170" t="n">
        <v>309</v>
      </c>
      <c r="E579" s="5" t="n"/>
      <c r="F579" s="5" t="n"/>
      <c r="G579" s="5" t="n"/>
      <c r="H579" s="5" t="n"/>
      <c r="I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  <c r="AY579" s="5" t="n"/>
      <c r="AZ579" s="5" t="n"/>
      <c r="BA579" s="5" t="n"/>
      <c r="BB579" s="5" t="n"/>
      <c r="BC579" s="5" t="n"/>
      <c r="BD579" s="5" t="n"/>
      <c r="BE579" s="5" t="n"/>
      <c r="BF579" s="5" t="n"/>
      <c r="BG579" s="5" t="n"/>
      <c r="BH579" s="5" t="n"/>
      <c r="BI579" s="5" t="n"/>
      <c r="BJ579" s="5" t="n"/>
      <c r="BK579" s="5" t="n"/>
      <c r="BL579" s="5" t="n"/>
      <c r="BM579" s="5" t="n"/>
      <c r="BN579" s="5" t="n"/>
      <c r="BO579" s="5" t="n"/>
      <c r="BP579" s="5" t="n"/>
      <c r="BQ579" s="5" t="n"/>
      <c r="BR579" s="5" t="n"/>
      <c r="BS579" s="5" t="n"/>
      <c r="BT579" s="5" t="n"/>
      <c r="BU579" s="5" t="n"/>
      <c r="BV579" s="5" t="n"/>
      <c r="BW579" s="5" t="n"/>
      <c r="BX579" s="5" t="n"/>
      <c r="BY579" s="5" t="n"/>
      <c r="BZ579" s="5" t="n"/>
      <c r="CA579" s="5" t="n"/>
      <c r="CB579" s="5" t="n"/>
      <c r="CC579" s="5" t="n"/>
      <c r="CD579" s="5" t="n"/>
      <c r="CE579" s="5" t="n"/>
      <c r="CF579" s="5" t="n"/>
    </row>
    <row r="580" ht="16.5" customHeight="1" s="241">
      <c r="A580" s="171" t="n">
        <v>0</v>
      </c>
      <c r="B580" s="171" t="n">
        <v>24</v>
      </c>
      <c r="C580" s="171" t="inlineStr">
        <is>
          <t>Extra Negocios NIF 3 1</t>
        </is>
      </c>
      <c r="D580" s="170" t="n">
        <v>94</v>
      </c>
      <c r="E580" s="5" t="n"/>
      <c r="F580" s="5" t="n"/>
      <c r="G580" s="5" t="n"/>
      <c r="H580" s="5" t="n"/>
      <c r="I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  <c r="AY580" s="5" t="n"/>
      <c r="AZ580" s="5" t="n"/>
      <c r="BA580" s="5" t="n"/>
      <c r="BB580" s="5" t="n"/>
      <c r="BC580" s="5" t="n"/>
      <c r="BD580" s="5" t="n"/>
      <c r="BE580" s="5" t="n"/>
      <c r="BF580" s="5" t="n"/>
      <c r="BG580" s="5" t="n"/>
      <c r="BH580" s="5" t="n"/>
      <c r="BI580" s="5" t="n"/>
      <c r="BJ580" s="5" t="n"/>
      <c r="BK580" s="5" t="n"/>
      <c r="BL580" s="5" t="n"/>
      <c r="BM580" s="5" t="n"/>
      <c r="BN580" s="5" t="n"/>
      <c r="BO580" s="5" t="n"/>
      <c r="BP580" s="5" t="n"/>
      <c r="BQ580" s="5" t="n"/>
      <c r="BR580" s="5" t="n"/>
      <c r="BS580" s="5" t="n"/>
      <c r="BT580" s="5" t="n"/>
      <c r="BU580" s="5" t="n"/>
      <c r="BV580" s="5" t="n"/>
      <c r="BW580" s="5" t="n"/>
      <c r="BX580" s="5" t="n"/>
      <c r="BY580" s="5" t="n"/>
      <c r="BZ580" s="5" t="n"/>
      <c r="CA580" s="5" t="n"/>
      <c r="CB580" s="5" t="n"/>
      <c r="CC580" s="5" t="n"/>
      <c r="CD580" s="5" t="n"/>
      <c r="CE580" s="5" t="n"/>
      <c r="CF580" s="5" t="n"/>
    </row>
    <row r="581" ht="16.5" customHeight="1" s="241">
      <c r="A581" s="171" t="n">
        <v>25</v>
      </c>
      <c r="B581" s="171" t="n">
        <v>44</v>
      </c>
      <c r="C581" s="171" t="inlineStr">
        <is>
          <t>Extra Negocios NIF 3 1</t>
        </is>
      </c>
      <c r="D581" s="170" t="n">
        <v>111</v>
      </c>
      <c r="E581" s="5" t="n"/>
      <c r="F581" s="5" t="n"/>
      <c r="G581" s="5" t="n"/>
      <c r="H581" s="5" t="n"/>
      <c r="I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  <c r="AY581" s="5" t="n"/>
      <c r="AZ581" s="5" t="n"/>
      <c r="BA581" s="5" t="n"/>
      <c r="BB581" s="5" t="n"/>
      <c r="BC581" s="5" t="n"/>
      <c r="BD581" s="5" t="n"/>
      <c r="BE581" s="5" t="n"/>
      <c r="BF581" s="5" t="n"/>
      <c r="BG581" s="5" t="n"/>
      <c r="BH581" s="5" t="n"/>
      <c r="BI581" s="5" t="n"/>
      <c r="BJ581" s="5" t="n"/>
      <c r="BK581" s="5" t="n"/>
      <c r="BL581" s="5" t="n"/>
      <c r="BM581" s="5" t="n"/>
      <c r="BN581" s="5" t="n"/>
      <c r="BO581" s="5" t="n"/>
      <c r="BP581" s="5" t="n"/>
      <c r="BQ581" s="5" t="n"/>
      <c r="BR581" s="5" t="n"/>
      <c r="BS581" s="5" t="n"/>
      <c r="BT581" s="5" t="n"/>
      <c r="BU581" s="5" t="n"/>
      <c r="BV581" s="5" t="n"/>
      <c r="BW581" s="5" t="n"/>
      <c r="BX581" s="5" t="n"/>
      <c r="BY581" s="5" t="n"/>
      <c r="BZ581" s="5" t="n"/>
      <c r="CA581" s="5" t="n"/>
      <c r="CB581" s="5" t="n"/>
      <c r="CC581" s="5" t="n"/>
      <c r="CD581" s="5" t="n"/>
      <c r="CE581" s="5" t="n"/>
      <c r="CF581" s="5" t="n"/>
    </row>
    <row r="582" ht="16.5" customHeight="1" s="241">
      <c r="A582" s="171" t="n">
        <v>45</v>
      </c>
      <c r="B582" s="171" t="n">
        <v>54</v>
      </c>
      <c r="C582" s="171" t="inlineStr">
        <is>
          <t>Extra Negocios NIF 3 1</t>
        </is>
      </c>
      <c r="D582" s="170" t="n">
        <v>119</v>
      </c>
      <c r="E582" s="5" t="n"/>
      <c r="F582" s="5" t="n"/>
      <c r="G582" s="5" t="n"/>
      <c r="H582" s="5" t="n"/>
      <c r="I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  <c r="AY582" s="5" t="n"/>
      <c r="AZ582" s="5" t="n"/>
      <c r="BA582" s="5" t="n"/>
      <c r="BB582" s="5" t="n"/>
      <c r="BC582" s="5" t="n"/>
      <c r="BD582" s="5" t="n"/>
      <c r="BE582" s="5" t="n"/>
      <c r="BF582" s="5" t="n"/>
      <c r="BG582" s="5" t="n"/>
      <c r="BH582" s="5" t="n"/>
      <c r="BI582" s="5" t="n"/>
      <c r="BJ582" s="5" t="n"/>
      <c r="BK582" s="5" t="n"/>
      <c r="BL582" s="5" t="n"/>
      <c r="BM582" s="5" t="n"/>
      <c r="BN582" s="5" t="n"/>
      <c r="BO582" s="5" t="n"/>
      <c r="BP582" s="5" t="n"/>
      <c r="BQ582" s="5" t="n"/>
      <c r="BR582" s="5" t="n"/>
      <c r="BS582" s="5" t="n"/>
      <c r="BT582" s="5" t="n"/>
      <c r="BU582" s="5" t="n"/>
      <c r="BV582" s="5" t="n"/>
      <c r="BW582" s="5" t="n"/>
      <c r="BX582" s="5" t="n"/>
      <c r="BY582" s="5" t="n"/>
      <c r="BZ582" s="5" t="n"/>
      <c r="CA582" s="5" t="n"/>
      <c r="CB582" s="5" t="n"/>
      <c r="CC582" s="5" t="n"/>
      <c r="CD582" s="5" t="n"/>
      <c r="CE582" s="5" t="n"/>
      <c r="CF582" s="5" t="n"/>
    </row>
    <row r="583" ht="16.5" customHeight="1" s="241">
      <c r="A583" s="171" t="n">
        <v>55</v>
      </c>
      <c r="B583" s="171" t="n">
        <v>59</v>
      </c>
      <c r="C583" s="171" t="inlineStr">
        <is>
          <t>Extra Negocios NIF 3 1</t>
        </is>
      </c>
      <c r="D583" s="170" t="n">
        <v>185</v>
      </c>
      <c r="E583" s="5" t="n"/>
      <c r="F583" s="5" t="n"/>
      <c r="G583" s="5" t="n"/>
      <c r="H583" s="5" t="n"/>
      <c r="I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  <c r="AY583" s="5" t="n"/>
      <c r="AZ583" s="5" t="n"/>
      <c r="BA583" s="5" t="n"/>
      <c r="BB583" s="5" t="n"/>
      <c r="BC583" s="5" t="n"/>
      <c r="BD583" s="5" t="n"/>
      <c r="BE583" s="5" t="n"/>
      <c r="BF583" s="5" t="n"/>
      <c r="BG583" s="5" t="n"/>
      <c r="BH583" s="5" t="n"/>
      <c r="BI583" s="5" t="n"/>
      <c r="BJ583" s="5" t="n"/>
      <c r="BK583" s="5" t="n"/>
      <c r="BL583" s="5" t="n"/>
      <c r="BM583" s="5" t="n"/>
      <c r="BN583" s="5" t="n"/>
      <c r="BO583" s="5" t="n"/>
      <c r="BP583" s="5" t="n"/>
      <c r="BQ583" s="5" t="n"/>
      <c r="BR583" s="5" t="n"/>
      <c r="BS583" s="5" t="n"/>
      <c r="BT583" s="5" t="n"/>
      <c r="BU583" s="5" t="n"/>
      <c r="BV583" s="5" t="n"/>
      <c r="BW583" s="5" t="n"/>
      <c r="BX583" s="5" t="n"/>
      <c r="BY583" s="5" t="n"/>
      <c r="BZ583" s="5" t="n"/>
      <c r="CA583" s="5" t="n"/>
      <c r="CB583" s="5" t="n"/>
      <c r="CC583" s="5" t="n"/>
      <c r="CD583" s="5" t="n"/>
      <c r="CE583" s="5" t="n"/>
      <c r="CF583" s="5" t="n"/>
    </row>
    <row r="584" ht="16.5" customHeight="1" s="241">
      <c r="A584" s="171" t="n">
        <v>60</v>
      </c>
      <c r="B584" s="171" t="n">
        <v>64</v>
      </c>
      <c r="C584" s="171" t="inlineStr">
        <is>
          <t>Extra Negocios NIF 3 1</t>
        </is>
      </c>
      <c r="D584" s="170" t="n">
        <v>215</v>
      </c>
      <c r="E584" s="5" t="n"/>
      <c r="F584" s="5" t="n"/>
      <c r="G584" s="5" t="n"/>
      <c r="H584" s="5" t="n"/>
      <c r="I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  <c r="AY584" s="5" t="n"/>
      <c r="AZ584" s="5" t="n"/>
      <c r="BA584" s="5" t="n"/>
      <c r="BB584" s="5" t="n"/>
      <c r="BC584" s="5" t="n"/>
      <c r="BD584" s="5" t="n"/>
      <c r="BE584" s="5" t="n"/>
      <c r="BF584" s="5" t="n"/>
      <c r="BG584" s="5" t="n"/>
      <c r="BH584" s="5" t="n"/>
      <c r="BI584" s="5" t="n"/>
      <c r="BJ584" s="5" t="n"/>
      <c r="BK584" s="5" t="n"/>
      <c r="BL584" s="5" t="n"/>
      <c r="BM584" s="5" t="n"/>
      <c r="BN584" s="5" t="n"/>
      <c r="BO584" s="5" t="n"/>
      <c r="BP584" s="5" t="n"/>
      <c r="BQ584" s="5" t="n"/>
      <c r="BR584" s="5" t="n"/>
      <c r="BS584" s="5" t="n"/>
      <c r="BT584" s="5" t="n"/>
      <c r="BU584" s="5" t="n"/>
      <c r="BV584" s="5" t="n"/>
      <c r="BW584" s="5" t="n"/>
      <c r="BX584" s="5" t="n"/>
      <c r="BY584" s="5" t="n"/>
      <c r="BZ584" s="5" t="n"/>
      <c r="CA584" s="5" t="n"/>
      <c r="CB584" s="5" t="n"/>
      <c r="CC584" s="5" t="n"/>
      <c r="CD584" s="5" t="n"/>
      <c r="CE584" s="5" t="n"/>
      <c r="CF584" s="5" t="n"/>
    </row>
    <row r="585" ht="16.5" customHeight="1" s="241">
      <c r="A585" s="171" t="n">
        <v>65</v>
      </c>
      <c r="B585" s="171" t="n">
        <v>69</v>
      </c>
      <c r="C585" s="171" t="inlineStr">
        <is>
          <t>Extra Negocios NIF 3 1</t>
        </is>
      </c>
      <c r="D585" s="170" t="n">
        <v>308</v>
      </c>
      <c r="E585" s="5" t="n"/>
      <c r="F585" s="5" t="n"/>
      <c r="G585" s="5" t="n"/>
      <c r="H585" s="5" t="n"/>
      <c r="I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  <c r="AY585" s="5" t="n"/>
      <c r="AZ585" s="5" t="n"/>
      <c r="BA585" s="5" t="n"/>
      <c r="BB585" s="5" t="n"/>
      <c r="BC585" s="5" t="n"/>
      <c r="BD585" s="5" t="n"/>
      <c r="BE585" s="5" t="n"/>
      <c r="BF585" s="5" t="n"/>
      <c r="BG585" s="5" t="n"/>
      <c r="BH585" s="5" t="n"/>
      <c r="BI585" s="5" t="n"/>
      <c r="BJ585" s="5" t="n"/>
      <c r="BK585" s="5" t="n"/>
      <c r="BL585" s="5" t="n"/>
      <c r="BM585" s="5" t="n"/>
      <c r="BN585" s="5" t="n"/>
      <c r="BO585" s="5" t="n"/>
      <c r="BP585" s="5" t="n"/>
      <c r="BQ585" s="5" t="n"/>
      <c r="BR585" s="5" t="n"/>
      <c r="BS585" s="5" t="n"/>
      <c r="BT585" s="5" t="n"/>
      <c r="BU585" s="5" t="n"/>
      <c r="BV585" s="5" t="n"/>
      <c r="BW585" s="5" t="n"/>
      <c r="BX585" s="5" t="n"/>
      <c r="BY585" s="5" t="n"/>
      <c r="BZ585" s="5" t="n"/>
      <c r="CA585" s="5" t="n"/>
      <c r="CB585" s="5" t="n"/>
      <c r="CC585" s="5" t="n"/>
      <c r="CD585" s="5" t="n"/>
      <c r="CE585" s="5" t="n"/>
      <c r="CF585" s="5" t="n"/>
    </row>
    <row r="586" ht="16.5" customHeight="1" s="241">
      <c r="A586" s="171" t="n">
        <v>70</v>
      </c>
      <c r="B586" s="171" t="n">
        <v>120</v>
      </c>
      <c r="C586" s="171" t="inlineStr">
        <is>
          <t>Extra Negocios NIF 3 1</t>
        </is>
      </c>
      <c r="D586" s="170" t="n">
        <v>319</v>
      </c>
      <c r="E586" s="5" t="n"/>
      <c r="F586" s="5" t="n"/>
      <c r="G586" s="5" t="n"/>
      <c r="H586" s="5" t="n"/>
      <c r="I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  <c r="AY586" s="5" t="n"/>
      <c r="AZ586" s="5" t="n"/>
      <c r="BA586" s="5" t="n"/>
      <c r="BB586" s="5" t="n"/>
      <c r="BC586" s="5" t="n"/>
      <c r="BD586" s="5" t="n"/>
      <c r="BE586" s="5" t="n"/>
      <c r="BF586" s="5" t="n"/>
      <c r="BG586" s="5" t="n"/>
      <c r="BH586" s="5" t="n"/>
      <c r="BI586" s="5" t="n"/>
      <c r="BJ586" s="5" t="n"/>
      <c r="BK586" s="5" t="n"/>
      <c r="BL586" s="5" t="n"/>
      <c r="BM586" s="5" t="n"/>
      <c r="BN586" s="5" t="n"/>
      <c r="BO586" s="5" t="n"/>
      <c r="BP586" s="5" t="n"/>
      <c r="BQ586" s="5" t="n"/>
      <c r="BR586" s="5" t="n"/>
      <c r="BS586" s="5" t="n"/>
      <c r="BT586" s="5" t="n"/>
      <c r="BU586" s="5" t="n"/>
      <c r="BV586" s="5" t="n"/>
      <c r="BW586" s="5" t="n"/>
      <c r="BX586" s="5" t="n"/>
      <c r="BY586" s="5" t="n"/>
      <c r="BZ586" s="5" t="n"/>
      <c r="CA586" s="5" t="n"/>
      <c r="CB586" s="5" t="n"/>
      <c r="CC586" s="5" t="n"/>
      <c r="CD586" s="5" t="n"/>
      <c r="CE586" s="5" t="n"/>
      <c r="CF586" s="5" t="n"/>
    </row>
    <row r="587" ht="16.5" customHeight="1" s="241">
      <c r="A587" s="171" t="n">
        <v>0</v>
      </c>
      <c r="B587" s="171" t="n">
        <v>24</v>
      </c>
      <c r="C587" s="171" t="inlineStr">
        <is>
          <t>Extra Negocios NIF 4 1</t>
        </is>
      </c>
      <c r="D587" s="170" t="n">
        <v>102</v>
      </c>
      <c r="E587" s="5" t="n"/>
      <c r="F587" s="5" t="n"/>
      <c r="G587" s="5" t="n"/>
      <c r="H587" s="5" t="n"/>
      <c r="I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  <c r="AY587" s="5" t="n"/>
      <c r="AZ587" s="5" t="n"/>
      <c r="BA587" s="5" t="n"/>
      <c r="BB587" s="5" t="n"/>
      <c r="BC587" s="5" t="n"/>
      <c r="BD587" s="5" t="n"/>
      <c r="BE587" s="5" t="n"/>
      <c r="BF587" s="5" t="n"/>
      <c r="BG587" s="5" t="n"/>
      <c r="BH587" s="5" t="n"/>
      <c r="BI587" s="5" t="n"/>
      <c r="BJ587" s="5" t="n"/>
      <c r="BK587" s="5" t="n"/>
      <c r="BL587" s="5" t="n"/>
      <c r="BM587" s="5" t="n"/>
      <c r="BN587" s="5" t="n"/>
      <c r="BO587" s="5" t="n"/>
      <c r="BP587" s="5" t="n"/>
      <c r="BQ587" s="5" t="n"/>
      <c r="BR587" s="5" t="n"/>
      <c r="BS587" s="5" t="n"/>
      <c r="BT587" s="5" t="n"/>
      <c r="BU587" s="5" t="n"/>
      <c r="BV587" s="5" t="n"/>
      <c r="BW587" s="5" t="n"/>
      <c r="BX587" s="5" t="n"/>
      <c r="BY587" s="5" t="n"/>
      <c r="BZ587" s="5" t="n"/>
      <c r="CA587" s="5" t="n"/>
      <c r="CB587" s="5" t="n"/>
      <c r="CC587" s="5" t="n"/>
      <c r="CD587" s="5" t="n"/>
      <c r="CE587" s="5" t="n"/>
      <c r="CF587" s="5" t="n"/>
    </row>
    <row r="588" ht="16.5" customHeight="1" s="241">
      <c r="A588" s="171" t="n">
        <v>25</v>
      </c>
      <c r="B588" s="171" t="n">
        <v>44</v>
      </c>
      <c r="C588" s="171" t="inlineStr">
        <is>
          <t>Extra Negocios NIF 4 1</t>
        </is>
      </c>
      <c r="D588" s="170" t="n">
        <v>120</v>
      </c>
      <c r="E588" s="5" t="n"/>
      <c r="F588" s="5" t="n"/>
      <c r="G588" s="5" t="n"/>
      <c r="H588" s="5" t="n"/>
      <c r="I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  <c r="AY588" s="5" t="n"/>
      <c r="AZ588" s="5" t="n"/>
      <c r="BA588" s="5" t="n"/>
      <c r="BB588" s="5" t="n"/>
      <c r="BC588" s="5" t="n"/>
      <c r="BD588" s="5" t="n"/>
      <c r="BE588" s="5" t="n"/>
      <c r="BF588" s="5" t="n"/>
      <c r="BG588" s="5" t="n"/>
      <c r="BH588" s="5" t="n"/>
      <c r="BI588" s="5" t="n"/>
      <c r="BJ588" s="5" t="n"/>
      <c r="BK588" s="5" t="n"/>
      <c r="BL588" s="5" t="n"/>
      <c r="BM588" s="5" t="n"/>
      <c r="BN588" s="5" t="n"/>
      <c r="BO588" s="5" t="n"/>
      <c r="BP588" s="5" t="n"/>
      <c r="BQ588" s="5" t="n"/>
      <c r="BR588" s="5" t="n"/>
      <c r="BS588" s="5" t="n"/>
      <c r="BT588" s="5" t="n"/>
      <c r="BU588" s="5" t="n"/>
      <c r="BV588" s="5" t="n"/>
      <c r="BW588" s="5" t="n"/>
      <c r="BX588" s="5" t="n"/>
      <c r="BY588" s="5" t="n"/>
      <c r="BZ588" s="5" t="n"/>
      <c r="CA588" s="5" t="n"/>
      <c r="CB588" s="5" t="n"/>
      <c r="CC588" s="5" t="n"/>
      <c r="CD588" s="5" t="n"/>
      <c r="CE588" s="5" t="n"/>
      <c r="CF588" s="5" t="n"/>
    </row>
    <row r="589" ht="16.5" customHeight="1" s="241">
      <c r="A589" s="171" t="n">
        <v>45</v>
      </c>
      <c r="B589" s="171" t="n">
        <v>54</v>
      </c>
      <c r="C589" s="171" t="inlineStr">
        <is>
          <t>Extra Negocios NIF 4 1</t>
        </is>
      </c>
      <c r="D589" s="170" t="n">
        <v>129</v>
      </c>
      <c r="E589" s="5" t="n"/>
      <c r="F589" s="5" t="n"/>
      <c r="G589" s="5" t="n"/>
      <c r="H589" s="5" t="n"/>
      <c r="I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  <c r="AY589" s="5" t="n"/>
      <c r="AZ589" s="5" t="n"/>
      <c r="BA589" s="5" t="n"/>
      <c r="BB589" s="5" t="n"/>
      <c r="BC589" s="5" t="n"/>
      <c r="BD589" s="5" t="n"/>
      <c r="BE589" s="5" t="n"/>
      <c r="BF589" s="5" t="n"/>
      <c r="BG589" s="5" t="n"/>
      <c r="BH589" s="5" t="n"/>
      <c r="BI589" s="5" t="n"/>
      <c r="BJ589" s="5" t="n"/>
      <c r="BK589" s="5" t="n"/>
      <c r="BL589" s="5" t="n"/>
      <c r="BM589" s="5" t="n"/>
      <c r="BN589" s="5" t="n"/>
      <c r="BO589" s="5" t="n"/>
      <c r="BP589" s="5" t="n"/>
      <c r="BQ589" s="5" t="n"/>
      <c r="BR589" s="5" t="n"/>
      <c r="BS589" s="5" t="n"/>
      <c r="BT589" s="5" t="n"/>
      <c r="BU589" s="5" t="n"/>
      <c r="BV589" s="5" t="n"/>
      <c r="BW589" s="5" t="n"/>
      <c r="BX589" s="5" t="n"/>
      <c r="BY589" s="5" t="n"/>
      <c r="BZ589" s="5" t="n"/>
      <c r="CA589" s="5" t="n"/>
      <c r="CB589" s="5" t="n"/>
      <c r="CC589" s="5" t="n"/>
      <c r="CD589" s="5" t="n"/>
      <c r="CE589" s="5" t="n"/>
      <c r="CF589" s="5" t="n"/>
    </row>
    <row r="590" ht="16.5" customHeight="1" s="241">
      <c r="A590" s="171" t="n">
        <v>55</v>
      </c>
      <c r="B590" s="171" t="n">
        <v>59</v>
      </c>
      <c r="C590" s="171" t="inlineStr">
        <is>
          <t>Extra Negocios NIF 4 1</t>
        </is>
      </c>
      <c r="D590" s="170" t="n">
        <v>198</v>
      </c>
      <c r="E590" s="5" t="n"/>
      <c r="F590" s="5" t="n"/>
      <c r="G590" s="5" t="n"/>
      <c r="H590" s="5" t="n"/>
      <c r="I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  <c r="AY590" s="5" t="n"/>
      <c r="AZ590" s="5" t="n"/>
      <c r="BA590" s="5" t="n"/>
      <c r="BB590" s="5" t="n"/>
      <c r="BC590" s="5" t="n"/>
      <c r="BD590" s="5" t="n"/>
      <c r="BE590" s="5" t="n"/>
      <c r="BF590" s="5" t="n"/>
      <c r="BG590" s="5" t="n"/>
      <c r="BH590" s="5" t="n"/>
      <c r="BI590" s="5" t="n"/>
      <c r="BJ590" s="5" t="n"/>
      <c r="BK590" s="5" t="n"/>
      <c r="BL590" s="5" t="n"/>
      <c r="BM590" s="5" t="n"/>
      <c r="BN590" s="5" t="n"/>
      <c r="BO590" s="5" t="n"/>
      <c r="BP590" s="5" t="n"/>
      <c r="BQ590" s="5" t="n"/>
      <c r="BR590" s="5" t="n"/>
      <c r="BS590" s="5" t="n"/>
      <c r="BT590" s="5" t="n"/>
      <c r="BU590" s="5" t="n"/>
      <c r="BV590" s="5" t="n"/>
      <c r="BW590" s="5" t="n"/>
      <c r="BX590" s="5" t="n"/>
      <c r="BY590" s="5" t="n"/>
      <c r="BZ590" s="5" t="n"/>
      <c r="CA590" s="5" t="n"/>
      <c r="CB590" s="5" t="n"/>
      <c r="CC590" s="5" t="n"/>
      <c r="CD590" s="5" t="n"/>
      <c r="CE590" s="5" t="n"/>
      <c r="CF590" s="5" t="n"/>
    </row>
    <row r="591" ht="16.5" customHeight="1" s="241">
      <c r="A591" s="171" t="n">
        <v>60</v>
      </c>
      <c r="B591" s="171" t="n">
        <v>64</v>
      </c>
      <c r="C591" s="171" t="inlineStr">
        <is>
          <t>Extra Negocios NIF 4 1</t>
        </is>
      </c>
      <c r="D591" s="170" t="n">
        <v>228</v>
      </c>
      <c r="E591" s="5" t="n"/>
      <c r="F591" s="5" t="n"/>
      <c r="G591" s="5" t="n"/>
      <c r="H591" s="5" t="n"/>
      <c r="I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  <c r="AY591" s="5" t="n"/>
      <c r="AZ591" s="5" t="n"/>
      <c r="BA591" s="5" t="n"/>
      <c r="BB591" s="5" t="n"/>
      <c r="BC591" s="5" t="n"/>
      <c r="BD591" s="5" t="n"/>
      <c r="BE591" s="5" t="n"/>
      <c r="BF591" s="5" t="n"/>
      <c r="BG591" s="5" t="n"/>
      <c r="BH591" s="5" t="n"/>
      <c r="BI591" s="5" t="n"/>
      <c r="BJ591" s="5" t="n"/>
      <c r="BK591" s="5" t="n"/>
      <c r="BL591" s="5" t="n"/>
      <c r="BM591" s="5" t="n"/>
      <c r="BN591" s="5" t="n"/>
      <c r="BO591" s="5" t="n"/>
      <c r="BP591" s="5" t="n"/>
      <c r="BQ591" s="5" t="n"/>
      <c r="BR591" s="5" t="n"/>
      <c r="BS591" s="5" t="n"/>
      <c r="BT591" s="5" t="n"/>
      <c r="BU591" s="5" t="n"/>
      <c r="BV591" s="5" t="n"/>
      <c r="BW591" s="5" t="n"/>
      <c r="BX591" s="5" t="n"/>
      <c r="BY591" s="5" t="n"/>
      <c r="BZ591" s="5" t="n"/>
      <c r="CA591" s="5" t="n"/>
      <c r="CB591" s="5" t="n"/>
      <c r="CC591" s="5" t="n"/>
      <c r="CD591" s="5" t="n"/>
      <c r="CE591" s="5" t="n"/>
      <c r="CF591" s="5" t="n"/>
    </row>
    <row r="592" ht="16.5" customHeight="1" s="241">
      <c r="A592" s="171" t="n">
        <v>65</v>
      </c>
      <c r="B592" s="171" t="n">
        <v>69</v>
      </c>
      <c r="C592" s="171" t="inlineStr">
        <is>
          <t>Extra Negocios NIF 4 1</t>
        </is>
      </c>
      <c r="D592" s="170" t="n">
        <v>320</v>
      </c>
      <c r="E592" s="5" t="n"/>
      <c r="F592" s="5" t="n"/>
      <c r="G592" s="5" t="n"/>
      <c r="H592" s="5" t="n"/>
      <c r="I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  <c r="BA592" s="5" t="n"/>
      <c r="BB592" s="5" t="n"/>
      <c r="BC592" s="5" t="n"/>
      <c r="BD592" s="5" t="n"/>
      <c r="BE592" s="5" t="n"/>
      <c r="BF592" s="5" t="n"/>
      <c r="BG592" s="5" t="n"/>
      <c r="BH592" s="5" t="n"/>
      <c r="BI592" s="5" t="n"/>
      <c r="BJ592" s="5" t="n"/>
      <c r="BK592" s="5" t="n"/>
      <c r="BL592" s="5" t="n"/>
      <c r="BM592" s="5" t="n"/>
      <c r="BN592" s="5" t="n"/>
      <c r="BO592" s="5" t="n"/>
      <c r="BP592" s="5" t="n"/>
      <c r="BQ592" s="5" t="n"/>
      <c r="BR592" s="5" t="n"/>
      <c r="BS592" s="5" t="n"/>
      <c r="BT592" s="5" t="n"/>
      <c r="BU592" s="5" t="n"/>
      <c r="BV592" s="5" t="n"/>
      <c r="BW592" s="5" t="n"/>
      <c r="BX592" s="5" t="n"/>
      <c r="BY592" s="5" t="n"/>
      <c r="BZ592" s="5" t="n"/>
      <c r="CA592" s="5" t="n"/>
      <c r="CB592" s="5" t="n"/>
      <c r="CC592" s="5" t="n"/>
      <c r="CD592" s="5" t="n"/>
      <c r="CE592" s="5" t="n"/>
      <c r="CF592" s="5" t="n"/>
    </row>
    <row r="593" ht="16.5" customHeight="1" s="241">
      <c r="A593" s="171" t="n">
        <v>70</v>
      </c>
      <c r="B593" s="171" t="n">
        <v>120</v>
      </c>
      <c r="C593" s="171" t="inlineStr">
        <is>
          <t>Extra Negocios NIF 4 1</t>
        </is>
      </c>
      <c r="D593" s="170" t="n">
        <v>329</v>
      </c>
      <c r="E593" s="5" t="n"/>
      <c r="F593" s="5" t="n"/>
      <c r="G593" s="5" t="n"/>
      <c r="H593" s="5" t="n"/>
      <c r="I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  <c r="AY593" s="5" t="n"/>
      <c r="AZ593" s="5" t="n"/>
      <c r="BA593" s="5" t="n"/>
      <c r="BB593" s="5" t="n"/>
      <c r="BC593" s="5" t="n"/>
      <c r="BD593" s="5" t="n"/>
      <c r="BE593" s="5" t="n"/>
      <c r="BF593" s="5" t="n"/>
      <c r="BG593" s="5" t="n"/>
      <c r="BH593" s="5" t="n"/>
      <c r="BI593" s="5" t="n"/>
      <c r="BJ593" s="5" t="n"/>
      <c r="BK593" s="5" t="n"/>
      <c r="BL593" s="5" t="n"/>
      <c r="BM593" s="5" t="n"/>
      <c r="BN593" s="5" t="n"/>
      <c r="BO593" s="5" t="n"/>
      <c r="BP593" s="5" t="n"/>
      <c r="BQ593" s="5" t="n"/>
      <c r="BR593" s="5" t="n"/>
      <c r="BS593" s="5" t="n"/>
      <c r="BT593" s="5" t="n"/>
      <c r="BU593" s="5" t="n"/>
      <c r="BV593" s="5" t="n"/>
      <c r="BW593" s="5" t="n"/>
      <c r="BX593" s="5" t="n"/>
      <c r="BY593" s="5" t="n"/>
      <c r="BZ593" s="5" t="n"/>
      <c r="CA593" s="5" t="n"/>
      <c r="CB593" s="5" t="n"/>
      <c r="CC593" s="5" t="n"/>
      <c r="CD593" s="5" t="n"/>
      <c r="CE593" s="5" t="n"/>
      <c r="CF593" s="5" t="n"/>
    </row>
    <row r="594">
      <c r="A594" s="171" t="n">
        <v>0</v>
      </c>
      <c r="B594" s="171" t="n">
        <v>24</v>
      </c>
      <c r="C594" s="171" t="inlineStr">
        <is>
          <t>Extra Negocios NIF 5 1</t>
        </is>
      </c>
      <c r="D594" s="169" t="n">
        <v>102.5</v>
      </c>
      <c r="E594" s="5" t="n"/>
      <c r="F594" s="5" t="n"/>
      <c r="G594" s="5" t="n"/>
      <c r="H594" s="5" t="n"/>
      <c r="I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  <c r="AY594" s="5" t="n"/>
      <c r="AZ594" s="5" t="n"/>
      <c r="BA594" s="5" t="n"/>
      <c r="BB594" s="5" t="n"/>
      <c r="BC594" s="5" t="n"/>
      <c r="BD594" s="5" t="n"/>
      <c r="BE594" s="5" t="n"/>
      <c r="BF594" s="5" t="n"/>
      <c r="BG594" s="5" t="n"/>
      <c r="BH594" s="5" t="n"/>
      <c r="BI594" s="5" t="n"/>
      <c r="BJ594" s="5" t="n"/>
      <c r="BK594" s="5" t="n"/>
      <c r="BL594" s="5" t="n"/>
      <c r="BM594" s="5" t="n"/>
      <c r="BN594" s="5" t="n"/>
      <c r="BO594" s="5" t="n"/>
      <c r="BP594" s="5" t="n"/>
      <c r="BQ594" s="5" t="n"/>
      <c r="BR594" s="5" t="n"/>
      <c r="BS594" s="5" t="n"/>
      <c r="BT594" s="5" t="n"/>
      <c r="BU594" s="5" t="n"/>
      <c r="BV594" s="5" t="n"/>
      <c r="BW594" s="5" t="n"/>
      <c r="BX594" s="5" t="n"/>
      <c r="BY594" s="5" t="n"/>
      <c r="BZ594" s="5" t="n"/>
      <c r="CA594" s="5" t="n"/>
      <c r="CB594" s="5" t="n"/>
      <c r="CC594" s="5" t="n"/>
      <c r="CD594" s="5" t="n"/>
      <c r="CE594" s="5" t="n"/>
      <c r="CF594" s="5" t="n"/>
    </row>
    <row r="595">
      <c r="A595" s="171" t="n">
        <v>25</v>
      </c>
      <c r="B595" s="171" t="n">
        <v>44</v>
      </c>
      <c r="C595" s="171" t="inlineStr">
        <is>
          <t>Extra Negocios NIF 5 1</t>
        </is>
      </c>
      <c r="D595" s="169" t="n">
        <v>120.5</v>
      </c>
      <c r="E595" s="5" t="n"/>
      <c r="F595" s="5" t="n"/>
      <c r="G595" s="5" t="n"/>
      <c r="H595" s="5" t="n"/>
      <c r="I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  <c r="AY595" s="5" t="n"/>
      <c r="AZ595" s="5" t="n"/>
      <c r="BA595" s="5" t="n"/>
      <c r="BB595" s="5" t="n"/>
      <c r="BC595" s="5" t="n"/>
      <c r="BD595" s="5" t="n"/>
      <c r="BE595" s="5" t="n"/>
      <c r="BF595" s="5" t="n"/>
      <c r="BG595" s="5" t="n"/>
      <c r="BH595" s="5" t="n"/>
      <c r="BI595" s="5" t="n"/>
      <c r="BJ595" s="5" t="n"/>
      <c r="BK595" s="5" t="n"/>
      <c r="BL595" s="5" t="n"/>
      <c r="BM595" s="5" t="n"/>
      <c r="BN595" s="5" t="n"/>
      <c r="BO595" s="5" t="n"/>
      <c r="BP595" s="5" t="n"/>
      <c r="BQ595" s="5" t="n"/>
      <c r="BR595" s="5" t="n"/>
      <c r="BS595" s="5" t="n"/>
      <c r="BT595" s="5" t="n"/>
      <c r="BU595" s="5" t="n"/>
      <c r="BV595" s="5" t="n"/>
      <c r="BW595" s="5" t="n"/>
      <c r="BX595" s="5" t="n"/>
      <c r="BY595" s="5" t="n"/>
      <c r="BZ595" s="5" t="n"/>
      <c r="CA595" s="5" t="n"/>
      <c r="CB595" s="5" t="n"/>
      <c r="CC595" s="5" t="n"/>
      <c r="CD595" s="5" t="n"/>
      <c r="CE595" s="5" t="n"/>
      <c r="CF595" s="5" t="n"/>
    </row>
    <row r="596">
      <c r="A596" s="171" t="n">
        <v>45</v>
      </c>
      <c r="B596" s="171" t="n">
        <v>54</v>
      </c>
      <c r="C596" s="171" t="inlineStr">
        <is>
          <t>Extra Negocios NIF 5 1</t>
        </is>
      </c>
      <c r="D596" s="169" t="n">
        <v>130</v>
      </c>
      <c r="E596" s="5" t="n"/>
      <c r="F596" s="5" t="n"/>
      <c r="G596" s="5" t="n"/>
      <c r="H596" s="5" t="n"/>
      <c r="I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  <c r="AY596" s="5" t="n"/>
      <c r="AZ596" s="5" t="n"/>
      <c r="BA596" s="5" t="n"/>
      <c r="BB596" s="5" t="n"/>
      <c r="BC596" s="5" t="n"/>
      <c r="BD596" s="5" t="n"/>
      <c r="BE596" s="5" t="n"/>
      <c r="BF596" s="5" t="n"/>
      <c r="BG596" s="5" t="n"/>
      <c r="BH596" s="5" t="n"/>
      <c r="BI596" s="5" t="n"/>
      <c r="BJ596" s="5" t="n"/>
      <c r="BK596" s="5" t="n"/>
      <c r="BL596" s="5" t="n"/>
      <c r="BM596" s="5" t="n"/>
      <c r="BN596" s="5" t="n"/>
      <c r="BO596" s="5" t="n"/>
      <c r="BP596" s="5" t="n"/>
      <c r="BQ596" s="5" t="n"/>
      <c r="BR596" s="5" t="n"/>
      <c r="BS596" s="5" t="n"/>
      <c r="BT596" s="5" t="n"/>
      <c r="BU596" s="5" t="n"/>
      <c r="BV596" s="5" t="n"/>
      <c r="BW596" s="5" t="n"/>
      <c r="BX596" s="5" t="n"/>
      <c r="BY596" s="5" t="n"/>
      <c r="BZ596" s="5" t="n"/>
      <c r="CA596" s="5" t="n"/>
      <c r="CB596" s="5" t="n"/>
      <c r="CC596" s="5" t="n"/>
      <c r="CD596" s="5" t="n"/>
      <c r="CE596" s="5" t="n"/>
      <c r="CF596" s="5" t="n"/>
    </row>
    <row r="597">
      <c r="A597" s="171" t="n">
        <v>55</v>
      </c>
      <c r="B597" s="171" t="n">
        <v>59</v>
      </c>
      <c r="C597" s="171" t="inlineStr">
        <is>
          <t>Extra Negocios NIF 5 1</t>
        </is>
      </c>
      <c r="D597" s="169" t="n">
        <v>198.5</v>
      </c>
      <c r="E597" s="5" t="n"/>
      <c r="F597" s="5" t="n"/>
      <c r="G597" s="5" t="n"/>
      <c r="H597" s="5" t="n"/>
      <c r="I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  <c r="AY597" s="5" t="n"/>
      <c r="AZ597" s="5" t="n"/>
      <c r="BA597" s="5" t="n"/>
      <c r="BB597" s="5" t="n"/>
      <c r="BC597" s="5" t="n"/>
      <c r="BD597" s="5" t="n"/>
      <c r="BE597" s="5" t="n"/>
      <c r="BF597" s="5" t="n"/>
      <c r="BG597" s="5" t="n"/>
      <c r="BH597" s="5" t="n"/>
      <c r="BI597" s="5" t="n"/>
      <c r="BJ597" s="5" t="n"/>
      <c r="BK597" s="5" t="n"/>
      <c r="BL597" s="5" t="n"/>
      <c r="BM597" s="5" t="n"/>
      <c r="BN597" s="5" t="n"/>
      <c r="BO597" s="5" t="n"/>
      <c r="BP597" s="5" t="n"/>
      <c r="BQ597" s="5" t="n"/>
      <c r="BR597" s="5" t="n"/>
      <c r="BS597" s="5" t="n"/>
      <c r="BT597" s="5" t="n"/>
      <c r="BU597" s="5" t="n"/>
      <c r="BV597" s="5" t="n"/>
      <c r="BW597" s="5" t="n"/>
      <c r="BX597" s="5" t="n"/>
      <c r="BY597" s="5" t="n"/>
      <c r="BZ597" s="5" t="n"/>
      <c r="CA597" s="5" t="n"/>
      <c r="CB597" s="5" t="n"/>
      <c r="CC597" s="5" t="n"/>
      <c r="CD597" s="5" t="n"/>
      <c r="CE597" s="5" t="n"/>
      <c r="CF597" s="5" t="n"/>
    </row>
    <row r="598">
      <c r="A598" s="171" t="n">
        <v>60</v>
      </c>
      <c r="B598" s="171" t="n">
        <v>64</v>
      </c>
      <c r="C598" s="171" t="inlineStr">
        <is>
          <t>Extra Negocios NIF 5 1</t>
        </is>
      </c>
      <c r="D598" s="169" t="n">
        <v>228.5</v>
      </c>
      <c r="E598" s="5" t="n"/>
      <c r="F598" s="5" t="n"/>
      <c r="G598" s="5" t="n"/>
      <c r="H598" s="5" t="n"/>
      <c r="I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  <c r="AY598" s="5" t="n"/>
      <c r="AZ598" s="5" t="n"/>
      <c r="BA598" s="5" t="n"/>
      <c r="BB598" s="5" t="n"/>
      <c r="BC598" s="5" t="n"/>
      <c r="BD598" s="5" t="n"/>
      <c r="BE598" s="5" t="n"/>
      <c r="BF598" s="5" t="n"/>
      <c r="BG598" s="5" t="n"/>
      <c r="BH598" s="5" t="n"/>
      <c r="BI598" s="5" t="n"/>
      <c r="BJ598" s="5" t="n"/>
      <c r="BK598" s="5" t="n"/>
      <c r="BL598" s="5" t="n"/>
      <c r="BM598" s="5" t="n"/>
      <c r="BN598" s="5" t="n"/>
      <c r="BO598" s="5" t="n"/>
      <c r="BP598" s="5" t="n"/>
      <c r="BQ598" s="5" t="n"/>
      <c r="BR598" s="5" t="n"/>
      <c r="BS598" s="5" t="n"/>
      <c r="BT598" s="5" t="n"/>
      <c r="BU598" s="5" t="n"/>
      <c r="BV598" s="5" t="n"/>
      <c r="BW598" s="5" t="n"/>
      <c r="BX598" s="5" t="n"/>
      <c r="BY598" s="5" t="n"/>
      <c r="BZ598" s="5" t="n"/>
      <c r="CA598" s="5" t="n"/>
      <c r="CB598" s="5" t="n"/>
      <c r="CC598" s="5" t="n"/>
      <c r="CD598" s="5" t="n"/>
      <c r="CE598" s="5" t="n"/>
      <c r="CF598" s="5" t="n"/>
    </row>
    <row r="599">
      <c r="A599" s="171" t="n">
        <v>65</v>
      </c>
      <c r="B599" s="171" t="n">
        <v>69</v>
      </c>
      <c r="C599" s="171" t="inlineStr">
        <is>
          <t>Extra Negocios NIF 5 1</t>
        </is>
      </c>
      <c r="D599" s="169" t="n">
        <v>321</v>
      </c>
      <c r="E599" s="5" t="n"/>
      <c r="F599" s="5" t="n"/>
      <c r="G599" s="5" t="n"/>
      <c r="H599" s="5" t="n"/>
      <c r="I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  <c r="BA599" s="5" t="n"/>
      <c r="BB599" s="5" t="n"/>
      <c r="BC599" s="5" t="n"/>
      <c r="BD599" s="5" t="n"/>
      <c r="BE599" s="5" t="n"/>
      <c r="BF599" s="5" t="n"/>
      <c r="BG599" s="5" t="n"/>
      <c r="BH599" s="5" t="n"/>
      <c r="BI599" s="5" t="n"/>
      <c r="BJ599" s="5" t="n"/>
      <c r="BK599" s="5" t="n"/>
      <c r="BL599" s="5" t="n"/>
      <c r="BM599" s="5" t="n"/>
      <c r="BN599" s="5" t="n"/>
      <c r="BO599" s="5" t="n"/>
      <c r="BP599" s="5" t="n"/>
      <c r="BQ599" s="5" t="n"/>
      <c r="BR599" s="5" t="n"/>
      <c r="BS599" s="5" t="n"/>
      <c r="BT599" s="5" t="n"/>
      <c r="BU599" s="5" t="n"/>
      <c r="BV599" s="5" t="n"/>
      <c r="BW599" s="5" t="n"/>
      <c r="BX599" s="5" t="n"/>
      <c r="BY599" s="5" t="n"/>
      <c r="BZ599" s="5" t="n"/>
      <c r="CA599" s="5" t="n"/>
      <c r="CB599" s="5" t="n"/>
      <c r="CC599" s="5" t="n"/>
      <c r="CD599" s="5" t="n"/>
      <c r="CE599" s="5" t="n"/>
      <c r="CF599" s="5" t="n"/>
    </row>
    <row r="600">
      <c r="A600" s="171" t="n">
        <v>70</v>
      </c>
      <c r="B600" s="171" t="n">
        <v>120</v>
      </c>
      <c r="C600" s="171" t="inlineStr">
        <is>
          <t>Extra Negocios NIF 5 1</t>
        </is>
      </c>
      <c r="D600" s="169" t="n">
        <v>330</v>
      </c>
      <c r="E600" s="5" t="n"/>
      <c r="F600" s="5" t="n"/>
      <c r="G600" s="5" t="n"/>
      <c r="H600" s="5" t="n"/>
      <c r="I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  <c r="AY600" s="5" t="n"/>
      <c r="AZ600" s="5" t="n"/>
      <c r="BA600" s="5" t="n"/>
      <c r="BB600" s="5" t="n"/>
      <c r="BC600" s="5" t="n"/>
      <c r="BD600" s="5" t="n"/>
      <c r="BE600" s="5" t="n"/>
      <c r="BF600" s="5" t="n"/>
      <c r="BG600" s="5" t="n"/>
      <c r="BH600" s="5" t="n"/>
      <c r="BI600" s="5" t="n"/>
      <c r="BJ600" s="5" t="n"/>
      <c r="BK600" s="5" t="n"/>
      <c r="BL600" s="5" t="n"/>
      <c r="BM600" s="5" t="n"/>
      <c r="BN600" s="5" t="n"/>
      <c r="BO600" s="5" t="n"/>
      <c r="BP600" s="5" t="n"/>
      <c r="BQ600" s="5" t="n"/>
      <c r="BR600" s="5" t="n"/>
      <c r="BS600" s="5" t="n"/>
      <c r="BT600" s="5" t="n"/>
      <c r="BU600" s="5" t="n"/>
      <c r="BV600" s="5" t="n"/>
      <c r="BW600" s="5" t="n"/>
      <c r="BX600" s="5" t="n"/>
      <c r="BY600" s="5" t="n"/>
      <c r="BZ600" s="5" t="n"/>
      <c r="CA600" s="5" t="n"/>
      <c r="CB600" s="5" t="n"/>
      <c r="CC600" s="5" t="n"/>
      <c r="CD600" s="5" t="n"/>
      <c r="CE600" s="5" t="n"/>
      <c r="CF600" s="5" t="n"/>
    </row>
    <row r="601">
      <c r="A601" s="171" t="n">
        <v>0</v>
      </c>
      <c r="B601" s="171" t="n">
        <v>24</v>
      </c>
      <c r="C601" s="171" t="inlineStr">
        <is>
          <t>Extra Negocios NIF 6 1</t>
        </is>
      </c>
      <c r="D601" s="169" t="n">
        <v>104</v>
      </c>
      <c r="E601" s="5" t="n"/>
      <c r="F601" s="5" t="n"/>
      <c r="G601" s="5" t="n"/>
      <c r="H601" s="5" t="n"/>
      <c r="I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  <c r="AY601" s="5" t="n"/>
      <c r="AZ601" s="5" t="n"/>
      <c r="BA601" s="5" t="n"/>
      <c r="BB601" s="5" t="n"/>
      <c r="BC601" s="5" t="n"/>
      <c r="BD601" s="5" t="n"/>
      <c r="BE601" s="5" t="n"/>
      <c r="BF601" s="5" t="n"/>
      <c r="BG601" s="5" t="n"/>
      <c r="BH601" s="5" t="n"/>
      <c r="BI601" s="5" t="n"/>
      <c r="BJ601" s="5" t="n"/>
      <c r="BK601" s="5" t="n"/>
      <c r="BL601" s="5" t="n"/>
      <c r="BM601" s="5" t="n"/>
      <c r="BN601" s="5" t="n"/>
      <c r="BO601" s="5" t="n"/>
      <c r="BP601" s="5" t="n"/>
      <c r="BQ601" s="5" t="n"/>
      <c r="BR601" s="5" t="n"/>
      <c r="BS601" s="5" t="n"/>
      <c r="BT601" s="5" t="n"/>
      <c r="BU601" s="5" t="n"/>
      <c r="BV601" s="5" t="n"/>
      <c r="BW601" s="5" t="n"/>
      <c r="BX601" s="5" t="n"/>
      <c r="BY601" s="5" t="n"/>
      <c r="BZ601" s="5" t="n"/>
      <c r="CA601" s="5" t="n"/>
      <c r="CB601" s="5" t="n"/>
      <c r="CC601" s="5" t="n"/>
      <c r="CD601" s="5" t="n"/>
      <c r="CE601" s="5" t="n"/>
      <c r="CF601" s="5" t="n"/>
    </row>
    <row r="602">
      <c r="A602" s="171" t="n">
        <v>25</v>
      </c>
      <c r="B602" s="171" t="n">
        <v>44</v>
      </c>
      <c r="C602" s="171" t="inlineStr">
        <is>
          <t>Extra Negocios NIF 6 1</t>
        </is>
      </c>
      <c r="D602" s="169" t="n">
        <v>122</v>
      </c>
      <c r="E602" s="5" t="n"/>
      <c r="F602" s="5" t="n"/>
      <c r="G602" s="5" t="n"/>
      <c r="H602" s="5" t="n"/>
      <c r="I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  <c r="AY602" s="5" t="n"/>
      <c r="AZ602" s="5" t="n"/>
      <c r="BA602" s="5" t="n"/>
      <c r="BB602" s="5" t="n"/>
      <c r="BC602" s="5" t="n"/>
      <c r="BD602" s="5" t="n"/>
      <c r="BE602" s="5" t="n"/>
      <c r="BF602" s="5" t="n"/>
      <c r="BG602" s="5" t="n"/>
      <c r="BH602" s="5" t="n"/>
      <c r="BI602" s="5" t="n"/>
      <c r="BJ602" s="5" t="n"/>
      <c r="BK602" s="5" t="n"/>
      <c r="BL602" s="5" t="n"/>
      <c r="BM602" s="5" t="n"/>
      <c r="BN602" s="5" t="n"/>
      <c r="BO602" s="5" t="n"/>
      <c r="BP602" s="5" t="n"/>
      <c r="BQ602" s="5" t="n"/>
      <c r="BR602" s="5" t="n"/>
      <c r="BS602" s="5" t="n"/>
      <c r="BT602" s="5" t="n"/>
      <c r="BU602" s="5" t="n"/>
      <c r="BV602" s="5" t="n"/>
      <c r="BW602" s="5" t="n"/>
      <c r="BX602" s="5" t="n"/>
      <c r="BY602" s="5" t="n"/>
      <c r="BZ602" s="5" t="n"/>
      <c r="CA602" s="5" t="n"/>
      <c r="CB602" s="5" t="n"/>
      <c r="CC602" s="5" t="n"/>
      <c r="CD602" s="5" t="n"/>
      <c r="CE602" s="5" t="n"/>
      <c r="CF602" s="5" t="n"/>
    </row>
    <row r="603">
      <c r="A603" s="171" t="n">
        <v>45</v>
      </c>
      <c r="B603" s="171" t="n">
        <v>54</v>
      </c>
      <c r="C603" s="171" t="inlineStr">
        <is>
          <t>Extra Negocios NIF 6 1</t>
        </is>
      </c>
      <c r="D603" s="169" t="n">
        <v>132</v>
      </c>
      <c r="E603" s="5" t="n"/>
      <c r="F603" s="5" t="n"/>
      <c r="G603" s="5" t="n"/>
      <c r="H603" s="5" t="n"/>
      <c r="I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  <c r="BA603" s="5" t="n"/>
      <c r="BB603" s="5" t="n"/>
      <c r="BC603" s="5" t="n"/>
      <c r="BD603" s="5" t="n"/>
      <c r="BE603" s="5" t="n"/>
      <c r="BF603" s="5" t="n"/>
      <c r="BG603" s="5" t="n"/>
      <c r="BH603" s="5" t="n"/>
      <c r="BI603" s="5" t="n"/>
      <c r="BJ603" s="5" t="n"/>
      <c r="BK603" s="5" t="n"/>
      <c r="BL603" s="5" t="n"/>
      <c r="BM603" s="5" t="n"/>
      <c r="BN603" s="5" t="n"/>
      <c r="BO603" s="5" t="n"/>
      <c r="BP603" s="5" t="n"/>
      <c r="BQ603" s="5" t="n"/>
      <c r="BR603" s="5" t="n"/>
      <c r="BS603" s="5" t="n"/>
      <c r="BT603" s="5" t="n"/>
      <c r="BU603" s="5" t="n"/>
      <c r="BV603" s="5" t="n"/>
      <c r="BW603" s="5" t="n"/>
      <c r="BX603" s="5" t="n"/>
      <c r="BY603" s="5" t="n"/>
      <c r="BZ603" s="5" t="n"/>
      <c r="CA603" s="5" t="n"/>
      <c r="CB603" s="5" t="n"/>
      <c r="CC603" s="5" t="n"/>
      <c r="CD603" s="5" t="n"/>
      <c r="CE603" s="5" t="n"/>
      <c r="CF603" s="5" t="n"/>
    </row>
    <row r="604">
      <c r="A604" s="171" t="n">
        <v>55</v>
      </c>
      <c r="B604" s="171" t="n">
        <v>59</v>
      </c>
      <c r="C604" s="171" t="inlineStr">
        <is>
          <t>Extra Negocios NIF 6 1</t>
        </is>
      </c>
      <c r="D604" s="169" t="n">
        <v>203</v>
      </c>
      <c r="E604" s="5" t="n"/>
      <c r="F604" s="5" t="n"/>
      <c r="G604" s="5" t="n"/>
      <c r="H604" s="5" t="n"/>
      <c r="I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  <c r="AY604" s="5" t="n"/>
      <c r="AZ604" s="5" t="n"/>
      <c r="BA604" s="5" t="n"/>
      <c r="BB604" s="5" t="n"/>
      <c r="BC604" s="5" t="n"/>
      <c r="BD604" s="5" t="n"/>
      <c r="BE604" s="5" t="n"/>
      <c r="BF604" s="5" t="n"/>
      <c r="BG604" s="5" t="n"/>
      <c r="BH604" s="5" t="n"/>
      <c r="BI604" s="5" t="n"/>
      <c r="BJ604" s="5" t="n"/>
      <c r="BK604" s="5" t="n"/>
      <c r="BL604" s="5" t="n"/>
      <c r="BM604" s="5" t="n"/>
      <c r="BN604" s="5" t="n"/>
      <c r="BO604" s="5" t="n"/>
      <c r="BP604" s="5" t="n"/>
      <c r="BQ604" s="5" t="n"/>
      <c r="BR604" s="5" t="n"/>
      <c r="BS604" s="5" t="n"/>
      <c r="BT604" s="5" t="n"/>
      <c r="BU604" s="5" t="n"/>
      <c r="BV604" s="5" t="n"/>
      <c r="BW604" s="5" t="n"/>
      <c r="BX604" s="5" t="n"/>
      <c r="BY604" s="5" t="n"/>
      <c r="BZ604" s="5" t="n"/>
      <c r="CA604" s="5" t="n"/>
      <c r="CB604" s="5" t="n"/>
      <c r="CC604" s="5" t="n"/>
      <c r="CD604" s="5" t="n"/>
      <c r="CE604" s="5" t="n"/>
      <c r="CF604" s="5" t="n"/>
    </row>
    <row r="605">
      <c r="A605" s="171" t="n">
        <v>60</v>
      </c>
      <c r="B605" s="171" t="n">
        <v>64</v>
      </c>
      <c r="C605" s="171" t="inlineStr">
        <is>
          <t>Extra Negocios NIF 6 1</t>
        </is>
      </c>
      <c r="D605" s="169" t="n">
        <v>233</v>
      </c>
      <c r="E605" s="5" t="n"/>
      <c r="F605" s="5" t="n"/>
      <c r="G605" s="5" t="n"/>
      <c r="H605" s="5" t="n"/>
      <c r="I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  <c r="BA605" s="5" t="n"/>
      <c r="BB605" s="5" t="n"/>
      <c r="BC605" s="5" t="n"/>
      <c r="BD605" s="5" t="n"/>
      <c r="BE605" s="5" t="n"/>
      <c r="BF605" s="5" t="n"/>
      <c r="BG605" s="5" t="n"/>
      <c r="BH605" s="5" t="n"/>
      <c r="BI605" s="5" t="n"/>
      <c r="BJ605" s="5" t="n"/>
      <c r="BK605" s="5" t="n"/>
      <c r="BL605" s="5" t="n"/>
      <c r="BM605" s="5" t="n"/>
      <c r="BN605" s="5" t="n"/>
      <c r="BO605" s="5" t="n"/>
      <c r="BP605" s="5" t="n"/>
      <c r="BQ605" s="5" t="n"/>
      <c r="BR605" s="5" t="n"/>
      <c r="BS605" s="5" t="n"/>
      <c r="BT605" s="5" t="n"/>
      <c r="BU605" s="5" t="n"/>
      <c r="BV605" s="5" t="n"/>
      <c r="BW605" s="5" t="n"/>
      <c r="BX605" s="5" t="n"/>
      <c r="BY605" s="5" t="n"/>
      <c r="BZ605" s="5" t="n"/>
      <c r="CA605" s="5" t="n"/>
      <c r="CB605" s="5" t="n"/>
      <c r="CC605" s="5" t="n"/>
      <c r="CD605" s="5" t="n"/>
      <c r="CE605" s="5" t="n"/>
      <c r="CF605" s="5" t="n"/>
    </row>
    <row r="606">
      <c r="A606" s="171" t="n">
        <v>65</v>
      </c>
      <c r="B606" s="171" t="n">
        <v>69</v>
      </c>
      <c r="C606" s="171" t="inlineStr">
        <is>
          <t>Extra Negocios NIF 6 1</t>
        </is>
      </c>
      <c r="D606" s="169" t="n">
        <v>330</v>
      </c>
      <c r="E606" s="5" t="n"/>
      <c r="F606" s="5" t="n"/>
      <c r="G606" s="5" t="n"/>
      <c r="H606" s="5" t="n"/>
      <c r="I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  <c r="AY606" s="5" t="n"/>
      <c r="AZ606" s="5" t="n"/>
      <c r="BA606" s="5" t="n"/>
      <c r="BB606" s="5" t="n"/>
      <c r="BC606" s="5" t="n"/>
      <c r="BD606" s="5" t="n"/>
      <c r="BE606" s="5" t="n"/>
      <c r="BF606" s="5" t="n"/>
      <c r="BG606" s="5" t="n"/>
      <c r="BH606" s="5" t="n"/>
      <c r="BI606" s="5" t="n"/>
      <c r="BJ606" s="5" t="n"/>
      <c r="BK606" s="5" t="n"/>
      <c r="BL606" s="5" t="n"/>
      <c r="BM606" s="5" t="n"/>
      <c r="BN606" s="5" t="n"/>
      <c r="BO606" s="5" t="n"/>
      <c r="BP606" s="5" t="n"/>
      <c r="BQ606" s="5" t="n"/>
      <c r="BR606" s="5" t="n"/>
      <c r="BS606" s="5" t="n"/>
      <c r="BT606" s="5" t="n"/>
      <c r="BU606" s="5" t="n"/>
      <c r="BV606" s="5" t="n"/>
      <c r="BW606" s="5" t="n"/>
      <c r="BX606" s="5" t="n"/>
      <c r="BY606" s="5" t="n"/>
      <c r="BZ606" s="5" t="n"/>
      <c r="CA606" s="5" t="n"/>
      <c r="CB606" s="5" t="n"/>
      <c r="CC606" s="5" t="n"/>
      <c r="CD606" s="5" t="n"/>
      <c r="CE606" s="5" t="n"/>
      <c r="CF606" s="5" t="n"/>
    </row>
    <row r="607">
      <c r="A607" s="171" t="n">
        <v>70</v>
      </c>
      <c r="B607" s="171" t="n">
        <v>120</v>
      </c>
      <c r="C607" s="171" t="inlineStr">
        <is>
          <t>Extra Negocios NIF 6 1</t>
        </is>
      </c>
      <c r="D607" s="169" t="n">
        <v>340</v>
      </c>
      <c r="E607" s="5" t="n"/>
      <c r="F607" s="5" t="n"/>
      <c r="G607" s="5" t="n"/>
      <c r="H607" s="5" t="n"/>
      <c r="I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  <c r="AY607" s="5" t="n"/>
      <c r="AZ607" s="5" t="n"/>
      <c r="BA607" s="5" t="n"/>
      <c r="BB607" s="5" t="n"/>
      <c r="BC607" s="5" t="n"/>
      <c r="BD607" s="5" t="n"/>
      <c r="BE607" s="5" t="n"/>
      <c r="BF607" s="5" t="n"/>
      <c r="BG607" s="5" t="n"/>
      <c r="BH607" s="5" t="n"/>
      <c r="BI607" s="5" t="n"/>
      <c r="BJ607" s="5" t="n"/>
      <c r="BK607" s="5" t="n"/>
      <c r="BL607" s="5" t="n"/>
      <c r="BM607" s="5" t="n"/>
      <c r="BN607" s="5" t="n"/>
      <c r="BO607" s="5" t="n"/>
      <c r="BP607" s="5" t="n"/>
      <c r="BQ607" s="5" t="n"/>
      <c r="BR607" s="5" t="n"/>
      <c r="BS607" s="5" t="n"/>
      <c r="BT607" s="5" t="n"/>
      <c r="BU607" s="5" t="n"/>
      <c r="BV607" s="5" t="n"/>
      <c r="BW607" s="5" t="n"/>
      <c r="BX607" s="5" t="n"/>
      <c r="BY607" s="5" t="n"/>
      <c r="BZ607" s="5" t="n"/>
      <c r="CA607" s="5" t="n"/>
      <c r="CB607" s="5" t="n"/>
      <c r="CC607" s="5" t="n"/>
      <c r="CD607" s="5" t="n"/>
      <c r="CE607" s="5" t="n"/>
      <c r="CF607" s="5" t="n"/>
    </row>
    <row r="608">
      <c r="A608" s="171" t="n">
        <v>0</v>
      </c>
      <c r="B608" s="171" t="n">
        <v>24</v>
      </c>
      <c r="C608" s="171" t="inlineStr">
        <is>
          <t>Extra Negocios NIF 1 2</t>
        </is>
      </c>
      <c r="D608" s="169" t="n">
        <v>81</v>
      </c>
      <c r="E608" s="5" t="n"/>
      <c r="F608" s="5" t="n"/>
      <c r="G608" s="5" t="n"/>
      <c r="H608" s="5" t="n"/>
      <c r="I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  <c r="AY608" s="5" t="n"/>
      <c r="AZ608" s="5" t="n"/>
      <c r="BA608" s="5" t="n"/>
      <c r="BB608" s="5" t="n"/>
      <c r="BC608" s="5" t="n"/>
      <c r="BD608" s="5" t="n"/>
      <c r="BE608" s="5" t="n"/>
      <c r="BF608" s="5" t="n"/>
      <c r="BG608" s="5" t="n"/>
      <c r="BH608" s="5" t="n"/>
      <c r="BI608" s="5" t="n"/>
      <c r="BJ608" s="5" t="n"/>
      <c r="BK608" s="5" t="n"/>
      <c r="BL608" s="5" t="n"/>
      <c r="BM608" s="5" t="n"/>
      <c r="BN608" s="5" t="n"/>
      <c r="BO608" s="5" t="n"/>
      <c r="BP608" s="5" t="n"/>
      <c r="BQ608" s="5" t="n"/>
      <c r="BR608" s="5" t="n"/>
      <c r="BS608" s="5" t="n"/>
      <c r="BT608" s="5" t="n"/>
      <c r="BU608" s="5" t="n"/>
      <c r="BV608" s="5" t="n"/>
      <c r="BW608" s="5" t="n"/>
      <c r="BX608" s="5" t="n"/>
      <c r="BY608" s="5" t="n"/>
      <c r="BZ608" s="5" t="n"/>
      <c r="CA608" s="5" t="n"/>
      <c r="CB608" s="5" t="n"/>
      <c r="CC608" s="5" t="n"/>
      <c r="CD608" s="5" t="n"/>
      <c r="CE608" s="5" t="n"/>
      <c r="CF608" s="5" t="n"/>
    </row>
    <row r="609">
      <c r="A609" s="171" t="n">
        <v>25</v>
      </c>
      <c r="B609" s="171" t="n">
        <v>44</v>
      </c>
      <c r="C609" s="171" t="inlineStr">
        <is>
          <t>Extra Negocios NIF 1 2</t>
        </is>
      </c>
      <c r="D609" s="169" t="n">
        <v>95.40000000000001</v>
      </c>
      <c r="E609" s="5" t="n"/>
      <c r="F609" s="5" t="n"/>
      <c r="G609" s="5" t="n"/>
      <c r="H609" s="5" t="n"/>
      <c r="I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  <c r="BA609" s="5" t="n"/>
      <c r="BB609" s="5" t="n"/>
      <c r="BC609" s="5" t="n"/>
      <c r="BD609" s="5" t="n"/>
      <c r="BE609" s="5" t="n"/>
      <c r="BF609" s="5" t="n"/>
      <c r="BG609" s="5" t="n"/>
      <c r="BH609" s="5" t="n"/>
      <c r="BI609" s="5" t="n"/>
      <c r="BJ609" s="5" t="n"/>
      <c r="BK609" s="5" t="n"/>
      <c r="BL609" s="5" t="n"/>
      <c r="BM609" s="5" t="n"/>
      <c r="BN609" s="5" t="n"/>
      <c r="BO609" s="5" t="n"/>
      <c r="BP609" s="5" t="n"/>
      <c r="BQ609" s="5" t="n"/>
      <c r="BR609" s="5" t="n"/>
      <c r="BS609" s="5" t="n"/>
      <c r="BT609" s="5" t="n"/>
      <c r="BU609" s="5" t="n"/>
      <c r="BV609" s="5" t="n"/>
      <c r="BW609" s="5" t="n"/>
      <c r="BX609" s="5" t="n"/>
      <c r="BY609" s="5" t="n"/>
      <c r="BZ609" s="5" t="n"/>
      <c r="CA609" s="5" t="n"/>
      <c r="CB609" s="5" t="n"/>
      <c r="CC609" s="5" t="n"/>
      <c r="CD609" s="5" t="n"/>
      <c r="CE609" s="5" t="n"/>
      <c r="CF609" s="5" t="n"/>
    </row>
    <row r="610">
      <c r="A610" s="171" t="n">
        <v>45</v>
      </c>
      <c r="B610" s="171" t="n">
        <v>54</v>
      </c>
      <c r="C610" s="171" t="inlineStr">
        <is>
          <t>Extra Negocios NIF 1 2</t>
        </is>
      </c>
      <c r="D610" s="169" t="n">
        <v>100.8</v>
      </c>
      <c r="E610" s="5" t="n"/>
      <c r="F610" s="5" t="n"/>
      <c r="G610" s="5" t="n"/>
      <c r="H610" s="5" t="n"/>
      <c r="I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  <c r="AY610" s="5" t="n"/>
      <c r="AZ610" s="5" t="n"/>
      <c r="BA610" s="5" t="n"/>
      <c r="BB610" s="5" t="n"/>
      <c r="BC610" s="5" t="n"/>
      <c r="BD610" s="5" t="n"/>
      <c r="BE610" s="5" t="n"/>
      <c r="BF610" s="5" t="n"/>
      <c r="BG610" s="5" t="n"/>
      <c r="BH610" s="5" t="n"/>
      <c r="BI610" s="5" t="n"/>
      <c r="BJ610" s="5" t="n"/>
      <c r="BK610" s="5" t="n"/>
      <c r="BL610" s="5" t="n"/>
      <c r="BM610" s="5" t="n"/>
      <c r="BN610" s="5" t="n"/>
      <c r="BO610" s="5" t="n"/>
      <c r="BP610" s="5" t="n"/>
      <c r="BQ610" s="5" t="n"/>
      <c r="BR610" s="5" t="n"/>
      <c r="BS610" s="5" t="n"/>
      <c r="BT610" s="5" t="n"/>
      <c r="BU610" s="5" t="n"/>
      <c r="BV610" s="5" t="n"/>
      <c r="BW610" s="5" t="n"/>
      <c r="BX610" s="5" t="n"/>
      <c r="BY610" s="5" t="n"/>
      <c r="BZ610" s="5" t="n"/>
      <c r="CA610" s="5" t="n"/>
      <c r="CB610" s="5" t="n"/>
      <c r="CC610" s="5" t="n"/>
      <c r="CD610" s="5" t="n"/>
      <c r="CE610" s="5" t="n"/>
      <c r="CF610" s="5" t="n"/>
    </row>
    <row r="611">
      <c r="A611" s="171" t="n">
        <v>55</v>
      </c>
      <c r="B611" s="171" t="n">
        <v>59</v>
      </c>
      <c r="C611" s="171" t="inlineStr">
        <is>
          <t>Extra Negocios NIF 1 2</t>
        </is>
      </c>
      <c r="D611" s="169" t="n">
        <v>156.6</v>
      </c>
      <c r="E611" s="5" t="n"/>
      <c r="F611" s="5" t="n"/>
      <c r="G611" s="5" t="n"/>
      <c r="H611" s="5" t="n"/>
      <c r="I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  <c r="BA611" s="5" t="n"/>
      <c r="BB611" s="5" t="n"/>
      <c r="BC611" s="5" t="n"/>
      <c r="BD611" s="5" t="n"/>
      <c r="BE611" s="5" t="n"/>
      <c r="BF611" s="5" t="n"/>
      <c r="BG611" s="5" t="n"/>
      <c r="BH611" s="5" t="n"/>
      <c r="BI611" s="5" t="n"/>
      <c r="BJ611" s="5" t="n"/>
      <c r="BK611" s="5" t="n"/>
      <c r="BL611" s="5" t="n"/>
      <c r="BM611" s="5" t="n"/>
      <c r="BN611" s="5" t="n"/>
      <c r="BO611" s="5" t="n"/>
      <c r="BP611" s="5" t="n"/>
      <c r="BQ611" s="5" t="n"/>
      <c r="BR611" s="5" t="n"/>
      <c r="BS611" s="5" t="n"/>
      <c r="BT611" s="5" t="n"/>
      <c r="BU611" s="5" t="n"/>
      <c r="BV611" s="5" t="n"/>
      <c r="BW611" s="5" t="n"/>
      <c r="BX611" s="5" t="n"/>
      <c r="BY611" s="5" t="n"/>
      <c r="BZ611" s="5" t="n"/>
      <c r="CA611" s="5" t="n"/>
      <c r="CB611" s="5" t="n"/>
      <c r="CC611" s="5" t="n"/>
      <c r="CD611" s="5" t="n"/>
      <c r="CE611" s="5" t="n"/>
      <c r="CF611" s="5" t="n"/>
    </row>
    <row r="612">
      <c r="A612" s="171" t="n">
        <v>60</v>
      </c>
      <c r="B612" s="171" t="n">
        <v>64</v>
      </c>
      <c r="C612" s="171" t="inlineStr">
        <is>
          <t>Extra Negocios NIF 1 2</t>
        </is>
      </c>
      <c r="D612" s="169" t="n">
        <v>185.4</v>
      </c>
      <c r="E612" s="5" t="n"/>
      <c r="F612" s="5" t="n"/>
      <c r="G612" s="5" t="n"/>
      <c r="H612" s="5" t="n"/>
      <c r="I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  <c r="AY612" s="5" t="n"/>
      <c r="AZ612" s="5" t="n"/>
      <c r="BA612" s="5" t="n"/>
      <c r="BB612" s="5" t="n"/>
      <c r="BC612" s="5" t="n"/>
      <c r="BD612" s="5" t="n"/>
      <c r="BE612" s="5" t="n"/>
      <c r="BF612" s="5" t="n"/>
      <c r="BG612" s="5" t="n"/>
      <c r="BH612" s="5" t="n"/>
      <c r="BI612" s="5" t="n"/>
      <c r="BJ612" s="5" t="n"/>
      <c r="BK612" s="5" t="n"/>
      <c r="BL612" s="5" t="n"/>
      <c r="BM612" s="5" t="n"/>
      <c r="BN612" s="5" t="n"/>
      <c r="BO612" s="5" t="n"/>
      <c r="BP612" s="5" t="n"/>
      <c r="BQ612" s="5" t="n"/>
      <c r="BR612" s="5" t="n"/>
      <c r="BS612" s="5" t="n"/>
      <c r="BT612" s="5" t="n"/>
      <c r="BU612" s="5" t="n"/>
      <c r="BV612" s="5" t="n"/>
      <c r="BW612" s="5" t="n"/>
      <c r="BX612" s="5" t="n"/>
      <c r="BY612" s="5" t="n"/>
      <c r="BZ612" s="5" t="n"/>
      <c r="CA612" s="5" t="n"/>
      <c r="CB612" s="5" t="n"/>
      <c r="CC612" s="5" t="n"/>
      <c r="CD612" s="5" t="n"/>
      <c r="CE612" s="5" t="n"/>
      <c r="CF612" s="5" t="n"/>
    </row>
    <row r="613">
      <c r="A613" s="171" t="n">
        <v>65</v>
      </c>
      <c r="B613" s="171" t="n">
        <v>69</v>
      </c>
      <c r="C613" s="171" t="inlineStr">
        <is>
          <t>Extra Negocios NIF 1 2</t>
        </is>
      </c>
      <c r="D613" s="170" t="n">
        <v>263.7</v>
      </c>
      <c r="E613" s="5" t="n"/>
      <c r="F613" s="5" t="n"/>
      <c r="G613" s="5" t="n"/>
      <c r="H613" s="5" t="n"/>
      <c r="I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  <c r="BA613" s="5" t="n"/>
      <c r="BB613" s="5" t="n"/>
      <c r="BC613" s="5" t="n"/>
      <c r="BD613" s="5" t="n"/>
      <c r="BE613" s="5" t="n"/>
      <c r="BF613" s="5" t="n"/>
      <c r="BG613" s="5" t="n"/>
      <c r="BH613" s="5" t="n"/>
      <c r="BI613" s="5" t="n"/>
      <c r="BJ613" s="5" t="n"/>
      <c r="BK613" s="5" t="n"/>
      <c r="BL613" s="5" t="n"/>
      <c r="BM613" s="5" t="n"/>
      <c r="BN613" s="5" t="n"/>
      <c r="BO613" s="5" t="n"/>
      <c r="BP613" s="5" t="n"/>
      <c r="BQ613" s="5" t="n"/>
      <c r="BR613" s="5" t="n"/>
      <c r="BS613" s="5" t="n"/>
      <c r="BT613" s="5" t="n"/>
      <c r="BU613" s="5" t="n"/>
      <c r="BV613" s="5" t="n"/>
      <c r="BW613" s="5" t="n"/>
      <c r="BX613" s="5" t="n"/>
      <c r="BY613" s="5" t="n"/>
      <c r="BZ613" s="5" t="n"/>
      <c r="CA613" s="5" t="n"/>
      <c r="CB613" s="5" t="n"/>
      <c r="CC613" s="5" t="n"/>
      <c r="CD613" s="5" t="n"/>
      <c r="CE613" s="5" t="n"/>
      <c r="CF613" s="5" t="n"/>
    </row>
    <row r="614">
      <c r="A614" s="171" t="n">
        <v>70</v>
      </c>
      <c r="B614" s="171" t="n">
        <v>120</v>
      </c>
      <c r="C614" s="171" t="inlineStr">
        <is>
          <t>Extra Negocios NIF 1 2</t>
        </is>
      </c>
      <c r="D614" s="170" t="n">
        <v>273.6</v>
      </c>
      <c r="E614" s="5" t="n"/>
      <c r="F614" s="5" t="n"/>
      <c r="G614" s="5" t="n"/>
      <c r="H614" s="5" t="n"/>
      <c r="I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  <c r="AY614" s="5" t="n"/>
      <c r="AZ614" s="5" t="n"/>
      <c r="BA614" s="5" t="n"/>
      <c r="BB614" s="5" t="n"/>
      <c r="BC614" s="5" t="n"/>
      <c r="BD614" s="5" t="n"/>
      <c r="BE614" s="5" t="n"/>
      <c r="BF614" s="5" t="n"/>
      <c r="BG614" s="5" t="n"/>
      <c r="BH614" s="5" t="n"/>
      <c r="BI614" s="5" t="n"/>
      <c r="BJ614" s="5" t="n"/>
      <c r="BK614" s="5" t="n"/>
      <c r="BL614" s="5" t="n"/>
      <c r="BM614" s="5" t="n"/>
      <c r="BN614" s="5" t="n"/>
      <c r="BO614" s="5" t="n"/>
      <c r="BP614" s="5" t="n"/>
      <c r="BQ614" s="5" t="n"/>
      <c r="BR614" s="5" t="n"/>
      <c r="BS614" s="5" t="n"/>
      <c r="BT614" s="5" t="n"/>
      <c r="BU614" s="5" t="n"/>
      <c r="BV614" s="5" t="n"/>
      <c r="BW614" s="5" t="n"/>
      <c r="BX614" s="5" t="n"/>
      <c r="BY614" s="5" t="n"/>
      <c r="BZ614" s="5" t="n"/>
      <c r="CA614" s="5" t="n"/>
      <c r="CB614" s="5" t="n"/>
      <c r="CC614" s="5" t="n"/>
      <c r="CD614" s="5" t="n"/>
      <c r="CE614" s="5" t="n"/>
      <c r="CF614" s="5" t="n"/>
    </row>
    <row r="615">
      <c r="A615" s="171" t="n">
        <v>0</v>
      </c>
      <c r="B615" s="171" t="n">
        <v>24</v>
      </c>
      <c r="C615" s="171" t="inlineStr">
        <is>
          <t>Extra Negocios NIF 2 2</t>
        </is>
      </c>
      <c r="D615" s="170" t="n">
        <v>83.7</v>
      </c>
      <c r="E615" s="5" t="n"/>
      <c r="F615" s="5" t="n"/>
      <c r="G615" s="5" t="n"/>
      <c r="H615" s="5" t="n"/>
      <c r="I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  <c r="BA615" s="5" t="n"/>
      <c r="BB615" s="5" t="n"/>
      <c r="BC615" s="5" t="n"/>
      <c r="BD615" s="5" t="n"/>
      <c r="BE615" s="5" t="n"/>
      <c r="BF615" s="5" t="n"/>
      <c r="BG615" s="5" t="n"/>
      <c r="BH615" s="5" t="n"/>
      <c r="BI615" s="5" t="n"/>
      <c r="BJ615" s="5" t="n"/>
      <c r="BK615" s="5" t="n"/>
      <c r="BL615" s="5" t="n"/>
      <c r="BM615" s="5" t="n"/>
      <c r="BN615" s="5" t="n"/>
      <c r="BO615" s="5" t="n"/>
      <c r="BP615" s="5" t="n"/>
      <c r="BQ615" s="5" t="n"/>
      <c r="BR615" s="5" t="n"/>
      <c r="BS615" s="5" t="n"/>
      <c r="BT615" s="5" t="n"/>
      <c r="BU615" s="5" t="n"/>
      <c r="BV615" s="5" t="n"/>
      <c r="BW615" s="5" t="n"/>
      <c r="BX615" s="5" t="n"/>
      <c r="BY615" s="5" t="n"/>
      <c r="BZ615" s="5" t="n"/>
      <c r="CA615" s="5" t="n"/>
      <c r="CB615" s="5" t="n"/>
      <c r="CC615" s="5" t="n"/>
      <c r="CD615" s="5" t="n"/>
      <c r="CE615" s="5" t="n"/>
      <c r="CF615" s="5" t="n"/>
    </row>
    <row r="616">
      <c r="A616" s="171" t="n">
        <v>25</v>
      </c>
      <c r="B616" s="171" t="n">
        <v>44</v>
      </c>
      <c r="C616" s="171" t="inlineStr">
        <is>
          <t>Extra Negocios NIF 2 2</t>
        </is>
      </c>
      <c r="D616" s="170" t="n">
        <v>99</v>
      </c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  <c r="AY616" s="5" t="n"/>
      <c r="AZ616" s="5" t="n"/>
      <c r="BA616" s="5" t="n"/>
      <c r="BB616" s="5" t="n"/>
      <c r="BC616" s="5" t="n"/>
      <c r="BD616" s="5" t="n"/>
      <c r="BE616" s="5" t="n"/>
      <c r="BF616" s="5" t="n"/>
      <c r="BG616" s="5" t="n"/>
      <c r="BH616" s="5" t="n"/>
      <c r="BI616" s="5" t="n"/>
      <c r="BJ616" s="5" t="n"/>
      <c r="BK616" s="5" t="n"/>
      <c r="BL616" s="5" t="n"/>
      <c r="BM616" s="5" t="n"/>
      <c r="BN616" s="5" t="n"/>
      <c r="BO616" s="5" t="n"/>
      <c r="BP616" s="5" t="n"/>
      <c r="BQ616" s="5" t="n"/>
      <c r="BR616" s="5" t="n"/>
      <c r="BS616" s="5" t="n"/>
      <c r="BT616" s="5" t="n"/>
      <c r="BU616" s="5" t="n"/>
      <c r="BV616" s="5" t="n"/>
      <c r="BW616" s="5" t="n"/>
      <c r="BX616" s="5" t="n"/>
      <c r="BY616" s="5" t="n"/>
      <c r="BZ616" s="5" t="n"/>
      <c r="CA616" s="5" t="n"/>
      <c r="CB616" s="5" t="n"/>
      <c r="CC616" s="5" t="n"/>
      <c r="CD616" s="5" t="n"/>
      <c r="CE616" s="5" t="n"/>
      <c r="CF616" s="5" t="n"/>
    </row>
    <row r="617">
      <c r="A617" s="171" t="n">
        <v>45</v>
      </c>
      <c r="B617" s="171" t="n">
        <v>54</v>
      </c>
      <c r="C617" s="171" t="inlineStr">
        <is>
          <t>Extra Negocios NIF 2 2</t>
        </is>
      </c>
      <c r="D617" s="170" t="n">
        <v>106.2</v>
      </c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  <c r="BA617" s="5" t="n"/>
      <c r="BB617" s="5" t="n"/>
      <c r="BC617" s="5" t="n"/>
      <c r="BD617" s="5" t="n"/>
      <c r="BE617" s="5" t="n"/>
      <c r="BF617" s="5" t="n"/>
      <c r="BG617" s="5" t="n"/>
      <c r="BH617" s="5" t="n"/>
      <c r="BI617" s="5" t="n"/>
      <c r="BJ617" s="5" t="n"/>
      <c r="BK617" s="5" t="n"/>
      <c r="BL617" s="5" t="n"/>
      <c r="BM617" s="5" t="n"/>
      <c r="BN617" s="5" t="n"/>
      <c r="BO617" s="5" t="n"/>
      <c r="BP617" s="5" t="n"/>
      <c r="BQ617" s="5" t="n"/>
      <c r="BR617" s="5" t="n"/>
      <c r="BS617" s="5" t="n"/>
      <c r="BT617" s="5" t="n"/>
      <c r="BU617" s="5" t="n"/>
      <c r="BV617" s="5" t="n"/>
      <c r="BW617" s="5" t="n"/>
      <c r="BX617" s="5" t="n"/>
      <c r="BY617" s="5" t="n"/>
      <c r="BZ617" s="5" t="n"/>
      <c r="CA617" s="5" t="n"/>
      <c r="CB617" s="5" t="n"/>
      <c r="CC617" s="5" t="n"/>
      <c r="CD617" s="5" t="n"/>
      <c r="CE617" s="5" t="n"/>
      <c r="CF617" s="5" t="n"/>
    </row>
    <row r="618">
      <c r="A618" s="171" t="n">
        <v>55</v>
      </c>
      <c r="B618" s="171" t="n">
        <v>59</v>
      </c>
      <c r="C618" s="171" t="inlineStr">
        <is>
          <t>Extra Negocios NIF 2 2</t>
        </is>
      </c>
      <c r="D618" s="170" t="n">
        <v>162</v>
      </c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  <c r="AY618" s="5" t="n"/>
      <c r="AZ618" s="5" t="n"/>
      <c r="BA618" s="5" t="n"/>
      <c r="BB618" s="5" t="n"/>
      <c r="BC618" s="5" t="n"/>
      <c r="BD618" s="5" t="n"/>
      <c r="BE618" s="5" t="n"/>
      <c r="BF618" s="5" t="n"/>
      <c r="BG618" s="5" t="n"/>
      <c r="BH618" s="5" t="n"/>
      <c r="BI618" s="5" t="n"/>
      <c r="BJ618" s="5" t="n"/>
      <c r="BK618" s="5" t="n"/>
      <c r="BL618" s="5" t="n"/>
      <c r="BM618" s="5" t="n"/>
      <c r="BN618" s="5" t="n"/>
      <c r="BO618" s="5" t="n"/>
      <c r="BP618" s="5" t="n"/>
      <c r="BQ618" s="5" t="n"/>
      <c r="BR618" s="5" t="n"/>
      <c r="BS618" s="5" t="n"/>
      <c r="BT618" s="5" t="n"/>
      <c r="BU618" s="5" t="n"/>
      <c r="BV618" s="5" t="n"/>
      <c r="BW618" s="5" t="n"/>
      <c r="BX618" s="5" t="n"/>
      <c r="BY618" s="5" t="n"/>
      <c r="BZ618" s="5" t="n"/>
      <c r="CA618" s="5" t="n"/>
      <c r="CB618" s="5" t="n"/>
      <c r="CC618" s="5" t="n"/>
      <c r="CD618" s="5" t="n"/>
      <c r="CE618" s="5" t="n"/>
      <c r="CF618" s="5" t="n"/>
    </row>
    <row r="619">
      <c r="A619" s="171" t="n">
        <v>60</v>
      </c>
      <c r="B619" s="171" t="n">
        <v>64</v>
      </c>
      <c r="C619" s="171" t="inlineStr">
        <is>
          <t>Extra Negocios NIF 2 2</t>
        </is>
      </c>
      <c r="D619" s="170" t="n">
        <v>189</v>
      </c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  <c r="AY619" s="5" t="n"/>
      <c r="AZ619" s="5" t="n"/>
      <c r="BA619" s="5" t="n"/>
      <c r="BB619" s="5" t="n"/>
      <c r="BC619" s="5" t="n"/>
      <c r="BD619" s="5" t="n"/>
      <c r="BE619" s="5" t="n"/>
      <c r="BF619" s="5" t="n"/>
      <c r="BG619" s="5" t="n"/>
      <c r="BH619" s="5" t="n"/>
      <c r="BI619" s="5" t="n"/>
      <c r="BJ619" s="5" t="n"/>
      <c r="BK619" s="5" t="n"/>
      <c r="BL619" s="5" t="n"/>
      <c r="BM619" s="5" t="n"/>
      <c r="BN619" s="5" t="n"/>
      <c r="BO619" s="5" t="n"/>
      <c r="BP619" s="5" t="n"/>
      <c r="BQ619" s="5" t="n"/>
      <c r="BR619" s="5" t="n"/>
      <c r="BS619" s="5" t="n"/>
      <c r="BT619" s="5" t="n"/>
      <c r="BU619" s="5" t="n"/>
      <c r="BV619" s="5" t="n"/>
      <c r="BW619" s="5" t="n"/>
      <c r="BX619" s="5" t="n"/>
      <c r="BY619" s="5" t="n"/>
      <c r="BZ619" s="5" t="n"/>
      <c r="CA619" s="5" t="n"/>
      <c r="CB619" s="5" t="n"/>
      <c r="CC619" s="5" t="n"/>
      <c r="CD619" s="5" t="n"/>
      <c r="CE619" s="5" t="n"/>
      <c r="CF619" s="5" t="n"/>
    </row>
    <row r="620">
      <c r="A620" s="171" t="n">
        <v>65</v>
      </c>
      <c r="B620" s="171" t="n">
        <v>69</v>
      </c>
      <c r="C620" s="171" t="inlineStr">
        <is>
          <t>Extra Negocios NIF 2 2</t>
        </is>
      </c>
      <c r="D620" s="170" t="n">
        <v>270.9</v>
      </c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  <c r="AY620" s="5" t="n"/>
      <c r="AZ620" s="5" t="n"/>
      <c r="BA620" s="5" t="n"/>
      <c r="BB620" s="5" t="n"/>
      <c r="BC620" s="5" t="n"/>
      <c r="BD620" s="5" t="n"/>
      <c r="BE620" s="5" t="n"/>
      <c r="BF620" s="5" t="n"/>
      <c r="BG620" s="5" t="n"/>
      <c r="BH620" s="5" t="n"/>
      <c r="BI620" s="5" t="n"/>
      <c r="BJ620" s="5" t="n"/>
      <c r="BK620" s="5" t="n"/>
      <c r="BL620" s="5" t="n"/>
      <c r="BM620" s="5" t="n"/>
      <c r="BN620" s="5" t="n"/>
      <c r="BO620" s="5" t="n"/>
      <c r="BP620" s="5" t="n"/>
      <c r="BQ620" s="5" t="n"/>
      <c r="BR620" s="5" t="n"/>
      <c r="BS620" s="5" t="n"/>
      <c r="BT620" s="5" t="n"/>
      <c r="BU620" s="5" t="n"/>
      <c r="BV620" s="5" t="n"/>
      <c r="BW620" s="5" t="n"/>
      <c r="BX620" s="5" t="n"/>
      <c r="BY620" s="5" t="n"/>
      <c r="BZ620" s="5" t="n"/>
      <c r="CA620" s="5" t="n"/>
      <c r="CB620" s="5" t="n"/>
      <c r="CC620" s="5" t="n"/>
      <c r="CD620" s="5" t="n"/>
      <c r="CE620" s="5" t="n"/>
      <c r="CF620" s="5" t="n"/>
    </row>
    <row r="621">
      <c r="A621" s="171" t="n">
        <v>70</v>
      </c>
      <c r="B621" s="171" t="n">
        <v>120</v>
      </c>
      <c r="C621" s="171" t="inlineStr">
        <is>
          <t>Extra Negocios NIF 2 2</t>
        </is>
      </c>
      <c r="D621" s="170" t="n">
        <v>278.1</v>
      </c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  <c r="AY621" s="5" t="n"/>
      <c r="AZ621" s="5" t="n"/>
      <c r="BA621" s="5" t="n"/>
      <c r="BB621" s="5" t="n"/>
      <c r="BC621" s="5" t="n"/>
      <c r="BD621" s="5" t="n"/>
      <c r="BE621" s="5" t="n"/>
      <c r="BF621" s="5" t="n"/>
      <c r="BG621" s="5" t="n"/>
      <c r="BH621" s="5" t="n"/>
      <c r="BI621" s="5" t="n"/>
      <c r="BJ621" s="5" t="n"/>
      <c r="BK621" s="5" t="n"/>
      <c r="BL621" s="5" t="n"/>
      <c r="BM621" s="5" t="n"/>
      <c r="BN621" s="5" t="n"/>
      <c r="BO621" s="5" t="n"/>
      <c r="BP621" s="5" t="n"/>
      <c r="BQ621" s="5" t="n"/>
      <c r="BR621" s="5" t="n"/>
      <c r="BS621" s="5" t="n"/>
      <c r="BT621" s="5" t="n"/>
      <c r="BU621" s="5" t="n"/>
      <c r="BV621" s="5" t="n"/>
      <c r="BW621" s="5" t="n"/>
      <c r="BX621" s="5" t="n"/>
      <c r="BY621" s="5" t="n"/>
      <c r="BZ621" s="5" t="n"/>
      <c r="CA621" s="5" t="n"/>
      <c r="CB621" s="5" t="n"/>
      <c r="CC621" s="5" t="n"/>
      <c r="CD621" s="5" t="n"/>
      <c r="CE621" s="5" t="n"/>
      <c r="CF621" s="5" t="n"/>
    </row>
    <row r="622">
      <c r="A622" s="171" t="n">
        <v>0</v>
      </c>
      <c r="B622" s="171" t="n">
        <v>24</v>
      </c>
      <c r="C622" s="171" t="inlineStr">
        <is>
          <t>Extra Negocios NIF 3 2</t>
        </is>
      </c>
      <c r="D622" s="170" t="n">
        <v>84.59999999999999</v>
      </c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  <c r="AY622" s="5" t="n"/>
      <c r="AZ622" s="5" t="n"/>
      <c r="BA622" s="5" t="n"/>
      <c r="BB622" s="5" t="n"/>
      <c r="BC622" s="5" t="n"/>
      <c r="BD622" s="5" t="n"/>
      <c r="BE622" s="5" t="n"/>
      <c r="BF622" s="5" t="n"/>
      <c r="BG622" s="5" t="n"/>
      <c r="BH622" s="5" t="n"/>
      <c r="BI622" s="5" t="n"/>
      <c r="BJ622" s="5" t="n"/>
      <c r="BK622" s="5" t="n"/>
      <c r="BL622" s="5" t="n"/>
      <c r="BM622" s="5" t="n"/>
      <c r="BN622" s="5" t="n"/>
      <c r="BO622" s="5" t="n"/>
      <c r="BP622" s="5" t="n"/>
      <c r="BQ622" s="5" t="n"/>
      <c r="BR622" s="5" t="n"/>
      <c r="BS622" s="5" t="n"/>
      <c r="BT622" s="5" t="n"/>
      <c r="BU622" s="5" t="n"/>
      <c r="BV622" s="5" t="n"/>
      <c r="BW622" s="5" t="n"/>
      <c r="BX622" s="5" t="n"/>
      <c r="BY622" s="5" t="n"/>
      <c r="BZ622" s="5" t="n"/>
      <c r="CA622" s="5" t="n"/>
      <c r="CB622" s="5" t="n"/>
      <c r="CC622" s="5" t="n"/>
      <c r="CD622" s="5" t="n"/>
      <c r="CE622" s="5" t="n"/>
      <c r="CF622" s="5" t="n"/>
    </row>
    <row r="623">
      <c r="A623" s="171" t="n">
        <v>25</v>
      </c>
      <c r="B623" s="171" t="n">
        <v>44</v>
      </c>
      <c r="C623" s="171" t="inlineStr">
        <is>
          <t>Extra Negocios NIF 3 2</t>
        </is>
      </c>
      <c r="D623" s="170" t="n">
        <v>99.90000000000001</v>
      </c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  <c r="AY623" s="5" t="n"/>
      <c r="AZ623" s="5" t="n"/>
      <c r="BA623" s="5" t="n"/>
      <c r="BB623" s="5" t="n"/>
      <c r="BC623" s="5" t="n"/>
      <c r="BD623" s="5" t="n"/>
      <c r="BE623" s="5" t="n"/>
      <c r="BF623" s="5" t="n"/>
      <c r="BG623" s="5" t="n"/>
      <c r="BH623" s="5" t="n"/>
      <c r="BI623" s="5" t="n"/>
      <c r="BJ623" s="5" t="n"/>
      <c r="BK623" s="5" t="n"/>
      <c r="BL623" s="5" t="n"/>
      <c r="BM623" s="5" t="n"/>
      <c r="BN623" s="5" t="n"/>
      <c r="BO623" s="5" t="n"/>
      <c r="BP623" s="5" t="n"/>
      <c r="BQ623" s="5" t="n"/>
      <c r="BR623" s="5" t="n"/>
      <c r="BS623" s="5" t="n"/>
      <c r="BT623" s="5" t="n"/>
      <c r="BU623" s="5" t="n"/>
      <c r="BV623" s="5" t="n"/>
      <c r="BW623" s="5" t="n"/>
      <c r="BX623" s="5" t="n"/>
      <c r="BY623" s="5" t="n"/>
      <c r="BZ623" s="5" t="n"/>
      <c r="CA623" s="5" t="n"/>
      <c r="CB623" s="5" t="n"/>
      <c r="CC623" s="5" t="n"/>
      <c r="CD623" s="5" t="n"/>
      <c r="CE623" s="5" t="n"/>
      <c r="CF623" s="5" t="n"/>
    </row>
    <row r="624">
      <c r="A624" s="171" t="n">
        <v>45</v>
      </c>
      <c r="B624" s="171" t="n">
        <v>54</v>
      </c>
      <c r="C624" s="171" t="inlineStr">
        <is>
          <t>Extra Negocios NIF 3 2</t>
        </is>
      </c>
      <c r="D624" s="170" t="n">
        <v>107.1</v>
      </c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  <c r="AY624" s="5" t="n"/>
      <c r="AZ624" s="5" t="n"/>
      <c r="BA624" s="5" t="n"/>
      <c r="BB624" s="5" t="n"/>
      <c r="BC624" s="5" t="n"/>
      <c r="BD624" s="5" t="n"/>
      <c r="BE624" s="5" t="n"/>
      <c r="BF624" s="5" t="n"/>
      <c r="BG624" s="5" t="n"/>
      <c r="BH624" s="5" t="n"/>
      <c r="BI624" s="5" t="n"/>
      <c r="BJ624" s="5" t="n"/>
      <c r="BK624" s="5" t="n"/>
      <c r="BL624" s="5" t="n"/>
      <c r="BM624" s="5" t="n"/>
      <c r="BN624" s="5" t="n"/>
      <c r="BO624" s="5" t="n"/>
      <c r="BP624" s="5" t="n"/>
      <c r="BQ624" s="5" t="n"/>
      <c r="BR624" s="5" t="n"/>
      <c r="BS624" s="5" t="n"/>
      <c r="BT624" s="5" t="n"/>
      <c r="BU624" s="5" t="n"/>
      <c r="BV624" s="5" t="n"/>
      <c r="BW624" s="5" t="n"/>
      <c r="BX624" s="5" t="n"/>
      <c r="BY624" s="5" t="n"/>
      <c r="BZ624" s="5" t="n"/>
      <c r="CA624" s="5" t="n"/>
      <c r="CB624" s="5" t="n"/>
      <c r="CC624" s="5" t="n"/>
      <c r="CD624" s="5" t="n"/>
      <c r="CE624" s="5" t="n"/>
      <c r="CF624" s="5" t="n"/>
    </row>
    <row r="625">
      <c r="A625" s="171" t="n">
        <v>55</v>
      </c>
      <c r="B625" s="171" t="n">
        <v>59</v>
      </c>
      <c r="C625" s="171" t="inlineStr">
        <is>
          <t>Extra Negocios NIF 3 2</t>
        </is>
      </c>
      <c r="D625" s="170" t="n">
        <v>166.5</v>
      </c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  <c r="AY625" s="5" t="n"/>
      <c r="AZ625" s="5" t="n"/>
      <c r="BA625" s="5" t="n"/>
      <c r="BB625" s="5" t="n"/>
      <c r="BC625" s="5" t="n"/>
      <c r="BD625" s="5" t="n"/>
      <c r="BE625" s="5" t="n"/>
      <c r="BF625" s="5" t="n"/>
      <c r="BG625" s="5" t="n"/>
      <c r="BH625" s="5" t="n"/>
      <c r="BI625" s="5" t="n"/>
      <c r="BJ625" s="5" t="n"/>
      <c r="BK625" s="5" t="n"/>
      <c r="BL625" s="5" t="n"/>
      <c r="BM625" s="5" t="n"/>
      <c r="BN625" s="5" t="n"/>
      <c r="BO625" s="5" t="n"/>
      <c r="BP625" s="5" t="n"/>
      <c r="BQ625" s="5" t="n"/>
      <c r="BR625" s="5" t="n"/>
      <c r="BS625" s="5" t="n"/>
      <c r="BT625" s="5" t="n"/>
      <c r="BU625" s="5" t="n"/>
      <c r="BV625" s="5" t="n"/>
      <c r="BW625" s="5" t="n"/>
      <c r="BX625" s="5" t="n"/>
      <c r="BY625" s="5" t="n"/>
      <c r="BZ625" s="5" t="n"/>
      <c r="CA625" s="5" t="n"/>
      <c r="CB625" s="5" t="n"/>
      <c r="CC625" s="5" t="n"/>
      <c r="CD625" s="5" t="n"/>
      <c r="CE625" s="5" t="n"/>
      <c r="CF625" s="5" t="n"/>
    </row>
    <row r="626">
      <c r="A626" s="171" t="n">
        <v>60</v>
      </c>
      <c r="B626" s="171" t="n">
        <v>64</v>
      </c>
      <c r="C626" s="171" t="inlineStr">
        <is>
          <t>Extra Negocios NIF 3 2</t>
        </is>
      </c>
      <c r="D626" s="170" t="n">
        <v>193.5</v>
      </c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  <c r="AY626" s="5" t="n"/>
      <c r="AZ626" s="5" t="n"/>
      <c r="BA626" s="5" t="n"/>
      <c r="BB626" s="5" t="n"/>
      <c r="BC626" s="5" t="n"/>
      <c r="BD626" s="5" t="n"/>
      <c r="BE626" s="5" t="n"/>
      <c r="BF626" s="5" t="n"/>
      <c r="BG626" s="5" t="n"/>
      <c r="BH626" s="5" t="n"/>
      <c r="BI626" s="5" t="n"/>
      <c r="BJ626" s="5" t="n"/>
      <c r="BK626" s="5" t="n"/>
      <c r="BL626" s="5" t="n"/>
      <c r="BM626" s="5" t="n"/>
      <c r="BN626" s="5" t="n"/>
      <c r="BO626" s="5" t="n"/>
      <c r="BP626" s="5" t="n"/>
      <c r="BQ626" s="5" t="n"/>
      <c r="BR626" s="5" t="n"/>
      <c r="BS626" s="5" t="n"/>
      <c r="BT626" s="5" t="n"/>
      <c r="BU626" s="5" t="n"/>
      <c r="BV626" s="5" t="n"/>
      <c r="BW626" s="5" t="n"/>
      <c r="BX626" s="5" t="n"/>
      <c r="BY626" s="5" t="n"/>
      <c r="BZ626" s="5" t="n"/>
      <c r="CA626" s="5" t="n"/>
      <c r="CB626" s="5" t="n"/>
      <c r="CC626" s="5" t="n"/>
      <c r="CD626" s="5" t="n"/>
      <c r="CE626" s="5" t="n"/>
      <c r="CF626" s="5" t="n"/>
    </row>
    <row r="627">
      <c r="A627" s="171" t="n">
        <v>65</v>
      </c>
      <c r="B627" s="171" t="n">
        <v>69</v>
      </c>
      <c r="C627" s="171" t="inlineStr">
        <is>
          <t>Extra Negocios NIF 3 2</t>
        </is>
      </c>
      <c r="D627" s="170" t="n">
        <v>277.2</v>
      </c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  <c r="AY627" s="5" t="n"/>
      <c r="AZ627" s="5" t="n"/>
      <c r="BA627" s="5" t="n"/>
      <c r="BB627" s="5" t="n"/>
      <c r="BC627" s="5" t="n"/>
      <c r="BD627" s="5" t="n"/>
      <c r="BE627" s="5" t="n"/>
      <c r="BF627" s="5" t="n"/>
      <c r="BG627" s="5" t="n"/>
      <c r="BH627" s="5" t="n"/>
      <c r="BI627" s="5" t="n"/>
      <c r="BJ627" s="5" t="n"/>
      <c r="BK627" s="5" t="n"/>
      <c r="BL627" s="5" t="n"/>
      <c r="BM627" s="5" t="n"/>
      <c r="BN627" s="5" t="n"/>
      <c r="BO627" s="5" t="n"/>
      <c r="BP627" s="5" t="n"/>
      <c r="BQ627" s="5" t="n"/>
      <c r="BR627" s="5" t="n"/>
      <c r="BS627" s="5" t="n"/>
      <c r="BT627" s="5" t="n"/>
      <c r="BU627" s="5" t="n"/>
      <c r="BV627" s="5" t="n"/>
      <c r="BW627" s="5" t="n"/>
      <c r="BX627" s="5" t="n"/>
      <c r="BY627" s="5" t="n"/>
      <c r="BZ627" s="5" t="n"/>
      <c r="CA627" s="5" t="n"/>
      <c r="CB627" s="5" t="n"/>
      <c r="CC627" s="5" t="n"/>
      <c r="CD627" s="5" t="n"/>
      <c r="CE627" s="5" t="n"/>
      <c r="CF627" s="5" t="n"/>
    </row>
    <row r="628">
      <c r="A628" s="171" t="n">
        <v>70</v>
      </c>
      <c r="B628" s="171" t="n">
        <v>120</v>
      </c>
      <c r="C628" s="171" t="inlineStr">
        <is>
          <t>Extra Negocios NIF 3 2</t>
        </is>
      </c>
      <c r="D628" s="170" t="n">
        <v>287.1</v>
      </c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  <c r="AY628" s="5" t="n"/>
      <c r="AZ628" s="5" t="n"/>
      <c r="BA628" s="5" t="n"/>
      <c r="BB628" s="5" t="n"/>
      <c r="BC628" s="5" t="n"/>
      <c r="BD628" s="5" t="n"/>
      <c r="BE628" s="5" t="n"/>
      <c r="BF628" s="5" t="n"/>
      <c r="BG628" s="5" t="n"/>
      <c r="BH628" s="5" t="n"/>
      <c r="BI628" s="5" t="n"/>
      <c r="BJ628" s="5" t="n"/>
      <c r="BK628" s="5" t="n"/>
      <c r="BL628" s="5" t="n"/>
      <c r="BM628" s="5" t="n"/>
      <c r="BN628" s="5" t="n"/>
      <c r="BO628" s="5" t="n"/>
      <c r="BP628" s="5" t="n"/>
      <c r="BQ628" s="5" t="n"/>
      <c r="BR628" s="5" t="n"/>
      <c r="BS628" s="5" t="n"/>
      <c r="BT628" s="5" t="n"/>
      <c r="BU628" s="5" t="n"/>
      <c r="BV628" s="5" t="n"/>
      <c r="BW628" s="5" t="n"/>
      <c r="BX628" s="5" t="n"/>
      <c r="BY628" s="5" t="n"/>
      <c r="BZ628" s="5" t="n"/>
      <c r="CA628" s="5" t="n"/>
      <c r="CB628" s="5" t="n"/>
      <c r="CC628" s="5" t="n"/>
      <c r="CD628" s="5" t="n"/>
      <c r="CE628" s="5" t="n"/>
      <c r="CF628" s="5" t="n"/>
    </row>
    <row r="629">
      <c r="A629" s="171" t="n">
        <v>0</v>
      </c>
      <c r="B629" s="171" t="n">
        <v>24</v>
      </c>
      <c r="C629" s="171" t="inlineStr">
        <is>
          <t>Extra Negocios NIF 4 2</t>
        </is>
      </c>
      <c r="D629" s="170" t="n">
        <v>91.8</v>
      </c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  <c r="AY629" s="5" t="n"/>
      <c r="AZ629" s="5" t="n"/>
      <c r="BA629" s="5" t="n"/>
      <c r="BB629" s="5" t="n"/>
      <c r="BC629" s="5" t="n"/>
      <c r="BD629" s="5" t="n"/>
      <c r="BE629" s="5" t="n"/>
      <c r="BF629" s="5" t="n"/>
      <c r="BG629" s="5" t="n"/>
      <c r="BH629" s="5" t="n"/>
      <c r="BI629" s="5" t="n"/>
      <c r="BJ629" s="5" t="n"/>
      <c r="BK629" s="5" t="n"/>
      <c r="BL629" s="5" t="n"/>
      <c r="BM629" s="5" t="n"/>
      <c r="BN629" s="5" t="n"/>
      <c r="BO629" s="5" t="n"/>
      <c r="BP629" s="5" t="n"/>
      <c r="BQ629" s="5" t="n"/>
      <c r="BR629" s="5" t="n"/>
      <c r="BS629" s="5" t="n"/>
      <c r="BT629" s="5" t="n"/>
      <c r="BU629" s="5" t="n"/>
      <c r="BV629" s="5" t="n"/>
      <c r="BW629" s="5" t="n"/>
      <c r="BX629" s="5" t="n"/>
      <c r="BY629" s="5" t="n"/>
      <c r="BZ629" s="5" t="n"/>
      <c r="CA629" s="5" t="n"/>
      <c r="CB629" s="5" t="n"/>
      <c r="CC629" s="5" t="n"/>
      <c r="CD629" s="5" t="n"/>
      <c r="CE629" s="5" t="n"/>
      <c r="CF629" s="5" t="n"/>
    </row>
    <row r="630">
      <c r="A630" s="171" t="n">
        <v>25</v>
      </c>
      <c r="B630" s="171" t="n">
        <v>44</v>
      </c>
      <c r="C630" s="171" t="inlineStr">
        <is>
          <t>Extra Negocios NIF 4 2</t>
        </is>
      </c>
      <c r="D630" s="170" t="n">
        <v>108</v>
      </c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  <c r="AY630" s="5" t="n"/>
      <c r="AZ630" s="5" t="n"/>
      <c r="BA630" s="5" t="n"/>
      <c r="BB630" s="5" t="n"/>
      <c r="BC630" s="5" t="n"/>
      <c r="BD630" s="5" t="n"/>
      <c r="BE630" s="5" t="n"/>
      <c r="BF630" s="5" t="n"/>
      <c r="BG630" s="5" t="n"/>
      <c r="BH630" s="5" t="n"/>
      <c r="BI630" s="5" t="n"/>
      <c r="BJ630" s="5" t="n"/>
      <c r="BK630" s="5" t="n"/>
      <c r="BL630" s="5" t="n"/>
      <c r="BM630" s="5" t="n"/>
      <c r="BN630" s="5" t="n"/>
      <c r="BO630" s="5" t="n"/>
      <c r="BP630" s="5" t="n"/>
      <c r="BQ630" s="5" t="n"/>
      <c r="BR630" s="5" t="n"/>
      <c r="BS630" s="5" t="n"/>
      <c r="BT630" s="5" t="n"/>
      <c r="BU630" s="5" t="n"/>
      <c r="BV630" s="5" t="n"/>
      <c r="BW630" s="5" t="n"/>
      <c r="BX630" s="5" t="n"/>
      <c r="BY630" s="5" t="n"/>
      <c r="BZ630" s="5" t="n"/>
      <c r="CA630" s="5" t="n"/>
      <c r="CB630" s="5" t="n"/>
      <c r="CC630" s="5" t="n"/>
      <c r="CD630" s="5" t="n"/>
      <c r="CE630" s="5" t="n"/>
      <c r="CF630" s="5" t="n"/>
    </row>
    <row r="631">
      <c r="A631" s="171" t="n">
        <v>45</v>
      </c>
      <c r="B631" s="171" t="n">
        <v>54</v>
      </c>
      <c r="C631" s="171" t="inlineStr">
        <is>
          <t>Extra Negocios NIF 4 2</t>
        </is>
      </c>
      <c r="D631" s="170" t="n">
        <v>116.1</v>
      </c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  <c r="AY631" s="5" t="n"/>
      <c r="AZ631" s="5" t="n"/>
      <c r="BA631" s="5" t="n"/>
      <c r="BB631" s="5" t="n"/>
      <c r="BC631" s="5" t="n"/>
      <c r="BD631" s="5" t="n"/>
      <c r="BE631" s="5" t="n"/>
      <c r="BF631" s="5" t="n"/>
      <c r="BG631" s="5" t="n"/>
      <c r="BH631" s="5" t="n"/>
      <c r="BI631" s="5" t="n"/>
      <c r="BJ631" s="5" t="n"/>
      <c r="BK631" s="5" t="n"/>
      <c r="BL631" s="5" t="n"/>
      <c r="BM631" s="5" t="n"/>
      <c r="BN631" s="5" t="n"/>
      <c r="BO631" s="5" t="n"/>
      <c r="BP631" s="5" t="n"/>
      <c r="BQ631" s="5" t="n"/>
      <c r="BR631" s="5" t="n"/>
      <c r="BS631" s="5" t="n"/>
      <c r="BT631" s="5" t="n"/>
      <c r="BU631" s="5" t="n"/>
      <c r="BV631" s="5" t="n"/>
      <c r="BW631" s="5" t="n"/>
      <c r="BX631" s="5" t="n"/>
      <c r="BY631" s="5" t="n"/>
      <c r="BZ631" s="5" t="n"/>
      <c r="CA631" s="5" t="n"/>
      <c r="CB631" s="5" t="n"/>
      <c r="CC631" s="5" t="n"/>
      <c r="CD631" s="5" t="n"/>
      <c r="CE631" s="5" t="n"/>
      <c r="CF631" s="5" t="n"/>
    </row>
    <row r="632">
      <c r="A632" s="171" t="n">
        <v>55</v>
      </c>
      <c r="B632" s="171" t="n">
        <v>59</v>
      </c>
      <c r="C632" s="171" t="inlineStr">
        <is>
          <t>Extra Negocios NIF 4 2</t>
        </is>
      </c>
      <c r="D632" s="170" t="n">
        <v>178.2</v>
      </c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  <c r="AY632" s="5" t="n"/>
      <c r="AZ632" s="5" t="n"/>
      <c r="BA632" s="5" t="n"/>
      <c r="BB632" s="5" t="n"/>
      <c r="BC632" s="5" t="n"/>
      <c r="BD632" s="5" t="n"/>
      <c r="BE632" s="5" t="n"/>
      <c r="BF632" s="5" t="n"/>
      <c r="BG632" s="5" t="n"/>
      <c r="BH632" s="5" t="n"/>
      <c r="BI632" s="5" t="n"/>
      <c r="BJ632" s="5" t="n"/>
      <c r="BK632" s="5" t="n"/>
      <c r="BL632" s="5" t="n"/>
      <c r="BM632" s="5" t="n"/>
      <c r="BN632" s="5" t="n"/>
      <c r="BO632" s="5" t="n"/>
      <c r="BP632" s="5" t="n"/>
      <c r="BQ632" s="5" t="n"/>
      <c r="BR632" s="5" t="n"/>
      <c r="BS632" s="5" t="n"/>
      <c r="BT632" s="5" t="n"/>
      <c r="BU632" s="5" t="n"/>
      <c r="BV632" s="5" t="n"/>
      <c r="BW632" s="5" t="n"/>
      <c r="BX632" s="5" t="n"/>
      <c r="BY632" s="5" t="n"/>
      <c r="BZ632" s="5" t="n"/>
      <c r="CA632" s="5" t="n"/>
      <c r="CB632" s="5" t="n"/>
      <c r="CC632" s="5" t="n"/>
      <c r="CD632" s="5" t="n"/>
      <c r="CE632" s="5" t="n"/>
      <c r="CF632" s="5" t="n"/>
    </row>
    <row r="633">
      <c r="A633" s="171" t="n">
        <v>60</v>
      </c>
      <c r="B633" s="171" t="n">
        <v>64</v>
      </c>
      <c r="C633" s="171" t="inlineStr">
        <is>
          <t>Extra Negocios NIF 4 2</t>
        </is>
      </c>
      <c r="D633" s="170" t="n">
        <v>205.2</v>
      </c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  <c r="AY633" s="5" t="n"/>
      <c r="AZ633" s="5" t="n"/>
      <c r="BA633" s="5" t="n"/>
      <c r="BB633" s="5" t="n"/>
      <c r="BC633" s="5" t="n"/>
      <c r="BD633" s="5" t="n"/>
      <c r="BE633" s="5" t="n"/>
      <c r="BF633" s="5" t="n"/>
      <c r="BG633" s="5" t="n"/>
      <c r="BH633" s="5" t="n"/>
      <c r="BI633" s="5" t="n"/>
      <c r="BJ633" s="5" t="n"/>
      <c r="BK633" s="5" t="n"/>
      <c r="BL633" s="5" t="n"/>
      <c r="BM633" s="5" t="n"/>
      <c r="BN633" s="5" t="n"/>
      <c r="BO633" s="5" t="n"/>
      <c r="BP633" s="5" t="n"/>
      <c r="BQ633" s="5" t="n"/>
      <c r="BR633" s="5" t="n"/>
      <c r="BS633" s="5" t="n"/>
      <c r="BT633" s="5" t="n"/>
      <c r="BU633" s="5" t="n"/>
      <c r="BV633" s="5" t="n"/>
      <c r="BW633" s="5" t="n"/>
      <c r="BX633" s="5" t="n"/>
      <c r="BY633" s="5" t="n"/>
      <c r="BZ633" s="5" t="n"/>
      <c r="CA633" s="5" t="n"/>
      <c r="CB633" s="5" t="n"/>
      <c r="CC633" s="5" t="n"/>
      <c r="CD633" s="5" t="n"/>
      <c r="CE633" s="5" t="n"/>
      <c r="CF633" s="5" t="n"/>
    </row>
    <row r="634">
      <c r="A634" s="171" t="n">
        <v>65</v>
      </c>
      <c r="B634" s="171" t="n">
        <v>69</v>
      </c>
      <c r="C634" s="171" t="inlineStr">
        <is>
          <t>Extra Negocios NIF 4 2</t>
        </is>
      </c>
      <c r="D634" s="170" t="n">
        <v>288</v>
      </c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  <c r="AY634" s="5" t="n"/>
      <c r="AZ634" s="5" t="n"/>
      <c r="BA634" s="5" t="n"/>
      <c r="BB634" s="5" t="n"/>
      <c r="BC634" s="5" t="n"/>
      <c r="BD634" s="5" t="n"/>
      <c r="BE634" s="5" t="n"/>
      <c r="BF634" s="5" t="n"/>
      <c r="BG634" s="5" t="n"/>
      <c r="BH634" s="5" t="n"/>
      <c r="BI634" s="5" t="n"/>
      <c r="BJ634" s="5" t="n"/>
      <c r="BK634" s="5" t="n"/>
      <c r="BL634" s="5" t="n"/>
      <c r="BM634" s="5" t="n"/>
      <c r="BN634" s="5" t="n"/>
      <c r="BO634" s="5" t="n"/>
      <c r="BP634" s="5" t="n"/>
      <c r="BQ634" s="5" t="n"/>
      <c r="BR634" s="5" t="n"/>
      <c r="BS634" s="5" t="n"/>
      <c r="BT634" s="5" t="n"/>
      <c r="BU634" s="5" t="n"/>
      <c r="BV634" s="5" t="n"/>
      <c r="BW634" s="5" t="n"/>
      <c r="BX634" s="5" t="n"/>
      <c r="BY634" s="5" t="n"/>
      <c r="BZ634" s="5" t="n"/>
      <c r="CA634" s="5" t="n"/>
      <c r="CB634" s="5" t="n"/>
      <c r="CC634" s="5" t="n"/>
      <c r="CD634" s="5" t="n"/>
      <c r="CE634" s="5" t="n"/>
      <c r="CF634" s="5" t="n"/>
    </row>
    <row r="635">
      <c r="A635" s="171" t="n">
        <v>70</v>
      </c>
      <c r="B635" s="171" t="n">
        <v>120</v>
      </c>
      <c r="C635" s="171" t="inlineStr">
        <is>
          <t>Extra Negocios NIF 4 2</t>
        </is>
      </c>
      <c r="D635" s="170" t="n">
        <v>296.1</v>
      </c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  <c r="AY635" s="5" t="n"/>
      <c r="AZ635" s="5" t="n"/>
      <c r="BA635" s="5" t="n"/>
      <c r="BB635" s="5" t="n"/>
      <c r="BC635" s="5" t="n"/>
      <c r="BD635" s="5" t="n"/>
      <c r="BE635" s="5" t="n"/>
      <c r="BF635" s="5" t="n"/>
      <c r="BG635" s="5" t="n"/>
      <c r="BH635" s="5" t="n"/>
      <c r="BI635" s="5" t="n"/>
      <c r="BJ635" s="5" t="n"/>
      <c r="BK635" s="5" t="n"/>
      <c r="BL635" s="5" t="n"/>
      <c r="BM635" s="5" t="n"/>
      <c r="BN635" s="5" t="n"/>
      <c r="BO635" s="5" t="n"/>
      <c r="BP635" s="5" t="n"/>
      <c r="BQ635" s="5" t="n"/>
      <c r="BR635" s="5" t="n"/>
      <c r="BS635" s="5" t="n"/>
      <c r="BT635" s="5" t="n"/>
      <c r="BU635" s="5" t="n"/>
      <c r="BV635" s="5" t="n"/>
      <c r="BW635" s="5" t="n"/>
      <c r="BX635" s="5" t="n"/>
      <c r="BY635" s="5" t="n"/>
      <c r="BZ635" s="5" t="n"/>
      <c r="CA635" s="5" t="n"/>
      <c r="CB635" s="5" t="n"/>
      <c r="CC635" s="5" t="n"/>
      <c r="CD635" s="5" t="n"/>
      <c r="CE635" s="5" t="n"/>
      <c r="CF635" s="5" t="n"/>
    </row>
    <row r="636">
      <c r="A636" s="171" t="n">
        <v>0</v>
      </c>
      <c r="B636" s="171" t="n">
        <v>24</v>
      </c>
      <c r="C636" s="171" t="inlineStr">
        <is>
          <t>Extra Negocios NIF 5 2</t>
        </is>
      </c>
      <c r="D636" s="170" t="n">
        <v>92.25</v>
      </c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  <c r="AY636" s="5" t="n"/>
      <c r="AZ636" s="5" t="n"/>
      <c r="BA636" s="5" t="n"/>
      <c r="BB636" s="5" t="n"/>
      <c r="BC636" s="5" t="n"/>
      <c r="BD636" s="5" t="n"/>
      <c r="BE636" s="5" t="n"/>
      <c r="BF636" s="5" t="n"/>
      <c r="BG636" s="5" t="n"/>
      <c r="BH636" s="5" t="n"/>
      <c r="BI636" s="5" t="n"/>
      <c r="BJ636" s="5" t="n"/>
      <c r="BK636" s="5" t="n"/>
      <c r="BL636" s="5" t="n"/>
      <c r="BM636" s="5" t="n"/>
      <c r="BN636" s="5" t="n"/>
      <c r="BO636" s="5" t="n"/>
      <c r="BP636" s="5" t="n"/>
      <c r="BQ636" s="5" t="n"/>
      <c r="BR636" s="5" t="n"/>
      <c r="BS636" s="5" t="n"/>
      <c r="BT636" s="5" t="n"/>
      <c r="BU636" s="5" t="n"/>
      <c r="BV636" s="5" t="n"/>
      <c r="BW636" s="5" t="n"/>
      <c r="BX636" s="5" t="n"/>
      <c r="BY636" s="5" t="n"/>
      <c r="BZ636" s="5" t="n"/>
      <c r="CA636" s="5" t="n"/>
      <c r="CB636" s="5" t="n"/>
      <c r="CC636" s="5" t="n"/>
      <c r="CD636" s="5" t="n"/>
      <c r="CE636" s="5" t="n"/>
      <c r="CF636" s="5" t="n"/>
    </row>
    <row r="637">
      <c r="A637" s="171" t="n">
        <v>25</v>
      </c>
      <c r="B637" s="171" t="n">
        <v>44</v>
      </c>
      <c r="C637" s="171" t="inlineStr">
        <is>
          <t>Extra Negocios NIF 5 2</t>
        </is>
      </c>
      <c r="D637" s="170" t="n">
        <v>108.45</v>
      </c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  <c r="AY637" s="5" t="n"/>
      <c r="AZ637" s="5" t="n"/>
      <c r="BA637" s="5" t="n"/>
      <c r="BB637" s="5" t="n"/>
      <c r="BC637" s="5" t="n"/>
      <c r="BD637" s="5" t="n"/>
      <c r="BE637" s="5" t="n"/>
      <c r="BF637" s="5" t="n"/>
      <c r="BG637" s="5" t="n"/>
      <c r="BH637" s="5" t="n"/>
      <c r="BI637" s="5" t="n"/>
      <c r="BJ637" s="5" t="n"/>
      <c r="BK637" s="5" t="n"/>
      <c r="BL637" s="5" t="n"/>
      <c r="BM637" s="5" t="n"/>
      <c r="BN637" s="5" t="n"/>
      <c r="BO637" s="5" t="n"/>
      <c r="BP637" s="5" t="n"/>
      <c r="BQ637" s="5" t="n"/>
      <c r="BR637" s="5" t="n"/>
      <c r="BS637" s="5" t="n"/>
      <c r="BT637" s="5" t="n"/>
      <c r="BU637" s="5" t="n"/>
      <c r="BV637" s="5" t="n"/>
      <c r="BW637" s="5" t="n"/>
      <c r="BX637" s="5" t="n"/>
      <c r="BY637" s="5" t="n"/>
      <c r="BZ637" s="5" t="n"/>
      <c r="CA637" s="5" t="n"/>
      <c r="CB637" s="5" t="n"/>
      <c r="CC637" s="5" t="n"/>
      <c r="CD637" s="5" t="n"/>
      <c r="CE637" s="5" t="n"/>
      <c r="CF637" s="5" t="n"/>
    </row>
    <row r="638">
      <c r="A638" s="171" t="n">
        <v>45</v>
      </c>
      <c r="B638" s="171" t="n">
        <v>54</v>
      </c>
      <c r="C638" s="171" t="inlineStr">
        <is>
          <t>Extra Negocios NIF 5 2</t>
        </is>
      </c>
      <c r="D638" s="170" t="n">
        <v>117</v>
      </c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  <c r="AY638" s="5" t="n"/>
      <c r="AZ638" s="5" t="n"/>
      <c r="BA638" s="5" t="n"/>
      <c r="BB638" s="5" t="n"/>
      <c r="BC638" s="5" t="n"/>
      <c r="BD638" s="5" t="n"/>
      <c r="BE638" s="5" t="n"/>
      <c r="BF638" s="5" t="n"/>
      <c r="BG638" s="5" t="n"/>
      <c r="BH638" s="5" t="n"/>
      <c r="BI638" s="5" t="n"/>
      <c r="BJ638" s="5" t="n"/>
      <c r="BK638" s="5" t="n"/>
      <c r="BL638" s="5" t="n"/>
      <c r="BM638" s="5" t="n"/>
      <c r="BN638" s="5" t="n"/>
      <c r="BO638" s="5" t="n"/>
      <c r="BP638" s="5" t="n"/>
      <c r="BQ638" s="5" t="n"/>
      <c r="BR638" s="5" t="n"/>
      <c r="BS638" s="5" t="n"/>
      <c r="BT638" s="5" t="n"/>
      <c r="BU638" s="5" t="n"/>
      <c r="BV638" s="5" t="n"/>
      <c r="BW638" s="5" t="n"/>
      <c r="BX638" s="5" t="n"/>
      <c r="BY638" s="5" t="n"/>
      <c r="BZ638" s="5" t="n"/>
      <c r="CA638" s="5" t="n"/>
      <c r="CB638" s="5" t="n"/>
      <c r="CC638" s="5" t="n"/>
      <c r="CD638" s="5" t="n"/>
      <c r="CE638" s="5" t="n"/>
      <c r="CF638" s="5" t="n"/>
    </row>
    <row r="639">
      <c r="A639" s="171" t="n">
        <v>55</v>
      </c>
      <c r="B639" s="171" t="n">
        <v>59</v>
      </c>
      <c r="C639" s="171" t="inlineStr">
        <is>
          <t>Extra Negocios NIF 5 2</t>
        </is>
      </c>
      <c r="D639" s="170" t="n">
        <v>178.65</v>
      </c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  <c r="AY639" s="5" t="n"/>
      <c r="AZ639" s="5" t="n"/>
      <c r="BA639" s="5" t="n"/>
      <c r="BB639" s="5" t="n"/>
      <c r="BC639" s="5" t="n"/>
      <c r="BD639" s="5" t="n"/>
      <c r="BE639" s="5" t="n"/>
      <c r="BF639" s="5" t="n"/>
      <c r="BG639" s="5" t="n"/>
      <c r="BH639" s="5" t="n"/>
      <c r="BI639" s="5" t="n"/>
      <c r="BJ639" s="5" t="n"/>
      <c r="BK639" s="5" t="n"/>
      <c r="BL639" s="5" t="n"/>
      <c r="BM639" s="5" t="n"/>
      <c r="BN639" s="5" t="n"/>
      <c r="BO639" s="5" t="n"/>
      <c r="BP639" s="5" t="n"/>
      <c r="BQ639" s="5" t="n"/>
      <c r="BR639" s="5" t="n"/>
      <c r="BS639" s="5" t="n"/>
      <c r="BT639" s="5" t="n"/>
      <c r="BU639" s="5" t="n"/>
      <c r="BV639" s="5" t="n"/>
      <c r="BW639" s="5" t="n"/>
      <c r="BX639" s="5" t="n"/>
      <c r="BY639" s="5" t="n"/>
      <c r="BZ639" s="5" t="n"/>
      <c r="CA639" s="5" t="n"/>
      <c r="CB639" s="5" t="n"/>
      <c r="CC639" s="5" t="n"/>
      <c r="CD639" s="5" t="n"/>
      <c r="CE639" s="5" t="n"/>
      <c r="CF639" s="5" t="n"/>
    </row>
    <row r="640">
      <c r="A640" s="171" t="n">
        <v>60</v>
      </c>
      <c r="B640" s="171" t="n">
        <v>64</v>
      </c>
      <c r="C640" s="171" t="inlineStr">
        <is>
          <t>Extra Negocios NIF 5 2</t>
        </is>
      </c>
      <c r="D640" s="170" t="n">
        <v>205.65</v>
      </c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  <c r="AY640" s="5" t="n"/>
      <c r="AZ640" s="5" t="n"/>
      <c r="BA640" s="5" t="n"/>
      <c r="BB640" s="5" t="n"/>
      <c r="BC640" s="5" t="n"/>
      <c r="BD640" s="5" t="n"/>
      <c r="BE640" s="5" t="n"/>
      <c r="BF640" s="5" t="n"/>
      <c r="BG640" s="5" t="n"/>
      <c r="BH640" s="5" t="n"/>
      <c r="BI640" s="5" t="n"/>
      <c r="BJ640" s="5" t="n"/>
      <c r="BK640" s="5" t="n"/>
      <c r="BL640" s="5" t="n"/>
      <c r="BM640" s="5" t="n"/>
      <c r="BN640" s="5" t="n"/>
      <c r="BO640" s="5" t="n"/>
      <c r="BP640" s="5" t="n"/>
      <c r="BQ640" s="5" t="n"/>
      <c r="BR640" s="5" t="n"/>
      <c r="BS640" s="5" t="n"/>
      <c r="BT640" s="5" t="n"/>
      <c r="BU640" s="5" t="n"/>
      <c r="BV640" s="5" t="n"/>
      <c r="BW640" s="5" t="n"/>
      <c r="BX640" s="5" t="n"/>
      <c r="BY640" s="5" t="n"/>
      <c r="BZ640" s="5" t="n"/>
      <c r="CA640" s="5" t="n"/>
      <c r="CB640" s="5" t="n"/>
      <c r="CC640" s="5" t="n"/>
      <c r="CD640" s="5" t="n"/>
      <c r="CE640" s="5" t="n"/>
      <c r="CF640" s="5" t="n"/>
    </row>
    <row r="641">
      <c r="A641" s="171" t="n">
        <v>65</v>
      </c>
      <c r="B641" s="171" t="n">
        <v>69</v>
      </c>
      <c r="C641" s="171" t="inlineStr">
        <is>
          <t>Extra Negocios NIF 5 2</t>
        </is>
      </c>
      <c r="D641" s="170" t="n">
        <v>288.9</v>
      </c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  <c r="AY641" s="5" t="n"/>
      <c r="AZ641" s="5" t="n"/>
      <c r="BA641" s="5" t="n"/>
      <c r="BB641" s="5" t="n"/>
      <c r="BC641" s="5" t="n"/>
      <c r="BD641" s="5" t="n"/>
      <c r="BE641" s="5" t="n"/>
      <c r="BF641" s="5" t="n"/>
      <c r="BG641" s="5" t="n"/>
      <c r="BH641" s="5" t="n"/>
      <c r="BI641" s="5" t="n"/>
      <c r="BJ641" s="5" t="n"/>
      <c r="BK641" s="5" t="n"/>
      <c r="BL641" s="5" t="n"/>
      <c r="BM641" s="5" t="n"/>
      <c r="BN641" s="5" t="n"/>
      <c r="BO641" s="5" t="n"/>
      <c r="BP641" s="5" t="n"/>
      <c r="BQ641" s="5" t="n"/>
      <c r="BR641" s="5" t="n"/>
      <c r="BS641" s="5" t="n"/>
      <c r="BT641" s="5" t="n"/>
      <c r="BU641" s="5" t="n"/>
      <c r="BV641" s="5" t="n"/>
      <c r="BW641" s="5" t="n"/>
      <c r="BX641" s="5" t="n"/>
      <c r="BY641" s="5" t="n"/>
      <c r="BZ641" s="5" t="n"/>
      <c r="CA641" s="5" t="n"/>
      <c r="CB641" s="5" t="n"/>
      <c r="CC641" s="5" t="n"/>
      <c r="CD641" s="5" t="n"/>
      <c r="CE641" s="5" t="n"/>
      <c r="CF641" s="5" t="n"/>
    </row>
    <row r="642">
      <c r="A642" s="171" t="n">
        <v>70</v>
      </c>
      <c r="B642" s="171" t="n">
        <v>120</v>
      </c>
      <c r="C642" s="171" t="inlineStr">
        <is>
          <t>Extra Negocios NIF 5 2</t>
        </is>
      </c>
      <c r="D642" s="170" t="n">
        <v>297</v>
      </c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  <c r="AY642" s="5" t="n"/>
      <c r="AZ642" s="5" t="n"/>
      <c r="BA642" s="5" t="n"/>
      <c r="BB642" s="5" t="n"/>
      <c r="BC642" s="5" t="n"/>
      <c r="BD642" s="5" t="n"/>
      <c r="BE642" s="5" t="n"/>
      <c r="BF642" s="5" t="n"/>
      <c r="BG642" s="5" t="n"/>
      <c r="BH642" s="5" t="n"/>
      <c r="BI642" s="5" t="n"/>
      <c r="BJ642" s="5" t="n"/>
      <c r="BK642" s="5" t="n"/>
      <c r="BL642" s="5" t="n"/>
      <c r="BM642" s="5" t="n"/>
      <c r="BN642" s="5" t="n"/>
      <c r="BO642" s="5" t="n"/>
      <c r="BP642" s="5" t="n"/>
      <c r="BQ642" s="5" t="n"/>
      <c r="BR642" s="5" t="n"/>
      <c r="BS642" s="5" t="n"/>
      <c r="BT642" s="5" t="n"/>
      <c r="BU642" s="5" t="n"/>
      <c r="BV642" s="5" t="n"/>
      <c r="BW642" s="5" t="n"/>
      <c r="BX642" s="5" t="n"/>
      <c r="BY642" s="5" t="n"/>
      <c r="BZ642" s="5" t="n"/>
      <c r="CA642" s="5" t="n"/>
      <c r="CB642" s="5" t="n"/>
      <c r="CC642" s="5" t="n"/>
      <c r="CD642" s="5" t="n"/>
      <c r="CE642" s="5" t="n"/>
      <c r="CF642" s="5" t="n"/>
    </row>
    <row r="643">
      <c r="A643" s="171" t="n">
        <v>0</v>
      </c>
      <c r="B643" s="171" t="n">
        <v>24</v>
      </c>
      <c r="C643" s="171" t="inlineStr">
        <is>
          <t>Extra Negocios NIF 6 2</t>
        </is>
      </c>
      <c r="D643" s="170" t="n">
        <v>93.59999999999999</v>
      </c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  <c r="AY643" s="5" t="n"/>
      <c r="AZ643" s="5" t="n"/>
      <c r="BA643" s="5" t="n"/>
      <c r="BB643" s="5" t="n"/>
      <c r="BC643" s="5" t="n"/>
      <c r="BD643" s="5" t="n"/>
      <c r="BE643" s="5" t="n"/>
      <c r="BF643" s="5" t="n"/>
      <c r="BG643" s="5" t="n"/>
      <c r="BH643" s="5" t="n"/>
      <c r="BI643" s="5" t="n"/>
      <c r="BJ643" s="5" t="n"/>
      <c r="BK643" s="5" t="n"/>
      <c r="BL643" s="5" t="n"/>
      <c r="BM643" s="5" t="n"/>
      <c r="BN643" s="5" t="n"/>
      <c r="BO643" s="5" t="n"/>
      <c r="BP643" s="5" t="n"/>
      <c r="BQ643" s="5" t="n"/>
      <c r="BR643" s="5" t="n"/>
      <c r="BS643" s="5" t="n"/>
      <c r="BT643" s="5" t="n"/>
      <c r="BU643" s="5" t="n"/>
      <c r="BV643" s="5" t="n"/>
      <c r="BW643" s="5" t="n"/>
      <c r="BX643" s="5" t="n"/>
      <c r="BY643" s="5" t="n"/>
      <c r="BZ643" s="5" t="n"/>
      <c r="CA643" s="5" t="n"/>
      <c r="CB643" s="5" t="n"/>
      <c r="CC643" s="5" t="n"/>
      <c r="CD643" s="5" t="n"/>
      <c r="CE643" s="5" t="n"/>
      <c r="CF643" s="5" t="n"/>
    </row>
    <row r="644">
      <c r="A644" s="171" t="n">
        <v>25</v>
      </c>
      <c r="B644" s="171" t="n">
        <v>44</v>
      </c>
      <c r="C644" s="171" t="inlineStr">
        <is>
          <t>Extra Negocios NIF 6 2</t>
        </is>
      </c>
      <c r="D644" s="170" t="n">
        <v>109.8</v>
      </c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  <c r="AY644" s="5" t="n"/>
      <c r="AZ644" s="5" t="n"/>
      <c r="BA644" s="5" t="n"/>
      <c r="BB644" s="5" t="n"/>
      <c r="BC644" s="5" t="n"/>
      <c r="BD644" s="5" t="n"/>
      <c r="BE644" s="5" t="n"/>
      <c r="BF644" s="5" t="n"/>
      <c r="BG644" s="5" t="n"/>
      <c r="BH644" s="5" t="n"/>
      <c r="BI644" s="5" t="n"/>
      <c r="BJ644" s="5" t="n"/>
      <c r="BK644" s="5" t="n"/>
      <c r="BL644" s="5" t="n"/>
      <c r="BM644" s="5" t="n"/>
      <c r="BN644" s="5" t="n"/>
      <c r="BO644" s="5" t="n"/>
      <c r="BP644" s="5" t="n"/>
      <c r="BQ644" s="5" t="n"/>
      <c r="BR644" s="5" t="n"/>
      <c r="BS644" s="5" t="n"/>
      <c r="BT644" s="5" t="n"/>
      <c r="BU644" s="5" t="n"/>
      <c r="BV644" s="5" t="n"/>
      <c r="BW644" s="5" t="n"/>
      <c r="BX644" s="5" t="n"/>
      <c r="BY644" s="5" t="n"/>
      <c r="BZ644" s="5" t="n"/>
      <c r="CA644" s="5" t="n"/>
      <c r="CB644" s="5" t="n"/>
      <c r="CC644" s="5" t="n"/>
      <c r="CD644" s="5" t="n"/>
      <c r="CE644" s="5" t="n"/>
      <c r="CF644" s="5" t="n"/>
    </row>
    <row r="645">
      <c r="A645" s="171" t="n">
        <v>45</v>
      </c>
      <c r="B645" s="171" t="n">
        <v>54</v>
      </c>
      <c r="C645" s="171" t="inlineStr">
        <is>
          <t>Extra Negocios NIF 6 2</t>
        </is>
      </c>
      <c r="D645" s="170" t="n">
        <v>118.8</v>
      </c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  <c r="AY645" s="5" t="n"/>
      <c r="AZ645" s="5" t="n"/>
      <c r="BA645" s="5" t="n"/>
      <c r="BB645" s="5" t="n"/>
      <c r="BC645" s="5" t="n"/>
      <c r="BD645" s="5" t="n"/>
      <c r="BE645" s="5" t="n"/>
      <c r="BF645" s="5" t="n"/>
      <c r="BG645" s="5" t="n"/>
      <c r="BH645" s="5" t="n"/>
      <c r="BI645" s="5" t="n"/>
      <c r="BJ645" s="5" t="n"/>
      <c r="BK645" s="5" t="n"/>
      <c r="BL645" s="5" t="n"/>
      <c r="BM645" s="5" t="n"/>
      <c r="BN645" s="5" t="n"/>
      <c r="BO645" s="5" t="n"/>
      <c r="BP645" s="5" t="n"/>
      <c r="BQ645" s="5" t="n"/>
      <c r="BR645" s="5" t="n"/>
      <c r="BS645" s="5" t="n"/>
      <c r="BT645" s="5" t="n"/>
      <c r="BU645" s="5" t="n"/>
      <c r="BV645" s="5" t="n"/>
      <c r="BW645" s="5" t="n"/>
      <c r="BX645" s="5" t="n"/>
      <c r="BY645" s="5" t="n"/>
      <c r="BZ645" s="5" t="n"/>
      <c r="CA645" s="5" t="n"/>
      <c r="CB645" s="5" t="n"/>
      <c r="CC645" s="5" t="n"/>
      <c r="CD645" s="5" t="n"/>
      <c r="CE645" s="5" t="n"/>
      <c r="CF645" s="5" t="n"/>
    </row>
    <row r="646">
      <c r="A646" s="171" t="n">
        <v>55</v>
      </c>
      <c r="B646" s="171" t="n">
        <v>59</v>
      </c>
      <c r="C646" s="171" t="inlineStr">
        <is>
          <t>Extra Negocios NIF 6 2</t>
        </is>
      </c>
      <c r="D646" s="170" t="n">
        <v>182.7</v>
      </c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  <c r="AY646" s="5" t="n"/>
      <c r="AZ646" s="5" t="n"/>
      <c r="BA646" s="5" t="n"/>
      <c r="BB646" s="5" t="n"/>
      <c r="BC646" s="5" t="n"/>
      <c r="BD646" s="5" t="n"/>
      <c r="BE646" s="5" t="n"/>
      <c r="BF646" s="5" t="n"/>
      <c r="BG646" s="5" t="n"/>
      <c r="BH646" s="5" t="n"/>
      <c r="BI646" s="5" t="n"/>
      <c r="BJ646" s="5" t="n"/>
      <c r="BK646" s="5" t="n"/>
      <c r="BL646" s="5" t="n"/>
      <c r="BM646" s="5" t="n"/>
      <c r="BN646" s="5" t="n"/>
      <c r="BO646" s="5" t="n"/>
      <c r="BP646" s="5" t="n"/>
      <c r="BQ646" s="5" t="n"/>
      <c r="BR646" s="5" t="n"/>
      <c r="BS646" s="5" t="n"/>
      <c r="BT646" s="5" t="n"/>
      <c r="BU646" s="5" t="n"/>
      <c r="BV646" s="5" t="n"/>
      <c r="BW646" s="5" t="n"/>
      <c r="BX646" s="5" t="n"/>
      <c r="BY646" s="5" t="n"/>
      <c r="BZ646" s="5" t="n"/>
      <c r="CA646" s="5" t="n"/>
      <c r="CB646" s="5" t="n"/>
      <c r="CC646" s="5" t="n"/>
      <c r="CD646" s="5" t="n"/>
      <c r="CE646" s="5" t="n"/>
      <c r="CF646" s="5" t="n"/>
    </row>
    <row r="647">
      <c r="A647" s="171" t="n">
        <v>60</v>
      </c>
      <c r="B647" s="171" t="n">
        <v>64</v>
      </c>
      <c r="C647" s="171" t="inlineStr">
        <is>
          <t>Extra Negocios NIF 6 2</t>
        </is>
      </c>
      <c r="D647" s="170" t="n">
        <v>209.7</v>
      </c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  <c r="AY647" s="5" t="n"/>
      <c r="AZ647" s="5" t="n"/>
      <c r="BA647" s="5" t="n"/>
      <c r="BB647" s="5" t="n"/>
      <c r="BC647" s="5" t="n"/>
      <c r="BD647" s="5" t="n"/>
      <c r="BE647" s="5" t="n"/>
      <c r="BF647" s="5" t="n"/>
      <c r="BG647" s="5" t="n"/>
      <c r="BH647" s="5" t="n"/>
      <c r="BI647" s="5" t="n"/>
      <c r="BJ647" s="5" t="n"/>
      <c r="BK647" s="5" t="n"/>
      <c r="BL647" s="5" t="n"/>
      <c r="BM647" s="5" t="n"/>
      <c r="BN647" s="5" t="n"/>
      <c r="BO647" s="5" t="n"/>
      <c r="BP647" s="5" t="n"/>
      <c r="BQ647" s="5" t="n"/>
      <c r="BR647" s="5" t="n"/>
      <c r="BS647" s="5" t="n"/>
      <c r="BT647" s="5" t="n"/>
      <c r="BU647" s="5" t="n"/>
      <c r="BV647" s="5" t="n"/>
      <c r="BW647" s="5" t="n"/>
      <c r="BX647" s="5" t="n"/>
      <c r="BY647" s="5" t="n"/>
      <c r="BZ647" s="5" t="n"/>
      <c r="CA647" s="5" t="n"/>
      <c r="CB647" s="5" t="n"/>
      <c r="CC647" s="5" t="n"/>
      <c r="CD647" s="5" t="n"/>
      <c r="CE647" s="5" t="n"/>
      <c r="CF647" s="5" t="n"/>
    </row>
    <row r="648">
      <c r="A648" s="171" t="n">
        <v>65</v>
      </c>
      <c r="B648" s="171" t="n">
        <v>69</v>
      </c>
      <c r="C648" s="171" t="inlineStr">
        <is>
          <t>Extra Negocios NIF 6 2</t>
        </is>
      </c>
      <c r="D648" s="170" t="n">
        <v>297</v>
      </c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  <c r="AY648" s="5" t="n"/>
      <c r="AZ648" s="5" t="n"/>
      <c r="BA648" s="5" t="n"/>
      <c r="BB648" s="5" t="n"/>
      <c r="BC648" s="5" t="n"/>
      <c r="BD648" s="5" t="n"/>
      <c r="BE648" s="5" t="n"/>
      <c r="BF648" s="5" t="n"/>
      <c r="BG648" s="5" t="n"/>
      <c r="BH648" s="5" t="n"/>
      <c r="BI648" s="5" t="n"/>
      <c r="BJ648" s="5" t="n"/>
      <c r="BK648" s="5" t="n"/>
      <c r="BL648" s="5" t="n"/>
      <c r="BM648" s="5" t="n"/>
      <c r="BN648" s="5" t="n"/>
      <c r="BO648" s="5" t="n"/>
      <c r="BP648" s="5" t="n"/>
      <c r="BQ648" s="5" t="n"/>
      <c r="BR648" s="5" t="n"/>
      <c r="BS648" s="5" t="n"/>
      <c r="BT648" s="5" t="n"/>
      <c r="BU648" s="5" t="n"/>
      <c r="BV648" s="5" t="n"/>
      <c r="BW648" s="5" t="n"/>
      <c r="BX648" s="5" t="n"/>
      <c r="BY648" s="5" t="n"/>
      <c r="BZ648" s="5" t="n"/>
      <c r="CA648" s="5" t="n"/>
      <c r="CB648" s="5" t="n"/>
      <c r="CC648" s="5" t="n"/>
      <c r="CD648" s="5" t="n"/>
      <c r="CE648" s="5" t="n"/>
      <c r="CF648" s="5" t="n"/>
    </row>
    <row r="649">
      <c r="A649" s="171" t="n">
        <v>70</v>
      </c>
      <c r="B649" s="171" t="n">
        <v>120</v>
      </c>
      <c r="C649" s="171" t="inlineStr">
        <is>
          <t>Extra Negocios NIF 6 2</t>
        </is>
      </c>
      <c r="D649" s="170" t="n">
        <v>306</v>
      </c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  <c r="AY649" s="5" t="n"/>
      <c r="AZ649" s="5" t="n"/>
      <c r="BA649" s="5" t="n"/>
      <c r="BB649" s="5" t="n"/>
      <c r="BC649" s="5" t="n"/>
      <c r="BD649" s="5" t="n"/>
      <c r="BE649" s="5" t="n"/>
      <c r="BF649" s="5" t="n"/>
      <c r="BG649" s="5" t="n"/>
      <c r="BH649" s="5" t="n"/>
      <c r="BI649" s="5" t="n"/>
      <c r="BJ649" s="5" t="n"/>
      <c r="BK649" s="5" t="n"/>
      <c r="BL649" s="5" t="n"/>
      <c r="BM649" s="5" t="n"/>
      <c r="BN649" s="5" t="n"/>
      <c r="BO649" s="5" t="n"/>
      <c r="BP649" s="5" t="n"/>
      <c r="BQ649" s="5" t="n"/>
      <c r="BR649" s="5" t="n"/>
      <c r="BS649" s="5" t="n"/>
      <c r="BT649" s="5" t="n"/>
      <c r="BU649" s="5" t="n"/>
      <c r="BV649" s="5" t="n"/>
      <c r="BW649" s="5" t="n"/>
      <c r="BX649" s="5" t="n"/>
      <c r="BY649" s="5" t="n"/>
      <c r="BZ649" s="5" t="n"/>
      <c r="CA649" s="5" t="n"/>
      <c r="CB649" s="5" t="n"/>
      <c r="CC649" s="5" t="n"/>
      <c r="CD649" s="5" t="n"/>
      <c r="CE649" s="5" t="n"/>
      <c r="CF649" s="5" t="n"/>
    </row>
    <row r="650">
      <c r="A650" s="171" t="n"/>
      <c r="B650" s="171" t="n"/>
      <c r="C650" s="171" t="n"/>
      <c r="D650" s="170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  <c r="AY650" s="5" t="n"/>
      <c r="AZ650" s="5" t="n"/>
      <c r="BA650" s="5" t="n"/>
      <c r="BB650" s="5" t="n"/>
      <c r="BC650" s="5" t="n"/>
      <c r="BD650" s="5" t="n"/>
      <c r="BE650" s="5" t="n"/>
      <c r="BF650" s="5" t="n"/>
      <c r="BG650" s="5" t="n"/>
      <c r="BH650" s="5" t="n"/>
      <c r="BI650" s="5" t="n"/>
      <c r="BJ650" s="5" t="n"/>
      <c r="BK650" s="5" t="n"/>
      <c r="BL650" s="5" t="n"/>
      <c r="BM650" s="5" t="n"/>
      <c r="BN650" s="5" t="n"/>
      <c r="BO650" s="5" t="n"/>
      <c r="BP650" s="5" t="n"/>
      <c r="BQ650" s="5" t="n"/>
      <c r="BR650" s="5" t="n"/>
      <c r="BS650" s="5" t="n"/>
      <c r="BT650" s="5" t="n"/>
      <c r="BU650" s="5" t="n"/>
      <c r="BV650" s="5" t="n"/>
      <c r="BW650" s="5" t="n"/>
      <c r="BX650" s="5" t="n"/>
      <c r="BY650" s="5" t="n"/>
      <c r="BZ650" s="5" t="n"/>
      <c r="CA650" s="5" t="n"/>
      <c r="CB650" s="5" t="n"/>
      <c r="CC650" s="5" t="n"/>
      <c r="CD650" s="5" t="n"/>
      <c r="CE650" s="5" t="n"/>
      <c r="CF650" s="5" t="n"/>
    </row>
    <row r="651">
      <c r="A651" s="171" t="n"/>
      <c r="B651" s="171" t="n"/>
      <c r="C651" s="171" t="n"/>
      <c r="D651" s="170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  <c r="AY651" s="5" t="n"/>
      <c r="AZ651" s="5" t="n"/>
      <c r="BA651" s="5" t="n"/>
      <c r="BB651" s="5" t="n"/>
      <c r="BC651" s="5" t="n"/>
      <c r="BD651" s="5" t="n"/>
      <c r="BE651" s="5" t="n"/>
      <c r="BF651" s="5" t="n"/>
      <c r="BG651" s="5" t="n"/>
      <c r="BH651" s="5" t="n"/>
      <c r="BI651" s="5" t="n"/>
      <c r="BJ651" s="5" t="n"/>
      <c r="BK651" s="5" t="n"/>
      <c r="BL651" s="5" t="n"/>
      <c r="BM651" s="5" t="n"/>
      <c r="BN651" s="5" t="n"/>
      <c r="BO651" s="5" t="n"/>
      <c r="BP651" s="5" t="n"/>
      <c r="BQ651" s="5" t="n"/>
      <c r="BR651" s="5" t="n"/>
      <c r="BS651" s="5" t="n"/>
      <c r="BT651" s="5" t="n"/>
      <c r="BU651" s="5" t="n"/>
      <c r="BV651" s="5" t="n"/>
      <c r="BW651" s="5" t="n"/>
      <c r="BX651" s="5" t="n"/>
      <c r="BY651" s="5" t="n"/>
      <c r="BZ651" s="5" t="n"/>
      <c r="CA651" s="5" t="n"/>
      <c r="CB651" s="5" t="n"/>
      <c r="CC651" s="5" t="n"/>
      <c r="CD651" s="5" t="n"/>
      <c r="CE651" s="5" t="n"/>
      <c r="CF651" s="5" t="n"/>
    </row>
    <row r="652">
      <c r="A652" s="171" t="n"/>
      <c r="B652" s="171" t="n"/>
      <c r="C652" s="171" t="n"/>
      <c r="D652" s="170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  <c r="AY652" s="5" t="n"/>
      <c r="AZ652" s="5" t="n"/>
      <c r="BA652" s="5" t="n"/>
      <c r="BB652" s="5" t="n"/>
      <c r="BC652" s="5" t="n"/>
      <c r="BD652" s="5" t="n"/>
      <c r="BE652" s="5" t="n"/>
      <c r="BF652" s="5" t="n"/>
      <c r="BG652" s="5" t="n"/>
      <c r="BH652" s="5" t="n"/>
      <c r="BI652" s="5" t="n"/>
      <c r="BJ652" s="5" t="n"/>
      <c r="BK652" s="5" t="n"/>
      <c r="BL652" s="5" t="n"/>
      <c r="BM652" s="5" t="n"/>
      <c r="BN652" s="5" t="n"/>
      <c r="BO652" s="5" t="n"/>
      <c r="BP652" s="5" t="n"/>
      <c r="BQ652" s="5" t="n"/>
      <c r="BR652" s="5" t="n"/>
      <c r="BS652" s="5" t="n"/>
      <c r="BT652" s="5" t="n"/>
      <c r="BU652" s="5" t="n"/>
      <c r="BV652" s="5" t="n"/>
      <c r="BW652" s="5" t="n"/>
      <c r="BX652" s="5" t="n"/>
      <c r="BY652" s="5" t="n"/>
      <c r="BZ652" s="5" t="n"/>
      <c r="CA652" s="5" t="n"/>
      <c r="CB652" s="5" t="n"/>
      <c r="CC652" s="5" t="n"/>
      <c r="CD652" s="5" t="n"/>
      <c r="CE652" s="5" t="n"/>
      <c r="CF652" s="5" t="n"/>
    </row>
    <row r="653">
      <c r="A653" s="171" t="n"/>
      <c r="B653" s="171" t="n"/>
      <c r="C653" s="171" t="n"/>
      <c r="D653" s="170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  <c r="AY653" s="5" t="n"/>
      <c r="AZ653" s="5" t="n"/>
      <c r="BA653" s="5" t="n"/>
      <c r="BB653" s="5" t="n"/>
      <c r="BC653" s="5" t="n"/>
      <c r="BD653" s="5" t="n"/>
      <c r="BE653" s="5" t="n"/>
      <c r="BF653" s="5" t="n"/>
      <c r="BG653" s="5" t="n"/>
      <c r="BH653" s="5" t="n"/>
      <c r="BI653" s="5" t="n"/>
      <c r="BJ653" s="5" t="n"/>
      <c r="BK653" s="5" t="n"/>
      <c r="BL653" s="5" t="n"/>
      <c r="BM653" s="5" t="n"/>
      <c r="BN653" s="5" t="n"/>
      <c r="BO653" s="5" t="n"/>
      <c r="BP653" s="5" t="n"/>
      <c r="BQ653" s="5" t="n"/>
      <c r="BR653" s="5" t="n"/>
      <c r="BS653" s="5" t="n"/>
      <c r="BT653" s="5" t="n"/>
      <c r="BU653" s="5" t="n"/>
      <c r="BV653" s="5" t="n"/>
      <c r="BW653" s="5" t="n"/>
      <c r="BX653" s="5" t="n"/>
      <c r="BY653" s="5" t="n"/>
      <c r="BZ653" s="5" t="n"/>
      <c r="CA653" s="5" t="n"/>
      <c r="CB653" s="5" t="n"/>
      <c r="CC653" s="5" t="n"/>
      <c r="CD653" s="5" t="n"/>
      <c r="CE653" s="5" t="n"/>
      <c r="CF653" s="5" t="n"/>
    </row>
    <row r="654">
      <c r="A654" s="171" t="n"/>
      <c r="B654" s="171" t="n"/>
      <c r="C654" s="171" t="n"/>
      <c r="D654" s="170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  <c r="AY654" s="5" t="n"/>
      <c r="AZ654" s="5" t="n"/>
      <c r="BA654" s="5" t="n"/>
      <c r="BB654" s="5" t="n"/>
      <c r="BC654" s="5" t="n"/>
      <c r="BD654" s="5" t="n"/>
      <c r="BE654" s="5" t="n"/>
      <c r="BF654" s="5" t="n"/>
      <c r="BG654" s="5" t="n"/>
      <c r="BH654" s="5" t="n"/>
      <c r="BI654" s="5" t="n"/>
      <c r="BJ654" s="5" t="n"/>
      <c r="BK654" s="5" t="n"/>
      <c r="BL654" s="5" t="n"/>
      <c r="BM654" s="5" t="n"/>
      <c r="BN654" s="5" t="n"/>
      <c r="BO654" s="5" t="n"/>
      <c r="BP654" s="5" t="n"/>
      <c r="BQ654" s="5" t="n"/>
      <c r="BR654" s="5" t="n"/>
      <c r="BS654" s="5" t="n"/>
      <c r="BT654" s="5" t="n"/>
      <c r="BU654" s="5" t="n"/>
      <c r="BV654" s="5" t="n"/>
      <c r="BW654" s="5" t="n"/>
      <c r="BX654" s="5" t="n"/>
      <c r="BY654" s="5" t="n"/>
      <c r="BZ654" s="5" t="n"/>
      <c r="CA654" s="5" t="n"/>
      <c r="CB654" s="5" t="n"/>
      <c r="CC654" s="5" t="n"/>
      <c r="CD654" s="5" t="n"/>
      <c r="CE654" s="5" t="n"/>
      <c r="CF654" s="5" t="n"/>
    </row>
    <row r="655">
      <c r="A655" s="171" t="n"/>
      <c r="B655" s="171" t="n"/>
      <c r="C655" s="171" t="n"/>
      <c r="D655" s="170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  <c r="AY655" s="5" t="n"/>
      <c r="AZ655" s="5" t="n"/>
      <c r="BA655" s="5" t="n"/>
      <c r="BB655" s="5" t="n"/>
      <c r="BC655" s="5" t="n"/>
      <c r="BD655" s="5" t="n"/>
      <c r="BE655" s="5" t="n"/>
      <c r="BF655" s="5" t="n"/>
      <c r="BG655" s="5" t="n"/>
      <c r="BH655" s="5" t="n"/>
      <c r="BI655" s="5" t="n"/>
      <c r="BJ655" s="5" t="n"/>
      <c r="BK655" s="5" t="n"/>
      <c r="BL655" s="5" t="n"/>
      <c r="BM655" s="5" t="n"/>
      <c r="BN655" s="5" t="n"/>
      <c r="BO655" s="5" t="n"/>
      <c r="BP655" s="5" t="n"/>
      <c r="BQ655" s="5" t="n"/>
      <c r="BR655" s="5" t="n"/>
      <c r="BS655" s="5" t="n"/>
      <c r="BT655" s="5" t="n"/>
      <c r="BU655" s="5" t="n"/>
      <c r="BV655" s="5" t="n"/>
      <c r="BW655" s="5" t="n"/>
      <c r="BX655" s="5" t="n"/>
      <c r="BY655" s="5" t="n"/>
      <c r="BZ655" s="5" t="n"/>
      <c r="CA655" s="5" t="n"/>
      <c r="CB655" s="5" t="n"/>
      <c r="CC655" s="5" t="n"/>
      <c r="CD655" s="5" t="n"/>
      <c r="CE655" s="5" t="n"/>
      <c r="CF655" s="5" t="n"/>
    </row>
    <row r="656">
      <c r="A656" s="171" t="n"/>
      <c r="B656" s="171" t="n"/>
      <c r="C656" s="171" t="n"/>
      <c r="D656" s="170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  <c r="AY656" s="5" t="n"/>
      <c r="AZ656" s="5" t="n"/>
      <c r="BA656" s="5" t="n"/>
      <c r="BB656" s="5" t="n"/>
      <c r="BC656" s="5" t="n"/>
      <c r="BD656" s="5" t="n"/>
      <c r="BE656" s="5" t="n"/>
      <c r="BF656" s="5" t="n"/>
      <c r="BG656" s="5" t="n"/>
      <c r="BH656" s="5" t="n"/>
      <c r="BI656" s="5" t="n"/>
      <c r="BJ656" s="5" t="n"/>
      <c r="BK656" s="5" t="n"/>
      <c r="BL656" s="5" t="n"/>
      <c r="BM656" s="5" t="n"/>
      <c r="BN656" s="5" t="n"/>
      <c r="BO656" s="5" t="n"/>
      <c r="BP656" s="5" t="n"/>
      <c r="BQ656" s="5" t="n"/>
      <c r="BR656" s="5" t="n"/>
      <c r="BS656" s="5" t="n"/>
      <c r="BT656" s="5" t="n"/>
      <c r="BU656" s="5" t="n"/>
      <c r="BV656" s="5" t="n"/>
      <c r="BW656" s="5" t="n"/>
      <c r="BX656" s="5" t="n"/>
      <c r="BY656" s="5" t="n"/>
      <c r="BZ656" s="5" t="n"/>
      <c r="CA656" s="5" t="n"/>
      <c r="CB656" s="5" t="n"/>
      <c r="CC656" s="5" t="n"/>
      <c r="CD656" s="5" t="n"/>
      <c r="CE656" s="5" t="n"/>
      <c r="CF656" s="5" t="n"/>
    </row>
    <row r="657">
      <c r="A657" s="171" t="n"/>
      <c r="B657" s="171" t="n"/>
      <c r="C657" s="171" t="n"/>
      <c r="D657" s="170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  <c r="AY657" s="5" t="n"/>
      <c r="AZ657" s="5" t="n"/>
      <c r="BA657" s="5" t="n"/>
      <c r="BB657" s="5" t="n"/>
      <c r="BC657" s="5" t="n"/>
      <c r="BD657" s="5" t="n"/>
      <c r="BE657" s="5" t="n"/>
      <c r="BF657" s="5" t="n"/>
      <c r="BG657" s="5" t="n"/>
      <c r="BH657" s="5" t="n"/>
      <c r="BI657" s="5" t="n"/>
      <c r="BJ657" s="5" t="n"/>
      <c r="BK657" s="5" t="n"/>
      <c r="BL657" s="5" t="n"/>
      <c r="BM657" s="5" t="n"/>
      <c r="BN657" s="5" t="n"/>
      <c r="BO657" s="5" t="n"/>
      <c r="BP657" s="5" t="n"/>
      <c r="BQ657" s="5" t="n"/>
      <c r="BR657" s="5" t="n"/>
      <c r="BS657" s="5" t="n"/>
      <c r="BT657" s="5" t="n"/>
      <c r="BU657" s="5" t="n"/>
      <c r="BV657" s="5" t="n"/>
      <c r="BW657" s="5" t="n"/>
      <c r="BX657" s="5" t="n"/>
      <c r="BY657" s="5" t="n"/>
      <c r="BZ657" s="5" t="n"/>
      <c r="CA657" s="5" t="n"/>
      <c r="CB657" s="5" t="n"/>
      <c r="CC657" s="5" t="n"/>
      <c r="CD657" s="5" t="n"/>
      <c r="CE657" s="5" t="n"/>
      <c r="CF657" s="5" t="n"/>
    </row>
    <row r="658">
      <c r="A658" s="171" t="n"/>
      <c r="B658" s="171" t="n"/>
      <c r="C658" s="171" t="n"/>
      <c r="D658" s="170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  <c r="AY658" s="5" t="n"/>
      <c r="AZ658" s="5" t="n"/>
      <c r="BA658" s="5" t="n"/>
      <c r="BB658" s="5" t="n"/>
      <c r="BC658" s="5" t="n"/>
      <c r="BD658" s="5" t="n"/>
      <c r="BE658" s="5" t="n"/>
      <c r="BF658" s="5" t="n"/>
      <c r="BG658" s="5" t="n"/>
      <c r="BH658" s="5" t="n"/>
      <c r="BI658" s="5" t="n"/>
      <c r="BJ658" s="5" t="n"/>
      <c r="BK658" s="5" t="n"/>
      <c r="BL658" s="5" t="n"/>
      <c r="BM658" s="5" t="n"/>
      <c r="BN658" s="5" t="n"/>
      <c r="BO658" s="5" t="n"/>
      <c r="BP658" s="5" t="n"/>
      <c r="BQ658" s="5" t="n"/>
      <c r="BR658" s="5" t="n"/>
      <c r="BS658" s="5" t="n"/>
      <c r="BT658" s="5" t="n"/>
      <c r="BU658" s="5" t="n"/>
      <c r="BV658" s="5" t="n"/>
      <c r="BW658" s="5" t="n"/>
      <c r="BX658" s="5" t="n"/>
      <c r="BY658" s="5" t="n"/>
      <c r="BZ658" s="5" t="n"/>
      <c r="CA658" s="5" t="n"/>
      <c r="CB658" s="5" t="n"/>
      <c r="CC658" s="5" t="n"/>
      <c r="CD658" s="5" t="n"/>
      <c r="CE658" s="5" t="n"/>
      <c r="CF658" s="5" t="n"/>
    </row>
    <row r="659">
      <c r="A659" s="171" t="n"/>
      <c r="B659" s="171" t="n"/>
      <c r="C659" s="171" t="n"/>
      <c r="D659" s="170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  <c r="AY659" s="5" t="n"/>
      <c r="AZ659" s="5" t="n"/>
      <c r="BA659" s="5" t="n"/>
      <c r="BB659" s="5" t="n"/>
      <c r="BC659" s="5" t="n"/>
      <c r="BD659" s="5" t="n"/>
      <c r="BE659" s="5" t="n"/>
      <c r="BF659" s="5" t="n"/>
      <c r="BG659" s="5" t="n"/>
      <c r="BH659" s="5" t="n"/>
      <c r="BI659" s="5" t="n"/>
      <c r="BJ659" s="5" t="n"/>
      <c r="BK659" s="5" t="n"/>
      <c r="BL659" s="5" t="n"/>
      <c r="BM659" s="5" t="n"/>
      <c r="BN659" s="5" t="n"/>
      <c r="BO659" s="5" t="n"/>
      <c r="BP659" s="5" t="n"/>
      <c r="BQ659" s="5" t="n"/>
      <c r="BR659" s="5" t="n"/>
      <c r="BS659" s="5" t="n"/>
      <c r="BT659" s="5" t="n"/>
      <c r="BU659" s="5" t="n"/>
      <c r="BV659" s="5" t="n"/>
      <c r="BW659" s="5" t="n"/>
      <c r="BX659" s="5" t="n"/>
      <c r="BY659" s="5" t="n"/>
      <c r="BZ659" s="5" t="n"/>
      <c r="CA659" s="5" t="n"/>
      <c r="CB659" s="5" t="n"/>
      <c r="CC659" s="5" t="n"/>
      <c r="CD659" s="5" t="n"/>
      <c r="CE659" s="5" t="n"/>
      <c r="CF659" s="5" t="n"/>
    </row>
    <row r="660">
      <c r="A660" s="171" t="n"/>
      <c r="B660" s="171" t="n"/>
      <c r="C660" s="171" t="n"/>
      <c r="D660" s="170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  <c r="AY660" s="5" t="n"/>
      <c r="AZ660" s="5" t="n"/>
      <c r="BA660" s="5" t="n"/>
      <c r="BB660" s="5" t="n"/>
      <c r="BC660" s="5" t="n"/>
      <c r="BD660" s="5" t="n"/>
      <c r="BE660" s="5" t="n"/>
      <c r="BF660" s="5" t="n"/>
      <c r="BG660" s="5" t="n"/>
      <c r="BH660" s="5" t="n"/>
      <c r="BI660" s="5" t="n"/>
      <c r="BJ660" s="5" t="n"/>
      <c r="BK660" s="5" t="n"/>
      <c r="BL660" s="5" t="n"/>
      <c r="BM660" s="5" t="n"/>
      <c r="BN660" s="5" t="n"/>
      <c r="BO660" s="5" t="n"/>
      <c r="BP660" s="5" t="n"/>
      <c r="BQ660" s="5" t="n"/>
      <c r="BR660" s="5" t="n"/>
      <c r="BS660" s="5" t="n"/>
      <c r="BT660" s="5" t="n"/>
      <c r="BU660" s="5" t="n"/>
      <c r="BV660" s="5" t="n"/>
      <c r="BW660" s="5" t="n"/>
      <c r="BX660" s="5" t="n"/>
      <c r="BY660" s="5" t="n"/>
      <c r="BZ660" s="5" t="n"/>
      <c r="CA660" s="5" t="n"/>
      <c r="CB660" s="5" t="n"/>
      <c r="CC660" s="5" t="n"/>
      <c r="CD660" s="5" t="n"/>
      <c r="CE660" s="5" t="n"/>
      <c r="CF660" s="5" t="n"/>
    </row>
    <row r="661">
      <c r="A661" s="171" t="n"/>
      <c r="B661" s="171" t="n"/>
      <c r="C661" s="171" t="n"/>
      <c r="D661" s="170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  <c r="AY661" s="5" t="n"/>
      <c r="AZ661" s="5" t="n"/>
      <c r="BA661" s="5" t="n"/>
      <c r="BB661" s="5" t="n"/>
      <c r="BC661" s="5" t="n"/>
      <c r="BD661" s="5" t="n"/>
      <c r="BE661" s="5" t="n"/>
      <c r="BF661" s="5" t="n"/>
      <c r="BG661" s="5" t="n"/>
      <c r="BH661" s="5" t="n"/>
      <c r="BI661" s="5" t="n"/>
      <c r="BJ661" s="5" t="n"/>
      <c r="BK661" s="5" t="n"/>
      <c r="BL661" s="5" t="n"/>
      <c r="BM661" s="5" t="n"/>
      <c r="BN661" s="5" t="n"/>
      <c r="BO661" s="5" t="n"/>
      <c r="BP661" s="5" t="n"/>
      <c r="BQ661" s="5" t="n"/>
      <c r="BR661" s="5" t="n"/>
      <c r="BS661" s="5" t="n"/>
      <c r="BT661" s="5" t="n"/>
      <c r="BU661" s="5" t="n"/>
      <c r="BV661" s="5" t="n"/>
      <c r="BW661" s="5" t="n"/>
      <c r="BX661" s="5" t="n"/>
      <c r="BY661" s="5" t="n"/>
      <c r="BZ661" s="5" t="n"/>
      <c r="CA661" s="5" t="n"/>
      <c r="CB661" s="5" t="n"/>
      <c r="CC661" s="5" t="n"/>
      <c r="CD661" s="5" t="n"/>
      <c r="CE661" s="5" t="n"/>
      <c r="CF661" s="5" t="n"/>
    </row>
    <row r="662">
      <c r="A662" s="171" t="n"/>
      <c r="B662" s="171" t="n"/>
      <c r="C662" s="171" t="n"/>
      <c r="D662" s="170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  <c r="AY662" s="5" t="n"/>
      <c r="AZ662" s="5" t="n"/>
      <c r="BA662" s="5" t="n"/>
      <c r="BB662" s="5" t="n"/>
      <c r="BC662" s="5" t="n"/>
      <c r="BD662" s="5" t="n"/>
      <c r="BE662" s="5" t="n"/>
      <c r="BF662" s="5" t="n"/>
      <c r="BG662" s="5" t="n"/>
      <c r="BH662" s="5" t="n"/>
      <c r="BI662" s="5" t="n"/>
      <c r="BJ662" s="5" t="n"/>
      <c r="BK662" s="5" t="n"/>
      <c r="BL662" s="5" t="n"/>
      <c r="BM662" s="5" t="n"/>
      <c r="BN662" s="5" t="n"/>
      <c r="BO662" s="5" t="n"/>
      <c r="BP662" s="5" t="n"/>
      <c r="BQ662" s="5" t="n"/>
      <c r="BR662" s="5" t="n"/>
      <c r="BS662" s="5" t="n"/>
      <c r="BT662" s="5" t="n"/>
      <c r="BU662" s="5" t="n"/>
      <c r="BV662" s="5" t="n"/>
      <c r="BW662" s="5" t="n"/>
      <c r="BX662" s="5" t="n"/>
      <c r="BY662" s="5" t="n"/>
      <c r="BZ662" s="5" t="n"/>
      <c r="CA662" s="5" t="n"/>
      <c r="CB662" s="5" t="n"/>
      <c r="CC662" s="5" t="n"/>
      <c r="CD662" s="5" t="n"/>
      <c r="CE662" s="5" t="n"/>
      <c r="CF662" s="5" t="n"/>
    </row>
    <row r="663">
      <c r="A663" s="171" t="n"/>
      <c r="B663" s="171" t="n"/>
      <c r="C663" s="171" t="n"/>
      <c r="D663" s="170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  <c r="AY663" s="5" t="n"/>
      <c r="AZ663" s="5" t="n"/>
      <c r="BA663" s="5" t="n"/>
      <c r="BB663" s="5" t="n"/>
      <c r="BC663" s="5" t="n"/>
      <c r="BD663" s="5" t="n"/>
      <c r="BE663" s="5" t="n"/>
      <c r="BF663" s="5" t="n"/>
      <c r="BG663" s="5" t="n"/>
      <c r="BH663" s="5" t="n"/>
      <c r="BI663" s="5" t="n"/>
      <c r="BJ663" s="5" t="n"/>
      <c r="BK663" s="5" t="n"/>
      <c r="BL663" s="5" t="n"/>
      <c r="BM663" s="5" t="n"/>
      <c r="BN663" s="5" t="n"/>
      <c r="BO663" s="5" t="n"/>
      <c r="BP663" s="5" t="n"/>
      <c r="BQ663" s="5" t="n"/>
      <c r="BR663" s="5" t="n"/>
      <c r="BS663" s="5" t="n"/>
      <c r="BT663" s="5" t="n"/>
      <c r="BU663" s="5" t="n"/>
      <c r="BV663" s="5" t="n"/>
      <c r="BW663" s="5" t="n"/>
      <c r="BX663" s="5" t="n"/>
      <c r="BY663" s="5" t="n"/>
      <c r="BZ663" s="5" t="n"/>
      <c r="CA663" s="5" t="n"/>
      <c r="CB663" s="5" t="n"/>
      <c r="CC663" s="5" t="n"/>
      <c r="CD663" s="5" t="n"/>
      <c r="CE663" s="5" t="n"/>
      <c r="CF663" s="5" t="n"/>
    </row>
    <row r="664">
      <c r="A664" s="171" t="n"/>
      <c r="B664" s="171" t="n"/>
      <c r="C664" s="171" t="n"/>
      <c r="D664" s="170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  <c r="AY664" s="5" t="n"/>
      <c r="AZ664" s="5" t="n"/>
      <c r="BA664" s="5" t="n"/>
      <c r="BB664" s="5" t="n"/>
      <c r="BC664" s="5" t="n"/>
      <c r="BD664" s="5" t="n"/>
      <c r="BE664" s="5" t="n"/>
      <c r="BF664" s="5" t="n"/>
      <c r="BG664" s="5" t="n"/>
      <c r="BH664" s="5" t="n"/>
      <c r="BI664" s="5" t="n"/>
      <c r="BJ664" s="5" t="n"/>
      <c r="BK664" s="5" t="n"/>
      <c r="BL664" s="5" t="n"/>
      <c r="BM664" s="5" t="n"/>
      <c r="BN664" s="5" t="n"/>
      <c r="BO664" s="5" t="n"/>
      <c r="BP664" s="5" t="n"/>
      <c r="BQ664" s="5" t="n"/>
      <c r="BR664" s="5" t="n"/>
      <c r="BS664" s="5" t="n"/>
      <c r="BT664" s="5" t="n"/>
      <c r="BU664" s="5" t="n"/>
      <c r="BV664" s="5" t="n"/>
      <c r="BW664" s="5" t="n"/>
      <c r="BX664" s="5" t="n"/>
      <c r="BY664" s="5" t="n"/>
      <c r="BZ664" s="5" t="n"/>
      <c r="CA664" s="5" t="n"/>
      <c r="CB664" s="5" t="n"/>
      <c r="CC664" s="5" t="n"/>
      <c r="CD664" s="5" t="n"/>
      <c r="CE664" s="5" t="n"/>
      <c r="CF664" s="5" t="n"/>
    </row>
    <row r="665">
      <c r="A665" s="171" t="n"/>
      <c r="B665" s="171" t="n"/>
      <c r="C665" s="171" t="n"/>
      <c r="D665" s="170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  <c r="AY665" s="5" t="n"/>
      <c r="AZ665" s="5" t="n"/>
      <c r="BA665" s="5" t="n"/>
      <c r="BB665" s="5" t="n"/>
      <c r="BC665" s="5" t="n"/>
      <c r="BD665" s="5" t="n"/>
      <c r="BE665" s="5" t="n"/>
      <c r="BF665" s="5" t="n"/>
      <c r="BG665" s="5" t="n"/>
      <c r="BH665" s="5" t="n"/>
      <c r="BI665" s="5" t="n"/>
      <c r="BJ665" s="5" t="n"/>
      <c r="BK665" s="5" t="n"/>
      <c r="BL665" s="5" t="n"/>
      <c r="BM665" s="5" t="n"/>
      <c r="BN665" s="5" t="n"/>
      <c r="BO665" s="5" t="n"/>
      <c r="BP665" s="5" t="n"/>
      <c r="BQ665" s="5" t="n"/>
      <c r="BR665" s="5" t="n"/>
      <c r="BS665" s="5" t="n"/>
      <c r="BT665" s="5" t="n"/>
      <c r="BU665" s="5" t="n"/>
      <c r="BV665" s="5" t="n"/>
      <c r="BW665" s="5" t="n"/>
      <c r="BX665" s="5" t="n"/>
      <c r="BY665" s="5" t="n"/>
      <c r="BZ665" s="5" t="n"/>
      <c r="CA665" s="5" t="n"/>
      <c r="CB665" s="5" t="n"/>
      <c r="CC665" s="5" t="n"/>
      <c r="CD665" s="5" t="n"/>
      <c r="CE665" s="5" t="n"/>
      <c r="CF665" s="5" t="n"/>
    </row>
    <row r="666">
      <c r="A666" s="171" t="n"/>
      <c r="B666" s="171" t="n"/>
      <c r="C666" s="171" t="n"/>
      <c r="D666" s="170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  <c r="AY666" s="5" t="n"/>
      <c r="AZ666" s="5" t="n"/>
      <c r="BA666" s="5" t="n"/>
      <c r="BB666" s="5" t="n"/>
      <c r="BC666" s="5" t="n"/>
      <c r="BD666" s="5" t="n"/>
      <c r="BE666" s="5" t="n"/>
      <c r="BF666" s="5" t="n"/>
      <c r="BG666" s="5" t="n"/>
      <c r="BH666" s="5" t="n"/>
      <c r="BI666" s="5" t="n"/>
      <c r="BJ666" s="5" t="n"/>
      <c r="BK666" s="5" t="n"/>
      <c r="BL666" s="5" t="n"/>
      <c r="BM666" s="5" t="n"/>
      <c r="BN666" s="5" t="n"/>
      <c r="BO666" s="5" t="n"/>
      <c r="BP666" s="5" t="n"/>
      <c r="BQ666" s="5" t="n"/>
      <c r="BR666" s="5" t="n"/>
      <c r="BS666" s="5" t="n"/>
      <c r="BT666" s="5" t="n"/>
      <c r="BU666" s="5" t="n"/>
      <c r="BV666" s="5" t="n"/>
      <c r="BW666" s="5" t="n"/>
      <c r="BX666" s="5" t="n"/>
      <c r="BY666" s="5" t="n"/>
      <c r="BZ666" s="5" t="n"/>
      <c r="CA666" s="5" t="n"/>
      <c r="CB666" s="5" t="n"/>
      <c r="CC666" s="5" t="n"/>
      <c r="CD666" s="5" t="n"/>
      <c r="CE666" s="5" t="n"/>
      <c r="CF666" s="5" t="n"/>
    </row>
    <row r="667">
      <c r="A667" s="171" t="n"/>
      <c r="B667" s="171" t="n"/>
      <c r="C667" s="171" t="n"/>
      <c r="D667" s="170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  <c r="AY667" s="5" t="n"/>
      <c r="AZ667" s="5" t="n"/>
      <c r="BA667" s="5" t="n"/>
      <c r="BB667" s="5" t="n"/>
      <c r="BC667" s="5" t="n"/>
      <c r="BD667" s="5" t="n"/>
      <c r="BE667" s="5" t="n"/>
      <c r="BF667" s="5" t="n"/>
      <c r="BG667" s="5" t="n"/>
      <c r="BH667" s="5" t="n"/>
      <c r="BI667" s="5" t="n"/>
      <c r="BJ667" s="5" t="n"/>
      <c r="BK667" s="5" t="n"/>
      <c r="BL667" s="5" t="n"/>
      <c r="BM667" s="5" t="n"/>
      <c r="BN667" s="5" t="n"/>
      <c r="BO667" s="5" t="n"/>
      <c r="BP667" s="5" t="n"/>
      <c r="BQ667" s="5" t="n"/>
      <c r="BR667" s="5" t="n"/>
      <c r="BS667" s="5" t="n"/>
      <c r="BT667" s="5" t="n"/>
      <c r="BU667" s="5" t="n"/>
      <c r="BV667" s="5" t="n"/>
      <c r="BW667" s="5" t="n"/>
      <c r="BX667" s="5" t="n"/>
      <c r="BY667" s="5" t="n"/>
      <c r="BZ667" s="5" t="n"/>
      <c r="CA667" s="5" t="n"/>
      <c r="CB667" s="5" t="n"/>
      <c r="CC667" s="5" t="n"/>
      <c r="CD667" s="5" t="n"/>
      <c r="CE667" s="5" t="n"/>
      <c r="CF667" s="5" t="n"/>
    </row>
    <row r="668">
      <c r="A668" s="171" t="n"/>
      <c r="B668" s="171" t="n"/>
      <c r="C668" s="171" t="n"/>
      <c r="D668" s="170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  <c r="AY668" s="5" t="n"/>
      <c r="AZ668" s="5" t="n"/>
      <c r="BA668" s="5" t="n"/>
      <c r="BB668" s="5" t="n"/>
      <c r="BC668" s="5" t="n"/>
      <c r="BD668" s="5" t="n"/>
      <c r="BE668" s="5" t="n"/>
      <c r="BF668" s="5" t="n"/>
      <c r="BG668" s="5" t="n"/>
      <c r="BH668" s="5" t="n"/>
      <c r="BI668" s="5" t="n"/>
      <c r="BJ668" s="5" t="n"/>
      <c r="BK668" s="5" t="n"/>
      <c r="BL668" s="5" t="n"/>
      <c r="BM668" s="5" t="n"/>
      <c r="BN668" s="5" t="n"/>
      <c r="BO668" s="5" t="n"/>
      <c r="BP668" s="5" t="n"/>
      <c r="BQ668" s="5" t="n"/>
      <c r="BR668" s="5" t="n"/>
      <c r="BS668" s="5" t="n"/>
      <c r="BT668" s="5" t="n"/>
      <c r="BU668" s="5" t="n"/>
      <c r="BV668" s="5" t="n"/>
      <c r="BW668" s="5" t="n"/>
      <c r="BX668" s="5" t="n"/>
      <c r="BY668" s="5" t="n"/>
      <c r="BZ668" s="5" t="n"/>
      <c r="CA668" s="5" t="n"/>
      <c r="CB668" s="5" t="n"/>
      <c r="CC668" s="5" t="n"/>
      <c r="CD668" s="5" t="n"/>
      <c r="CE668" s="5" t="n"/>
      <c r="CF668" s="5" t="n"/>
    </row>
    <row r="669">
      <c r="A669" s="171" t="n"/>
      <c r="B669" s="171" t="n"/>
      <c r="C669" s="171" t="n"/>
      <c r="D669" s="170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  <c r="AY669" s="5" t="n"/>
      <c r="AZ669" s="5" t="n"/>
      <c r="BA669" s="5" t="n"/>
      <c r="BB669" s="5" t="n"/>
      <c r="BC669" s="5" t="n"/>
      <c r="BD669" s="5" t="n"/>
      <c r="BE669" s="5" t="n"/>
      <c r="BF669" s="5" t="n"/>
      <c r="BG669" s="5" t="n"/>
      <c r="BH669" s="5" t="n"/>
      <c r="BI669" s="5" t="n"/>
      <c r="BJ669" s="5" t="n"/>
      <c r="BK669" s="5" t="n"/>
      <c r="BL669" s="5" t="n"/>
      <c r="BM669" s="5" t="n"/>
      <c r="BN669" s="5" t="n"/>
      <c r="BO669" s="5" t="n"/>
      <c r="BP669" s="5" t="n"/>
      <c r="BQ669" s="5" t="n"/>
      <c r="BR669" s="5" t="n"/>
      <c r="BS669" s="5" t="n"/>
      <c r="BT669" s="5" t="n"/>
      <c r="BU669" s="5" t="n"/>
      <c r="BV669" s="5" t="n"/>
      <c r="BW669" s="5" t="n"/>
      <c r="BX669" s="5" t="n"/>
      <c r="BY669" s="5" t="n"/>
      <c r="BZ669" s="5" t="n"/>
      <c r="CA669" s="5" t="n"/>
      <c r="CB669" s="5" t="n"/>
      <c r="CC669" s="5" t="n"/>
      <c r="CD669" s="5" t="n"/>
      <c r="CE669" s="5" t="n"/>
      <c r="CF669" s="5" t="n"/>
    </row>
    <row r="670">
      <c r="A670" s="171" t="n"/>
      <c r="B670" s="171" t="n"/>
      <c r="C670" s="171" t="n"/>
      <c r="D670" s="170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  <c r="AY670" s="5" t="n"/>
      <c r="AZ670" s="5" t="n"/>
      <c r="BA670" s="5" t="n"/>
      <c r="BB670" s="5" t="n"/>
      <c r="BC670" s="5" t="n"/>
      <c r="BD670" s="5" t="n"/>
      <c r="BE670" s="5" t="n"/>
      <c r="BF670" s="5" t="n"/>
      <c r="BG670" s="5" t="n"/>
      <c r="BH670" s="5" t="n"/>
      <c r="BI670" s="5" t="n"/>
      <c r="BJ670" s="5" t="n"/>
      <c r="BK670" s="5" t="n"/>
      <c r="BL670" s="5" t="n"/>
      <c r="BM670" s="5" t="n"/>
      <c r="BN670" s="5" t="n"/>
      <c r="BO670" s="5" t="n"/>
      <c r="BP670" s="5" t="n"/>
      <c r="BQ670" s="5" t="n"/>
      <c r="BR670" s="5" t="n"/>
      <c r="BS670" s="5" t="n"/>
      <c r="BT670" s="5" t="n"/>
      <c r="BU670" s="5" t="n"/>
      <c r="BV670" s="5" t="n"/>
      <c r="BW670" s="5" t="n"/>
      <c r="BX670" s="5" t="n"/>
      <c r="BY670" s="5" t="n"/>
      <c r="BZ670" s="5" t="n"/>
      <c r="CA670" s="5" t="n"/>
      <c r="CB670" s="5" t="n"/>
      <c r="CC670" s="5" t="n"/>
      <c r="CD670" s="5" t="n"/>
      <c r="CE670" s="5" t="n"/>
      <c r="CF670" s="5" t="n"/>
    </row>
    <row r="671">
      <c r="A671" s="171" t="n"/>
      <c r="B671" s="171" t="n"/>
      <c r="C671" s="171" t="n"/>
      <c r="D671" s="170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  <c r="AY671" s="5" t="n"/>
      <c r="AZ671" s="5" t="n"/>
      <c r="BA671" s="5" t="n"/>
      <c r="BB671" s="5" t="n"/>
      <c r="BC671" s="5" t="n"/>
      <c r="BD671" s="5" t="n"/>
      <c r="BE671" s="5" t="n"/>
      <c r="BF671" s="5" t="n"/>
      <c r="BG671" s="5" t="n"/>
      <c r="BH671" s="5" t="n"/>
      <c r="BI671" s="5" t="n"/>
      <c r="BJ671" s="5" t="n"/>
      <c r="BK671" s="5" t="n"/>
      <c r="BL671" s="5" t="n"/>
      <c r="BM671" s="5" t="n"/>
      <c r="BN671" s="5" t="n"/>
      <c r="BO671" s="5" t="n"/>
      <c r="BP671" s="5" t="n"/>
      <c r="BQ671" s="5" t="n"/>
      <c r="BR671" s="5" t="n"/>
      <c r="BS671" s="5" t="n"/>
      <c r="BT671" s="5" t="n"/>
      <c r="BU671" s="5" t="n"/>
      <c r="BV671" s="5" t="n"/>
      <c r="BW671" s="5" t="n"/>
      <c r="BX671" s="5" t="n"/>
      <c r="BY671" s="5" t="n"/>
      <c r="BZ671" s="5" t="n"/>
      <c r="CA671" s="5" t="n"/>
      <c r="CB671" s="5" t="n"/>
      <c r="CC671" s="5" t="n"/>
      <c r="CD671" s="5" t="n"/>
      <c r="CE671" s="5" t="n"/>
      <c r="CF671" s="5" t="n"/>
    </row>
    <row r="672">
      <c r="A672" s="171" t="n"/>
      <c r="B672" s="171" t="n"/>
      <c r="C672" s="171" t="n"/>
      <c r="D672" s="170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  <c r="AY672" s="5" t="n"/>
      <c r="AZ672" s="5" t="n"/>
      <c r="BA672" s="5" t="n"/>
      <c r="BB672" s="5" t="n"/>
      <c r="BC672" s="5" t="n"/>
      <c r="BD672" s="5" t="n"/>
      <c r="BE672" s="5" t="n"/>
      <c r="BF672" s="5" t="n"/>
      <c r="BG672" s="5" t="n"/>
      <c r="BH672" s="5" t="n"/>
      <c r="BI672" s="5" t="n"/>
      <c r="BJ672" s="5" t="n"/>
      <c r="BK672" s="5" t="n"/>
      <c r="BL672" s="5" t="n"/>
      <c r="BM672" s="5" t="n"/>
      <c r="BN672" s="5" t="n"/>
      <c r="BO672" s="5" t="n"/>
      <c r="BP672" s="5" t="n"/>
      <c r="BQ672" s="5" t="n"/>
      <c r="BR672" s="5" t="n"/>
      <c r="BS672" s="5" t="n"/>
      <c r="BT672" s="5" t="n"/>
      <c r="BU672" s="5" t="n"/>
      <c r="BV672" s="5" t="n"/>
      <c r="BW672" s="5" t="n"/>
      <c r="BX672" s="5" t="n"/>
      <c r="BY672" s="5" t="n"/>
      <c r="BZ672" s="5" t="n"/>
      <c r="CA672" s="5" t="n"/>
      <c r="CB672" s="5" t="n"/>
      <c r="CC672" s="5" t="n"/>
      <c r="CD672" s="5" t="n"/>
      <c r="CE672" s="5" t="n"/>
      <c r="CF672" s="5" t="n"/>
    </row>
    <row r="673">
      <c r="A673" s="171" t="n"/>
      <c r="B673" s="171" t="n"/>
      <c r="C673" s="171" t="n"/>
      <c r="D673" s="170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  <c r="AY673" s="5" t="n"/>
      <c r="AZ673" s="5" t="n"/>
      <c r="BA673" s="5" t="n"/>
      <c r="BB673" s="5" t="n"/>
      <c r="BC673" s="5" t="n"/>
      <c r="BD673" s="5" t="n"/>
      <c r="BE673" s="5" t="n"/>
      <c r="BF673" s="5" t="n"/>
      <c r="BG673" s="5" t="n"/>
      <c r="BH673" s="5" t="n"/>
      <c r="BI673" s="5" t="n"/>
      <c r="BJ673" s="5" t="n"/>
      <c r="BK673" s="5" t="n"/>
      <c r="BL673" s="5" t="n"/>
      <c r="BM673" s="5" t="n"/>
      <c r="BN673" s="5" t="n"/>
      <c r="BO673" s="5" t="n"/>
      <c r="BP673" s="5" t="n"/>
      <c r="BQ673" s="5" t="n"/>
      <c r="BR673" s="5" t="n"/>
      <c r="BS673" s="5" t="n"/>
      <c r="BT673" s="5" t="n"/>
      <c r="BU673" s="5" t="n"/>
      <c r="BV673" s="5" t="n"/>
      <c r="BW673" s="5" t="n"/>
      <c r="BX673" s="5" t="n"/>
      <c r="BY673" s="5" t="n"/>
      <c r="BZ673" s="5" t="n"/>
      <c r="CA673" s="5" t="n"/>
      <c r="CB673" s="5" t="n"/>
      <c r="CC673" s="5" t="n"/>
      <c r="CD673" s="5" t="n"/>
      <c r="CE673" s="5" t="n"/>
      <c r="CF673" s="5" t="n"/>
    </row>
    <row r="674">
      <c r="A674" s="171" t="n"/>
      <c r="B674" s="171" t="n"/>
      <c r="C674" s="171" t="n"/>
      <c r="D674" s="170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  <c r="AY674" s="5" t="n"/>
      <c r="AZ674" s="5" t="n"/>
      <c r="BA674" s="5" t="n"/>
      <c r="BB674" s="5" t="n"/>
      <c r="BC674" s="5" t="n"/>
      <c r="BD674" s="5" t="n"/>
      <c r="BE674" s="5" t="n"/>
      <c r="BF674" s="5" t="n"/>
      <c r="BG674" s="5" t="n"/>
      <c r="BH674" s="5" t="n"/>
      <c r="BI674" s="5" t="n"/>
      <c r="BJ674" s="5" t="n"/>
      <c r="BK674" s="5" t="n"/>
      <c r="BL674" s="5" t="n"/>
      <c r="BM674" s="5" t="n"/>
      <c r="BN674" s="5" t="n"/>
      <c r="BO674" s="5" t="n"/>
      <c r="BP674" s="5" t="n"/>
      <c r="BQ674" s="5" t="n"/>
      <c r="BR674" s="5" t="n"/>
      <c r="BS674" s="5" t="n"/>
      <c r="BT674" s="5" t="n"/>
      <c r="BU674" s="5" t="n"/>
      <c r="BV674" s="5" t="n"/>
      <c r="BW674" s="5" t="n"/>
      <c r="BX674" s="5" t="n"/>
      <c r="BY674" s="5" t="n"/>
      <c r="BZ674" s="5" t="n"/>
      <c r="CA674" s="5" t="n"/>
      <c r="CB674" s="5" t="n"/>
      <c r="CC674" s="5" t="n"/>
      <c r="CD674" s="5" t="n"/>
      <c r="CE674" s="5" t="n"/>
      <c r="CF674" s="5" t="n"/>
    </row>
    <row r="675">
      <c r="A675" s="171" t="n"/>
      <c r="B675" s="171" t="n"/>
      <c r="C675" s="171" t="n"/>
      <c r="D675" s="170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  <c r="AY675" s="5" t="n"/>
      <c r="AZ675" s="5" t="n"/>
      <c r="BA675" s="5" t="n"/>
      <c r="BB675" s="5" t="n"/>
      <c r="BC675" s="5" t="n"/>
      <c r="BD675" s="5" t="n"/>
      <c r="BE675" s="5" t="n"/>
      <c r="BF675" s="5" t="n"/>
      <c r="BG675" s="5" t="n"/>
      <c r="BH675" s="5" t="n"/>
      <c r="BI675" s="5" t="n"/>
      <c r="BJ675" s="5" t="n"/>
      <c r="BK675" s="5" t="n"/>
      <c r="BL675" s="5" t="n"/>
      <c r="BM675" s="5" t="n"/>
      <c r="BN675" s="5" t="n"/>
      <c r="BO675" s="5" t="n"/>
      <c r="BP675" s="5" t="n"/>
      <c r="BQ675" s="5" t="n"/>
      <c r="BR675" s="5" t="n"/>
      <c r="BS675" s="5" t="n"/>
      <c r="BT675" s="5" t="n"/>
      <c r="BU675" s="5" t="n"/>
      <c r="BV675" s="5" t="n"/>
      <c r="BW675" s="5" t="n"/>
      <c r="BX675" s="5" t="n"/>
      <c r="BY675" s="5" t="n"/>
      <c r="BZ675" s="5" t="n"/>
      <c r="CA675" s="5" t="n"/>
      <c r="CB675" s="5" t="n"/>
      <c r="CC675" s="5" t="n"/>
      <c r="CD675" s="5" t="n"/>
      <c r="CE675" s="5" t="n"/>
      <c r="CF675" s="5" t="n"/>
    </row>
    <row r="676">
      <c r="A676" s="171" t="n"/>
      <c r="B676" s="171" t="n"/>
      <c r="C676" s="171" t="n"/>
      <c r="D676" s="170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  <c r="AY676" s="5" t="n"/>
      <c r="AZ676" s="5" t="n"/>
      <c r="BA676" s="5" t="n"/>
      <c r="BB676" s="5" t="n"/>
      <c r="BC676" s="5" t="n"/>
      <c r="BD676" s="5" t="n"/>
      <c r="BE676" s="5" t="n"/>
      <c r="BF676" s="5" t="n"/>
      <c r="BG676" s="5" t="n"/>
      <c r="BH676" s="5" t="n"/>
      <c r="BI676" s="5" t="n"/>
      <c r="BJ676" s="5" t="n"/>
      <c r="BK676" s="5" t="n"/>
      <c r="BL676" s="5" t="n"/>
      <c r="BM676" s="5" t="n"/>
      <c r="BN676" s="5" t="n"/>
      <c r="BO676" s="5" t="n"/>
      <c r="BP676" s="5" t="n"/>
      <c r="BQ676" s="5" t="n"/>
      <c r="BR676" s="5" t="n"/>
      <c r="BS676" s="5" t="n"/>
      <c r="BT676" s="5" t="n"/>
      <c r="BU676" s="5" t="n"/>
      <c r="BV676" s="5" t="n"/>
      <c r="BW676" s="5" t="n"/>
      <c r="BX676" s="5" t="n"/>
      <c r="BY676" s="5" t="n"/>
      <c r="BZ676" s="5" t="n"/>
      <c r="CA676" s="5" t="n"/>
      <c r="CB676" s="5" t="n"/>
      <c r="CC676" s="5" t="n"/>
      <c r="CD676" s="5" t="n"/>
      <c r="CE676" s="5" t="n"/>
      <c r="CF676" s="5" t="n"/>
    </row>
    <row r="677">
      <c r="A677" s="171" t="n"/>
      <c r="B677" s="171" t="n"/>
      <c r="C677" s="171" t="n"/>
      <c r="D677" s="170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  <c r="AY677" s="5" t="n"/>
      <c r="AZ677" s="5" t="n"/>
      <c r="BA677" s="5" t="n"/>
      <c r="BB677" s="5" t="n"/>
      <c r="BC677" s="5" t="n"/>
      <c r="BD677" s="5" t="n"/>
      <c r="BE677" s="5" t="n"/>
      <c r="BF677" s="5" t="n"/>
      <c r="BG677" s="5" t="n"/>
      <c r="BH677" s="5" t="n"/>
      <c r="BI677" s="5" t="n"/>
      <c r="BJ677" s="5" t="n"/>
      <c r="BK677" s="5" t="n"/>
      <c r="BL677" s="5" t="n"/>
      <c r="BM677" s="5" t="n"/>
      <c r="BN677" s="5" t="n"/>
      <c r="BO677" s="5" t="n"/>
      <c r="BP677" s="5" t="n"/>
      <c r="BQ677" s="5" t="n"/>
      <c r="BR677" s="5" t="n"/>
      <c r="BS677" s="5" t="n"/>
      <c r="BT677" s="5" t="n"/>
      <c r="BU677" s="5" t="n"/>
      <c r="BV677" s="5" t="n"/>
      <c r="BW677" s="5" t="n"/>
      <c r="BX677" s="5" t="n"/>
      <c r="BY677" s="5" t="n"/>
      <c r="BZ677" s="5" t="n"/>
      <c r="CA677" s="5" t="n"/>
      <c r="CB677" s="5" t="n"/>
      <c r="CC677" s="5" t="n"/>
      <c r="CD677" s="5" t="n"/>
      <c r="CE677" s="5" t="n"/>
      <c r="CF677" s="5" t="n"/>
    </row>
    <row r="678">
      <c r="A678" s="171" t="n"/>
      <c r="B678" s="171" t="n"/>
      <c r="C678" s="171" t="n"/>
      <c r="D678" s="170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  <c r="AY678" s="5" t="n"/>
      <c r="AZ678" s="5" t="n"/>
      <c r="BA678" s="5" t="n"/>
      <c r="BB678" s="5" t="n"/>
      <c r="BC678" s="5" t="n"/>
      <c r="BD678" s="5" t="n"/>
      <c r="BE678" s="5" t="n"/>
      <c r="BF678" s="5" t="n"/>
      <c r="BG678" s="5" t="n"/>
      <c r="BH678" s="5" t="n"/>
      <c r="BI678" s="5" t="n"/>
      <c r="BJ678" s="5" t="n"/>
      <c r="BK678" s="5" t="n"/>
      <c r="BL678" s="5" t="n"/>
      <c r="BM678" s="5" t="n"/>
      <c r="BN678" s="5" t="n"/>
      <c r="BO678" s="5" t="n"/>
      <c r="BP678" s="5" t="n"/>
      <c r="BQ678" s="5" t="n"/>
      <c r="BR678" s="5" t="n"/>
      <c r="BS678" s="5" t="n"/>
      <c r="BT678" s="5" t="n"/>
      <c r="BU678" s="5" t="n"/>
      <c r="BV678" s="5" t="n"/>
      <c r="BW678" s="5" t="n"/>
      <c r="BX678" s="5" t="n"/>
      <c r="BY678" s="5" t="n"/>
      <c r="BZ678" s="5" t="n"/>
      <c r="CA678" s="5" t="n"/>
      <c r="CB678" s="5" t="n"/>
      <c r="CC678" s="5" t="n"/>
      <c r="CD678" s="5" t="n"/>
      <c r="CE678" s="5" t="n"/>
      <c r="CF678" s="5" t="n"/>
    </row>
    <row r="679">
      <c r="A679" s="171" t="n"/>
      <c r="B679" s="171" t="n"/>
      <c r="C679" s="171" t="n"/>
      <c r="D679" s="170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  <c r="AY679" s="5" t="n"/>
      <c r="AZ679" s="5" t="n"/>
      <c r="BA679" s="5" t="n"/>
      <c r="BB679" s="5" t="n"/>
      <c r="BC679" s="5" t="n"/>
      <c r="BD679" s="5" t="n"/>
      <c r="BE679" s="5" t="n"/>
      <c r="BF679" s="5" t="n"/>
      <c r="BG679" s="5" t="n"/>
      <c r="BH679" s="5" t="n"/>
      <c r="BI679" s="5" t="n"/>
      <c r="BJ679" s="5" t="n"/>
      <c r="BK679" s="5" t="n"/>
      <c r="BL679" s="5" t="n"/>
      <c r="BM679" s="5" t="n"/>
      <c r="BN679" s="5" t="n"/>
      <c r="BO679" s="5" t="n"/>
      <c r="BP679" s="5" t="n"/>
      <c r="BQ679" s="5" t="n"/>
      <c r="BR679" s="5" t="n"/>
      <c r="BS679" s="5" t="n"/>
      <c r="BT679" s="5" t="n"/>
      <c r="BU679" s="5" t="n"/>
      <c r="BV679" s="5" t="n"/>
      <c r="BW679" s="5" t="n"/>
      <c r="BX679" s="5" t="n"/>
      <c r="BY679" s="5" t="n"/>
      <c r="BZ679" s="5" t="n"/>
      <c r="CA679" s="5" t="n"/>
      <c r="CB679" s="5" t="n"/>
      <c r="CC679" s="5" t="n"/>
      <c r="CD679" s="5" t="n"/>
      <c r="CE679" s="5" t="n"/>
      <c r="CF679" s="5" t="n"/>
    </row>
    <row r="680">
      <c r="A680" s="171" t="n"/>
      <c r="B680" s="171" t="n"/>
      <c r="C680" s="171" t="n"/>
      <c r="D680" s="170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  <c r="AY680" s="5" t="n"/>
      <c r="AZ680" s="5" t="n"/>
      <c r="BA680" s="5" t="n"/>
      <c r="BB680" s="5" t="n"/>
      <c r="BC680" s="5" t="n"/>
      <c r="BD680" s="5" t="n"/>
      <c r="BE680" s="5" t="n"/>
      <c r="BF680" s="5" t="n"/>
      <c r="BG680" s="5" t="n"/>
      <c r="BH680" s="5" t="n"/>
      <c r="BI680" s="5" t="n"/>
      <c r="BJ680" s="5" t="n"/>
      <c r="BK680" s="5" t="n"/>
      <c r="BL680" s="5" t="n"/>
      <c r="BM680" s="5" t="n"/>
      <c r="BN680" s="5" t="n"/>
      <c r="BO680" s="5" t="n"/>
      <c r="BP680" s="5" t="n"/>
      <c r="BQ680" s="5" t="n"/>
      <c r="BR680" s="5" t="n"/>
      <c r="BS680" s="5" t="n"/>
      <c r="BT680" s="5" t="n"/>
      <c r="BU680" s="5" t="n"/>
      <c r="BV680" s="5" t="n"/>
      <c r="BW680" s="5" t="n"/>
      <c r="BX680" s="5" t="n"/>
      <c r="BY680" s="5" t="n"/>
      <c r="BZ680" s="5" t="n"/>
      <c r="CA680" s="5" t="n"/>
      <c r="CB680" s="5" t="n"/>
      <c r="CC680" s="5" t="n"/>
      <c r="CD680" s="5" t="n"/>
      <c r="CE680" s="5" t="n"/>
      <c r="CF680" s="5" t="n"/>
    </row>
    <row r="681">
      <c r="A681" s="171" t="n"/>
      <c r="B681" s="171" t="n"/>
      <c r="C681" s="171" t="n"/>
      <c r="D681" s="170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  <c r="AY681" s="5" t="n"/>
      <c r="AZ681" s="5" t="n"/>
      <c r="BA681" s="5" t="n"/>
      <c r="BB681" s="5" t="n"/>
      <c r="BC681" s="5" t="n"/>
      <c r="BD681" s="5" t="n"/>
      <c r="BE681" s="5" t="n"/>
      <c r="BF681" s="5" t="n"/>
      <c r="BG681" s="5" t="n"/>
      <c r="BH681" s="5" t="n"/>
      <c r="BI681" s="5" t="n"/>
      <c r="BJ681" s="5" t="n"/>
      <c r="BK681" s="5" t="n"/>
      <c r="BL681" s="5" t="n"/>
      <c r="BM681" s="5" t="n"/>
      <c r="BN681" s="5" t="n"/>
      <c r="BO681" s="5" t="n"/>
      <c r="BP681" s="5" t="n"/>
      <c r="BQ681" s="5" t="n"/>
      <c r="BR681" s="5" t="n"/>
      <c r="BS681" s="5" t="n"/>
      <c r="BT681" s="5" t="n"/>
      <c r="BU681" s="5" t="n"/>
      <c r="BV681" s="5" t="n"/>
      <c r="BW681" s="5" t="n"/>
      <c r="BX681" s="5" t="n"/>
      <c r="BY681" s="5" t="n"/>
      <c r="BZ681" s="5" t="n"/>
      <c r="CA681" s="5" t="n"/>
      <c r="CB681" s="5" t="n"/>
      <c r="CC681" s="5" t="n"/>
      <c r="CD681" s="5" t="n"/>
      <c r="CE681" s="5" t="n"/>
      <c r="CF681" s="5" t="n"/>
    </row>
    <row r="682">
      <c r="A682" s="171" t="n"/>
      <c r="B682" s="171" t="n"/>
      <c r="C682" s="171" t="n"/>
      <c r="D682" s="170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  <c r="AY682" s="5" t="n"/>
      <c r="AZ682" s="5" t="n"/>
      <c r="BA682" s="5" t="n"/>
      <c r="BB682" s="5" t="n"/>
      <c r="BC682" s="5" t="n"/>
      <c r="BD682" s="5" t="n"/>
      <c r="BE682" s="5" t="n"/>
      <c r="BF682" s="5" t="n"/>
      <c r="BG682" s="5" t="n"/>
      <c r="BH682" s="5" t="n"/>
      <c r="BI682" s="5" t="n"/>
      <c r="BJ682" s="5" t="n"/>
      <c r="BK682" s="5" t="n"/>
      <c r="BL682" s="5" t="n"/>
      <c r="BM682" s="5" t="n"/>
      <c r="BN682" s="5" t="n"/>
      <c r="BO682" s="5" t="n"/>
      <c r="BP682" s="5" t="n"/>
      <c r="BQ682" s="5" t="n"/>
      <c r="BR682" s="5" t="n"/>
      <c r="BS682" s="5" t="n"/>
      <c r="BT682" s="5" t="n"/>
      <c r="BU682" s="5" t="n"/>
      <c r="BV682" s="5" t="n"/>
      <c r="BW682" s="5" t="n"/>
      <c r="BX682" s="5" t="n"/>
      <c r="BY682" s="5" t="n"/>
      <c r="BZ682" s="5" t="n"/>
      <c r="CA682" s="5" t="n"/>
      <c r="CB682" s="5" t="n"/>
      <c r="CC682" s="5" t="n"/>
      <c r="CD682" s="5" t="n"/>
      <c r="CE682" s="5" t="n"/>
      <c r="CF682" s="5" t="n"/>
    </row>
    <row r="683">
      <c r="A683" s="171" t="n"/>
      <c r="B683" s="171" t="n"/>
      <c r="C683" s="171" t="n"/>
      <c r="D683" s="170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  <c r="AY683" s="5" t="n"/>
      <c r="AZ683" s="5" t="n"/>
      <c r="BA683" s="5" t="n"/>
      <c r="BB683" s="5" t="n"/>
      <c r="BC683" s="5" t="n"/>
      <c r="BD683" s="5" t="n"/>
      <c r="BE683" s="5" t="n"/>
      <c r="BF683" s="5" t="n"/>
      <c r="BG683" s="5" t="n"/>
      <c r="BH683" s="5" t="n"/>
      <c r="BI683" s="5" t="n"/>
      <c r="BJ683" s="5" t="n"/>
      <c r="BK683" s="5" t="n"/>
      <c r="BL683" s="5" t="n"/>
      <c r="BM683" s="5" t="n"/>
      <c r="BN683" s="5" t="n"/>
      <c r="BO683" s="5" t="n"/>
      <c r="BP683" s="5" t="n"/>
      <c r="BQ683" s="5" t="n"/>
      <c r="BR683" s="5" t="n"/>
      <c r="BS683" s="5" t="n"/>
      <c r="BT683" s="5" t="n"/>
      <c r="BU683" s="5" t="n"/>
      <c r="BV683" s="5" t="n"/>
      <c r="BW683" s="5" t="n"/>
      <c r="BX683" s="5" t="n"/>
      <c r="BY683" s="5" t="n"/>
      <c r="BZ683" s="5" t="n"/>
      <c r="CA683" s="5" t="n"/>
      <c r="CB683" s="5" t="n"/>
      <c r="CC683" s="5" t="n"/>
      <c r="CD683" s="5" t="n"/>
      <c r="CE683" s="5" t="n"/>
      <c r="CF683" s="5" t="n"/>
    </row>
    <row r="684">
      <c r="A684" s="171" t="n"/>
      <c r="B684" s="171" t="n"/>
      <c r="C684" s="171" t="n"/>
      <c r="D684" s="170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  <c r="AY684" s="5" t="n"/>
      <c r="AZ684" s="5" t="n"/>
      <c r="BA684" s="5" t="n"/>
      <c r="BB684" s="5" t="n"/>
      <c r="BC684" s="5" t="n"/>
      <c r="BD684" s="5" t="n"/>
      <c r="BE684" s="5" t="n"/>
      <c r="BF684" s="5" t="n"/>
      <c r="BG684" s="5" t="n"/>
      <c r="BH684" s="5" t="n"/>
      <c r="BI684" s="5" t="n"/>
      <c r="BJ684" s="5" t="n"/>
      <c r="BK684" s="5" t="n"/>
      <c r="BL684" s="5" t="n"/>
      <c r="BM684" s="5" t="n"/>
      <c r="BN684" s="5" t="n"/>
      <c r="BO684" s="5" t="n"/>
      <c r="BP684" s="5" t="n"/>
      <c r="BQ684" s="5" t="n"/>
      <c r="BR684" s="5" t="n"/>
      <c r="BS684" s="5" t="n"/>
      <c r="BT684" s="5" t="n"/>
      <c r="BU684" s="5" t="n"/>
      <c r="BV684" s="5" t="n"/>
      <c r="BW684" s="5" t="n"/>
      <c r="BX684" s="5" t="n"/>
      <c r="BY684" s="5" t="n"/>
      <c r="BZ684" s="5" t="n"/>
      <c r="CA684" s="5" t="n"/>
      <c r="CB684" s="5" t="n"/>
      <c r="CC684" s="5" t="n"/>
      <c r="CD684" s="5" t="n"/>
      <c r="CE684" s="5" t="n"/>
      <c r="CF684" s="5" t="n"/>
    </row>
    <row r="685">
      <c r="A685" s="171" t="n"/>
      <c r="B685" s="171" t="n"/>
      <c r="C685" s="171" t="n"/>
      <c r="D685" s="170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  <c r="AY685" s="5" t="n"/>
      <c r="AZ685" s="5" t="n"/>
      <c r="BA685" s="5" t="n"/>
      <c r="BB685" s="5" t="n"/>
      <c r="BC685" s="5" t="n"/>
      <c r="BD685" s="5" t="n"/>
      <c r="BE685" s="5" t="n"/>
      <c r="BF685" s="5" t="n"/>
      <c r="BG685" s="5" t="n"/>
      <c r="BH685" s="5" t="n"/>
      <c r="BI685" s="5" t="n"/>
      <c r="BJ685" s="5" t="n"/>
      <c r="BK685" s="5" t="n"/>
      <c r="BL685" s="5" t="n"/>
      <c r="BM685" s="5" t="n"/>
      <c r="BN685" s="5" t="n"/>
      <c r="BO685" s="5" t="n"/>
      <c r="BP685" s="5" t="n"/>
      <c r="BQ685" s="5" t="n"/>
      <c r="BR685" s="5" t="n"/>
      <c r="BS685" s="5" t="n"/>
      <c r="BT685" s="5" t="n"/>
      <c r="BU685" s="5" t="n"/>
      <c r="BV685" s="5" t="n"/>
      <c r="BW685" s="5" t="n"/>
      <c r="BX685" s="5" t="n"/>
      <c r="BY685" s="5" t="n"/>
      <c r="BZ685" s="5" t="n"/>
      <c r="CA685" s="5" t="n"/>
      <c r="CB685" s="5" t="n"/>
      <c r="CC685" s="5" t="n"/>
      <c r="CD685" s="5" t="n"/>
      <c r="CE685" s="5" t="n"/>
      <c r="CF685" s="5" t="n"/>
    </row>
    <row r="686">
      <c r="A686" s="171" t="n"/>
      <c r="B686" s="171" t="n"/>
      <c r="C686" s="171" t="n"/>
      <c r="D686" s="170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  <c r="AY686" s="5" t="n"/>
      <c r="AZ686" s="5" t="n"/>
      <c r="BA686" s="5" t="n"/>
      <c r="BB686" s="5" t="n"/>
      <c r="BC686" s="5" t="n"/>
      <c r="BD686" s="5" t="n"/>
      <c r="BE686" s="5" t="n"/>
      <c r="BF686" s="5" t="n"/>
      <c r="BG686" s="5" t="n"/>
      <c r="BH686" s="5" t="n"/>
      <c r="BI686" s="5" t="n"/>
      <c r="BJ686" s="5" t="n"/>
      <c r="BK686" s="5" t="n"/>
      <c r="BL686" s="5" t="n"/>
      <c r="BM686" s="5" t="n"/>
      <c r="BN686" s="5" t="n"/>
      <c r="BO686" s="5" t="n"/>
      <c r="BP686" s="5" t="n"/>
      <c r="BQ686" s="5" t="n"/>
      <c r="BR686" s="5" t="n"/>
      <c r="BS686" s="5" t="n"/>
      <c r="BT686" s="5" t="n"/>
      <c r="BU686" s="5" t="n"/>
      <c r="BV686" s="5" t="n"/>
      <c r="BW686" s="5" t="n"/>
      <c r="BX686" s="5" t="n"/>
      <c r="BY686" s="5" t="n"/>
      <c r="BZ686" s="5" t="n"/>
      <c r="CA686" s="5" t="n"/>
      <c r="CB686" s="5" t="n"/>
      <c r="CC686" s="5" t="n"/>
      <c r="CD686" s="5" t="n"/>
      <c r="CE686" s="5" t="n"/>
      <c r="CF686" s="5" t="n"/>
    </row>
    <row r="687">
      <c r="A687" s="171" t="n"/>
      <c r="B687" s="171" t="n"/>
      <c r="C687" s="171" t="n"/>
      <c r="D687" s="170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  <c r="AY687" s="5" t="n"/>
      <c r="AZ687" s="5" t="n"/>
      <c r="BA687" s="5" t="n"/>
      <c r="BB687" s="5" t="n"/>
      <c r="BC687" s="5" t="n"/>
      <c r="BD687" s="5" t="n"/>
      <c r="BE687" s="5" t="n"/>
      <c r="BF687" s="5" t="n"/>
      <c r="BG687" s="5" t="n"/>
      <c r="BH687" s="5" t="n"/>
      <c r="BI687" s="5" t="n"/>
      <c r="BJ687" s="5" t="n"/>
      <c r="BK687" s="5" t="n"/>
      <c r="BL687" s="5" t="n"/>
      <c r="BM687" s="5" t="n"/>
      <c r="BN687" s="5" t="n"/>
      <c r="BO687" s="5" t="n"/>
      <c r="BP687" s="5" t="n"/>
      <c r="BQ687" s="5" t="n"/>
      <c r="BR687" s="5" t="n"/>
      <c r="BS687" s="5" t="n"/>
      <c r="BT687" s="5" t="n"/>
      <c r="BU687" s="5" t="n"/>
      <c r="BV687" s="5" t="n"/>
      <c r="BW687" s="5" t="n"/>
      <c r="BX687" s="5" t="n"/>
      <c r="BY687" s="5" t="n"/>
      <c r="BZ687" s="5" t="n"/>
      <c r="CA687" s="5" t="n"/>
      <c r="CB687" s="5" t="n"/>
      <c r="CC687" s="5" t="n"/>
      <c r="CD687" s="5" t="n"/>
      <c r="CE687" s="5" t="n"/>
      <c r="CF687" s="5" t="n"/>
    </row>
    <row r="688">
      <c r="A688" s="171" t="n"/>
      <c r="B688" s="171" t="n"/>
      <c r="C688" s="171" t="n"/>
      <c r="D688" s="170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  <c r="AY688" s="5" t="n"/>
      <c r="AZ688" s="5" t="n"/>
      <c r="BA688" s="5" t="n"/>
      <c r="BB688" s="5" t="n"/>
      <c r="BC688" s="5" t="n"/>
      <c r="BD688" s="5" t="n"/>
      <c r="BE688" s="5" t="n"/>
      <c r="BF688" s="5" t="n"/>
      <c r="BG688" s="5" t="n"/>
      <c r="BH688" s="5" t="n"/>
      <c r="BI688" s="5" t="n"/>
      <c r="BJ688" s="5" t="n"/>
      <c r="BK688" s="5" t="n"/>
      <c r="BL688" s="5" t="n"/>
      <c r="BM688" s="5" t="n"/>
      <c r="BN688" s="5" t="n"/>
      <c r="BO688" s="5" t="n"/>
      <c r="BP688" s="5" t="n"/>
      <c r="BQ688" s="5" t="n"/>
      <c r="BR688" s="5" t="n"/>
      <c r="BS688" s="5" t="n"/>
      <c r="BT688" s="5" t="n"/>
      <c r="BU688" s="5" t="n"/>
      <c r="BV688" s="5" t="n"/>
      <c r="BW688" s="5" t="n"/>
      <c r="BX688" s="5" t="n"/>
      <c r="BY688" s="5" t="n"/>
      <c r="BZ688" s="5" t="n"/>
      <c r="CA688" s="5" t="n"/>
      <c r="CB688" s="5" t="n"/>
      <c r="CC688" s="5" t="n"/>
      <c r="CD688" s="5" t="n"/>
      <c r="CE688" s="5" t="n"/>
      <c r="CF688" s="5" t="n"/>
    </row>
    <row r="689">
      <c r="A689" s="171" t="n"/>
      <c r="B689" s="171" t="n"/>
      <c r="C689" s="171" t="n"/>
      <c r="D689" s="170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  <c r="AY689" s="5" t="n"/>
      <c r="AZ689" s="5" t="n"/>
      <c r="BA689" s="5" t="n"/>
      <c r="BB689" s="5" t="n"/>
      <c r="BC689" s="5" t="n"/>
      <c r="BD689" s="5" t="n"/>
      <c r="BE689" s="5" t="n"/>
      <c r="BF689" s="5" t="n"/>
      <c r="BG689" s="5" t="n"/>
      <c r="BH689" s="5" t="n"/>
      <c r="BI689" s="5" t="n"/>
      <c r="BJ689" s="5" t="n"/>
      <c r="BK689" s="5" t="n"/>
      <c r="BL689" s="5" t="n"/>
      <c r="BM689" s="5" t="n"/>
      <c r="BN689" s="5" t="n"/>
      <c r="BO689" s="5" t="n"/>
      <c r="BP689" s="5" t="n"/>
      <c r="BQ689" s="5" t="n"/>
      <c r="BR689" s="5" t="n"/>
      <c r="BS689" s="5" t="n"/>
      <c r="BT689" s="5" t="n"/>
      <c r="BU689" s="5" t="n"/>
      <c r="BV689" s="5" t="n"/>
      <c r="BW689" s="5" t="n"/>
      <c r="BX689" s="5" t="n"/>
      <c r="BY689" s="5" t="n"/>
      <c r="BZ689" s="5" t="n"/>
      <c r="CA689" s="5" t="n"/>
      <c r="CB689" s="5" t="n"/>
      <c r="CC689" s="5" t="n"/>
      <c r="CD689" s="5" t="n"/>
      <c r="CE689" s="5" t="n"/>
      <c r="CF689" s="5" t="n"/>
    </row>
    <row r="690">
      <c r="A690" s="171" t="n"/>
      <c r="B690" s="171" t="n"/>
      <c r="C690" s="171" t="n"/>
      <c r="D690" s="170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  <c r="AY690" s="5" t="n"/>
      <c r="AZ690" s="5" t="n"/>
      <c r="BA690" s="5" t="n"/>
      <c r="BB690" s="5" t="n"/>
      <c r="BC690" s="5" t="n"/>
      <c r="BD690" s="5" t="n"/>
      <c r="BE690" s="5" t="n"/>
      <c r="BF690" s="5" t="n"/>
      <c r="BG690" s="5" t="n"/>
      <c r="BH690" s="5" t="n"/>
      <c r="BI690" s="5" t="n"/>
      <c r="BJ690" s="5" t="n"/>
      <c r="BK690" s="5" t="n"/>
      <c r="BL690" s="5" t="n"/>
      <c r="BM690" s="5" t="n"/>
      <c r="BN690" s="5" t="n"/>
      <c r="BO690" s="5" t="n"/>
      <c r="BP690" s="5" t="n"/>
      <c r="BQ690" s="5" t="n"/>
      <c r="BR690" s="5" t="n"/>
      <c r="BS690" s="5" t="n"/>
      <c r="BT690" s="5" t="n"/>
      <c r="BU690" s="5" t="n"/>
      <c r="BV690" s="5" t="n"/>
      <c r="BW690" s="5" t="n"/>
      <c r="BX690" s="5" t="n"/>
      <c r="BY690" s="5" t="n"/>
      <c r="BZ690" s="5" t="n"/>
      <c r="CA690" s="5" t="n"/>
      <c r="CB690" s="5" t="n"/>
      <c r="CC690" s="5" t="n"/>
      <c r="CD690" s="5" t="n"/>
      <c r="CE690" s="5" t="n"/>
      <c r="CF690" s="5" t="n"/>
    </row>
    <row r="691">
      <c r="A691" s="171" t="n"/>
      <c r="B691" s="171" t="n"/>
      <c r="C691" s="171" t="n"/>
      <c r="D691" s="170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  <c r="AY691" s="5" t="n"/>
      <c r="AZ691" s="5" t="n"/>
      <c r="BA691" s="5" t="n"/>
      <c r="BB691" s="5" t="n"/>
      <c r="BC691" s="5" t="n"/>
      <c r="BD691" s="5" t="n"/>
      <c r="BE691" s="5" t="n"/>
      <c r="BF691" s="5" t="n"/>
      <c r="BG691" s="5" t="n"/>
      <c r="BH691" s="5" t="n"/>
      <c r="BI691" s="5" t="n"/>
      <c r="BJ691" s="5" t="n"/>
      <c r="BK691" s="5" t="n"/>
      <c r="BL691" s="5" t="n"/>
      <c r="BM691" s="5" t="n"/>
      <c r="BN691" s="5" t="n"/>
      <c r="BO691" s="5" t="n"/>
      <c r="BP691" s="5" t="n"/>
      <c r="BQ691" s="5" t="n"/>
      <c r="BR691" s="5" t="n"/>
      <c r="BS691" s="5" t="n"/>
      <c r="BT691" s="5" t="n"/>
      <c r="BU691" s="5" t="n"/>
      <c r="BV691" s="5" t="n"/>
      <c r="BW691" s="5" t="n"/>
      <c r="BX691" s="5" t="n"/>
      <c r="BY691" s="5" t="n"/>
      <c r="BZ691" s="5" t="n"/>
      <c r="CA691" s="5" t="n"/>
      <c r="CB691" s="5" t="n"/>
      <c r="CC691" s="5" t="n"/>
      <c r="CD691" s="5" t="n"/>
      <c r="CE691" s="5" t="n"/>
      <c r="CF691" s="5" t="n"/>
    </row>
    <row r="692">
      <c r="A692" s="171" t="n"/>
      <c r="B692" s="171" t="n"/>
      <c r="C692" s="171" t="n"/>
      <c r="D692" s="170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  <c r="AY692" s="5" t="n"/>
      <c r="AZ692" s="5" t="n"/>
      <c r="BA692" s="5" t="n"/>
      <c r="BB692" s="5" t="n"/>
      <c r="BC692" s="5" t="n"/>
      <c r="BD692" s="5" t="n"/>
      <c r="BE692" s="5" t="n"/>
      <c r="BF692" s="5" t="n"/>
      <c r="BG692" s="5" t="n"/>
      <c r="BH692" s="5" t="n"/>
      <c r="BI692" s="5" t="n"/>
      <c r="BJ692" s="5" t="n"/>
      <c r="BK692" s="5" t="n"/>
      <c r="BL692" s="5" t="n"/>
      <c r="BM692" s="5" t="n"/>
      <c r="BN692" s="5" t="n"/>
      <c r="BO692" s="5" t="n"/>
      <c r="BP692" s="5" t="n"/>
      <c r="BQ692" s="5" t="n"/>
      <c r="BR692" s="5" t="n"/>
      <c r="BS692" s="5" t="n"/>
      <c r="BT692" s="5" t="n"/>
      <c r="BU692" s="5" t="n"/>
      <c r="BV692" s="5" t="n"/>
      <c r="BW692" s="5" t="n"/>
      <c r="BX692" s="5" t="n"/>
      <c r="BY692" s="5" t="n"/>
      <c r="BZ692" s="5" t="n"/>
      <c r="CA692" s="5" t="n"/>
      <c r="CB692" s="5" t="n"/>
      <c r="CC692" s="5" t="n"/>
      <c r="CD692" s="5" t="n"/>
      <c r="CE692" s="5" t="n"/>
      <c r="CF692" s="5" t="n"/>
    </row>
    <row r="693">
      <c r="A693" s="171" t="n"/>
      <c r="B693" s="171" t="n"/>
      <c r="C693" s="171" t="n"/>
      <c r="D693" s="170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  <c r="AY693" s="5" t="n"/>
      <c r="AZ693" s="5" t="n"/>
      <c r="BA693" s="5" t="n"/>
      <c r="BB693" s="5" t="n"/>
      <c r="BC693" s="5" t="n"/>
      <c r="BD693" s="5" t="n"/>
      <c r="BE693" s="5" t="n"/>
      <c r="BF693" s="5" t="n"/>
      <c r="BG693" s="5" t="n"/>
      <c r="BH693" s="5" t="n"/>
      <c r="BI693" s="5" t="n"/>
      <c r="BJ693" s="5" t="n"/>
      <c r="BK693" s="5" t="n"/>
      <c r="BL693" s="5" t="n"/>
      <c r="BM693" s="5" t="n"/>
      <c r="BN693" s="5" t="n"/>
      <c r="BO693" s="5" t="n"/>
      <c r="BP693" s="5" t="n"/>
      <c r="BQ693" s="5" t="n"/>
      <c r="BR693" s="5" t="n"/>
      <c r="BS693" s="5" t="n"/>
      <c r="BT693" s="5" t="n"/>
      <c r="BU693" s="5" t="n"/>
      <c r="BV693" s="5" t="n"/>
      <c r="BW693" s="5" t="n"/>
      <c r="BX693" s="5" t="n"/>
      <c r="BY693" s="5" t="n"/>
      <c r="BZ693" s="5" t="n"/>
      <c r="CA693" s="5" t="n"/>
      <c r="CB693" s="5" t="n"/>
      <c r="CC693" s="5" t="n"/>
      <c r="CD693" s="5" t="n"/>
      <c r="CE693" s="5" t="n"/>
      <c r="CF693" s="5" t="n"/>
    </row>
    <row r="694">
      <c r="A694" s="171" t="n"/>
      <c r="B694" s="171" t="n"/>
      <c r="C694" s="171" t="n"/>
      <c r="D694" s="170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  <c r="AY694" s="5" t="n"/>
      <c r="AZ694" s="5" t="n"/>
      <c r="BA694" s="5" t="n"/>
      <c r="BB694" s="5" t="n"/>
      <c r="BC694" s="5" t="n"/>
      <c r="BD694" s="5" t="n"/>
      <c r="BE694" s="5" t="n"/>
      <c r="BF694" s="5" t="n"/>
      <c r="BG694" s="5" t="n"/>
      <c r="BH694" s="5" t="n"/>
      <c r="BI694" s="5" t="n"/>
      <c r="BJ694" s="5" t="n"/>
      <c r="BK694" s="5" t="n"/>
      <c r="BL694" s="5" t="n"/>
      <c r="BM694" s="5" t="n"/>
      <c r="BN694" s="5" t="n"/>
      <c r="BO694" s="5" t="n"/>
      <c r="BP694" s="5" t="n"/>
      <c r="BQ694" s="5" t="n"/>
      <c r="BR694" s="5" t="n"/>
      <c r="BS694" s="5" t="n"/>
      <c r="BT694" s="5" t="n"/>
      <c r="BU694" s="5" t="n"/>
      <c r="BV694" s="5" t="n"/>
      <c r="BW694" s="5" t="n"/>
      <c r="BX694" s="5" t="n"/>
      <c r="BY694" s="5" t="n"/>
      <c r="BZ694" s="5" t="n"/>
      <c r="CA694" s="5" t="n"/>
      <c r="CB694" s="5" t="n"/>
      <c r="CC694" s="5" t="n"/>
      <c r="CD694" s="5" t="n"/>
      <c r="CE694" s="5" t="n"/>
      <c r="CF694" s="5" t="n"/>
    </row>
    <row r="695">
      <c r="A695" s="171" t="n"/>
      <c r="B695" s="171" t="n"/>
      <c r="C695" s="171" t="n"/>
      <c r="D695" s="170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  <c r="AY695" s="5" t="n"/>
      <c r="AZ695" s="5" t="n"/>
      <c r="BA695" s="5" t="n"/>
      <c r="BB695" s="5" t="n"/>
      <c r="BC695" s="5" t="n"/>
      <c r="BD695" s="5" t="n"/>
      <c r="BE695" s="5" t="n"/>
      <c r="BF695" s="5" t="n"/>
      <c r="BG695" s="5" t="n"/>
      <c r="BH695" s="5" t="n"/>
      <c r="BI695" s="5" t="n"/>
      <c r="BJ695" s="5" t="n"/>
      <c r="BK695" s="5" t="n"/>
      <c r="BL695" s="5" t="n"/>
      <c r="BM695" s="5" t="n"/>
      <c r="BN695" s="5" t="n"/>
      <c r="BO695" s="5" t="n"/>
      <c r="BP695" s="5" t="n"/>
      <c r="BQ695" s="5" t="n"/>
      <c r="BR695" s="5" t="n"/>
      <c r="BS695" s="5" t="n"/>
      <c r="BT695" s="5" t="n"/>
      <c r="BU695" s="5" t="n"/>
      <c r="BV695" s="5" t="n"/>
      <c r="BW695" s="5" t="n"/>
      <c r="BX695" s="5" t="n"/>
      <c r="BY695" s="5" t="n"/>
      <c r="BZ695" s="5" t="n"/>
      <c r="CA695" s="5" t="n"/>
      <c r="CB695" s="5" t="n"/>
      <c r="CC695" s="5" t="n"/>
      <c r="CD695" s="5" t="n"/>
      <c r="CE695" s="5" t="n"/>
      <c r="CF695" s="5" t="n"/>
    </row>
    <row r="696">
      <c r="A696" s="171" t="n"/>
      <c r="B696" s="171" t="n"/>
      <c r="C696" s="171" t="n"/>
      <c r="D696" s="170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  <c r="AY696" s="5" t="n"/>
      <c r="AZ696" s="5" t="n"/>
      <c r="BA696" s="5" t="n"/>
      <c r="BB696" s="5" t="n"/>
      <c r="BC696" s="5" t="n"/>
      <c r="BD696" s="5" t="n"/>
      <c r="BE696" s="5" t="n"/>
      <c r="BF696" s="5" t="n"/>
      <c r="BG696" s="5" t="n"/>
      <c r="BH696" s="5" t="n"/>
      <c r="BI696" s="5" t="n"/>
      <c r="BJ696" s="5" t="n"/>
      <c r="BK696" s="5" t="n"/>
      <c r="BL696" s="5" t="n"/>
      <c r="BM696" s="5" t="n"/>
      <c r="BN696" s="5" t="n"/>
      <c r="BO696" s="5" t="n"/>
      <c r="BP696" s="5" t="n"/>
      <c r="BQ696" s="5" t="n"/>
      <c r="BR696" s="5" t="n"/>
      <c r="BS696" s="5" t="n"/>
      <c r="BT696" s="5" t="n"/>
      <c r="BU696" s="5" t="n"/>
      <c r="BV696" s="5" t="n"/>
      <c r="BW696" s="5" t="n"/>
      <c r="BX696" s="5" t="n"/>
      <c r="BY696" s="5" t="n"/>
      <c r="BZ696" s="5" t="n"/>
      <c r="CA696" s="5" t="n"/>
      <c r="CB696" s="5" t="n"/>
      <c r="CC696" s="5" t="n"/>
      <c r="CD696" s="5" t="n"/>
      <c r="CE696" s="5" t="n"/>
      <c r="CF696" s="5" t="n"/>
    </row>
    <row r="697">
      <c r="A697" s="171" t="n"/>
      <c r="B697" s="171" t="n"/>
      <c r="C697" s="171" t="n"/>
      <c r="D697" s="170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  <c r="AY697" s="5" t="n"/>
      <c r="AZ697" s="5" t="n"/>
      <c r="BA697" s="5" t="n"/>
      <c r="BB697" s="5" t="n"/>
      <c r="BC697" s="5" t="n"/>
      <c r="BD697" s="5" t="n"/>
      <c r="BE697" s="5" t="n"/>
      <c r="BF697" s="5" t="n"/>
      <c r="BG697" s="5" t="n"/>
      <c r="BH697" s="5" t="n"/>
      <c r="BI697" s="5" t="n"/>
      <c r="BJ697" s="5" t="n"/>
      <c r="BK697" s="5" t="n"/>
      <c r="BL697" s="5" t="n"/>
      <c r="BM697" s="5" t="n"/>
      <c r="BN697" s="5" t="n"/>
      <c r="BO697" s="5" t="n"/>
      <c r="BP697" s="5" t="n"/>
      <c r="BQ697" s="5" t="n"/>
      <c r="BR697" s="5" t="n"/>
      <c r="BS697" s="5" t="n"/>
      <c r="BT697" s="5" t="n"/>
      <c r="BU697" s="5" t="n"/>
      <c r="BV697" s="5" t="n"/>
      <c r="BW697" s="5" t="n"/>
      <c r="BX697" s="5" t="n"/>
      <c r="BY697" s="5" t="n"/>
      <c r="BZ697" s="5" t="n"/>
      <c r="CA697" s="5" t="n"/>
      <c r="CB697" s="5" t="n"/>
      <c r="CC697" s="5" t="n"/>
      <c r="CD697" s="5" t="n"/>
      <c r="CE697" s="5" t="n"/>
      <c r="CF697" s="5" t="n"/>
    </row>
    <row r="698">
      <c r="A698" s="171" t="n"/>
      <c r="B698" s="171" t="n"/>
      <c r="C698" s="171" t="n"/>
      <c r="D698" s="170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  <c r="AY698" s="5" t="n"/>
      <c r="AZ698" s="5" t="n"/>
      <c r="BA698" s="5" t="n"/>
      <c r="BB698" s="5" t="n"/>
      <c r="BC698" s="5" t="n"/>
      <c r="BD698" s="5" t="n"/>
      <c r="BE698" s="5" t="n"/>
      <c r="BF698" s="5" t="n"/>
      <c r="BG698" s="5" t="n"/>
      <c r="BH698" s="5" t="n"/>
      <c r="BI698" s="5" t="n"/>
      <c r="BJ698" s="5" t="n"/>
      <c r="BK698" s="5" t="n"/>
      <c r="BL698" s="5" t="n"/>
      <c r="BM698" s="5" t="n"/>
      <c r="BN698" s="5" t="n"/>
      <c r="BO698" s="5" t="n"/>
      <c r="BP698" s="5" t="n"/>
      <c r="BQ698" s="5" t="n"/>
      <c r="BR698" s="5" t="n"/>
      <c r="BS698" s="5" t="n"/>
      <c r="BT698" s="5" t="n"/>
      <c r="BU698" s="5" t="n"/>
      <c r="BV698" s="5" t="n"/>
      <c r="BW698" s="5" t="n"/>
      <c r="BX698" s="5" t="n"/>
      <c r="BY698" s="5" t="n"/>
      <c r="BZ698" s="5" t="n"/>
      <c r="CA698" s="5" t="n"/>
      <c r="CB698" s="5" t="n"/>
      <c r="CC698" s="5" t="n"/>
      <c r="CD698" s="5" t="n"/>
      <c r="CE698" s="5" t="n"/>
      <c r="CF698" s="5" t="n"/>
    </row>
    <row r="699">
      <c r="A699" s="171" t="n"/>
      <c r="B699" s="171" t="n"/>
      <c r="C699" s="171" t="n"/>
      <c r="D699" s="170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  <c r="AY699" s="5" t="n"/>
      <c r="AZ699" s="5" t="n"/>
      <c r="BA699" s="5" t="n"/>
      <c r="BB699" s="5" t="n"/>
      <c r="BC699" s="5" t="n"/>
      <c r="BD699" s="5" t="n"/>
      <c r="BE699" s="5" t="n"/>
      <c r="BF699" s="5" t="n"/>
      <c r="BG699" s="5" t="n"/>
      <c r="BH699" s="5" t="n"/>
      <c r="BI699" s="5" t="n"/>
      <c r="BJ699" s="5" t="n"/>
      <c r="BK699" s="5" t="n"/>
      <c r="BL699" s="5" t="n"/>
      <c r="BM699" s="5" t="n"/>
      <c r="BN699" s="5" t="n"/>
      <c r="BO699" s="5" t="n"/>
      <c r="BP699" s="5" t="n"/>
      <c r="BQ699" s="5" t="n"/>
      <c r="BR699" s="5" t="n"/>
      <c r="BS699" s="5" t="n"/>
      <c r="BT699" s="5" t="n"/>
      <c r="BU699" s="5" t="n"/>
      <c r="BV699" s="5" t="n"/>
      <c r="BW699" s="5" t="n"/>
      <c r="BX699" s="5" t="n"/>
      <c r="BY699" s="5" t="n"/>
      <c r="BZ699" s="5" t="n"/>
      <c r="CA699" s="5" t="n"/>
      <c r="CB699" s="5" t="n"/>
      <c r="CC699" s="5" t="n"/>
      <c r="CD699" s="5" t="n"/>
      <c r="CE699" s="5" t="n"/>
      <c r="CF699" s="5" t="n"/>
    </row>
    <row r="700">
      <c r="A700" s="171" t="n"/>
      <c r="B700" s="171" t="n"/>
      <c r="C700" s="171" t="n"/>
      <c r="D700" s="170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  <c r="AY700" s="5" t="n"/>
      <c r="AZ700" s="5" t="n"/>
      <c r="BA700" s="5" t="n"/>
      <c r="BB700" s="5" t="n"/>
      <c r="BC700" s="5" t="n"/>
      <c r="BD700" s="5" t="n"/>
      <c r="BE700" s="5" t="n"/>
      <c r="BF700" s="5" t="n"/>
      <c r="BG700" s="5" t="n"/>
      <c r="BH700" s="5" t="n"/>
      <c r="BI700" s="5" t="n"/>
      <c r="BJ700" s="5" t="n"/>
      <c r="BK700" s="5" t="n"/>
      <c r="BL700" s="5" t="n"/>
      <c r="BM700" s="5" t="n"/>
      <c r="BN700" s="5" t="n"/>
      <c r="BO700" s="5" t="n"/>
      <c r="BP700" s="5" t="n"/>
      <c r="BQ700" s="5" t="n"/>
      <c r="BR700" s="5" t="n"/>
      <c r="BS700" s="5" t="n"/>
      <c r="BT700" s="5" t="n"/>
      <c r="BU700" s="5" t="n"/>
      <c r="BV700" s="5" t="n"/>
      <c r="BW700" s="5" t="n"/>
      <c r="BX700" s="5" t="n"/>
      <c r="BY700" s="5" t="n"/>
      <c r="BZ700" s="5" t="n"/>
      <c r="CA700" s="5" t="n"/>
      <c r="CB700" s="5" t="n"/>
      <c r="CC700" s="5" t="n"/>
      <c r="CD700" s="5" t="n"/>
      <c r="CE700" s="5" t="n"/>
      <c r="CF700" s="5" t="n"/>
    </row>
    <row r="701">
      <c r="A701" s="171" t="n"/>
      <c r="B701" s="171" t="n"/>
      <c r="C701" s="171" t="n"/>
      <c r="D701" s="170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  <c r="AY701" s="5" t="n"/>
      <c r="AZ701" s="5" t="n"/>
      <c r="BA701" s="5" t="n"/>
      <c r="BB701" s="5" t="n"/>
      <c r="BC701" s="5" t="n"/>
      <c r="BD701" s="5" t="n"/>
      <c r="BE701" s="5" t="n"/>
      <c r="BF701" s="5" t="n"/>
      <c r="BG701" s="5" t="n"/>
      <c r="BH701" s="5" t="n"/>
      <c r="BI701" s="5" t="n"/>
      <c r="BJ701" s="5" t="n"/>
      <c r="BK701" s="5" t="n"/>
      <c r="BL701" s="5" t="n"/>
      <c r="BM701" s="5" t="n"/>
      <c r="BN701" s="5" t="n"/>
      <c r="BO701" s="5" t="n"/>
      <c r="BP701" s="5" t="n"/>
      <c r="BQ701" s="5" t="n"/>
      <c r="BR701" s="5" t="n"/>
      <c r="BS701" s="5" t="n"/>
      <c r="BT701" s="5" t="n"/>
      <c r="BU701" s="5" t="n"/>
      <c r="BV701" s="5" t="n"/>
      <c r="BW701" s="5" t="n"/>
      <c r="BX701" s="5" t="n"/>
      <c r="BY701" s="5" t="n"/>
      <c r="BZ701" s="5" t="n"/>
      <c r="CA701" s="5" t="n"/>
      <c r="CB701" s="5" t="n"/>
      <c r="CC701" s="5" t="n"/>
      <c r="CD701" s="5" t="n"/>
      <c r="CE701" s="5" t="n"/>
      <c r="CF701" s="5" t="n"/>
    </row>
    <row r="702">
      <c r="A702" s="171" t="n"/>
      <c r="B702" s="171" t="n"/>
      <c r="C702" s="171" t="n"/>
      <c r="D702" s="170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  <c r="AY702" s="5" t="n"/>
      <c r="AZ702" s="5" t="n"/>
      <c r="BA702" s="5" t="n"/>
      <c r="BB702" s="5" t="n"/>
      <c r="BC702" s="5" t="n"/>
      <c r="BD702" s="5" t="n"/>
      <c r="BE702" s="5" t="n"/>
      <c r="BF702" s="5" t="n"/>
      <c r="BG702" s="5" t="n"/>
      <c r="BH702" s="5" t="n"/>
      <c r="BI702" s="5" t="n"/>
      <c r="BJ702" s="5" t="n"/>
      <c r="BK702" s="5" t="n"/>
      <c r="BL702" s="5" t="n"/>
      <c r="BM702" s="5" t="n"/>
      <c r="BN702" s="5" t="n"/>
      <c r="BO702" s="5" t="n"/>
      <c r="BP702" s="5" t="n"/>
      <c r="BQ702" s="5" t="n"/>
      <c r="BR702" s="5" t="n"/>
      <c r="BS702" s="5" t="n"/>
      <c r="BT702" s="5" t="n"/>
      <c r="BU702" s="5" t="n"/>
      <c r="BV702" s="5" t="n"/>
      <c r="BW702" s="5" t="n"/>
      <c r="BX702" s="5" t="n"/>
      <c r="BY702" s="5" t="n"/>
      <c r="BZ702" s="5" t="n"/>
      <c r="CA702" s="5" t="n"/>
      <c r="CB702" s="5" t="n"/>
      <c r="CC702" s="5" t="n"/>
      <c r="CD702" s="5" t="n"/>
      <c r="CE702" s="5" t="n"/>
      <c r="CF702" s="5" t="n"/>
    </row>
    <row r="703">
      <c r="A703" s="171" t="n"/>
      <c r="B703" s="171" t="n"/>
      <c r="C703" s="171" t="n"/>
      <c r="D703" s="170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  <c r="AY703" s="5" t="n"/>
      <c r="AZ703" s="5" t="n"/>
      <c r="BA703" s="5" t="n"/>
      <c r="BB703" s="5" t="n"/>
      <c r="BC703" s="5" t="n"/>
      <c r="BD703" s="5" t="n"/>
      <c r="BE703" s="5" t="n"/>
      <c r="BF703" s="5" t="n"/>
      <c r="BG703" s="5" t="n"/>
      <c r="BH703" s="5" t="n"/>
      <c r="BI703" s="5" t="n"/>
      <c r="BJ703" s="5" t="n"/>
      <c r="BK703" s="5" t="n"/>
      <c r="BL703" s="5" t="n"/>
      <c r="BM703" s="5" t="n"/>
      <c r="BN703" s="5" t="n"/>
      <c r="BO703" s="5" t="n"/>
      <c r="BP703" s="5" t="n"/>
      <c r="BQ703" s="5" t="n"/>
      <c r="BR703" s="5" t="n"/>
      <c r="BS703" s="5" t="n"/>
      <c r="BT703" s="5" t="n"/>
      <c r="BU703" s="5" t="n"/>
      <c r="BV703" s="5" t="n"/>
      <c r="BW703" s="5" t="n"/>
      <c r="BX703" s="5" t="n"/>
      <c r="BY703" s="5" t="n"/>
      <c r="BZ703" s="5" t="n"/>
      <c r="CA703" s="5" t="n"/>
      <c r="CB703" s="5" t="n"/>
      <c r="CC703" s="5" t="n"/>
      <c r="CD703" s="5" t="n"/>
      <c r="CE703" s="5" t="n"/>
      <c r="CF703" s="5" t="n"/>
    </row>
    <row r="704">
      <c r="A704" s="171" t="n"/>
      <c r="B704" s="171" t="n"/>
      <c r="C704" s="171" t="n"/>
      <c r="D704" s="170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  <c r="AY704" s="5" t="n"/>
      <c r="AZ704" s="5" t="n"/>
      <c r="BA704" s="5" t="n"/>
      <c r="BB704" s="5" t="n"/>
      <c r="BC704" s="5" t="n"/>
      <c r="BD704" s="5" t="n"/>
      <c r="BE704" s="5" t="n"/>
      <c r="BF704" s="5" t="n"/>
      <c r="BG704" s="5" t="n"/>
      <c r="BH704" s="5" t="n"/>
      <c r="BI704" s="5" t="n"/>
      <c r="BJ704" s="5" t="n"/>
      <c r="BK704" s="5" t="n"/>
      <c r="BL704" s="5" t="n"/>
      <c r="BM704" s="5" t="n"/>
      <c r="BN704" s="5" t="n"/>
      <c r="BO704" s="5" t="n"/>
      <c r="BP704" s="5" t="n"/>
      <c r="BQ704" s="5" t="n"/>
      <c r="BR704" s="5" t="n"/>
      <c r="BS704" s="5" t="n"/>
      <c r="BT704" s="5" t="n"/>
      <c r="BU704" s="5" t="n"/>
      <c r="BV704" s="5" t="n"/>
      <c r="BW704" s="5" t="n"/>
      <c r="BX704" s="5" t="n"/>
      <c r="BY704" s="5" t="n"/>
      <c r="BZ704" s="5" t="n"/>
      <c r="CA704" s="5" t="n"/>
      <c r="CB704" s="5" t="n"/>
      <c r="CC704" s="5" t="n"/>
      <c r="CD704" s="5" t="n"/>
      <c r="CE704" s="5" t="n"/>
      <c r="CF704" s="5" t="n"/>
    </row>
    <row r="705">
      <c r="A705" s="171" t="n"/>
      <c r="B705" s="171" t="n"/>
      <c r="C705" s="171" t="n"/>
      <c r="D705" s="170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  <c r="AY705" s="5" t="n"/>
      <c r="AZ705" s="5" t="n"/>
      <c r="BA705" s="5" t="n"/>
      <c r="BB705" s="5" t="n"/>
      <c r="BC705" s="5" t="n"/>
      <c r="BD705" s="5" t="n"/>
      <c r="BE705" s="5" t="n"/>
      <c r="BF705" s="5" t="n"/>
      <c r="BG705" s="5" t="n"/>
      <c r="BH705" s="5" t="n"/>
      <c r="BI705" s="5" t="n"/>
      <c r="BJ705" s="5" t="n"/>
      <c r="BK705" s="5" t="n"/>
      <c r="BL705" s="5" t="n"/>
      <c r="BM705" s="5" t="n"/>
      <c r="BN705" s="5" t="n"/>
      <c r="BO705" s="5" t="n"/>
      <c r="BP705" s="5" t="n"/>
      <c r="BQ705" s="5" t="n"/>
      <c r="BR705" s="5" t="n"/>
      <c r="BS705" s="5" t="n"/>
      <c r="BT705" s="5" t="n"/>
      <c r="BU705" s="5" t="n"/>
      <c r="BV705" s="5" t="n"/>
      <c r="BW705" s="5" t="n"/>
      <c r="BX705" s="5" t="n"/>
      <c r="BY705" s="5" t="n"/>
      <c r="BZ705" s="5" t="n"/>
      <c r="CA705" s="5" t="n"/>
      <c r="CB705" s="5" t="n"/>
      <c r="CC705" s="5" t="n"/>
      <c r="CD705" s="5" t="n"/>
      <c r="CE705" s="5" t="n"/>
      <c r="CF705" s="5" t="n"/>
    </row>
    <row r="706">
      <c r="A706" s="171" t="n"/>
      <c r="B706" s="171" t="n"/>
      <c r="C706" s="171" t="n"/>
      <c r="D706" s="170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  <c r="AY706" s="5" t="n"/>
      <c r="AZ706" s="5" t="n"/>
      <c r="BA706" s="5" t="n"/>
      <c r="BB706" s="5" t="n"/>
      <c r="BC706" s="5" t="n"/>
      <c r="BD706" s="5" t="n"/>
      <c r="BE706" s="5" t="n"/>
      <c r="BF706" s="5" t="n"/>
      <c r="BG706" s="5" t="n"/>
      <c r="BH706" s="5" t="n"/>
      <c r="BI706" s="5" t="n"/>
      <c r="BJ706" s="5" t="n"/>
      <c r="BK706" s="5" t="n"/>
      <c r="BL706" s="5" t="n"/>
      <c r="BM706" s="5" t="n"/>
      <c r="BN706" s="5" t="n"/>
      <c r="BO706" s="5" t="n"/>
      <c r="BP706" s="5" t="n"/>
      <c r="BQ706" s="5" t="n"/>
      <c r="BR706" s="5" t="n"/>
      <c r="BS706" s="5" t="n"/>
      <c r="BT706" s="5" t="n"/>
      <c r="BU706" s="5" t="n"/>
      <c r="BV706" s="5" t="n"/>
      <c r="BW706" s="5" t="n"/>
      <c r="BX706" s="5" t="n"/>
      <c r="BY706" s="5" t="n"/>
      <c r="BZ706" s="5" t="n"/>
      <c r="CA706" s="5" t="n"/>
      <c r="CB706" s="5" t="n"/>
      <c r="CC706" s="5" t="n"/>
      <c r="CD706" s="5" t="n"/>
      <c r="CE706" s="5" t="n"/>
      <c r="CF706" s="5" t="n"/>
    </row>
    <row r="707">
      <c r="A707" s="171" t="n"/>
      <c r="B707" s="171" t="n"/>
      <c r="C707" s="171" t="n"/>
      <c r="D707" s="170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  <c r="AY707" s="5" t="n"/>
      <c r="AZ707" s="5" t="n"/>
      <c r="BA707" s="5" t="n"/>
      <c r="BB707" s="5" t="n"/>
      <c r="BC707" s="5" t="n"/>
      <c r="BD707" s="5" t="n"/>
      <c r="BE707" s="5" t="n"/>
      <c r="BF707" s="5" t="n"/>
      <c r="BG707" s="5" t="n"/>
      <c r="BH707" s="5" t="n"/>
      <c r="BI707" s="5" t="n"/>
      <c r="BJ707" s="5" t="n"/>
      <c r="BK707" s="5" t="n"/>
      <c r="BL707" s="5" t="n"/>
      <c r="BM707" s="5" t="n"/>
      <c r="BN707" s="5" t="n"/>
      <c r="BO707" s="5" t="n"/>
      <c r="BP707" s="5" t="n"/>
      <c r="BQ707" s="5" t="n"/>
      <c r="BR707" s="5" t="n"/>
      <c r="BS707" s="5" t="n"/>
      <c r="BT707" s="5" t="n"/>
      <c r="BU707" s="5" t="n"/>
      <c r="BV707" s="5" t="n"/>
      <c r="BW707" s="5" t="n"/>
      <c r="BX707" s="5" t="n"/>
      <c r="BY707" s="5" t="n"/>
      <c r="BZ707" s="5" t="n"/>
      <c r="CA707" s="5" t="n"/>
      <c r="CB707" s="5" t="n"/>
      <c r="CC707" s="5" t="n"/>
      <c r="CD707" s="5" t="n"/>
      <c r="CE707" s="5" t="n"/>
      <c r="CF707" s="5" t="n"/>
    </row>
    <row r="708">
      <c r="A708" s="171" t="n"/>
      <c r="B708" s="171" t="n"/>
      <c r="C708" s="171" t="n"/>
      <c r="D708" s="170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  <c r="AY708" s="5" t="n"/>
      <c r="AZ708" s="5" t="n"/>
      <c r="BA708" s="5" t="n"/>
      <c r="BB708" s="5" t="n"/>
      <c r="BC708" s="5" t="n"/>
      <c r="BD708" s="5" t="n"/>
      <c r="BE708" s="5" t="n"/>
      <c r="BF708" s="5" t="n"/>
      <c r="BG708" s="5" t="n"/>
      <c r="BH708" s="5" t="n"/>
      <c r="BI708" s="5" t="n"/>
      <c r="BJ708" s="5" t="n"/>
      <c r="BK708" s="5" t="n"/>
      <c r="BL708" s="5" t="n"/>
      <c r="BM708" s="5" t="n"/>
      <c r="BN708" s="5" t="n"/>
      <c r="BO708" s="5" t="n"/>
      <c r="BP708" s="5" t="n"/>
      <c r="BQ708" s="5" t="n"/>
      <c r="BR708" s="5" t="n"/>
      <c r="BS708" s="5" t="n"/>
      <c r="BT708" s="5" t="n"/>
      <c r="BU708" s="5" t="n"/>
      <c r="BV708" s="5" t="n"/>
      <c r="BW708" s="5" t="n"/>
      <c r="BX708" s="5" t="n"/>
      <c r="BY708" s="5" t="n"/>
      <c r="BZ708" s="5" t="n"/>
      <c r="CA708" s="5" t="n"/>
      <c r="CB708" s="5" t="n"/>
      <c r="CC708" s="5" t="n"/>
      <c r="CD708" s="5" t="n"/>
      <c r="CE708" s="5" t="n"/>
      <c r="CF708" s="5" t="n"/>
    </row>
    <row r="709">
      <c r="A709" s="171" t="n"/>
      <c r="B709" s="171" t="n"/>
      <c r="C709" s="171" t="n"/>
      <c r="D709" s="170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  <c r="AY709" s="5" t="n"/>
      <c r="AZ709" s="5" t="n"/>
      <c r="BA709" s="5" t="n"/>
      <c r="BB709" s="5" t="n"/>
      <c r="BC709" s="5" t="n"/>
      <c r="BD709" s="5" t="n"/>
      <c r="BE709" s="5" t="n"/>
      <c r="BF709" s="5" t="n"/>
      <c r="BG709" s="5" t="n"/>
      <c r="BH709" s="5" t="n"/>
      <c r="BI709" s="5" t="n"/>
      <c r="BJ709" s="5" t="n"/>
      <c r="BK709" s="5" t="n"/>
      <c r="BL709" s="5" t="n"/>
      <c r="BM709" s="5" t="n"/>
      <c r="BN709" s="5" t="n"/>
      <c r="BO709" s="5" t="n"/>
      <c r="BP709" s="5" t="n"/>
      <c r="BQ709" s="5" t="n"/>
      <c r="BR709" s="5" t="n"/>
      <c r="BS709" s="5" t="n"/>
      <c r="BT709" s="5" t="n"/>
      <c r="BU709" s="5" t="n"/>
      <c r="BV709" s="5" t="n"/>
      <c r="BW709" s="5" t="n"/>
      <c r="BX709" s="5" t="n"/>
      <c r="BY709" s="5" t="n"/>
      <c r="BZ709" s="5" t="n"/>
      <c r="CA709" s="5" t="n"/>
      <c r="CB709" s="5" t="n"/>
      <c r="CC709" s="5" t="n"/>
      <c r="CD709" s="5" t="n"/>
      <c r="CE709" s="5" t="n"/>
      <c r="CF709" s="5" t="n"/>
    </row>
    <row r="710">
      <c r="A710" s="171" t="n"/>
      <c r="B710" s="171" t="n"/>
      <c r="C710" s="171" t="n"/>
      <c r="D710" s="170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  <c r="AY710" s="5" t="n"/>
      <c r="AZ710" s="5" t="n"/>
      <c r="BA710" s="5" t="n"/>
      <c r="BB710" s="5" t="n"/>
      <c r="BC710" s="5" t="n"/>
      <c r="BD710" s="5" t="n"/>
      <c r="BE710" s="5" t="n"/>
      <c r="BF710" s="5" t="n"/>
      <c r="BG710" s="5" t="n"/>
      <c r="BH710" s="5" t="n"/>
      <c r="BI710" s="5" t="n"/>
      <c r="BJ710" s="5" t="n"/>
      <c r="BK710" s="5" t="n"/>
      <c r="BL710" s="5" t="n"/>
      <c r="BM710" s="5" t="n"/>
      <c r="BN710" s="5" t="n"/>
      <c r="BO710" s="5" t="n"/>
      <c r="BP710" s="5" t="n"/>
      <c r="BQ710" s="5" t="n"/>
      <c r="BR710" s="5" t="n"/>
      <c r="BS710" s="5" t="n"/>
      <c r="BT710" s="5" t="n"/>
      <c r="BU710" s="5" t="n"/>
      <c r="BV710" s="5" t="n"/>
      <c r="BW710" s="5" t="n"/>
      <c r="BX710" s="5" t="n"/>
      <c r="BY710" s="5" t="n"/>
      <c r="BZ710" s="5" t="n"/>
      <c r="CA710" s="5" t="n"/>
      <c r="CB710" s="5" t="n"/>
      <c r="CC710" s="5" t="n"/>
      <c r="CD710" s="5" t="n"/>
      <c r="CE710" s="5" t="n"/>
      <c r="CF710" s="5" t="n"/>
    </row>
    <row r="711">
      <c r="A711" s="171" t="n"/>
      <c r="B711" s="171" t="n"/>
      <c r="C711" s="171" t="n"/>
      <c r="D711" s="170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  <c r="AY711" s="5" t="n"/>
      <c r="AZ711" s="5" t="n"/>
      <c r="BA711" s="5" t="n"/>
      <c r="BB711" s="5" t="n"/>
      <c r="BC711" s="5" t="n"/>
      <c r="BD711" s="5" t="n"/>
      <c r="BE711" s="5" t="n"/>
      <c r="BF711" s="5" t="n"/>
      <c r="BG711" s="5" t="n"/>
      <c r="BH711" s="5" t="n"/>
      <c r="BI711" s="5" t="n"/>
      <c r="BJ711" s="5" t="n"/>
      <c r="BK711" s="5" t="n"/>
      <c r="BL711" s="5" t="n"/>
      <c r="BM711" s="5" t="n"/>
      <c r="BN711" s="5" t="n"/>
      <c r="BO711" s="5" t="n"/>
      <c r="BP711" s="5" t="n"/>
      <c r="BQ711" s="5" t="n"/>
      <c r="BR711" s="5" t="n"/>
      <c r="BS711" s="5" t="n"/>
      <c r="BT711" s="5" t="n"/>
      <c r="BU711" s="5" t="n"/>
      <c r="BV711" s="5" t="n"/>
      <c r="BW711" s="5" t="n"/>
      <c r="BX711" s="5" t="n"/>
      <c r="BY711" s="5" t="n"/>
      <c r="BZ711" s="5" t="n"/>
      <c r="CA711" s="5" t="n"/>
      <c r="CB711" s="5" t="n"/>
      <c r="CC711" s="5" t="n"/>
      <c r="CD711" s="5" t="n"/>
      <c r="CE711" s="5" t="n"/>
      <c r="CF711" s="5" t="n"/>
    </row>
    <row r="712">
      <c r="A712" s="171" t="n"/>
      <c r="B712" s="171" t="n"/>
      <c r="C712" s="171" t="n"/>
      <c r="D712" s="170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  <c r="AY712" s="5" t="n"/>
      <c r="AZ712" s="5" t="n"/>
      <c r="BA712" s="5" t="n"/>
      <c r="BB712" s="5" t="n"/>
      <c r="BC712" s="5" t="n"/>
      <c r="BD712" s="5" t="n"/>
      <c r="BE712" s="5" t="n"/>
      <c r="BF712" s="5" t="n"/>
      <c r="BG712" s="5" t="n"/>
      <c r="BH712" s="5" t="n"/>
      <c r="BI712" s="5" t="n"/>
      <c r="BJ712" s="5" t="n"/>
      <c r="BK712" s="5" t="n"/>
      <c r="BL712" s="5" t="n"/>
      <c r="BM712" s="5" t="n"/>
      <c r="BN712" s="5" t="n"/>
      <c r="BO712" s="5" t="n"/>
      <c r="BP712" s="5" t="n"/>
      <c r="BQ712" s="5" t="n"/>
      <c r="BR712" s="5" t="n"/>
      <c r="BS712" s="5" t="n"/>
      <c r="BT712" s="5" t="n"/>
      <c r="BU712" s="5" t="n"/>
      <c r="BV712" s="5" t="n"/>
      <c r="BW712" s="5" t="n"/>
      <c r="BX712" s="5" t="n"/>
      <c r="BY712" s="5" t="n"/>
      <c r="BZ712" s="5" t="n"/>
      <c r="CA712" s="5" t="n"/>
      <c r="CB712" s="5" t="n"/>
      <c r="CC712" s="5" t="n"/>
      <c r="CD712" s="5" t="n"/>
      <c r="CE712" s="5" t="n"/>
      <c r="CF712" s="5" t="n"/>
    </row>
    <row r="713">
      <c r="A713" s="171" t="n"/>
      <c r="B713" s="171" t="n"/>
      <c r="C713" s="171" t="n"/>
      <c r="D713" s="170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  <c r="AY713" s="5" t="n"/>
      <c r="AZ713" s="5" t="n"/>
      <c r="BA713" s="5" t="n"/>
      <c r="BB713" s="5" t="n"/>
      <c r="BC713" s="5" t="n"/>
      <c r="BD713" s="5" t="n"/>
      <c r="BE713" s="5" t="n"/>
      <c r="BF713" s="5" t="n"/>
      <c r="BG713" s="5" t="n"/>
      <c r="BH713" s="5" t="n"/>
      <c r="BI713" s="5" t="n"/>
      <c r="BJ713" s="5" t="n"/>
      <c r="BK713" s="5" t="n"/>
      <c r="BL713" s="5" t="n"/>
      <c r="BM713" s="5" t="n"/>
      <c r="BN713" s="5" t="n"/>
      <c r="BO713" s="5" t="n"/>
      <c r="BP713" s="5" t="n"/>
      <c r="BQ713" s="5" t="n"/>
      <c r="BR713" s="5" t="n"/>
      <c r="BS713" s="5" t="n"/>
      <c r="BT713" s="5" t="n"/>
      <c r="BU713" s="5" t="n"/>
      <c r="BV713" s="5" t="n"/>
      <c r="BW713" s="5" t="n"/>
      <c r="BX713" s="5" t="n"/>
      <c r="BY713" s="5" t="n"/>
      <c r="BZ713" s="5" t="n"/>
      <c r="CA713" s="5" t="n"/>
      <c r="CB713" s="5" t="n"/>
      <c r="CC713" s="5" t="n"/>
      <c r="CD713" s="5" t="n"/>
      <c r="CE713" s="5" t="n"/>
      <c r="CF713" s="5" t="n"/>
    </row>
    <row r="714">
      <c r="A714" s="171" t="n"/>
      <c r="B714" s="171" t="n"/>
      <c r="C714" s="171" t="n"/>
      <c r="D714" s="170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  <c r="AY714" s="5" t="n"/>
      <c r="AZ714" s="5" t="n"/>
      <c r="BA714" s="5" t="n"/>
      <c r="BB714" s="5" t="n"/>
      <c r="BC714" s="5" t="n"/>
      <c r="BD714" s="5" t="n"/>
      <c r="BE714" s="5" t="n"/>
      <c r="BF714" s="5" t="n"/>
      <c r="BG714" s="5" t="n"/>
      <c r="BH714" s="5" t="n"/>
      <c r="BI714" s="5" t="n"/>
      <c r="BJ714" s="5" t="n"/>
      <c r="BK714" s="5" t="n"/>
      <c r="BL714" s="5" t="n"/>
      <c r="BM714" s="5" t="n"/>
      <c r="BN714" s="5" t="n"/>
      <c r="BO714" s="5" t="n"/>
      <c r="BP714" s="5" t="n"/>
      <c r="BQ714" s="5" t="n"/>
      <c r="BR714" s="5" t="n"/>
      <c r="BS714" s="5" t="n"/>
      <c r="BT714" s="5" t="n"/>
      <c r="BU714" s="5" t="n"/>
      <c r="BV714" s="5" t="n"/>
      <c r="BW714" s="5" t="n"/>
      <c r="BX714" s="5" t="n"/>
      <c r="BY714" s="5" t="n"/>
      <c r="BZ714" s="5" t="n"/>
      <c r="CA714" s="5" t="n"/>
      <c r="CB714" s="5" t="n"/>
      <c r="CC714" s="5" t="n"/>
      <c r="CD714" s="5" t="n"/>
      <c r="CE714" s="5" t="n"/>
      <c r="CF714" s="5" t="n"/>
    </row>
    <row r="715">
      <c r="A715" s="171" t="n"/>
      <c r="B715" s="171" t="n"/>
      <c r="C715" s="171" t="n"/>
      <c r="D715" s="170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  <c r="AY715" s="5" t="n"/>
      <c r="AZ715" s="5" t="n"/>
      <c r="BA715" s="5" t="n"/>
      <c r="BB715" s="5" t="n"/>
      <c r="BC715" s="5" t="n"/>
      <c r="BD715" s="5" t="n"/>
      <c r="BE715" s="5" t="n"/>
      <c r="BF715" s="5" t="n"/>
      <c r="BG715" s="5" t="n"/>
      <c r="BH715" s="5" t="n"/>
      <c r="BI715" s="5" t="n"/>
      <c r="BJ715" s="5" t="n"/>
      <c r="BK715" s="5" t="n"/>
      <c r="BL715" s="5" t="n"/>
      <c r="BM715" s="5" t="n"/>
      <c r="BN715" s="5" t="n"/>
      <c r="BO715" s="5" t="n"/>
      <c r="BP715" s="5" t="n"/>
      <c r="BQ715" s="5" t="n"/>
      <c r="BR715" s="5" t="n"/>
      <c r="BS715" s="5" t="n"/>
      <c r="BT715" s="5" t="n"/>
      <c r="BU715" s="5" t="n"/>
      <c r="BV715" s="5" t="n"/>
      <c r="BW715" s="5" t="n"/>
      <c r="BX715" s="5" t="n"/>
      <c r="BY715" s="5" t="n"/>
      <c r="BZ715" s="5" t="n"/>
      <c r="CA715" s="5" t="n"/>
      <c r="CB715" s="5" t="n"/>
      <c r="CC715" s="5" t="n"/>
      <c r="CD715" s="5" t="n"/>
      <c r="CE715" s="5" t="n"/>
      <c r="CF715" s="5" t="n"/>
    </row>
    <row r="716">
      <c r="A716" s="171" t="n"/>
      <c r="B716" s="171" t="n"/>
      <c r="C716" s="171" t="n"/>
      <c r="D716" s="170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  <c r="AY716" s="5" t="n"/>
      <c r="AZ716" s="5" t="n"/>
      <c r="BA716" s="5" t="n"/>
      <c r="BB716" s="5" t="n"/>
      <c r="BC716" s="5" t="n"/>
      <c r="BD716" s="5" t="n"/>
      <c r="BE716" s="5" t="n"/>
      <c r="BF716" s="5" t="n"/>
      <c r="BG716" s="5" t="n"/>
      <c r="BH716" s="5" t="n"/>
      <c r="BI716" s="5" t="n"/>
      <c r="BJ716" s="5" t="n"/>
      <c r="BK716" s="5" t="n"/>
      <c r="BL716" s="5" t="n"/>
      <c r="BM716" s="5" t="n"/>
      <c r="BN716" s="5" t="n"/>
      <c r="BO716" s="5" t="n"/>
      <c r="BP716" s="5" t="n"/>
      <c r="BQ716" s="5" t="n"/>
      <c r="BR716" s="5" t="n"/>
      <c r="BS716" s="5" t="n"/>
      <c r="BT716" s="5" t="n"/>
      <c r="BU716" s="5" t="n"/>
      <c r="BV716" s="5" t="n"/>
      <c r="BW716" s="5" t="n"/>
      <c r="BX716" s="5" t="n"/>
      <c r="BY716" s="5" t="n"/>
      <c r="BZ716" s="5" t="n"/>
      <c r="CA716" s="5" t="n"/>
      <c r="CB716" s="5" t="n"/>
      <c r="CC716" s="5" t="n"/>
      <c r="CD716" s="5" t="n"/>
      <c r="CE716" s="5" t="n"/>
      <c r="CF716" s="5" t="n"/>
    </row>
    <row r="717">
      <c r="A717" s="171" t="n"/>
      <c r="B717" s="171" t="n"/>
      <c r="C717" s="171" t="n"/>
      <c r="D717" s="170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  <c r="AY717" s="5" t="n"/>
      <c r="AZ717" s="5" t="n"/>
      <c r="BA717" s="5" t="n"/>
      <c r="BB717" s="5" t="n"/>
      <c r="BC717" s="5" t="n"/>
      <c r="BD717" s="5" t="n"/>
      <c r="BE717" s="5" t="n"/>
      <c r="BF717" s="5" t="n"/>
      <c r="BG717" s="5" t="n"/>
      <c r="BH717" s="5" t="n"/>
      <c r="BI717" s="5" t="n"/>
      <c r="BJ717" s="5" t="n"/>
      <c r="BK717" s="5" t="n"/>
      <c r="BL717" s="5" t="n"/>
      <c r="BM717" s="5" t="n"/>
      <c r="BN717" s="5" t="n"/>
      <c r="BO717" s="5" t="n"/>
      <c r="BP717" s="5" t="n"/>
      <c r="BQ717" s="5" t="n"/>
      <c r="BR717" s="5" t="n"/>
      <c r="BS717" s="5" t="n"/>
      <c r="BT717" s="5" t="n"/>
      <c r="BU717" s="5" t="n"/>
      <c r="BV717" s="5" t="n"/>
      <c r="BW717" s="5" t="n"/>
      <c r="BX717" s="5" t="n"/>
      <c r="BY717" s="5" t="n"/>
      <c r="BZ717" s="5" t="n"/>
      <c r="CA717" s="5" t="n"/>
      <c r="CB717" s="5" t="n"/>
      <c r="CC717" s="5" t="n"/>
      <c r="CD717" s="5" t="n"/>
      <c r="CE717" s="5" t="n"/>
      <c r="CF717" s="5" t="n"/>
    </row>
    <row r="718">
      <c r="A718" s="171" t="n"/>
      <c r="B718" s="171" t="n"/>
      <c r="C718" s="171" t="n"/>
      <c r="D718" s="170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  <c r="AY718" s="5" t="n"/>
      <c r="AZ718" s="5" t="n"/>
      <c r="BA718" s="5" t="n"/>
      <c r="BB718" s="5" t="n"/>
      <c r="BC718" s="5" t="n"/>
      <c r="BD718" s="5" t="n"/>
      <c r="BE718" s="5" t="n"/>
      <c r="BF718" s="5" t="n"/>
      <c r="BG718" s="5" t="n"/>
      <c r="BH718" s="5" t="n"/>
      <c r="BI718" s="5" t="n"/>
      <c r="BJ718" s="5" t="n"/>
      <c r="BK718" s="5" t="n"/>
      <c r="BL718" s="5" t="n"/>
      <c r="BM718" s="5" t="n"/>
      <c r="BN718" s="5" t="n"/>
      <c r="BO718" s="5" t="n"/>
      <c r="BP718" s="5" t="n"/>
      <c r="BQ718" s="5" t="n"/>
      <c r="BR718" s="5" t="n"/>
      <c r="BS718" s="5" t="n"/>
      <c r="BT718" s="5" t="n"/>
      <c r="BU718" s="5" t="n"/>
      <c r="BV718" s="5" t="n"/>
      <c r="BW718" s="5" t="n"/>
      <c r="BX718" s="5" t="n"/>
      <c r="BY718" s="5" t="n"/>
      <c r="BZ718" s="5" t="n"/>
      <c r="CA718" s="5" t="n"/>
      <c r="CB718" s="5" t="n"/>
      <c r="CC718" s="5" t="n"/>
      <c r="CD718" s="5" t="n"/>
      <c r="CE718" s="5" t="n"/>
      <c r="CF718" s="5" t="n"/>
    </row>
    <row r="719">
      <c r="A719" s="171" t="n"/>
      <c r="B719" s="171" t="n"/>
      <c r="C719" s="171" t="n"/>
      <c r="D719" s="170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  <c r="AY719" s="5" t="n"/>
      <c r="AZ719" s="5" t="n"/>
      <c r="BA719" s="5" t="n"/>
      <c r="BB719" s="5" t="n"/>
      <c r="BC719" s="5" t="n"/>
      <c r="BD719" s="5" t="n"/>
      <c r="BE719" s="5" t="n"/>
      <c r="BF719" s="5" t="n"/>
      <c r="BG719" s="5" t="n"/>
      <c r="BH719" s="5" t="n"/>
      <c r="BI719" s="5" t="n"/>
      <c r="BJ719" s="5" t="n"/>
      <c r="BK719" s="5" t="n"/>
      <c r="BL719" s="5" t="n"/>
      <c r="BM719" s="5" t="n"/>
      <c r="BN719" s="5" t="n"/>
      <c r="BO719" s="5" t="n"/>
      <c r="BP719" s="5" t="n"/>
      <c r="BQ719" s="5" t="n"/>
      <c r="BR719" s="5" t="n"/>
      <c r="BS719" s="5" t="n"/>
      <c r="BT719" s="5" t="n"/>
      <c r="BU719" s="5" t="n"/>
      <c r="BV719" s="5" t="n"/>
      <c r="BW719" s="5" t="n"/>
      <c r="BX719" s="5" t="n"/>
      <c r="BY719" s="5" t="n"/>
      <c r="BZ719" s="5" t="n"/>
      <c r="CA719" s="5" t="n"/>
      <c r="CB719" s="5" t="n"/>
      <c r="CC719" s="5" t="n"/>
      <c r="CD719" s="5" t="n"/>
      <c r="CE719" s="5" t="n"/>
      <c r="CF719" s="5" t="n"/>
    </row>
    <row r="720">
      <c r="A720" s="171" t="n"/>
      <c r="B720" s="171" t="n"/>
      <c r="C720" s="171" t="n"/>
      <c r="D720" s="170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  <c r="AY720" s="5" t="n"/>
      <c r="AZ720" s="5" t="n"/>
      <c r="BA720" s="5" t="n"/>
      <c r="BB720" s="5" t="n"/>
      <c r="BC720" s="5" t="n"/>
      <c r="BD720" s="5" t="n"/>
      <c r="BE720" s="5" t="n"/>
      <c r="BF720" s="5" t="n"/>
      <c r="BG720" s="5" t="n"/>
      <c r="BH720" s="5" t="n"/>
      <c r="BI720" s="5" t="n"/>
      <c r="BJ720" s="5" t="n"/>
      <c r="BK720" s="5" t="n"/>
      <c r="BL720" s="5" t="n"/>
      <c r="BM720" s="5" t="n"/>
      <c r="BN720" s="5" t="n"/>
      <c r="BO720" s="5" t="n"/>
      <c r="BP720" s="5" t="n"/>
      <c r="BQ720" s="5" t="n"/>
      <c r="BR720" s="5" t="n"/>
      <c r="BS720" s="5" t="n"/>
      <c r="BT720" s="5" t="n"/>
      <c r="BU720" s="5" t="n"/>
      <c r="BV720" s="5" t="n"/>
      <c r="BW720" s="5" t="n"/>
      <c r="BX720" s="5" t="n"/>
      <c r="BY720" s="5" t="n"/>
      <c r="BZ720" s="5" t="n"/>
      <c r="CA720" s="5" t="n"/>
      <c r="CB720" s="5" t="n"/>
      <c r="CC720" s="5" t="n"/>
      <c r="CD720" s="5" t="n"/>
      <c r="CE720" s="5" t="n"/>
      <c r="CF720" s="5" t="n"/>
    </row>
    <row r="721">
      <c r="A721" s="171" t="n"/>
      <c r="B721" s="171" t="n"/>
      <c r="C721" s="171" t="n"/>
      <c r="D721" s="170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  <c r="AY721" s="5" t="n"/>
      <c r="AZ721" s="5" t="n"/>
      <c r="BA721" s="5" t="n"/>
      <c r="BB721" s="5" t="n"/>
      <c r="BC721" s="5" t="n"/>
      <c r="BD721" s="5" t="n"/>
      <c r="BE721" s="5" t="n"/>
      <c r="BF721" s="5" t="n"/>
      <c r="BG721" s="5" t="n"/>
      <c r="BH721" s="5" t="n"/>
      <c r="BI721" s="5" t="n"/>
      <c r="BJ721" s="5" t="n"/>
      <c r="BK721" s="5" t="n"/>
      <c r="BL721" s="5" t="n"/>
      <c r="BM721" s="5" t="n"/>
      <c r="BN721" s="5" t="n"/>
      <c r="BO721" s="5" t="n"/>
      <c r="BP721" s="5" t="n"/>
      <c r="BQ721" s="5" t="n"/>
      <c r="BR721" s="5" t="n"/>
      <c r="BS721" s="5" t="n"/>
      <c r="BT721" s="5" t="n"/>
      <c r="BU721" s="5" t="n"/>
      <c r="BV721" s="5" t="n"/>
      <c r="BW721" s="5" t="n"/>
      <c r="BX721" s="5" t="n"/>
      <c r="BY721" s="5" t="n"/>
      <c r="BZ721" s="5" t="n"/>
      <c r="CA721" s="5" t="n"/>
      <c r="CB721" s="5" t="n"/>
      <c r="CC721" s="5" t="n"/>
      <c r="CD721" s="5" t="n"/>
      <c r="CE721" s="5" t="n"/>
      <c r="CF721" s="5" t="n"/>
    </row>
    <row r="722">
      <c r="A722" s="171" t="n"/>
      <c r="B722" s="171" t="n"/>
      <c r="C722" s="171" t="n"/>
      <c r="D722" s="170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  <c r="AY722" s="5" t="n"/>
      <c r="AZ722" s="5" t="n"/>
      <c r="BA722" s="5" t="n"/>
      <c r="BB722" s="5" t="n"/>
      <c r="BC722" s="5" t="n"/>
      <c r="BD722" s="5" t="n"/>
      <c r="BE722" s="5" t="n"/>
      <c r="BF722" s="5" t="n"/>
      <c r="BG722" s="5" t="n"/>
      <c r="BH722" s="5" t="n"/>
      <c r="BI722" s="5" t="n"/>
      <c r="BJ722" s="5" t="n"/>
      <c r="BK722" s="5" t="n"/>
      <c r="BL722" s="5" t="n"/>
      <c r="BM722" s="5" t="n"/>
      <c r="BN722" s="5" t="n"/>
      <c r="BO722" s="5" t="n"/>
      <c r="BP722" s="5" t="n"/>
      <c r="BQ722" s="5" t="n"/>
      <c r="BR722" s="5" t="n"/>
      <c r="BS722" s="5" t="n"/>
      <c r="BT722" s="5" t="n"/>
      <c r="BU722" s="5" t="n"/>
      <c r="BV722" s="5" t="n"/>
      <c r="BW722" s="5" t="n"/>
      <c r="BX722" s="5" t="n"/>
      <c r="BY722" s="5" t="n"/>
      <c r="BZ722" s="5" t="n"/>
      <c r="CA722" s="5" t="n"/>
      <c r="CB722" s="5" t="n"/>
      <c r="CC722" s="5" t="n"/>
      <c r="CD722" s="5" t="n"/>
      <c r="CE722" s="5" t="n"/>
      <c r="CF722" s="5" t="n"/>
    </row>
    <row r="723">
      <c r="A723" s="171" t="n"/>
      <c r="B723" s="171" t="n"/>
      <c r="C723" s="171" t="n"/>
      <c r="D723" s="170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  <c r="AY723" s="5" t="n"/>
      <c r="AZ723" s="5" t="n"/>
      <c r="BA723" s="5" t="n"/>
      <c r="BB723" s="5" t="n"/>
      <c r="BC723" s="5" t="n"/>
      <c r="BD723" s="5" t="n"/>
      <c r="BE723" s="5" t="n"/>
      <c r="BF723" s="5" t="n"/>
      <c r="BG723" s="5" t="n"/>
      <c r="BH723" s="5" t="n"/>
      <c r="BI723" s="5" t="n"/>
      <c r="BJ723" s="5" t="n"/>
      <c r="BK723" s="5" t="n"/>
      <c r="BL723" s="5" t="n"/>
      <c r="BM723" s="5" t="n"/>
      <c r="BN723" s="5" t="n"/>
      <c r="BO723" s="5" t="n"/>
      <c r="BP723" s="5" t="n"/>
      <c r="BQ723" s="5" t="n"/>
      <c r="BR723" s="5" t="n"/>
      <c r="BS723" s="5" t="n"/>
      <c r="BT723" s="5" t="n"/>
      <c r="BU723" s="5" t="n"/>
      <c r="BV723" s="5" t="n"/>
      <c r="BW723" s="5" t="n"/>
      <c r="BX723" s="5" t="n"/>
      <c r="BY723" s="5" t="n"/>
      <c r="BZ723" s="5" t="n"/>
      <c r="CA723" s="5" t="n"/>
      <c r="CB723" s="5" t="n"/>
      <c r="CC723" s="5" t="n"/>
      <c r="CD723" s="5" t="n"/>
      <c r="CE723" s="5" t="n"/>
      <c r="CF723" s="5" t="n"/>
    </row>
    <row r="724">
      <c r="A724" s="171" t="n"/>
      <c r="B724" s="171" t="n"/>
      <c r="C724" s="171" t="n"/>
      <c r="D724" s="170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  <c r="AY724" s="5" t="n"/>
      <c r="AZ724" s="5" t="n"/>
      <c r="BA724" s="5" t="n"/>
      <c r="BB724" s="5" t="n"/>
      <c r="BC724" s="5" t="n"/>
      <c r="BD724" s="5" t="n"/>
      <c r="BE724" s="5" t="n"/>
      <c r="BF724" s="5" t="n"/>
      <c r="BG724" s="5" t="n"/>
      <c r="BH724" s="5" t="n"/>
      <c r="BI724" s="5" t="n"/>
      <c r="BJ724" s="5" t="n"/>
      <c r="BK724" s="5" t="n"/>
      <c r="BL724" s="5" t="n"/>
      <c r="BM724" s="5" t="n"/>
      <c r="BN724" s="5" t="n"/>
      <c r="BO724" s="5" t="n"/>
      <c r="BP724" s="5" t="n"/>
      <c r="BQ724" s="5" t="n"/>
      <c r="BR724" s="5" t="n"/>
      <c r="BS724" s="5" t="n"/>
      <c r="BT724" s="5" t="n"/>
      <c r="BU724" s="5" t="n"/>
      <c r="BV724" s="5" t="n"/>
      <c r="BW724" s="5" t="n"/>
      <c r="BX724" s="5" t="n"/>
      <c r="BY724" s="5" t="n"/>
      <c r="BZ724" s="5" t="n"/>
      <c r="CA724" s="5" t="n"/>
      <c r="CB724" s="5" t="n"/>
      <c r="CC724" s="5" t="n"/>
      <c r="CD724" s="5" t="n"/>
      <c r="CE724" s="5" t="n"/>
      <c r="CF724" s="5" t="n"/>
    </row>
    <row r="725">
      <c r="A725" s="171" t="n"/>
      <c r="B725" s="171" t="n"/>
      <c r="C725" s="171" t="n"/>
      <c r="D725" s="170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  <c r="AY725" s="5" t="n"/>
      <c r="AZ725" s="5" t="n"/>
      <c r="BA725" s="5" t="n"/>
      <c r="BB725" s="5" t="n"/>
      <c r="BC725" s="5" t="n"/>
      <c r="BD725" s="5" t="n"/>
      <c r="BE725" s="5" t="n"/>
      <c r="BF725" s="5" t="n"/>
      <c r="BG725" s="5" t="n"/>
      <c r="BH725" s="5" t="n"/>
      <c r="BI725" s="5" t="n"/>
      <c r="BJ725" s="5" t="n"/>
      <c r="BK725" s="5" t="n"/>
      <c r="BL725" s="5" t="n"/>
      <c r="BM725" s="5" t="n"/>
      <c r="BN725" s="5" t="n"/>
      <c r="BO725" s="5" t="n"/>
      <c r="BP725" s="5" t="n"/>
      <c r="BQ725" s="5" t="n"/>
      <c r="BR725" s="5" t="n"/>
      <c r="BS725" s="5" t="n"/>
      <c r="BT725" s="5" t="n"/>
      <c r="BU725" s="5" t="n"/>
      <c r="BV725" s="5" t="n"/>
      <c r="BW725" s="5" t="n"/>
      <c r="BX725" s="5" t="n"/>
      <c r="BY725" s="5" t="n"/>
      <c r="BZ725" s="5" t="n"/>
      <c r="CA725" s="5" t="n"/>
      <c r="CB725" s="5" t="n"/>
      <c r="CC725" s="5" t="n"/>
      <c r="CD725" s="5" t="n"/>
      <c r="CE725" s="5" t="n"/>
      <c r="CF725" s="5" t="n"/>
    </row>
    <row r="726">
      <c r="A726" s="171" t="n"/>
      <c r="B726" s="171" t="n"/>
      <c r="C726" s="171" t="n"/>
      <c r="D726" s="170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  <c r="AY726" s="5" t="n"/>
      <c r="AZ726" s="5" t="n"/>
      <c r="BA726" s="5" t="n"/>
      <c r="BB726" s="5" t="n"/>
      <c r="BC726" s="5" t="n"/>
      <c r="BD726" s="5" t="n"/>
      <c r="BE726" s="5" t="n"/>
      <c r="BF726" s="5" t="n"/>
      <c r="BG726" s="5" t="n"/>
      <c r="BH726" s="5" t="n"/>
      <c r="BI726" s="5" t="n"/>
      <c r="BJ726" s="5" t="n"/>
      <c r="BK726" s="5" t="n"/>
      <c r="BL726" s="5" t="n"/>
      <c r="BM726" s="5" t="n"/>
      <c r="BN726" s="5" t="n"/>
      <c r="BO726" s="5" t="n"/>
      <c r="BP726" s="5" t="n"/>
      <c r="BQ726" s="5" t="n"/>
      <c r="BR726" s="5" t="n"/>
      <c r="BS726" s="5" t="n"/>
      <c r="BT726" s="5" t="n"/>
      <c r="BU726" s="5" t="n"/>
      <c r="BV726" s="5" t="n"/>
      <c r="BW726" s="5" t="n"/>
      <c r="BX726" s="5" t="n"/>
      <c r="BY726" s="5" t="n"/>
      <c r="BZ726" s="5" t="n"/>
      <c r="CA726" s="5" t="n"/>
      <c r="CB726" s="5" t="n"/>
      <c r="CC726" s="5" t="n"/>
      <c r="CD726" s="5" t="n"/>
      <c r="CE726" s="5" t="n"/>
      <c r="CF726" s="5" t="n"/>
    </row>
    <row r="727">
      <c r="A727" s="171" t="n"/>
      <c r="B727" s="171" t="n"/>
      <c r="C727" s="171" t="n"/>
      <c r="D727" s="170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  <c r="AY727" s="5" t="n"/>
      <c r="AZ727" s="5" t="n"/>
      <c r="BA727" s="5" t="n"/>
      <c r="BB727" s="5" t="n"/>
      <c r="BC727" s="5" t="n"/>
      <c r="BD727" s="5" t="n"/>
      <c r="BE727" s="5" t="n"/>
      <c r="BF727" s="5" t="n"/>
      <c r="BG727" s="5" t="n"/>
      <c r="BH727" s="5" t="n"/>
      <c r="BI727" s="5" t="n"/>
      <c r="BJ727" s="5" t="n"/>
      <c r="BK727" s="5" t="n"/>
      <c r="BL727" s="5" t="n"/>
      <c r="BM727" s="5" t="n"/>
      <c r="BN727" s="5" t="n"/>
      <c r="BO727" s="5" t="n"/>
      <c r="BP727" s="5" t="n"/>
      <c r="BQ727" s="5" t="n"/>
      <c r="BR727" s="5" t="n"/>
      <c r="BS727" s="5" t="n"/>
      <c r="BT727" s="5" t="n"/>
      <c r="BU727" s="5" t="n"/>
      <c r="BV727" s="5" t="n"/>
      <c r="BW727" s="5" t="n"/>
      <c r="BX727" s="5" t="n"/>
      <c r="BY727" s="5" t="n"/>
      <c r="BZ727" s="5" t="n"/>
      <c r="CA727" s="5" t="n"/>
      <c r="CB727" s="5" t="n"/>
      <c r="CC727" s="5" t="n"/>
      <c r="CD727" s="5" t="n"/>
      <c r="CE727" s="5" t="n"/>
      <c r="CF727" s="5" t="n"/>
    </row>
    <row r="728">
      <c r="A728" s="171" t="n"/>
      <c r="B728" s="171" t="n"/>
      <c r="C728" s="171" t="n"/>
      <c r="D728" s="170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  <c r="AY728" s="5" t="n"/>
      <c r="AZ728" s="5" t="n"/>
      <c r="BA728" s="5" t="n"/>
      <c r="BB728" s="5" t="n"/>
      <c r="BC728" s="5" t="n"/>
      <c r="BD728" s="5" t="n"/>
      <c r="BE728" s="5" t="n"/>
      <c r="BF728" s="5" t="n"/>
      <c r="BG728" s="5" t="n"/>
      <c r="BH728" s="5" t="n"/>
      <c r="BI728" s="5" t="n"/>
      <c r="BJ728" s="5" t="n"/>
      <c r="BK728" s="5" t="n"/>
      <c r="BL728" s="5" t="n"/>
      <c r="BM728" s="5" t="n"/>
      <c r="BN728" s="5" t="n"/>
      <c r="BO728" s="5" t="n"/>
      <c r="BP728" s="5" t="n"/>
      <c r="BQ728" s="5" t="n"/>
      <c r="BR728" s="5" t="n"/>
      <c r="BS728" s="5" t="n"/>
      <c r="BT728" s="5" t="n"/>
      <c r="BU728" s="5" t="n"/>
      <c r="BV728" s="5" t="n"/>
      <c r="BW728" s="5" t="n"/>
      <c r="BX728" s="5" t="n"/>
      <c r="BY728" s="5" t="n"/>
      <c r="BZ728" s="5" t="n"/>
      <c r="CA728" s="5" t="n"/>
      <c r="CB728" s="5" t="n"/>
      <c r="CC728" s="5" t="n"/>
      <c r="CD728" s="5" t="n"/>
      <c r="CE728" s="5" t="n"/>
      <c r="CF728" s="5" t="n"/>
    </row>
    <row r="729">
      <c r="A729" s="171" t="n"/>
      <c r="B729" s="171" t="n"/>
      <c r="C729" s="171" t="n"/>
      <c r="D729" s="170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  <c r="AY729" s="5" t="n"/>
      <c r="AZ729" s="5" t="n"/>
      <c r="BA729" s="5" t="n"/>
      <c r="BB729" s="5" t="n"/>
      <c r="BC729" s="5" t="n"/>
      <c r="BD729" s="5" t="n"/>
      <c r="BE729" s="5" t="n"/>
      <c r="BF729" s="5" t="n"/>
      <c r="BG729" s="5" t="n"/>
      <c r="BH729" s="5" t="n"/>
      <c r="BI729" s="5" t="n"/>
      <c r="BJ729" s="5" t="n"/>
      <c r="BK729" s="5" t="n"/>
      <c r="BL729" s="5" t="n"/>
      <c r="BM729" s="5" t="n"/>
      <c r="BN729" s="5" t="n"/>
      <c r="BO729" s="5" t="n"/>
      <c r="BP729" s="5" t="n"/>
      <c r="BQ729" s="5" t="n"/>
      <c r="BR729" s="5" t="n"/>
      <c r="BS729" s="5" t="n"/>
      <c r="BT729" s="5" t="n"/>
      <c r="BU729" s="5" t="n"/>
      <c r="BV729" s="5" t="n"/>
      <c r="BW729" s="5" t="n"/>
      <c r="BX729" s="5" t="n"/>
      <c r="BY729" s="5" t="n"/>
      <c r="BZ729" s="5" t="n"/>
      <c r="CA729" s="5" t="n"/>
      <c r="CB729" s="5" t="n"/>
      <c r="CC729" s="5" t="n"/>
      <c r="CD729" s="5" t="n"/>
      <c r="CE729" s="5" t="n"/>
      <c r="CF729" s="5" t="n"/>
    </row>
    <row r="730">
      <c r="A730" s="171" t="n"/>
      <c r="B730" s="171" t="n"/>
      <c r="C730" s="171" t="n"/>
      <c r="D730" s="170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  <c r="AY730" s="5" t="n"/>
      <c r="AZ730" s="5" t="n"/>
      <c r="BA730" s="5" t="n"/>
      <c r="BB730" s="5" t="n"/>
      <c r="BC730" s="5" t="n"/>
      <c r="BD730" s="5" t="n"/>
      <c r="BE730" s="5" t="n"/>
      <c r="BF730" s="5" t="n"/>
      <c r="BG730" s="5" t="n"/>
      <c r="BH730" s="5" t="n"/>
      <c r="BI730" s="5" t="n"/>
      <c r="BJ730" s="5" t="n"/>
      <c r="BK730" s="5" t="n"/>
      <c r="BL730" s="5" t="n"/>
      <c r="BM730" s="5" t="n"/>
      <c r="BN730" s="5" t="n"/>
      <c r="BO730" s="5" t="n"/>
      <c r="BP730" s="5" t="n"/>
      <c r="BQ730" s="5" t="n"/>
      <c r="BR730" s="5" t="n"/>
      <c r="BS730" s="5" t="n"/>
      <c r="BT730" s="5" t="n"/>
      <c r="BU730" s="5" t="n"/>
      <c r="BV730" s="5" t="n"/>
      <c r="BW730" s="5" t="n"/>
      <c r="BX730" s="5" t="n"/>
      <c r="BY730" s="5" t="n"/>
      <c r="BZ730" s="5" t="n"/>
      <c r="CA730" s="5" t="n"/>
      <c r="CB730" s="5" t="n"/>
      <c r="CC730" s="5" t="n"/>
      <c r="CD730" s="5" t="n"/>
      <c r="CE730" s="5" t="n"/>
      <c r="CF730" s="5" t="n"/>
    </row>
    <row r="731">
      <c r="A731" s="171" t="n"/>
      <c r="B731" s="171" t="n"/>
      <c r="C731" s="171" t="n"/>
      <c r="D731" s="170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  <c r="AY731" s="5" t="n"/>
      <c r="AZ731" s="5" t="n"/>
      <c r="BA731" s="5" t="n"/>
      <c r="BB731" s="5" t="n"/>
      <c r="BC731" s="5" t="n"/>
      <c r="BD731" s="5" t="n"/>
      <c r="BE731" s="5" t="n"/>
      <c r="BF731" s="5" t="n"/>
      <c r="BG731" s="5" t="n"/>
      <c r="BH731" s="5" t="n"/>
      <c r="BI731" s="5" t="n"/>
      <c r="BJ731" s="5" t="n"/>
      <c r="BK731" s="5" t="n"/>
      <c r="BL731" s="5" t="n"/>
      <c r="BM731" s="5" t="n"/>
      <c r="BN731" s="5" t="n"/>
      <c r="BO731" s="5" t="n"/>
      <c r="BP731" s="5" t="n"/>
      <c r="BQ731" s="5" t="n"/>
      <c r="BR731" s="5" t="n"/>
      <c r="BS731" s="5" t="n"/>
      <c r="BT731" s="5" t="n"/>
      <c r="BU731" s="5" t="n"/>
      <c r="BV731" s="5" t="n"/>
      <c r="BW731" s="5" t="n"/>
      <c r="BX731" s="5" t="n"/>
      <c r="BY731" s="5" t="n"/>
      <c r="BZ731" s="5" t="n"/>
      <c r="CA731" s="5" t="n"/>
      <c r="CB731" s="5" t="n"/>
      <c r="CC731" s="5" t="n"/>
      <c r="CD731" s="5" t="n"/>
      <c r="CE731" s="5" t="n"/>
      <c r="CF731" s="5" t="n"/>
    </row>
    <row r="732">
      <c r="A732" s="171" t="n"/>
      <c r="B732" s="171" t="n"/>
      <c r="C732" s="171" t="n"/>
      <c r="D732" s="170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  <c r="AY732" s="5" t="n"/>
      <c r="AZ732" s="5" t="n"/>
      <c r="BA732" s="5" t="n"/>
      <c r="BB732" s="5" t="n"/>
      <c r="BC732" s="5" t="n"/>
      <c r="BD732" s="5" t="n"/>
      <c r="BE732" s="5" t="n"/>
      <c r="BF732" s="5" t="n"/>
      <c r="BG732" s="5" t="n"/>
      <c r="BH732" s="5" t="n"/>
      <c r="BI732" s="5" t="n"/>
      <c r="BJ732" s="5" t="n"/>
      <c r="BK732" s="5" t="n"/>
      <c r="BL732" s="5" t="n"/>
      <c r="BM732" s="5" t="n"/>
      <c r="BN732" s="5" t="n"/>
      <c r="BO732" s="5" t="n"/>
      <c r="BP732" s="5" t="n"/>
      <c r="BQ732" s="5" t="n"/>
      <c r="BR732" s="5" t="n"/>
      <c r="BS732" s="5" t="n"/>
      <c r="BT732" s="5" t="n"/>
      <c r="BU732" s="5" t="n"/>
      <c r="BV732" s="5" t="n"/>
      <c r="BW732" s="5" t="n"/>
      <c r="BX732" s="5" t="n"/>
      <c r="BY732" s="5" t="n"/>
      <c r="BZ732" s="5" t="n"/>
      <c r="CA732" s="5" t="n"/>
      <c r="CB732" s="5" t="n"/>
      <c r="CC732" s="5" t="n"/>
      <c r="CD732" s="5" t="n"/>
      <c r="CE732" s="5" t="n"/>
      <c r="CF732" s="5" t="n"/>
    </row>
    <row r="733">
      <c r="A733" s="171" t="n"/>
      <c r="B733" s="171" t="n"/>
      <c r="C733" s="171" t="n"/>
      <c r="D733" s="170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  <c r="AY733" s="5" t="n"/>
      <c r="AZ733" s="5" t="n"/>
      <c r="BA733" s="5" t="n"/>
      <c r="BB733" s="5" t="n"/>
      <c r="BC733" s="5" t="n"/>
      <c r="BD733" s="5" t="n"/>
      <c r="BE733" s="5" t="n"/>
      <c r="BF733" s="5" t="n"/>
      <c r="BG733" s="5" t="n"/>
      <c r="BH733" s="5" t="n"/>
      <c r="BI733" s="5" t="n"/>
      <c r="BJ733" s="5" t="n"/>
      <c r="BK733" s="5" t="n"/>
      <c r="BL733" s="5" t="n"/>
      <c r="BM733" s="5" t="n"/>
      <c r="BN733" s="5" t="n"/>
      <c r="BO733" s="5" t="n"/>
      <c r="BP733" s="5" t="n"/>
      <c r="BQ733" s="5" t="n"/>
      <c r="BR733" s="5" t="n"/>
      <c r="BS733" s="5" t="n"/>
      <c r="BT733" s="5" t="n"/>
      <c r="BU733" s="5" t="n"/>
      <c r="BV733" s="5" t="n"/>
      <c r="BW733" s="5" t="n"/>
      <c r="BX733" s="5" t="n"/>
      <c r="BY733" s="5" t="n"/>
      <c r="BZ733" s="5" t="n"/>
      <c r="CA733" s="5" t="n"/>
      <c r="CB733" s="5" t="n"/>
      <c r="CC733" s="5" t="n"/>
      <c r="CD733" s="5" t="n"/>
      <c r="CE733" s="5" t="n"/>
      <c r="CF733" s="5" t="n"/>
    </row>
    <row r="734">
      <c r="A734" s="171" t="n"/>
      <c r="B734" s="171" t="n"/>
      <c r="C734" s="171" t="n"/>
      <c r="D734" s="170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  <c r="AY734" s="5" t="n"/>
      <c r="AZ734" s="5" t="n"/>
      <c r="BA734" s="5" t="n"/>
      <c r="BB734" s="5" t="n"/>
      <c r="BC734" s="5" t="n"/>
      <c r="BD734" s="5" t="n"/>
      <c r="BE734" s="5" t="n"/>
      <c r="BF734" s="5" t="n"/>
      <c r="BG734" s="5" t="n"/>
      <c r="BH734" s="5" t="n"/>
      <c r="BI734" s="5" t="n"/>
      <c r="BJ734" s="5" t="n"/>
      <c r="BK734" s="5" t="n"/>
      <c r="BL734" s="5" t="n"/>
      <c r="BM734" s="5" t="n"/>
      <c r="BN734" s="5" t="n"/>
      <c r="BO734" s="5" t="n"/>
      <c r="BP734" s="5" t="n"/>
      <c r="BQ734" s="5" t="n"/>
      <c r="BR734" s="5" t="n"/>
      <c r="BS734" s="5" t="n"/>
      <c r="BT734" s="5" t="n"/>
      <c r="BU734" s="5" t="n"/>
      <c r="BV734" s="5" t="n"/>
      <c r="BW734" s="5" t="n"/>
      <c r="BX734" s="5" t="n"/>
      <c r="BY734" s="5" t="n"/>
      <c r="BZ734" s="5" t="n"/>
      <c r="CA734" s="5" t="n"/>
      <c r="CB734" s="5" t="n"/>
      <c r="CC734" s="5" t="n"/>
      <c r="CD734" s="5" t="n"/>
      <c r="CE734" s="5" t="n"/>
      <c r="CF734" s="5" t="n"/>
    </row>
    <row r="735">
      <c r="A735" s="171" t="n"/>
      <c r="B735" s="171" t="n"/>
      <c r="C735" s="171" t="n"/>
      <c r="D735" s="170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  <c r="AY735" s="5" t="n"/>
      <c r="AZ735" s="5" t="n"/>
      <c r="BA735" s="5" t="n"/>
      <c r="BB735" s="5" t="n"/>
      <c r="BC735" s="5" t="n"/>
      <c r="BD735" s="5" t="n"/>
      <c r="BE735" s="5" t="n"/>
      <c r="BF735" s="5" t="n"/>
      <c r="BG735" s="5" t="n"/>
      <c r="BH735" s="5" t="n"/>
      <c r="BI735" s="5" t="n"/>
      <c r="BJ735" s="5" t="n"/>
      <c r="BK735" s="5" t="n"/>
      <c r="BL735" s="5" t="n"/>
      <c r="BM735" s="5" t="n"/>
      <c r="BN735" s="5" t="n"/>
      <c r="BO735" s="5" t="n"/>
      <c r="BP735" s="5" t="n"/>
      <c r="BQ735" s="5" t="n"/>
      <c r="BR735" s="5" t="n"/>
      <c r="BS735" s="5" t="n"/>
      <c r="BT735" s="5" t="n"/>
      <c r="BU735" s="5" t="n"/>
      <c r="BV735" s="5" t="n"/>
      <c r="BW735" s="5" t="n"/>
      <c r="BX735" s="5" t="n"/>
      <c r="BY735" s="5" t="n"/>
      <c r="BZ735" s="5" t="n"/>
      <c r="CA735" s="5" t="n"/>
      <c r="CB735" s="5" t="n"/>
      <c r="CC735" s="5" t="n"/>
      <c r="CD735" s="5" t="n"/>
      <c r="CE735" s="5" t="n"/>
      <c r="CF735" s="5" t="n"/>
    </row>
    <row r="736">
      <c r="A736" s="171" t="n"/>
      <c r="B736" s="171" t="n"/>
      <c r="C736" s="171" t="n"/>
      <c r="D736" s="170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  <c r="AY736" s="5" t="n"/>
      <c r="AZ736" s="5" t="n"/>
      <c r="BA736" s="5" t="n"/>
      <c r="BB736" s="5" t="n"/>
      <c r="BC736" s="5" t="n"/>
      <c r="BD736" s="5" t="n"/>
      <c r="BE736" s="5" t="n"/>
      <c r="BF736" s="5" t="n"/>
      <c r="BG736" s="5" t="n"/>
      <c r="BH736" s="5" t="n"/>
      <c r="BI736" s="5" t="n"/>
      <c r="BJ736" s="5" t="n"/>
      <c r="BK736" s="5" t="n"/>
      <c r="BL736" s="5" t="n"/>
      <c r="BM736" s="5" t="n"/>
      <c r="BN736" s="5" t="n"/>
      <c r="BO736" s="5" t="n"/>
      <c r="BP736" s="5" t="n"/>
      <c r="BQ736" s="5" t="n"/>
      <c r="BR736" s="5" t="n"/>
      <c r="BS736" s="5" t="n"/>
      <c r="BT736" s="5" t="n"/>
      <c r="BU736" s="5" t="n"/>
      <c r="BV736" s="5" t="n"/>
      <c r="BW736" s="5" t="n"/>
      <c r="BX736" s="5" t="n"/>
      <c r="BY736" s="5" t="n"/>
      <c r="BZ736" s="5" t="n"/>
      <c r="CA736" s="5" t="n"/>
      <c r="CB736" s="5" t="n"/>
      <c r="CC736" s="5" t="n"/>
      <c r="CD736" s="5" t="n"/>
      <c r="CE736" s="5" t="n"/>
      <c r="CF736" s="5" t="n"/>
    </row>
    <row r="737">
      <c r="A737" s="171" t="n"/>
      <c r="B737" s="171" t="n"/>
      <c r="C737" s="171" t="n"/>
      <c r="D737" s="170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  <c r="AY737" s="5" t="n"/>
      <c r="AZ737" s="5" t="n"/>
      <c r="BA737" s="5" t="n"/>
      <c r="BB737" s="5" t="n"/>
      <c r="BC737" s="5" t="n"/>
      <c r="BD737" s="5" t="n"/>
      <c r="BE737" s="5" t="n"/>
      <c r="BF737" s="5" t="n"/>
      <c r="BG737" s="5" t="n"/>
      <c r="BH737" s="5" t="n"/>
      <c r="BI737" s="5" t="n"/>
      <c r="BJ737" s="5" t="n"/>
      <c r="BK737" s="5" t="n"/>
      <c r="BL737" s="5" t="n"/>
      <c r="BM737" s="5" t="n"/>
      <c r="BN737" s="5" t="n"/>
      <c r="BO737" s="5" t="n"/>
      <c r="BP737" s="5" t="n"/>
      <c r="BQ737" s="5" t="n"/>
      <c r="BR737" s="5" t="n"/>
      <c r="BS737" s="5" t="n"/>
      <c r="BT737" s="5" t="n"/>
      <c r="BU737" s="5" t="n"/>
      <c r="BV737" s="5" t="n"/>
      <c r="BW737" s="5" t="n"/>
      <c r="BX737" s="5" t="n"/>
      <c r="BY737" s="5" t="n"/>
      <c r="BZ737" s="5" t="n"/>
      <c r="CA737" s="5" t="n"/>
      <c r="CB737" s="5" t="n"/>
      <c r="CC737" s="5" t="n"/>
      <c r="CD737" s="5" t="n"/>
      <c r="CE737" s="5" t="n"/>
      <c r="CF737" s="5" t="n"/>
    </row>
    <row r="738">
      <c r="A738" s="171" t="n"/>
      <c r="B738" s="171" t="n"/>
      <c r="C738" s="171" t="n"/>
      <c r="D738" s="170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  <c r="AY738" s="5" t="n"/>
      <c r="AZ738" s="5" t="n"/>
      <c r="BA738" s="5" t="n"/>
      <c r="BB738" s="5" t="n"/>
      <c r="BC738" s="5" t="n"/>
      <c r="BD738" s="5" t="n"/>
      <c r="BE738" s="5" t="n"/>
      <c r="BF738" s="5" t="n"/>
      <c r="BG738" s="5" t="n"/>
      <c r="BH738" s="5" t="n"/>
      <c r="BI738" s="5" t="n"/>
      <c r="BJ738" s="5" t="n"/>
      <c r="BK738" s="5" t="n"/>
      <c r="BL738" s="5" t="n"/>
      <c r="BM738" s="5" t="n"/>
      <c r="BN738" s="5" t="n"/>
      <c r="BO738" s="5" t="n"/>
      <c r="BP738" s="5" t="n"/>
      <c r="BQ738" s="5" t="n"/>
      <c r="BR738" s="5" t="n"/>
      <c r="BS738" s="5" t="n"/>
      <c r="BT738" s="5" t="n"/>
      <c r="BU738" s="5" t="n"/>
      <c r="BV738" s="5" t="n"/>
      <c r="BW738" s="5" t="n"/>
      <c r="BX738" s="5" t="n"/>
      <c r="BY738" s="5" t="n"/>
      <c r="BZ738" s="5" t="n"/>
      <c r="CA738" s="5" t="n"/>
      <c r="CB738" s="5" t="n"/>
      <c r="CC738" s="5" t="n"/>
      <c r="CD738" s="5" t="n"/>
      <c r="CE738" s="5" t="n"/>
      <c r="CF738" s="5" t="n"/>
    </row>
    <row r="739">
      <c r="A739" s="171" t="n"/>
      <c r="B739" s="171" t="n"/>
      <c r="C739" s="171" t="n"/>
      <c r="D739" s="170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  <c r="AY739" s="5" t="n"/>
      <c r="AZ739" s="5" t="n"/>
      <c r="BA739" s="5" t="n"/>
      <c r="BB739" s="5" t="n"/>
      <c r="BC739" s="5" t="n"/>
      <c r="BD739" s="5" t="n"/>
      <c r="BE739" s="5" t="n"/>
      <c r="BF739" s="5" t="n"/>
      <c r="BG739" s="5" t="n"/>
      <c r="BH739" s="5" t="n"/>
      <c r="BI739" s="5" t="n"/>
      <c r="BJ739" s="5" t="n"/>
      <c r="BK739" s="5" t="n"/>
      <c r="BL739" s="5" t="n"/>
      <c r="BM739" s="5" t="n"/>
      <c r="BN739" s="5" t="n"/>
      <c r="BO739" s="5" t="n"/>
      <c r="BP739" s="5" t="n"/>
      <c r="BQ739" s="5" t="n"/>
      <c r="BR739" s="5" t="n"/>
      <c r="BS739" s="5" t="n"/>
      <c r="BT739" s="5" t="n"/>
      <c r="BU739" s="5" t="n"/>
      <c r="BV739" s="5" t="n"/>
      <c r="BW739" s="5" t="n"/>
      <c r="BX739" s="5" t="n"/>
      <c r="BY739" s="5" t="n"/>
      <c r="BZ739" s="5" t="n"/>
      <c r="CA739" s="5" t="n"/>
      <c r="CB739" s="5" t="n"/>
      <c r="CC739" s="5" t="n"/>
      <c r="CD739" s="5" t="n"/>
      <c r="CE739" s="5" t="n"/>
      <c r="CF739" s="5" t="n"/>
    </row>
    <row r="740">
      <c r="A740" s="171" t="n"/>
      <c r="B740" s="171" t="n"/>
      <c r="C740" s="171" t="n"/>
      <c r="D740" s="170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  <c r="AY740" s="5" t="n"/>
      <c r="AZ740" s="5" t="n"/>
      <c r="BA740" s="5" t="n"/>
      <c r="BB740" s="5" t="n"/>
      <c r="BC740" s="5" t="n"/>
      <c r="BD740" s="5" t="n"/>
      <c r="BE740" s="5" t="n"/>
      <c r="BF740" s="5" t="n"/>
      <c r="BG740" s="5" t="n"/>
      <c r="BH740" s="5" t="n"/>
      <c r="BI740" s="5" t="n"/>
      <c r="BJ740" s="5" t="n"/>
      <c r="BK740" s="5" t="n"/>
      <c r="BL740" s="5" t="n"/>
      <c r="BM740" s="5" t="n"/>
      <c r="BN740" s="5" t="n"/>
      <c r="BO740" s="5" t="n"/>
      <c r="BP740" s="5" t="n"/>
      <c r="BQ740" s="5" t="n"/>
      <c r="BR740" s="5" t="n"/>
      <c r="BS740" s="5" t="n"/>
      <c r="BT740" s="5" t="n"/>
      <c r="BU740" s="5" t="n"/>
      <c r="BV740" s="5" t="n"/>
      <c r="BW740" s="5" t="n"/>
      <c r="BX740" s="5" t="n"/>
      <c r="BY740" s="5" t="n"/>
      <c r="BZ740" s="5" t="n"/>
      <c r="CA740" s="5" t="n"/>
      <c r="CB740" s="5" t="n"/>
      <c r="CC740" s="5" t="n"/>
      <c r="CD740" s="5" t="n"/>
      <c r="CE740" s="5" t="n"/>
      <c r="CF740" s="5" t="n"/>
    </row>
    <row r="741">
      <c r="A741" s="171" t="n"/>
      <c r="B741" s="171" t="n"/>
      <c r="C741" s="171" t="n"/>
      <c r="D741" s="170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  <c r="AY741" s="5" t="n"/>
      <c r="AZ741" s="5" t="n"/>
      <c r="BA741" s="5" t="n"/>
      <c r="BB741" s="5" t="n"/>
      <c r="BC741" s="5" t="n"/>
      <c r="BD741" s="5" t="n"/>
      <c r="BE741" s="5" t="n"/>
      <c r="BF741" s="5" t="n"/>
      <c r="BG741" s="5" t="n"/>
      <c r="BH741" s="5" t="n"/>
      <c r="BI741" s="5" t="n"/>
      <c r="BJ741" s="5" t="n"/>
      <c r="BK741" s="5" t="n"/>
      <c r="BL741" s="5" t="n"/>
      <c r="BM741" s="5" t="n"/>
      <c r="BN741" s="5" t="n"/>
      <c r="BO741" s="5" t="n"/>
      <c r="BP741" s="5" t="n"/>
      <c r="BQ741" s="5" t="n"/>
      <c r="BR741" s="5" t="n"/>
      <c r="BS741" s="5" t="n"/>
      <c r="BT741" s="5" t="n"/>
      <c r="BU741" s="5" t="n"/>
      <c r="BV741" s="5" t="n"/>
      <c r="BW741" s="5" t="n"/>
      <c r="BX741" s="5" t="n"/>
      <c r="BY741" s="5" t="n"/>
      <c r="BZ741" s="5" t="n"/>
      <c r="CA741" s="5" t="n"/>
      <c r="CB741" s="5" t="n"/>
      <c r="CC741" s="5" t="n"/>
      <c r="CD741" s="5" t="n"/>
      <c r="CE741" s="5" t="n"/>
      <c r="CF741" s="5" t="n"/>
    </row>
    <row r="742">
      <c r="A742" s="171" t="n"/>
      <c r="B742" s="171" t="n"/>
      <c r="C742" s="171" t="n"/>
      <c r="D742" s="170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  <c r="AY742" s="5" t="n"/>
      <c r="AZ742" s="5" t="n"/>
      <c r="BA742" s="5" t="n"/>
      <c r="BB742" s="5" t="n"/>
      <c r="BC742" s="5" t="n"/>
      <c r="BD742" s="5" t="n"/>
      <c r="BE742" s="5" t="n"/>
      <c r="BF742" s="5" t="n"/>
      <c r="BG742" s="5" t="n"/>
      <c r="BH742" s="5" t="n"/>
      <c r="BI742" s="5" t="n"/>
      <c r="BJ742" s="5" t="n"/>
      <c r="BK742" s="5" t="n"/>
      <c r="BL742" s="5" t="n"/>
      <c r="BM742" s="5" t="n"/>
      <c r="BN742" s="5" t="n"/>
      <c r="BO742" s="5" t="n"/>
      <c r="BP742" s="5" t="n"/>
      <c r="BQ742" s="5" t="n"/>
      <c r="BR742" s="5" t="n"/>
      <c r="BS742" s="5" t="n"/>
      <c r="BT742" s="5" t="n"/>
      <c r="BU742" s="5" t="n"/>
      <c r="BV742" s="5" t="n"/>
      <c r="BW742" s="5" t="n"/>
      <c r="BX742" s="5" t="n"/>
      <c r="BY742" s="5" t="n"/>
      <c r="BZ742" s="5" t="n"/>
      <c r="CA742" s="5" t="n"/>
      <c r="CB742" s="5" t="n"/>
      <c r="CC742" s="5" t="n"/>
      <c r="CD742" s="5" t="n"/>
      <c r="CE742" s="5" t="n"/>
      <c r="CF742" s="5" t="n"/>
    </row>
    <row r="743">
      <c r="A743" s="171" t="n"/>
      <c r="B743" s="171" t="n"/>
      <c r="C743" s="171" t="n"/>
      <c r="D743" s="170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  <c r="AY743" s="5" t="n"/>
      <c r="AZ743" s="5" t="n"/>
      <c r="BA743" s="5" t="n"/>
      <c r="BB743" s="5" t="n"/>
      <c r="BC743" s="5" t="n"/>
      <c r="BD743" s="5" t="n"/>
      <c r="BE743" s="5" t="n"/>
      <c r="BF743" s="5" t="n"/>
      <c r="BG743" s="5" t="n"/>
      <c r="BH743" s="5" t="n"/>
      <c r="BI743" s="5" t="n"/>
      <c r="BJ743" s="5" t="n"/>
      <c r="BK743" s="5" t="n"/>
      <c r="BL743" s="5" t="n"/>
      <c r="BM743" s="5" t="n"/>
      <c r="BN743" s="5" t="n"/>
      <c r="BO743" s="5" t="n"/>
      <c r="BP743" s="5" t="n"/>
      <c r="BQ743" s="5" t="n"/>
      <c r="BR743" s="5" t="n"/>
      <c r="BS743" s="5" t="n"/>
      <c r="BT743" s="5" t="n"/>
      <c r="BU743" s="5" t="n"/>
      <c r="BV743" s="5" t="n"/>
      <c r="BW743" s="5" t="n"/>
      <c r="BX743" s="5" t="n"/>
      <c r="BY743" s="5" t="n"/>
      <c r="BZ743" s="5" t="n"/>
      <c r="CA743" s="5" t="n"/>
      <c r="CB743" s="5" t="n"/>
      <c r="CC743" s="5" t="n"/>
      <c r="CD743" s="5" t="n"/>
      <c r="CE743" s="5" t="n"/>
      <c r="CF743" s="5" t="n"/>
    </row>
    <row r="744">
      <c r="A744" s="171" t="n"/>
      <c r="B744" s="171" t="n"/>
      <c r="C744" s="171" t="n"/>
      <c r="D744" s="170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  <c r="AY744" s="5" t="n"/>
      <c r="AZ744" s="5" t="n"/>
      <c r="BA744" s="5" t="n"/>
      <c r="BB744" s="5" t="n"/>
      <c r="BC744" s="5" t="n"/>
      <c r="BD744" s="5" t="n"/>
      <c r="BE744" s="5" t="n"/>
      <c r="BF744" s="5" t="n"/>
      <c r="BG744" s="5" t="n"/>
      <c r="BH744" s="5" t="n"/>
      <c r="BI744" s="5" t="n"/>
      <c r="BJ744" s="5" t="n"/>
      <c r="BK744" s="5" t="n"/>
      <c r="BL744" s="5" t="n"/>
      <c r="BM744" s="5" t="n"/>
      <c r="BN744" s="5" t="n"/>
      <c r="BO744" s="5" t="n"/>
      <c r="BP744" s="5" t="n"/>
      <c r="BQ744" s="5" t="n"/>
      <c r="BR744" s="5" t="n"/>
      <c r="BS744" s="5" t="n"/>
      <c r="BT744" s="5" t="n"/>
      <c r="BU744" s="5" t="n"/>
      <c r="BV744" s="5" t="n"/>
      <c r="BW744" s="5" t="n"/>
      <c r="BX744" s="5" t="n"/>
      <c r="BY744" s="5" t="n"/>
      <c r="BZ744" s="5" t="n"/>
      <c r="CA744" s="5" t="n"/>
      <c r="CB744" s="5" t="n"/>
      <c r="CC744" s="5" t="n"/>
      <c r="CD744" s="5" t="n"/>
      <c r="CE744" s="5" t="n"/>
      <c r="CF744" s="5" t="n"/>
    </row>
    <row r="745">
      <c r="A745" s="171" t="n"/>
      <c r="B745" s="171" t="n"/>
      <c r="C745" s="171" t="n"/>
      <c r="D745" s="170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  <c r="AY745" s="5" t="n"/>
      <c r="AZ745" s="5" t="n"/>
      <c r="BA745" s="5" t="n"/>
      <c r="BB745" s="5" t="n"/>
      <c r="BC745" s="5" t="n"/>
      <c r="BD745" s="5" t="n"/>
      <c r="BE745" s="5" t="n"/>
      <c r="BF745" s="5" t="n"/>
      <c r="BG745" s="5" t="n"/>
      <c r="BH745" s="5" t="n"/>
      <c r="BI745" s="5" t="n"/>
      <c r="BJ745" s="5" t="n"/>
      <c r="BK745" s="5" t="n"/>
      <c r="BL745" s="5" t="n"/>
      <c r="BM745" s="5" t="n"/>
      <c r="BN745" s="5" t="n"/>
      <c r="BO745" s="5" t="n"/>
      <c r="BP745" s="5" t="n"/>
      <c r="BQ745" s="5" t="n"/>
      <c r="BR745" s="5" t="n"/>
      <c r="BS745" s="5" t="n"/>
      <c r="BT745" s="5" t="n"/>
      <c r="BU745" s="5" t="n"/>
      <c r="BV745" s="5" t="n"/>
      <c r="BW745" s="5" t="n"/>
      <c r="BX745" s="5" t="n"/>
      <c r="BY745" s="5" t="n"/>
      <c r="BZ745" s="5" t="n"/>
      <c r="CA745" s="5" t="n"/>
      <c r="CB745" s="5" t="n"/>
      <c r="CC745" s="5" t="n"/>
      <c r="CD745" s="5" t="n"/>
      <c r="CE745" s="5" t="n"/>
      <c r="CF745" s="5" t="n"/>
    </row>
    <row r="746">
      <c r="A746" s="171" t="n"/>
      <c r="B746" s="171" t="n"/>
      <c r="C746" s="171" t="n"/>
      <c r="D746" s="170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  <c r="AY746" s="5" t="n"/>
      <c r="AZ746" s="5" t="n"/>
      <c r="BA746" s="5" t="n"/>
      <c r="BB746" s="5" t="n"/>
      <c r="BC746" s="5" t="n"/>
      <c r="BD746" s="5" t="n"/>
      <c r="BE746" s="5" t="n"/>
      <c r="BF746" s="5" t="n"/>
      <c r="BG746" s="5" t="n"/>
      <c r="BH746" s="5" t="n"/>
      <c r="BI746" s="5" t="n"/>
      <c r="BJ746" s="5" t="n"/>
      <c r="BK746" s="5" t="n"/>
      <c r="BL746" s="5" t="n"/>
      <c r="BM746" s="5" t="n"/>
      <c r="BN746" s="5" t="n"/>
      <c r="BO746" s="5" t="n"/>
      <c r="BP746" s="5" t="n"/>
      <c r="BQ746" s="5" t="n"/>
      <c r="BR746" s="5" t="n"/>
      <c r="BS746" s="5" t="n"/>
      <c r="BT746" s="5" t="n"/>
      <c r="BU746" s="5" t="n"/>
      <c r="BV746" s="5" t="n"/>
      <c r="BW746" s="5" t="n"/>
      <c r="BX746" s="5" t="n"/>
      <c r="BY746" s="5" t="n"/>
      <c r="BZ746" s="5" t="n"/>
      <c r="CA746" s="5" t="n"/>
      <c r="CB746" s="5" t="n"/>
      <c r="CC746" s="5" t="n"/>
      <c r="CD746" s="5" t="n"/>
      <c r="CE746" s="5" t="n"/>
      <c r="CF746" s="5" t="n"/>
    </row>
    <row r="747">
      <c r="A747" s="171" t="n"/>
      <c r="B747" s="171" t="n"/>
      <c r="C747" s="171" t="n"/>
      <c r="D747" s="170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  <c r="BA747" s="5" t="n"/>
      <c r="BB747" s="5" t="n"/>
      <c r="BC747" s="5" t="n"/>
      <c r="BD747" s="5" t="n"/>
      <c r="BE747" s="5" t="n"/>
      <c r="BF747" s="5" t="n"/>
      <c r="BG747" s="5" t="n"/>
      <c r="BH747" s="5" t="n"/>
      <c r="BI747" s="5" t="n"/>
      <c r="BJ747" s="5" t="n"/>
      <c r="BK747" s="5" t="n"/>
      <c r="BL747" s="5" t="n"/>
      <c r="BM747" s="5" t="n"/>
      <c r="BN747" s="5" t="n"/>
      <c r="BO747" s="5" t="n"/>
      <c r="BP747" s="5" t="n"/>
      <c r="BQ747" s="5" t="n"/>
      <c r="BR747" s="5" t="n"/>
      <c r="BS747" s="5" t="n"/>
      <c r="BT747" s="5" t="n"/>
      <c r="BU747" s="5" t="n"/>
      <c r="BV747" s="5" t="n"/>
      <c r="BW747" s="5" t="n"/>
      <c r="BX747" s="5" t="n"/>
      <c r="BY747" s="5" t="n"/>
      <c r="BZ747" s="5" t="n"/>
      <c r="CA747" s="5" t="n"/>
      <c r="CB747" s="5" t="n"/>
      <c r="CC747" s="5" t="n"/>
      <c r="CD747" s="5" t="n"/>
      <c r="CE747" s="5" t="n"/>
      <c r="CF747" s="5" t="n"/>
    </row>
    <row r="748">
      <c r="A748" s="171" t="n"/>
      <c r="B748" s="171" t="n"/>
      <c r="C748" s="171" t="n"/>
      <c r="D748" s="170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  <c r="AY748" s="5" t="n"/>
      <c r="AZ748" s="5" t="n"/>
      <c r="BA748" s="5" t="n"/>
      <c r="BB748" s="5" t="n"/>
      <c r="BC748" s="5" t="n"/>
      <c r="BD748" s="5" t="n"/>
      <c r="BE748" s="5" t="n"/>
      <c r="BF748" s="5" t="n"/>
      <c r="BG748" s="5" t="n"/>
      <c r="BH748" s="5" t="n"/>
      <c r="BI748" s="5" t="n"/>
      <c r="BJ748" s="5" t="n"/>
      <c r="BK748" s="5" t="n"/>
      <c r="BL748" s="5" t="n"/>
      <c r="BM748" s="5" t="n"/>
      <c r="BN748" s="5" t="n"/>
      <c r="BO748" s="5" t="n"/>
      <c r="BP748" s="5" t="n"/>
      <c r="BQ748" s="5" t="n"/>
      <c r="BR748" s="5" t="n"/>
      <c r="BS748" s="5" t="n"/>
      <c r="BT748" s="5" t="n"/>
      <c r="BU748" s="5" t="n"/>
      <c r="BV748" s="5" t="n"/>
      <c r="BW748" s="5" t="n"/>
      <c r="BX748" s="5" t="n"/>
      <c r="BY748" s="5" t="n"/>
      <c r="BZ748" s="5" t="n"/>
      <c r="CA748" s="5" t="n"/>
      <c r="CB748" s="5" t="n"/>
      <c r="CC748" s="5" t="n"/>
      <c r="CD748" s="5" t="n"/>
      <c r="CE748" s="5" t="n"/>
      <c r="CF748" s="5" t="n"/>
    </row>
    <row r="749">
      <c r="A749" s="171" t="n"/>
      <c r="B749" s="171" t="n"/>
      <c r="C749" s="171" t="n"/>
      <c r="D749" s="170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  <c r="AY749" s="5" t="n"/>
      <c r="AZ749" s="5" t="n"/>
      <c r="BA749" s="5" t="n"/>
      <c r="BB749" s="5" t="n"/>
      <c r="BC749" s="5" t="n"/>
      <c r="BD749" s="5" t="n"/>
      <c r="BE749" s="5" t="n"/>
      <c r="BF749" s="5" t="n"/>
      <c r="BG749" s="5" t="n"/>
      <c r="BH749" s="5" t="n"/>
      <c r="BI749" s="5" t="n"/>
      <c r="BJ749" s="5" t="n"/>
      <c r="BK749" s="5" t="n"/>
      <c r="BL749" s="5" t="n"/>
      <c r="BM749" s="5" t="n"/>
      <c r="BN749" s="5" t="n"/>
      <c r="BO749" s="5" t="n"/>
      <c r="BP749" s="5" t="n"/>
      <c r="BQ749" s="5" t="n"/>
      <c r="BR749" s="5" t="n"/>
      <c r="BS749" s="5" t="n"/>
      <c r="BT749" s="5" t="n"/>
      <c r="BU749" s="5" t="n"/>
      <c r="BV749" s="5" t="n"/>
      <c r="BW749" s="5" t="n"/>
      <c r="BX749" s="5" t="n"/>
      <c r="BY749" s="5" t="n"/>
      <c r="BZ749" s="5" t="n"/>
      <c r="CA749" s="5" t="n"/>
      <c r="CB749" s="5" t="n"/>
      <c r="CC749" s="5" t="n"/>
      <c r="CD749" s="5" t="n"/>
      <c r="CE749" s="5" t="n"/>
      <c r="CF749" s="5" t="n"/>
    </row>
    <row r="750">
      <c r="A750" s="171" t="n"/>
      <c r="B750" s="171" t="n"/>
      <c r="C750" s="171" t="n"/>
      <c r="D750" s="170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  <c r="AY750" s="5" t="n"/>
      <c r="AZ750" s="5" t="n"/>
      <c r="BA750" s="5" t="n"/>
      <c r="BB750" s="5" t="n"/>
      <c r="BC750" s="5" t="n"/>
      <c r="BD750" s="5" t="n"/>
      <c r="BE750" s="5" t="n"/>
      <c r="BF750" s="5" t="n"/>
      <c r="BG750" s="5" t="n"/>
      <c r="BH750" s="5" t="n"/>
      <c r="BI750" s="5" t="n"/>
      <c r="BJ750" s="5" t="n"/>
      <c r="BK750" s="5" t="n"/>
      <c r="BL750" s="5" t="n"/>
      <c r="BM750" s="5" t="n"/>
      <c r="BN750" s="5" t="n"/>
      <c r="BO750" s="5" t="n"/>
      <c r="BP750" s="5" t="n"/>
      <c r="BQ750" s="5" t="n"/>
      <c r="BR750" s="5" t="n"/>
      <c r="BS750" s="5" t="n"/>
      <c r="BT750" s="5" t="n"/>
      <c r="BU750" s="5" t="n"/>
      <c r="BV750" s="5" t="n"/>
      <c r="BW750" s="5" t="n"/>
      <c r="BX750" s="5" t="n"/>
      <c r="BY750" s="5" t="n"/>
      <c r="BZ750" s="5" t="n"/>
      <c r="CA750" s="5" t="n"/>
      <c r="CB750" s="5" t="n"/>
      <c r="CC750" s="5" t="n"/>
      <c r="CD750" s="5" t="n"/>
      <c r="CE750" s="5" t="n"/>
      <c r="CF750" s="5" t="n"/>
    </row>
    <row r="751">
      <c r="A751" s="171" t="n"/>
      <c r="B751" s="171" t="n"/>
      <c r="C751" s="171" t="n"/>
      <c r="D751" s="170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  <c r="AY751" s="5" t="n"/>
      <c r="AZ751" s="5" t="n"/>
      <c r="BA751" s="5" t="n"/>
      <c r="BB751" s="5" t="n"/>
      <c r="BC751" s="5" t="n"/>
      <c r="BD751" s="5" t="n"/>
      <c r="BE751" s="5" t="n"/>
      <c r="BF751" s="5" t="n"/>
      <c r="BG751" s="5" t="n"/>
      <c r="BH751" s="5" t="n"/>
      <c r="BI751" s="5" t="n"/>
      <c r="BJ751" s="5" t="n"/>
      <c r="BK751" s="5" t="n"/>
      <c r="BL751" s="5" t="n"/>
      <c r="BM751" s="5" t="n"/>
      <c r="BN751" s="5" t="n"/>
      <c r="BO751" s="5" t="n"/>
      <c r="BP751" s="5" t="n"/>
      <c r="BQ751" s="5" t="n"/>
      <c r="BR751" s="5" t="n"/>
      <c r="BS751" s="5" t="n"/>
      <c r="BT751" s="5" t="n"/>
      <c r="BU751" s="5" t="n"/>
      <c r="BV751" s="5" t="n"/>
      <c r="BW751" s="5" t="n"/>
      <c r="BX751" s="5" t="n"/>
      <c r="BY751" s="5" t="n"/>
      <c r="BZ751" s="5" t="n"/>
      <c r="CA751" s="5" t="n"/>
      <c r="CB751" s="5" t="n"/>
      <c r="CC751" s="5" t="n"/>
      <c r="CD751" s="5" t="n"/>
      <c r="CE751" s="5" t="n"/>
      <c r="CF751" s="5" t="n"/>
    </row>
    <row r="752">
      <c r="A752" s="171" t="n"/>
      <c r="B752" s="171" t="n"/>
      <c r="C752" s="171" t="n"/>
      <c r="D752" s="170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  <c r="AY752" s="5" t="n"/>
      <c r="AZ752" s="5" t="n"/>
      <c r="BA752" s="5" t="n"/>
      <c r="BB752" s="5" t="n"/>
      <c r="BC752" s="5" t="n"/>
      <c r="BD752" s="5" t="n"/>
      <c r="BE752" s="5" t="n"/>
      <c r="BF752" s="5" t="n"/>
      <c r="BG752" s="5" t="n"/>
      <c r="BH752" s="5" t="n"/>
      <c r="BI752" s="5" t="n"/>
      <c r="BJ752" s="5" t="n"/>
      <c r="BK752" s="5" t="n"/>
      <c r="BL752" s="5" t="n"/>
      <c r="BM752" s="5" t="n"/>
      <c r="BN752" s="5" t="n"/>
      <c r="BO752" s="5" t="n"/>
      <c r="BP752" s="5" t="n"/>
      <c r="BQ752" s="5" t="n"/>
      <c r="BR752" s="5" t="n"/>
      <c r="BS752" s="5" t="n"/>
      <c r="BT752" s="5" t="n"/>
      <c r="BU752" s="5" t="n"/>
      <c r="BV752" s="5" t="n"/>
      <c r="BW752" s="5" t="n"/>
      <c r="BX752" s="5" t="n"/>
      <c r="BY752" s="5" t="n"/>
      <c r="BZ752" s="5" t="n"/>
      <c r="CA752" s="5" t="n"/>
      <c r="CB752" s="5" t="n"/>
      <c r="CC752" s="5" t="n"/>
      <c r="CD752" s="5" t="n"/>
      <c r="CE752" s="5" t="n"/>
      <c r="CF752" s="5" t="n"/>
    </row>
    <row r="753">
      <c r="A753" s="171" t="n"/>
      <c r="B753" s="171" t="n"/>
      <c r="C753" s="171" t="n"/>
      <c r="D753" s="170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  <c r="AY753" s="5" t="n"/>
      <c r="AZ753" s="5" t="n"/>
      <c r="BA753" s="5" t="n"/>
      <c r="BB753" s="5" t="n"/>
      <c r="BC753" s="5" t="n"/>
      <c r="BD753" s="5" t="n"/>
      <c r="BE753" s="5" t="n"/>
      <c r="BF753" s="5" t="n"/>
      <c r="BG753" s="5" t="n"/>
      <c r="BH753" s="5" t="n"/>
      <c r="BI753" s="5" t="n"/>
      <c r="BJ753" s="5" t="n"/>
      <c r="BK753" s="5" t="n"/>
      <c r="BL753" s="5" t="n"/>
      <c r="BM753" s="5" t="n"/>
      <c r="BN753" s="5" t="n"/>
      <c r="BO753" s="5" t="n"/>
      <c r="BP753" s="5" t="n"/>
      <c r="BQ753" s="5" t="n"/>
      <c r="BR753" s="5" t="n"/>
      <c r="BS753" s="5" t="n"/>
      <c r="BT753" s="5" t="n"/>
      <c r="BU753" s="5" t="n"/>
      <c r="BV753" s="5" t="n"/>
      <c r="BW753" s="5" t="n"/>
      <c r="BX753" s="5" t="n"/>
      <c r="BY753" s="5" t="n"/>
      <c r="BZ753" s="5" t="n"/>
      <c r="CA753" s="5" t="n"/>
      <c r="CB753" s="5" t="n"/>
      <c r="CC753" s="5" t="n"/>
      <c r="CD753" s="5" t="n"/>
      <c r="CE753" s="5" t="n"/>
      <c r="CF753" s="5" t="n"/>
    </row>
    <row r="754">
      <c r="A754" s="171" t="n"/>
      <c r="B754" s="171" t="n"/>
      <c r="C754" s="171" t="n"/>
      <c r="D754" s="170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  <c r="AY754" s="5" t="n"/>
      <c r="AZ754" s="5" t="n"/>
      <c r="BA754" s="5" t="n"/>
      <c r="BB754" s="5" t="n"/>
      <c r="BC754" s="5" t="n"/>
      <c r="BD754" s="5" t="n"/>
      <c r="BE754" s="5" t="n"/>
      <c r="BF754" s="5" t="n"/>
      <c r="BG754" s="5" t="n"/>
      <c r="BH754" s="5" t="n"/>
      <c r="BI754" s="5" t="n"/>
      <c r="BJ754" s="5" t="n"/>
      <c r="BK754" s="5" t="n"/>
      <c r="BL754" s="5" t="n"/>
      <c r="BM754" s="5" t="n"/>
      <c r="BN754" s="5" t="n"/>
      <c r="BO754" s="5" t="n"/>
      <c r="BP754" s="5" t="n"/>
      <c r="BQ754" s="5" t="n"/>
      <c r="BR754" s="5" t="n"/>
      <c r="BS754" s="5" t="n"/>
      <c r="BT754" s="5" t="n"/>
      <c r="BU754" s="5" t="n"/>
      <c r="BV754" s="5" t="n"/>
      <c r="BW754" s="5" t="n"/>
      <c r="BX754" s="5" t="n"/>
      <c r="BY754" s="5" t="n"/>
      <c r="BZ754" s="5" t="n"/>
      <c r="CA754" s="5" t="n"/>
      <c r="CB754" s="5" t="n"/>
      <c r="CC754" s="5" t="n"/>
      <c r="CD754" s="5" t="n"/>
      <c r="CE754" s="5" t="n"/>
      <c r="CF754" s="5" t="n"/>
    </row>
    <row r="755">
      <c r="A755" s="171" t="n"/>
      <c r="B755" s="171" t="n"/>
      <c r="C755" s="171" t="n"/>
      <c r="D755" s="170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  <c r="AY755" s="5" t="n"/>
      <c r="AZ755" s="5" t="n"/>
      <c r="BA755" s="5" t="n"/>
      <c r="BB755" s="5" t="n"/>
      <c r="BC755" s="5" t="n"/>
      <c r="BD755" s="5" t="n"/>
      <c r="BE755" s="5" t="n"/>
      <c r="BF755" s="5" t="n"/>
      <c r="BG755" s="5" t="n"/>
      <c r="BH755" s="5" t="n"/>
      <c r="BI755" s="5" t="n"/>
      <c r="BJ755" s="5" t="n"/>
      <c r="BK755" s="5" t="n"/>
      <c r="BL755" s="5" t="n"/>
      <c r="BM755" s="5" t="n"/>
      <c r="BN755" s="5" t="n"/>
      <c r="BO755" s="5" t="n"/>
      <c r="BP755" s="5" t="n"/>
      <c r="BQ755" s="5" t="n"/>
      <c r="BR755" s="5" t="n"/>
      <c r="BS755" s="5" t="n"/>
      <c r="BT755" s="5" t="n"/>
      <c r="BU755" s="5" t="n"/>
      <c r="BV755" s="5" t="n"/>
      <c r="BW755" s="5" t="n"/>
      <c r="BX755" s="5" t="n"/>
      <c r="BY755" s="5" t="n"/>
      <c r="BZ755" s="5" t="n"/>
      <c r="CA755" s="5" t="n"/>
      <c r="CB755" s="5" t="n"/>
      <c r="CC755" s="5" t="n"/>
      <c r="CD755" s="5" t="n"/>
      <c r="CE755" s="5" t="n"/>
      <c r="CF755" s="5" t="n"/>
    </row>
    <row r="756">
      <c r="A756" s="171" t="n"/>
      <c r="B756" s="171" t="n"/>
      <c r="C756" s="171" t="n"/>
      <c r="D756" s="170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  <c r="AY756" s="5" t="n"/>
      <c r="AZ756" s="5" t="n"/>
      <c r="BA756" s="5" t="n"/>
      <c r="BB756" s="5" t="n"/>
      <c r="BC756" s="5" t="n"/>
      <c r="BD756" s="5" t="n"/>
      <c r="BE756" s="5" t="n"/>
      <c r="BF756" s="5" t="n"/>
      <c r="BG756" s="5" t="n"/>
      <c r="BH756" s="5" t="n"/>
      <c r="BI756" s="5" t="n"/>
      <c r="BJ756" s="5" t="n"/>
      <c r="BK756" s="5" t="n"/>
      <c r="BL756" s="5" t="n"/>
      <c r="BM756" s="5" t="n"/>
      <c r="BN756" s="5" t="n"/>
      <c r="BO756" s="5" t="n"/>
      <c r="BP756" s="5" t="n"/>
      <c r="BQ756" s="5" t="n"/>
      <c r="BR756" s="5" t="n"/>
      <c r="BS756" s="5" t="n"/>
      <c r="BT756" s="5" t="n"/>
      <c r="BU756" s="5" t="n"/>
      <c r="BV756" s="5" t="n"/>
      <c r="BW756" s="5" t="n"/>
      <c r="BX756" s="5" t="n"/>
      <c r="BY756" s="5" t="n"/>
      <c r="BZ756" s="5" t="n"/>
      <c r="CA756" s="5" t="n"/>
      <c r="CB756" s="5" t="n"/>
      <c r="CC756" s="5" t="n"/>
      <c r="CD756" s="5" t="n"/>
      <c r="CE756" s="5" t="n"/>
      <c r="CF756" s="5" t="n"/>
    </row>
    <row r="757">
      <c r="A757" s="171" t="n"/>
      <c r="B757" s="171" t="n"/>
      <c r="C757" s="171" t="n"/>
      <c r="D757" s="170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  <c r="AY757" s="5" t="n"/>
      <c r="AZ757" s="5" t="n"/>
      <c r="BA757" s="5" t="n"/>
      <c r="BB757" s="5" t="n"/>
      <c r="BC757" s="5" t="n"/>
      <c r="BD757" s="5" t="n"/>
      <c r="BE757" s="5" t="n"/>
      <c r="BF757" s="5" t="n"/>
      <c r="BG757" s="5" t="n"/>
      <c r="BH757" s="5" t="n"/>
      <c r="BI757" s="5" t="n"/>
      <c r="BJ757" s="5" t="n"/>
      <c r="BK757" s="5" t="n"/>
      <c r="BL757" s="5" t="n"/>
      <c r="BM757" s="5" t="n"/>
      <c r="BN757" s="5" t="n"/>
      <c r="BO757" s="5" t="n"/>
      <c r="BP757" s="5" t="n"/>
      <c r="BQ757" s="5" t="n"/>
      <c r="BR757" s="5" t="n"/>
      <c r="BS757" s="5" t="n"/>
      <c r="BT757" s="5" t="n"/>
      <c r="BU757" s="5" t="n"/>
      <c r="BV757" s="5" t="n"/>
      <c r="BW757" s="5" t="n"/>
      <c r="BX757" s="5" t="n"/>
      <c r="BY757" s="5" t="n"/>
      <c r="BZ757" s="5" t="n"/>
      <c r="CA757" s="5" t="n"/>
      <c r="CB757" s="5" t="n"/>
      <c r="CC757" s="5" t="n"/>
      <c r="CD757" s="5" t="n"/>
      <c r="CE757" s="5" t="n"/>
      <c r="CF757" s="5" t="n"/>
    </row>
    <row r="758">
      <c r="A758" s="171" t="n"/>
      <c r="B758" s="171" t="n"/>
      <c r="C758" s="171" t="n"/>
      <c r="D758" s="170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  <c r="AY758" s="5" t="n"/>
      <c r="AZ758" s="5" t="n"/>
      <c r="BA758" s="5" t="n"/>
      <c r="BB758" s="5" t="n"/>
      <c r="BC758" s="5" t="n"/>
      <c r="BD758" s="5" t="n"/>
      <c r="BE758" s="5" t="n"/>
      <c r="BF758" s="5" t="n"/>
      <c r="BG758" s="5" t="n"/>
      <c r="BH758" s="5" t="n"/>
      <c r="BI758" s="5" t="n"/>
      <c r="BJ758" s="5" t="n"/>
      <c r="BK758" s="5" t="n"/>
      <c r="BL758" s="5" t="n"/>
      <c r="BM758" s="5" t="n"/>
      <c r="BN758" s="5" t="n"/>
      <c r="BO758" s="5" t="n"/>
      <c r="BP758" s="5" t="n"/>
      <c r="BQ758" s="5" t="n"/>
      <c r="BR758" s="5" t="n"/>
      <c r="BS758" s="5" t="n"/>
      <c r="BT758" s="5" t="n"/>
      <c r="BU758" s="5" t="n"/>
      <c r="BV758" s="5" t="n"/>
      <c r="BW758" s="5" t="n"/>
      <c r="BX758" s="5" t="n"/>
      <c r="BY758" s="5" t="n"/>
      <c r="BZ758" s="5" t="n"/>
      <c r="CA758" s="5" t="n"/>
      <c r="CB758" s="5" t="n"/>
      <c r="CC758" s="5" t="n"/>
      <c r="CD758" s="5" t="n"/>
      <c r="CE758" s="5" t="n"/>
      <c r="CF758" s="5" t="n"/>
    </row>
    <row r="759">
      <c r="A759" s="171" t="n"/>
      <c r="B759" s="171" t="n"/>
      <c r="C759" s="171" t="n"/>
      <c r="D759" s="170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  <c r="AY759" s="5" t="n"/>
      <c r="AZ759" s="5" t="n"/>
      <c r="BA759" s="5" t="n"/>
      <c r="BB759" s="5" t="n"/>
      <c r="BC759" s="5" t="n"/>
      <c r="BD759" s="5" t="n"/>
      <c r="BE759" s="5" t="n"/>
      <c r="BF759" s="5" t="n"/>
      <c r="BG759" s="5" t="n"/>
      <c r="BH759" s="5" t="n"/>
      <c r="BI759" s="5" t="n"/>
      <c r="BJ759" s="5" t="n"/>
      <c r="BK759" s="5" t="n"/>
      <c r="BL759" s="5" t="n"/>
      <c r="BM759" s="5" t="n"/>
      <c r="BN759" s="5" t="n"/>
      <c r="BO759" s="5" t="n"/>
      <c r="BP759" s="5" t="n"/>
      <c r="BQ759" s="5" t="n"/>
      <c r="BR759" s="5" t="n"/>
      <c r="BS759" s="5" t="n"/>
      <c r="BT759" s="5" t="n"/>
      <c r="BU759" s="5" t="n"/>
      <c r="BV759" s="5" t="n"/>
      <c r="BW759" s="5" t="n"/>
      <c r="BX759" s="5" t="n"/>
      <c r="BY759" s="5" t="n"/>
      <c r="BZ759" s="5" t="n"/>
      <c r="CA759" s="5" t="n"/>
      <c r="CB759" s="5" t="n"/>
      <c r="CC759" s="5" t="n"/>
      <c r="CD759" s="5" t="n"/>
      <c r="CE759" s="5" t="n"/>
      <c r="CF759" s="5" t="n"/>
    </row>
    <row r="760">
      <c r="A760" s="171" t="n"/>
      <c r="B760" s="171" t="n"/>
      <c r="C760" s="171" t="n"/>
      <c r="D760" s="170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  <c r="AY760" s="5" t="n"/>
      <c r="AZ760" s="5" t="n"/>
      <c r="BA760" s="5" t="n"/>
      <c r="BB760" s="5" t="n"/>
      <c r="BC760" s="5" t="n"/>
      <c r="BD760" s="5" t="n"/>
      <c r="BE760" s="5" t="n"/>
      <c r="BF760" s="5" t="n"/>
      <c r="BG760" s="5" t="n"/>
      <c r="BH760" s="5" t="n"/>
      <c r="BI760" s="5" t="n"/>
      <c r="BJ760" s="5" t="n"/>
      <c r="BK760" s="5" t="n"/>
      <c r="BL760" s="5" t="n"/>
      <c r="BM760" s="5" t="n"/>
      <c r="BN760" s="5" t="n"/>
      <c r="BO760" s="5" t="n"/>
      <c r="BP760" s="5" t="n"/>
      <c r="BQ760" s="5" t="n"/>
      <c r="BR760" s="5" t="n"/>
      <c r="BS760" s="5" t="n"/>
      <c r="BT760" s="5" t="n"/>
      <c r="BU760" s="5" t="n"/>
      <c r="BV760" s="5" t="n"/>
      <c r="BW760" s="5" t="n"/>
      <c r="BX760" s="5" t="n"/>
      <c r="BY760" s="5" t="n"/>
      <c r="BZ760" s="5" t="n"/>
      <c r="CA760" s="5" t="n"/>
      <c r="CB760" s="5" t="n"/>
      <c r="CC760" s="5" t="n"/>
      <c r="CD760" s="5" t="n"/>
      <c r="CE760" s="5" t="n"/>
      <c r="CF760" s="5" t="n"/>
    </row>
    <row r="761">
      <c r="A761" s="171" t="n"/>
      <c r="B761" s="171" t="n"/>
      <c r="C761" s="171" t="n"/>
      <c r="D761" s="170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  <c r="AY761" s="5" t="n"/>
      <c r="AZ761" s="5" t="n"/>
      <c r="BA761" s="5" t="n"/>
      <c r="BB761" s="5" t="n"/>
      <c r="BC761" s="5" t="n"/>
      <c r="BD761" s="5" t="n"/>
      <c r="BE761" s="5" t="n"/>
      <c r="BF761" s="5" t="n"/>
      <c r="BG761" s="5" t="n"/>
      <c r="BH761" s="5" t="n"/>
      <c r="BI761" s="5" t="n"/>
      <c r="BJ761" s="5" t="n"/>
      <c r="BK761" s="5" t="n"/>
      <c r="BL761" s="5" t="n"/>
      <c r="BM761" s="5" t="n"/>
      <c r="BN761" s="5" t="n"/>
      <c r="BO761" s="5" t="n"/>
      <c r="BP761" s="5" t="n"/>
      <c r="BQ761" s="5" t="n"/>
      <c r="BR761" s="5" t="n"/>
      <c r="BS761" s="5" t="n"/>
      <c r="BT761" s="5" t="n"/>
      <c r="BU761" s="5" t="n"/>
      <c r="BV761" s="5" t="n"/>
      <c r="BW761" s="5" t="n"/>
      <c r="BX761" s="5" t="n"/>
      <c r="BY761" s="5" t="n"/>
      <c r="BZ761" s="5" t="n"/>
      <c r="CA761" s="5" t="n"/>
      <c r="CB761" s="5" t="n"/>
      <c r="CC761" s="5" t="n"/>
      <c r="CD761" s="5" t="n"/>
      <c r="CE761" s="5" t="n"/>
      <c r="CF761" s="5" t="n"/>
    </row>
    <row r="762">
      <c r="A762" s="171" t="n"/>
      <c r="B762" s="171" t="n"/>
      <c r="C762" s="171" t="n"/>
      <c r="D762" s="170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  <c r="AY762" s="5" t="n"/>
      <c r="AZ762" s="5" t="n"/>
      <c r="BA762" s="5" t="n"/>
      <c r="BB762" s="5" t="n"/>
      <c r="BC762" s="5" t="n"/>
      <c r="BD762" s="5" t="n"/>
      <c r="BE762" s="5" t="n"/>
      <c r="BF762" s="5" t="n"/>
      <c r="BG762" s="5" t="n"/>
      <c r="BH762" s="5" t="n"/>
      <c r="BI762" s="5" t="n"/>
      <c r="BJ762" s="5" t="n"/>
      <c r="BK762" s="5" t="n"/>
      <c r="BL762" s="5" t="n"/>
      <c r="BM762" s="5" t="n"/>
      <c r="BN762" s="5" t="n"/>
      <c r="BO762" s="5" t="n"/>
      <c r="BP762" s="5" t="n"/>
      <c r="BQ762" s="5" t="n"/>
      <c r="BR762" s="5" t="n"/>
      <c r="BS762" s="5" t="n"/>
      <c r="BT762" s="5" t="n"/>
      <c r="BU762" s="5" t="n"/>
      <c r="BV762" s="5" t="n"/>
      <c r="BW762" s="5" t="n"/>
      <c r="BX762" s="5" t="n"/>
      <c r="BY762" s="5" t="n"/>
      <c r="BZ762" s="5" t="n"/>
      <c r="CA762" s="5" t="n"/>
      <c r="CB762" s="5" t="n"/>
      <c r="CC762" s="5" t="n"/>
      <c r="CD762" s="5" t="n"/>
      <c r="CE762" s="5" t="n"/>
      <c r="CF762" s="5" t="n"/>
    </row>
    <row r="763">
      <c r="A763" s="171" t="n"/>
      <c r="B763" s="171" t="n"/>
      <c r="C763" s="171" t="n"/>
      <c r="D763" s="170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  <c r="AY763" s="5" t="n"/>
      <c r="AZ763" s="5" t="n"/>
      <c r="BA763" s="5" t="n"/>
      <c r="BB763" s="5" t="n"/>
      <c r="BC763" s="5" t="n"/>
      <c r="BD763" s="5" t="n"/>
      <c r="BE763" s="5" t="n"/>
      <c r="BF763" s="5" t="n"/>
      <c r="BG763" s="5" t="n"/>
      <c r="BH763" s="5" t="n"/>
      <c r="BI763" s="5" t="n"/>
      <c r="BJ763" s="5" t="n"/>
      <c r="BK763" s="5" t="n"/>
      <c r="BL763" s="5" t="n"/>
      <c r="BM763" s="5" t="n"/>
      <c r="BN763" s="5" t="n"/>
      <c r="BO763" s="5" t="n"/>
      <c r="BP763" s="5" t="n"/>
      <c r="BQ763" s="5" t="n"/>
      <c r="BR763" s="5" t="n"/>
      <c r="BS763" s="5" t="n"/>
      <c r="BT763" s="5" t="n"/>
      <c r="BU763" s="5" t="n"/>
      <c r="BV763" s="5" t="n"/>
      <c r="BW763" s="5" t="n"/>
      <c r="BX763" s="5" t="n"/>
      <c r="BY763" s="5" t="n"/>
      <c r="BZ763" s="5" t="n"/>
      <c r="CA763" s="5" t="n"/>
      <c r="CB763" s="5" t="n"/>
      <c r="CC763" s="5" t="n"/>
      <c r="CD763" s="5" t="n"/>
      <c r="CE763" s="5" t="n"/>
      <c r="CF763" s="5" t="n"/>
    </row>
    <row r="764">
      <c r="A764" s="171" t="n"/>
      <c r="B764" s="171" t="n"/>
      <c r="C764" s="171" t="n"/>
      <c r="D764" s="170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  <c r="AY764" s="5" t="n"/>
      <c r="AZ764" s="5" t="n"/>
      <c r="BA764" s="5" t="n"/>
      <c r="BB764" s="5" t="n"/>
      <c r="BC764" s="5" t="n"/>
      <c r="BD764" s="5" t="n"/>
      <c r="BE764" s="5" t="n"/>
      <c r="BF764" s="5" t="n"/>
      <c r="BG764" s="5" t="n"/>
      <c r="BH764" s="5" t="n"/>
      <c r="BI764" s="5" t="n"/>
      <c r="BJ764" s="5" t="n"/>
      <c r="BK764" s="5" t="n"/>
      <c r="BL764" s="5" t="n"/>
      <c r="BM764" s="5" t="n"/>
      <c r="BN764" s="5" t="n"/>
      <c r="BO764" s="5" t="n"/>
      <c r="BP764" s="5" t="n"/>
      <c r="BQ764" s="5" t="n"/>
      <c r="BR764" s="5" t="n"/>
      <c r="BS764" s="5" t="n"/>
      <c r="BT764" s="5" t="n"/>
      <c r="BU764" s="5" t="n"/>
      <c r="BV764" s="5" t="n"/>
      <c r="BW764" s="5" t="n"/>
      <c r="BX764" s="5" t="n"/>
      <c r="BY764" s="5" t="n"/>
      <c r="BZ764" s="5" t="n"/>
      <c r="CA764" s="5" t="n"/>
      <c r="CB764" s="5" t="n"/>
      <c r="CC764" s="5" t="n"/>
      <c r="CD764" s="5" t="n"/>
      <c r="CE764" s="5" t="n"/>
      <c r="CF764" s="5" t="n"/>
    </row>
    <row r="765">
      <c r="A765" s="171" t="n"/>
      <c r="B765" s="171" t="n"/>
      <c r="C765" s="171" t="n"/>
      <c r="D765" s="170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  <c r="AY765" s="5" t="n"/>
      <c r="AZ765" s="5" t="n"/>
      <c r="BA765" s="5" t="n"/>
      <c r="BB765" s="5" t="n"/>
      <c r="BC765" s="5" t="n"/>
      <c r="BD765" s="5" t="n"/>
      <c r="BE765" s="5" t="n"/>
      <c r="BF765" s="5" t="n"/>
      <c r="BG765" s="5" t="n"/>
      <c r="BH765" s="5" t="n"/>
      <c r="BI765" s="5" t="n"/>
      <c r="BJ765" s="5" t="n"/>
      <c r="BK765" s="5" t="n"/>
      <c r="BL765" s="5" t="n"/>
      <c r="BM765" s="5" t="n"/>
      <c r="BN765" s="5" t="n"/>
      <c r="BO765" s="5" t="n"/>
      <c r="BP765" s="5" t="n"/>
      <c r="BQ765" s="5" t="n"/>
      <c r="BR765" s="5" t="n"/>
      <c r="BS765" s="5" t="n"/>
      <c r="BT765" s="5" t="n"/>
      <c r="BU765" s="5" t="n"/>
      <c r="BV765" s="5" t="n"/>
      <c r="BW765" s="5" t="n"/>
      <c r="BX765" s="5" t="n"/>
      <c r="BY765" s="5" t="n"/>
      <c r="BZ765" s="5" t="n"/>
      <c r="CA765" s="5" t="n"/>
      <c r="CB765" s="5" t="n"/>
      <c r="CC765" s="5" t="n"/>
      <c r="CD765" s="5" t="n"/>
      <c r="CE765" s="5" t="n"/>
      <c r="CF765" s="5" t="n"/>
    </row>
    <row r="766">
      <c r="A766" s="171" t="n"/>
      <c r="B766" s="171" t="n"/>
      <c r="C766" s="171" t="n"/>
      <c r="D766" s="170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  <c r="AY766" s="5" t="n"/>
      <c r="AZ766" s="5" t="n"/>
      <c r="BA766" s="5" t="n"/>
      <c r="BB766" s="5" t="n"/>
      <c r="BC766" s="5" t="n"/>
      <c r="BD766" s="5" t="n"/>
      <c r="BE766" s="5" t="n"/>
      <c r="BF766" s="5" t="n"/>
      <c r="BG766" s="5" t="n"/>
      <c r="BH766" s="5" t="n"/>
      <c r="BI766" s="5" t="n"/>
      <c r="BJ766" s="5" t="n"/>
      <c r="BK766" s="5" t="n"/>
      <c r="BL766" s="5" t="n"/>
      <c r="BM766" s="5" t="n"/>
      <c r="BN766" s="5" t="n"/>
      <c r="BO766" s="5" t="n"/>
      <c r="BP766" s="5" t="n"/>
      <c r="BQ766" s="5" t="n"/>
      <c r="BR766" s="5" t="n"/>
      <c r="BS766" s="5" t="n"/>
      <c r="BT766" s="5" t="n"/>
      <c r="BU766" s="5" t="n"/>
      <c r="BV766" s="5" t="n"/>
      <c r="BW766" s="5" t="n"/>
      <c r="BX766" s="5" t="n"/>
      <c r="BY766" s="5" t="n"/>
      <c r="BZ766" s="5" t="n"/>
      <c r="CA766" s="5" t="n"/>
      <c r="CB766" s="5" t="n"/>
      <c r="CC766" s="5" t="n"/>
      <c r="CD766" s="5" t="n"/>
      <c r="CE766" s="5" t="n"/>
      <c r="CF766" s="5" t="n"/>
    </row>
    <row r="767">
      <c r="A767" s="171" t="n"/>
      <c r="B767" s="171" t="n"/>
      <c r="C767" s="171" t="n"/>
      <c r="D767" s="170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  <c r="AY767" s="5" t="n"/>
      <c r="AZ767" s="5" t="n"/>
      <c r="BA767" s="5" t="n"/>
      <c r="BB767" s="5" t="n"/>
      <c r="BC767" s="5" t="n"/>
      <c r="BD767" s="5" t="n"/>
      <c r="BE767" s="5" t="n"/>
      <c r="BF767" s="5" t="n"/>
      <c r="BG767" s="5" t="n"/>
      <c r="BH767" s="5" t="n"/>
      <c r="BI767" s="5" t="n"/>
      <c r="BJ767" s="5" t="n"/>
      <c r="BK767" s="5" t="n"/>
      <c r="BL767" s="5" t="n"/>
      <c r="BM767" s="5" t="n"/>
      <c r="BN767" s="5" t="n"/>
      <c r="BO767" s="5" t="n"/>
      <c r="BP767" s="5" t="n"/>
      <c r="BQ767" s="5" t="n"/>
      <c r="BR767" s="5" t="n"/>
      <c r="BS767" s="5" t="n"/>
      <c r="BT767" s="5" t="n"/>
      <c r="BU767" s="5" t="n"/>
      <c r="BV767" s="5" t="n"/>
      <c r="BW767" s="5" t="n"/>
      <c r="BX767" s="5" t="n"/>
      <c r="BY767" s="5" t="n"/>
      <c r="BZ767" s="5" t="n"/>
      <c r="CA767" s="5" t="n"/>
      <c r="CB767" s="5" t="n"/>
      <c r="CC767" s="5" t="n"/>
      <c r="CD767" s="5" t="n"/>
      <c r="CE767" s="5" t="n"/>
      <c r="CF767" s="5" t="n"/>
    </row>
    <row r="768">
      <c r="A768" s="171" t="n"/>
      <c r="B768" s="171" t="n"/>
      <c r="C768" s="171" t="n"/>
      <c r="D768" s="170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  <c r="AY768" s="5" t="n"/>
      <c r="AZ768" s="5" t="n"/>
      <c r="BA768" s="5" t="n"/>
      <c r="BB768" s="5" t="n"/>
      <c r="BC768" s="5" t="n"/>
      <c r="BD768" s="5" t="n"/>
      <c r="BE768" s="5" t="n"/>
      <c r="BF768" s="5" t="n"/>
      <c r="BG768" s="5" t="n"/>
      <c r="BH768" s="5" t="n"/>
      <c r="BI768" s="5" t="n"/>
      <c r="BJ768" s="5" t="n"/>
      <c r="BK768" s="5" t="n"/>
      <c r="BL768" s="5" t="n"/>
      <c r="BM768" s="5" t="n"/>
      <c r="BN768" s="5" t="n"/>
      <c r="BO768" s="5" t="n"/>
      <c r="BP768" s="5" t="n"/>
      <c r="BQ768" s="5" t="n"/>
      <c r="BR768" s="5" t="n"/>
      <c r="BS768" s="5" t="n"/>
      <c r="BT768" s="5" t="n"/>
      <c r="BU768" s="5" t="n"/>
      <c r="BV768" s="5" t="n"/>
      <c r="BW768" s="5" t="n"/>
      <c r="BX768" s="5" t="n"/>
      <c r="BY768" s="5" t="n"/>
      <c r="BZ768" s="5" t="n"/>
      <c r="CA768" s="5" t="n"/>
      <c r="CB768" s="5" t="n"/>
      <c r="CC768" s="5" t="n"/>
      <c r="CD768" s="5" t="n"/>
      <c r="CE768" s="5" t="n"/>
      <c r="CF768" s="5" t="n"/>
    </row>
    <row r="769">
      <c r="A769" s="171" t="n"/>
      <c r="B769" s="171" t="n"/>
      <c r="C769" s="171" t="n"/>
      <c r="D769" s="170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  <c r="AY769" s="5" t="n"/>
      <c r="AZ769" s="5" t="n"/>
      <c r="BA769" s="5" t="n"/>
      <c r="BB769" s="5" t="n"/>
      <c r="BC769" s="5" t="n"/>
      <c r="BD769" s="5" t="n"/>
      <c r="BE769" s="5" t="n"/>
      <c r="BF769" s="5" t="n"/>
      <c r="BG769" s="5" t="n"/>
      <c r="BH769" s="5" t="n"/>
      <c r="BI769" s="5" t="n"/>
      <c r="BJ769" s="5" t="n"/>
      <c r="BK769" s="5" t="n"/>
      <c r="BL769" s="5" t="n"/>
      <c r="BM769" s="5" t="n"/>
      <c r="BN769" s="5" t="n"/>
      <c r="BO769" s="5" t="n"/>
      <c r="BP769" s="5" t="n"/>
      <c r="BQ769" s="5" t="n"/>
      <c r="BR769" s="5" t="n"/>
      <c r="BS769" s="5" t="n"/>
      <c r="BT769" s="5" t="n"/>
      <c r="BU769" s="5" t="n"/>
      <c r="BV769" s="5" t="n"/>
      <c r="BW769" s="5" t="n"/>
      <c r="BX769" s="5" t="n"/>
      <c r="BY769" s="5" t="n"/>
      <c r="BZ769" s="5" t="n"/>
      <c r="CA769" s="5" t="n"/>
      <c r="CB769" s="5" t="n"/>
      <c r="CC769" s="5" t="n"/>
      <c r="CD769" s="5" t="n"/>
      <c r="CE769" s="5" t="n"/>
      <c r="CF769" s="5" t="n"/>
    </row>
    <row r="770">
      <c r="A770" s="171" t="n"/>
      <c r="B770" s="171" t="n"/>
      <c r="C770" s="171" t="n"/>
      <c r="D770" s="170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  <c r="AY770" s="5" t="n"/>
      <c r="AZ770" s="5" t="n"/>
      <c r="BA770" s="5" t="n"/>
      <c r="BB770" s="5" t="n"/>
      <c r="BC770" s="5" t="n"/>
      <c r="BD770" s="5" t="n"/>
      <c r="BE770" s="5" t="n"/>
      <c r="BF770" s="5" t="n"/>
      <c r="BG770" s="5" t="n"/>
      <c r="BH770" s="5" t="n"/>
      <c r="BI770" s="5" t="n"/>
      <c r="BJ770" s="5" t="n"/>
      <c r="BK770" s="5" t="n"/>
      <c r="BL770" s="5" t="n"/>
      <c r="BM770" s="5" t="n"/>
      <c r="BN770" s="5" t="n"/>
      <c r="BO770" s="5" t="n"/>
      <c r="BP770" s="5" t="n"/>
      <c r="BQ770" s="5" t="n"/>
      <c r="BR770" s="5" t="n"/>
      <c r="BS770" s="5" t="n"/>
      <c r="BT770" s="5" t="n"/>
      <c r="BU770" s="5" t="n"/>
      <c r="BV770" s="5" t="n"/>
      <c r="BW770" s="5" t="n"/>
      <c r="BX770" s="5" t="n"/>
      <c r="BY770" s="5" t="n"/>
      <c r="BZ770" s="5" t="n"/>
      <c r="CA770" s="5" t="n"/>
      <c r="CB770" s="5" t="n"/>
      <c r="CC770" s="5" t="n"/>
      <c r="CD770" s="5" t="n"/>
      <c r="CE770" s="5" t="n"/>
      <c r="CF770" s="5" t="n"/>
    </row>
    <row r="771">
      <c r="A771" s="171" t="n"/>
      <c r="B771" s="171" t="n"/>
      <c r="C771" s="171" t="n"/>
      <c r="D771" s="170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  <c r="AY771" s="5" t="n"/>
      <c r="AZ771" s="5" t="n"/>
      <c r="BA771" s="5" t="n"/>
      <c r="BB771" s="5" t="n"/>
      <c r="BC771" s="5" t="n"/>
      <c r="BD771" s="5" t="n"/>
      <c r="BE771" s="5" t="n"/>
      <c r="BF771" s="5" t="n"/>
      <c r="BG771" s="5" t="n"/>
      <c r="BH771" s="5" t="n"/>
      <c r="BI771" s="5" t="n"/>
      <c r="BJ771" s="5" t="n"/>
      <c r="BK771" s="5" t="n"/>
      <c r="BL771" s="5" t="n"/>
      <c r="BM771" s="5" t="n"/>
      <c r="BN771" s="5" t="n"/>
      <c r="BO771" s="5" t="n"/>
      <c r="BP771" s="5" t="n"/>
      <c r="BQ771" s="5" t="n"/>
      <c r="BR771" s="5" t="n"/>
      <c r="BS771" s="5" t="n"/>
      <c r="BT771" s="5" t="n"/>
      <c r="BU771" s="5" t="n"/>
      <c r="BV771" s="5" t="n"/>
      <c r="BW771" s="5" t="n"/>
      <c r="BX771" s="5" t="n"/>
      <c r="BY771" s="5" t="n"/>
      <c r="BZ771" s="5" t="n"/>
      <c r="CA771" s="5" t="n"/>
      <c r="CB771" s="5" t="n"/>
      <c r="CC771" s="5" t="n"/>
      <c r="CD771" s="5" t="n"/>
      <c r="CE771" s="5" t="n"/>
      <c r="CF771" s="5" t="n"/>
    </row>
    <row r="772">
      <c r="A772" s="171" t="n"/>
      <c r="B772" s="171" t="n"/>
      <c r="C772" s="171" t="n"/>
      <c r="D772" s="170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  <c r="AY772" s="5" t="n"/>
      <c r="AZ772" s="5" t="n"/>
      <c r="BA772" s="5" t="n"/>
      <c r="BB772" s="5" t="n"/>
      <c r="BC772" s="5" t="n"/>
      <c r="BD772" s="5" t="n"/>
      <c r="BE772" s="5" t="n"/>
      <c r="BF772" s="5" t="n"/>
      <c r="BG772" s="5" t="n"/>
      <c r="BH772" s="5" t="n"/>
      <c r="BI772" s="5" t="n"/>
      <c r="BJ772" s="5" t="n"/>
      <c r="BK772" s="5" t="n"/>
      <c r="BL772" s="5" t="n"/>
      <c r="BM772" s="5" t="n"/>
      <c r="BN772" s="5" t="n"/>
      <c r="BO772" s="5" t="n"/>
      <c r="BP772" s="5" t="n"/>
      <c r="BQ772" s="5" t="n"/>
      <c r="BR772" s="5" t="n"/>
      <c r="BS772" s="5" t="n"/>
      <c r="BT772" s="5" t="n"/>
      <c r="BU772" s="5" t="n"/>
      <c r="BV772" s="5" t="n"/>
      <c r="BW772" s="5" t="n"/>
      <c r="BX772" s="5" t="n"/>
      <c r="BY772" s="5" t="n"/>
      <c r="BZ772" s="5" t="n"/>
      <c r="CA772" s="5" t="n"/>
      <c r="CB772" s="5" t="n"/>
      <c r="CC772" s="5" t="n"/>
      <c r="CD772" s="5" t="n"/>
      <c r="CE772" s="5" t="n"/>
      <c r="CF772" s="5" t="n"/>
    </row>
    <row r="773">
      <c r="A773" s="171" t="n"/>
      <c r="B773" s="171" t="n"/>
      <c r="C773" s="171" t="n"/>
      <c r="D773" s="170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  <c r="AY773" s="5" t="n"/>
      <c r="AZ773" s="5" t="n"/>
      <c r="BA773" s="5" t="n"/>
      <c r="BB773" s="5" t="n"/>
      <c r="BC773" s="5" t="n"/>
      <c r="BD773" s="5" t="n"/>
      <c r="BE773" s="5" t="n"/>
      <c r="BF773" s="5" t="n"/>
      <c r="BG773" s="5" t="n"/>
      <c r="BH773" s="5" t="n"/>
      <c r="BI773" s="5" t="n"/>
      <c r="BJ773" s="5" t="n"/>
      <c r="BK773" s="5" t="n"/>
      <c r="BL773" s="5" t="n"/>
      <c r="BM773" s="5" t="n"/>
      <c r="BN773" s="5" t="n"/>
      <c r="BO773" s="5" t="n"/>
      <c r="BP773" s="5" t="n"/>
      <c r="BQ773" s="5" t="n"/>
      <c r="BR773" s="5" t="n"/>
      <c r="BS773" s="5" t="n"/>
      <c r="BT773" s="5" t="n"/>
      <c r="BU773" s="5" t="n"/>
      <c r="BV773" s="5" t="n"/>
      <c r="BW773" s="5" t="n"/>
      <c r="BX773" s="5" t="n"/>
      <c r="BY773" s="5" t="n"/>
      <c r="BZ773" s="5" t="n"/>
      <c r="CA773" s="5" t="n"/>
      <c r="CB773" s="5" t="n"/>
      <c r="CC773" s="5" t="n"/>
      <c r="CD773" s="5" t="n"/>
      <c r="CE773" s="5" t="n"/>
      <c r="CF773" s="5" t="n"/>
    </row>
    <row r="774">
      <c r="A774" s="171" t="n"/>
      <c r="B774" s="171" t="n"/>
      <c r="C774" s="171" t="n"/>
      <c r="D774" s="170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  <c r="AY774" s="5" t="n"/>
      <c r="AZ774" s="5" t="n"/>
      <c r="BA774" s="5" t="n"/>
      <c r="BB774" s="5" t="n"/>
      <c r="BC774" s="5" t="n"/>
      <c r="BD774" s="5" t="n"/>
      <c r="BE774" s="5" t="n"/>
      <c r="BF774" s="5" t="n"/>
      <c r="BG774" s="5" t="n"/>
      <c r="BH774" s="5" t="n"/>
      <c r="BI774" s="5" t="n"/>
      <c r="BJ774" s="5" t="n"/>
      <c r="BK774" s="5" t="n"/>
      <c r="BL774" s="5" t="n"/>
      <c r="BM774" s="5" t="n"/>
      <c r="BN774" s="5" t="n"/>
      <c r="BO774" s="5" t="n"/>
      <c r="BP774" s="5" t="n"/>
      <c r="BQ774" s="5" t="n"/>
      <c r="BR774" s="5" t="n"/>
      <c r="BS774" s="5" t="n"/>
      <c r="BT774" s="5" t="n"/>
      <c r="BU774" s="5" t="n"/>
      <c r="BV774" s="5" t="n"/>
      <c r="BW774" s="5" t="n"/>
      <c r="BX774" s="5" t="n"/>
      <c r="BY774" s="5" t="n"/>
      <c r="BZ774" s="5" t="n"/>
      <c r="CA774" s="5" t="n"/>
      <c r="CB774" s="5" t="n"/>
      <c r="CC774" s="5" t="n"/>
      <c r="CD774" s="5" t="n"/>
      <c r="CE774" s="5" t="n"/>
      <c r="CF774" s="5" t="n"/>
    </row>
    <row r="775">
      <c r="A775" s="171" t="n"/>
      <c r="B775" s="171" t="n"/>
      <c r="C775" s="171" t="n"/>
      <c r="D775" s="170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  <c r="AY775" s="5" t="n"/>
      <c r="AZ775" s="5" t="n"/>
      <c r="BA775" s="5" t="n"/>
      <c r="BB775" s="5" t="n"/>
      <c r="BC775" s="5" t="n"/>
      <c r="BD775" s="5" t="n"/>
      <c r="BE775" s="5" t="n"/>
      <c r="BF775" s="5" t="n"/>
      <c r="BG775" s="5" t="n"/>
      <c r="BH775" s="5" t="n"/>
      <c r="BI775" s="5" t="n"/>
      <c r="BJ775" s="5" t="n"/>
      <c r="BK775" s="5" t="n"/>
      <c r="BL775" s="5" t="n"/>
      <c r="BM775" s="5" t="n"/>
      <c r="BN775" s="5" t="n"/>
      <c r="BO775" s="5" t="n"/>
      <c r="BP775" s="5" t="n"/>
      <c r="BQ775" s="5" t="n"/>
      <c r="BR775" s="5" t="n"/>
      <c r="BS775" s="5" t="n"/>
      <c r="BT775" s="5" t="n"/>
      <c r="BU775" s="5" t="n"/>
      <c r="BV775" s="5" t="n"/>
      <c r="BW775" s="5" t="n"/>
      <c r="BX775" s="5" t="n"/>
      <c r="BY775" s="5" t="n"/>
      <c r="BZ775" s="5" t="n"/>
      <c r="CA775" s="5" t="n"/>
      <c r="CB775" s="5" t="n"/>
      <c r="CC775" s="5" t="n"/>
      <c r="CD775" s="5" t="n"/>
      <c r="CE775" s="5" t="n"/>
      <c r="CF775" s="5" t="n"/>
    </row>
    <row r="776">
      <c r="A776" s="171" t="n"/>
      <c r="B776" s="171" t="n"/>
      <c r="C776" s="171" t="n"/>
      <c r="D776" s="170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  <c r="AY776" s="5" t="n"/>
      <c r="AZ776" s="5" t="n"/>
      <c r="BA776" s="5" t="n"/>
      <c r="BB776" s="5" t="n"/>
      <c r="BC776" s="5" t="n"/>
      <c r="BD776" s="5" t="n"/>
      <c r="BE776" s="5" t="n"/>
      <c r="BF776" s="5" t="n"/>
      <c r="BG776" s="5" t="n"/>
      <c r="BH776" s="5" t="n"/>
      <c r="BI776" s="5" t="n"/>
      <c r="BJ776" s="5" t="n"/>
      <c r="BK776" s="5" t="n"/>
      <c r="BL776" s="5" t="n"/>
      <c r="BM776" s="5" t="n"/>
      <c r="BN776" s="5" t="n"/>
      <c r="BO776" s="5" t="n"/>
      <c r="BP776" s="5" t="n"/>
      <c r="BQ776" s="5" t="n"/>
      <c r="BR776" s="5" t="n"/>
      <c r="BS776" s="5" t="n"/>
      <c r="BT776" s="5" t="n"/>
      <c r="BU776" s="5" t="n"/>
      <c r="BV776" s="5" t="n"/>
      <c r="BW776" s="5" t="n"/>
      <c r="BX776" s="5" t="n"/>
      <c r="BY776" s="5" t="n"/>
      <c r="BZ776" s="5" t="n"/>
      <c r="CA776" s="5" t="n"/>
      <c r="CB776" s="5" t="n"/>
      <c r="CC776" s="5" t="n"/>
      <c r="CD776" s="5" t="n"/>
      <c r="CE776" s="5" t="n"/>
      <c r="CF776" s="5" t="n"/>
    </row>
    <row r="777">
      <c r="A777" s="171" t="n"/>
      <c r="B777" s="171" t="n"/>
      <c r="C777" s="171" t="n"/>
      <c r="D777" s="170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  <c r="AY777" s="5" t="n"/>
      <c r="AZ777" s="5" t="n"/>
      <c r="BA777" s="5" t="n"/>
      <c r="BB777" s="5" t="n"/>
      <c r="BC777" s="5" t="n"/>
      <c r="BD777" s="5" t="n"/>
      <c r="BE777" s="5" t="n"/>
      <c r="BF777" s="5" t="n"/>
      <c r="BG777" s="5" t="n"/>
      <c r="BH777" s="5" t="n"/>
      <c r="BI777" s="5" t="n"/>
      <c r="BJ777" s="5" t="n"/>
      <c r="BK777" s="5" t="n"/>
      <c r="BL777" s="5" t="n"/>
      <c r="BM777" s="5" t="n"/>
      <c r="BN777" s="5" t="n"/>
      <c r="BO777" s="5" t="n"/>
      <c r="BP777" s="5" t="n"/>
      <c r="BQ777" s="5" t="n"/>
      <c r="BR777" s="5" t="n"/>
      <c r="BS777" s="5" t="n"/>
      <c r="BT777" s="5" t="n"/>
      <c r="BU777" s="5" t="n"/>
      <c r="BV777" s="5" t="n"/>
      <c r="BW777" s="5" t="n"/>
      <c r="BX777" s="5" t="n"/>
      <c r="BY777" s="5" t="n"/>
      <c r="BZ777" s="5" t="n"/>
      <c r="CA777" s="5" t="n"/>
      <c r="CB777" s="5" t="n"/>
      <c r="CC777" s="5" t="n"/>
      <c r="CD777" s="5" t="n"/>
      <c r="CE777" s="5" t="n"/>
      <c r="CF777" s="5" t="n"/>
    </row>
    <row r="778">
      <c r="A778" s="171" t="n"/>
      <c r="B778" s="171" t="n"/>
      <c r="C778" s="171" t="n"/>
      <c r="D778" s="170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  <c r="AY778" s="5" t="n"/>
      <c r="AZ778" s="5" t="n"/>
      <c r="BA778" s="5" t="n"/>
      <c r="BB778" s="5" t="n"/>
      <c r="BC778" s="5" t="n"/>
      <c r="BD778" s="5" t="n"/>
      <c r="BE778" s="5" t="n"/>
      <c r="BF778" s="5" t="n"/>
      <c r="BG778" s="5" t="n"/>
      <c r="BH778" s="5" t="n"/>
      <c r="BI778" s="5" t="n"/>
      <c r="BJ778" s="5" t="n"/>
      <c r="BK778" s="5" t="n"/>
      <c r="BL778" s="5" t="n"/>
      <c r="BM778" s="5" t="n"/>
      <c r="BN778" s="5" t="n"/>
      <c r="BO778" s="5" t="n"/>
      <c r="BP778" s="5" t="n"/>
      <c r="BQ778" s="5" t="n"/>
      <c r="BR778" s="5" t="n"/>
      <c r="BS778" s="5" t="n"/>
      <c r="BT778" s="5" t="n"/>
      <c r="BU778" s="5" t="n"/>
      <c r="BV778" s="5" t="n"/>
      <c r="BW778" s="5" t="n"/>
      <c r="BX778" s="5" t="n"/>
      <c r="BY778" s="5" t="n"/>
      <c r="BZ778" s="5" t="n"/>
      <c r="CA778" s="5" t="n"/>
      <c r="CB778" s="5" t="n"/>
      <c r="CC778" s="5" t="n"/>
      <c r="CD778" s="5" t="n"/>
      <c r="CE778" s="5" t="n"/>
      <c r="CF778" s="5" t="n"/>
    </row>
    <row r="779">
      <c r="A779" s="171" t="n"/>
      <c r="B779" s="171" t="n"/>
      <c r="C779" s="171" t="n"/>
      <c r="D779" s="170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  <c r="AY779" s="5" t="n"/>
      <c r="AZ779" s="5" t="n"/>
      <c r="BA779" s="5" t="n"/>
      <c r="BB779" s="5" t="n"/>
      <c r="BC779" s="5" t="n"/>
      <c r="BD779" s="5" t="n"/>
      <c r="BE779" s="5" t="n"/>
      <c r="BF779" s="5" t="n"/>
      <c r="BG779" s="5" t="n"/>
      <c r="BH779" s="5" t="n"/>
      <c r="BI779" s="5" t="n"/>
      <c r="BJ779" s="5" t="n"/>
      <c r="BK779" s="5" t="n"/>
      <c r="BL779" s="5" t="n"/>
      <c r="BM779" s="5" t="n"/>
      <c r="BN779" s="5" t="n"/>
      <c r="BO779" s="5" t="n"/>
      <c r="BP779" s="5" t="n"/>
      <c r="BQ779" s="5" t="n"/>
      <c r="BR779" s="5" t="n"/>
      <c r="BS779" s="5" t="n"/>
      <c r="BT779" s="5" t="n"/>
      <c r="BU779" s="5" t="n"/>
      <c r="BV779" s="5" t="n"/>
      <c r="BW779" s="5" t="n"/>
      <c r="BX779" s="5" t="n"/>
      <c r="BY779" s="5" t="n"/>
      <c r="BZ779" s="5" t="n"/>
      <c r="CA779" s="5" t="n"/>
      <c r="CB779" s="5" t="n"/>
      <c r="CC779" s="5" t="n"/>
      <c r="CD779" s="5" t="n"/>
      <c r="CE779" s="5" t="n"/>
      <c r="CF779" s="5" t="n"/>
    </row>
    <row r="780">
      <c r="A780" s="171" t="n"/>
      <c r="B780" s="171" t="n"/>
      <c r="C780" s="171" t="n"/>
      <c r="D780" s="170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  <c r="AY780" s="5" t="n"/>
      <c r="AZ780" s="5" t="n"/>
      <c r="BA780" s="5" t="n"/>
      <c r="BB780" s="5" t="n"/>
      <c r="BC780" s="5" t="n"/>
      <c r="BD780" s="5" t="n"/>
      <c r="BE780" s="5" t="n"/>
      <c r="BF780" s="5" t="n"/>
      <c r="BG780" s="5" t="n"/>
      <c r="BH780" s="5" t="n"/>
      <c r="BI780" s="5" t="n"/>
      <c r="BJ780" s="5" t="n"/>
      <c r="BK780" s="5" t="n"/>
      <c r="BL780" s="5" t="n"/>
      <c r="BM780" s="5" t="n"/>
      <c r="BN780" s="5" t="n"/>
      <c r="BO780" s="5" t="n"/>
      <c r="BP780" s="5" t="n"/>
      <c r="BQ780" s="5" t="n"/>
      <c r="BR780" s="5" t="n"/>
      <c r="BS780" s="5" t="n"/>
      <c r="BT780" s="5" t="n"/>
      <c r="BU780" s="5" t="n"/>
      <c r="BV780" s="5" t="n"/>
      <c r="BW780" s="5" t="n"/>
      <c r="BX780" s="5" t="n"/>
      <c r="BY780" s="5" t="n"/>
      <c r="BZ780" s="5" t="n"/>
      <c r="CA780" s="5" t="n"/>
      <c r="CB780" s="5" t="n"/>
      <c r="CC780" s="5" t="n"/>
      <c r="CD780" s="5" t="n"/>
      <c r="CE780" s="5" t="n"/>
      <c r="CF780" s="5" t="n"/>
    </row>
    <row r="781">
      <c r="A781" s="171" t="n"/>
      <c r="B781" s="171" t="n"/>
      <c r="C781" s="171" t="n"/>
      <c r="D781" s="170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  <c r="AY781" s="5" t="n"/>
      <c r="AZ781" s="5" t="n"/>
      <c r="BA781" s="5" t="n"/>
      <c r="BB781" s="5" t="n"/>
      <c r="BC781" s="5" t="n"/>
      <c r="BD781" s="5" t="n"/>
      <c r="BE781" s="5" t="n"/>
      <c r="BF781" s="5" t="n"/>
      <c r="BG781" s="5" t="n"/>
      <c r="BH781" s="5" t="n"/>
      <c r="BI781" s="5" t="n"/>
      <c r="BJ781" s="5" t="n"/>
      <c r="BK781" s="5" t="n"/>
      <c r="BL781" s="5" t="n"/>
      <c r="BM781" s="5" t="n"/>
      <c r="BN781" s="5" t="n"/>
      <c r="BO781" s="5" t="n"/>
      <c r="BP781" s="5" t="n"/>
      <c r="BQ781" s="5" t="n"/>
      <c r="BR781" s="5" t="n"/>
      <c r="BS781" s="5" t="n"/>
      <c r="BT781" s="5" t="n"/>
      <c r="BU781" s="5" t="n"/>
      <c r="BV781" s="5" t="n"/>
      <c r="BW781" s="5" t="n"/>
      <c r="BX781" s="5" t="n"/>
      <c r="BY781" s="5" t="n"/>
      <c r="BZ781" s="5" t="n"/>
      <c r="CA781" s="5" t="n"/>
      <c r="CB781" s="5" t="n"/>
      <c r="CC781" s="5" t="n"/>
      <c r="CD781" s="5" t="n"/>
      <c r="CE781" s="5" t="n"/>
      <c r="CF781" s="5" t="n"/>
    </row>
    <row r="782">
      <c r="A782" s="171" t="n"/>
      <c r="B782" s="171" t="n"/>
      <c r="C782" s="171" t="n"/>
      <c r="D782" s="170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  <c r="AY782" s="5" t="n"/>
      <c r="AZ782" s="5" t="n"/>
      <c r="BA782" s="5" t="n"/>
      <c r="BB782" s="5" t="n"/>
      <c r="BC782" s="5" t="n"/>
      <c r="BD782" s="5" t="n"/>
      <c r="BE782" s="5" t="n"/>
      <c r="BF782" s="5" t="n"/>
      <c r="BG782" s="5" t="n"/>
      <c r="BH782" s="5" t="n"/>
      <c r="BI782" s="5" t="n"/>
      <c r="BJ782" s="5" t="n"/>
      <c r="BK782" s="5" t="n"/>
      <c r="BL782" s="5" t="n"/>
      <c r="BM782" s="5" t="n"/>
      <c r="BN782" s="5" t="n"/>
      <c r="BO782" s="5" t="n"/>
      <c r="BP782" s="5" t="n"/>
      <c r="BQ782" s="5" t="n"/>
      <c r="BR782" s="5" t="n"/>
      <c r="BS782" s="5" t="n"/>
      <c r="BT782" s="5" t="n"/>
      <c r="BU782" s="5" t="n"/>
      <c r="BV782" s="5" t="n"/>
      <c r="BW782" s="5" t="n"/>
      <c r="BX782" s="5" t="n"/>
      <c r="BY782" s="5" t="n"/>
      <c r="BZ782" s="5" t="n"/>
      <c r="CA782" s="5" t="n"/>
      <c r="CB782" s="5" t="n"/>
      <c r="CC782" s="5" t="n"/>
      <c r="CD782" s="5" t="n"/>
      <c r="CE782" s="5" t="n"/>
      <c r="CF782" s="5" t="n"/>
    </row>
    <row r="783">
      <c r="A783" s="171" t="n"/>
      <c r="B783" s="171" t="n"/>
      <c r="C783" s="171" t="n"/>
      <c r="D783" s="170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  <c r="AY783" s="5" t="n"/>
      <c r="AZ783" s="5" t="n"/>
      <c r="BA783" s="5" t="n"/>
      <c r="BB783" s="5" t="n"/>
      <c r="BC783" s="5" t="n"/>
      <c r="BD783" s="5" t="n"/>
      <c r="BE783" s="5" t="n"/>
      <c r="BF783" s="5" t="n"/>
      <c r="BG783" s="5" t="n"/>
      <c r="BH783" s="5" t="n"/>
      <c r="BI783" s="5" t="n"/>
      <c r="BJ783" s="5" t="n"/>
      <c r="BK783" s="5" t="n"/>
      <c r="BL783" s="5" t="n"/>
      <c r="BM783" s="5" t="n"/>
      <c r="BN783" s="5" t="n"/>
      <c r="BO783" s="5" t="n"/>
      <c r="BP783" s="5" t="n"/>
      <c r="BQ783" s="5" t="n"/>
      <c r="BR783" s="5" t="n"/>
      <c r="BS783" s="5" t="n"/>
      <c r="BT783" s="5" t="n"/>
      <c r="BU783" s="5" t="n"/>
      <c r="BV783" s="5" t="n"/>
      <c r="BW783" s="5" t="n"/>
      <c r="BX783" s="5" t="n"/>
      <c r="BY783" s="5" t="n"/>
      <c r="BZ783" s="5" t="n"/>
      <c r="CA783" s="5" t="n"/>
      <c r="CB783" s="5" t="n"/>
      <c r="CC783" s="5" t="n"/>
      <c r="CD783" s="5" t="n"/>
      <c r="CE783" s="5" t="n"/>
      <c r="CF783" s="5" t="n"/>
    </row>
    <row r="784">
      <c r="A784" s="171" t="n"/>
      <c r="B784" s="171" t="n"/>
      <c r="C784" s="171" t="n"/>
      <c r="D784" s="170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  <c r="AY784" s="5" t="n"/>
      <c r="AZ784" s="5" t="n"/>
      <c r="BA784" s="5" t="n"/>
      <c r="BB784" s="5" t="n"/>
      <c r="BC784" s="5" t="n"/>
      <c r="BD784" s="5" t="n"/>
      <c r="BE784" s="5" t="n"/>
      <c r="BF784" s="5" t="n"/>
      <c r="BG784" s="5" t="n"/>
      <c r="BH784" s="5" t="n"/>
      <c r="BI784" s="5" t="n"/>
      <c r="BJ784" s="5" t="n"/>
      <c r="BK784" s="5" t="n"/>
      <c r="BL784" s="5" t="n"/>
      <c r="BM784" s="5" t="n"/>
      <c r="BN784" s="5" t="n"/>
      <c r="BO784" s="5" t="n"/>
      <c r="BP784" s="5" t="n"/>
      <c r="BQ784" s="5" t="n"/>
      <c r="BR784" s="5" t="n"/>
      <c r="BS784" s="5" t="n"/>
      <c r="BT784" s="5" t="n"/>
      <c r="BU784" s="5" t="n"/>
      <c r="BV784" s="5" t="n"/>
      <c r="BW784" s="5" t="n"/>
      <c r="BX784" s="5" t="n"/>
      <c r="BY784" s="5" t="n"/>
      <c r="BZ784" s="5" t="n"/>
      <c r="CA784" s="5" t="n"/>
      <c r="CB784" s="5" t="n"/>
      <c r="CC784" s="5" t="n"/>
      <c r="CD784" s="5" t="n"/>
      <c r="CE784" s="5" t="n"/>
      <c r="CF784" s="5" t="n"/>
    </row>
    <row r="785">
      <c r="A785" s="171" t="n"/>
      <c r="B785" s="171" t="n"/>
      <c r="C785" s="171" t="n"/>
      <c r="D785" s="170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  <c r="AY785" s="5" t="n"/>
      <c r="AZ785" s="5" t="n"/>
      <c r="BA785" s="5" t="n"/>
      <c r="BB785" s="5" t="n"/>
      <c r="BC785" s="5" t="n"/>
      <c r="BD785" s="5" t="n"/>
      <c r="BE785" s="5" t="n"/>
      <c r="BF785" s="5" t="n"/>
      <c r="BG785" s="5" t="n"/>
      <c r="BH785" s="5" t="n"/>
      <c r="BI785" s="5" t="n"/>
      <c r="BJ785" s="5" t="n"/>
      <c r="BK785" s="5" t="n"/>
      <c r="BL785" s="5" t="n"/>
      <c r="BM785" s="5" t="n"/>
      <c r="BN785" s="5" t="n"/>
      <c r="BO785" s="5" t="n"/>
      <c r="BP785" s="5" t="n"/>
      <c r="BQ785" s="5" t="n"/>
      <c r="BR785" s="5" t="n"/>
      <c r="BS785" s="5" t="n"/>
      <c r="BT785" s="5" t="n"/>
      <c r="BU785" s="5" t="n"/>
      <c r="BV785" s="5" t="n"/>
      <c r="BW785" s="5" t="n"/>
      <c r="BX785" s="5" t="n"/>
      <c r="BY785" s="5" t="n"/>
      <c r="BZ785" s="5" t="n"/>
      <c r="CA785" s="5" t="n"/>
      <c r="CB785" s="5" t="n"/>
      <c r="CC785" s="5" t="n"/>
      <c r="CD785" s="5" t="n"/>
      <c r="CE785" s="5" t="n"/>
      <c r="CF785" s="5" t="n"/>
    </row>
    <row r="786">
      <c r="A786" s="171" t="n"/>
      <c r="B786" s="171" t="n"/>
      <c r="C786" s="171" t="n"/>
      <c r="D786" s="170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  <c r="AY786" s="5" t="n"/>
      <c r="AZ786" s="5" t="n"/>
      <c r="BA786" s="5" t="n"/>
      <c r="BB786" s="5" t="n"/>
      <c r="BC786" s="5" t="n"/>
      <c r="BD786" s="5" t="n"/>
      <c r="BE786" s="5" t="n"/>
      <c r="BF786" s="5" t="n"/>
      <c r="BG786" s="5" t="n"/>
      <c r="BH786" s="5" t="n"/>
      <c r="BI786" s="5" t="n"/>
      <c r="BJ786" s="5" t="n"/>
      <c r="BK786" s="5" t="n"/>
      <c r="BL786" s="5" t="n"/>
      <c r="BM786" s="5" t="n"/>
      <c r="BN786" s="5" t="n"/>
      <c r="BO786" s="5" t="n"/>
      <c r="BP786" s="5" t="n"/>
      <c r="BQ786" s="5" t="n"/>
      <c r="BR786" s="5" t="n"/>
      <c r="BS786" s="5" t="n"/>
      <c r="BT786" s="5" t="n"/>
      <c r="BU786" s="5" t="n"/>
      <c r="BV786" s="5" t="n"/>
      <c r="BW786" s="5" t="n"/>
      <c r="BX786" s="5" t="n"/>
      <c r="BY786" s="5" t="n"/>
      <c r="BZ786" s="5" t="n"/>
      <c r="CA786" s="5" t="n"/>
      <c r="CB786" s="5" t="n"/>
      <c r="CC786" s="5" t="n"/>
      <c r="CD786" s="5" t="n"/>
      <c r="CE786" s="5" t="n"/>
      <c r="CF786" s="5" t="n"/>
    </row>
    <row r="787">
      <c r="A787" s="171" t="n"/>
      <c r="B787" s="171" t="n"/>
      <c r="C787" s="171" t="n"/>
      <c r="D787" s="170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  <c r="AY787" s="5" t="n"/>
      <c r="AZ787" s="5" t="n"/>
      <c r="BA787" s="5" t="n"/>
      <c r="BB787" s="5" t="n"/>
      <c r="BC787" s="5" t="n"/>
      <c r="BD787" s="5" t="n"/>
      <c r="BE787" s="5" t="n"/>
      <c r="BF787" s="5" t="n"/>
      <c r="BG787" s="5" t="n"/>
      <c r="BH787" s="5" t="n"/>
      <c r="BI787" s="5" t="n"/>
      <c r="BJ787" s="5" t="n"/>
      <c r="BK787" s="5" t="n"/>
      <c r="BL787" s="5" t="n"/>
      <c r="BM787" s="5" t="n"/>
      <c r="BN787" s="5" t="n"/>
      <c r="BO787" s="5" t="n"/>
      <c r="BP787" s="5" t="n"/>
      <c r="BQ787" s="5" t="n"/>
      <c r="BR787" s="5" t="n"/>
      <c r="BS787" s="5" t="n"/>
      <c r="BT787" s="5" t="n"/>
      <c r="BU787" s="5" t="n"/>
      <c r="BV787" s="5" t="n"/>
      <c r="BW787" s="5" t="n"/>
      <c r="BX787" s="5" t="n"/>
      <c r="BY787" s="5" t="n"/>
      <c r="BZ787" s="5" t="n"/>
      <c r="CA787" s="5" t="n"/>
      <c r="CB787" s="5" t="n"/>
      <c r="CC787" s="5" t="n"/>
      <c r="CD787" s="5" t="n"/>
      <c r="CE787" s="5" t="n"/>
      <c r="CF787" s="5" t="n"/>
    </row>
    <row r="788">
      <c r="A788" s="171" t="n"/>
      <c r="B788" s="171" t="n"/>
      <c r="C788" s="171" t="n"/>
      <c r="D788" s="170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  <c r="AY788" s="5" t="n"/>
      <c r="AZ788" s="5" t="n"/>
      <c r="BA788" s="5" t="n"/>
      <c r="BB788" s="5" t="n"/>
      <c r="BC788" s="5" t="n"/>
      <c r="BD788" s="5" t="n"/>
      <c r="BE788" s="5" t="n"/>
      <c r="BF788" s="5" t="n"/>
      <c r="BG788" s="5" t="n"/>
      <c r="BH788" s="5" t="n"/>
      <c r="BI788" s="5" t="n"/>
      <c r="BJ788" s="5" t="n"/>
      <c r="BK788" s="5" t="n"/>
      <c r="BL788" s="5" t="n"/>
      <c r="BM788" s="5" t="n"/>
      <c r="BN788" s="5" t="n"/>
      <c r="BO788" s="5" t="n"/>
      <c r="BP788" s="5" t="n"/>
      <c r="BQ788" s="5" t="n"/>
      <c r="BR788" s="5" t="n"/>
      <c r="BS788" s="5" t="n"/>
      <c r="BT788" s="5" t="n"/>
      <c r="BU788" s="5" t="n"/>
      <c r="BV788" s="5" t="n"/>
      <c r="BW788" s="5" t="n"/>
      <c r="BX788" s="5" t="n"/>
      <c r="BY788" s="5" t="n"/>
      <c r="BZ788" s="5" t="n"/>
      <c r="CA788" s="5" t="n"/>
      <c r="CB788" s="5" t="n"/>
      <c r="CC788" s="5" t="n"/>
      <c r="CD788" s="5" t="n"/>
      <c r="CE788" s="5" t="n"/>
      <c r="CF788" s="5" t="n"/>
    </row>
    <row r="789">
      <c r="A789" s="171" t="n"/>
      <c r="B789" s="171" t="n"/>
      <c r="C789" s="171" t="n"/>
      <c r="D789" s="170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  <c r="AY789" s="5" t="n"/>
      <c r="AZ789" s="5" t="n"/>
      <c r="BA789" s="5" t="n"/>
      <c r="BB789" s="5" t="n"/>
      <c r="BC789" s="5" t="n"/>
      <c r="BD789" s="5" t="n"/>
      <c r="BE789" s="5" t="n"/>
      <c r="BF789" s="5" t="n"/>
      <c r="BG789" s="5" t="n"/>
      <c r="BH789" s="5" t="n"/>
      <c r="BI789" s="5" t="n"/>
      <c r="BJ789" s="5" t="n"/>
      <c r="BK789" s="5" t="n"/>
      <c r="BL789" s="5" t="n"/>
      <c r="BM789" s="5" t="n"/>
      <c r="BN789" s="5" t="n"/>
      <c r="BO789" s="5" t="n"/>
      <c r="BP789" s="5" t="n"/>
      <c r="BQ789" s="5" t="n"/>
      <c r="BR789" s="5" t="n"/>
      <c r="BS789" s="5" t="n"/>
      <c r="BT789" s="5" t="n"/>
      <c r="BU789" s="5" t="n"/>
      <c r="BV789" s="5" t="n"/>
      <c r="BW789" s="5" t="n"/>
      <c r="BX789" s="5" t="n"/>
      <c r="BY789" s="5" t="n"/>
      <c r="BZ789" s="5" t="n"/>
      <c r="CA789" s="5" t="n"/>
      <c r="CB789" s="5" t="n"/>
      <c r="CC789" s="5" t="n"/>
      <c r="CD789" s="5" t="n"/>
      <c r="CE789" s="5" t="n"/>
      <c r="CF789" s="5" t="n"/>
    </row>
    <row r="790">
      <c r="A790" s="171" t="n"/>
      <c r="B790" s="171" t="n"/>
      <c r="C790" s="171" t="n"/>
      <c r="D790" s="170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  <c r="AY790" s="5" t="n"/>
      <c r="AZ790" s="5" t="n"/>
      <c r="BA790" s="5" t="n"/>
      <c r="BB790" s="5" t="n"/>
      <c r="BC790" s="5" t="n"/>
      <c r="BD790" s="5" t="n"/>
      <c r="BE790" s="5" t="n"/>
      <c r="BF790" s="5" t="n"/>
      <c r="BG790" s="5" t="n"/>
      <c r="BH790" s="5" t="n"/>
      <c r="BI790" s="5" t="n"/>
      <c r="BJ790" s="5" t="n"/>
      <c r="BK790" s="5" t="n"/>
      <c r="BL790" s="5" t="n"/>
      <c r="BM790" s="5" t="n"/>
      <c r="BN790" s="5" t="n"/>
      <c r="BO790" s="5" t="n"/>
      <c r="BP790" s="5" t="n"/>
      <c r="BQ790" s="5" t="n"/>
      <c r="BR790" s="5" t="n"/>
      <c r="BS790" s="5" t="n"/>
      <c r="BT790" s="5" t="n"/>
      <c r="BU790" s="5" t="n"/>
      <c r="BV790" s="5" t="n"/>
      <c r="BW790" s="5" t="n"/>
      <c r="BX790" s="5" t="n"/>
      <c r="BY790" s="5" t="n"/>
      <c r="BZ790" s="5" t="n"/>
      <c r="CA790" s="5" t="n"/>
      <c r="CB790" s="5" t="n"/>
      <c r="CC790" s="5" t="n"/>
      <c r="CD790" s="5" t="n"/>
      <c r="CE790" s="5" t="n"/>
      <c r="CF790" s="5" t="n"/>
    </row>
    <row r="791">
      <c r="A791" s="171" t="n"/>
      <c r="B791" s="171" t="n"/>
      <c r="C791" s="171" t="n"/>
      <c r="D791" s="170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  <c r="AY791" s="5" t="n"/>
      <c r="AZ791" s="5" t="n"/>
      <c r="BA791" s="5" t="n"/>
      <c r="BB791" s="5" t="n"/>
      <c r="BC791" s="5" t="n"/>
      <c r="BD791" s="5" t="n"/>
      <c r="BE791" s="5" t="n"/>
      <c r="BF791" s="5" t="n"/>
      <c r="BG791" s="5" t="n"/>
      <c r="BH791" s="5" t="n"/>
      <c r="BI791" s="5" t="n"/>
      <c r="BJ791" s="5" t="n"/>
      <c r="BK791" s="5" t="n"/>
      <c r="BL791" s="5" t="n"/>
      <c r="BM791" s="5" t="n"/>
      <c r="BN791" s="5" t="n"/>
      <c r="BO791" s="5" t="n"/>
      <c r="BP791" s="5" t="n"/>
      <c r="BQ791" s="5" t="n"/>
      <c r="BR791" s="5" t="n"/>
      <c r="BS791" s="5" t="n"/>
      <c r="BT791" s="5" t="n"/>
      <c r="BU791" s="5" t="n"/>
      <c r="BV791" s="5" t="n"/>
      <c r="BW791" s="5" t="n"/>
      <c r="BX791" s="5" t="n"/>
      <c r="BY791" s="5" t="n"/>
      <c r="BZ791" s="5" t="n"/>
      <c r="CA791" s="5" t="n"/>
      <c r="CB791" s="5" t="n"/>
      <c r="CC791" s="5" t="n"/>
      <c r="CD791" s="5" t="n"/>
      <c r="CE791" s="5" t="n"/>
      <c r="CF791" s="5" t="n"/>
    </row>
    <row r="792">
      <c r="A792" s="171" t="n"/>
      <c r="B792" s="171" t="n"/>
      <c r="C792" s="171" t="n"/>
      <c r="D792" s="170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  <c r="AY792" s="5" t="n"/>
      <c r="AZ792" s="5" t="n"/>
      <c r="BA792" s="5" t="n"/>
      <c r="BB792" s="5" t="n"/>
      <c r="BC792" s="5" t="n"/>
      <c r="BD792" s="5" t="n"/>
      <c r="BE792" s="5" t="n"/>
      <c r="BF792" s="5" t="n"/>
      <c r="BG792" s="5" t="n"/>
      <c r="BH792" s="5" t="n"/>
      <c r="BI792" s="5" t="n"/>
      <c r="BJ792" s="5" t="n"/>
      <c r="BK792" s="5" t="n"/>
      <c r="BL792" s="5" t="n"/>
      <c r="BM792" s="5" t="n"/>
      <c r="BN792" s="5" t="n"/>
      <c r="BO792" s="5" t="n"/>
      <c r="BP792" s="5" t="n"/>
      <c r="BQ792" s="5" t="n"/>
      <c r="BR792" s="5" t="n"/>
      <c r="BS792" s="5" t="n"/>
      <c r="BT792" s="5" t="n"/>
      <c r="BU792" s="5" t="n"/>
      <c r="BV792" s="5" t="n"/>
      <c r="BW792" s="5" t="n"/>
      <c r="BX792" s="5" t="n"/>
      <c r="BY792" s="5" t="n"/>
      <c r="BZ792" s="5" t="n"/>
      <c r="CA792" s="5" t="n"/>
      <c r="CB792" s="5" t="n"/>
      <c r="CC792" s="5" t="n"/>
      <c r="CD792" s="5" t="n"/>
      <c r="CE792" s="5" t="n"/>
      <c r="CF792" s="5" t="n"/>
    </row>
    <row r="793">
      <c r="A793" s="171" t="n"/>
      <c r="B793" s="171" t="n"/>
      <c r="C793" s="171" t="n"/>
      <c r="D793" s="170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  <c r="AY793" s="5" t="n"/>
      <c r="AZ793" s="5" t="n"/>
      <c r="BA793" s="5" t="n"/>
      <c r="BB793" s="5" t="n"/>
      <c r="BC793" s="5" t="n"/>
      <c r="BD793" s="5" t="n"/>
      <c r="BE793" s="5" t="n"/>
      <c r="BF793" s="5" t="n"/>
      <c r="BG793" s="5" t="n"/>
      <c r="BH793" s="5" t="n"/>
      <c r="BI793" s="5" t="n"/>
      <c r="BJ793" s="5" t="n"/>
      <c r="BK793" s="5" t="n"/>
      <c r="BL793" s="5" t="n"/>
      <c r="BM793" s="5" t="n"/>
      <c r="BN793" s="5" t="n"/>
      <c r="BO793" s="5" t="n"/>
      <c r="BP793" s="5" t="n"/>
      <c r="BQ793" s="5" t="n"/>
      <c r="BR793" s="5" t="n"/>
      <c r="BS793" s="5" t="n"/>
      <c r="BT793" s="5" t="n"/>
      <c r="BU793" s="5" t="n"/>
      <c r="BV793" s="5" t="n"/>
      <c r="BW793" s="5" t="n"/>
      <c r="BX793" s="5" t="n"/>
      <c r="BY793" s="5" t="n"/>
      <c r="BZ793" s="5" t="n"/>
      <c r="CA793" s="5" t="n"/>
      <c r="CB793" s="5" t="n"/>
      <c r="CC793" s="5" t="n"/>
      <c r="CD793" s="5" t="n"/>
      <c r="CE793" s="5" t="n"/>
      <c r="CF793" s="5" t="n"/>
    </row>
    <row r="794">
      <c r="A794" s="171" t="n"/>
      <c r="B794" s="171" t="n"/>
      <c r="C794" s="171" t="n"/>
      <c r="D794" s="170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  <c r="AY794" s="5" t="n"/>
      <c r="AZ794" s="5" t="n"/>
      <c r="BA794" s="5" t="n"/>
      <c r="BB794" s="5" t="n"/>
      <c r="BC794" s="5" t="n"/>
      <c r="BD794" s="5" t="n"/>
      <c r="BE794" s="5" t="n"/>
      <c r="BF794" s="5" t="n"/>
      <c r="BG794" s="5" t="n"/>
      <c r="BH794" s="5" t="n"/>
      <c r="BI794" s="5" t="n"/>
      <c r="BJ794" s="5" t="n"/>
      <c r="BK794" s="5" t="n"/>
      <c r="BL794" s="5" t="n"/>
      <c r="BM794" s="5" t="n"/>
      <c r="BN794" s="5" t="n"/>
      <c r="BO794" s="5" t="n"/>
      <c r="BP794" s="5" t="n"/>
      <c r="BQ794" s="5" t="n"/>
      <c r="BR794" s="5" t="n"/>
      <c r="BS794" s="5" t="n"/>
      <c r="BT794" s="5" t="n"/>
      <c r="BU794" s="5" t="n"/>
      <c r="BV794" s="5" t="n"/>
      <c r="BW794" s="5" t="n"/>
      <c r="BX794" s="5" t="n"/>
      <c r="BY794" s="5" t="n"/>
      <c r="BZ794" s="5" t="n"/>
      <c r="CA794" s="5" t="n"/>
      <c r="CB794" s="5" t="n"/>
      <c r="CC794" s="5" t="n"/>
      <c r="CD794" s="5" t="n"/>
      <c r="CE794" s="5" t="n"/>
      <c r="CF794" s="5" t="n"/>
    </row>
    <row r="795">
      <c r="A795" s="171" t="n"/>
      <c r="B795" s="171" t="n"/>
      <c r="C795" s="171" t="n"/>
      <c r="D795" s="170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  <c r="AY795" s="5" t="n"/>
      <c r="AZ795" s="5" t="n"/>
      <c r="BA795" s="5" t="n"/>
      <c r="BB795" s="5" t="n"/>
      <c r="BC795" s="5" t="n"/>
      <c r="BD795" s="5" t="n"/>
      <c r="BE795" s="5" t="n"/>
      <c r="BF795" s="5" t="n"/>
      <c r="BG795" s="5" t="n"/>
      <c r="BH795" s="5" t="n"/>
      <c r="BI795" s="5" t="n"/>
      <c r="BJ795" s="5" t="n"/>
      <c r="BK795" s="5" t="n"/>
      <c r="BL795" s="5" t="n"/>
      <c r="BM795" s="5" t="n"/>
      <c r="BN795" s="5" t="n"/>
      <c r="BO795" s="5" t="n"/>
      <c r="BP795" s="5" t="n"/>
      <c r="BQ795" s="5" t="n"/>
      <c r="BR795" s="5" t="n"/>
      <c r="BS795" s="5" t="n"/>
      <c r="BT795" s="5" t="n"/>
      <c r="BU795" s="5" t="n"/>
      <c r="BV795" s="5" t="n"/>
      <c r="BW795" s="5" t="n"/>
      <c r="BX795" s="5" t="n"/>
      <c r="BY795" s="5" t="n"/>
      <c r="BZ795" s="5" t="n"/>
      <c r="CA795" s="5" t="n"/>
      <c r="CB795" s="5" t="n"/>
      <c r="CC795" s="5" t="n"/>
      <c r="CD795" s="5" t="n"/>
      <c r="CE795" s="5" t="n"/>
      <c r="CF795" s="5" t="n"/>
    </row>
    <row r="796">
      <c r="A796" s="171" t="n"/>
      <c r="B796" s="171" t="n"/>
      <c r="C796" s="171" t="n"/>
      <c r="D796" s="170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  <c r="AY796" s="5" t="n"/>
      <c r="AZ796" s="5" t="n"/>
      <c r="BA796" s="5" t="n"/>
      <c r="BB796" s="5" t="n"/>
      <c r="BC796" s="5" t="n"/>
      <c r="BD796" s="5" t="n"/>
      <c r="BE796" s="5" t="n"/>
      <c r="BF796" s="5" t="n"/>
      <c r="BG796" s="5" t="n"/>
      <c r="BH796" s="5" t="n"/>
      <c r="BI796" s="5" t="n"/>
      <c r="BJ796" s="5" t="n"/>
      <c r="BK796" s="5" t="n"/>
      <c r="BL796" s="5" t="n"/>
      <c r="BM796" s="5" t="n"/>
      <c r="BN796" s="5" t="n"/>
      <c r="BO796" s="5" t="n"/>
      <c r="BP796" s="5" t="n"/>
      <c r="BQ796" s="5" t="n"/>
      <c r="BR796" s="5" t="n"/>
      <c r="BS796" s="5" t="n"/>
      <c r="BT796" s="5" t="n"/>
      <c r="BU796" s="5" t="n"/>
      <c r="BV796" s="5" t="n"/>
      <c r="BW796" s="5" t="n"/>
      <c r="BX796" s="5" t="n"/>
      <c r="BY796" s="5" t="n"/>
      <c r="BZ796" s="5" t="n"/>
      <c r="CA796" s="5" t="n"/>
      <c r="CB796" s="5" t="n"/>
      <c r="CC796" s="5" t="n"/>
      <c r="CD796" s="5" t="n"/>
      <c r="CE796" s="5" t="n"/>
      <c r="CF796" s="5" t="n"/>
    </row>
    <row r="797">
      <c r="A797" s="171" t="n"/>
      <c r="B797" s="171" t="n"/>
      <c r="C797" s="171" t="n"/>
      <c r="D797" s="170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  <c r="AY797" s="5" t="n"/>
      <c r="AZ797" s="5" t="n"/>
      <c r="BA797" s="5" t="n"/>
      <c r="BB797" s="5" t="n"/>
      <c r="BC797" s="5" t="n"/>
      <c r="BD797" s="5" t="n"/>
      <c r="BE797" s="5" t="n"/>
      <c r="BF797" s="5" t="n"/>
      <c r="BG797" s="5" t="n"/>
      <c r="BH797" s="5" t="n"/>
      <c r="BI797" s="5" t="n"/>
      <c r="BJ797" s="5" t="n"/>
      <c r="BK797" s="5" t="n"/>
      <c r="BL797" s="5" t="n"/>
      <c r="BM797" s="5" t="n"/>
      <c r="BN797" s="5" t="n"/>
      <c r="BO797" s="5" t="n"/>
      <c r="BP797" s="5" t="n"/>
      <c r="BQ797" s="5" t="n"/>
      <c r="BR797" s="5" t="n"/>
      <c r="BS797" s="5" t="n"/>
      <c r="BT797" s="5" t="n"/>
      <c r="BU797" s="5" t="n"/>
      <c r="BV797" s="5" t="n"/>
      <c r="BW797" s="5" t="n"/>
      <c r="BX797" s="5" t="n"/>
      <c r="BY797" s="5" t="n"/>
      <c r="BZ797" s="5" t="n"/>
      <c r="CA797" s="5" t="n"/>
      <c r="CB797" s="5" t="n"/>
      <c r="CC797" s="5" t="n"/>
      <c r="CD797" s="5" t="n"/>
      <c r="CE797" s="5" t="n"/>
      <c r="CF797" s="5" t="n"/>
    </row>
    <row r="798">
      <c r="A798" s="171" t="n"/>
      <c r="B798" s="171" t="n"/>
      <c r="C798" s="171" t="n"/>
      <c r="D798" s="170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  <c r="AY798" s="5" t="n"/>
      <c r="AZ798" s="5" t="n"/>
      <c r="BA798" s="5" t="n"/>
      <c r="BB798" s="5" t="n"/>
      <c r="BC798" s="5" t="n"/>
      <c r="BD798" s="5" t="n"/>
      <c r="BE798" s="5" t="n"/>
      <c r="BF798" s="5" t="n"/>
      <c r="BG798" s="5" t="n"/>
      <c r="BH798" s="5" t="n"/>
      <c r="BI798" s="5" t="n"/>
      <c r="BJ798" s="5" t="n"/>
      <c r="BK798" s="5" t="n"/>
      <c r="BL798" s="5" t="n"/>
      <c r="BM798" s="5" t="n"/>
      <c r="BN798" s="5" t="n"/>
      <c r="BO798" s="5" t="n"/>
      <c r="BP798" s="5" t="n"/>
      <c r="BQ798" s="5" t="n"/>
      <c r="BR798" s="5" t="n"/>
      <c r="BS798" s="5" t="n"/>
      <c r="BT798" s="5" t="n"/>
      <c r="BU798" s="5" t="n"/>
      <c r="BV798" s="5" t="n"/>
      <c r="BW798" s="5" t="n"/>
      <c r="BX798" s="5" t="n"/>
      <c r="BY798" s="5" t="n"/>
      <c r="BZ798" s="5" t="n"/>
      <c r="CA798" s="5" t="n"/>
      <c r="CB798" s="5" t="n"/>
      <c r="CC798" s="5" t="n"/>
      <c r="CD798" s="5" t="n"/>
      <c r="CE798" s="5" t="n"/>
      <c r="CF798" s="5" t="n"/>
    </row>
    <row r="799">
      <c r="A799" s="171" t="n"/>
      <c r="B799" s="171" t="n"/>
      <c r="C799" s="171" t="n"/>
      <c r="D799" s="170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  <c r="AY799" s="5" t="n"/>
      <c r="AZ799" s="5" t="n"/>
      <c r="BA799" s="5" t="n"/>
      <c r="BB799" s="5" t="n"/>
      <c r="BC799" s="5" t="n"/>
      <c r="BD799" s="5" t="n"/>
      <c r="BE799" s="5" t="n"/>
      <c r="BF799" s="5" t="n"/>
      <c r="BG799" s="5" t="n"/>
      <c r="BH799" s="5" t="n"/>
      <c r="BI799" s="5" t="n"/>
      <c r="BJ799" s="5" t="n"/>
      <c r="BK799" s="5" t="n"/>
      <c r="BL799" s="5" t="n"/>
      <c r="BM799" s="5" t="n"/>
      <c r="BN799" s="5" t="n"/>
      <c r="BO799" s="5" t="n"/>
      <c r="BP799" s="5" t="n"/>
      <c r="BQ799" s="5" t="n"/>
      <c r="BR799" s="5" t="n"/>
      <c r="BS799" s="5" t="n"/>
      <c r="BT799" s="5" t="n"/>
      <c r="BU799" s="5" t="n"/>
      <c r="BV799" s="5" t="n"/>
      <c r="BW799" s="5" t="n"/>
      <c r="BX799" s="5" t="n"/>
      <c r="BY799" s="5" t="n"/>
      <c r="BZ799" s="5" t="n"/>
      <c r="CA799" s="5" t="n"/>
      <c r="CB799" s="5" t="n"/>
      <c r="CC799" s="5" t="n"/>
      <c r="CD799" s="5" t="n"/>
      <c r="CE799" s="5" t="n"/>
      <c r="CF799" s="5" t="n"/>
    </row>
    <row r="800">
      <c r="A800" s="171" t="n"/>
      <c r="B800" s="171" t="n"/>
      <c r="C800" s="171" t="n"/>
      <c r="D800" s="170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  <c r="AY800" s="5" t="n"/>
      <c r="AZ800" s="5" t="n"/>
      <c r="BA800" s="5" t="n"/>
      <c r="BB800" s="5" t="n"/>
      <c r="BC800" s="5" t="n"/>
      <c r="BD800" s="5" t="n"/>
      <c r="BE800" s="5" t="n"/>
      <c r="BF800" s="5" t="n"/>
      <c r="BG800" s="5" t="n"/>
      <c r="BH800" s="5" t="n"/>
      <c r="BI800" s="5" t="n"/>
      <c r="BJ800" s="5" t="n"/>
      <c r="BK800" s="5" t="n"/>
      <c r="BL800" s="5" t="n"/>
      <c r="BM800" s="5" t="n"/>
      <c r="BN800" s="5" t="n"/>
      <c r="BO800" s="5" t="n"/>
      <c r="BP800" s="5" t="n"/>
      <c r="BQ800" s="5" t="n"/>
      <c r="BR800" s="5" t="n"/>
      <c r="BS800" s="5" t="n"/>
      <c r="BT800" s="5" t="n"/>
      <c r="BU800" s="5" t="n"/>
      <c r="BV800" s="5" t="n"/>
      <c r="BW800" s="5" t="n"/>
      <c r="BX800" s="5" t="n"/>
      <c r="BY800" s="5" t="n"/>
      <c r="BZ800" s="5" t="n"/>
      <c r="CA800" s="5" t="n"/>
      <c r="CB800" s="5" t="n"/>
      <c r="CC800" s="5" t="n"/>
      <c r="CD800" s="5" t="n"/>
      <c r="CE800" s="5" t="n"/>
      <c r="CF800" s="5" t="n"/>
    </row>
    <row r="801">
      <c r="A801" s="171" t="n"/>
      <c r="B801" s="171" t="n"/>
      <c r="C801" s="171" t="n"/>
      <c r="D801" s="170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  <c r="AY801" s="5" t="n"/>
      <c r="AZ801" s="5" t="n"/>
      <c r="BA801" s="5" t="n"/>
      <c r="BB801" s="5" t="n"/>
      <c r="BC801" s="5" t="n"/>
      <c r="BD801" s="5" t="n"/>
      <c r="BE801" s="5" t="n"/>
      <c r="BF801" s="5" t="n"/>
      <c r="BG801" s="5" t="n"/>
      <c r="BH801" s="5" t="n"/>
      <c r="BI801" s="5" t="n"/>
      <c r="BJ801" s="5" t="n"/>
      <c r="BK801" s="5" t="n"/>
      <c r="BL801" s="5" t="n"/>
      <c r="BM801" s="5" t="n"/>
      <c r="BN801" s="5" t="n"/>
      <c r="BO801" s="5" t="n"/>
      <c r="BP801" s="5" t="n"/>
      <c r="BQ801" s="5" t="n"/>
      <c r="BR801" s="5" t="n"/>
      <c r="BS801" s="5" t="n"/>
      <c r="BT801" s="5" t="n"/>
      <c r="BU801" s="5" t="n"/>
      <c r="BV801" s="5" t="n"/>
      <c r="BW801" s="5" t="n"/>
      <c r="BX801" s="5" t="n"/>
      <c r="BY801" s="5" t="n"/>
      <c r="BZ801" s="5" t="n"/>
      <c r="CA801" s="5" t="n"/>
      <c r="CB801" s="5" t="n"/>
      <c r="CC801" s="5" t="n"/>
      <c r="CD801" s="5" t="n"/>
      <c r="CE801" s="5" t="n"/>
      <c r="CF801" s="5" t="n"/>
    </row>
    <row r="802">
      <c r="A802" s="171" t="n"/>
      <c r="B802" s="171" t="n"/>
      <c r="C802" s="171" t="n"/>
      <c r="D802" s="170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  <c r="AY802" s="5" t="n"/>
      <c r="AZ802" s="5" t="n"/>
      <c r="BA802" s="5" t="n"/>
      <c r="BB802" s="5" t="n"/>
      <c r="BC802" s="5" t="n"/>
      <c r="BD802" s="5" t="n"/>
      <c r="BE802" s="5" t="n"/>
      <c r="BF802" s="5" t="n"/>
      <c r="BG802" s="5" t="n"/>
      <c r="BH802" s="5" t="n"/>
      <c r="BI802" s="5" t="n"/>
      <c r="BJ802" s="5" t="n"/>
      <c r="BK802" s="5" t="n"/>
      <c r="BL802" s="5" t="n"/>
      <c r="BM802" s="5" t="n"/>
      <c r="BN802" s="5" t="n"/>
      <c r="BO802" s="5" t="n"/>
      <c r="BP802" s="5" t="n"/>
      <c r="BQ802" s="5" t="n"/>
      <c r="BR802" s="5" t="n"/>
      <c r="BS802" s="5" t="n"/>
      <c r="BT802" s="5" t="n"/>
      <c r="BU802" s="5" t="n"/>
      <c r="BV802" s="5" t="n"/>
      <c r="BW802" s="5" t="n"/>
      <c r="BX802" s="5" t="n"/>
      <c r="BY802" s="5" t="n"/>
      <c r="BZ802" s="5" t="n"/>
      <c r="CA802" s="5" t="n"/>
      <c r="CB802" s="5" t="n"/>
      <c r="CC802" s="5" t="n"/>
      <c r="CD802" s="5" t="n"/>
      <c r="CE802" s="5" t="n"/>
      <c r="CF802" s="5" t="n"/>
    </row>
    <row r="803">
      <c r="A803" s="171" t="n"/>
      <c r="B803" s="171" t="n"/>
      <c r="C803" s="171" t="n"/>
      <c r="D803" s="170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  <c r="AY803" s="5" t="n"/>
      <c r="AZ803" s="5" t="n"/>
      <c r="BA803" s="5" t="n"/>
      <c r="BB803" s="5" t="n"/>
      <c r="BC803" s="5" t="n"/>
      <c r="BD803" s="5" t="n"/>
      <c r="BE803" s="5" t="n"/>
      <c r="BF803" s="5" t="n"/>
      <c r="BG803" s="5" t="n"/>
      <c r="BH803" s="5" t="n"/>
      <c r="BI803" s="5" t="n"/>
      <c r="BJ803" s="5" t="n"/>
      <c r="BK803" s="5" t="n"/>
      <c r="BL803" s="5" t="n"/>
      <c r="BM803" s="5" t="n"/>
      <c r="BN803" s="5" t="n"/>
      <c r="BO803" s="5" t="n"/>
      <c r="BP803" s="5" t="n"/>
      <c r="BQ803" s="5" t="n"/>
      <c r="BR803" s="5" t="n"/>
      <c r="BS803" s="5" t="n"/>
      <c r="BT803" s="5" t="n"/>
      <c r="BU803" s="5" t="n"/>
      <c r="BV803" s="5" t="n"/>
      <c r="BW803" s="5" t="n"/>
      <c r="BX803" s="5" t="n"/>
      <c r="BY803" s="5" t="n"/>
      <c r="BZ803" s="5" t="n"/>
      <c r="CA803" s="5" t="n"/>
      <c r="CB803" s="5" t="n"/>
      <c r="CC803" s="5" t="n"/>
      <c r="CD803" s="5" t="n"/>
      <c r="CE803" s="5" t="n"/>
      <c r="CF803" s="5" t="n"/>
    </row>
    <row r="804">
      <c r="A804" s="171" t="n"/>
      <c r="B804" s="171" t="n"/>
      <c r="C804" s="171" t="n"/>
      <c r="D804" s="170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  <c r="AY804" s="5" t="n"/>
      <c r="AZ804" s="5" t="n"/>
      <c r="BA804" s="5" t="n"/>
      <c r="BB804" s="5" t="n"/>
      <c r="BC804" s="5" t="n"/>
      <c r="BD804" s="5" t="n"/>
      <c r="BE804" s="5" t="n"/>
      <c r="BF804" s="5" t="n"/>
      <c r="BG804" s="5" t="n"/>
      <c r="BH804" s="5" t="n"/>
      <c r="BI804" s="5" t="n"/>
      <c r="BJ804" s="5" t="n"/>
      <c r="BK804" s="5" t="n"/>
      <c r="BL804" s="5" t="n"/>
      <c r="BM804" s="5" t="n"/>
      <c r="BN804" s="5" t="n"/>
      <c r="BO804" s="5" t="n"/>
      <c r="BP804" s="5" t="n"/>
      <c r="BQ804" s="5" t="n"/>
      <c r="BR804" s="5" t="n"/>
      <c r="BS804" s="5" t="n"/>
      <c r="BT804" s="5" t="n"/>
      <c r="BU804" s="5" t="n"/>
      <c r="BV804" s="5" t="n"/>
      <c r="BW804" s="5" t="n"/>
      <c r="BX804" s="5" t="n"/>
      <c r="BY804" s="5" t="n"/>
      <c r="BZ804" s="5" t="n"/>
      <c r="CA804" s="5" t="n"/>
      <c r="CB804" s="5" t="n"/>
      <c r="CC804" s="5" t="n"/>
      <c r="CD804" s="5" t="n"/>
      <c r="CE804" s="5" t="n"/>
      <c r="CF804" s="5" t="n"/>
    </row>
    <row r="805">
      <c r="A805" s="171" t="n"/>
      <c r="B805" s="171" t="n"/>
      <c r="C805" s="171" t="n"/>
      <c r="D805" s="170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  <c r="AY805" s="5" t="n"/>
      <c r="AZ805" s="5" t="n"/>
      <c r="BA805" s="5" t="n"/>
      <c r="BB805" s="5" t="n"/>
      <c r="BC805" s="5" t="n"/>
      <c r="BD805" s="5" t="n"/>
      <c r="BE805" s="5" t="n"/>
      <c r="BF805" s="5" t="n"/>
      <c r="BG805" s="5" t="n"/>
      <c r="BH805" s="5" t="n"/>
      <c r="BI805" s="5" t="n"/>
      <c r="BJ805" s="5" t="n"/>
      <c r="BK805" s="5" t="n"/>
      <c r="BL805" s="5" t="n"/>
      <c r="BM805" s="5" t="n"/>
      <c r="BN805" s="5" t="n"/>
      <c r="BO805" s="5" t="n"/>
      <c r="BP805" s="5" t="n"/>
      <c r="BQ805" s="5" t="n"/>
      <c r="BR805" s="5" t="n"/>
      <c r="BS805" s="5" t="n"/>
      <c r="BT805" s="5" t="n"/>
      <c r="BU805" s="5" t="n"/>
      <c r="BV805" s="5" t="n"/>
      <c r="BW805" s="5" t="n"/>
      <c r="BX805" s="5" t="n"/>
      <c r="BY805" s="5" t="n"/>
      <c r="BZ805" s="5" t="n"/>
      <c r="CA805" s="5" t="n"/>
      <c r="CB805" s="5" t="n"/>
      <c r="CC805" s="5" t="n"/>
      <c r="CD805" s="5" t="n"/>
      <c r="CE805" s="5" t="n"/>
      <c r="CF805" s="5" t="n"/>
    </row>
    <row r="806">
      <c r="A806" s="171" t="n"/>
      <c r="B806" s="171" t="n"/>
      <c r="C806" s="171" t="n"/>
      <c r="D806" s="170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  <c r="AY806" s="5" t="n"/>
      <c r="AZ806" s="5" t="n"/>
      <c r="BA806" s="5" t="n"/>
      <c r="BB806" s="5" t="n"/>
      <c r="BC806" s="5" t="n"/>
      <c r="BD806" s="5" t="n"/>
      <c r="BE806" s="5" t="n"/>
      <c r="BF806" s="5" t="n"/>
      <c r="BG806" s="5" t="n"/>
      <c r="BH806" s="5" t="n"/>
      <c r="BI806" s="5" t="n"/>
      <c r="BJ806" s="5" t="n"/>
      <c r="BK806" s="5" t="n"/>
      <c r="BL806" s="5" t="n"/>
      <c r="BM806" s="5" t="n"/>
      <c r="BN806" s="5" t="n"/>
      <c r="BO806" s="5" t="n"/>
      <c r="BP806" s="5" t="n"/>
      <c r="BQ806" s="5" t="n"/>
      <c r="BR806" s="5" t="n"/>
      <c r="BS806" s="5" t="n"/>
      <c r="BT806" s="5" t="n"/>
      <c r="BU806" s="5" t="n"/>
      <c r="BV806" s="5" t="n"/>
      <c r="BW806" s="5" t="n"/>
      <c r="BX806" s="5" t="n"/>
      <c r="BY806" s="5" t="n"/>
      <c r="BZ806" s="5" t="n"/>
      <c r="CA806" s="5" t="n"/>
      <c r="CB806" s="5" t="n"/>
      <c r="CC806" s="5" t="n"/>
      <c r="CD806" s="5" t="n"/>
      <c r="CE806" s="5" t="n"/>
      <c r="CF806" s="5" t="n"/>
    </row>
    <row r="807">
      <c r="A807" s="171" t="n"/>
      <c r="B807" s="171" t="n"/>
      <c r="C807" s="171" t="n"/>
      <c r="D807" s="170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  <c r="AY807" s="5" t="n"/>
      <c r="AZ807" s="5" t="n"/>
      <c r="BA807" s="5" t="n"/>
      <c r="BB807" s="5" t="n"/>
      <c r="BC807" s="5" t="n"/>
      <c r="BD807" s="5" t="n"/>
      <c r="BE807" s="5" t="n"/>
      <c r="BF807" s="5" t="n"/>
      <c r="BG807" s="5" t="n"/>
      <c r="BH807" s="5" t="n"/>
      <c r="BI807" s="5" t="n"/>
      <c r="BJ807" s="5" t="n"/>
      <c r="BK807" s="5" t="n"/>
      <c r="BL807" s="5" t="n"/>
      <c r="BM807" s="5" t="n"/>
      <c r="BN807" s="5" t="n"/>
      <c r="BO807" s="5" t="n"/>
      <c r="BP807" s="5" t="n"/>
      <c r="BQ807" s="5" t="n"/>
      <c r="BR807" s="5" t="n"/>
      <c r="BS807" s="5" t="n"/>
      <c r="BT807" s="5" t="n"/>
      <c r="BU807" s="5" t="n"/>
      <c r="BV807" s="5" t="n"/>
      <c r="BW807" s="5" t="n"/>
      <c r="BX807" s="5" t="n"/>
      <c r="BY807" s="5" t="n"/>
      <c r="BZ807" s="5" t="n"/>
      <c r="CA807" s="5" t="n"/>
      <c r="CB807" s="5" t="n"/>
      <c r="CC807" s="5" t="n"/>
      <c r="CD807" s="5" t="n"/>
      <c r="CE807" s="5" t="n"/>
      <c r="CF807" s="5" t="n"/>
    </row>
    <row r="808">
      <c r="A808" s="171" t="n"/>
      <c r="B808" s="171" t="n"/>
      <c r="C808" s="171" t="n"/>
      <c r="D808" s="170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  <c r="AY808" s="5" t="n"/>
      <c r="AZ808" s="5" t="n"/>
      <c r="BA808" s="5" t="n"/>
      <c r="BB808" s="5" t="n"/>
      <c r="BC808" s="5" t="n"/>
      <c r="BD808" s="5" t="n"/>
      <c r="BE808" s="5" t="n"/>
      <c r="BF808" s="5" t="n"/>
      <c r="BG808" s="5" t="n"/>
      <c r="BH808" s="5" t="n"/>
      <c r="BI808" s="5" t="n"/>
      <c r="BJ808" s="5" t="n"/>
      <c r="BK808" s="5" t="n"/>
      <c r="BL808" s="5" t="n"/>
      <c r="BM808" s="5" t="n"/>
      <c r="BN808" s="5" t="n"/>
      <c r="BO808" s="5" t="n"/>
      <c r="BP808" s="5" t="n"/>
      <c r="BQ808" s="5" t="n"/>
      <c r="BR808" s="5" t="n"/>
      <c r="BS808" s="5" t="n"/>
      <c r="BT808" s="5" t="n"/>
      <c r="BU808" s="5" t="n"/>
      <c r="BV808" s="5" t="n"/>
      <c r="BW808" s="5" t="n"/>
      <c r="BX808" s="5" t="n"/>
      <c r="BY808" s="5" t="n"/>
      <c r="BZ808" s="5" t="n"/>
      <c r="CA808" s="5" t="n"/>
      <c r="CB808" s="5" t="n"/>
      <c r="CC808" s="5" t="n"/>
      <c r="CD808" s="5" t="n"/>
      <c r="CE808" s="5" t="n"/>
      <c r="CF808" s="5" t="n"/>
    </row>
    <row r="809">
      <c r="A809" s="171" t="n"/>
      <c r="B809" s="171" t="n"/>
      <c r="C809" s="171" t="n"/>
      <c r="D809" s="170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  <c r="AY809" s="5" t="n"/>
      <c r="AZ809" s="5" t="n"/>
      <c r="BA809" s="5" t="n"/>
      <c r="BB809" s="5" t="n"/>
      <c r="BC809" s="5" t="n"/>
      <c r="BD809" s="5" t="n"/>
      <c r="BE809" s="5" t="n"/>
      <c r="BF809" s="5" t="n"/>
      <c r="BG809" s="5" t="n"/>
      <c r="BH809" s="5" t="n"/>
      <c r="BI809" s="5" t="n"/>
      <c r="BJ809" s="5" t="n"/>
      <c r="BK809" s="5" t="n"/>
      <c r="BL809" s="5" t="n"/>
      <c r="BM809" s="5" t="n"/>
      <c r="BN809" s="5" t="n"/>
      <c r="BO809" s="5" t="n"/>
      <c r="BP809" s="5" t="n"/>
      <c r="BQ809" s="5" t="n"/>
      <c r="BR809" s="5" t="n"/>
      <c r="BS809" s="5" t="n"/>
      <c r="BT809" s="5" t="n"/>
      <c r="BU809" s="5" t="n"/>
      <c r="BV809" s="5" t="n"/>
      <c r="BW809" s="5" t="n"/>
      <c r="BX809" s="5" t="n"/>
      <c r="BY809" s="5" t="n"/>
      <c r="BZ809" s="5" t="n"/>
      <c r="CA809" s="5" t="n"/>
      <c r="CB809" s="5" t="n"/>
      <c r="CC809" s="5" t="n"/>
      <c r="CD809" s="5" t="n"/>
      <c r="CE809" s="5" t="n"/>
      <c r="CF809" s="5" t="n"/>
    </row>
    <row r="810">
      <c r="A810" s="171" t="n"/>
      <c r="B810" s="171" t="n"/>
      <c r="C810" s="171" t="n"/>
      <c r="D810" s="170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  <c r="AY810" s="5" t="n"/>
      <c r="AZ810" s="5" t="n"/>
      <c r="BA810" s="5" t="n"/>
      <c r="BB810" s="5" t="n"/>
      <c r="BC810" s="5" t="n"/>
      <c r="BD810" s="5" t="n"/>
      <c r="BE810" s="5" t="n"/>
      <c r="BF810" s="5" t="n"/>
      <c r="BG810" s="5" t="n"/>
      <c r="BH810" s="5" t="n"/>
      <c r="BI810" s="5" t="n"/>
      <c r="BJ810" s="5" t="n"/>
      <c r="BK810" s="5" t="n"/>
      <c r="BL810" s="5" t="n"/>
      <c r="BM810" s="5" t="n"/>
      <c r="BN810" s="5" t="n"/>
      <c r="BO810" s="5" t="n"/>
      <c r="BP810" s="5" t="n"/>
      <c r="BQ810" s="5" t="n"/>
      <c r="BR810" s="5" t="n"/>
      <c r="BS810" s="5" t="n"/>
      <c r="BT810" s="5" t="n"/>
      <c r="BU810" s="5" t="n"/>
      <c r="BV810" s="5" t="n"/>
      <c r="BW810" s="5" t="n"/>
      <c r="BX810" s="5" t="n"/>
      <c r="BY810" s="5" t="n"/>
      <c r="BZ810" s="5" t="n"/>
      <c r="CA810" s="5" t="n"/>
      <c r="CB810" s="5" t="n"/>
      <c r="CC810" s="5" t="n"/>
      <c r="CD810" s="5" t="n"/>
      <c r="CE810" s="5" t="n"/>
      <c r="CF810" s="5" t="n"/>
    </row>
    <row r="811">
      <c r="A811" s="171" t="n"/>
      <c r="B811" s="171" t="n"/>
      <c r="C811" s="171" t="n"/>
      <c r="D811" s="170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  <c r="AY811" s="5" t="n"/>
      <c r="AZ811" s="5" t="n"/>
      <c r="BA811" s="5" t="n"/>
      <c r="BB811" s="5" t="n"/>
      <c r="BC811" s="5" t="n"/>
      <c r="BD811" s="5" t="n"/>
      <c r="BE811" s="5" t="n"/>
      <c r="BF811" s="5" t="n"/>
      <c r="BG811" s="5" t="n"/>
      <c r="BH811" s="5" t="n"/>
      <c r="BI811" s="5" t="n"/>
      <c r="BJ811" s="5" t="n"/>
      <c r="BK811" s="5" t="n"/>
      <c r="BL811" s="5" t="n"/>
      <c r="BM811" s="5" t="n"/>
      <c r="BN811" s="5" t="n"/>
      <c r="BO811" s="5" t="n"/>
      <c r="BP811" s="5" t="n"/>
      <c r="BQ811" s="5" t="n"/>
      <c r="BR811" s="5" t="n"/>
      <c r="BS811" s="5" t="n"/>
      <c r="BT811" s="5" t="n"/>
      <c r="BU811" s="5" t="n"/>
      <c r="BV811" s="5" t="n"/>
      <c r="BW811" s="5" t="n"/>
      <c r="BX811" s="5" t="n"/>
      <c r="BY811" s="5" t="n"/>
      <c r="BZ811" s="5" t="n"/>
      <c r="CA811" s="5" t="n"/>
      <c r="CB811" s="5" t="n"/>
      <c r="CC811" s="5" t="n"/>
      <c r="CD811" s="5" t="n"/>
      <c r="CE811" s="5" t="n"/>
      <c r="CF811" s="5" t="n"/>
    </row>
    <row r="812">
      <c r="A812" s="171" t="n"/>
      <c r="B812" s="171" t="n"/>
      <c r="C812" s="171" t="n"/>
      <c r="D812" s="170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  <c r="AY812" s="5" t="n"/>
      <c r="AZ812" s="5" t="n"/>
      <c r="BA812" s="5" t="n"/>
      <c r="BB812" s="5" t="n"/>
      <c r="BC812" s="5" t="n"/>
      <c r="BD812" s="5" t="n"/>
      <c r="BE812" s="5" t="n"/>
      <c r="BF812" s="5" t="n"/>
      <c r="BG812" s="5" t="n"/>
      <c r="BH812" s="5" t="n"/>
      <c r="BI812" s="5" t="n"/>
      <c r="BJ812" s="5" t="n"/>
      <c r="BK812" s="5" t="n"/>
      <c r="BL812" s="5" t="n"/>
      <c r="BM812" s="5" t="n"/>
      <c r="BN812" s="5" t="n"/>
      <c r="BO812" s="5" t="n"/>
      <c r="BP812" s="5" t="n"/>
      <c r="BQ812" s="5" t="n"/>
      <c r="BR812" s="5" t="n"/>
      <c r="BS812" s="5" t="n"/>
      <c r="BT812" s="5" t="n"/>
      <c r="BU812" s="5" t="n"/>
      <c r="BV812" s="5" t="n"/>
      <c r="BW812" s="5" t="n"/>
      <c r="BX812" s="5" t="n"/>
      <c r="BY812" s="5" t="n"/>
      <c r="BZ812" s="5" t="n"/>
      <c r="CA812" s="5" t="n"/>
      <c r="CB812" s="5" t="n"/>
      <c r="CC812" s="5" t="n"/>
      <c r="CD812" s="5" t="n"/>
      <c r="CE812" s="5" t="n"/>
      <c r="CF812" s="5" t="n"/>
    </row>
    <row r="813">
      <c r="A813" s="171" t="n"/>
      <c r="B813" s="171" t="n"/>
      <c r="C813" s="171" t="n"/>
      <c r="D813" s="170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  <c r="AY813" s="5" t="n"/>
      <c r="AZ813" s="5" t="n"/>
      <c r="BA813" s="5" t="n"/>
      <c r="BB813" s="5" t="n"/>
      <c r="BC813" s="5" t="n"/>
      <c r="BD813" s="5" t="n"/>
      <c r="BE813" s="5" t="n"/>
      <c r="BF813" s="5" t="n"/>
      <c r="BG813" s="5" t="n"/>
      <c r="BH813" s="5" t="n"/>
      <c r="BI813" s="5" t="n"/>
      <c r="BJ813" s="5" t="n"/>
      <c r="BK813" s="5" t="n"/>
      <c r="BL813" s="5" t="n"/>
      <c r="BM813" s="5" t="n"/>
      <c r="BN813" s="5" t="n"/>
      <c r="BO813" s="5" t="n"/>
      <c r="BP813" s="5" t="n"/>
      <c r="BQ813" s="5" t="n"/>
      <c r="BR813" s="5" t="n"/>
      <c r="BS813" s="5" t="n"/>
      <c r="BT813" s="5" t="n"/>
      <c r="BU813" s="5" t="n"/>
      <c r="BV813" s="5" t="n"/>
      <c r="BW813" s="5" t="n"/>
      <c r="BX813" s="5" t="n"/>
      <c r="BY813" s="5" t="n"/>
      <c r="BZ813" s="5" t="n"/>
      <c r="CA813" s="5" t="n"/>
      <c r="CB813" s="5" t="n"/>
      <c r="CC813" s="5" t="n"/>
      <c r="CD813" s="5" t="n"/>
      <c r="CE813" s="5" t="n"/>
      <c r="CF813" s="5" t="n"/>
    </row>
    <row r="814">
      <c r="A814" s="171" t="n"/>
      <c r="B814" s="171" t="n"/>
      <c r="C814" s="171" t="n"/>
      <c r="D814" s="170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  <c r="AY814" s="5" t="n"/>
      <c r="AZ814" s="5" t="n"/>
      <c r="BA814" s="5" t="n"/>
      <c r="BB814" s="5" t="n"/>
      <c r="BC814" s="5" t="n"/>
      <c r="BD814" s="5" t="n"/>
      <c r="BE814" s="5" t="n"/>
      <c r="BF814" s="5" t="n"/>
      <c r="BG814" s="5" t="n"/>
      <c r="BH814" s="5" t="n"/>
      <c r="BI814" s="5" t="n"/>
      <c r="BJ814" s="5" t="n"/>
      <c r="BK814" s="5" t="n"/>
      <c r="BL814" s="5" t="n"/>
      <c r="BM814" s="5" t="n"/>
      <c r="BN814" s="5" t="n"/>
      <c r="BO814" s="5" t="n"/>
      <c r="BP814" s="5" t="n"/>
      <c r="BQ814" s="5" t="n"/>
      <c r="BR814" s="5" t="n"/>
      <c r="BS814" s="5" t="n"/>
      <c r="BT814" s="5" t="n"/>
      <c r="BU814" s="5" t="n"/>
      <c r="BV814" s="5" t="n"/>
      <c r="BW814" s="5" t="n"/>
      <c r="BX814" s="5" t="n"/>
      <c r="BY814" s="5" t="n"/>
      <c r="BZ814" s="5" t="n"/>
      <c r="CA814" s="5" t="n"/>
      <c r="CB814" s="5" t="n"/>
      <c r="CC814" s="5" t="n"/>
      <c r="CD814" s="5" t="n"/>
      <c r="CE814" s="5" t="n"/>
      <c r="CF814" s="5" t="n"/>
    </row>
    <row r="815">
      <c r="A815" s="171" t="n"/>
      <c r="B815" s="171" t="n"/>
      <c r="C815" s="171" t="n"/>
      <c r="D815" s="170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  <c r="AY815" s="5" t="n"/>
      <c r="AZ815" s="5" t="n"/>
      <c r="BA815" s="5" t="n"/>
      <c r="BB815" s="5" t="n"/>
      <c r="BC815" s="5" t="n"/>
      <c r="BD815" s="5" t="n"/>
      <c r="BE815" s="5" t="n"/>
      <c r="BF815" s="5" t="n"/>
      <c r="BG815" s="5" t="n"/>
      <c r="BH815" s="5" t="n"/>
      <c r="BI815" s="5" t="n"/>
      <c r="BJ815" s="5" t="n"/>
      <c r="BK815" s="5" t="n"/>
      <c r="BL815" s="5" t="n"/>
      <c r="BM815" s="5" t="n"/>
      <c r="BN815" s="5" t="n"/>
      <c r="BO815" s="5" t="n"/>
      <c r="BP815" s="5" t="n"/>
      <c r="BQ815" s="5" t="n"/>
      <c r="BR815" s="5" t="n"/>
      <c r="BS815" s="5" t="n"/>
      <c r="BT815" s="5" t="n"/>
      <c r="BU815" s="5" t="n"/>
      <c r="BV815" s="5" t="n"/>
      <c r="BW815" s="5" t="n"/>
      <c r="BX815" s="5" t="n"/>
      <c r="BY815" s="5" t="n"/>
      <c r="BZ815" s="5" t="n"/>
      <c r="CA815" s="5" t="n"/>
      <c r="CB815" s="5" t="n"/>
      <c r="CC815" s="5" t="n"/>
      <c r="CD815" s="5" t="n"/>
      <c r="CE815" s="5" t="n"/>
      <c r="CF815" s="5" t="n"/>
    </row>
    <row r="816">
      <c r="A816" s="171" t="n"/>
      <c r="B816" s="171" t="n"/>
      <c r="C816" s="171" t="n"/>
      <c r="D816" s="170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  <c r="AY816" s="5" t="n"/>
      <c r="AZ816" s="5" t="n"/>
      <c r="BA816" s="5" t="n"/>
      <c r="BB816" s="5" t="n"/>
      <c r="BC816" s="5" t="n"/>
      <c r="BD816" s="5" t="n"/>
      <c r="BE816" s="5" t="n"/>
      <c r="BF816" s="5" t="n"/>
      <c r="BG816" s="5" t="n"/>
      <c r="BH816" s="5" t="n"/>
      <c r="BI816" s="5" t="n"/>
      <c r="BJ816" s="5" t="n"/>
      <c r="BK816" s="5" t="n"/>
      <c r="BL816" s="5" t="n"/>
      <c r="BM816" s="5" t="n"/>
      <c r="BN816" s="5" t="n"/>
      <c r="BO816" s="5" t="n"/>
      <c r="BP816" s="5" t="n"/>
      <c r="BQ816" s="5" t="n"/>
      <c r="BR816" s="5" t="n"/>
      <c r="BS816" s="5" t="n"/>
      <c r="BT816" s="5" t="n"/>
      <c r="BU816" s="5" t="n"/>
      <c r="BV816" s="5" t="n"/>
      <c r="BW816" s="5" t="n"/>
      <c r="BX816" s="5" t="n"/>
      <c r="BY816" s="5" t="n"/>
      <c r="BZ816" s="5" t="n"/>
      <c r="CA816" s="5" t="n"/>
      <c r="CB816" s="5" t="n"/>
      <c r="CC816" s="5" t="n"/>
      <c r="CD816" s="5" t="n"/>
      <c r="CE816" s="5" t="n"/>
      <c r="CF816" s="5" t="n"/>
    </row>
    <row r="817">
      <c r="A817" s="171" t="n"/>
      <c r="B817" s="171" t="n"/>
      <c r="C817" s="171" t="n"/>
      <c r="D817" s="170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  <c r="AY817" s="5" t="n"/>
      <c r="AZ817" s="5" t="n"/>
      <c r="BA817" s="5" t="n"/>
      <c r="BB817" s="5" t="n"/>
      <c r="BC817" s="5" t="n"/>
      <c r="BD817" s="5" t="n"/>
      <c r="BE817" s="5" t="n"/>
      <c r="BF817" s="5" t="n"/>
      <c r="BG817" s="5" t="n"/>
      <c r="BH817" s="5" t="n"/>
      <c r="BI817" s="5" t="n"/>
      <c r="BJ817" s="5" t="n"/>
      <c r="BK817" s="5" t="n"/>
      <c r="BL817" s="5" t="n"/>
      <c r="BM817" s="5" t="n"/>
      <c r="BN817" s="5" t="n"/>
      <c r="BO817" s="5" t="n"/>
      <c r="BP817" s="5" t="n"/>
      <c r="BQ817" s="5" t="n"/>
      <c r="BR817" s="5" t="n"/>
      <c r="BS817" s="5" t="n"/>
      <c r="BT817" s="5" t="n"/>
      <c r="BU817" s="5" t="n"/>
      <c r="BV817" s="5" t="n"/>
      <c r="BW817" s="5" t="n"/>
      <c r="BX817" s="5" t="n"/>
      <c r="BY817" s="5" t="n"/>
      <c r="BZ817" s="5" t="n"/>
      <c r="CA817" s="5" t="n"/>
      <c r="CB817" s="5" t="n"/>
      <c r="CC817" s="5" t="n"/>
      <c r="CD817" s="5" t="n"/>
      <c r="CE817" s="5" t="n"/>
      <c r="CF817" s="5" t="n"/>
    </row>
    <row r="818">
      <c r="A818" s="171" t="n"/>
      <c r="B818" s="171" t="n"/>
      <c r="C818" s="171" t="n"/>
      <c r="D818" s="170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  <c r="AY818" s="5" t="n"/>
      <c r="AZ818" s="5" t="n"/>
      <c r="BA818" s="5" t="n"/>
      <c r="BB818" s="5" t="n"/>
      <c r="BC818" s="5" t="n"/>
      <c r="BD818" s="5" t="n"/>
      <c r="BE818" s="5" t="n"/>
      <c r="BF818" s="5" t="n"/>
      <c r="BG818" s="5" t="n"/>
      <c r="BH818" s="5" t="n"/>
      <c r="BI818" s="5" t="n"/>
      <c r="BJ818" s="5" t="n"/>
      <c r="BK818" s="5" t="n"/>
      <c r="BL818" s="5" t="n"/>
      <c r="BM818" s="5" t="n"/>
      <c r="BN818" s="5" t="n"/>
      <c r="BO818" s="5" t="n"/>
      <c r="BP818" s="5" t="n"/>
      <c r="BQ818" s="5" t="n"/>
      <c r="BR818" s="5" t="n"/>
      <c r="BS818" s="5" t="n"/>
      <c r="BT818" s="5" t="n"/>
      <c r="BU818" s="5" t="n"/>
      <c r="BV818" s="5" t="n"/>
      <c r="BW818" s="5" t="n"/>
      <c r="BX818" s="5" t="n"/>
      <c r="BY818" s="5" t="n"/>
      <c r="BZ818" s="5" t="n"/>
      <c r="CA818" s="5" t="n"/>
      <c r="CB818" s="5" t="n"/>
      <c r="CC818" s="5" t="n"/>
      <c r="CD818" s="5" t="n"/>
      <c r="CE818" s="5" t="n"/>
      <c r="CF818" s="5" t="n"/>
    </row>
    <row r="819">
      <c r="A819" s="171" t="n"/>
      <c r="B819" s="171" t="n"/>
      <c r="C819" s="171" t="n"/>
      <c r="D819" s="170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  <c r="AY819" s="5" t="n"/>
      <c r="AZ819" s="5" t="n"/>
      <c r="BA819" s="5" t="n"/>
      <c r="BB819" s="5" t="n"/>
      <c r="BC819" s="5" t="n"/>
      <c r="BD819" s="5" t="n"/>
      <c r="BE819" s="5" t="n"/>
      <c r="BF819" s="5" t="n"/>
      <c r="BG819" s="5" t="n"/>
      <c r="BH819" s="5" t="n"/>
      <c r="BI819" s="5" t="n"/>
      <c r="BJ819" s="5" t="n"/>
      <c r="BK819" s="5" t="n"/>
      <c r="BL819" s="5" t="n"/>
      <c r="BM819" s="5" t="n"/>
      <c r="BN819" s="5" t="n"/>
      <c r="BO819" s="5" t="n"/>
      <c r="BP819" s="5" t="n"/>
      <c r="BQ819" s="5" t="n"/>
      <c r="BR819" s="5" t="n"/>
      <c r="BS819" s="5" t="n"/>
      <c r="BT819" s="5" t="n"/>
      <c r="BU819" s="5" t="n"/>
      <c r="BV819" s="5" t="n"/>
      <c r="BW819" s="5" t="n"/>
      <c r="BX819" s="5" t="n"/>
      <c r="BY819" s="5" t="n"/>
      <c r="BZ819" s="5" t="n"/>
      <c r="CA819" s="5" t="n"/>
      <c r="CB819" s="5" t="n"/>
      <c r="CC819" s="5" t="n"/>
      <c r="CD819" s="5" t="n"/>
      <c r="CE819" s="5" t="n"/>
      <c r="CF819" s="5" t="n"/>
    </row>
    <row r="820">
      <c r="A820" s="171" t="n"/>
      <c r="B820" s="171" t="n"/>
      <c r="C820" s="171" t="n"/>
      <c r="D820" s="170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  <c r="AY820" s="5" t="n"/>
      <c r="AZ820" s="5" t="n"/>
      <c r="BA820" s="5" t="n"/>
      <c r="BB820" s="5" t="n"/>
      <c r="BC820" s="5" t="n"/>
      <c r="BD820" s="5" t="n"/>
      <c r="BE820" s="5" t="n"/>
      <c r="BF820" s="5" t="n"/>
      <c r="BG820" s="5" t="n"/>
      <c r="BH820" s="5" t="n"/>
      <c r="BI820" s="5" t="n"/>
      <c r="BJ820" s="5" t="n"/>
      <c r="BK820" s="5" t="n"/>
      <c r="BL820" s="5" t="n"/>
      <c r="BM820" s="5" t="n"/>
      <c r="BN820" s="5" t="n"/>
      <c r="BO820" s="5" t="n"/>
      <c r="BP820" s="5" t="n"/>
      <c r="BQ820" s="5" t="n"/>
      <c r="BR820" s="5" t="n"/>
      <c r="BS820" s="5" t="n"/>
      <c r="BT820" s="5" t="n"/>
      <c r="BU820" s="5" t="n"/>
      <c r="BV820" s="5" t="n"/>
      <c r="BW820" s="5" t="n"/>
      <c r="BX820" s="5" t="n"/>
      <c r="BY820" s="5" t="n"/>
      <c r="BZ820" s="5" t="n"/>
      <c r="CA820" s="5" t="n"/>
      <c r="CB820" s="5" t="n"/>
      <c r="CC820" s="5" t="n"/>
      <c r="CD820" s="5" t="n"/>
      <c r="CE820" s="5" t="n"/>
      <c r="CF820" s="5" t="n"/>
    </row>
    <row r="821">
      <c r="A821" s="171" t="n"/>
      <c r="B821" s="171" t="n"/>
      <c r="C821" s="171" t="n"/>
      <c r="D821" s="170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  <c r="AY821" s="5" t="n"/>
      <c r="AZ821" s="5" t="n"/>
      <c r="BA821" s="5" t="n"/>
      <c r="BB821" s="5" t="n"/>
      <c r="BC821" s="5" t="n"/>
      <c r="BD821" s="5" t="n"/>
      <c r="BE821" s="5" t="n"/>
      <c r="BF821" s="5" t="n"/>
      <c r="BG821" s="5" t="n"/>
      <c r="BH821" s="5" t="n"/>
      <c r="BI821" s="5" t="n"/>
      <c r="BJ821" s="5" t="n"/>
      <c r="BK821" s="5" t="n"/>
      <c r="BL821" s="5" t="n"/>
      <c r="BM821" s="5" t="n"/>
      <c r="BN821" s="5" t="n"/>
      <c r="BO821" s="5" t="n"/>
      <c r="BP821" s="5" t="n"/>
      <c r="BQ821" s="5" t="n"/>
      <c r="BR821" s="5" t="n"/>
      <c r="BS821" s="5" t="n"/>
      <c r="BT821" s="5" t="n"/>
      <c r="BU821" s="5" t="n"/>
      <c r="BV821" s="5" t="n"/>
      <c r="BW821" s="5" t="n"/>
      <c r="BX821" s="5" t="n"/>
      <c r="BY821" s="5" t="n"/>
      <c r="BZ821" s="5" t="n"/>
      <c r="CA821" s="5" t="n"/>
      <c r="CB821" s="5" t="n"/>
      <c r="CC821" s="5" t="n"/>
      <c r="CD821" s="5" t="n"/>
      <c r="CE821" s="5" t="n"/>
      <c r="CF821" s="5" t="n"/>
    </row>
    <row r="822">
      <c r="A822" s="171" t="n"/>
      <c r="B822" s="171" t="n"/>
      <c r="C822" s="171" t="n"/>
      <c r="D822" s="170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  <c r="AY822" s="5" t="n"/>
      <c r="AZ822" s="5" t="n"/>
      <c r="BA822" s="5" t="n"/>
      <c r="BB822" s="5" t="n"/>
      <c r="BC822" s="5" t="n"/>
      <c r="BD822" s="5" t="n"/>
      <c r="BE822" s="5" t="n"/>
      <c r="BF822" s="5" t="n"/>
      <c r="BG822" s="5" t="n"/>
      <c r="BH822" s="5" t="n"/>
      <c r="BI822" s="5" t="n"/>
      <c r="BJ822" s="5" t="n"/>
      <c r="BK822" s="5" t="n"/>
      <c r="BL822" s="5" t="n"/>
      <c r="BM822" s="5" t="n"/>
      <c r="BN822" s="5" t="n"/>
      <c r="BO822" s="5" t="n"/>
      <c r="BP822" s="5" t="n"/>
      <c r="BQ822" s="5" t="n"/>
      <c r="BR822" s="5" t="n"/>
      <c r="BS822" s="5" t="n"/>
      <c r="BT822" s="5" t="n"/>
      <c r="BU822" s="5" t="n"/>
      <c r="BV822" s="5" t="n"/>
      <c r="BW822" s="5" t="n"/>
      <c r="BX822" s="5" t="n"/>
      <c r="BY822" s="5" t="n"/>
      <c r="BZ822" s="5" t="n"/>
      <c r="CA822" s="5" t="n"/>
      <c r="CB822" s="5" t="n"/>
      <c r="CC822" s="5" t="n"/>
      <c r="CD822" s="5" t="n"/>
      <c r="CE822" s="5" t="n"/>
      <c r="CF822" s="5" t="n"/>
    </row>
    <row r="823">
      <c r="A823" s="171" t="n"/>
      <c r="B823" s="171" t="n"/>
      <c r="C823" s="171" t="n"/>
      <c r="D823" s="170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  <c r="AY823" s="5" t="n"/>
      <c r="AZ823" s="5" t="n"/>
      <c r="BA823" s="5" t="n"/>
      <c r="BB823" s="5" t="n"/>
      <c r="BC823" s="5" t="n"/>
      <c r="BD823" s="5" t="n"/>
      <c r="BE823" s="5" t="n"/>
      <c r="BF823" s="5" t="n"/>
      <c r="BG823" s="5" t="n"/>
      <c r="BH823" s="5" t="n"/>
      <c r="BI823" s="5" t="n"/>
      <c r="BJ823" s="5" t="n"/>
      <c r="BK823" s="5" t="n"/>
      <c r="BL823" s="5" t="n"/>
      <c r="BM823" s="5" t="n"/>
      <c r="BN823" s="5" t="n"/>
      <c r="BO823" s="5" t="n"/>
      <c r="BP823" s="5" t="n"/>
      <c r="BQ823" s="5" t="n"/>
      <c r="BR823" s="5" t="n"/>
      <c r="BS823" s="5" t="n"/>
      <c r="BT823" s="5" t="n"/>
      <c r="BU823" s="5" t="n"/>
      <c r="BV823" s="5" t="n"/>
      <c r="BW823" s="5" t="n"/>
      <c r="BX823" s="5" t="n"/>
      <c r="BY823" s="5" t="n"/>
      <c r="BZ823" s="5" t="n"/>
      <c r="CA823" s="5" t="n"/>
      <c r="CB823" s="5" t="n"/>
      <c r="CC823" s="5" t="n"/>
      <c r="CD823" s="5" t="n"/>
      <c r="CE823" s="5" t="n"/>
      <c r="CF823" s="5" t="n"/>
    </row>
    <row r="824">
      <c r="A824" s="171" t="n"/>
      <c r="B824" s="171" t="n"/>
      <c r="C824" s="171" t="n"/>
      <c r="D824" s="170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  <c r="AY824" s="5" t="n"/>
      <c r="AZ824" s="5" t="n"/>
      <c r="BA824" s="5" t="n"/>
      <c r="BB824" s="5" t="n"/>
      <c r="BC824" s="5" t="n"/>
      <c r="BD824" s="5" t="n"/>
      <c r="BE824" s="5" t="n"/>
      <c r="BF824" s="5" t="n"/>
      <c r="BG824" s="5" t="n"/>
      <c r="BH824" s="5" t="n"/>
      <c r="BI824" s="5" t="n"/>
      <c r="BJ824" s="5" t="n"/>
      <c r="BK824" s="5" t="n"/>
      <c r="BL824" s="5" t="n"/>
      <c r="BM824" s="5" t="n"/>
      <c r="BN824" s="5" t="n"/>
      <c r="BO824" s="5" t="n"/>
      <c r="BP824" s="5" t="n"/>
      <c r="BQ824" s="5" t="n"/>
      <c r="BR824" s="5" t="n"/>
      <c r="BS824" s="5" t="n"/>
      <c r="BT824" s="5" t="n"/>
      <c r="BU824" s="5" t="n"/>
      <c r="BV824" s="5" t="n"/>
      <c r="BW824" s="5" t="n"/>
      <c r="BX824" s="5" t="n"/>
      <c r="BY824" s="5" t="n"/>
      <c r="BZ824" s="5" t="n"/>
      <c r="CA824" s="5" t="n"/>
      <c r="CB824" s="5" t="n"/>
      <c r="CC824" s="5" t="n"/>
      <c r="CD824" s="5" t="n"/>
      <c r="CE824" s="5" t="n"/>
      <c r="CF824" s="5" t="n"/>
    </row>
    <row r="825">
      <c r="A825" s="171" t="n"/>
      <c r="B825" s="171" t="n"/>
      <c r="C825" s="171" t="n"/>
      <c r="D825" s="170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  <c r="AY825" s="5" t="n"/>
      <c r="AZ825" s="5" t="n"/>
      <c r="BA825" s="5" t="n"/>
      <c r="BB825" s="5" t="n"/>
      <c r="BC825" s="5" t="n"/>
      <c r="BD825" s="5" t="n"/>
      <c r="BE825" s="5" t="n"/>
      <c r="BF825" s="5" t="n"/>
      <c r="BG825" s="5" t="n"/>
      <c r="BH825" s="5" t="n"/>
      <c r="BI825" s="5" t="n"/>
      <c r="BJ825" s="5" t="n"/>
      <c r="BK825" s="5" t="n"/>
      <c r="BL825" s="5" t="n"/>
      <c r="BM825" s="5" t="n"/>
      <c r="BN825" s="5" t="n"/>
      <c r="BO825" s="5" t="n"/>
      <c r="BP825" s="5" t="n"/>
      <c r="BQ825" s="5" t="n"/>
      <c r="BR825" s="5" t="n"/>
      <c r="BS825" s="5" t="n"/>
      <c r="BT825" s="5" t="n"/>
      <c r="BU825" s="5" t="n"/>
      <c r="BV825" s="5" t="n"/>
      <c r="BW825" s="5" t="n"/>
      <c r="BX825" s="5" t="n"/>
      <c r="BY825" s="5" t="n"/>
      <c r="BZ825" s="5" t="n"/>
      <c r="CA825" s="5" t="n"/>
      <c r="CB825" s="5" t="n"/>
      <c r="CC825" s="5" t="n"/>
      <c r="CD825" s="5" t="n"/>
      <c r="CE825" s="5" t="n"/>
      <c r="CF825" s="5" t="n"/>
    </row>
    <row r="826">
      <c r="A826" s="171" t="n"/>
      <c r="B826" s="171" t="n"/>
      <c r="C826" s="171" t="n"/>
      <c r="D826" s="170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  <c r="AY826" s="5" t="n"/>
      <c r="AZ826" s="5" t="n"/>
      <c r="BA826" s="5" t="n"/>
      <c r="BB826" s="5" t="n"/>
      <c r="BC826" s="5" t="n"/>
      <c r="BD826" s="5" t="n"/>
      <c r="BE826" s="5" t="n"/>
      <c r="BF826" s="5" t="n"/>
      <c r="BG826" s="5" t="n"/>
      <c r="BH826" s="5" t="n"/>
      <c r="BI826" s="5" t="n"/>
      <c r="BJ826" s="5" t="n"/>
      <c r="BK826" s="5" t="n"/>
      <c r="BL826" s="5" t="n"/>
      <c r="BM826" s="5" t="n"/>
      <c r="BN826" s="5" t="n"/>
      <c r="BO826" s="5" t="n"/>
      <c r="BP826" s="5" t="n"/>
      <c r="BQ826" s="5" t="n"/>
      <c r="BR826" s="5" t="n"/>
      <c r="BS826" s="5" t="n"/>
      <c r="BT826" s="5" t="n"/>
      <c r="BU826" s="5" t="n"/>
      <c r="BV826" s="5" t="n"/>
      <c r="BW826" s="5" t="n"/>
      <c r="BX826" s="5" t="n"/>
      <c r="BY826" s="5" t="n"/>
      <c r="BZ826" s="5" t="n"/>
      <c r="CA826" s="5" t="n"/>
      <c r="CB826" s="5" t="n"/>
      <c r="CC826" s="5" t="n"/>
      <c r="CD826" s="5" t="n"/>
      <c r="CE826" s="5" t="n"/>
      <c r="CF826" s="5" t="n"/>
    </row>
    <row r="827">
      <c r="A827" s="171" t="n"/>
      <c r="B827" s="171" t="n"/>
      <c r="C827" s="171" t="n"/>
      <c r="D827" s="170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  <c r="AY827" s="5" t="n"/>
      <c r="AZ827" s="5" t="n"/>
      <c r="BA827" s="5" t="n"/>
      <c r="BB827" s="5" t="n"/>
      <c r="BC827" s="5" t="n"/>
      <c r="BD827" s="5" t="n"/>
      <c r="BE827" s="5" t="n"/>
      <c r="BF827" s="5" t="n"/>
      <c r="BG827" s="5" t="n"/>
      <c r="BH827" s="5" t="n"/>
      <c r="BI827" s="5" t="n"/>
      <c r="BJ827" s="5" t="n"/>
      <c r="BK827" s="5" t="n"/>
      <c r="BL827" s="5" t="n"/>
      <c r="BM827" s="5" t="n"/>
      <c r="BN827" s="5" t="n"/>
      <c r="BO827" s="5" t="n"/>
      <c r="BP827" s="5" t="n"/>
      <c r="BQ827" s="5" t="n"/>
      <c r="BR827" s="5" t="n"/>
      <c r="BS827" s="5" t="n"/>
      <c r="BT827" s="5" t="n"/>
      <c r="BU827" s="5" t="n"/>
      <c r="BV827" s="5" t="n"/>
      <c r="BW827" s="5" t="n"/>
      <c r="BX827" s="5" t="n"/>
      <c r="BY827" s="5" t="n"/>
      <c r="BZ827" s="5" t="n"/>
      <c r="CA827" s="5" t="n"/>
      <c r="CB827" s="5" t="n"/>
      <c r="CC827" s="5" t="n"/>
      <c r="CD827" s="5" t="n"/>
      <c r="CE827" s="5" t="n"/>
      <c r="CF827" s="5" t="n"/>
    </row>
    <row r="828">
      <c r="A828" s="171" t="n"/>
      <c r="B828" s="171" t="n"/>
      <c r="C828" s="171" t="n"/>
      <c r="D828" s="170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  <c r="AY828" s="5" t="n"/>
      <c r="AZ828" s="5" t="n"/>
      <c r="BA828" s="5" t="n"/>
      <c r="BB828" s="5" t="n"/>
      <c r="BC828" s="5" t="n"/>
      <c r="BD828" s="5" t="n"/>
      <c r="BE828" s="5" t="n"/>
      <c r="BF828" s="5" t="n"/>
      <c r="BG828" s="5" t="n"/>
      <c r="BH828" s="5" t="n"/>
      <c r="BI828" s="5" t="n"/>
      <c r="BJ828" s="5" t="n"/>
      <c r="BK828" s="5" t="n"/>
      <c r="BL828" s="5" t="n"/>
      <c r="BM828" s="5" t="n"/>
      <c r="BN828" s="5" t="n"/>
      <c r="BO828" s="5" t="n"/>
      <c r="BP828" s="5" t="n"/>
      <c r="BQ828" s="5" t="n"/>
      <c r="BR828" s="5" t="n"/>
      <c r="BS828" s="5" t="n"/>
      <c r="BT828" s="5" t="n"/>
      <c r="BU828" s="5" t="n"/>
      <c r="BV828" s="5" t="n"/>
      <c r="BW828" s="5" t="n"/>
      <c r="BX828" s="5" t="n"/>
      <c r="BY828" s="5" t="n"/>
      <c r="BZ828" s="5" t="n"/>
      <c r="CA828" s="5" t="n"/>
      <c r="CB828" s="5" t="n"/>
      <c r="CC828" s="5" t="n"/>
      <c r="CD828" s="5" t="n"/>
      <c r="CE828" s="5" t="n"/>
      <c r="CF828" s="5" t="n"/>
    </row>
    <row r="829">
      <c r="A829" s="171" t="n"/>
      <c r="B829" s="171" t="n"/>
      <c r="C829" s="171" t="n"/>
      <c r="D829" s="170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  <c r="AY829" s="5" t="n"/>
      <c r="AZ829" s="5" t="n"/>
      <c r="BA829" s="5" t="n"/>
      <c r="BB829" s="5" t="n"/>
      <c r="BC829" s="5" t="n"/>
      <c r="BD829" s="5" t="n"/>
      <c r="BE829" s="5" t="n"/>
      <c r="BF829" s="5" t="n"/>
      <c r="BG829" s="5" t="n"/>
      <c r="BH829" s="5" t="n"/>
      <c r="BI829" s="5" t="n"/>
      <c r="BJ829" s="5" t="n"/>
      <c r="BK829" s="5" t="n"/>
      <c r="BL829" s="5" t="n"/>
      <c r="BM829" s="5" t="n"/>
      <c r="BN829" s="5" t="n"/>
      <c r="BO829" s="5" t="n"/>
      <c r="BP829" s="5" t="n"/>
      <c r="BQ829" s="5" t="n"/>
      <c r="BR829" s="5" t="n"/>
      <c r="BS829" s="5" t="n"/>
      <c r="BT829" s="5" t="n"/>
      <c r="BU829" s="5" t="n"/>
      <c r="BV829" s="5" t="n"/>
      <c r="BW829" s="5" t="n"/>
      <c r="BX829" s="5" t="n"/>
      <c r="BY829" s="5" t="n"/>
      <c r="BZ829" s="5" t="n"/>
      <c r="CA829" s="5" t="n"/>
      <c r="CB829" s="5" t="n"/>
      <c r="CC829" s="5" t="n"/>
      <c r="CD829" s="5" t="n"/>
      <c r="CE829" s="5" t="n"/>
      <c r="CF829" s="5" t="n"/>
    </row>
    <row r="830">
      <c r="A830" s="171" t="n"/>
      <c r="B830" s="171" t="n"/>
      <c r="C830" s="171" t="n"/>
      <c r="D830" s="170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  <c r="AY830" s="5" t="n"/>
      <c r="AZ830" s="5" t="n"/>
      <c r="BA830" s="5" t="n"/>
      <c r="BB830" s="5" t="n"/>
      <c r="BC830" s="5" t="n"/>
      <c r="BD830" s="5" t="n"/>
      <c r="BE830" s="5" t="n"/>
      <c r="BF830" s="5" t="n"/>
      <c r="BG830" s="5" t="n"/>
      <c r="BH830" s="5" t="n"/>
      <c r="BI830" s="5" t="n"/>
      <c r="BJ830" s="5" t="n"/>
      <c r="BK830" s="5" t="n"/>
      <c r="BL830" s="5" t="n"/>
      <c r="BM830" s="5" t="n"/>
      <c r="BN830" s="5" t="n"/>
      <c r="BO830" s="5" t="n"/>
      <c r="BP830" s="5" t="n"/>
      <c r="BQ830" s="5" t="n"/>
      <c r="BR830" s="5" t="n"/>
      <c r="BS830" s="5" t="n"/>
      <c r="BT830" s="5" t="n"/>
      <c r="BU830" s="5" t="n"/>
      <c r="BV830" s="5" t="n"/>
      <c r="BW830" s="5" t="n"/>
      <c r="BX830" s="5" t="n"/>
      <c r="BY830" s="5" t="n"/>
      <c r="BZ830" s="5" t="n"/>
      <c r="CA830" s="5" t="n"/>
      <c r="CB830" s="5" t="n"/>
      <c r="CC830" s="5" t="n"/>
      <c r="CD830" s="5" t="n"/>
      <c r="CE830" s="5" t="n"/>
      <c r="CF830" s="5" t="n"/>
    </row>
    <row r="831">
      <c r="A831" s="171" t="n"/>
      <c r="B831" s="171" t="n"/>
      <c r="C831" s="171" t="n"/>
      <c r="D831" s="170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  <c r="AY831" s="5" t="n"/>
      <c r="AZ831" s="5" t="n"/>
      <c r="BA831" s="5" t="n"/>
      <c r="BB831" s="5" t="n"/>
      <c r="BC831" s="5" t="n"/>
      <c r="BD831" s="5" t="n"/>
      <c r="BE831" s="5" t="n"/>
      <c r="BF831" s="5" t="n"/>
      <c r="BG831" s="5" t="n"/>
      <c r="BH831" s="5" t="n"/>
      <c r="BI831" s="5" t="n"/>
      <c r="BJ831" s="5" t="n"/>
      <c r="BK831" s="5" t="n"/>
      <c r="BL831" s="5" t="n"/>
      <c r="BM831" s="5" t="n"/>
      <c r="BN831" s="5" t="n"/>
      <c r="BO831" s="5" t="n"/>
      <c r="BP831" s="5" t="n"/>
      <c r="BQ831" s="5" t="n"/>
      <c r="BR831" s="5" t="n"/>
      <c r="BS831" s="5" t="n"/>
      <c r="BT831" s="5" t="n"/>
      <c r="BU831" s="5" t="n"/>
      <c r="BV831" s="5" t="n"/>
      <c r="BW831" s="5" t="n"/>
      <c r="BX831" s="5" t="n"/>
      <c r="BY831" s="5" t="n"/>
      <c r="BZ831" s="5" t="n"/>
      <c r="CA831" s="5" t="n"/>
      <c r="CB831" s="5" t="n"/>
      <c r="CC831" s="5" t="n"/>
      <c r="CD831" s="5" t="n"/>
      <c r="CE831" s="5" t="n"/>
      <c r="CF831" s="5" t="n"/>
    </row>
    <row r="832">
      <c r="A832" s="171" t="n"/>
      <c r="B832" s="171" t="n"/>
      <c r="C832" s="171" t="n"/>
      <c r="D832" s="170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  <c r="AY832" s="5" t="n"/>
      <c r="AZ832" s="5" t="n"/>
      <c r="BA832" s="5" t="n"/>
      <c r="BB832" s="5" t="n"/>
      <c r="BC832" s="5" t="n"/>
      <c r="BD832" s="5" t="n"/>
      <c r="BE832" s="5" t="n"/>
      <c r="BF832" s="5" t="n"/>
      <c r="BG832" s="5" t="n"/>
      <c r="BH832" s="5" t="n"/>
      <c r="BI832" s="5" t="n"/>
      <c r="BJ832" s="5" t="n"/>
      <c r="BK832" s="5" t="n"/>
      <c r="BL832" s="5" t="n"/>
      <c r="BM832" s="5" t="n"/>
      <c r="BN832" s="5" t="n"/>
      <c r="BO832" s="5" t="n"/>
      <c r="BP832" s="5" t="n"/>
      <c r="BQ832" s="5" t="n"/>
      <c r="BR832" s="5" t="n"/>
      <c r="BS832" s="5" t="n"/>
      <c r="BT832" s="5" t="n"/>
      <c r="BU832" s="5" t="n"/>
      <c r="BV832" s="5" t="n"/>
      <c r="BW832" s="5" t="n"/>
      <c r="BX832" s="5" t="n"/>
      <c r="BY832" s="5" t="n"/>
      <c r="BZ832" s="5" t="n"/>
      <c r="CA832" s="5" t="n"/>
      <c r="CB832" s="5" t="n"/>
      <c r="CC832" s="5" t="n"/>
      <c r="CD832" s="5" t="n"/>
      <c r="CE832" s="5" t="n"/>
      <c r="CF832" s="5" t="n"/>
    </row>
    <row r="833">
      <c r="A833" s="171" t="n"/>
      <c r="B833" s="171" t="n"/>
      <c r="C833" s="171" t="n"/>
      <c r="D833" s="170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  <c r="AY833" s="5" t="n"/>
      <c r="AZ833" s="5" t="n"/>
      <c r="BA833" s="5" t="n"/>
      <c r="BB833" s="5" t="n"/>
      <c r="BC833" s="5" t="n"/>
      <c r="BD833" s="5" t="n"/>
      <c r="BE833" s="5" t="n"/>
      <c r="BF833" s="5" t="n"/>
      <c r="BG833" s="5" t="n"/>
      <c r="BH833" s="5" t="n"/>
      <c r="BI833" s="5" t="n"/>
      <c r="BJ833" s="5" t="n"/>
      <c r="BK833" s="5" t="n"/>
      <c r="BL833" s="5" t="n"/>
      <c r="BM833" s="5" t="n"/>
      <c r="BN833" s="5" t="n"/>
      <c r="BO833" s="5" t="n"/>
      <c r="BP833" s="5" t="n"/>
      <c r="BQ833" s="5" t="n"/>
      <c r="BR833" s="5" t="n"/>
      <c r="BS833" s="5" t="n"/>
      <c r="BT833" s="5" t="n"/>
      <c r="BU833" s="5" t="n"/>
      <c r="BV833" s="5" t="n"/>
      <c r="BW833" s="5" t="n"/>
      <c r="BX833" s="5" t="n"/>
      <c r="BY833" s="5" t="n"/>
      <c r="BZ833" s="5" t="n"/>
      <c r="CA833" s="5" t="n"/>
      <c r="CB833" s="5" t="n"/>
      <c r="CC833" s="5" t="n"/>
      <c r="CD833" s="5" t="n"/>
      <c r="CE833" s="5" t="n"/>
      <c r="CF833" s="5" t="n"/>
    </row>
    <row r="834">
      <c r="A834" s="171" t="n"/>
      <c r="B834" s="171" t="n"/>
      <c r="C834" s="171" t="n"/>
      <c r="D834" s="170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  <c r="AY834" s="5" t="n"/>
      <c r="AZ834" s="5" t="n"/>
      <c r="BA834" s="5" t="n"/>
      <c r="BB834" s="5" t="n"/>
      <c r="BC834" s="5" t="n"/>
      <c r="BD834" s="5" t="n"/>
      <c r="BE834" s="5" t="n"/>
      <c r="BF834" s="5" t="n"/>
      <c r="BG834" s="5" t="n"/>
      <c r="BH834" s="5" t="n"/>
      <c r="BI834" s="5" t="n"/>
      <c r="BJ834" s="5" t="n"/>
      <c r="BK834" s="5" t="n"/>
      <c r="BL834" s="5" t="n"/>
      <c r="BM834" s="5" t="n"/>
      <c r="BN834" s="5" t="n"/>
      <c r="BO834" s="5" t="n"/>
      <c r="BP834" s="5" t="n"/>
      <c r="BQ834" s="5" t="n"/>
      <c r="BR834" s="5" t="n"/>
      <c r="BS834" s="5" t="n"/>
      <c r="BT834" s="5" t="n"/>
      <c r="BU834" s="5" t="n"/>
      <c r="BV834" s="5" t="n"/>
      <c r="BW834" s="5" t="n"/>
      <c r="BX834" s="5" t="n"/>
      <c r="BY834" s="5" t="n"/>
      <c r="BZ834" s="5" t="n"/>
      <c r="CA834" s="5" t="n"/>
      <c r="CB834" s="5" t="n"/>
      <c r="CC834" s="5" t="n"/>
      <c r="CD834" s="5" t="n"/>
      <c r="CE834" s="5" t="n"/>
      <c r="CF834" s="5" t="n"/>
    </row>
    <row r="835">
      <c r="A835" s="171" t="n"/>
      <c r="B835" s="171" t="n"/>
      <c r="C835" s="171" t="n"/>
      <c r="D835" s="170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5" t="n"/>
      <c r="AZ835" s="5" t="n"/>
      <c r="BA835" s="5" t="n"/>
      <c r="BB835" s="5" t="n"/>
      <c r="BC835" s="5" t="n"/>
      <c r="BD835" s="5" t="n"/>
      <c r="BE835" s="5" t="n"/>
      <c r="BF835" s="5" t="n"/>
      <c r="BG835" s="5" t="n"/>
      <c r="BH835" s="5" t="n"/>
      <c r="BI835" s="5" t="n"/>
      <c r="BJ835" s="5" t="n"/>
      <c r="BK835" s="5" t="n"/>
      <c r="BL835" s="5" t="n"/>
      <c r="BM835" s="5" t="n"/>
      <c r="BN835" s="5" t="n"/>
      <c r="BO835" s="5" t="n"/>
      <c r="BP835" s="5" t="n"/>
      <c r="BQ835" s="5" t="n"/>
      <c r="BR835" s="5" t="n"/>
      <c r="BS835" s="5" t="n"/>
      <c r="BT835" s="5" t="n"/>
      <c r="BU835" s="5" t="n"/>
      <c r="BV835" s="5" t="n"/>
      <c r="BW835" s="5" t="n"/>
      <c r="BX835" s="5" t="n"/>
      <c r="BY835" s="5" t="n"/>
      <c r="BZ835" s="5" t="n"/>
      <c r="CA835" s="5" t="n"/>
      <c r="CB835" s="5" t="n"/>
      <c r="CC835" s="5" t="n"/>
      <c r="CD835" s="5" t="n"/>
      <c r="CE835" s="5" t="n"/>
      <c r="CF835" s="5" t="n"/>
    </row>
    <row r="836">
      <c r="A836" s="171" t="n"/>
      <c r="B836" s="171" t="n"/>
      <c r="C836" s="171" t="n"/>
      <c r="D836" s="170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5" t="n"/>
      <c r="AZ836" s="5" t="n"/>
      <c r="BA836" s="5" t="n"/>
      <c r="BB836" s="5" t="n"/>
      <c r="BC836" s="5" t="n"/>
      <c r="BD836" s="5" t="n"/>
      <c r="BE836" s="5" t="n"/>
      <c r="BF836" s="5" t="n"/>
      <c r="BG836" s="5" t="n"/>
      <c r="BH836" s="5" t="n"/>
      <c r="BI836" s="5" t="n"/>
      <c r="BJ836" s="5" t="n"/>
      <c r="BK836" s="5" t="n"/>
      <c r="BL836" s="5" t="n"/>
      <c r="BM836" s="5" t="n"/>
      <c r="BN836" s="5" t="n"/>
      <c r="BO836" s="5" t="n"/>
      <c r="BP836" s="5" t="n"/>
      <c r="BQ836" s="5" t="n"/>
      <c r="BR836" s="5" t="n"/>
      <c r="BS836" s="5" t="n"/>
      <c r="BT836" s="5" t="n"/>
      <c r="BU836" s="5" t="n"/>
      <c r="BV836" s="5" t="n"/>
      <c r="BW836" s="5" t="n"/>
      <c r="BX836" s="5" t="n"/>
      <c r="BY836" s="5" t="n"/>
      <c r="BZ836" s="5" t="n"/>
      <c r="CA836" s="5" t="n"/>
      <c r="CB836" s="5" t="n"/>
      <c r="CC836" s="5" t="n"/>
      <c r="CD836" s="5" t="n"/>
      <c r="CE836" s="5" t="n"/>
      <c r="CF836" s="5" t="n"/>
    </row>
    <row r="837">
      <c r="A837" s="171" t="n"/>
      <c r="B837" s="171" t="n"/>
      <c r="C837" s="171" t="n"/>
      <c r="D837" s="170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5" t="n"/>
      <c r="AZ837" s="5" t="n"/>
      <c r="BA837" s="5" t="n"/>
      <c r="BB837" s="5" t="n"/>
      <c r="BC837" s="5" t="n"/>
      <c r="BD837" s="5" t="n"/>
      <c r="BE837" s="5" t="n"/>
      <c r="BF837" s="5" t="n"/>
      <c r="BG837" s="5" t="n"/>
      <c r="BH837" s="5" t="n"/>
      <c r="BI837" s="5" t="n"/>
      <c r="BJ837" s="5" t="n"/>
      <c r="BK837" s="5" t="n"/>
      <c r="BL837" s="5" t="n"/>
      <c r="BM837" s="5" t="n"/>
      <c r="BN837" s="5" t="n"/>
      <c r="BO837" s="5" t="n"/>
      <c r="BP837" s="5" t="n"/>
      <c r="BQ837" s="5" t="n"/>
      <c r="BR837" s="5" t="n"/>
      <c r="BS837" s="5" t="n"/>
      <c r="BT837" s="5" t="n"/>
      <c r="BU837" s="5" t="n"/>
      <c r="BV837" s="5" t="n"/>
      <c r="BW837" s="5" t="n"/>
      <c r="BX837" s="5" t="n"/>
      <c r="BY837" s="5" t="n"/>
      <c r="BZ837" s="5" t="n"/>
      <c r="CA837" s="5" t="n"/>
      <c r="CB837" s="5" t="n"/>
      <c r="CC837" s="5" t="n"/>
      <c r="CD837" s="5" t="n"/>
      <c r="CE837" s="5" t="n"/>
      <c r="CF837" s="5" t="n"/>
    </row>
    <row r="838">
      <c r="A838" s="171" t="n"/>
      <c r="B838" s="171" t="n"/>
      <c r="C838" s="171" t="n"/>
      <c r="D838" s="170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  <c r="AY838" s="5" t="n"/>
      <c r="AZ838" s="5" t="n"/>
      <c r="BA838" s="5" t="n"/>
      <c r="BB838" s="5" t="n"/>
      <c r="BC838" s="5" t="n"/>
      <c r="BD838" s="5" t="n"/>
      <c r="BE838" s="5" t="n"/>
      <c r="BF838" s="5" t="n"/>
      <c r="BG838" s="5" t="n"/>
      <c r="BH838" s="5" t="n"/>
      <c r="BI838" s="5" t="n"/>
      <c r="BJ838" s="5" t="n"/>
      <c r="BK838" s="5" t="n"/>
      <c r="BL838" s="5" t="n"/>
      <c r="BM838" s="5" t="n"/>
      <c r="BN838" s="5" t="n"/>
      <c r="BO838" s="5" t="n"/>
      <c r="BP838" s="5" t="n"/>
      <c r="BQ838" s="5" t="n"/>
      <c r="BR838" s="5" t="n"/>
      <c r="BS838" s="5" t="n"/>
      <c r="BT838" s="5" t="n"/>
      <c r="BU838" s="5" t="n"/>
      <c r="BV838" s="5" t="n"/>
      <c r="BW838" s="5" t="n"/>
      <c r="BX838" s="5" t="n"/>
      <c r="BY838" s="5" t="n"/>
      <c r="BZ838" s="5" t="n"/>
      <c r="CA838" s="5" t="n"/>
      <c r="CB838" s="5" t="n"/>
      <c r="CC838" s="5" t="n"/>
      <c r="CD838" s="5" t="n"/>
      <c r="CE838" s="5" t="n"/>
      <c r="CF838" s="5" t="n"/>
    </row>
    <row r="839">
      <c r="A839" s="171" t="n"/>
      <c r="B839" s="171" t="n"/>
      <c r="C839" s="171" t="n"/>
      <c r="D839" s="170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  <c r="AY839" s="5" t="n"/>
      <c r="AZ839" s="5" t="n"/>
      <c r="BA839" s="5" t="n"/>
      <c r="BB839" s="5" t="n"/>
      <c r="BC839" s="5" t="n"/>
      <c r="BD839" s="5" t="n"/>
      <c r="BE839" s="5" t="n"/>
      <c r="BF839" s="5" t="n"/>
      <c r="BG839" s="5" t="n"/>
      <c r="BH839" s="5" t="n"/>
      <c r="BI839" s="5" t="n"/>
      <c r="BJ839" s="5" t="n"/>
      <c r="BK839" s="5" t="n"/>
      <c r="BL839" s="5" t="n"/>
      <c r="BM839" s="5" t="n"/>
      <c r="BN839" s="5" t="n"/>
      <c r="BO839" s="5" t="n"/>
      <c r="BP839" s="5" t="n"/>
      <c r="BQ839" s="5" t="n"/>
      <c r="BR839" s="5" t="n"/>
      <c r="BS839" s="5" t="n"/>
      <c r="BT839" s="5" t="n"/>
      <c r="BU839" s="5" t="n"/>
      <c r="BV839" s="5" t="n"/>
      <c r="BW839" s="5" t="n"/>
      <c r="BX839" s="5" t="n"/>
      <c r="BY839" s="5" t="n"/>
      <c r="BZ839" s="5" t="n"/>
      <c r="CA839" s="5" t="n"/>
      <c r="CB839" s="5" t="n"/>
      <c r="CC839" s="5" t="n"/>
      <c r="CD839" s="5" t="n"/>
      <c r="CE839" s="5" t="n"/>
      <c r="CF839" s="5" t="n"/>
    </row>
    <row r="840">
      <c r="A840" s="171" t="n"/>
      <c r="B840" s="171" t="n"/>
      <c r="C840" s="171" t="n"/>
      <c r="D840" s="170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  <c r="AY840" s="5" t="n"/>
      <c r="AZ840" s="5" t="n"/>
      <c r="BA840" s="5" t="n"/>
      <c r="BB840" s="5" t="n"/>
      <c r="BC840" s="5" t="n"/>
      <c r="BD840" s="5" t="n"/>
      <c r="BE840" s="5" t="n"/>
      <c r="BF840" s="5" t="n"/>
      <c r="BG840" s="5" t="n"/>
      <c r="BH840" s="5" t="n"/>
      <c r="BI840" s="5" t="n"/>
      <c r="BJ840" s="5" t="n"/>
      <c r="BK840" s="5" t="n"/>
      <c r="BL840" s="5" t="n"/>
      <c r="BM840" s="5" t="n"/>
      <c r="BN840" s="5" t="n"/>
      <c r="BO840" s="5" t="n"/>
      <c r="BP840" s="5" t="n"/>
      <c r="BQ840" s="5" t="n"/>
      <c r="BR840" s="5" t="n"/>
      <c r="BS840" s="5" t="n"/>
      <c r="BT840" s="5" t="n"/>
      <c r="BU840" s="5" t="n"/>
      <c r="BV840" s="5" t="n"/>
      <c r="BW840" s="5" t="n"/>
      <c r="BX840" s="5" t="n"/>
      <c r="BY840" s="5" t="n"/>
      <c r="BZ840" s="5" t="n"/>
      <c r="CA840" s="5" t="n"/>
      <c r="CB840" s="5" t="n"/>
      <c r="CC840" s="5" t="n"/>
      <c r="CD840" s="5" t="n"/>
      <c r="CE840" s="5" t="n"/>
      <c r="CF840" s="5" t="n"/>
    </row>
    <row r="841">
      <c r="A841" s="171" t="n"/>
      <c r="B841" s="171" t="n"/>
      <c r="C841" s="171" t="n"/>
      <c r="D841" s="170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  <c r="AY841" s="5" t="n"/>
      <c r="AZ841" s="5" t="n"/>
      <c r="BA841" s="5" t="n"/>
      <c r="BB841" s="5" t="n"/>
      <c r="BC841" s="5" t="n"/>
      <c r="BD841" s="5" t="n"/>
      <c r="BE841" s="5" t="n"/>
      <c r="BF841" s="5" t="n"/>
      <c r="BG841" s="5" t="n"/>
      <c r="BH841" s="5" t="n"/>
      <c r="BI841" s="5" t="n"/>
      <c r="BJ841" s="5" t="n"/>
      <c r="BK841" s="5" t="n"/>
      <c r="BL841" s="5" t="n"/>
      <c r="BM841" s="5" t="n"/>
      <c r="BN841" s="5" t="n"/>
      <c r="BO841" s="5" t="n"/>
      <c r="BP841" s="5" t="n"/>
      <c r="BQ841" s="5" t="n"/>
      <c r="BR841" s="5" t="n"/>
      <c r="BS841" s="5" t="n"/>
      <c r="BT841" s="5" t="n"/>
      <c r="BU841" s="5" t="n"/>
      <c r="BV841" s="5" t="n"/>
      <c r="BW841" s="5" t="n"/>
      <c r="BX841" s="5" t="n"/>
      <c r="BY841" s="5" t="n"/>
      <c r="BZ841" s="5" t="n"/>
      <c r="CA841" s="5" t="n"/>
      <c r="CB841" s="5" t="n"/>
      <c r="CC841" s="5" t="n"/>
      <c r="CD841" s="5" t="n"/>
      <c r="CE841" s="5" t="n"/>
      <c r="CF841" s="5" t="n"/>
    </row>
    <row r="842">
      <c r="A842" s="171" t="n"/>
      <c r="B842" s="171" t="n"/>
      <c r="C842" s="171" t="n"/>
      <c r="D842" s="170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  <c r="AY842" s="5" t="n"/>
      <c r="AZ842" s="5" t="n"/>
      <c r="BA842" s="5" t="n"/>
      <c r="BB842" s="5" t="n"/>
      <c r="BC842" s="5" t="n"/>
      <c r="BD842" s="5" t="n"/>
      <c r="BE842" s="5" t="n"/>
      <c r="BF842" s="5" t="n"/>
      <c r="BG842" s="5" t="n"/>
      <c r="BH842" s="5" t="n"/>
      <c r="BI842" s="5" t="n"/>
      <c r="BJ842" s="5" t="n"/>
      <c r="BK842" s="5" t="n"/>
      <c r="BL842" s="5" t="n"/>
      <c r="BM842" s="5" t="n"/>
      <c r="BN842" s="5" t="n"/>
      <c r="BO842" s="5" t="n"/>
      <c r="BP842" s="5" t="n"/>
      <c r="BQ842" s="5" t="n"/>
      <c r="BR842" s="5" t="n"/>
      <c r="BS842" s="5" t="n"/>
      <c r="BT842" s="5" t="n"/>
      <c r="BU842" s="5" t="n"/>
      <c r="BV842" s="5" t="n"/>
      <c r="BW842" s="5" t="n"/>
      <c r="BX842" s="5" t="n"/>
      <c r="BY842" s="5" t="n"/>
      <c r="BZ842" s="5" t="n"/>
      <c r="CA842" s="5" t="n"/>
      <c r="CB842" s="5" t="n"/>
      <c r="CC842" s="5" t="n"/>
      <c r="CD842" s="5" t="n"/>
      <c r="CE842" s="5" t="n"/>
      <c r="CF842" s="5" t="n"/>
    </row>
    <row r="843">
      <c r="A843" s="171" t="n"/>
      <c r="B843" s="171" t="n"/>
      <c r="C843" s="171" t="n"/>
      <c r="D843" s="170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  <c r="AY843" s="5" t="n"/>
      <c r="AZ843" s="5" t="n"/>
      <c r="BA843" s="5" t="n"/>
      <c r="BB843" s="5" t="n"/>
      <c r="BC843" s="5" t="n"/>
      <c r="BD843" s="5" t="n"/>
      <c r="BE843" s="5" t="n"/>
      <c r="BF843" s="5" t="n"/>
      <c r="BG843" s="5" t="n"/>
      <c r="BH843" s="5" t="n"/>
      <c r="BI843" s="5" t="n"/>
      <c r="BJ843" s="5" t="n"/>
      <c r="BK843" s="5" t="n"/>
      <c r="BL843" s="5" t="n"/>
      <c r="BM843" s="5" t="n"/>
      <c r="BN843" s="5" t="n"/>
      <c r="BO843" s="5" t="n"/>
      <c r="BP843" s="5" t="n"/>
      <c r="BQ843" s="5" t="n"/>
      <c r="BR843" s="5" t="n"/>
      <c r="BS843" s="5" t="n"/>
      <c r="BT843" s="5" t="n"/>
      <c r="BU843" s="5" t="n"/>
      <c r="BV843" s="5" t="n"/>
      <c r="BW843" s="5" t="n"/>
      <c r="BX843" s="5" t="n"/>
      <c r="BY843" s="5" t="n"/>
      <c r="BZ843" s="5" t="n"/>
      <c r="CA843" s="5" t="n"/>
      <c r="CB843" s="5" t="n"/>
      <c r="CC843" s="5" t="n"/>
      <c r="CD843" s="5" t="n"/>
      <c r="CE843" s="5" t="n"/>
      <c r="CF843" s="5" t="n"/>
    </row>
    <row r="844">
      <c r="A844" s="171" t="n"/>
      <c r="B844" s="171" t="n"/>
      <c r="C844" s="171" t="n"/>
      <c r="D844" s="170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  <c r="AY844" s="5" t="n"/>
      <c r="AZ844" s="5" t="n"/>
      <c r="BA844" s="5" t="n"/>
      <c r="BB844" s="5" t="n"/>
      <c r="BC844" s="5" t="n"/>
      <c r="BD844" s="5" t="n"/>
      <c r="BE844" s="5" t="n"/>
      <c r="BF844" s="5" t="n"/>
      <c r="BG844" s="5" t="n"/>
      <c r="BH844" s="5" t="n"/>
      <c r="BI844" s="5" t="n"/>
      <c r="BJ844" s="5" t="n"/>
      <c r="BK844" s="5" t="n"/>
      <c r="BL844" s="5" t="n"/>
      <c r="BM844" s="5" t="n"/>
      <c r="BN844" s="5" t="n"/>
      <c r="BO844" s="5" t="n"/>
      <c r="BP844" s="5" t="n"/>
      <c r="BQ844" s="5" t="n"/>
      <c r="BR844" s="5" t="n"/>
      <c r="BS844" s="5" t="n"/>
      <c r="BT844" s="5" t="n"/>
      <c r="BU844" s="5" t="n"/>
      <c r="BV844" s="5" t="n"/>
      <c r="BW844" s="5" t="n"/>
      <c r="BX844" s="5" t="n"/>
      <c r="BY844" s="5" t="n"/>
      <c r="BZ844" s="5" t="n"/>
      <c r="CA844" s="5" t="n"/>
      <c r="CB844" s="5" t="n"/>
      <c r="CC844" s="5" t="n"/>
      <c r="CD844" s="5" t="n"/>
      <c r="CE844" s="5" t="n"/>
      <c r="CF844" s="5" t="n"/>
    </row>
    <row r="845">
      <c r="A845" s="171" t="n"/>
      <c r="B845" s="171" t="n"/>
      <c r="C845" s="171" t="n"/>
      <c r="D845" s="170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  <c r="AY845" s="5" t="n"/>
      <c r="AZ845" s="5" t="n"/>
      <c r="BA845" s="5" t="n"/>
      <c r="BB845" s="5" t="n"/>
      <c r="BC845" s="5" t="n"/>
      <c r="BD845" s="5" t="n"/>
      <c r="BE845" s="5" t="n"/>
      <c r="BF845" s="5" t="n"/>
      <c r="BG845" s="5" t="n"/>
      <c r="BH845" s="5" t="n"/>
      <c r="BI845" s="5" t="n"/>
      <c r="BJ845" s="5" t="n"/>
      <c r="BK845" s="5" t="n"/>
      <c r="BL845" s="5" t="n"/>
      <c r="BM845" s="5" t="n"/>
      <c r="BN845" s="5" t="n"/>
      <c r="BO845" s="5" t="n"/>
      <c r="BP845" s="5" t="n"/>
      <c r="BQ845" s="5" t="n"/>
      <c r="BR845" s="5" t="n"/>
      <c r="BS845" s="5" t="n"/>
      <c r="BT845" s="5" t="n"/>
      <c r="BU845" s="5" t="n"/>
      <c r="BV845" s="5" t="n"/>
      <c r="BW845" s="5" t="n"/>
      <c r="BX845" s="5" t="n"/>
      <c r="BY845" s="5" t="n"/>
      <c r="BZ845" s="5" t="n"/>
      <c r="CA845" s="5" t="n"/>
      <c r="CB845" s="5" t="n"/>
      <c r="CC845" s="5" t="n"/>
      <c r="CD845" s="5" t="n"/>
      <c r="CE845" s="5" t="n"/>
      <c r="CF845" s="5" t="n"/>
    </row>
    <row r="846">
      <c r="A846" s="171" t="n"/>
      <c r="B846" s="171" t="n"/>
      <c r="C846" s="171" t="n"/>
      <c r="D846" s="170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  <c r="AY846" s="5" t="n"/>
      <c r="AZ846" s="5" t="n"/>
      <c r="BA846" s="5" t="n"/>
      <c r="BB846" s="5" t="n"/>
      <c r="BC846" s="5" t="n"/>
      <c r="BD846" s="5" t="n"/>
      <c r="BE846" s="5" t="n"/>
      <c r="BF846" s="5" t="n"/>
      <c r="BG846" s="5" t="n"/>
      <c r="BH846" s="5" t="n"/>
      <c r="BI846" s="5" t="n"/>
      <c r="BJ846" s="5" t="n"/>
      <c r="BK846" s="5" t="n"/>
      <c r="BL846" s="5" t="n"/>
      <c r="BM846" s="5" t="n"/>
      <c r="BN846" s="5" t="n"/>
      <c r="BO846" s="5" t="n"/>
      <c r="BP846" s="5" t="n"/>
      <c r="BQ846" s="5" t="n"/>
      <c r="BR846" s="5" t="n"/>
      <c r="BS846" s="5" t="n"/>
      <c r="BT846" s="5" t="n"/>
      <c r="BU846" s="5" t="n"/>
      <c r="BV846" s="5" t="n"/>
      <c r="BW846" s="5" t="n"/>
      <c r="BX846" s="5" t="n"/>
      <c r="BY846" s="5" t="n"/>
      <c r="BZ846" s="5" t="n"/>
      <c r="CA846" s="5" t="n"/>
      <c r="CB846" s="5" t="n"/>
      <c r="CC846" s="5" t="n"/>
      <c r="CD846" s="5" t="n"/>
      <c r="CE846" s="5" t="n"/>
      <c r="CF846" s="5" t="n"/>
    </row>
    <row r="847">
      <c r="A847" s="171" t="n"/>
      <c r="B847" s="171" t="n"/>
      <c r="C847" s="171" t="n"/>
      <c r="D847" s="170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  <c r="AY847" s="5" t="n"/>
      <c r="AZ847" s="5" t="n"/>
      <c r="BA847" s="5" t="n"/>
      <c r="BB847" s="5" t="n"/>
      <c r="BC847" s="5" t="n"/>
      <c r="BD847" s="5" t="n"/>
      <c r="BE847" s="5" t="n"/>
      <c r="BF847" s="5" t="n"/>
      <c r="BG847" s="5" t="n"/>
      <c r="BH847" s="5" t="n"/>
      <c r="BI847" s="5" t="n"/>
      <c r="BJ847" s="5" t="n"/>
      <c r="BK847" s="5" t="n"/>
      <c r="BL847" s="5" t="n"/>
      <c r="BM847" s="5" t="n"/>
      <c r="BN847" s="5" t="n"/>
      <c r="BO847" s="5" t="n"/>
      <c r="BP847" s="5" t="n"/>
      <c r="BQ847" s="5" t="n"/>
      <c r="BR847" s="5" t="n"/>
      <c r="BS847" s="5" t="n"/>
      <c r="BT847" s="5" t="n"/>
      <c r="BU847" s="5" t="n"/>
      <c r="BV847" s="5" t="n"/>
      <c r="BW847" s="5" t="n"/>
      <c r="BX847" s="5" t="n"/>
      <c r="BY847" s="5" t="n"/>
      <c r="BZ847" s="5" t="n"/>
      <c r="CA847" s="5" t="n"/>
      <c r="CB847" s="5" t="n"/>
      <c r="CC847" s="5" t="n"/>
      <c r="CD847" s="5" t="n"/>
      <c r="CE847" s="5" t="n"/>
      <c r="CF847" s="5" t="n"/>
    </row>
    <row r="848">
      <c r="A848" s="171" t="n"/>
      <c r="B848" s="171" t="n"/>
      <c r="C848" s="171" t="n"/>
      <c r="D848" s="170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  <c r="AY848" s="5" t="n"/>
      <c r="AZ848" s="5" t="n"/>
      <c r="BA848" s="5" t="n"/>
      <c r="BB848" s="5" t="n"/>
      <c r="BC848" s="5" t="n"/>
      <c r="BD848" s="5" t="n"/>
      <c r="BE848" s="5" t="n"/>
      <c r="BF848" s="5" t="n"/>
      <c r="BG848" s="5" t="n"/>
      <c r="BH848" s="5" t="n"/>
      <c r="BI848" s="5" t="n"/>
      <c r="BJ848" s="5" t="n"/>
      <c r="BK848" s="5" t="n"/>
      <c r="BL848" s="5" t="n"/>
      <c r="BM848" s="5" t="n"/>
      <c r="BN848" s="5" t="n"/>
      <c r="BO848" s="5" t="n"/>
      <c r="BP848" s="5" t="n"/>
      <c r="BQ848" s="5" t="n"/>
      <c r="BR848" s="5" t="n"/>
      <c r="BS848" s="5" t="n"/>
      <c r="BT848" s="5" t="n"/>
      <c r="BU848" s="5" t="n"/>
      <c r="BV848" s="5" t="n"/>
      <c r="BW848" s="5" t="n"/>
      <c r="BX848" s="5" t="n"/>
      <c r="BY848" s="5" t="n"/>
      <c r="BZ848" s="5" t="n"/>
      <c r="CA848" s="5" t="n"/>
      <c r="CB848" s="5" t="n"/>
      <c r="CC848" s="5" t="n"/>
      <c r="CD848" s="5" t="n"/>
      <c r="CE848" s="5" t="n"/>
      <c r="CF848" s="5" t="n"/>
    </row>
    <row r="849">
      <c r="A849" s="171" t="n"/>
      <c r="B849" s="171" t="n"/>
      <c r="C849" s="171" t="n"/>
      <c r="D849" s="170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  <c r="AY849" s="5" t="n"/>
      <c r="AZ849" s="5" t="n"/>
      <c r="BA849" s="5" t="n"/>
      <c r="BB849" s="5" t="n"/>
      <c r="BC849" s="5" t="n"/>
      <c r="BD849" s="5" t="n"/>
      <c r="BE849" s="5" t="n"/>
      <c r="BF849" s="5" t="n"/>
      <c r="BG849" s="5" t="n"/>
      <c r="BH849" s="5" t="n"/>
      <c r="BI849" s="5" t="n"/>
      <c r="BJ849" s="5" t="n"/>
      <c r="BK849" s="5" t="n"/>
      <c r="BL849" s="5" t="n"/>
      <c r="BM849" s="5" t="n"/>
      <c r="BN849" s="5" t="n"/>
      <c r="BO849" s="5" t="n"/>
      <c r="BP849" s="5" t="n"/>
      <c r="BQ849" s="5" t="n"/>
      <c r="BR849" s="5" t="n"/>
      <c r="BS849" s="5" t="n"/>
      <c r="BT849" s="5" t="n"/>
      <c r="BU849" s="5" t="n"/>
      <c r="BV849" s="5" t="n"/>
      <c r="BW849" s="5" t="n"/>
      <c r="BX849" s="5" t="n"/>
      <c r="BY849" s="5" t="n"/>
      <c r="BZ849" s="5" t="n"/>
      <c r="CA849" s="5" t="n"/>
      <c r="CB849" s="5" t="n"/>
      <c r="CC849" s="5" t="n"/>
      <c r="CD849" s="5" t="n"/>
      <c r="CE849" s="5" t="n"/>
      <c r="CF849" s="5" t="n"/>
    </row>
    <row r="850">
      <c r="A850" s="171" t="n"/>
      <c r="B850" s="171" t="n"/>
      <c r="C850" s="171" t="n"/>
      <c r="D850" s="170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  <c r="AY850" s="5" t="n"/>
      <c r="AZ850" s="5" t="n"/>
      <c r="BA850" s="5" t="n"/>
      <c r="BB850" s="5" t="n"/>
      <c r="BC850" s="5" t="n"/>
      <c r="BD850" s="5" t="n"/>
      <c r="BE850" s="5" t="n"/>
      <c r="BF850" s="5" t="n"/>
      <c r="BG850" s="5" t="n"/>
      <c r="BH850" s="5" t="n"/>
      <c r="BI850" s="5" t="n"/>
      <c r="BJ850" s="5" t="n"/>
      <c r="BK850" s="5" t="n"/>
      <c r="BL850" s="5" t="n"/>
      <c r="BM850" s="5" t="n"/>
      <c r="BN850" s="5" t="n"/>
      <c r="BO850" s="5" t="n"/>
      <c r="BP850" s="5" t="n"/>
      <c r="BQ850" s="5" t="n"/>
      <c r="BR850" s="5" t="n"/>
      <c r="BS850" s="5" t="n"/>
      <c r="BT850" s="5" t="n"/>
      <c r="BU850" s="5" t="n"/>
      <c r="BV850" s="5" t="n"/>
      <c r="BW850" s="5" t="n"/>
      <c r="BX850" s="5" t="n"/>
      <c r="BY850" s="5" t="n"/>
      <c r="BZ850" s="5" t="n"/>
      <c r="CA850" s="5" t="n"/>
      <c r="CB850" s="5" t="n"/>
      <c r="CC850" s="5" t="n"/>
      <c r="CD850" s="5" t="n"/>
      <c r="CE850" s="5" t="n"/>
      <c r="CF850" s="5" t="n"/>
    </row>
    <row r="851">
      <c r="A851" s="171" t="n"/>
      <c r="B851" s="171" t="n"/>
      <c r="C851" s="171" t="n"/>
      <c r="D851" s="170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  <c r="AY851" s="5" t="n"/>
      <c r="AZ851" s="5" t="n"/>
      <c r="BA851" s="5" t="n"/>
      <c r="BB851" s="5" t="n"/>
      <c r="BC851" s="5" t="n"/>
      <c r="BD851" s="5" t="n"/>
      <c r="BE851" s="5" t="n"/>
      <c r="BF851" s="5" t="n"/>
      <c r="BG851" s="5" t="n"/>
      <c r="BH851" s="5" t="n"/>
      <c r="BI851" s="5" t="n"/>
      <c r="BJ851" s="5" t="n"/>
      <c r="BK851" s="5" t="n"/>
      <c r="BL851" s="5" t="n"/>
      <c r="BM851" s="5" t="n"/>
      <c r="BN851" s="5" t="n"/>
      <c r="BO851" s="5" t="n"/>
      <c r="BP851" s="5" t="n"/>
      <c r="BQ851" s="5" t="n"/>
      <c r="BR851" s="5" t="n"/>
      <c r="BS851" s="5" t="n"/>
      <c r="BT851" s="5" t="n"/>
      <c r="BU851" s="5" t="n"/>
      <c r="BV851" s="5" t="n"/>
      <c r="BW851" s="5" t="n"/>
      <c r="BX851" s="5" t="n"/>
      <c r="BY851" s="5" t="n"/>
      <c r="BZ851" s="5" t="n"/>
      <c r="CA851" s="5" t="n"/>
      <c r="CB851" s="5" t="n"/>
      <c r="CC851" s="5" t="n"/>
      <c r="CD851" s="5" t="n"/>
      <c r="CE851" s="5" t="n"/>
      <c r="CF851" s="5" t="n"/>
    </row>
    <row r="852">
      <c r="A852" s="171" t="n"/>
      <c r="B852" s="171" t="n"/>
      <c r="C852" s="171" t="n"/>
      <c r="D852" s="170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  <c r="AY852" s="5" t="n"/>
      <c r="AZ852" s="5" t="n"/>
      <c r="BA852" s="5" t="n"/>
      <c r="BB852" s="5" t="n"/>
      <c r="BC852" s="5" t="n"/>
      <c r="BD852" s="5" t="n"/>
      <c r="BE852" s="5" t="n"/>
      <c r="BF852" s="5" t="n"/>
      <c r="BG852" s="5" t="n"/>
      <c r="BH852" s="5" t="n"/>
      <c r="BI852" s="5" t="n"/>
      <c r="BJ852" s="5" t="n"/>
      <c r="BK852" s="5" t="n"/>
      <c r="BL852" s="5" t="n"/>
      <c r="BM852" s="5" t="n"/>
      <c r="BN852" s="5" t="n"/>
      <c r="BO852" s="5" t="n"/>
      <c r="BP852" s="5" t="n"/>
      <c r="BQ852" s="5" t="n"/>
      <c r="BR852" s="5" t="n"/>
      <c r="BS852" s="5" t="n"/>
      <c r="BT852" s="5" t="n"/>
      <c r="BU852" s="5" t="n"/>
      <c r="BV852" s="5" t="n"/>
      <c r="BW852" s="5" t="n"/>
      <c r="BX852" s="5" t="n"/>
      <c r="BY852" s="5" t="n"/>
      <c r="BZ852" s="5" t="n"/>
      <c r="CA852" s="5" t="n"/>
      <c r="CB852" s="5" t="n"/>
      <c r="CC852" s="5" t="n"/>
      <c r="CD852" s="5" t="n"/>
      <c r="CE852" s="5" t="n"/>
      <c r="CF852" s="5" t="n"/>
    </row>
    <row r="853">
      <c r="A853" s="171" t="n"/>
      <c r="B853" s="171" t="n"/>
      <c r="C853" s="171" t="n"/>
      <c r="D853" s="170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  <c r="AY853" s="5" t="n"/>
      <c r="AZ853" s="5" t="n"/>
      <c r="BA853" s="5" t="n"/>
      <c r="BB853" s="5" t="n"/>
      <c r="BC853" s="5" t="n"/>
      <c r="BD853" s="5" t="n"/>
      <c r="BE853" s="5" t="n"/>
      <c r="BF853" s="5" t="n"/>
      <c r="BG853" s="5" t="n"/>
      <c r="BH853" s="5" t="n"/>
      <c r="BI853" s="5" t="n"/>
      <c r="BJ853" s="5" t="n"/>
      <c r="BK853" s="5" t="n"/>
      <c r="BL853" s="5" t="n"/>
      <c r="BM853" s="5" t="n"/>
      <c r="BN853" s="5" t="n"/>
      <c r="BO853" s="5" t="n"/>
      <c r="BP853" s="5" t="n"/>
      <c r="BQ853" s="5" t="n"/>
      <c r="BR853" s="5" t="n"/>
      <c r="BS853" s="5" t="n"/>
      <c r="BT853" s="5" t="n"/>
      <c r="BU853" s="5" t="n"/>
      <c r="BV853" s="5" t="n"/>
      <c r="BW853" s="5" t="n"/>
      <c r="BX853" s="5" t="n"/>
      <c r="BY853" s="5" t="n"/>
      <c r="BZ853" s="5" t="n"/>
      <c r="CA853" s="5" t="n"/>
      <c r="CB853" s="5" t="n"/>
      <c r="CC853" s="5" t="n"/>
      <c r="CD853" s="5" t="n"/>
      <c r="CE853" s="5" t="n"/>
      <c r="CF853" s="5" t="n"/>
    </row>
    <row r="854">
      <c r="A854" s="171" t="n"/>
      <c r="B854" s="171" t="n"/>
      <c r="C854" s="171" t="n"/>
      <c r="D854" s="170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  <c r="AY854" s="5" t="n"/>
      <c r="AZ854" s="5" t="n"/>
      <c r="BA854" s="5" t="n"/>
      <c r="BB854" s="5" t="n"/>
      <c r="BC854" s="5" t="n"/>
      <c r="BD854" s="5" t="n"/>
      <c r="BE854" s="5" t="n"/>
      <c r="BF854" s="5" t="n"/>
      <c r="BG854" s="5" t="n"/>
      <c r="BH854" s="5" t="n"/>
      <c r="BI854" s="5" t="n"/>
      <c r="BJ854" s="5" t="n"/>
      <c r="BK854" s="5" t="n"/>
      <c r="BL854" s="5" t="n"/>
      <c r="BM854" s="5" t="n"/>
      <c r="BN854" s="5" t="n"/>
      <c r="BO854" s="5" t="n"/>
      <c r="BP854" s="5" t="n"/>
      <c r="BQ854" s="5" t="n"/>
      <c r="BR854" s="5" t="n"/>
      <c r="BS854" s="5" t="n"/>
      <c r="BT854" s="5" t="n"/>
      <c r="BU854" s="5" t="n"/>
      <c r="BV854" s="5" t="n"/>
      <c r="BW854" s="5" t="n"/>
      <c r="BX854" s="5" t="n"/>
      <c r="BY854" s="5" t="n"/>
      <c r="BZ854" s="5" t="n"/>
      <c r="CA854" s="5" t="n"/>
      <c r="CB854" s="5" t="n"/>
      <c r="CC854" s="5" t="n"/>
      <c r="CD854" s="5" t="n"/>
      <c r="CE854" s="5" t="n"/>
      <c r="CF854" s="5" t="n"/>
    </row>
    <row r="855">
      <c r="A855" s="171" t="n"/>
      <c r="B855" s="171" t="n"/>
      <c r="C855" s="171" t="n"/>
      <c r="D855" s="170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  <c r="AY855" s="5" t="n"/>
      <c r="AZ855" s="5" t="n"/>
      <c r="BA855" s="5" t="n"/>
      <c r="BB855" s="5" t="n"/>
      <c r="BC855" s="5" t="n"/>
      <c r="BD855" s="5" t="n"/>
      <c r="BE855" s="5" t="n"/>
      <c r="BF855" s="5" t="n"/>
      <c r="BG855" s="5" t="n"/>
      <c r="BH855" s="5" t="n"/>
      <c r="BI855" s="5" t="n"/>
      <c r="BJ855" s="5" t="n"/>
      <c r="BK855" s="5" t="n"/>
      <c r="BL855" s="5" t="n"/>
      <c r="BM855" s="5" t="n"/>
      <c r="BN855" s="5" t="n"/>
      <c r="BO855" s="5" t="n"/>
      <c r="BP855" s="5" t="n"/>
      <c r="BQ855" s="5" t="n"/>
      <c r="BR855" s="5" t="n"/>
      <c r="BS855" s="5" t="n"/>
      <c r="BT855" s="5" t="n"/>
      <c r="BU855" s="5" t="n"/>
      <c r="BV855" s="5" t="n"/>
      <c r="BW855" s="5" t="n"/>
      <c r="BX855" s="5" t="n"/>
      <c r="BY855" s="5" t="n"/>
      <c r="BZ855" s="5" t="n"/>
      <c r="CA855" s="5" t="n"/>
      <c r="CB855" s="5" t="n"/>
      <c r="CC855" s="5" t="n"/>
      <c r="CD855" s="5" t="n"/>
      <c r="CE855" s="5" t="n"/>
      <c r="CF855" s="5" t="n"/>
    </row>
    <row r="856">
      <c r="A856" s="171" t="n"/>
      <c r="B856" s="171" t="n"/>
      <c r="C856" s="171" t="n"/>
      <c r="D856" s="170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  <c r="AY856" s="5" t="n"/>
      <c r="AZ856" s="5" t="n"/>
      <c r="BA856" s="5" t="n"/>
      <c r="BB856" s="5" t="n"/>
      <c r="BC856" s="5" t="n"/>
      <c r="BD856" s="5" t="n"/>
      <c r="BE856" s="5" t="n"/>
      <c r="BF856" s="5" t="n"/>
      <c r="BG856" s="5" t="n"/>
      <c r="BH856" s="5" t="n"/>
      <c r="BI856" s="5" t="n"/>
      <c r="BJ856" s="5" t="n"/>
      <c r="BK856" s="5" t="n"/>
      <c r="BL856" s="5" t="n"/>
      <c r="BM856" s="5" t="n"/>
      <c r="BN856" s="5" t="n"/>
      <c r="BO856" s="5" t="n"/>
      <c r="BP856" s="5" t="n"/>
      <c r="BQ856" s="5" t="n"/>
      <c r="BR856" s="5" t="n"/>
      <c r="BS856" s="5" t="n"/>
      <c r="BT856" s="5" t="n"/>
      <c r="BU856" s="5" t="n"/>
      <c r="BV856" s="5" t="n"/>
      <c r="BW856" s="5" t="n"/>
      <c r="BX856" s="5" t="n"/>
      <c r="BY856" s="5" t="n"/>
      <c r="BZ856" s="5" t="n"/>
      <c r="CA856" s="5" t="n"/>
      <c r="CB856" s="5" t="n"/>
      <c r="CC856" s="5" t="n"/>
      <c r="CD856" s="5" t="n"/>
      <c r="CE856" s="5" t="n"/>
      <c r="CF856" s="5" t="n"/>
    </row>
    <row r="857">
      <c r="A857" s="171" t="n"/>
      <c r="B857" s="171" t="n"/>
      <c r="C857" s="171" t="n"/>
      <c r="D857" s="170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  <c r="AY857" s="5" t="n"/>
      <c r="AZ857" s="5" t="n"/>
      <c r="BA857" s="5" t="n"/>
      <c r="BB857" s="5" t="n"/>
      <c r="BC857" s="5" t="n"/>
      <c r="BD857" s="5" t="n"/>
      <c r="BE857" s="5" t="n"/>
      <c r="BF857" s="5" t="n"/>
      <c r="BG857" s="5" t="n"/>
      <c r="BH857" s="5" t="n"/>
      <c r="BI857" s="5" t="n"/>
      <c r="BJ857" s="5" t="n"/>
      <c r="BK857" s="5" t="n"/>
      <c r="BL857" s="5" t="n"/>
      <c r="BM857" s="5" t="n"/>
      <c r="BN857" s="5" t="n"/>
      <c r="BO857" s="5" t="n"/>
      <c r="BP857" s="5" t="n"/>
      <c r="BQ857" s="5" t="n"/>
      <c r="BR857" s="5" t="n"/>
      <c r="BS857" s="5" t="n"/>
      <c r="BT857" s="5" t="n"/>
      <c r="BU857" s="5" t="n"/>
      <c r="BV857" s="5" t="n"/>
      <c r="BW857" s="5" t="n"/>
      <c r="BX857" s="5" t="n"/>
      <c r="BY857" s="5" t="n"/>
      <c r="BZ857" s="5" t="n"/>
      <c r="CA857" s="5" t="n"/>
      <c r="CB857" s="5" t="n"/>
      <c r="CC857" s="5" t="n"/>
      <c r="CD857" s="5" t="n"/>
      <c r="CE857" s="5" t="n"/>
      <c r="CF857" s="5" t="n"/>
    </row>
    <row r="858">
      <c r="A858" s="171" t="n"/>
      <c r="B858" s="171" t="n"/>
      <c r="C858" s="171" t="n"/>
      <c r="D858" s="170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  <c r="AY858" s="5" t="n"/>
      <c r="AZ858" s="5" t="n"/>
      <c r="BA858" s="5" t="n"/>
      <c r="BB858" s="5" t="n"/>
      <c r="BC858" s="5" t="n"/>
      <c r="BD858" s="5" t="n"/>
      <c r="BE858" s="5" t="n"/>
      <c r="BF858" s="5" t="n"/>
      <c r="BG858" s="5" t="n"/>
      <c r="BH858" s="5" t="n"/>
      <c r="BI858" s="5" t="n"/>
      <c r="BJ858" s="5" t="n"/>
      <c r="BK858" s="5" t="n"/>
      <c r="BL858" s="5" t="n"/>
      <c r="BM858" s="5" t="n"/>
      <c r="BN858" s="5" t="n"/>
      <c r="BO858" s="5" t="n"/>
      <c r="BP858" s="5" t="n"/>
      <c r="BQ858" s="5" t="n"/>
      <c r="BR858" s="5" t="n"/>
      <c r="BS858" s="5" t="n"/>
      <c r="BT858" s="5" t="n"/>
      <c r="BU858" s="5" t="n"/>
      <c r="BV858" s="5" t="n"/>
      <c r="BW858" s="5" t="n"/>
      <c r="BX858" s="5" t="n"/>
      <c r="BY858" s="5" t="n"/>
      <c r="BZ858" s="5" t="n"/>
      <c r="CA858" s="5" t="n"/>
      <c r="CB858" s="5" t="n"/>
      <c r="CC858" s="5" t="n"/>
      <c r="CD858" s="5" t="n"/>
      <c r="CE858" s="5" t="n"/>
      <c r="CF858" s="5" t="n"/>
    </row>
    <row r="859">
      <c r="A859" s="171" t="n"/>
      <c r="B859" s="171" t="n"/>
      <c r="C859" s="171" t="n"/>
      <c r="D859" s="170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  <c r="AY859" s="5" t="n"/>
      <c r="AZ859" s="5" t="n"/>
      <c r="BA859" s="5" t="n"/>
      <c r="BB859" s="5" t="n"/>
      <c r="BC859" s="5" t="n"/>
      <c r="BD859" s="5" t="n"/>
      <c r="BE859" s="5" t="n"/>
      <c r="BF859" s="5" t="n"/>
      <c r="BG859" s="5" t="n"/>
      <c r="BH859" s="5" t="n"/>
      <c r="BI859" s="5" t="n"/>
      <c r="BJ859" s="5" t="n"/>
      <c r="BK859" s="5" t="n"/>
      <c r="BL859" s="5" t="n"/>
      <c r="BM859" s="5" t="n"/>
      <c r="BN859" s="5" t="n"/>
      <c r="BO859" s="5" t="n"/>
      <c r="BP859" s="5" t="n"/>
      <c r="BQ859" s="5" t="n"/>
      <c r="BR859" s="5" t="n"/>
      <c r="BS859" s="5" t="n"/>
      <c r="BT859" s="5" t="n"/>
      <c r="BU859" s="5" t="n"/>
      <c r="BV859" s="5" t="n"/>
      <c r="BW859" s="5" t="n"/>
      <c r="BX859" s="5" t="n"/>
      <c r="BY859" s="5" t="n"/>
      <c r="BZ859" s="5" t="n"/>
      <c r="CA859" s="5" t="n"/>
      <c r="CB859" s="5" t="n"/>
      <c r="CC859" s="5" t="n"/>
      <c r="CD859" s="5" t="n"/>
      <c r="CE859" s="5" t="n"/>
      <c r="CF859" s="5" t="n"/>
    </row>
    <row r="860">
      <c r="A860" s="171" t="n"/>
      <c r="B860" s="171" t="n"/>
      <c r="C860" s="171" t="n"/>
      <c r="D860" s="170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  <c r="AY860" s="5" t="n"/>
      <c r="AZ860" s="5" t="n"/>
      <c r="BA860" s="5" t="n"/>
      <c r="BB860" s="5" t="n"/>
      <c r="BC860" s="5" t="n"/>
      <c r="BD860" s="5" t="n"/>
      <c r="BE860" s="5" t="n"/>
      <c r="BF860" s="5" t="n"/>
      <c r="BG860" s="5" t="n"/>
      <c r="BH860" s="5" t="n"/>
      <c r="BI860" s="5" t="n"/>
      <c r="BJ860" s="5" t="n"/>
      <c r="BK860" s="5" t="n"/>
      <c r="BL860" s="5" t="n"/>
      <c r="BM860" s="5" t="n"/>
      <c r="BN860" s="5" t="n"/>
      <c r="BO860" s="5" t="n"/>
      <c r="BP860" s="5" t="n"/>
      <c r="BQ860" s="5" t="n"/>
      <c r="BR860" s="5" t="n"/>
      <c r="BS860" s="5" t="n"/>
      <c r="BT860" s="5" t="n"/>
      <c r="BU860" s="5" t="n"/>
      <c r="BV860" s="5" t="n"/>
      <c r="BW860" s="5" t="n"/>
      <c r="BX860" s="5" t="n"/>
      <c r="BY860" s="5" t="n"/>
      <c r="BZ860" s="5" t="n"/>
      <c r="CA860" s="5" t="n"/>
      <c r="CB860" s="5" t="n"/>
      <c r="CC860" s="5" t="n"/>
      <c r="CD860" s="5" t="n"/>
      <c r="CE860" s="5" t="n"/>
      <c r="CF860" s="5" t="n"/>
    </row>
    <row r="861">
      <c r="A861" s="171" t="n"/>
      <c r="B861" s="171" t="n"/>
      <c r="C861" s="171" t="n"/>
      <c r="D861" s="170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  <c r="AY861" s="5" t="n"/>
      <c r="AZ861" s="5" t="n"/>
      <c r="BA861" s="5" t="n"/>
      <c r="BB861" s="5" t="n"/>
      <c r="BC861" s="5" t="n"/>
      <c r="BD861" s="5" t="n"/>
      <c r="BE861" s="5" t="n"/>
      <c r="BF861" s="5" t="n"/>
      <c r="BG861" s="5" t="n"/>
      <c r="BH861" s="5" t="n"/>
      <c r="BI861" s="5" t="n"/>
      <c r="BJ861" s="5" t="n"/>
      <c r="BK861" s="5" t="n"/>
      <c r="BL861" s="5" t="n"/>
      <c r="BM861" s="5" t="n"/>
      <c r="BN861" s="5" t="n"/>
      <c r="BO861" s="5" t="n"/>
      <c r="BP861" s="5" t="n"/>
      <c r="BQ861" s="5" t="n"/>
      <c r="BR861" s="5" t="n"/>
      <c r="BS861" s="5" t="n"/>
      <c r="BT861" s="5" t="n"/>
      <c r="BU861" s="5" t="n"/>
      <c r="BV861" s="5" t="n"/>
      <c r="BW861" s="5" t="n"/>
      <c r="BX861" s="5" t="n"/>
      <c r="BY861" s="5" t="n"/>
      <c r="BZ861" s="5" t="n"/>
      <c r="CA861" s="5" t="n"/>
      <c r="CB861" s="5" t="n"/>
      <c r="CC861" s="5" t="n"/>
      <c r="CD861" s="5" t="n"/>
      <c r="CE861" s="5" t="n"/>
      <c r="CF861" s="5" t="n"/>
    </row>
    <row r="862">
      <c r="A862" s="171" t="n"/>
      <c r="B862" s="171" t="n"/>
      <c r="C862" s="171" t="n"/>
      <c r="D862" s="170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  <c r="AY862" s="5" t="n"/>
      <c r="AZ862" s="5" t="n"/>
      <c r="BA862" s="5" t="n"/>
      <c r="BB862" s="5" t="n"/>
      <c r="BC862" s="5" t="n"/>
      <c r="BD862" s="5" t="n"/>
      <c r="BE862" s="5" t="n"/>
      <c r="BF862" s="5" t="n"/>
      <c r="BG862" s="5" t="n"/>
      <c r="BH862" s="5" t="n"/>
      <c r="BI862" s="5" t="n"/>
      <c r="BJ862" s="5" t="n"/>
      <c r="BK862" s="5" t="n"/>
      <c r="BL862" s="5" t="n"/>
      <c r="BM862" s="5" t="n"/>
      <c r="BN862" s="5" t="n"/>
      <c r="BO862" s="5" t="n"/>
      <c r="BP862" s="5" t="n"/>
      <c r="BQ862" s="5" t="n"/>
      <c r="BR862" s="5" t="n"/>
      <c r="BS862" s="5" t="n"/>
      <c r="BT862" s="5" t="n"/>
      <c r="BU862" s="5" t="n"/>
      <c r="BV862" s="5" t="n"/>
      <c r="BW862" s="5" t="n"/>
      <c r="BX862" s="5" t="n"/>
      <c r="BY862" s="5" t="n"/>
      <c r="BZ862" s="5" t="n"/>
      <c r="CA862" s="5" t="n"/>
      <c r="CB862" s="5" t="n"/>
      <c r="CC862" s="5" t="n"/>
      <c r="CD862" s="5" t="n"/>
      <c r="CE862" s="5" t="n"/>
      <c r="CF862" s="5" t="n"/>
    </row>
    <row r="863">
      <c r="A863" s="171" t="n"/>
      <c r="B863" s="171" t="n"/>
      <c r="C863" s="171" t="n"/>
      <c r="D863" s="170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  <c r="AY863" s="5" t="n"/>
      <c r="AZ863" s="5" t="n"/>
      <c r="BA863" s="5" t="n"/>
      <c r="BB863" s="5" t="n"/>
      <c r="BC863" s="5" t="n"/>
      <c r="BD863" s="5" t="n"/>
      <c r="BE863" s="5" t="n"/>
      <c r="BF863" s="5" t="n"/>
      <c r="BG863" s="5" t="n"/>
      <c r="BH863" s="5" t="n"/>
      <c r="BI863" s="5" t="n"/>
      <c r="BJ863" s="5" t="n"/>
      <c r="BK863" s="5" t="n"/>
      <c r="BL863" s="5" t="n"/>
      <c r="BM863" s="5" t="n"/>
      <c r="BN863" s="5" t="n"/>
      <c r="BO863" s="5" t="n"/>
      <c r="BP863" s="5" t="n"/>
      <c r="BQ863" s="5" t="n"/>
      <c r="BR863" s="5" t="n"/>
      <c r="BS863" s="5" t="n"/>
      <c r="BT863" s="5" t="n"/>
      <c r="BU863" s="5" t="n"/>
      <c r="BV863" s="5" t="n"/>
      <c r="BW863" s="5" t="n"/>
      <c r="BX863" s="5" t="n"/>
      <c r="BY863" s="5" t="n"/>
      <c r="BZ863" s="5" t="n"/>
      <c r="CA863" s="5" t="n"/>
      <c r="CB863" s="5" t="n"/>
      <c r="CC863" s="5" t="n"/>
      <c r="CD863" s="5" t="n"/>
      <c r="CE863" s="5" t="n"/>
      <c r="CF863" s="5" t="n"/>
    </row>
    <row r="864">
      <c r="A864" s="171" t="n"/>
      <c r="B864" s="171" t="n"/>
      <c r="C864" s="171" t="n"/>
      <c r="D864" s="170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  <c r="AY864" s="5" t="n"/>
      <c r="AZ864" s="5" t="n"/>
      <c r="BA864" s="5" t="n"/>
      <c r="BB864" s="5" t="n"/>
      <c r="BC864" s="5" t="n"/>
      <c r="BD864" s="5" t="n"/>
      <c r="BE864" s="5" t="n"/>
      <c r="BF864" s="5" t="n"/>
      <c r="BG864" s="5" t="n"/>
      <c r="BH864" s="5" t="n"/>
      <c r="BI864" s="5" t="n"/>
      <c r="BJ864" s="5" t="n"/>
      <c r="BK864" s="5" t="n"/>
      <c r="BL864" s="5" t="n"/>
      <c r="BM864" s="5" t="n"/>
      <c r="BN864" s="5" t="n"/>
      <c r="BO864" s="5" t="n"/>
      <c r="BP864" s="5" t="n"/>
      <c r="BQ864" s="5" t="n"/>
      <c r="BR864" s="5" t="n"/>
      <c r="BS864" s="5" t="n"/>
      <c r="BT864" s="5" t="n"/>
      <c r="BU864" s="5" t="n"/>
      <c r="BV864" s="5" t="n"/>
      <c r="BW864" s="5" t="n"/>
      <c r="BX864" s="5" t="n"/>
      <c r="BY864" s="5" t="n"/>
      <c r="BZ864" s="5" t="n"/>
      <c r="CA864" s="5" t="n"/>
      <c r="CB864" s="5" t="n"/>
      <c r="CC864" s="5" t="n"/>
      <c r="CD864" s="5" t="n"/>
      <c r="CE864" s="5" t="n"/>
      <c r="CF864" s="5" t="n"/>
    </row>
    <row r="865">
      <c r="A865" s="171" t="n"/>
      <c r="B865" s="171" t="n"/>
      <c r="C865" s="171" t="n"/>
      <c r="D865" s="170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  <c r="AY865" s="5" t="n"/>
      <c r="AZ865" s="5" t="n"/>
      <c r="BA865" s="5" t="n"/>
      <c r="BB865" s="5" t="n"/>
      <c r="BC865" s="5" t="n"/>
      <c r="BD865" s="5" t="n"/>
      <c r="BE865" s="5" t="n"/>
      <c r="BF865" s="5" t="n"/>
      <c r="BG865" s="5" t="n"/>
      <c r="BH865" s="5" t="n"/>
      <c r="BI865" s="5" t="n"/>
      <c r="BJ865" s="5" t="n"/>
      <c r="BK865" s="5" t="n"/>
      <c r="BL865" s="5" t="n"/>
      <c r="BM865" s="5" t="n"/>
      <c r="BN865" s="5" t="n"/>
      <c r="BO865" s="5" t="n"/>
      <c r="BP865" s="5" t="n"/>
      <c r="BQ865" s="5" t="n"/>
      <c r="BR865" s="5" t="n"/>
      <c r="BS865" s="5" t="n"/>
      <c r="BT865" s="5" t="n"/>
      <c r="BU865" s="5" t="n"/>
      <c r="BV865" s="5" t="n"/>
      <c r="BW865" s="5" t="n"/>
      <c r="BX865" s="5" t="n"/>
      <c r="BY865" s="5" t="n"/>
      <c r="BZ865" s="5" t="n"/>
      <c r="CA865" s="5" t="n"/>
      <c r="CB865" s="5" t="n"/>
      <c r="CC865" s="5" t="n"/>
      <c r="CD865" s="5" t="n"/>
      <c r="CE865" s="5" t="n"/>
      <c r="CF865" s="5" t="n"/>
    </row>
    <row r="866">
      <c r="A866" s="171" t="n"/>
      <c r="B866" s="171" t="n"/>
      <c r="C866" s="171" t="n"/>
      <c r="D866" s="170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  <c r="AY866" s="5" t="n"/>
      <c r="AZ866" s="5" t="n"/>
      <c r="BA866" s="5" t="n"/>
      <c r="BB866" s="5" t="n"/>
      <c r="BC866" s="5" t="n"/>
      <c r="BD866" s="5" t="n"/>
      <c r="BE866" s="5" t="n"/>
      <c r="BF866" s="5" t="n"/>
      <c r="BG866" s="5" t="n"/>
      <c r="BH866" s="5" t="n"/>
      <c r="BI866" s="5" t="n"/>
      <c r="BJ866" s="5" t="n"/>
      <c r="BK866" s="5" t="n"/>
      <c r="BL866" s="5" t="n"/>
      <c r="BM866" s="5" t="n"/>
      <c r="BN866" s="5" t="n"/>
      <c r="BO866" s="5" t="n"/>
      <c r="BP866" s="5" t="n"/>
      <c r="BQ866" s="5" t="n"/>
      <c r="BR866" s="5" t="n"/>
      <c r="BS866" s="5" t="n"/>
      <c r="BT866" s="5" t="n"/>
      <c r="BU866" s="5" t="n"/>
      <c r="BV866" s="5" t="n"/>
      <c r="BW866" s="5" t="n"/>
      <c r="BX866" s="5" t="n"/>
      <c r="BY866" s="5" t="n"/>
      <c r="BZ866" s="5" t="n"/>
      <c r="CA866" s="5" t="n"/>
      <c r="CB866" s="5" t="n"/>
      <c r="CC866" s="5" t="n"/>
      <c r="CD866" s="5" t="n"/>
      <c r="CE866" s="5" t="n"/>
      <c r="CF866" s="5" t="n"/>
    </row>
    <row r="867">
      <c r="A867" s="171" t="n"/>
      <c r="B867" s="171" t="n"/>
      <c r="C867" s="171" t="n"/>
      <c r="D867" s="170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  <c r="AY867" s="5" t="n"/>
      <c r="AZ867" s="5" t="n"/>
      <c r="BA867" s="5" t="n"/>
      <c r="BB867" s="5" t="n"/>
      <c r="BC867" s="5" t="n"/>
      <c r="BD867" s="5" t="n"/>
      <c r="BE867" s="5" t="n"/>
      <c r="BF867" s="5" t="n"/>
      <c r="BG867" s="5" t="n"/>
      <c r="BH867" s="5" t="n"/>
      <c r="BI867" s="5" t="n"/>
      <c r="BJ867" s="5" t="n"/>
      <c r="BK867" s="5" t="n"/>
      <c r="BL867" s="5" t="n"/>
      <c r="BM867" s="5" t="n"/>
      <c r="BN867" s="5" t="n"/>
      <c r="BO867" s="5" t="n"/>
      <c r="BP867" s="5" t="n"/>
      <c r="BQ867" s="5" t="n"/>
      <c r="BR867" s="5" t="n"/>
      <c r="BS867" s="5" t="n"/>
      <c r="BT867" s="5" t="n"/>
      <c r="BU867" s="5" t="n"/>
      <c r="BV867" s="5" t="n"/>
      <c r="BW867" s="5" t="n"/>
      <c r="BX867" s="5" t="n"/>
      <c r="BY867" s="5" t="n"/>
      <c r="BZ867" s="5" t="n"/>
      <c r="CA867" s="5" t="n"/>
      <c r="CB867" s="5" t="n"/>
      <c r="CC867" s="5" t="n"/>
      <c r="CD867" s="5" t="n"/>
      <c r="CE867" s="5" t="n"/>
      <c r="CF867" s="5" t="n"/>
    </row>
    <row r="868">
      <c r="A868" s="171" t="n"/>
      <c r="B868" s="171" t="n"/>
      <c r="C868" s="171" t="n"/>
      <c r="D868" s="170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  <c r="AY868" s="5" t="n"/>
      <c r="AZ868" s="5" t="n"/>
      <c r="BA868" s="5" t="n"/>
      <c r="BB868" s="5" t="n"/>
      <c r="BC868" s="5" t="n"/>
      <c r="BD868" s="5" t="n"/>
      <c r="BE868" s="5" t="n"/>
      <c r="BF868" s="5" t="n"/>
      <c r="BG868" s="5" t="n"/>
      <c r="BH868" s="5" t="n"/>
      <c r="BI868" s="5" t="n"/>
      <c r="BJ868" s="5" t="n"/>
      <c r="BK868" s="5" t="n"/>
      <c r="BL868" s="5" t="n"/>
      <c r="BM868" s="5" t="n"/>
      <c r="BN868" s="5" t="n"/>
      <c r="BO868" s="5" t="n"/>
      <c r="BP868" s="5" t="n"/>
      <c r="BQ868" s="5" t="n"/>
      <c r="BR868" s="5" t="n"/>
      <c r="BS868" s="5" t="n"/>
      <c r="BT868" s="5" t="n"/>
      <c r="BU868" s="5" t="n"/>
      <c r="BV868" s="5" t="n"/>
      <c r="BW868" s="5" t="n"/>
      <c r="BX868" s="5" t="n"/>
      <c r="BY868" s="5" t="n"/>
      <c r="BZ868" s="5" t="n"/>
      <c r="CA868" s="5" t="n"/>
      <c r="CB868" s="5" t="n"/>
      <c r="CC868" s="5" t="n"/>
      <c r="CD868" s="5" t="n"/>
      <c r="CE868" s="5" t="n"/>
      <c r="CF868" s="5" t="n"/>
    </row>
    <row r="869">
      <c r="A869" s="171" t="n"/>
      <c r="B869" s="171" t="n"/>
      <c r="C869" s="171" t="n"/>
      <c r="D869" s="170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  <c r="AY869" s="5" t="n"/>
      <c r="AZ869" s="5" t="n"/>
      <c r="BA869" s="5" t="n"/>
      <c r="BB869" s="5" t="n"/>
      <c r="BC869" s="5" t="n"/>
      <c r="BD869" s="5" t="n"/>
      <c r="BE869" s="5" t="n"/>
      <c r="BF869" s="5" t="n"/>
      <c r="BG869" s="5" t="n"/>
      <c r="BH869" s="5" t="n"/>
      <c r="BI869" s="5" t="n"/>
      <c r="BJ869" s="5" t="n"/>
      <c r="BK869" s="5" t="n"/>
      <c r="BL869" s="5" t="n"/>
      <c r="BM869" s="5" t="n"/>
      <c r="BN869" s="5" t="n"/>
      <c r="BO869" s="5" t="n"/>
      <c r="BP869" s="5" t="n"/>
      <c r="BQ869" s="5" t="n"/>
      <c r="BR869" s="5" t="n"/>
      <c r="BS869" s="5" t="n"/>
      <c r="BT869" s="5" t="n"/>
      <c r="BU869" s="5" t="n"/>
      <c r="BV869" s="5" t="n"/>
      <c r="BW869" s="5" t="n"/>
      <c r="BX869" s="5" t="n"/>
      <c r="BY869" s="5" t="n"/>
      <c r="BZ869" s="5" t="n"/>
      <c r="CA869" s="5" t="n"/>
      <c r="CB869" s="5" t="n"/>
      <c r="CC869" s="5" t="n"/>
      <c r="CD869" s="5" t="n"/>
      <c r="CE869" s="5" t="n"/>
      <c r="CF869" s="5" t="n"/>
    </row>
    <row r="870">
      <c r="A870" s="171" t="n"/>
      <c r="B870" s="171" t="n"/>
      <c r="C870" s="171" t="n"/>
      <c r="D870" s="170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  <c r="AY870" s="5" t="n"/>
      <c r="AZ870" s="5" t="n"/>
      <c r="BA870" s="5" t="n"/>
      <c r="BB870" s="5" t="n"/>
      <c r="BC870" s="5" t="n"/>
      <c r="BD870" s="5" t="n"/>
      <c r="BE870" s="5" t="n"/>
      <c r="BF870" s="5" t="n"/>
      <c r="BG870" s="5" t="n"/>
      <c r="BH870" s="5" t="n"/>
      <c r="BI870" s="5" t="n"/>
      <c r="BJ870" s="5" t="n"/>
      <c r="BK870" s="5" t="n"/>
      <c r="BL870" s="5" t="n"/>
      <c r="BM870" s="5" t="n"/>
      <c r="BN870" s="5" t="n"/>
      <c r="BO870" s="5" t="n"/>
      <c r="BP870" s="5" t="n"/>
      <c r="BQ870" s="5" t="n"/>
      <c r="BR870" s="5" t="n"/>
      <c r="BS870" s="5" t="n"/>
      <c r="BT870" s="5" t="n"/>
      <c r="BU870" s="5" t="n"/>
      <c r="BV870" s="5" t="n"/>
      <c r="BW870" s="5" t="n"/>
      <c r="BX870" s="5" t="n"/>
      <c r="BY870" s="5" t="n"/>
      <c r="BZ870" s="5" t="n"/>
      <c r="CA870" s="5" t="n"/>
      <c r="CB870" s="5" t="n"/>
      <c r="CC870" s="5" t="n"/>
      <c r="CD870" s="5" t="n"/>
      <c r="CE870" s="5" t="n"/>
      <c r="CF870" s="5" t="n"/>
    </row>
    <row r="871">
      <c r="A871" s="171" t="n"/>
      <c r="B871" s="171" t="n"/>
      <c r="C871" s="171" t="n"/>
      <c r="D871" s="170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  <c r="AY871" s="5" t="n"/>
      <c r="AZ871" s="5" t="n"/>
      <c r="BA871" s="5" t="n"/>
      <c r="BB871" s="5" t="n"/>
      <c r="BC871" s="5" t="n"/>
      <c r="BD871" s="5" t="n"/>
      <c r="BE871" s="5" t="n"/>
      <c r="BF871" s="5" t="n"/>
      <c r="BG871" s="5" t="n"/>
      <c r="BH871" s="5" t="n"/>
      <c r="BI871" s="5" t="n"/>
      <c r="BJ871" s="5" t="n"/>
      <c r="BK871" s="5" t="n"/>
      <c r="BL871" s="5" t="n"/>
      <c r="BM871" s="5" t="n"/>
      <c r="BN871" s="5" t="n"/>
      <c r="BO871" s="5" t="n"/>
      <c r="BP871" s="5" t="n"/>
      <c r="BQ871" s="5" t="n"/>
      <c r="BR871" s="5" t="n"/>
      <c r="BS871" s="5" t="n"/>
      <c r="BT871" s="5" t="n"/>
      <c r="BU871" s="5" t="n"/>
      <c r="BV871" s="5" t="n"/>
      <c r="BW871" s="5" t="n"/>
      <c r="BX871" s="5" t="n"/>
      <c r="BY871" s="5" t="n"/>
      <c r="BZ871" s="5" t="n"/>
      <c r="CA871" s="5" t="n"/>
      <c r="CB871" s="5" t="n"/>
      <c r="CC871" s="5" t="n"/>
      <c r="CD871" s="5" t="n"/>
      <c r="CE871" s="5" t="n"/>
      <c r="CF871" s="5" t="n"/>
    </row>
    <row r="872">
      <c r="A872" s="171" t="n"/>
      <c r="B872" s="171" t="n"/>
      <c r="C872" s="171" t="n"/>
      <c r="D872" s="170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  <c r="AY872" s="5" t="n"/>
      <c r="AZ872" s="5" t="n"/>
      <c r="BA872" s="5" t="n"/>
      <c r="BB872" s="5" t="n"/>
      <c r="BC872" s="5" t="n"/>
      <c r="BD872" s="5" t="n"/>
      <c r="BE872" s="5" t="n"/>
      <c r="BF872" s="5" t="n"/>
      <c r="BG872" s="5" t="n"/>
      <c r="BH872" s="5" t="n"/>
      <c r="BI872" s="5" t="n"/>
      <c r="BJ872" s="5" t="n"/>
      <c r="BK872" s="5" t="n"/>
      <c r="BL872" s="5" t="n"/>
      <c r="BM872" s="5" t="n"/>
      <c r="BN872" s="5" t="n"/>
      <c r="BO872" s="5" t="n"/>
      <c r="BP872" s="5" t="n"/>
      <c r="BQ872" s="5" t="n"/>
      <c r="BR872" s="5" t="n"/>
      <c r="BS872" s="5" t="n"/>
      <c r="BT872" s="5" t="n"/>
      <c r="BU872" s="5" t="n"/>
      <c r="BV872" s="5" t="n"/>
      <c r="BW872" s="5" t="n"/>
      <c r="BX872" s="5" t="n"/>
      <c r="BY872" s="5" t="n"/>
      <c r="BZ872" s="5" t="n"/>
      <c r="CA872" s="5" t="n"/>
      <c r="CB872" s="5" t="n"/>
      <c r="CC872" s="5" t="n"/>
      <c r="CD872" s="5" t="n"/>
      <c r="CE872" s="5" t="n"/>
      <c r="CF872" s="5" t="n"/>
    </row>
    <row r="873">
      <c r="A873" s="171" t="n"/>
      <c r="B873" s="171" t="n"/>
      <c r="C873" s="171" t="n"/>
      <c r="D873" s="170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  <c r="AY873" s="5" t="n"/>
      <c r="AZ873" s="5" t="n"/>
      <c r="BA873" s="5" t="n"/>
      <c r="BB873" s="5" t="n"/>
      <c r="BC873" s="5" t="n"/>
      <c r="BD873" s="5" t="n"/>
      <c r="BE873" s="5" t="n"/>
      <c r="BF873" s="5" t="n"/>
      <c r="BG873" s="5" t="n"/>
      <c r="BH873" s="5" t="n"/>
      <c r="BI873" s="5" t="n"/>
      <c r="BJ873" s="5" t="n"/>
      <c r="BK873" s="5" t="n"/>
      <c r="BL873" s="5" t="n"/>
      <c r="BM873" s="5" t="n"/>
      <c r="BN873" s="5" t="n"/>
      <c r="BO873" s="5" t="n"/>
      <c r="BP873" s="5" t="n"/>
      <c r="BQ873" s="5" t="n"/>
      <c r="BR873" s="5" t="n"/>
      <c r="BS873" s="5" t="n"/>
      <c r="BT873" s="5" t="n"/>
      <c r="BU873" s="5" t="n"/>
      <c r="BV873" s="5" t="n"/>
      <c r="BW873" s="5" t="n"/>
      <c r="BX873" s="5" t="n"/>
      <c r="BY873" s="5" t="n"/>
      <c r="BZ873" s="5" t="n"/>
      <c r="CA873" s="5" t="n"/>
      <c r="CB873" s="5" t="n"/>
      <c r="CC873" s="5" t="n"/>
      <c r="CD873" s="5" t="n"/>
      <c r="CE873" s="5" t="n"/>
      <c r="CF873" s="5" t="n"/>
    </row>
    <row r="874">
      <c r="A874" s="171" t="n"/>
      <c r="B874" s="171" t="n"/>
      <c r="C874" s="171" t="n"/>
      <c r="D874" s="170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  <c r="AY874" s="5" t="n"/>
      <c r="AZ874" s="5" t="n"/>
      <c r="BA874" s="5" t="n"/>
      <c r="BB874" s="5" t="n"/>
      <c r="BC874" s="5" t="n"/>
      <c r="BD874" s="5" t="n"/>
      <c r="BE874" s="5" t="n"/>
      <c r="BF874" s="5" t="n"/>
      <c r="BG874" s="5" t="n"/>
      <c r="BH874" s="5" t="n"/>
      <c r="BI874" s="5" t="n"/>
      <c r="BJ874" s="5" t="n"/>
      <c r="BK874" s="5" t="n"/>
      <c r="BL874" s="5" t="n"/>
      <c r="BM874" s="5" t="n"/>
      <c r="BN874" s="5" t="n"/>
      <c r="BO874" s="5" t="n"/>
      <c r="BP874" s="5" t="n"/>
      <c r="BQ874" s="5" t="n"/>
      <c r="BR874" s="5" t="n"/>
      <c r="BS874" s="5" t="n"/>
      <c r="BT874" s="5" t="n"/>
      <c r="BU874" s="5" t="n"/>
      <c r="BV874" s="5" t="n"/>
      <c r="BW874" s="5" t="n"/>
      <c r="BX874" s="5" t="n"/>
      <c r="BY874" s="5" t="n"/>
      <c r="BZ874" s="5" t="n"/>
      <c r="CA874" s="5" t="n"/>
      <c r="CB874" s="5" t="n"/>
      <c r="CC874" s="5" t="n"/>
      <c r="CD874" s="5" t="n"/>
      <c r="CE874" s="5" t="n"/>
      <c r="CF874" s="5" t="n"/>
    </row>
    <row r="875">
      <c r="A875" s="171" t="n"/>
      <c r="B875" s="171" t="n"/>
      <c r="C875" s="171" t="n"/>
      <c r="D875" s="170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  <c r="AY875" s="5" t="n"/>
      <c r="AZ875" s="5" t="n"/>
      <c r="BA875" s="5" t="n"/>
      <c r="BB875" s="5" t="n"/>
      <c r="BC875" s="5" t="n"/>
      <c r="BD875" s="5" t="n"/>
      <c r="BE875" s="5" t="n"/>
      <c r="BF875" s="5" t="n"/>
      <c r="BG875" s="5" t="n"/>
      <c r="BH875" s="5" t="n"/>
      <c r="BI875" s="5" t="n"/>
      <c r="BJ875" s="5" t="n"/>
      <c r="BK875" s="5" t="n"/>
      <c r="BL875" s="5" t="n"/>
      <c r="BM875" s="5" t="n"/>
      <c r="BN875" s="5" t="n"/>
      <c r="BO875" s="5" t="n"/>
      <c r="BP875" s="5" t="n"/>
      <c r="BQ875" s="5" t="n"/>
      <c r="BR875" s="5" t="n"/>
      <c r="BS875" s="5" t="n"/>
      <c r="BT875" s="5" t="n"/>
      <c r="BU875" s="5" t="n"/>
      <c r="BV875" s="5" t="n"/>
      <c r="BW875" s="5" t="n"/>
      <c r="BX875" s="5" t="n"/>
      <c r="BY875" s="5" t="n"/>
      <c r="BZ875" s="5" t="n"/>
      <c r="CA875" s="5" t="n"/>
      <c r="CB875" s="5" t="n"/>
      <c r="CC875" s="5" t="n"/>
      <c r="CD875" s="5" t="n"/>
      <c r="CE875" s="5" t="n"/>
      <c r="CF875" s="5" t="n"/>
    </row>
    <row r="876">
      <c r="A876" s="171" t="n"/>
      <c r="B876" s="171" t="n"/>
      <c r="C876" s="171" t="n"/>
      <c r="D876" s="170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  <c r="AY876" s="5" t="n"/>
      <c r="AZ876" s="5" t="n"/>
      <c r="BA876" s="5" t="n"/>
      <c r="BB876" s="5" t="n"/>
      <c r="BC876" s="5" t="n"/>
      <c r="BD876" s="5" t="n"/>
      <c r="BE876" s="5" t="n"/>
      <c r="BF876" s="5" t="n"/>
      <c r="BG876" s="5" t="n"/>
      <c r="BH876" s="5" t="n"/>
      <c r="BI876" s="5" t="n"/>
      <c r="BJ876" s="5" t="n"/>
      <c r="BK876" s="5" t="n"/>
      <c r="BL876" s="5" t="n"/>
      <c r="BM876" s="5" t="n"/>
      <c r="BN876" s="5" t="n"/>
      <c r="BO876" s="5" t="n"/>
      <c r="BP876" s="5" t="n"/>
      <c r="BQ876" s="5" t="n"/>
      <c r="BR876" s="5" t="n"/>
      <c r="BS876" s="5" t="n"/>
      <c r="BT876" s="5" t="n"/>
      <c r="BU876" s="5" t="n"/>
      <c r="BV876" s="5" t="n"/>
      <c r="BW876" s="5" t="n"/>
      <c r="BX876" s="5" t="n"/>
      <c r="BY876" s="5" t="n"/>
      <c r="BZ876" s="5" t="n"/>
      <c r="CA876" s="5" t="n"/>
      <c r="CB876" s="5" t="n"/>
      <c r="CC876" s="5" t="n"/>
      <c r="CD876" s="5" t="n"/>
      <c r="CE876" s="5" t="n"/>
      <c r="CF876" s="5" t="n"/>
    </row>
    <row r="877">
      <c r="A877" s="171" t="n"/>
      <c r="B877" s="171" t="n"/>
      <c r="C877" s="171" t="n"/>
      <c r="D877" s="170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  <c r="AY877" s="5" t="n"/>
      <c r="AZ877" s="5" t="n"/>
      <c r="BA877" s="5" t="n"/>
      <c r="BB877" s="5" t="n"/>
      <c r="BC877" s="5" t="n"/>
      <c r="BD877" s="5" t="n"/>
      <c r="BE877" s="5" t="n"/>
      <c r="BF877" s="5" t="n"/>
      <c r="BG877" s="5" t="n"/>
      <c r="BH877" s="5" t="n"/>
      <c r="BI877" s="5" t="n"/>
      <c r="BJ877" s="5" t="n"/>
      <c r="BK877" s="5" t="n"/>
      <c r="BL877" s="5" t="n"/>
      <c r="BM877" s="5" t="n"/>
      <c r="BN877" s="5" t="n"/>
      <c r="BO877" s="5" t="n"/>
      <c r="BP877" s="5" t="n"/>
      <c r="BQ877" s="5" t="n"/>
      <c r="BR877" s="5" t="n"/>
      <c r="BS877" s="5" t="n"/>
      <c r="BT877" s="5" t="n"/>
      <c r="BU877" s="5" t="n"/>
      <c r="BV877" s="5" t="n"/>
      <c r="BW877" s="5" t="n"/>
      <c r="BX877" s="5" t="n"/>
      <c r="BY877" s="5" t="n"/>
      <c r="BZ877" s="5" t="n"/>
      <c r="CA877" s="5" t="n"/>
      <c r="CB877" s="5" t="n"/>
      <c r="CC877" s="5" t="n"/>
      <c r="CD877" s="5" t="n"/>
      <c r="CE877" s="5" t="n"/>
      <c r="CF877" s="5" t="n"/>
    </row>
    <row r="878">
      <c r="A878" s="171" t="n"/>
      <c r="B878" s="171" t="n"/>
      <c r="C878" s="171" t="n"/>
      <c r="D878" s="170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  <c r="AY878" s="5" t="n"/>
      <c r="AZ878" s="5" t="n"/>
      <c r="BA878" s="5" t="n"/>
      <c r="BB878" s="5" t="n"/>
      <c r="BC878" s="5" t="n"/>
      <c r="BD878" s="5" t="n"/>
      <c r="BE878" s="5" t="n"/>
      <c r="BF878" s="5" t="n"/>
      <c r="BG878" s="5" t="n"/>
      <c r="BH878" s="5" t="n"/>
      <c r="BI878" s="5" t="n"/>
      <c r="BJ878" s="5" t="n"/>
      <c r="BK878" s="5" t="n"/>
      <c r="BL878" s="5" t="n"/>
      <c r="BM878" s="5" t="n"/>
      <c r="BN878" s="5" t="n"/>
      <c r="BO878" s="5" t="n"/>
      <c r="BP878" s="5" t="n"/>
      <c r="BQ878" s="5" t="n"/>
      <c r="BR878" s="5" t="n"/>
      <c r="BS878" s="5" t="n"/>
      <c r="BT878" s="5" t="n"/>
      <c r="BU878" s="5" t="n"/>
      <c r="BV878" s="5" t="n"/>
      <c r="BW878" s="5" t="n"/>
      <c r="BX878" s="5" t="n"/>
      <c r="BY878" s="5" t="n"/>
      <c r="BZ878" s="5" t="n"/>
      <c r="CA878" s="5" t="n"/>
      <c r="CB878" s="5" t="n"/>
      <c r="CC878" s="5" t="n"/>
      <c r="CD878" s="5" t="n"/>
      <c r="CE878" s="5" t="n"/>
      <c r="CF878" s="5" t="n"/>
    </row>
    <row r="879">
      <c r="A879" s="171" t="n"/>
      <c r="B879" s="171" t="n"/>
      <c r="C879" s="171" t="n"/>
      <c r="D879" s="170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  <c r="AY879" s="5" t="n"/>
      <c r="AZ879" s="5" t="n"/>
      <c r="BA879" s="5" t="n"/>
      <c r="BB879" s="5" t="n"/>
      <c r="BC879" s="5" t="n"/>
      <c r="BD879" s="5" t="n"/>
      <c r="BE879" s="5" t="n"/>
      <c r="BF879" s="5" t="n"/>
      <c r="BG879" s="5" t="n"/>
      <c r="BH879" s="5" t="n"/>
      <c r="BI879" s="5" t="n"/>
      <c r="BJ879" s="5" t="n"/>
      <c r="BK879" s="5" t="n"/>
      <c r="BL879" s="5" t="n"/>
      <c r="BM879" s="5" t="n"/>
      <c r="BN879" s="5" t="n"/>
      <c r="BO879" s="5" t="n"/>
      <c r="BP879" s="5" t="n"/>
      <c r="BQ879" s="5" t="n"/>
      <c r="BR879" s="5" t="n"/>
      <c r="BS879" s="5" t="n"/>
      <c r="BT879" s="5" t="n"/>
      <c r="BU879" s="5" t="n"/>
      <c r="BV879" s="5" t="n"/>
      <c r="BW879" s="5" t="n"/>
      <c r="BX879" s="5" t="n"/>
      <c r="BY879" s="5" t="n"/>
      <c r="BZ879" s="5" t="n"/>
      <c r="CA879" s="5" t="n"/>
      <c r="CB879" s="5" t="n"/>
      <c r="CC879" s="5" t="n"/>
      <c r="CD879" s="5" t="n"/>
      <c r="CE879" s="5" t="n"/>
      <c r="CF879" s="5" t="n"/>
    </row>
    <row r="880">
      <c r="A880" s="171" t="n"/>
      <c r="B880" s="171" t="n"/>
      <c r="C880" s="171" t="n"/>
      <c r="D880" s="170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  <c r="AY880" s="5" t="n"/>
      <c r="AZ880" s="5" t="n"/>
      <c r="BA880" s="5" t="n"/>
      <c r="BB880" s="5" t="n"/>
      <c r="BC880" s="5" t="n"/>
      <c r="BD880" s="5" t="n"/>
      <c r="BE880" s="5" t="n"/>
      <c r="BF880" s="5" t="n"/>
      <c r="BG880" s="5" t="n"/>
      <c r="BH880" s="5" t="n"/>
      <c r="BI880" s="5" t="n"/>
      <c r="BJ880" s="5" t="n"/>
      <c r="BK880" s="5" t="n"/>
      <c r="BL880" s="5" t="n"/>
      <c r="BM880" s="5" t="n"/>
      <c r="BN880" s="5" t="n"/>
      <c r="BO880" s="5" t="n"/>
      <c r="BP880" s="5" t="n"/>
      <c r="BQ880" s="5" t="n"/>
      <c r="BR880" s="5" t="n"/>
      <c r="BS880" s="5" t="n"/>
      <c r="BT880" s="5" t="n"/>
      <c r="BU880" s="5" t="n"/>
      <c r="BV880" s="5" t="n"/>
      <c r="BW880" s="5" t="n"/>
      <c r="BX880" s="5" t="n"/>
      <c r="BY880" s="5" t="n"/>
      <c r="BZ880" s="5" t="n"/>
      <c r="CA880" s="5" t="n"/>
      <c r="CB880" s="5" t="n"/>
      <c r="CC880" s="5" t="n"/>
      <c r="CD880" s="5" t="n"/>
      <c r="CE880" s="5" t="n"/>
      <c r="CF880" s="5" t="n"/>
    </row>
    <row r="881">
      <c r="A881" s="171" t="n"/>
      <c r="B881" s="171" t="n"/>
      <c r="C881" s="171" t="n"/>
      <c r="D881" s="170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  <c r="AY881" s="5" t="n"/>
      <c r="AZ881" s="5" t="n"/>
      <c r="BA881" s="5" t="n"/>
      <c r="BB881" s="5" t="n"/>
      <c r="BC881" s="5" t="n"/>
      <c r="BD881" s="5" t="n"/>
      <c r="BE881" s="5" t="n"/>
      <c r="BF881" s="5" t="n"/>
      <c r="BG881" s="5" t="n"/>
      <c r="BH881" s="5" t="n"/>
      <c r="BI881" s="5" t="n"/>
      <c r="BJ881" s="5" t="n"/>
      <c r="BK881" s="5" t="n"/>
      <c r="BL881" s="5" t="n"/>
      <c r="BM881" s="5" t="n"/>
      <c r="BN881" s="5" t="n"/>
      <c r="BO881" s="5" t="n"/>
      <c r="BP881" s="5" t="n"/>
      <c r="BQ881" s="5" t="n"/>
      <c r="BR881" s="5" t="n"/>
      <c r="BS881" s="5" t="n"/>
      <c r="BT881" s="5" t="n"/>
      <c r="BU881" s="5" t="n"/>
      <c r="BV881" s="5" t="n"/>
      <c r="BW881" s="5" t="n"/>
      <c r="BX881" s="5" t="n"/>
      <c r="BY881" s="5" t="n"/>
      <c r="BZ881" s="5" t="n"/>
      <c r="CA881" s="5" t="n"/>
      <c r="CB881" s="5" t="n"/>
      <c r="CC881" s="5" t="n"/>
      <c r="CD881" s="5" t="n"/>
      <c r="CE881" s="5" t="n"/>
      <c r="CF881" s="5" t="n"/>
    </row>
    <row r="882">
      <c r="A882" s="171" t="n"/>
      <c r="B882" s="171" t="n"/>
      <c r="C882" s="171" t="n"/>
      <c r="D882" s="170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  <c r="AY882" s="5" t="n"/>
      <c r="AZ882" s="5" t="n"/>
      <c r="BA882" s="5" t="n"/>
      <c r="BB882" s="5" t="n"/>
      <c r="BC882" s="5" t="n"/>
      <c r="BD882" s="5" t="n"/>
      <c r="BE882" s="5" t="n"/>
      <c r="BF882" s="5" t="n"/>
      <c r="BG882" s="5" t="n"/>
      <c r="BH882" s="5" t="n"/>
      <c r="BI882" s="5" t="n"/>
      <c r="BJ882" s="5" t="n"/>
      <c r="BK882" s="5" t="n"/>
      <c r="BL882" s="5" t="n"/>
      <c r="BM882" s="5" t="n"/>
      <c r="BN882" s="5" t="n"/>
      <c r="BO882" s="5" t="n"/>
      <c r="BP882" s="5" t="n"/>
      <c r="BQ882" s="5" t="n"/>
      <c r="BR882" s="5" t="n"/>
      <c r="BS882" s="5" t="n"/>
      <c r="BT882" s="5" t="n"/>
      <c r="BU882" s="5" t="n"/>
      <c r="BV882" s="5" t="n"/>
      <c r="BW882" s="5" t="n"/>
      <c r="BX882" s="5" t="n"/>
      <c r="BY882" s="5" t="n"/>
      <c r="BZ882" s="5" t="n"/>
      <c r="CA882" s="5" t="n"/>
      <c r="CB882" s="5" t="n"/>
      <c r="CC882" s="5" t="n"/>
      <c r="CD882" s="5" t="n"/>
      <c r="CE882" s="5" t="n"/>
      <c r="CF882" s="5" t="n"/>
    </row>
    <row r="883">
      <c r="A883" s="171" t="n"/>
      <c r="B883" s="171" t="n"/>
      <c r="C883" s="171" t="n"/>
      <c r="D883" s="170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  <c r="AY883" s="5" t="n"/>
      <c r="AZ883" s="5" t="n"/>
      <c r="BA883" s="5" t="n"/>
      <c r="BB883" s="5" t="n"/>
      <c r="BC883" s="5" t="n"/>
      <c r="BD883" s="5" t="n"/>
      <c r="BE883" s="5" t="n"/>
      <c r="BF883" s="5" t="n"/>
      <c r="BG883" s="5" t="n"/>
      <c r="BH883" s="5" t="n"/>
      <c r="BI883" s="5" t="n"/>
      <c r="BJ883" s="5" t="n"/>
      <c r="BK883" s="5" t="n"/>
      <c r="BL883" s="5" t="n"/>
      <c r="BM883" s="5" t="n"/>
      <c r="BN883" s="5" t="n"/>
      <c r="BO883" s="5" t="n"/>
      <c r="BP883" s="5" t="n"/>
      <c r="BQ883" s="5" t="n"/>
      <c r="BR883" s="5" t="n"/>
      <c r="BS883" s="5" t="n"/>
      <c r="BT883" s="5" t="n"/>
      <c r="BU883" s="5" t="n"/>
      <c r="BV883" s="5" t="n"/>
      <c r="BW883" s="5" t="n"/>
      <c r="BX883" s="5" t="n"/>
      <c r="BY883" s="5" t="n"/>
      <c r="BZ883" s="5" t="n"/>
      <c r="CA883" s="5" t="n"/>
      <c r="CB883" s="5" t="n"/>
      <c r="CC883" s="5" t="n"/>
      <c r="CD883" s="5" t="n"/>
      <c r="CE883" s="5" t="n"/>
      <c r="CF883" s="5" t="n"/>
    </row>
    <row r="884">
      <c r="A884" s="171" t="n"/>
      <c r="B884" s="171" t="n"/>
      <c r="C884" s="171" t="n"/>
      <c r="D884" s="170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  <c r="AY884" s="5" t="n"/>
      <c r="AZ884" s="5" t="n"/>
      <c r="BA884" s="5" t="n"/>
      <c r="BB884" s="5" t="n"/>
      <c r="BC884" s="5" t="n"/>
      <c r="BD884" s="5" t="n"/>
      <c r="BE884" s="5" t="n"/>
      <c r="BF884" s="5" t="n"/>
      <c r="BG884" s="5" t="n"/>
      <c r="BH884" s="5" t="n"/>
      <c r="BI884" s="5" t="n"/>
      <c r="BJ884" s="5" t="n"/>
      <c r="BK884" s="5" t="n"/>
      <c r="BL884" s="5" t="n"/>
      <c r="BM884" s="5" t="n"/>
      <c r="BN884" s="5" t="n"/>
      <c r="BO884" s="5" t="n"/>
      <c r="BP884" s="5" t="n"/>
      <c r="BQ884" s="5" t="n"/>
      <c r="BR884" s="5" t="n"/>
      <c r="BS884" s="5" t="n"/>
      <c r="BT884" s="5" t="n"/>
      <c r="BU884" s="5" t="n"/>
      <c r="BV884" s="5" t="n"/>
      <c r="BW884" s="5" t="n"/>
      <c r="BX884" s="5" t="n"/>
      <c r="BY884" s="5" t="n"/>
      <c r="BZ884" s="5" t="n"/>
      <c r="CA884" s="5" t="n"/>
      <c r="CB884" s="5" t="n"/>
      <c r="CC884" s="5" t="n"/>
      <c r="CD884" s="5" t="n"/>
      <c r="CE884" s="5" t="n"/>
      <c r="CF884" s="5" t="n"/>
    </row>
    <row r="885">
      <c r="A885" s="171" t="n"/>
      <c r="B885" s="171" t="n"/>
      <c r="C885" s="171" t="n"/>
      <c r="D885" s="170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  <c r="AY885" s="5" t="n"/>
      <c r="AZ885" s="5" t="n"/>
      <c r="BA885" s="5" t="n"/>
      <c r="BB885" s="5" t="n"/>
      <c r="BC885" s="5" t="n"/>
      <c r="BD885" s="5" t="n"/>
      <c r="BE885" s="5" t="n"/>
      <c r="BF885" s="5" t="n"/>
      <c r="BG885" s="5" t="n"/>
      <c r="BH885" s="5" t="n"/>
      <c r="BI885" s="5" t="n"/>
      <c r="BJ885" s="5" t="n"/>
      <c r="BK885" s="5" t="n"/>
      <c r="BL885" s="5" t="n"/>
      <c r="BM885" s="5" t="n"/>
      <c r="BN885" s="5" t="n"/>
      <c r="BO885" s="5" t="n"/>
      <c r="BP885" s="5" t="n"/>
      <c r="BQ885" s="5" t="n"/>
      <c r="BR885" s="5" t="n"/>
      <c r="BS885" s="5" t="n"/>
      <c r="BT885" s="5" t="n"/>
      <c r="BU885" s="5" t="n"/>
      <c r="BV885" s="5" t="n"/>
      <c r="BW885" s="5" t="n"/>
      <c r="BX885" s="5" t="n"/>
      <c r="BY885" s="5" t="n"/>
      <c r="BZ885" s="5" t="n"/>
      <c r="CA885" s="5" t="n"/>
      <c r="CB885" s="5" t="n"/>
      <c r="CC885" s="5" t="n"/>
      <c r="CD885" s="5" t="n"/>
      <c r="CE885" s="5" t="n"/>
      <c r="CF885" s="5" t="n"/>
    </row>
    <row r="886">
      <c r="A886" s="171" t="n"/>
      <c r="B886" s="171" t="n"/>
      <c r="C886" s="171" t="n"/>
      <c r="D886" s="170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  <c r="AY886" s="5" t="n"/>
      <c r="AZ886" s="5" t="n"/>
      <c r="BA886" s="5" t="n"/>
      <c r="BB886" s="5" t="n"/>
      <c r="BC886" s="5" t="n"/>
      <c r="BD886" s="5" t="n"/>
      <c r="BE886" s="5" t="n"/>
      <c r="BF886" s="5" t="n"/>
      <c r="BG886" s="5" t="n"/>
      <c r="BH886" s="5" t="n"/>
      <c r="BI886" s="5" t="n"/>
      <c r="BJ886" s="5" t="n"/>
      <c r="BK886" s="5" t="n"/>
      <c r="BL886" s="5" t="n"/>
      <c r="BM886" s="5" t="n"/>
      <c r="BN886" s="5" t="n"/>
      <c r="BO886" s="5" t="n"/>
      <c r="BP886" s="5" t="n"/>
      <c r="BQ886" s="5" t="n"/>
      <c r="BR886" s="5" t="n"/>
      <c r="BS886" s="5" t="n"/>
      <c r="BT886" s="5" t="n"/>
      <c r="BU886" s="5" t="n"/>
      <c r="BV886" s="5" t="n"/>
      <c r="BW886" s="5" t="n"/>
      <c r="BX886" s="5" t="n"/>
      <c r="BY886" s="5" t="n"/>
      <c r="BZ886" s="5" t="n"/>
      <c r="CA886" s="5" t="n"/>
      <c r="CB886" s="5" t="n"/>
      <c r="CC886" s="5" t="n"/>
      <c r="CD886" s="5" t="n"/>
      <c r="CE886" s="5" t="n"/>
      <c r="CF886" s="5" t="n"/>
    </row>
    <row r="887">
      <c r="A887" s="171" t="n"/>
      <c r="B887" s="171" t="n"/>
      <c r="C887" s="171" t="n"/>
      <c r="D887" s="170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  <c r="AY887" s="5" t="n"/>
      <c r="AZ887" s="5" t="n"/>
      <c r="BA887" s="5" t="n"/>
      <c r="BB887" s="5" t="n"/>
      <c r="BC887" s="5" t="n"/>
      <c r="BD887" s="5" t="n"/>
      <c r="BE887" s="5" t="n"/>
      <c r="BF887" s="5" t="n"/>
      <c r="BG887" s="5" t="n"/>
      <c r="BH887" s="5" t="n"/>
      <c r="BI887" s="5" t="n"/>
      <c r="BJ887" s="5" t="n"/>
      <c r="BK887" s="5" t="n"/>
      <c r="BL887" s="5" t="n"/>
      <c r="BM887" s="5" t="n"/>
      <c r="BN887" s="5" t="n"/>
      <c r="BO887" s="5" t="n"/>
      <c r="BP887" s="5" t="n"/>
      <c r="BQ887" s="5" t="n"/>
      <c r="BR887" s="5" t="n"/>
      <c r="BS887" s="5" t="n"/>
      <c r="BT887" s="5" t="n"/>
      <c r="BU887" s="5" t="n"/>
      <c r="BV887" s="5" t="n"/>
      <c r="BW887" s="5" t="n"/>
      <c r="BX887" s="5" t="n"/>
      <c r="BY887" s="5" t="n"/>
      <c r="BZ887" s="5" t="n"/>
      <c r="CA887" s="5" t="n"/>
      <c r="CB887" s="5" t="n"/>
      <c r="CC887" s="5" t="n"/>
      <c r="CD887" s="5" t="n"/>
      <c r="CE887" s="5" t="n"/>
      <c r="CF887" s="5" t="n"/>
    </row>
    <row r="888">
      <c r="A888" s="171" t="n"/>
      <c r="B888" s="171" t="n"/>
      <c r="C888" s="171" t="n"/>
      <c r="D888" s="170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  <c r="AY888" s="5" t="n"/>
      <c r="AZ888" s="5" t="n"/>
      <c r="BA888" s="5" t="n"/>
      <c r="BB888" s="5" t="n"/>
      <c r="BC888" s="5" t="n"/>
      <c r="BD888" s="5" t="n"/>
      <c r="BE888" s="5" t="n"/>
      <c r="BF888" s="5" t="n"/>
      <c r="BG888" s="5" t="n"/>
      <c r="BH888" s="5" t="n"/>
      <c r="BI888" s="5" t="n"/>
      <c r="BJ888" s="5" t="n"/>
      <c r="BK888" s="5" t="n"/>
      <c r="BL888" s="5" t="n"/>
      <c r="BM888" s="5" t="n"/>
      <c r="BN888" s="5" t="n"/>
      <c r="BO888" s="5" t="n"/>
      <c r="BP888" s="5" t="n"/>
      <c r="BQ888" s="5" t="n"/>
      <c r="BR888" s="5" t="n"/>
      <c r="BS888" s="5" t="n"/>
      <c r="BT888" s="5" t="n"/>
      <c r="BU888" s="5" t="n"/>
      <c r="BV888" s="5" t="n"/>
      <c r="BW888" s="5" t="n"/>
      <c r="BX888" s="5" t="n"/>
      <c r="BY888" s="5" t="n"/>
      <c r="BZ888" s="5" t="n"/>
      <c r="CA888" s="5" t="n"/>
      <c r="CB888" s="5" t="n"/>
      <c r="CC888" s="5" t="n"/>
      <c r="CD888" s="5" t="n"/>
      <c r="CE888" s="5" t="n"/>
      <c r="CF888" s="5" t="n"/>
    </row>
    <row r="889">
      <c r="A889" s="171" t="n"/>
      <c r="B889" s="171" t="n"/>
      <c r="C889" s="171" t="n"/>
      <c r="D889" s="170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5" t="n"/>
      <c r="AZ889" s="5" t="n"/>
      <c r="BA889" s="5" t="n"/>
      <c r="BB889" s="5" t="n"/>
      <c r="BC889" s="5" t="n"/>
      <c r="BD889" s="5" t="n"/>
      <c r="BE889" s="5" t="n"/>
      <c r="BF889" s="5" t="n"/>
      <c r="BG889" s="5" t="n"/>
      <c r="BH889" s="5" t="n"/>
      <c r="BI889" s="5" t="n"/>
      <c r="BJ889" s="5" t="n"/>
      <c r="BK889" s="5" t="n"/>
      <c r="BL889" s="5" t="n"/>
      <c r="BM889" s="5" t="n"/>
      <c r="BN889" s="5" t="n"/>
      <c r="BO889" s="5" t="n"/>
      <c r="BP889" s="5" t="n"/>
      <c r="BQ889" s="5" t="n"/>
      <c r="BR889" s="5" t="n"/>
      <c r="BS889" s="5" t="n"/>
      <c r="BT889" s="5" t="n"/>
      <c r="BU889" s="5" t="n"/>
      <c r="BV889" s="5" t="n"/>
      <c r="BW889" s="5" t="n"/>
      <c r="BX889" s="5" t="n"/>
      <c r="BY889" s="5" t="n"/>
      <c r="BZ889" s="5" t="n"/>
      <c r="CA889" s="5" t="n"/>
      <c r="CB889" s="5" t="n"/>
      <c r="CC889" s="5" t="n"/>
      <c r="CD889" s="5" t="n"/>
      <c r="CE889" s="5" t="n"/>
      <c r="CF889" s="5" t="n"/>
    </row>
    <row r="890">
      <c r="A890" s="171" t="n"/>
      <c r="B890" s="171" t="n"/>
      <c r="C890" s="171" t="n"/>
      <c r="D890" s="170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  <c r="AY890" s="5" t="n"/>
      <c r="AZ890" s="5" t="n"/>
      <c r="BA890" s="5" t="n"/>
      <c r="BB890" s="5" t="n"/>
      <c r="BC890" s="5" t="n"/>
      <c r="BD890" s="5" t="n"/>
      <c r="BE890" s="5" t="n"/>
      <c r="BF890" s="5" t="n"/>
      <c r="BG890" s="5" t="n"/>
      <c r="BH890" s="5" t="n"/>
      <c r="BI890" s="5" t="n"/>
      <c r="BJ890" s="5" t="n"/>
      <c r="BK890" s="5" t="n"/>
      <c r="BL890" s="5" t="n"/>
      <c r="BM890" s="5" t="n"/>
      <c r="BN890" s="5" t="n"/>
      <c r="BO890" s="5" t="n"/>
      <c r="BP890" s="5" t="n"/>
      <c r="BQ890" s="5" t="n"/>
      <c r="BR890" s="5" t="n"/>
      <c r="BS890" s="5" t="n"/>
      <c r="BT890" s="5" t="n"/>
      <c r="BU890" s="5" t="n"/>
      <c r="BV890" s="5" t="n"/>
      <c r="BW890" s="5" t="n"/>
      <c r="BX890" s="5" t="n"/>
      <c r="BY890" s="5" t="n"/>
      <c r="BZ890" s="5" t="n"/>
      <c r="CA890" s="5" t="n"/>
      <c r="CB890" s="5" t="n"/>
      <c r="CC890" s="5" t="n"/>
      <c r="CD890" s="5" t="n"/>
      <c r="CE890" s="5" t="n"/>
      <c r="CF890" s="5" t="n"/>
    </row>
    <row r="891">
      <c r="A891" s="171" t="n"/>
      <c r="B891" s="171" t="n"/>
      <c r="C891" s="171" t="n"/>
      <c r="D891" s="170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  <c r="AY891" s="5" t="n"/>
      <c r="AZ891" s="5" t="n"/>
      <c r="BA891" s="5" t="n"/>
      <c r="BB891" s="5" t="n"/>
      <c r="BC891" s="5" t="n"/>
      <c r="BD891" s="5" t="n"/>
      <c r="BE891" s="5" t="n"/>
      <c r="BF891" s="5" t="n"/>
      <c r="BG891" s="5" t="n"/>
      <c r="BH891" s="5" t="n"/>
      <c r="BI891" s="5" t="n"/>
      <c r="BJ891" s="5" t="n"/>
      <c r="BK891" s="5" t="n"/>
      <c r="BL891" s="5" t="n"/>
      <c r="BM891" s="5" t="n"/>
      <c r="BN891" s="5" t="n"/>
      <c r="BO891" s="5" t="n"/>
      <c r="BP891" s="5" t="n"/>
      <c r="BQ891" s="5" t="n"/>
      <c r="BR891" s="5" t="n"/>
      <c r="BS891" s="5" t="n"/>
      <c r="BT891" s="5" t="n"/>
      <c r="BU891" s="5" t="n"/>
      <c r="BV891" s="5" t="n"/>
      <c r="BW891" s="5" t="n"/>
      <c r="BX891" s="5" t="n"/>
      <c r="BY891" s="5" t="n"/>
      <c r="BZ891" s="5" t="n"/>
      <c r="CA891" s="5" t="n"/>
      <c r="CB891" s="5" t="n"/>
      <c r="CC891" s="5" t="n"/>
      <c r="CD891" s="5" t="n"/>
      <c r="CE891" s="5" t="n"/>
      <c r="CF891" s="5" t="n"/>
    </row>
    <row r="892">
      <c r="A892" s="171" t="n"/>
      <c r="B892" s="171" t="n"/>
      <c r="C892" s="171" t="n"/>
      <c r="D892" s="170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  <c r="AY892" s="5" t="n"/>
      <c r="AZ892" s="5" t="n"/>
      <c r="BA892" s="5" t="n"/>
      <c r="BB892" s="5" t="n"/>
      <c r="BC892" s="5" t="n"/>
      <c r="BD892" s="5" t="n"/>
      <c r="BE892" s="5" t="n"/>
      <c r="BF892" s="5" t="n"/>
      <c r="BG892" s="5" t="n"/>
      <c r="BH892" s="5" t="n"/>
      <c r="BI892" s="5" t="n"/>
      <c r="BJ892" s="5" t="n"/>
      <c r="BK892" s="5" t="n"/>
      <c r="BL892" s="5" t="n"/>
      <c r="BM892" s="5" t="n"/>
      <c r="BN892" s="5" t="n"/>
      <c r="BO892" s="5" t="n"/>
      <c r="BP892" s="5" t="n"/>
      <c r="BQ892" s="5" t="n"/>
      <c r="BR892" s="5" t="n"/>
      <c r="BS892" s="5" t="n"/>
      <c r="BT892" s="5" t="n"/>
      <c r="BU892" s="5" t="n"/>
      <c r="BV892" s="5" t="n"/>
      <c r="BW892" s="5" t="n"/>
      <c r="BX892" s="5" t="n"/>
      <c r="BY892" s="5" t="n"/>
      <c r="BZ892" s="5" t="n"/>
      <c r="CA892" s="5" t="n"/>
      <c r="CB892" s="5" t="n"/>
      <c r="CC892" s="5" t="n"/>
      <c r="CD892" s="5" t="n"/>
      <c r="CE892" s="5" t="n"/>
      <c r="CF892" s="5" t="n"/>
    </row>
    <row r="893">
      <c r="A893" s="171" t="n"/>
      <c r="B893" s="171" t="n"/>
      <c r="C893" s="171" t="n"/>
      <c r="D893" s="170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  <c r="AY893" s="5" t="n"/>
      <c r="AZ893" s="5" t="n"/>
      <c r="BA893" s="5" t="n"/>
      <c r="BB893" s="5" t="n"/>
      <c r="BC893" s="5" t="n"/>
      <c r="BD893" s="5" t="n"/>
      <c r="BE893" s="5" t="n"/>
      <c r="BF893" s="5" t="n"/>
      <c r="BG893" s="5" t="n"/>
      <c r="BH893" s="5" t="n"/>
      <c r="BI893" s="5" t="n"/>
      <c r="BJ893" s="5" t="n"/>
      <c r="BK893" s="5" t="n"/>
      <c r="BL893" s="5" t="n"/>
      <c r="BM893" s="5" t="n"/>
      <c r="BN893" s="5" t="n"/>
      <c r="BO893" s="5" t="n"/>
      <c r="BP893" s="5" t="n"/>
      <c r="BQ893" s="5" t="n"/>
      <c r="BR893" s="5" t="n"/>
      <c r="BS893" s="5" t="n"/>
      <c r="BT893" s="5" t="n"/>
      <c r="BU893" s="5" t="n"/>
      <c r="BV893" s="5" t="n"/>
      <c r="BW893" s="5" t="n"/>
      <c r="BX893" s="5" t="n"/>
      <c r="BY893" s="5" t="n"/>
      <c r="BZ893" s="5" t="n"/>
      <c r="CA893" s="5" t="n"/>
      <c r="CB893" s="5" t="n"/>
      <c r="CC893" s="5" t="n"/>
      <c r="CD893" s="5" t="n"/>
      <c r="CE893" s="5" t="n"/>
      <c r="CF893" s="5" t="n"/>
    </row>
    <row r="894">
      <c r="A894" s="171" t="n"/>
      <c r="B894" s="171" t="n"/>
      <c r="C894" s="171" t="n"/>
      <c r="D894" s="170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  <c r="AY894" s="5" t="n"/>
      <c r="AZ894" s="5" t="n"/>
      <c r="BA894" s="5" t="n"/>
      <c r="BB894" s="5" t="n"/>
      <c r="BC894" s="5" t="n"/>
      <c r="BD894" s="5" t="n"/>
      <c r="BE894" s="5" t="n"/>
      <c r="BF894" s="5" t="n"/>
      <c r="BG894" s="5" t="n"/>
      <c r="BH894" s="5" t="n"/>
      <c r="BI894" s="5" t="n"/>
      <c r="BJ894" s="5" t="n"/>
      <c r="BK894" s="5" t="n"/>
      <c r="BL894" s="5" t="n"/>
      <c r="BM894" s="5" t="n"/>
      <c r="BN894" s="5" t="n"/>
      <c r="BO894" s="5" t="n"/>
      <c r="BP894" s="5" t="n"/>
      <c r="BQ894" s="5" t="n"/>
      <c r="BR894" s="5" t="n"/>
      <c r="BS894" s="5" t="n"/>
      <c r="BT894" s="5" t="n"/>
      <c r="BU894" s="5" t="n"/>
      <c r="BV894" s="5" t="n"/>
      <c r="BW894" s="5" t="n"/>
      <c r="BX894" s="5" t="n"/>
      <c r="BY894" s="5" t="n"/>
      <c r="BZ894" s="5" t="n"/>
      <c r="CA894" s="5" t="n"/>
      <c r="CB894" s="5" t="n"/>
      <c r="CC894" s="5" t="n"/>
      <c r="CD894" s="5" t="n"/>
      <c r="CE894" s="5" t="n"/>
      <c r="CF894" s="5" t="n"/>
    </row>
    <row r="895">
      <c r="A895" s="171" t="n"/>
      <c r="B895" s="171" t="n"/>
      <c r="C895" s="171" t="n"/>
      <c r="D895" s="170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  <c r="AY895" s="5" t="n"/>
      <c r="AZ895" s="5" t="n"/>
      <c r="BA895" s="5" t="n"/>
      <c r="BB895" s="5" t="n"/>
      <c r="BC895" s="5" t="n"/>
      <c r="BD895" s="5" t="n"/>
      <c r="BE895" s="5" t="n"/>
      <c r="BF895" s="5" t="n"/>
      <c r="BG895" s="5" t="n"/>
      <c r="BH895" s="5" t="n"/>
      <c r="BI895" s="5" t="n"/>
      <c r="BJ895" s="5" t="n"/>
      <c r="BK895" s="5" t="n"/>
      <c r="BL895" s="5" t="n"/>
      <c r="BM895" s="5" t="n"/>
      <c r="BN895" s="5" t="n"/>
      <c r="BO895" s="5" t="n"/>
      <c r="BP895" s="5" t="n"/>
      <c r="BQ895" s="5" t="n"/>
      <c r="BR895" s="5" t="n"/>
      <c r="BS895" s="5" t="n"/>
      <c r="BT895" s="5" t="n"/>
      <c r="BU895" s="5" t="n"/>
      <c r="BV895" s="5" t="n"/>
      <c r="BW895" s="5" t="n"/>
      <c r="BX895" s="5" t="n"/>
      <c r="BY895" s="5" t="n"/>
      <c r="BZ895" s="5" t="n"/>
      <c r="CA895" s="5" t="n"/>
      <c r="CB895" s="5" t="n"/>
      <c r="CC895" s="5" t="n"/>
      <c r="CD895" s="5" t="n"/>
      <c r="CE895" s="5" t="n"/>
      <c r="CF895" s="5" t="n"/>
    </row>
    <row r="896">
      <c r="A896" s="171" t="n"/>
      <c r="B896" s="171" t="n"/>
      <c r="C896" s="171" t="n"/>
      <c r="D896" s="170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  <c r="AY896" s="5" t="n"/>
      <c r="AZ896" s="5" t="n"/>
      <c r="BA896" s="5" t="n"/>
      <c r="BB896" s="5" t="n"/>
      <c r="BC896" s="5" t="n"/>
      <c r="BD896" s="5" t="n"/>
      <c r="BE896" s="5" t="n"/>
      <c r="BF896" s="5" t="n"/>
      <c r="BG896" s="5" t="n"/>
      <c r="BH896" s="5" t="n"/>
      <c r="BI896" s="5" t="n"/>
      <c r="BJ896" s="5" t="n"/>
      <c r="BK896" s="5" t="n"/>
      <c r="BL896" s="5" t="n"/>
      <c r="BM896" s="5" t="n"/>
      <c r="BN896" s="5" t="n"/>
      <c r="BO896" s="5" t="n"/>
      <c r="BP896" s="5" t="n"/>
      <c r="BQ896" s="5" t="n"/>
      <c r="BR896" s="5" t="n"/>
      <c r="BS896" s="5" t="n"/>
      <c r="BT896" s="5" t="n"/>
      <c r="BU896" s="5" t="n"/>
      <c r="BV896" s="5" t="n"/>
      <c r="BW896" s="5" t="n"/>
      <c r="BX896" s="5" t="n"/>
      <c r="BY896" s="5" t="n"/>
      <c r="BZ896" s="5" t="n"/>
      <c r="CA896" s="5" t="n"/>
      <c r="CB896" s="5" t="n"/>
      <c r="CC896" s="5" t="n"/>
      <c r="CD896" s="5" t="n"/>
      <c r="CE896" s="5" t="n"/>
      <c r="CF896" s="5" t="n"/>
    </row>
    <row r="897">
      <c r="A897" s="171" t="n"/>
      <c r="B897" s="171" t="n"/>
      <c r="C897" s="171" t="n"/>
      <c r="D897" s="170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  <c r="AY897" s="5" t="n"/>
      <c r="AZ897" s="5" t="n"/>
      <c r="BA897" s="5" t="n"/>
      <c r="BB897" s="5" t="n"/>
      <c r="BC897" s="5" t="n"/>
      <c r="BD897" s="5" t="n"/>
      <c r="BE897" s="5" t="n"/>
      <c r="BF897" s="5" t="n"/>
      <c r="BG897" s="5" t="n"/>
      <c r="BH897" s="5" t="n"/>
      <c r="BI897" s="5" t="n"/>
      <c r="BJ897" s="5" t="n"/>
      <c r="BK897" s="5" t="n"/>
      <c r="BL897" s="5" t="n"/>
      <c r="BM897" s="5" t="n"/>
      <c r="BN897" s="5" t="n"/>
      <c r="BO897" s="5" t="n"/>
      <c r="BP897" s="5" t="n"/>
      <c r="BQ897" s="5" t="n"/>
      <c r="BR897" s="5" t="n"/>
      <c r="BS897" s="5" t="n"/>
      <c r="BT897" s="5" t="n"/>
      <c r="BU897" s="5" t="n"/>
      <c r="BV897" s="5" t="n"/>
      <c r="BW897" s="5" t="n"/>
      <c r="BX897" s="5" t="n"/>
      <c r="BY897" s="5" t="n"/>
      <c r="BZ897" s="5" t="n"/>
      <c r="CA897" s="5" t="n"/>
      <c r="CB897" s="5" t="n"/>
      <c r="CC897" s="5" t="n"/>
      <c r="CD897" s="5" t="n"/>
      <c r="CE897" s="5" t="n"/>
      <c r="CF897" s="5" t="n"/>
    </row>
    <row r="898">
      <c r="A898" s="171" t="n"/>
      <c r="B898" s="171" t="n"/>
      <c r="C898" s="171" t="n"/>
      <c r="D898" s="170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  <c r="AY898" s="5" t="n"/>
      <c r="AZ898" s="5" t="n"/>
      <c r="BA898" s="5" t="n"/>
      <c r="BB898" s="5" t="n"/>
      <c r="BC898" s="5" t="n"/>
      <c r="BD898" s="5" t="n"/>
      <c r="BE898" s="5" t="n"/>
      <c r="BF898" s="5" t="n"/>
      <c r="BG898" s="5" t="n"/>
      <c r="BH898" s="5" t="n"/>
      <c r="BI898" s="5" t="n"/>
      <c r="BJ898" s="5" t="n"/>
      <c r="BK898" s="5" t="n"/>
      <c r="BL898" s="5" t="n"/>
      <c r="BM898" s="5" t="n"/>
      <c r="BN898" s="5" t="n"/>
      <c r="BO898" s="5" t="n"/>
      <c r="BP898" s="5" t="n"/>
      <c r="BQ898" s="5" t="n"/>
      <c r="BR898" s="5" t="n"/>
      <c r="BS898" s="5" t="n"/>
      <c r="BT898" s="5" t="n"/>
      <c r="BU898" s="5" t="n"/>
      <c r="BV898" s="5" t="n"/>
      <c r="BW898" s="5" t="n"/>
      <c r="BX898" s="5" t="n"/>
      <c r="BY898" s="5" t="n"/>
      <c r="BZ898" s="5" t="n"/>
      <c r="CA898" s="5" t="n"/>
      <c r="CB898" s="5" t="n"/>
      <c r="CC898" s="5" t="n"/>
      <c r="CD898" s="5" t="n"/>
      <c r="CE898" s="5" t="n"/>
      <c r="CF898" s="5" t="n"/>
    </row>
    <row r="899">
      <c r="A899" s="171" t="n"/>
      <c r="B899" s="171" t="n"/>
      <c r="C899" s="171" t="n"/>
      <c r="D899" s="170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  <c r="AY899" s="5" t="n"/>
      <c r="AZ899" s="5" t="n"/>
      <c r="BA899" s="5" t="n"/>
      <c r="BB899" s="5" t="n"/>
      <c r="BC899" s="5" t="n"/>
      <c r="BD899" s="5" t="n"/>
      <c r="BE899" s="5" t="n"/>
      <c r="BF899" s="5" t="n"/>
      <c r="BG899" s="5" t="n"/>
      <c r="BH899" s="5" t="n"/>
      <c r="BI899" s="5" t="n"/>
      <c r="BJ899" s="5" t="n"/>
      <c r="BK899" s="5" t="n"/>
      <c r="BL899" s="5" t="n"/>
      <c r="BM899" s="5" t="n"/>
      <c r="BN899" s="5" t="n"/>
      <c r="BO899" s="5" t="n"/>
      <c r="BP899" s="5" t="n"/>
      <c r="BQ899" s="5" t="n"/>
      <c r="BR899" s="5" t="n"/>
      <c r="BS899" s="5" t="n"/>
      <c r="BT899" s="5" t="n"/>
      <c r="BU899" s="5" t="n"/>
      <c r="BV899" s="5" t="n"/>
      <c r="BW899" s="5" t="n"/>
      <c r="BX899" s="5" t="n"/>
      <c r="BY899" s="5" t="n"/>
      <c r="BZ899" s="5" t="n"/>
      <c r="CA899" s="5" t="n"/>
      <c r="CB899" s="5" t="n"/>
      <c r="CC899" s="5" t="n"/>
      <c r="CD899" s="5" t="n"/>
      <c r="CE899" s="5" t="n"/>
      <c r="CF899" s="5" t="n"/>
    </row>
    <row r="900">
      <c r="A900" s="171" t="n"/>
      <c r="B900" s="171" t="n"/>
      <c r="C900" s="171" t="n"/>
      <c r="D900" s="170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  <c r="AY900" s="5" t="n"/>
      <c r="AZ900" s="5" t="n"/>
      <c r="BA900" s="5" t="n"/>
      <c r="BB900" s="5" t="n"/>
      <c r="BC900" s="5" t="n"/>
      <c r="BD900" s="5" t="n"/>
      <c r="BE900" s="5" t="n"/>
      <c r="BF900" s="5" t="n"/>
      <c r="BG900" s="5" t="n"/>
      <c r="BH900" s="5" t="n"/>
      <c r="BI900" s="5" t="n"/>
      <c r="BJ900" s="5" t="n"/>
      <c r="BK900" s="5" t="n"/>
      <c r="BL900" s="5" t="n"/>
      <c r="BM900" s="5" t="n"/>
      <c r="BN900" s="5" t="n"/>
      <c r="BO900" s="5" t="n"/>
      <c r="BP900" s="5" t="n"/>
      <c r="BQ900" s="5" t="n"/>
      <c r="BR900" s="5" t="n"/>
      <c r="BS900" s="5" t="n"/>
      <c r="BT900" s="5" t="n"/>
      <c r="BU900" s="5" t="n"/>
      <c r="BV900" s="5" t="n"/>
      <c r="BW900" s="5" t="n"/>
      <c r="BX900" s="5" t="n"/>
      <c r="BY900" s="5" t="n"/>
      <c r="BZ900" s="5" t="n"/>
      <c r="CA900" s="5" t="n"/>
      <c r="CB900" s="5" t="n"/>
      <c r="CC900" s="5" t="n"/>
      <c r="CD900" s="5" t="n"/>
      <c r="CE900" s="5" t="n"/>
      <c r="CF900" s="5" t="n"/>
    </row>
    <row r="901">
      <c r="A901" s="171" t="n"/>
      <c r="B901" s="171" t="n"/>
      <c r="C901" s="171" t="n"/>
      <c r="D901" s="170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  <c r="AY901" s="5" t="n"/>
      <c r="AZ901" s="5" t="n"/>
      <c r="BA901" s="5" t="n"/>
      <c r="BB901" s="5" t="n"/>
      <c r="BC901" s="5" t="n"/>
      <c r="BD901" s="5" t="n"/>
      <c r="BE901" s="5" t="n"/>
      <c r="BF901" s="5" t="n"/>
      <c r="BG901" s="5" t="n"/>
      <c r="BH901" s="5" t="n"/>
      <c r="BI901" s="5" t="n"/>
      <c r="BJ901" s="5" t="n"/>
      <c r="BK901" s="5" t="n"/>
      <c r="BL901" s="5" t="n"/>
      <c r="BM901" s="5" t="n"/>
      <c r="BN901" s="5" t="n"/>
      <c r="BO901" s="5" t="n"/>
      <c r="BP901" s="5" t="n"/>
      <c r="BQ901" s="5" t="n"/>
      <c r="BR901" s="5" t="n"/>
      <c r="BS901" s="5" t="n"/>
      <c r="BT901" s="5" t="n"/>
      <c r="BU901" s="5" t="n"/>
      <c r="BV901" s="5" t="n"/>
      <c r="BW901" s="5" t="n"/>
      <c r="BX901" s="5" t="n"/>
      <c r="BY901" s="5" t="n"/>
      <c r="BZ901" s="5" t="n"/>
      <c r="CA901" s="5" t="n"/>
      <c r="CB901" s="5" t="n"/>
      <c r="CC901" s="5" t="n"/>
      <c r="CD901" s="5" t="n"/>
      <c r="CE901" s="5" t="n"/>
      <c r="CF901" s="5" t="n"/>
    </row>
    <row r="902">
      <c r="A902" s="171" t="n"/>
      <c r="B902" s="171" t="n"/>
      <c r="C902" s="171" t="n"/>
      <c r="D902" s="170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  <c r="AY902" s="5" t="n"/>
      <c r="AZ902" s="5" t="n"/>
      <c r="BA902" s="5" t="n"/>
      <c r="BB902" s="5" t="n"/>
      <c r="BC902" s="5" t="n"/>
      <c r="BD902" s="5" t="n"/>
      <c r="BE902" s="5" t="n"/>
      <c r="BF902" s="5" t="n"/>
      <c r="BG902" s="5" t="n"/>
      <c r="BH902" s="5" t="n"/>
      <c r="BI902" s="5" t="n"/>
      <c r="BJ902" s="5" t="n"/>
      <c r="BK902" s="5" t="n"/>
      <c r="BL902" s="5" t="n"/>
      <c r="BM902" s="5" t="n"/>
      <c r="BN902" s="5" t="n"/>
      <c r="BO902" s="5" t="n"/>
      <c r="BP902" s="5" t="n"/>
      <c r="BQ902" s="5" t="n"/>
      <c r="BR902" s="5" t="n"/>
      <c r="BS902" s="5" t="n"/>
      <c r="BT902" s="5" t="n"/>
      <c r="BU902" s="5" t="n"/>
      <c r="BV902" s="5" t="n"/>
      <c r="BW902" s="5" t="n"/>
      <c r="BX902" s="5" t="n"/>
      <c r="BY902" s="5" t="n"/>
      <c r="BZ902" s="5" t="n"/>
      <c r="CA902" s="5" t="n"/>
      <c r="CB902" s="5" t="n"/>
      <c r="CC902" s="5" t="n"/>
      <c r="CD902" s="5" t="n"/>
      <c r="CE902" s="5" t="n"/>
      <c r="CF902" s="5" t="n"/>
    </row>
    <row r="903">
      <c r="A903" s="171" t="n"/>
      <c r="B903" s="171" t="n"/>
      <c r="C903" s="171" t="n"/>
      <c r="D903" s="170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  <c r="AY903" s="5" t="n"/>
      <c r="AZ903" s="5" t="n"/>
      <c r="BA903" s="5" t="n"/>
      <c r="BB903" s="5" t="n"/>
      <c r="BC903" s="5" t="n"/>
      <c r="BD903" s="5" t="n"/>
      <c r="BE903" s="5" t="n"/>
      <c r="BF903" s="5" t="n"/>
      <c r="BG903" s="5" t="n"/>
      <c r="BH903" s="5" t="n"/>
      <c r="BI903" s="5" t="n"/>
      <c r="BJ903" s="5" t="n"/>
      <c r="BK903" s="5" t="n"/>
      <c r="BL903" s="5" t="n"/>
      <c r="BM903" s="5" t="n"/>
      <c r="BN903" s="5" t="n"/>
      <c r="BO903" s="5" t="n"/>
      <c r="BP903" s="5" t="n"/>
      <c r="BQ903" s="5" t="n"/>
      <c r="BR903" s="5" t="n"/>
      <c r="BS903" s="5" t="n"/>
      <c r="BT903" s="5" t="n"/>
      <c r="BU903" s="5" t="n"/>
      <c r="BV903" s="5" t="n"/>
      <c r="BW903" s="5" t="n"/>
      <c r="BX903" s="5" t="n"/>
      <c r="BY903" s="5" t="n"/>
      <c r="BZ903" s="5" t="n"/>
      <c r="CA903" s="5" t="n"/>
      <c r="CB903" s="5" t="n"/>
      <c r="CC903" s="5" t="n"/>
      <c r="CD903" s="5" t="n"/>
      <c r="CE903" s="5" t="n"/>
      <c r="CF903" s="5" t="n"/>
    </row>
    <row r="904">
      <c r="A904" s="171" t="n"/>
      <c r="B904" s="171" t="n"/>
      <c r="C904" s="171" t="n"/>
      <c r="D904" s="170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  <c r="AY904" s="5" t="n"/>
      <c r="AZ904" s="5" t="n"/>
      <c r="BA904" s="5" t="n"/>
      <c r="BB904" s="5" t="n"/>
      <c r="BC904" s="5" t="n"/>
      <c r="BD904" s="5" t="n"/>
      <c r="BE904" s="5" t="n"/>
      <c r="BF904" s="5" t="n"/>
      <c r="BG904" s="5" t="n"/>
      <c r="BH904" s="5" t="n"/>
      <c r="BI904" s="5" t="n"/>
      <c r="BJ904" s="5" t="n"/>
      <c r="BK904" s="5" t="n"/>
      <c r="BL904" s="5" t="n"/>
      <c r="BM904" s="5" t="n"/>
      <c r="BN904" s="5" t="n"/>
      <c r="BO904" s="5" t="n"/>
      <c r="BP904" s="5" t="n"/>
      <c r="BQ904" s="5" t="n"/>
      <c r="BR904" s="5" t="n"/>
      <c r="BS904" s="5" t="n"/>
      <c r="BT904" s="5" t="n"/>
      <c r="BU904" s="5" t="n"/>
      <c r="BV904" s="5" t="n"/>
      <c r="BW904" s="5" t="n"/>
      <c r="BX904" s="5" t="n"/>
      <c r="BY904" s="5" t="n"/>
      <c r="BZ904" s="5" t="n"/>
      <c r="CA904" s="5" t="n"/>
      <c r="CB904" s="5" t="n"/>
      <c r="CC904" s="5" t="n"/>
      <c r="CD904" s="5" t="n"/>
      <c r="CE904" s="5" t="n"/>
      <c r="CF904" s="5" t="n"/>
    </row>
    <row r="905">
      <c r="A905" s="171" t="n"/>
      <c r="B905" s="171" t="n"/>
      <c r="C905" s="171" t="n"/>
      <c r="D905" s="170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  <c r="AY905" s="5" t="n"/>
      <c r="AZ905" s="5" t="n"/>
      <c r="BA905" s="5" t="n"/>
      <c r="BB905" s="5" t="n"/>
      <c r="BC905" s="5" t="n"/>
      <c r="BD905" s="5" t="n"/>
      <c r="BE905" s="5" t="n"/>
      <c r="BF905" s="5" t="n"/>
      <c r="BG905" s="5" t="n"/>
      <c r="BH905" s="5" t="n"/>
      <c r="BI905" s="5" t="n"/>
      <c r="BJ905" s="5" t="n"/>
      <c r="BK905" s="5" t="n"/>
      <c r="BL905" s="5" t="n"/>
      <c r="BM905" s="5" t="n"/>
      <c r="BN905" s="5" t="n"/>
      <c r="BO905" s="5" t="n"/>
      <c r="BP905" s="5" t="n"/>
      <c r="BQ905" s="5" t="n"/>
      <c r="BR905" s="5" t="n"/>
      <c r="BS905" s="5" t="n"/>
      <c r="BT905" s="5" t="n"/>
      <c r="BU905" s="5" t="n"/>
      <c r="BV905" s="5" t="n"/>
      <c r="BW905" s="5" t="n"/>
      <c r="BX905" s="5" t="n"/>
      <c r="BY905" s="5" t="n"/>
      <c r="BZ905" s="5" t="n"/>
      <c r="CA905" s="5" t="n"/>
      <c r="CB905" s="5" t="n"/>
      <c r="CC905" s="5" t="n"/>
      <c r="CD905" s="5" t="n"/>
      <c r="CE905" s="5" t="n"/>
      <c r="CF905" s="5" t="n"/>
    </row>
    <row r="906">
      <c r="A906" s="171" t="n"/>
      <c r="B906" s="171" t="n"/>
      <c r="C906" s="171" t="n"/>
      <c r="D906" s="170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  <c r="AY906" s="5" t="n"/>
      <c r="AZ906" s="5" t="n"/>
      <c r="BA906" s="5" t="n"/>
      <c r="BB906" s="5" t="n"/>
      <c r="BC906" s="5" t="n"/>
      <c r="BD906" s="5" t="n"/>
      <c r="BE906" s="5" t="n"/>
      <c r="BF906" s="5" t="n"/>
      <c r="BG906" s="5" t="n"/>
      <c r="BH906" s="5" t="n"/>
      <c r="BI906" s="5" t="n"/>
      <c r="BJ906" s="5" t="n"/>
      <c r="BK906" s="5" t="n"/>
      <c r="BL906" s="5" t="n"/>
      <c r="BM906" s="5" t="n"/>
      <c r="BN906" s="5" t="n"/>
      <c r="BO906" s="5" t="n"/>
      <c r="BP906" s="5" t="n"/>
      <c r="BQ906" s="5" t="n"/>
      <c r="BR906" s="5" t="n"/>
      <c r="BS906" s="5" t="n"/>
      <c r="BT906" s="5" t="n"/>
      <c r="BU906" s="5" t="n"/>
      <c r="BV906" s="5" t="n"/>
      <c r="BW906" s="5" t="n"/>
      <c r="BX906" s="5" t="n"/>
      <c r="BY906" s="5" t="n"/>
      <c r="BZ906" s="5" t="n"/>
      <c r="CA906" s="5" t="n"/>
      <c r="CB906" s="5" t="n"/>
      <c r="CC906" s="5" t="n"/>
      <c r="CD906" s="5" t="n"/>
      <c r="CE906" s="5" t="n"/>
      <c r="CF906" s="5" t="n"/>
    </row>
    <row r="907">
      <c r="A907" s="171" t="n"/>
      <c r="B907" s="171" t="n"/>
      <c r="C907" s="171" t="n"/>
      <c r="D907" s="170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  <c r="AY907" s="5" t="n"/>
      <c r="AZ907" s="5" t="n"/>
      <c r="BA907" s="5" t="n"/>
      <c r="BB907" s="5" t="n"/>
      <c r="BC907" s="5" t="n"/>
      <c r="BD907" s="5" t="n"/>
      <c r="BE907" s="5" t="n"/>
      <c r="BF907" s="5" t="n"/>
      <c r="BG907" s="5" t="n"/>
      <c r="BH907" s="5" t="n"/>
      <c r="BI907" s="5" t="n"/>
      <c r="BJ907" s="5" t="n"/>
      <c r="BK907" s="5" t="n"/>
      <c r="BL907" s="5" t="n"/>
      <c r="BM907" s="5" t="n"/>
      <c r="BN907" s="5" t="n"/>
      <c r="BO907" s="5" t="n"/>
      <c r="BP907" s="5" t="n"/>
      <c r="BQ907" s="5" t="n"/>
      <c r="BR907" s="5" t="n"/>
      <c r="BS907" s="5" t="n"/>
      <c r="BT907" s="5" t="n"/>
      <c r="BU907" s="5" t="n"/>
      <c r="BV907" s="5" t="n"/>
      <c r="BW907" s="5" t="n"/>
      <c r="BX907" s="5" t="n"/>
      <c r="BY907" s="5" t="n"/>
      <c r="BZ907" s="5" t="n"/>
      <c r="CA907" s="5" t="n"/>
      <c r="CB907" s="5" t="n"/>
      <c r="CC907" s="5" t="n"/>
      <c r="CD907" s="5" t="n"/>
      <c r="CE907" s="5" t="n"/>
      <c r="CF907" s="5" t="n"/>
    </row>
    <row r="908">
      <c r="A908" s="171" t="n"/>
      <c r="B908" s="171" t="n"/>
      <c r="C908" s="171" t="n"/>
      <c r="D908" s="170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  <c r="AY908" s="5" t="n"/>
      <c r="AZ908" s="5" t="n"/>
      <c r="BA908" s="5" t="n"/>
      <c r="BB908" s="5" t="n"/>
      <c r="BC908" s="5" t="n"/>
      <c r="BD908" s="5" t="n"/>
      <c r="BE908" s="5" t="n"/>
      <c r="BF908" s="5" t="n"/>
      <c r="BG908" s="5" t="n"/>
      <c r="BH908" s="5" t="n"/>
      <c r="BI908" s="5" t="n"/>
      <c r="BJ908" s="5" t="n"/>
      <c r="BK908" s="5" t="n"/>
      <c r="BL908" s="5" t="n"/>
      <c r="BM908" s="5" t="n"/>
      <c r="BN908" s="5" t="n"/>
      <c r="BO908" s="5" t="n"/>
      <c r="BP908" s="5" t="n"/>
      <c r="BQ908" s="5" t="n"/>
      <c r="BR908" s="5" t="n"/>
      <c r="BS908" s="5" t="n"/>
      <c r="BT908" s="5" t="n"/>
      <c r="BU908" s="5" t="n"/>
      <c r="BV908" s="5" t="n"/>
      <c r="BW908" s="5" t="n"/>
      <c r="BX908" s="5" t="n"/>
      <c r="BY908" s="5" t="n"/>
      <c r="BZ908" s="5" t="n"/>
      <c r="CA908" s="5" t="n"/>
      <c r="CB908" s="5" t="n"/>
      <c r="CC908" s="5" t="n"/>
      <c r="CD908" s="5" t="n"/>
      <c r="CE908" s="5" t="n"/>
      <c r="CF908" s="5" t="n"/>
    </row>
    <row r="909">
      <c r="A909" s="171" t="n"/>
      <c r="B909" s="171" t="n"/>
      <c r="C909" s="171" t="n"/>
      <c r="D909" s="170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  <c r="AY909" s="5" t="n"/>
      <c r="AZ909" s="5" t="n"/>
      <c r="BA909" s="5" t="n"/>
      <c r="BB909" s="5" t="n"/>
      <c r="BC909" s="5" t="n"/>
      <c r="BD909" s="5" t="n"/>
      <c r="BE909" s="5" t="n"/>
      <c r="BF909" s="5" t="n"/>
      <c r="BG909" s="5" t="n"/>
      <c r="BH909" s="5" t="n"/>
      <c r="BI909" s="5" t="n"/>
      <c r="BJ909" s="5" t="n"/>
      <c r="BK909" s="5" t="n"/>
      <c r="BL909" s="5" t="n"/>
      <c r="BM909" s="5" t="n"/>
      <c r="BN909" s="5" t="n"/>
      <c r="BO909" s="5" t="n"/>
      <c r="BP909" s="5" t="n"/>
      <c r="BQ909" s="5" t="n"/>
      <c r="BR909" s="5" t="n"/>
      <c r="BS909" s="5" t="n"/>
      <c r="BT909" s="5" t="n"/>
      <c r="BU909" s="5" t="n"/>
      <c r="BV909" s="5" t="n"/>
      <c r="BW909" s="5" t="n"/>
      <c r="BX909" s="5" t="n"/>
      <c r="BY909" s="5" t="n"/>
      <c r="BZ909" s="5" t="n"/>
      <c r="CA909" s="5" t="n"/>
      <c r="CB909" s="5" t="n"/>
      <c r="CC909" s="5" t="n"/>
      <c r="CD909" s="5" t="n"/>
      <c r="CE909" s="5" t="n"/>
      <c r="CF909" s="5" t="n"/>
    </row>
    <row r="910">
      <c r="A910" s="171" t="n"/>
      <c r="B910" s="171" t="n"/>
      <c r="C910" s="171" t="n"/>
      <c r="D910" s="170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  <c r="AY910" s="5" t="n"/>
      <c r="AZ910" s="5" t="n"/>
      <c r="BA910" s="5" t="n"/>
      <c r="BB910" s="5" t="n"/>
      <c r="BC910" s="5" t="n"/>
      <c r="BD910" s="5" t="n"/>
      <c r="BE910" s="5" t="n"/>
      <c r="BF910" s="5" t="n"/>
      <c r="BG910" s="5" t="n"/>
      <c r="BH910" s="5" t="n"/>
      <c r="BI910" s="5" t="n"/>
      <c r="BJ910" s="5" t="n"/>
      <c r="BK910" s="5" t="n"/>
      <c r="BL910" s="5" t="n"/>
      <c r="BM910" s="5" t="n"/>
      <c r="BN910" s="5" t="n"/>
      <c r="BO910" s="5" t="n"/>
      <c r="BP910" s="5" t="n"/>
      <c r="BQ910" s="5" t="n"/>
      <c r="BR910" s="5" t="n"/>
      <c r="BS910" s="5" t="n"/>
      <c r="BT910" s="5" t="n"/>
      <c r="BU910" s="5" t="n"/>
      <c r="BV910" s="5" t="n"/>
      <c r="BW910" s="5" t="n"/>
      <c r="BX910" s="5" t="n"/>
      <c r="BY910" s="5" t="n"/>
      <c r="BZ910" s="5" t="n"/>
      <c r="CA910" s="5" t="n"/>
      <c r="CB910" s="5" t="n"/>
      <c r="CC910" s="5" t="n"/>
      <c r="CD910" s="5" t="n"/>
      <c r="CE910" s="5" t="n"/>
      <c r="CF910" s="5" t="n"/>
    </row>
    <row r="911">
      <c r="A911" s="171" t="n"/>
      <c r="B911" s="171" t="n"/>
      <c r="C911" s="171" t="n"/>
      <c r="D911" s="170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  <c r="AY911" s="5" t="n"/>
      <c r="AZ911" s="5" t="n"/>
      <c r="BA911" s="5" t="n"/>
      <c r="BB911" s="5" t="n"/>
      <c r="BC911" s="5" t="n"/>
      <c r="BD911" s="5" t="n"/>
      <c r="BE911" s="5" t="n"/>
      <c r="BF911" s="5" t="n"/>
      <c r="BG911" s="5" t="n"/>
      <c r="BH911" s="5" t="n"/>
      <c r="BI911" s="5" t="n"/>
      <c r="BJ911" s="5" t="n"/>
      <c r="BK911" s="5" t="n"/>
      <c r="BL911" s="5" t="n"/>
      <c r="BM911" s="5" t="n"/>
      <c r="BN911" s="5" t="n"/>
      <c r="BO911" s="5" t="n"/>
      <c r="BP911" s="5" t="n"/>
      <c r="BQ911" s="5" t="n"/>
      <c r="BR911" s="5" t="n"/>
      <c r="BS911" s="5" t="n"/>
      <c r="BT911" s="5" t="n"/>
      <c r="BU911" s="5" t="n"/>
      <c r="BV911" s="5" t="n"/>
      <c r="BW911" s="5" t="n"/>
      <c r="BX911" s="5" t="n"/>
      <c r="BY911" s="5" t="n"/>
      <c r="BZ911" s="5" t="n"/>
      <c r="CA911" s="5" t="n"/>
      <c r="CB911" s="5" t="n"/>
      <c r="CC911" s="5" t="n"/>
      <c r="CD911" s="5" t="n"/>
      <c r="CE911" s="5" t="n"/>
      <c r="CF911" s="5" t="n"/>
    </row>
    <row r="912">
      <c r="A912" s="171" t="n"/>
      <c r="B912" s="171" t="n"/>
      <c r="C912" s="171" t="n"/>
      <c r="D912" s="170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  <c r="AY912" s="5" t="n"/>
      <c r="AZ912" s="5" t="n"/>
      <c r="BA912" s="5" t="n"/>
      <c r="BB912" s="5" t="n"/>
      <c r="BC912" s="5" t="n"/>
      <c r="BD912" s="5" t="n"/>
      <c r="BE912" s="5" t="n"/>
      <c r="BF912" s="5" t="n"/>
      <c r="BG912" s="5" t="n"/>
      <c r="BH912" s="5" t="n"/>
      <c r="BI912" s="5" t="n"/>
      <c r="BJ912" s="5" t="n"/>
      <c r="BK912" s="5" t="n"/>
      <c r="BL912" s="5" t="n"/>
      <c r="BM912" s="5" t="n"/>
      <c r="BN912" s="5" t="n"/>
      <c r="BO912" s="5" t="n"/>
      <c r="BP912" s="5" t="n"/>
      <c r="BQ912" s="5" t="n"/>
      <c r="BR912" s="5" t="n"/>
      <c r="BS912" s="5" t="n"/>
      <c r="BT912" s="5" t="n"/>
      <c r="BU912" s="5" t="n"/>
      <c r="BV912" s="5" t="n"/>
      <c r="BW912" s="5" t="n"/>
      <c r="BX912" s="5" t="n"/>
      <c r="BY912" s="5" t="n"/>
      <c r="BZ912" s="5" t="n"/>
      <c r="CA912" s="5" t="n"/>
      <c r="CB912" s="5" t="n"/>
      <c r="CC912" s="5" t="n"/>
      <c r="CD912" s="5" t="n"/>
      <c r="CE912" s="5" t="n"/>
      <c r="CF912" s="5" t="n"/>
    </row>
    <row r="913">
      <c r="A913" s="171" t="n"/>
      <c r="B913" s="171" t="n"/>
      <c r="C913" s="171" t="n"/>
      <c r="D913" s="170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  <c r="AY913" s="5" t="n"/>
      <c r="AZ913" s="5" t="n"/>
      <c r="BA913" s="5" t="n"/>
      <c r="BB913" s="5" t="n"/>
      <c r="BC913" s="5" t="n"/>
      <c r="BD913" s="5" t="n"/>
      <c r="BE913" s="5" t="n"/>
      <c r="BF913" s="5" t="n"/>
      <c r="BG913" s="5" t="n"/>
      <c r="BH913" s="5" t="n"/>
      <c r="BI913" s="5" t="n"/>
      <c r="BJ913" s="5" t="n"/>
      <c r="BK913" s="5" t="n"/>
      <c r="BL913" s="5" t="n"/>
      <c r="BM913" s="5" t="n"/>
      <c r="BN913" s="5" t="n"/>
      <c r="BO913" s="5" t="n"/>
      <c r="BP913" s="5" t="n"/>
      <c r="BQ913" s="5" t="n"/>
      <c r="BR913" s="5" t="n"/>
      <c r="BS913" s="5" t="n"/>
      <c r="BT913" s="5" t="n"/>
      <c r="BU913" s="5" t="n"/>
      <c r="BV913" s="5" t="n"/>
      <c r="BW913" s="5" t="n"/>
      <c r="BX913" s="5" t="n"/>
      <c r="BY913" s="5" t="n"/>
      <c r="BZ913" s="5" t="n"/>
      <c r="CA913" s="5" t="n"/>
      <c r="CB913" s="5" t="n"/>
      <c r="CC913" s="5" t="n"/>
      <c r="CD913" s="5" t="n"/>
      <c r="CE913" s="5" t="n"/>
      <c r="CF913" s="5" t="n"/>
    </row>
    <row r="914">
      <c r="A914" s="171" t="n"/>
      <c r="B914" s="171" t="n"/>
      <c r="C914" s="171" t="n"/>
      <c r="D914" s="170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  <c r="AY914" s="5" t="n"/>
      <c r="AZ914" s="5" t="n"/>
      <c r="BA914" s="5" t="n"/>
      <c r="BB914" s="5" t="n"/>
      <c r="BC914" s="5" t="n"/>
      <c r="BD914" s="5" t="n"/>
      <c r="BE914" s="5" t="n"/>
      <c r="BF914" s="5" t="n"/>
      <c r="BG914" s="5" t="n"/>
      <c r="BH914" s="5" t="n"/>
      <c r="BI914" s="5" t="n"/>
      <c r="BJ914" s="5" t="n"/>
      <c r="BK914" s="5" t="n"/>
      <c r="BL914" s="5" t="n"/>
      <c r="BM914" s="5" t="n"/>
      <c r="BN914" s="5" t="n"/>
      <c r="BO914" s="5" t="n"/>
      <c r="BP914" s="5" t="n"/>
      <c r="BQ914" s="5" t="n"/>
      <c r="BR914" s="5" t="n"/>
      <c r="BS914" s="5" t="n"/>
      <c r="BT914" s="5" t="n"/>
      <c r="BU914" s="5" t="n"/>
      <c r="BV914" s="5" t="n"/>
      <c r="BW914" s="5" t="n"/>
      <c r="BX914" s="5" t="n"/>
      <c r="BY914" s="5" t="n"/>
      <c r="BZ914" s="5" t="n"/>
      <c r="CA914" s="5" t="n"/>
      <c r="CB914" s="5" t="n"/>
      <c r="CC914" s="5" t="n"/>
      <c r="CD914" s="5" t="n"/>
      <c r="CE914" s="5" t="n"/>
      <c r="CF914" s="5" t="n"/>
    </row>
    <row r="915">
      <c r="A915" s="171" t="n"/>
      <c r="B915" s="171" t="n"/>
      <c r="C915" s="171" t="n"/>
      <c r="D915" s="170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  <c r="AY915" s="5" t="n"/>
      <c r="AZ915" s="5" t="n"/>
      <c r="BA915" s="5" t="n"/>
      <c r="BB915" s="5" t="n"/>
      <c r="BC915" s="5" t="n"/>
      <c r="BD915" s="5" t="n"/>
      <c r="BE915" s="5" t="n"/>
      <c r="BF915" s="5" t="n"/>
      <c r="BG915" s="5" t="n"/>
      <c r="BH915" s="5" t="n"/>
      <c r="BI915" s="5" t="n"/>
      <c r="BJ915" s="5" t="n"/>
      <c r="BK915" s="5" t="n"/>
      <c r="BL915" s="5" t="n"/>
      <c r="BM915" s="5" t="n"/>
      <c r="BN915" s="5" t="n"/>
      <c r="BO915" s="5" t="n"/>
      <c r="BP915" s="5" t="n"/>
      <c r="BQ915" s="5" t="n"/>
      <c r="BR915" s="5" t="n"/>
      <c r="BS915" s="5" t="n"/>
      <c r="BT915" s="5" t="n"/>
      <c r="BU915" s="5" t="n"/>
      <c r="BV915" s="5" t="n"/>
      <c r="BW915" s="5" t="n"/>
      <c r="BX915" s="5" t="n"/>
      <c r="BY915" s="5" t="n"/>
      <c r="BZ915" s="5" t="n"/>
      <c r="CA915" s="5" t="n"/>
      <c r="CB915" s="5" t="n"/>
      <c r="CC915" s="5" t="n"/>
      <c r="CD915" s="5" t="n"/>
      <c r="CE915" s="5" t="n"/>
      <c r="CF915" s="5" t="n"/>
    </row>
    <row r="916">
      <c r="A916" s="171" t="n"/>
      <c r="B916" s="171" t="n"/>
      <c r="C916" s="171" t="n"/>
      <c r="D916" s="170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  <c r="AY916" s="5" t="n"/>
      <c r="AZ916" s="5" t="n"/>
      <c r="BA916" s="5" t="n"/>
      <c r="BB916" s="5" t="n"/>
      <c r="BC916" s="5" t="n"/>
      <c r="BD916" s="5" t="n"/>
      <c r="BE916" s="5" t="n"/>
      <c r="BF916" s="5" t="n"/>
      <c r="BG916" s="5" t="n"/>
      <c r="BH916" s="5" t="n"/>
      <c r="BI916" s="5" t="n"/>
      <c r="BJ916" s="5" t="n"/>
      <c r="BK916" s="5" t="n"/>
      <c r="BL916" s="5" t="n"/>
      <c r="BM916" s="5" t="n"/>
      <c r="BN916" s="5" t="n"/>
      <c r="BO916" s="5" t="n"/>
      <c r="BP916" s="5" t="n"/>
      <c r="BQ916" s="5" t="n"/>
      <c r="BR916" s="5" t="n"/>
      <c r="BS916" s="5" t="n"/>
      <c r="BT916" s="5" t="n"/>
      <c r="BU916" s="5" t="n"/>
      <c r="BV916" s="5" t="n"/>
      <c r="BW916" s="5" t="n"/>
      <c r="BX916" s="5" t="n"/>
      <c r="BY916" s="5" t="n"/>
      <c r="BZ916" s="5" t="n"/>
      <c r="CA916" s="5" t="n"/>
      <c r="CB916" s="5" t="n"/>
      <c r="CC916" s="5" t="n"/>
      <c r="CD916" s="5" t="n"/>
      <c r="CE916" s="5" t="n"/>
      <c r="CF916" s="5" t="n"/>
    </row>
    <row r="917">
      <c r="A917" s="171" t="n"/>
      <c r="B917" s="171" t="n"/>
      <c r="C917" s="171" t="n"/>
      <c r="D917" s="170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  <c r="AY917" s="5" t="n"/>
      <c r="AZ917" s="5" t="n"/>
      <c r="BA917" s="5" t="n"/>
      <c r="BB917" s="5" t="n"/>
      <c r="BC917" s="5" t="n"/>
      <c r="BD917" s="5" t="n"/>
      <c r="BE917" s="5" t="n"/>
      <c r="BF917" s="5" t="n"/>
      <c r="BG917" s="5" t="n"/>
      <c r="BH917" s="5" t="n"/>
      <c r="BI917" s="5" t="n"/>
      <c r="BJ917" s="5" t="n"/>
      <c r="BK917" s="5" t="n"/>
      <c r="BL917" s="5" t="n"/>
      <c r="BM917" s="5" t="n"/>
      <c r="BN917" s="5" t="n"/>
      <c r="BO917" s="5" t="n"/>
      <c r="BP917" s="5" t="n"/>
      <c r="BQ917" s="5" t="n"/>
      <c r="BR917" s="5" t="n"/>
      <c r="BS917" s="5" t="n"/>
      <c r="BT917" s="5" t="n"/>
      <c r="BU917" s="5" t="n"/>
      <c r="BV917" s="5" t="n"/>
      <c r="BW917" s="5" t="n"/>
      <c r="BX917" s="5" t="n"/>
      <c r="BY917" s="5" t="n"/>
      <c r="BZ917" s="5" t="n"/>
      <c r="CA917" s="5" t="n"/>
      <c r="CB917" s="5" t="n"/>
      <c r="CC917" s="5" t="n"/>
      <c r="CD917" s="5" t="n"/>
      <c r="CE917" s="5" t="n"/>
      <c r="CF917" s="5" t="n"/>
    </row>
    <row r="918">
      <c r="A918" s="171" t="n"/>
      <c r="B918" s="171" t="n"/>
      <c r="C918" s="171" t="n"/>
      <c r="D918" s="170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  <c r="AY918" s="5" t="n"/>
      <c r="AZ918" s="5" t="n"/>
      <c r="BA918" s="5" t="n"/>
      <c r="BB918" s="5" t="n"/>
      <c r="BC918" s="5" t="n"/>
      <c r="BD918" s="5" t="n"/>
      <c r="BE918" s="5" t="n"/>
      <c r="BF918" s="5" t="n"/>
      <c r="BG918" s="5" t="n"/>
      <c r="BH918" s="5" t="n"/>
      <c r="BI918" s="5" t="n"/>
      <c r="BJ918" s="5" t="n"/>
      <c r="BK918" s="5" t="n"/>
      <c r="BL918" s="5" t="n"/>
      <c r="BM918" s="5" t="n"/>
      <c r="BN918" s="5" t="n"/>
      <c r="BO918" s="5" t="n"/>
      <c r="BP918" s="5" t="n"/>
      <c r="BQ918" s="5" t="n"/>
      <c r="BR918" s="5" t="n"/>
      <c r="BS918" s="5" t="n"/>
      <c r="BT918" s="5" t="n"/>
      <c r="BU918" s="5" t="n"/>
      <c r="BV918" s="5" t="n"/>
      <c r="BW918" s="5" t="n"/>
      <c r="BX918" s="5" t="n"/>
      <c r="BY918" s="5" t="n"/>
      <c r="BZ918" s="5" t="n"/>
      <c r="CA918" s="5" t="n"/>
      <c r="CB918" s="5" t="n"/>
      <c r="CC918" s="5" t="n"/>
      <c r="CD918" s="5" t="n"/>
      <c r="CE918" s="5" t="n"/>
      <c r="CF918" s="5" t="n"/>
    </row>
    <row r="919">
      <c r="A919" s="171" t="n"/>
      <c r="B919" s="171" t="n"/>
      <c r="C919" s="171" t="n"/>
      <c r="D919" s="170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  <c r="AY919" s="5" t="n"/>
      <c r="AZ919" s="5" t="n"/>
      <c r="BA919" s="5" t="n"/>
      <c r="BB919" s="5" t="n"/>
      <c r="BC919" s="5" t="n"/>
      <c r="BD919" s="5" t="n"/>
      <c r="BE919" s="5" t="n"/>
      <c r="BF919" s="5" t="n"/>
      <c r="BG919" s="5" t="n"/>
      <c r="BH919" s="5" t="n"/>
      <c r="BI919" s="5" t="n"/>
      <c r="BJ919" s="5" t="n"/>
      <c r="BK919" s="5" t="n"/>
      <c r="BL919" s="5" t="n"/>
      <c r="BM919" s="5" t="n"/>
      <c r="BN919" s="5" t="n"/>
      <c r="BO919" s="5" t="n"/>
      <c r="BP919" s="5" t="n"/>
      <c r="BQ919" s="5" t="n"/>
      <c r="BR919" s="5" t="n"/>
      <c r="BS919" s="5" t="n"/>
      <c r="BT919" s="5" t="n"/>
      <c r="BU919" s="5" t="n"/>
      <c r="BV919" s="5" t="n"/>
      <c r="BW919" s="5" t="n"/>
      <c r="BX919" s="5" t="n"/>
      <c r="BY919" s="5" t="n"/>
      <c r="BZ919" s="5" t="n"/>
      <c r="CA919" s="5" t="n"/>
      <c r="CB919" s="5" t="n"/>
      <c r="CC919" s="5" t="n"/>
      <c r="CD919" s="5" t="n"/>
      <c r="CE919" s="5" t="n"/>
      <c r="CF919" s="5" t="n"/>
    </row>
    <row r="920">
      <c r="A920" s="171" t="n"/>
      <c r="B920" s="171" t="n"/>
      <c r="C920" s="171" t="n"/>
      <c r="D920" s="170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  <c r="AY920" s="5" t="n"/>
      <c r="AZ920" s="5" t="n"/>
      <c r="BA920" s="5" t="n"/>
      <c r="BB920" s="5" t="n"/>
      <c r="BC920" s="5" t="n"/>
      <c r="BD920" s="5" t="n"/>
      <c r="BE920" s="5" t="n"/>
      <c r="BF920" s="5" t="n"/>
      <c r="BG920" s="5" t="n"/>
      <c r="BH920" s="5" t="n"/>
      <c r="BI920" s="5" t="n"/>
      <c r="BJ920" s="5" t="n"/>
      <c r="BK920" s="5" t="n"/>
      <c r="BL920" s="5" t="n"/>
      <c r="BM920" s="5" t="n"/>
      <c r="BN920" s="5" t="n"/>
      <c r="BO920" s="5" t="n"/>
      <c r="BP920" s="5" t="n"/>
      <c r="BQ920" s="5" t="n"/>
      <c r="BR920" s="5" t="n"/>
      <c r="BS920" s="5" t="n"/>
      <c r="BT920" s="5" t="n"/>
      <c r="BU920" s="5" t="n"/>
      <c r="BV920" s="5" t="n"/>
      <c r="BW920" s="5" t="n"/>
      <c r="BX920" s="5" t="n"/>
      <c r="BY920" s="5" t="n"/>
      <c r="BZ920" s="5" t="n"/>
      <c r="CA920" s="5" t="n"/>
      <c r="CB920" s="5" t="n"/>
      <c r="CC920" s="5" t="n"/>
      <c r="CD920" s="5" t="n"/>
      <c r="CE920" s="5" t="n"/>
      <c r="CF920" s="5" t="n"/>
    </row>
    <row r="921">
      <c r="A921" s="171" t="n"/>
      <c r="B921" s="171" t="n"/>
      <c r="C921" s="171" t="n"/>
      <c r="D921" s="170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  <c r="AY921" s="5" t="n"/>
      <c r="AZ921" s="5" t="n"/>
      <c r="BA921" s="5" t="n"/>
      <c r="BB921" s="5" t="n"/>
      <c r="BC921" s="5" t="n"/>
      <c r="BD921" s="5" t="n"/>
      <c r="BE921" s="5" t="n"/>
      <c r="BF921" s="5" t="n"/>
      <c r="BG921" s="5" t="n"/>
      <c r="BH921" s="5" t="n"/>
      <c r="BI921" s="5" t="n"/>
      <c r="BJ921" s="5" t="n"/>
      <c r="BK921" s="5" t="n"/>
      <c r="BL921" s="5" t="n"/>
      <c r="BM921" s="5" t="n"/>
      <c r="BN921" s="5" t="n"/>
      <c r="BO921" s="5" t="n"/>
      <c r="BP921" s="5" t="n"/>
      <c r="BQ921" s="5" t="n"/>
      <c r="BR921" s="5" t="n"/>
      <c r="BS921" s="5" t="n"/>
      <c r="BT921" s="5" t="n"/>
      <c r="BU921" s="5" t="n"/>
      <c r="BV921" s="5" t="n"/>
      <c r="BW921" s="5" t="n"/>
      <c r="BX921" s="5" t="n"/>
      <c r="BY921" s="5" t="n"/>
      <c r="BZ921" s="5" t="n"/>
      <c r="CA921" s="5" t="n"/>
      <c r="CB921" s="5" t="n"/>
      <c r="CC921" s="5" t="n"/>
      <c r="CD921" s="5" t="n"/>
      <c r="CE921" s="5" t="n"/>
      <c r="CF921" s="5" t="n"/>
    </row>
    <row r="922">
      <c r="A922" s="171" t="n"/>
      <c r="B922" s="171" t="n"/>
      <c r="C922" s="171" t="n"/>
      <c r="D922" s="170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  <c r="AY922" s="5" t="n"/>
      <c r="AZ922" s="5" t="n"/>
      <c r="BA922" s="5" t="n"/>
      <c r="BB922" s="5" t="n"/>
      <c r="BC922" s="5" t="n"/>
      <c r="BD922" s="5" t="n"/>
      <c r="BE922" s="5" t="n"/>
      <c r="BF922" s="5" t="n"/>
      <c r="BG922" s="5" t="n"/>
      <c r="BH922" s="5" t="n"/>
      <c r="BI922" s="5" t="n"/>
      <c r="BJ922" s="5" t="n"/>
      <c r="BK922" s="5" t="n"/>
      <c r="BL922" s="5" t="n"/>
      <c r="BM922" s="5" t="n"/>
      <c r="BN922" s="5" t="n"/>
      <c r="BO922" s="5" t="n"/>
      <c r="BP922" s="5" t="n"/>
      <c r="BQ922" s="5" t="n"/>
      <c r="BR922" s="5" t="n"/>
      <c r="BS922" s="5" t="n"/>
      <c r="BT922" s="5" t="n"/>
      <c r="BU922" s="5" t="n"/>
      <c r="BV922" s="5" t="n"/>
      <c r="BW922" s="5" t="n"/>
      <c r="BX922" s="5" t="n"/>
      <c r="BY922" s="5" t="n"/>
      <c r="BZ922" s="5" t="n"/>
      <c r="CA922" s="5" t="n"/>
      <c r="CB922" s="5" t="n"/>
      <c r="CC922" s="5" t="n"/>
      <c r="CD922" s="5" t="n"/>
      <c r="CE922" s="5" t="n"/>
      <c r="CF922" s="5" t="n"/>
    </row>
    <row r="923">
      <c r="A923" s="171" t="n"/>
      <c r="B923" s="171" t="n"/>
      <c r="C923" s="171" t="n"/>
      <c r="D923" s="170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  <c r="AY923" s="5" t="n"/>
      <c r="AZ923" s="5" t="n"/>
      <c r="BA923" s="5" t="n"/>
      <c r="BB923" s="5" t="n"/>
      <c r="BC923" s="5" t="n"/>
      <c r="BD923" s="5" t="n"/>
      <c r="BE923" s="5" t="n"/>
      <c r="BF923" s="5" t="n"/>
      <c r="BG923" s="5" t="n"/>
      <c r="BH923" s="5" t="n"/>
      <c r="BI923" s="5" t="n"/>
      <c r="BJ923" s="5" t="n"/>
      <c r="BK923" s="5" t="n"/>
      <c r="BL923" s="5" t="n"/>
      <c r="BM923" s="5" t="n"/>
      <c r="BN923" s="5" t="n"/>
      <c r="BO923" s="5" t="n"/>
      <c r="BP923" s="5" t="n"/>
      <c r="BQ923" s="5" t="n"/>
      <c r="BR923" s="5" t="n"/>
      <c r="BS923" s="5" t="n"/>
      <c r="BT923" s="5" t="n"/>
      <c r="BU923" s="5" t="n"/>
      <c r="BV923" s="5" t="n"/>
      <c r="BW923" s="5" t="n"/>
      <c r="BX923" s="5" t="n"/>
      <c r="BY923" s="5" t="n"/>
      <c r="BZ923" s="5" t="n"/>
      <c r="CA923" s="5" t="n"/>
      <c r="CB923" s="5" t="n"/>
      <c r="CC923" s="5" t="n"/>
      <c r="CD923" s="5" t="n"/>
      <c r="CE923" s="5" t="n"/>
      <c r="CF923" s="5" t="n"/>
    </row>
    <row r="924">
      <c r="A924" s="171" t="n"/>
      <c r="B924" s="171" t="n"/>
      <c r="C924" s="171" t="n"/>
      <c r="D924" s="170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  <c r="AY924" s="5" t="n"/>
      <c r="AZ924" s="5" t="n"/>
      <c r="BA924" s="5" t="n"/>
      <c r="BB924" s="5" t="n"/>
      <c r="BC924" s="5" t="n"/>
      <c r="BD924" s="5" t="n"/>
      <c r="BE924" s="5" t="n"/>
      <c r="BF924" s="5" t="n"/>
      <c r="BG924" s="5" t="n"/>
      <c r="BH924" s="5" t="n"/>
      <c r="BI924" s="5" t="n"/>
      <c r="BJ924" s="5" t="n"/>
      <c r="BK924" s="5" t="n"/>
      <c r="BL924" s="5" t="n"/>
      <c r="BM924" s="5" t="n"/>
      <c r="BN924" s="5" t="n"/>
      <c r="BO924" s="5" t="n"/>
      <c r="BP924" s="5" t="n"/>
      <c r="BQ924" s="5" t="n"/>
      <c r="BR924" s="5" t="n"/>
      <c r="BS924" s="5" t="n"/>
      <c r="BT924" s="5" t="n"/>
      <c r="BU924" s="5" t="n"/>
      <c r="BV924" s="5" t="n"/>
      <c r="BW924" s="5" t="n"/>
      <c r="BX924" s="5" t="n"/>
      <c r="BY924" s="5" t="n"/>
      <c r="BZ924" s="5" t="n"/>
      <c r="CA924" s="5" t="n"/>
      <c r="CB924" s="5" t="n"/>
      <c r="CC924" s="5" t="n"/>
      <c r="CD924" s="5" t="n"/>
      <c r="CE924" s="5" t="n"/>
      <c r="CF924" s="5" t="n"/>
    </row>
    <row r="925">
      <c r="A925" s="171" t="n"/>
      <c r="B925" s="171" t="n"/>
      <c r="C925" s="171" t="n"/>
      <c r="D925" s="170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  <c r="AY925" s="5" t="n"/>
      <c r="AZ925" s="5" t="n"/>
      <c r="BA925" s="5" t="n"/>
      <c r="BB925" s="5" t="n"/>
      <c r="BC925" s="5" t="n"/>
      <c r="BD925" s="5" t="n"/>
      <c r="BE925" s="5" t="n"/>
      <c r="BF925" s="5" t="n"/>
      <c r="BG925" s="5" t="n"/>
      <c r="BH925" s="5" t="n"/>
      <c r="BI925" s="5" t="n"/>
      <c r="BJ925" s="5" t="n"/>
      <c r="BK925" s="5" t="n"/>
      <c r="BL925" s="5" t="n"/>
      <c r="BM925" s="5" t="n"/>
      <c r="BN925" s="5" t="n"/>
      <c r="BO925" s="5" t="n"/>
      <c r="BP925" s="5" t="n"/>
      <c r="BQ925" s="5" t="n"/>
      <c r="BR925" s="5" t="n"/>
      <c r="BS925" s="5" t="n"/>
      <c r="BT925" s="5" t="n"/>
      <c r="BU925" s="5" t="n"/>
      <c r="BV925" s="5" t="n"/>
      <c r="BW925" s="5" t="n"/>
      <c r="BX925" s="5" t="n"/>
      <c r="BY925" s="5" t="n"/>
      <c r="BZ925" s="5" t="n"/>
      <c r="CA925" s="5" t="n"/>
      <c r="CB925" s="5" t="n"/>
      <c r="CC925" s="5" t="n"/>
      <c r="CD925" s="5" t="n"/>
      <c r="CE925" s="5" t="n"/>
      <c r="CF925" s="5" t="n"/>
    </row>
    <row r="926">
      <c r="A926" s="171" t="n"/>
      <c r="B926" s="171" t="n"/>
      <c r="C926" s="171" t="n"/>
      <c r="D926" s="170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  <c r="AY926" s="5" t="n"/>
      <c r="AZ926" s="5" t="n"/>
      <c r="BA926" s="5" t="n"/>
      <c r="BB926" s="5" t="n"/>
      <c r="BC926" s="5" t="n"/>
      <c r="BD926" s="5" t="n"/>
      <c r="BE926" s="5" t="n"/>
      <c r="BF926" s="5" t="n"/>
      <c r="BG926" s="5" t="n"/>
      <c r="BH926" s="5" t="n"/>
      <c r="BI926" s="5" t="n"/>
      <c r="BJ926" s="5" t="n"/>
      <c r="BK926" s="5" t="n"/>
      <c r="BL926" s="5" t="n"/>
      <c r="BM926" s="5" t="n"/>
      <c r="BN926" s="5" t="n"/>
      <c r="BO926" s="5" t="n"/>
      <c r="BP926" s="5" t="n"/>
      <c r="BQ926" s="5" t="n"/>
      <c r="BR926" s="5" t="n"/>
      <c r="BS926" s="5" t="n"/>
      <c r="BT926" s="5" t="n"/>
      <c r="BU926" s="5" t="n"/>
      <c r="BV926" s="5" t="n"/>
      <c r="BW926" s="5" t="n"/>
      <c r="BX926" s="5" t="n"/>
      <c r="BY926" s="5" t="n"/>
      <c r="BZ926" s="5" t="n"/>
      <c r="CA926" s="5" t="n"/>
      <c r="CB926" s="5" t="n"/>
      <c r="CC926" s="5" t="n"/>
      <c r="CD926" s="5" t="n"/>
      <c r="CE926" s="5" t="n"/>
      <c r="CF926" s="5" t="n"/>
    </row>
    <row r="927">
      <c r="A927" s="171" t="n"/>
      <c r="B927" s="171" t="n"/>
      <c r="C927" s="171" t="n"/>
      <c r="D927" s="170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  <c r="AY927" s="5" t="n"/>
      <c r="AZ927" s="5" t="n"/>
      <c r="BA927" s="5" t="n"/>
      <c r="BB927" s="5" t="n"/>
      <c r="BC927" s="5" t="n"/>
      <c r="BD927" s="5" t="n"/>
      <c r="BE927" s="5" t="n"/>
      <c r="BF927" s="5" t="n"/>
      <c r="BG927" s="5" t="n"/>
      <c r="BH927" s="5" t="n"/>
      <c r="BI927" s="5" t="n"/>
      <c r="BJ927" s="5" t="n"/>
      <c r="BK927" s="5" t="n"/>
      <c r="BL927" s="5" t="n"/>
      <c r="BM927" s="5" t="n"/>
      <c r="BN927" s="5" t="n"/>
      <c r="BO927" s="5" t="n"/>
      <c r="BP927" s="5" t="n"/>
      <c r="BQ927" s="5" t="n"/>
      <c r="BR927" s="5" t="n"/>
      <c r="BS927" s="5" t="n"/>
      <c r="BT927" s="5" t="n"/>
      <c r="BU927" s="5" t="n"/>
      <c r="BV927" s="5" t="n"/>
      <c r="BW927" s="5" t="n"/>
      <c r="BX927" s="5" t="n"/>
      <c r="BY927" s="5" t="n"/>
      <c r="BZ927" s="5" t="n"/>
      <c r="CA927" s="5" t="n"/>
      <c r="CB927" s="5" t="n"/>
      <c r="CC927" s="5" t="n"/>
      <c r="CD927" s="5" t="n"/>
      <c r="CE927" s="5" t="n"/>
      <c r="CF927" s="5" t="n"/>
    </row>
    <row r="928">
      <c r="A928" s="171" t="n"/>
      <c r="B928" s="171" t="n"/>
      <c r="C928" s="171" t="n"/>
      <c r="D928" s="170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  <c r="AY928" s="5" t="n"/>
      <c r="AZ928" s="5" t="n"/>
      <c r="BA928" s="5" t="n"/>
      <c r="BB928" s="5" t="n"/>
      <c r="BC928" s="5" t="n"/>
      <c r="BD928" s="5" t="n"/>
      <c r="BE928" s="5" t="n"/>
      <c r="BF928" s="5" t="n"/>
      <c r="BG928" s="5" t="n"/>
      <c r="BH928" s="5" t="n"/>
      <c r="BI928" s="5" t="n"/>
      <c r="BJ928" s="5" t="n"/>
      <c r="BK928" s="5" t="n"/>
      <c r="BL928" s="5" t="n"/>
      <c r="BM928" s="5" t="n"/>
      <c r="BN928" s="5" t="n"/>
      <c r="BO928" s="5" t="n"/>
      <c r="BP928" s="5" t="n"/>
      <c r="BQ928" s="5" t="n"/>
      <c r="BR928" s="5" t="n"/>
      <c r="BS928" s="5" t="n"/>
      <c r="BT928" s="5" t="n"/>
      <c r="BU928" s="5" t="n"/>
      <c r="BV928" s="5" t="n"/>
      <c r="BW928" s="5" t="n"/>
      <c r="BX928" s="5" t="n"/>
      <c r="BY928" s="5" t="n"/>
      <c r="BZ928" s="5" t="n"/>
      <c r="CA928" s="5" t="n"/>
      <c r="CB928" s="5" t="n"/>
      <c r="CC928" s="5" t="n"/>
      <c r="CD928" s="5" t="n"/>
      <c r="CE928" s="5" t="n"/>
      <c r="CF928" s="5" t="n"/>
    </row>
    <row r="929">
      <c r="A929" s="171" t="n"/>
      <c r="B929" s="171" t="n"/>
      <c r="C929" s="171" t="n"/>
      <c r="D929" s="170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  <c r="AY929" s="5" t="n"/>
      <c r="AZ929" s="5" t="n"/>
      <c r="BA929" s="5" t="n"/>
      <c r="BB929" s="5" t="n"/>
      <c r="BC929" s="5" t="n"/>
      <c r="BD929" s="5" t="n"/>
      <c r="BE929" s="5" t="n"/>
      <c r="BF929" s="5" t="n"/>
      <c r="BG929" s="5" t="n"/>
      <c r="BH929" s="5" t="n"/>
      <c r="BI929" s="5" t="n"/>
      <c r="BJ929" s="5" t="n"/>
      <c r="BK929" s="5" t="n"/>
      <c r="BL929" s="5" t="n"/>
      <c r="BM929" s="5" t="n"/>
      <c r="BN929" s="5" t="n"/>
      <c r="BO929" s="5" t="n"/>
      <c r="BP929" s="5" t="n"/>
      <c r="BQ929" s="5" t="n"/>
      <c r="BR929" s="5" t="n"/>
      <c r="BS929" s="5" t="n"/>
      <c r="BT929" s="5" t="n"/>
      <c r="BU929" s="5" t="n"/>
      <c r="BV929" s="5" t="n"/>
      <c r="BW929" s="5" t="n"/>
      <c r="BX929" s="5" t="n"/>
      <c r="BY929" s="5" t="n"/>
      <c r="BZ929" s="5" t="n"/>
      <c r="CA929" s="5" t="n"/>
      <c r="CB929" s="5" t="n"/>
      <c r="CC929" s="5" t="n"/>
      <c r="CD929" s="5" t="n"/>
      <c r="CE929" s="5" t="n"/>
      <c r="CF929" s="5" t="n"/>
    </row>
    <row r="930">
      <c r="A930" s="171" t="n"/>
      <c r="B930" s="171" t="n"/>
      <c r="C930" s="171" t="n"/>
      <c r="D930" s="170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  <c r="AY930" s="5" t="n"/>
      <c r="AZ930" s="5" t="n"/>
      <c r="BA930" s="5" t="n"/>
      <c r="BB930" s="5" t="n"/>
      <c r="BC930" s="5" t="n"/>
      <c r="BD930" s="5" t="n"/>
      <c r="BE930" s="5" t="n"/>
      <c r="BF930" s="5" t="n"/>
      <c r="BG930" s="5" t="n"/>
      <c r="BH930" s="5" t="n"/>
      <c r="BI930" s="5" t="n"/>
      <c r="BJ930" s="5" t="n"/>
      <c r="BK930" s="5" t="n"/>
      <c r="BL930" s="5" t="n"/>
      <c r="BM930" s="5" t="n"/>
      <c r="BN930" s="5" t="n"/>
      <c r="BO930" s="5" t="n"/>
      <c r="BP930" s="5" t="n"/>
      <c r="BQ930" s="5" t="n"/>
      <c r="BR930" s="5" t="n"/>
      <c r="BS930" s="5" t="n"/>
      <c r="BT930" s="5" t="n"/>
      <c r="BU930" s="5" t="n"/>
      <c r="BV930" s="5" t="n"/>
      <c r="BW930" s="5" t="n"/>
      <c r="BX930" s="5" t="n"/>
      <c r="BY930" s="5" t="n"/>
      <c r="BZ930" s="5" t="n"/>
      <c r="CA930" s="5" t="n"/>
      <c r="CB930" s="5" t="n"/>
      <c r="CC930" s="5" t="n"/>
      <c r="CD930" s="5" t="n"/>
      <c r="CE930" s="5" t="n"/>
      <c r="CF930" s="5" t="n"/>
    </row>
    <row r="931">
      <c r="A931" s="171" t="n"/>
      <c r="B931" s="171" t="n"/>
      <c r="C931" s="171" t="n"/>
      <c r="D931" s="170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  <c r="AY931" s="5" t="n"/>
      <c r="AZ931" s="5" t="n"/>
      <c r="BA931" s="5" t="n"/>
      <c r="BB931" s="5" t="n"/>
      <c r="BC931" s="5" t="n"/>
      <c r="BD931" s="5" t="n"/>
      <c r="BE931" s="5" t="n"/>
      <c r="BF931" s="5" t="n"/>
      <c r="BG931" s="5" t="n"/>
      <c r="BH931" s="5" t="n"/>
      <c r="BI931" s="5" t="n"/>
      <c r="BJ931" s="5" t="n"/>
      <c r="BK931" s="5" t="n"/>
      <c r="BL931" s="5" t="n"/>
      <c r="BM931" s="5" t="n"/>
      <c r="BN931" s="5" t="n"/>
      <c r="BO931" s="5" t="n"/>
      <c r="BP931" s="5" t="n"/>
      <c r="BQ931" s="5" t="n"/>
      <c r="BR931" s="5" t="n"/>
      <c r="BS931" s="5" t="n"/>
      <c r="BT931" s="5" t="n"/>
      <c r="BU931" s="5" t="n"/>
      <c r="BV931" s="5" t="n"/>
      <c r="BW931" s="5" t="n"/>
      <c r="BX931" s="5" t="n"/>
      <c r="BY931" s="5" t="n"/>
      <c r="BZ931" s="5" t="n"/>
      <c r="CA931" s="5" t="n"/>
      <c r="CB931" s="5" t="n"/>
      <c r="CC931" s="5" t="n"/>
      <c r="CD931" s="5" t="n"/>
      <c r="CE931" s="5" t="n"/>
      <c r="CF931" s="5" t="n"/>
    </row>
    <row r="932">
      <c r="A932" s="171" t="n"/>
      <c r="B932" s="171" t="n"/>
      <c r="C932" s="171" t="n"/>
      <c r="D932" s="170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  <c r="AY932" s="5" t="n"/>
      <c r="AZ932" s="5" t="n"/>
      <c r="BA932" s="5" t="n"/>
      <c r="BB932" s="5" t="n"/>
      <c r="BC932" s="5" t="n"/>
      <c r="BD932" s="5" t="n"/>
      <c r="BE932" s="5" t="n"/>
      <c r="BF932" s="5" t="n"/>
      <c r="BG932" s="5" t="n"/>
      <c r="BH932" s="5" t="n"/>
      <c r="BI932" s="5" t="n"/>
      <c r="BJ932" s="5" t="n"/>
      <c r="BK932" s="5" t="n"/>
      <c r="BL932" s="5" t="n"/>
      <c r="BM932" s="5" t="n"/>
      <c r="BN932" s="5" t="n"/>
      <c r="BO932" s="5" t="n"/>
      <c r="BP932" s="5" t="n"/>
      <c r="BQ932" s="5" t="n"/>
      <c r="BR932" s="5" t="n"/>
      <c r="BS932" s="5" t="n"/>
      <c r="BT932" s="5" t="n"/>
      <c r="BU932" s="5" t="n"/>
      <c r="BV932" s="5" t="n"/>
      <c r="BW932" s="5" t="n"/>
      <c r="BX932" s="5" t="n"/>
      <c r="BY932" s="5" t="n"/>
      <c r="BZ932" s="5" t="n"/>
      <c r="CA932" s="5" t="n"/>
      <c r="CB932" s="5" t="n"/>
      <c r="CC932" s="5" t="n"/>
      <c r="CD932" s="5" t="n"/>
      <c r="CE932" s="5" t="n"/>
      <c r="CF932" s="5" t="n"/>
    </row>
    <row r="933">
      <c r="A933" s="171" t="n"/>
      <c r="B933" s="171" t="n"/>
      <c r="C933" s="171" t="n"/>
      <c r="D933" s="170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  <c r="AY933" s="5" t="n"/>
      <c r="AZ933" s="5" t="n"/>
      <c r="BA933" s="5" t="n"/>
      <c r="BB933" s="5" t="n"/>
      <c r="BC933" s="5" t="n"/>
      <c r="BD933" s="5" t="n"/>
      <c r="BE933" s="5" t="n"/>
      <c r="BF933" s="5" t="n"/>
      <c r="BG933" s="5" t="n"/>
      <c r="BH933" s="5" t="n"/>
      <c r="BI933" s="5" t="n"/>
      <c r="BJ933" s="5" t="n"/>
      <c r="BK933" s="5" t="n"/>
      <c r="BL933" s="5" t="n"/>
      <c r="BM933" s="5" t="n"/>
      <c r="BN933" s="5" t="n"/>
      <c r="BO933" s="5" t="n"/>
      <c r="BP933" s="5" t="n"/>
      <c r="BQ933" s="5" t="n"/>
      <c r="BR933" s="5" t="n"/>
      <c r="BS933" s="5" t="n"/>
      <c r="BT933" s="5" t="n"/>
      <c r="BU933" s="5" t="n"/>
      <c r="BV933" s="5" t="n"/>
      <c r="BW933" s="5" t="n"/>
      <c r="BX933" s="5" t="n"/>
      <c r="BY933" s="5" t="n"/>
      <c r="BZ933" s="5" t="n"/>
      <c r="CA933" s="5" t="n"/>
      <c r="CB933" s="5" t="n"/>
      <c r="CC933" s="5" t="n"/>
      <c r="CD933" s="5" t="n"/>
      <c r="CE933" s="5" t="n"/>
      <c r="CF933" s="5" t="n"/>
    </row>
    <row r="934">
      <c r="A934" s="171" t="n"/>
      <c r="B934" s="171" t="n"/>
      <c r="C934" s="171" t="n"/>
      <c r="D934" s="170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  <c r="AY934" s="5" t="n"/>
      <c r="AZ934" s="5" t="n"/>
      <c r="BA934" s="5" t="n"/>
      <c r="BB934" s="5" t="n"/>
      <c r="BC934" s="5" t="n"/>
      <c r="BD934" s="5" t="n"/>
      <c r="BE934" s="5" t="n"/>
      <c r="BF934" s="5" t="n"/>
      <c r="BG934" s="5" t="n"/>
      <c r="BH934" s="5" t="n"/>
      <c r="BI934" s="5" t="n"/>
      <c r="BJ934" s="5" t="n"/>
      <c r="BK934" s="5" t="n"/>
      <c r="BL934" s="5" t="n"/>
      <c r="BM934" s="5" t="n"/>
      <c r="BN934" s="5" t="n"/>
      <c r="BO934" s="5" t="n"/>
      <c r="BP934" s="5" t="n"/>
      <c r="BQ934" s="5" t="n"/>
      <c r="BR934" s="5" t="n"/>
      <c r="BS934" s="5" t="n"/>
      <c r="BT934" s="5" t="n"/>
      <c r="BU934" s="5" t="n"/>
      <c r="BV934" s="5" t="n"/>
      <c r="BW934" s="5" t="n"/>
      <c r="BX934" s="5" t="n"/>
      <c r="BY934" s="5" t="n"/>
      <c r="BZ934" s="5" t="n"/>
      <c r="CA934" s="5" t="n"/>
      <c r="CB934" s="5" t="n"/>
      <c r="CC934" s="5" t="n"/>
      <c r="CD934" s="5" t="n"/>
      <c r="CE934" s="5" t="n"/>
      <c r="CF934" s="5" t="n"/>
    </row>
    <row r="935">
      <c r="A935" s="171" t="n"/>
      <c r="B935" s="171" t="n"/>
      <c r="C935" s="171" t="n"/>
      <c r="D935" s="170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  <c r="AY935" s="5" t="n"/>
      <c r="AZ935" s="5" t="n"/>
      <c r="BA935" s="5" t="n"/>
      <c r="BB935" s="5" t="n"/>
      <c r="BC935" s="5" t="n"/>
      <c r="BD935" s="5" t="n"/>
      <c r="BE935" s="5" t="n"/>
      <c r="BF935" s="5" t="n"/>
      <c r="BG935" s="5" t="n"/>
      <c r="BH935" s="5" t="n"/>
      <c r="BI935" s="5" t="n"/>
      <c r="BJ935" s="5" t="n"/>
      <c r="BK935" s="5" t="n"/>
      <c r="BL935" s="5" t="n"/>
      <c r="BM935" s="5" t="n"/>
      <c r="BN935" s="5" t="n"/>
      <c r="BO935" s="5" t="n"/>
      <c r="BP935" s="5" t="n"/>
      <c r="BQ935" s="5" t="n"/>
      <c r="BR935" s="5" t="n"/>
      <c r="BS935" s="5" t="n"/>
      <c r="BT935" s="5" t="n"/>
      <c r="BU935" s="5" t="n"/>
      <c r="BV935" s="5" t="n"/>
      <c r="BW935" s="5" t="n"/>
      <c r="BX935" s="5" t="n"/>
      <c r="BY935" s="5" t="n"/>
      <c r="BZ935" s="5" t="n"/>
      <c r="CA935" s="5" t="n"/>
      <c r="CB935" s="5" t="n"/>
      <c r="CC935" s="5" t="n"/>
      <c r="CD935" s="5" t="n"/>
      <c r="CE935" s="5" t="n"/>
      <c r="CF935" s="5" t="n"/>
    </row>
    <row r="936">
      <c r="A936" s="171" t="n"/>
      <c r="B936" s="171" t="n"/>
      <c r="C936" s="171" t="n"/>
      <c r="D936" s="170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  <c r="AY936" s="5" t="n"/>
      <c r="AZ936" s="5" t="n"/>
      <c r="BA936" s="5" t="n"/>
      <c r="BB936" s="5" t="n"/>
      <c r="BC936" s="5" t="n"/>
      <c r="BD936" s="5" t="n"/>
      <c r="BE936" s="5" t="n"/>
      <c r="BF936" s="5" t="n"/>
      <c r="BG936" s="5" t="n"/>
      <c r="BH936" s="5" t="n"/>
      <c r="BI936" s="5" t="n"/>
      <c r="BJ936" s="5" t="n"/>
      <c r="BK936" s="5" t="n"/>
      <c r="BL936" s="5" t="n"/>
      <c r="BM936" s="5" t="n"/>
      <c r="BN936" s="5" t="n"/>
      <c r="BO936" s="5" t="n"/>
      <c r="BP936" s="5" t="n"/>
      <c r="BQ936" s="5" t="n"/>
      <c r="BR936" s="5" t="n"/>
      <c r="BS936" s="5" t="n"/>
      <c r="BT936" s="5" t="n"/>
      <c r="BU936" s="5" t="n"/>
      <c r="BV936" s="5" t="n"/>
      <c r="BW936" s="5" t="n"/>
      <c r="BX936" s="5" t="n"/>
      <c r="BY936" s="5" t="n"/>
      <c r="BZ936" s="5" t="n"/>
      <c r="CA936" s="5" t="n"/>
      <c r="CB936" s="5" t="n"/>
      <c r="CC936" s="5" t="n"/>
      <c r="CD936" s="5" t="n"/>
      <c r="CE936" s="5" t="n"/>
      <c r="CF936" s="5" t="n"/>
    </row>
    <row r="937">
      <c r="A937" s="171" t="n"/>
      <c r="B937" s="171" t="n"/>
      <c r="C937" s="171" t="n"/>
      <c r="D937" s="170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  <c r="AY937" s="5" t="n"/>
      <c r="AZ937" s="5" t="n"/>
      <c r="BA937" s="5" t="n"/>
      <c r="BB937" s="5" t="n"/>
      <c r="BC937" s="5" t="n"/>
      <c r="BD937" s="5" t="n"/>
      <c r="BE937" s="5" t="n"/>
      <c r="BF937" s="5" t="n"/>
      <c r="BG937" s="5" t="n"/>
      <c r="BH937" s="5" t="n"/>
      <c r="BI937" s="5" t="n"/>
      <c r="BJ937" s="5" t="n"/>
      <c r="BK937" s="5" t="n"/>
      <c r="BL937" s="5" t="n"/>
      <c r="BM937" s="5" t="n"/>
      <c r="BN937" s="5" t="n"/>
      <c r="BO937" s="5" t="n"/>
      <c r="BP937" s="5" t="n"/>
      <c r="BQ937" s="5" t="n"/>
      <c r="BR937" s="5" t="n"/>
      <c r="BS937" s="5" t="n"/>
      <c r="BT937" s="5" t="n"/>
      <c r="BU937" s="5" t="n"/>
      <c r="BV937" s="5" t="n"/>
      <c r="BW937" s="5" t="n"/>
      <c r="BX937" s="5" t="n"/>
      <c r="BY937" s="5" t="n"/>
      <c r="BZ937" s="5" t="n"/>
      <c r="CA937" s="5" t="n"/>
      <c r="CB937" s="5" t="n"/>
      <c r="CC937" s="5" t="n"/>
      <c r="CD937" s="5" t="n"/>
      <c r="CE937" s="5" t="n"/>
      <c r="CF937" s="5" t="n"/>
    </row>
    <row r="938">
      <c r="A938" s="171" t="n"/>
      <c r="B938" s="171" t="n"/>
      <c r="C938" s="171" t="n"/>
      <c r="D938" s="170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  <c r="AY938" s="5" t="n"/>
      <c r="AZ938" s="5" t="n"/>
      <c r="BA938" s="5" t="n"/>
      <c r="BB938" s="5" t="n"/>
      <c r="BC938" s="5" t="n"/>
      <c r="BD938" s="5" t="n"/>
      <c r="BE938" s="5" t="n"/>
      <c r="BF938" s="5" t="n"/>
      <c r="BG938" s="5" t="n"/>
      <c r="BH938" s="5" t="n"/>
      <c r="BI938" s="5" t="n"/>
      <c r="BJ938" s="5" t="n"/>
      <c r="BK938" s="5" t="n"/>
      <c r="BL938" s="5" t="n"/>
      <c r="BM938" s="5" t="n"/>
      <c r="BN938" s="5" t="n"/>
      <c r="BO938" s="5" t="n"/>
      <c r="BP938" s="5" t="n"/>
      <c r="BQ938" s="5" t="n"/>
      <c r="BR938" s="5" t="n"/>
      <c r="BS938" s="5" t="n"/>
      <c r="BT938" s="5" t="n"/>
      <c r="BU938" s="5" t="n"/>
      <c r="BV938" s="5" t="n"/>
      <c r="BW938" s="5" t="n"/>
      <c r="BX938" s="5" t="n"/>
      <c r="BY938" s="5" t="n"/>
      <c r="BZ938" s="5" t="n"/>
      <c r="CA938" s="5" t="n"/>
      <c r="CB938" s="5" t="n"/>
      <c r="CC938" s="5" t="n"/>
      <c r="CD938" s="5" t="n"/>
      <c r="CE938" s="5" t="n"/>
      <c r="CF938" s="5" t="n"/>
    </row>
    <row r="939">
      <c r="A939" s="171" t="n"/>
      <c r="B939" s="171" t="n"/>
      <c r="C939" s="171" t="n"/>
      <c r="D939" s="170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  <c r="AY939" s="5" t="n"/>
      <c r="AZ939" s="5" t="n"/>
      <c r="BA939" s="5" t="n"/>
      <c r="BB939" s="5" t="n"/>
      <c r="BC939" s="5" t="n"/>
      <c r="BD939" s="5" t="n"/>
      <c r="BE939" s="5" t="n"/>
      <c r="BF939" s="5" t="n"/>
      <c r="BG939" s="5" t="n"/>
      <c r="BH939" s="5" t="n"/>
      <c r="BI939" s="5" t="n"/>
      <c r="BJ939" s="5" t="n"/>
      <c r="BK939" s="5" t="n"/>
      <c r="BL939" s="5" t="n"/>
      <c r="BM939" s="5" t="n"/>
      <c r="BN939" s="5" t="n"/>
      <c r="BO939" s="5" t="n"/>
      <c r="BP939" s="5" t="n"/>
      <c r="BQ939" s="5" t="n"/>
      <c r="BR939" s="5" t="n"/>
      <c r="BS939" s="5" t="n"/>
      <c r="BT939" s="5" t="n"/>
      <c r="BU939" s="5" t="n"/>
      <c r="BV939" s="5" t="n"/>
      <c r="BW939" s="5" t="n"/>
      <c r="BX939" s="5" t="n"/>
      <c r="BY939" s="5" t="n"/>
      <c r="BZ939" s="5" t="n"/>
      <c r="CA939" s="5" t="n"/>
      <c r="CB939" s="5" t="n"/>
      <c r="CC939" s="5" t="n"/>
      <c r="CD939" s="5" t="n"/>
      <c r="CE939" s="5" t="n"/>
      <c r="CF939" s="5" t="n"/>
    </row>
    <row r="940">
      <c r="A940" s="171" t="n"/>
      <c r="B940" s="171" t="n"/>
      <c r="C940" s="171" t="n"/>
      <c r="D940" s="170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  <c r="AY940" s="5" t="n"/>
      <c r="AZ940" s="5" t="n"/>
      <c r="BA940" s="5" t="n"/>
      <c r="BB940" s="5" t="n"/>
      <c r="BC940" s="5" t="n"/>
      <c r="BD940" s="5" t="n"/>
      <c r="BE940" s="5" t="n"/>
      <c r="BF940" s="5" t="n"/>
      <c r="BG940" s="5" t="n"/>
      <c r="BH940" s="5" t="n"/>
      <c r="BI940" s="5" t="n"/>
      <c r="BJ940" s="5" t="n"/>
      <c r="BK940" s="5" t="n"/>
      <c r="BL940" s="5" t="n"/>
      <c r="BM940" s="5" t="n"/>
      <c r="BN940" s="5" t="n"/>
      <c r="BO940" s="5" t="n"/>
      <c r="BP940" s="5" t="n"/>
      <c r="BQ940" s="5" t="n"/>
      <c r="BR940" s="5" t="n"/>
      <c r="BS940" s="5" t="n"/>
      <c r="BT940" s="5" t="n"/>
      <c r="BU940" s="5" t="n"/>
      <c r="BV940" s="5" t="n"/>
      <c r="BW940" s="5" t="n"/>
      <c r="BX940" s="5" t="n"/>
      <c r="BY940" s="5" t="n"/>
      <c r="BZ940" s="5" t="n"/>
      <c r="CA940" s="5" t="n"/>
      <c r="CB940" s="5" t="n"/>
      <c r="CC940" s="5" t="n"/>
      <c r="CD940" s="5" t="n"/>
      <c r="CE940" s="5" t="n"/>
      <c r="CF940" s="5" t="n"/>
    </row>
    <row r="941">
      <c r="A941" s="171" t="n"/>
      <c r="B941" s="171" t="n"/>
      <c r="C941" s="171" t="n"/>
      <c r="D941" s="170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  <c r="AY941" s="5" t="n"/>
      <c r="AZ941" s="5" t="n"/>
      <c r="BA941" s="5" t="n"/>
      <c r="BB941" s="5" t="n"/>
      <c r="BC941" s="5" t="n"/>
      <c r="BD941" s="5" t="n"/>
      <c r="BE941" s="5" t="n"/>
      <c r="BF941" s="5" t="n"/>
      <c r="BG941" s="5" t="n"/>
      <c r="BH941" s="5" t="n"/>
      <c r="BI941" s="5" t="n"/>
      <c r="BJ941" s="5" t="n"/>
      <c r="BK941" s="5" t="n"/>
      <c r="BL941" s="5" t="n"/>
      <c r="BM941" s="5" t="n"/>
      <c r="BN941" s="5" t="n"/>
      <c r="BO941" s="5" t="n"/>
      <c r="BP941" s="5" t="n"/>
      <c r="BQ941" s="5" t="n"/>
      <c r="BR941" s="5" t="n"/>
      <c r="BS941" s="5" t="n"/>
      <c r="BT941" s="5" t="n"/>
      <c r="BU941" s="5" t="n"/>
      <c r="BV941" s="5" t="n"/>
      <c r="BW941" s="5" t="n"/>
      <c r="BX941" s="5" t="n"/>
      <c r="BY941" s="5" t="n"/>
      <c r="BZ941" s="5" t="n"/>
      <c r="CA941" s="5" t="n"/>
      <c r="CB941" s="5" t="n"/>
      <c r="CC941" s="5" t="n"/>
      <c r="CD941" s="5" t="n"/>
      <c r="CE941" s="5" t="n"/>
      <c r="CF941" s="5" t="n"/>
    </row>
    <row r="942">
      <c r="A942" s="171" t="n"/>
      <c r="B942" s="171" t="n"/>
      <c r="C942" s="171" t="n"/>
      <c r="D942" s="170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  <c r="AY942" s="5" t="n"/>
      <c r="AZ942" s="5" t="n"/>
      <c r="BA942" s="5" t="n"/>
      <c r="BB942" s="5" t="n"/>
      <c r="BC942" s="5" t="n"/>
      <c r="BD942" s="5" t="n"/>
      <c r="BE942" s="5" t="n"/>
      <c r="BF942" s="5" t="n"/>
      <c r="BG942" s="5" t="n"/>
      <c r="BH942" s="5" t="n"/>
      <c r="BI942" s="5" t="n"/>
      <c r="BJ942" s="5" t="n"/>
      <c r="BK942" s="5" t="n"/>
      <c r="BL942" s="5" t="n"/>
      <c r="BM942" s="5" t="n"/>
      <c r="BN942" s="5" t="n"/>
      <c r="BO942" s="5" t="n"/>
      <c r="BP942" s="5" t="n"/>
      <c r="BQ942" s="5" t="n"/>
      <c r="BR942" s="5" t="n"/>
      <c r="BS942" s="5" t="n"/>
      <c r="BT942" s="5" t="n"/>
      <c r="BU942" s="5" t="n"/>
      <c r="BV942" s="5" t="n"/>
      <c r="BW942" s="5" t="n"/>
      <c r="BX942" s="5" t="n"/>
      <c r="BY942" s="5" t="n"/>
      <c r="BZ942" s="5" t="n"/>
      <c r="CA942" s="5" t="n"/>
      <c r="CB942" s="5" t="n"/>
      <c r="CC942" s="5" t="n"/>
      <c r="CD942" s="5" t="n"/>
      <c r="CE942" s="5" t="n"/>
      <c r="CF942" s="5" t="n"/>
    </row>
    <row r="943">
      <c r="A943" s="171" t="n"/>
      <c r="B943" s="171" t="n"/>
      <c r="C943" s="171" t="n"/>
      <c r="D943" s="170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  <c r="AY943" s="5" t="n"/>
      <c r="AZ943" s="5" t="n"/>
      <c r="BA943" s="5" t="n"/>
      <c r="BB943" s="5" t="n"/>
      <c r="BC943" s="5" t="n"/>
      <c r="BD943" s="5" t="n"/>
      <c r="BE943" s="5" t="n"/>
      <c r="BF943" s="5" t="n"/>
      <c r="BG943" s="5" t="n"/>
      <c r="BH943" s="5" t="n"/>
      <c r="BI943" s="5" t="n"/>
      <c r="BJ943" s="5" t="n"/>
      <c r="BK943" s="5" t="n"/>
      <c r="BL943" s="5" t="n"/>
      <c r="BM943" s="5" t="n"/>
      <c r="BN943" s="5" t="n"/>
      <c r="BO943" s="5" t="n"/>
      <c r="BP943" s="5" t="n"/>
      <c r="BQ943" s="5" t="n"/>
      <c r="BR943" s="5" t="n"/>
      <c r="BS943" s="5" t="n"/>
      <c r="BT943" s="5" t="n"/>
      <c r="BU943" s="5" t="n"/>
      <c r="BV943" s="5" t="n"/>
      <c r="BW943" s="5" t="n"/>
      <c r="BX943" s="5" t="n"/>
      <c r="BY943" s="5" t="n"/>
      <c r="BZ943" s="5" t="n"/>
      <c r="CA943" s="5" t="n"/>
      <c r="CB943" s="5" t="n"/>
      <c r="CC943" s="5" t="n"/>
      <c r="CD943" s="5" t="n"/>
      <c r="CE943" s="5" t="n"/>
      <c r="CF943" s="5" t="n"/>
    </row>
    <row r="944">
      <c r="A944" s="171" t="n"/>
      <c r="B944" s="171" t="n"/>
      <c r="C944" s="171" t="n"/>
      <c r="D944" s="170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  <c r="AY944" s="5" t="n"/>
      <c r="AZ944" s="5" t="n"/>
      <c r="BA944" s="5" t="n"/>
      <c r="BB944" s="5" t="n"/>
      <c r="BC944" s="5" t="n"/>
      <c r="BD944" s="5" t="n"/>
      <c r="BE944" s="5" t="n"/>
      <c r="BF944" s="5" t="n"/>
      <c r="BG944" s="5" t="n"/>
      <c r="BH944" s="5" t="n"/>
      <c r="BI944" s="5" t="n"/>
      <c r="BJ944" s="5" t="n"/>
      <c r="BK944" s="5" t="n"/>
      <c r="BL944" s="5" t="n"/>
      <c r="BM944" s="5" t="n"/>
      <c r="BN944" s="5" t="n"/>
      <c r="BO944" s="5" t="n"/>
      <c r="BP944" s="5" t="n"/>
      <c r="BQ944" s="5" t="n"/>
      <c r="BR944" s="5" t="n"/>
      <c r="BS944" s="5" t="n"/>
      <c r="BT944" s="5" t="n"/>
      <c r="BU944" s="5" t="n"/>
      <c r="BV944" s="5" t="n"/>
      <c r="BW944" s="5" t="n"/>
      <c r="BX944" s="5" t="n"/>
      <c r="BY944" s="5" t="n"/>
      <c r="BZ944" s="5" t="n"/>
      <c r="CA944" s="5" t="n"/>
      <c r="CB944" s="5" t="n"/>
      <c r="CC944" s="5" t="n"/>
      <c r="CD944" s="5" t="n"/>
      <c r="CE944" s="5" t="n"/>
      <c r="CF944" s="5" t="n"/>
    </row>
    <row r="945">
      <c r="A945" s="171" t="n"/>
      <c r="B945" s="171" t="n"/>
      <c r="C945" s="171" t="n"/>
      <c r="D945" s="170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  <c r="AY945" s="5" t="n"/>
      <c r="AZ945" s="5" t="n"/>
      <c r="BA945" s="5" t="n"/>
      <c r="BB945" s="5" t="n"/>
      <c r="BC945" s="5" t="n"/>
      <c r="BD945" s="5" t="n"/>
      <c r="BE945" s="5" t="n"/>
      <c r="BF945" s="5" t="n"/>
      <c r="BG945" s="5" t="n"/>
      <c r="BH945" s="5" t="n"/>
      <c r="BI945" s="5" t="n"/>
      <c r="BJ945" s="5" t="n"/>
      <c r="BK945" s="5" t="n"/>
      <c r="BL945" s="5" t="n"/>
      <c r="BM945" s="5" t="n"/>
      <c r="BN945" s="5" t="n"/>
      <c r="BO945" s="5" t="n"/>
      <c r="BP945" s="5" t="n"/>
      <c r="BQ945" s="5" t="n"/>
      <c r="BR945" s="5" t="n"/>
      <c r="BS945" s="5" t="n"/>
      <c r="BT945" s="5" t="n"/>
      <c r="BU945" s="5" t="n"/>
      <c r="BV945" s="5" t="n"/>
      <c r="BW945" s="5" t="n"/>
      <c r="BX945" s="5" t="n"/>
      <c r="BY945" s="5" t="n"/>
      <c r="BZ945" s="5" t="n"/>
      <c r="CA945" s="5" t="n"/>
      <c r="CB945" s="5" t="n"/>
      <c r="CC945" s="5" t="n"/>
      <c r="CD945" s="5" t="n"/>
      <c r="CE945" s="5" t="n"/>
      <c r="CF945" s="5" t="n"/>
    </row>
    <row r="946">
      <c r="A946" s="171" t="n"/>
      <c r="B946" s="171" t="n"/>
      <c r="C946" s="171" t="n"/>
      <c r="D946" s="170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  <c r="AY946" s="5" t="n"/>
      <c r="AZ946" s="5" t="n"/>
      <c r="BA946" s="5" t="n"/>
      <c r="BB946" s="5" t="n"/>
      <c r="BC946" s="5" t="n"/>
      <c r="BD946" s="5" t="n"/>
      <c r="BE946" s="5" t="n"/>
      <c r="BF946" s="5" t="n"/>
      <c r="BG946" s="5" t="n"/>
      <c r="BH946" s="5" t="n"/>
      <c r="BI946" s="5" t="n"/>
      <c r="BJ946" s="5" t="n"/>
      <c r="BK946" s="5" t="n"/>
      <c r="BL946" s="5" t="n"/>
      <c r="BM946" s="5" t="n"/>
      <c r="BN946" s="5" t="n"/>
      <c r="BO946" s="5" t="n"/>
      <c r="BP946" s="5" t="n"/>
      <c r="BQ946" s="5" t="n"/>
      <c r="BR946" s="5" t="n"/>
      <c r="BS946" s="5" t="n"/>
      <c r="BT946" s="5" t="n"/>
      <c r="BU946" s="5" t="n"/>
      <c r="BV946" s="5" t="n"/>
      <c r="BW946" s="5" t="n"/>
      <c r="BX946" s="5" t="n"/>
      <c r="BY946" s="5" t="n"/>
      <c r="BZ946" s="5" t="n"/>
      <c r="CA946" s="5" t="n"/>
      <c r="CB946" s="5" t="n"/>
      <c r="CC946" s="5" t="n"/>
      <c r="CD946" s="5" t="n"/>
      <c r="CE946" s="5" t="n"/>
      <c r="CF946" s="5" t="n"/>
    </row>
    <row r="947">
      <c r="A947" s="171" t="n"/>
      <c r="B947" s="171" t="n"/>
      <c r="C947" s="171" t="n"/>
      <c r="D947" s="170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  <c r="AY947" s="5" t="n"/>
      <c r="AZ947" s="5" t="n"/>
      <c r="BA947" s="5" t="n"/>
      <c r="BB947" s="5" t="n"/>
      <c r="BC947" s="5" t="n"/>
      <c r="BD947" s="5" t="n"/>
      <c r="BE947" s="5" t="n"/>
      <c r="BF947" s="5" t="n"/>
      <c r="BG947" s="5" t="n"/>
      <c r="BH947" s="5" t="n"/>
      <c r="BI947" s="5" t="n"/>
      <c r="BJ947" s="5" t="n"/>
      <c r="BK947" s="5" t="n"/>
      <c r="BL947" s="5" t="n"/>
      <c r="BM947" s="5" t="n"/>
      <c r="BN947" s="5" t="n"/>
      <c r="BO947" s="5" t="n"/>
      <c r="BP947" s="5" t="n"/>
      <c r="BQ947" s="5" t="n"/>
      <c r="BR947" s="5" t="n"/>
      <c r="BS947" s="5" t="n"/>
      <c r="BT947" s="5" t="n"/>
      <c r="BU947" s="5" t="n"/>
      <c r="BV947" s="5" t="n"/>
      <c r="BW947" s="5" t="n"/>
      <c r="BX947" s="5" t="n"/>
      <c r="BY947" s="5" t="n"/>
      <c r="BZ947" s="5" t="n"/>
      <c r="CA947" s="5" t="n"/>
      <c r="CB947" s="5" t="n"/>
      <c r="CC947" s="5" t="n"/>
      <c r="CD947" s="5" t="n"/>
      <c r="CE947" s="5" t="n"/>
      <c r="CF947" s="5" t="n"/>
    </row>
    <row r="948">
      <c r="A948" s="171" t="n"/>
      <c r="B948" s="171" t="n"/>
      <c r="C948" s="171" t="n"/>
      <c r="D948" s="170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  <c r="AY948" s="5" t="n"/>
      <c r="AZ948" s="5" t="n"/>
      <c r="BA948" s="5" t="n"/>
      <c r="BB948" s="5" t="n"/>
      <c r="BC948" s="5" t="n"/>
      <c r="BD948" s="5" t="n"/>
      <c r="BE948" s="5" t="n"/>
      <c r="BF948" s="5" t="n"/>
      <c r="BG948" s="5" t="n"/>
      <c r="BH948" s="5" t="n"/>
      <c r="BI948" s="5" t="n"/>
      <c r="BJ948" s="5" t="n"/>
      <c r="BK948" s="5" t="n"/>
      <c r="BL948" s="5" t="n"/>
      <c r="BM948" s="5" t="n"/>
      <c r="BN948" s="5" t="n"/>
      <c r="BO948" s="5" t="n"/>
      <c r="BP948" s="5" t="n"/>
      <c r="BQ948" s="5" t="n"/>
      <c r="BR948" s="5" t="n"/>
      <c r="BS948" s="5" t="n"/>
      <c r="BT948" s="5" t="n"/>
      <c r="BU948" s="5" t="n"/>
      <c r="BV948" s="5" t="n"/>
      <c r="BW948" s="5" t="n"/>
      <c r="BX948" s="5" t="n"/>
      <c r="BY948" s="5" t="n"/>
      <c r="BZ948" s="5" t="n"/>
      <c r="CA948" s="5" t="n"/>
      <c r="CB948" s="5" t="n"/>
      <c r="CC948" s="5" t="n"/>
      <c r="CD948" s="5" t="n"/>
      <c r="CE948" s="5" t="n"/>
      <c r="CF948" s="5" t="n"/>
    </row>
    <row r="949">
      <c r="A949" s="171" t="n"/>
      <c r="B949" s="171" t="n"/>
      <c r="C949" s="171" t="n"/>
      <c r="D949" s="170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  <c r="AY949" s="5" t="n"/>
      <c r="AZ949" s="5" t="n"/>
      <c r="BA949" s="5" t="n"/>
      <c r="BB949" s="5" t="n"/>
      <c r="BC949" s="5" t="n"/>
      <c r="BD949" s="5" t="n"/>
      <c r="BE949" s="5" t="n"/>
      <c r="BF949" s="5" t="n"/>
      <c r="BG949" s="5" t="n"/>
      <c r="BH949" s="5" t="n"/>
      <c r="BI949" s="5" t="n"/>
      <c r="BJ949" s="5" t="n"/>
      <c r="BK949" s="5" t="n"/>
      <c r="BL949" s="5" t="n"/>
      <c r="BM949" s="5" t="n"/>
      <c r="BN949" s="5" t="n"/>
      <c r="BO949" s="5" t="n"/>
      <c r="BP949" s="5" t="n"/>
      <c r="BQ949" s="5" t="n"/>
      <c r="BR949" s="5" t="n"/>
      <c r="BS949" s="5" t="n"/>
      <c r="BT949" s="5" t="n"/>
      <c r="BU949" s="5" t="n"/>
      <c r="BV949" s="5" t="n"/>
      <c r="BW949" s="5" t="n"/>
      <c r="BX949" s="5" t="n"/>
      <c r="BY949" s="5" t="n"/>
      <c r="BZ949" s="5" t="n"/>
      <c r="CA949" s="5" t="n"/>
      <c r="CB949" s="5" t="n"/>
      <c r="CC949" s="5" t="n"/>
      <c r="CD949" s="5" t="n"/>
      <c r="CE949" s="5" t="n"/>
      <c r="CF949" s="5" t="n"/>
    </row>
    <row r="950">
      <c r="A950" s="171" t="n"/>
      <c r="B950" s="171" t="n"/>
      <c r="C950" s="171" t="n"/>
      <c r="D950" s="170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  <c r="AY950" s="5" t="n"/>
      <c r="AZ950" s="5" t="n"/>
      <c r="BA950" s="5" t="n"/>
      <c r="BB950" s="5" t="n"/>
      <c r="BC950" s="5" t="n"/>
      <c r="BD950" s="5" t="n"/>
      <c r="BE950" s="5" t="n"/>
      <c r="BF950" s="5" t="n"/>
      <c r="BG950" s="5" t="n"/>
      <c r="BH950" s="5" t="n"/>
      <c r="BI950" s="5" t="n"/>
      <c r="BJ950" s="5" t="n"/>
      <c r="BK950" s="5" t="n"/>
      <c r="BL950" s="5" t="n"/>
      <c r="BM950" s="5" t="n"/>
      <c r="BN950" s="5" t="n"/>
      <c r="BO950" s="5" t="n"/>
      <c r="BP950" s="5" t="n"/>
      <c r="BQ950" s="5" t="n"/>
      <c r="BR950" s="5" t="n"/>
      <c r="BS950" s="5" t="n"/>
      <c r="BT950" s="5" t="n"/>
      <c r="BU950" s="5" t="n"/>
      <c r="BV950" s="5" t="n"/>
      <c r="BW950" s="5" t="n"/>
      <c r="BX950" s="5" t="n"/>
      <c r="BY950" s="5" t="n"/>
      <c r="BZ950" s="5" t="n"/>
      <c r="CA950" s="5" t="n"/>
      <c r="CB950" s="5" t="n"/>
      <c r="CC950" s="5" t="n"/>
      <c r="CD950" s="5" t="n"/>
      <c r="CE950" s="5" t="n"/>
      <c r="CF950" s="5" t="n"/>
    </row>
    <row r="951">
      <c r="A951" s="171" t="n"/>
      <c r="B951" s="171" t="n"/>
      <c r="C951" s="171" t="n"/>
      <c r="D951" s="170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  <c r="AY951" s="5" t="n"/>
      <c r="AZ951" s="5" t="n"/>
      <c r="BA951" s="5" t="n"/>
      <c r="BB951" s="5" t="n"/>
      <c r="BC951" s="5" t="n"/>
      <c r="BD951" s="5" t="n"/>
      <c r="BE951" s="5" t="n"/>
      <c r="BF951" s="5" t="n"/>
      <c r="BG951" s="5" t="n"/>
      <c r="BH951" s="5" t="n"/>
      <c r="BI951" s="5" t="n"/>
      <c r="BJ951" s="5" t="n"/>
      <c r="BK951" s="5" t="n"/>
      <c r="BL951" s="5" t="n"/>
      <c r="BM951" s="5" t="n"/>
      <c r="BN951" s="5" t="n"/>
      <c r="BO951" s="5" t="n"/>
      <c r="BP951" s="5" t="n"/>
      <c r="BQ951" s="5" t="n"/>
      <c r="BR951" s="5" t="n"/>
      <c r="BS951" s="5" t="n"/>
      <c r="BT951" s="5" t="n"/>
      <c r="BU951" s="5" t="n"/>
      <c r="BV951" s="5" t="n"/>
      <c r="BW951" s="5" t="n"/>
      <c r="BX951" s="5" t="n"/>
      <c r="BY951" s="5" t="n"/>
      <c r="BZ951" s="5" t="n"/>
      <c r="CA951" s="5" t="n"/>
      <c r="CB951" s="5" t="n"/>
      <c r="CC951" s="5" t="n"/>
      <c r="CD951" s="5" t="n"/>
      <c r="CE951" s="5" t="n"/>
      <c r="CF951" s="5" t="n"/>
    </row>
    <row r="952">
      <c r="A952" s="171" t="n"/>
      <c r="B952" s="171" t="n"/>
      <c r="C952" s="171" t="n"/>
      <c r="D952" s="170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  <c r="AY952" s="5" t="n"/>
      <c r="AZ952" s="5" t="n"/>
      <c r="BA952" s="5" t="n"/>
      <c r="BB952" s="5" t="n"/>
      <c r="BC952" s="5" t="n"/>
      <c r="BD952" s="5" t="n"/>
      <c r="BE952" s="5" t="n"/>
      <c r="BF952" s="5" t="n"/>
      <c r="BG952" s="5" t="n"/>
      <c r="BH952" s="5" t="n"/>
      <c r="BI952" s="5" t="n"/>
      <c r="BJ952" s="5" t="n"/>
      <c r="BK952" s="5" t="n"/>
      <c r="BL952" s="5" t="n"/>
      <c r="BM952" s="5" t="n"/>
      <c r="BN952" s="5" t="n"/>
      <c r="BO952" s="5" t="n"/>
      <c r="BP952" s="5" t="n"/>
      <c r="BQ952" s="5" t="n"/>
      <c r="BR952" s="5" t="n"/>
      <c r="BS952" s="5" t="n"/>
      <c r="BT952" s="5" t="n"/>
      <c r="BU952" s="5" t="n"/>
      <c r="BV952" s="5" t="n"/>
      <c r="BW952" s="5" t="n"/>
      <c r="BX952" s="5" t="n"/>
      <c r="BY952" s="5" t="n"/>
      <c r="BZ952" s="5" t="n"/>
      <c r="CA952" s="5" t="n"/>
      <c r="CB952" s="5" t="n"/>
      <c r="CC952" s="5" t="n"/>
      <c r="CD952" s="5" t="n"/>
      <c r="CE952" s="5" t="n"/>
      <c r="CF952" s="5" t="n"/>
    </row>
    <row r="953">
      <c r="A953" s="171" t="n"/>
      <c r="B953" s="171" t="n"/>
      <c r="C953" s="171" t="n"/>
      <c r="D953" s="170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  <c r="AY953" s="5" t="n"/>
      <c r="AZ953" s="5" t="n"/>
      <c r="BA953" s="5" t="n"/>
      <c r="BB953" s="5" t="n"/>
      <c r="BC953" s="5" t="n"/>
      <c r="BD953" s="5" t="n"/>
      <c r="BE953" s="5" t="n"/>
      <c r="BF953" s="5" t="n"/>
      <c r="BG953" s="5" t="n"/>
      <c r="BH953" s="5" t="n"/>
      <c r="BI953" s="5" t="n"/>
      <c r="BJ953" s="5" t="n"/>
      <c r="BK953" s="5" t="n"/>
      <c r="BL953" s="5" t="n"/>
      <c r="BM953" s="5" t="n"/>
      <c r="BN953" s="5" t="n"/>
      <c r="BO953" s="5" t="n"/>
      <c r="BP953" s="5" t="n"/>
      <c r="BQ953" s="5" t="n"/>
      <c r="BR953" s="5" t="n"/>
      <c r="BS953" s="5" t="n"/>
      <c r="BT953" s="5" t="n"/>
      <c r="BU953" s="5" t="n"/>
      <c r="BV953" s="5" t="n"/>
      <c r="BW953" s="5" t="n"/>
      <c r="BX953" s="5" t="n"/>
      <c r="BY953" s="5" t="n"/>
      <c r="BZ953" s="5" t="n"/>
      <c r="CA953" s="5" t="n"/>
      <c r="CB953" s="5" t="n"/>
      <c r="CC953" s="5" t="n"/>
      <c r="CD953" s="5" t="n"/>
      <c r="CE953" s="5" t="n"/>
      <c r="CF953" s="5" t="n"/>
    </row>
    <row r="954">
      <c r="A954" s="171" t="n"/>
      <c r="B954" s="171" t="n"/>
      <c r="C954" s="171" t="n"/>
      <c r="D954" s="170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  <c r="AY954" s="5" t="n"/>
      <c r="AZ954" s="5" t="n"/>
      <c r="BA954" s="5" t="n"/>
      <c r="BB954" s="5" t="n"/>
      <c r="BC954" s="5" t="n"/>
      <c r="BD954" s="5" t="n"/>
      <c r="BE954" s="5" t="n"/>
      <c r="BF954" s="5" t="n"/>
      <c r="BG954" s="5" t="n"/>
      <c r="BH954" s="5" t="n"/>
      <c r="BI954" s="5" t="n"/>
      <c r="BJ954" s="5" t="n"/>
      <c r="BK954" s="5" t="n"/>
      <c r="BL954" s="5" t="n"/>
      <c r="BM954" s="5" t="n"/>
      <c r="BN954" s="5" t="n"/>
      <c r="BO954" s="5" t="n"/>
      <c r="BP954" s="5" t="n"/>
      <c r="BQ954" s="5" t="n"/>
      <c r="BR954" s="5" t="n"/>
      <c r="BS954" s="5" t="n"/>
      <c r="BT954" s="5" t="n"/>
      <c r="BU954" s="5" t="n"/>
      <c r="BV954" s="5" t="n"/>
      <c r="BW954" s="5" t="n"/>
      <c r="BX954" s="5" t="n"/>
      <c r="BY954" s="5" t="n"/>
      <c r="BZ954" s="5" t="n"/>
      <c r="CA954" s="5" t="n"/>
      <c r="CB954" s="5" t="n"/>
      <c r="CC954" s="5" t="n"/>
      <c r="CD954" s="5" t="n"/>
      <c r="CE954" s="5" t="n"/>
      <c r="CF954" s="5" t="n"/>
    </row>
    <row r="955">
      <c r="A955" s="171" t="n"/>
      <c r="B955" s="171" t="n"/>
      <c r="C955" s="171" t="n"/>
      <c r="D955" s="170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  <c r="AY955" s="5" t="n"/>
      <c r="AZ955" s="5" t="n"/>
      <c r="BA955" s="5" t="n"/>
      <c r="BB955" s="5" t="n"/>
      <c r="BC955" s="5" t="n"/>
      <c r="BD955" s="5" t="n"/>
      <c r="BE955" s="5" t="n"/>
      <c r="BF955" s="5" t="n"/>
      <c r="BG955" s="5" t="n"/>
      <c r="BH955" s="5" t="n"/>
      <c r="BI955" s="5" t="n"/>
      <c r="BJ955" s="5" t="n"/>
      <c r="BK955" s="5" t="n"/>
      <c r="BL955" s="5" t="n"/>
      <c r="BM955" s="5" t="n"/>
      <c r="BN955" s="5" t="n"/>
      <c r="BO955" s="5" t="n"/>
      <c r="BP955" s="5" t="n"/>
      <c r="BQ955" s="5" t="n"/>
      <c r="BR955" s="5" t="n"/>
      <c r="BS955" s="5" t="n"/>
      <c r="BT955" s="5" t="n"/>
      <c r="BU955" s="5" t="n"/>
      <c r="BV955" s="5" t="n"/>
      <c r="BW955" s="5" t="n"/>
      <c r="BX955" s="5" t="n"/>
      <c r="BY955" s="5" t="n"/>
      <c r="BZ955" s="5" t="n"/>
      <c r="CA955" s="5" t="n"/>
      <c r="CB955" s="5" t="n"/>
      <c r="CC955" s="5" t="n"/>
      <c r="CD955" s="5" t="n"/>
      <c r="CE955" s="5" t="n"/>
      <c r="CF955" s="5" t="n"/>
    </row>
    <row r="956">
      <c r="A956" s="171" t="n"/>
      <c r="B956" s="171" t="n"/>
      <c r="C956" s="171" t="n"/>
      <c r="D956" s="170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  <c r="AY956" s="5" t="n"/>
      <c r="AZ956" s="5" t="n"/>
      <c r="BA956" s="5" t="n"/>
      <c r="BB956" s="5" t="n"/>
      <c r="BC956" s="5" t="n"/>
      <c r="BD956" s="5" t="n"/>
      <c r="BE956" s="5" t="n"/>
      <c r="BF956" s="5" t="n"/>
      <c r="BG956" s="5" t="n"/>
      <c r="BH956" s="5" t="n"/>
      <c r="BI956" s="5" t="n"/>
      <c r="BJ956" s="5" t="n"/>
      <c r="BK956" s="5" t="n"/>
      <c r="BL956" s="5" t="n"/>
      <c r="BM956" s="5" t="n"/>
      <c r="BN956" s="5" t="n"/>
      <c r="BO956" s="5" t="n"/>
      <c r="BP956" s="5" t="n"/>
      <c r="BQ956" s="5" t="n"/>
      <c r="BR956" s="5" t="n"/>
      <c r="BS956" s="5" t="n"/>
      <c r="BT956" s="5" t="n"/>
      <c r="BU956" s="5" t="n"/>
      <c r="BV956" s="5" t="n"/>
      <c r="BW956" s="5" t="n"/>
      <c r="BX956" s="5" t="n"/>
      <c r="BY956" s="5" t="n"/>
      <c r="BZ956" s="5" t="n"/>
      <c r="CA956" s="5" t="n"/>
      <c r="CB956" s="5" t="n"/>
      <c r="CC956" s="5" t="n"/>
      <c r="CD956" s="5" t="n"/>
      <c r="CE956" s="5" t="n"/>
      <c r="CF956" s="5" t="n"/>
    </row>
    <row r="957">
      <c r="A957" s="171" t="n"/>
      <c r="B957" s="171" t="n"/>
      <c r="C957" s="171" t="n"/>
      <c r="D957" s="170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  <c r="AY957" s="5" t="n"/>
      <c r="AZ957" s="5" t="n"/>
      <c r="BA957" s="5" t="n"/>
      <c r="BB957" s="5" t="n"/>
      <c r="BC957" s="5" t="n"/>
      <c r="BD957" s="5" t="n"/>
      <c r="BE957" s="5" t="n"/>
      <c r="BF957" s="5" t="n"/>
      <c r="BG957" s="5" t="n"/>
      <c r="BH957" s="5" t="n"/>
      <c r="BI957" s="5" t="n"/>
      <c r="BJ957" s="5" t="n"/>
      <c r="BK957" s="5" t="n"/>
      <c r="BL957" s="5" t="n"/>
      <c r="BM957" s="5" t="n"/>
      <c r="BN957" s="5" t="n"/>
      <c r="BO957" s="5" t="n"/>
      <c r="BP957" s="5" t="n"/>
      <c r="BQ957" s="5" t="n"/>
      <c r="BR957" s="5" t="n"/>
      <c r="BS957" s="5" t="n"/>
      <c r="BT957" s="5" t="n"/>
      <c r="BU957" s="5" t="n"/>
      <c r="BV957" s="5" t="n"/>
      <c r="BW957" s="5" t="n"/>
      <c r="BX957" s="5" t="n"/>
      <c r="BY957" s="5" t="n"/>
      <c r="BZ957" s="5" t="n"/>
      <c r="CA957" s="5" t="n"/>
      <c r="CB957" s="5" t="n"/>
      <c r="CC957" s="5" t="n"/>
      <c r="CD957" s="5" t="n"/>
      <c r="CE957" s="5" t="n"/>
      <c r="CF957" s="5" t="n"/>
    </row>
    <row r="958">
      <c r="A958" s="171" t="n"/>
      <c r="B958" s="171" t="n"/>
      <c r="C958" s="171" t="n"/>
      <c r="D958" s="170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  <c r="AY958" s="5" t="n"/>
      <c r="AZ958" s="5" t="n"/>
      <c r="BA958" s="5" t="n"/>
      <c r="BB958" s="5" t="n"/>
      <c r="BC958" s="5" t="n"/>
      <c r="BD958" s="5" t="n"/>
      <c r="BE958" s="5" t="n"/>
      <c r="BF958" s="5" t="n"/>
      <c r="BG958" s="5" t="n"/>
      <c r="BH958" s="5" t="n"/>
      <c r="BI958" s="5" t="n"/>
      <c r="BJ958" s="5" t="n"/>
      <c r="BK958" s="5" t="n"/>
      <c r="BL958" s="5" t="n"/>
      <c r="BM958" s="5" t="n"/>
      <c r="BN958" s="5" t="n"/>
      <c r="BO958" s="5" t="n"/>
      <c r="BP958" s="5" t="n"/>
      <c r="BQ958" s="5" t="n"/>
      <c r="BR958" s="5" t="n"/>
      <c r="BS958" s="5" t="n"/>
      <c r="BT958" s="5" t="n"/>
      <c r="BU958" s="5" t="n"/>
      <c r="BV958" s="5" t="n"/>
      <c r="BW958" s="5" t="n"/>
      <c r="BX958" s="5" t="n"/>
      <c r="BY958" s="5" t="n"/>
      <c r="BZ958" s="5" t="n"/>
      <c r="CA958" s="5" t="n"/>
      <c r="CB958" s="5" t="n"/>
      <c r="CC958" s="5" t="n"/>
      <c r="CD958" s="5" t="n"/>
      <c r="CE958" s="5" t="n"/>
      <c r="CF958" s="5" t="n"/>
    </row>
    <row r="959">
      <c r="A959" s="171" t="n"/>
      <c r="B959" s="171" t="n"/>
      <c r="C959" s="171" t="n"/>
      <c r="D959" s="170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  <c r="AY959" s="5" t="n"/>
      <c r="AZ959" s="5" t="n"/>
      <c r="BA959" s="5" t="n"/>
      <c r="BB959" s="5" t="n"/>
      <c r="BC959" s="5" t="n"/>
      <c r="BD959" s="5" t="n"/>
      <c r="BE959" s="5" t="n"/>
      <c r="BF959" s="5" t="n"/>
      <c r="BG959" s="5" t="n"/>
      <c r="BH959" s="5" t="n"/>
      <c r="BI959" s="5" t="n"/>
      <c r="BJ959" s="5" t="n"/>
      <c r="BK959" s="5" t="n"/>
      <c r="BL959" s="5" t="n"/>
      <c r="BM959" s="5" t="n"/>
      <c r="BN959" s="5" t="n"/>
      <c r="BO959" s="5" t="n"/>
      <c r="BP959" s="5" t="n"/>
      <c r="BQ959" s="5" t="n"/>
      <c r="BR959" s="5" t="n"/>
      <c r="BS959" s="5" t="n"/>
      <c r="BT959" s="5" t="n"/>
      <c r="BU959" s="5" t="n"/>
      <c r="BV959" s="5" t="n"/>
      <c r="BW959" s="5" t="n"/>
      <c r="BX959" s="5" t="n"/>
      <c r="BY959" s="5" t="n"/>
      <c r="BZ959" s="5" t="n"/>
      <c r="CA959" s="5" t="n"/>
      <c r="CB959" s="5" t="n"/>
      <c r="CC959" s="5" t="n"/>
      <c r="CD959" s="5" t="n"/>
      <c r="CE959" s="5" t="n"/>
      <c r="CF959" s="5" t="n"/>
    </row>
    <row r="960">
      <c r="A960" s="171" t="n"/>
      <c r="B960" s="171" t="n"/>
      <c r="C960" s="171" t="n"/>
      <c r="D960" s="170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  <c r="AY960" s="5" t="n"/>
      <c r="AZ960" s="5" t="n"/>
      <c r="BA960" s="5" t="n"/>
      <c r="BB960" s="5" t="n"/>
      <c r="BC960" s="5" t="n"/>
      <c r="BD960" s="5" t="n"/>
      <c r="BE960" s="5" t="n"/>
      <c r="BF960" s="5" t="n"/>
      <c r="BG960" s="5" t="n"/>
      <c r="BH960" s="5" t="n"/>
      <c r="BI960" s="5" t="n"/>
      <c r="BJ960" s="5" t="n"/>
      <c r="BK960" s="5" t="n"/>
      <c r="BL960" s="5" t="n"/>
      <c r="BM960" s="5" t="n"/>
      <c r="BN960" s="5" t="n"/>
      <c r="BO960" s="5" t="n"/>
      <c r="BP960" s="5" t="n"/>
      <c r="BQ960" s="5" t="n"/>
      <c r="BR960" s="5" t="n"/>
      <c r="BS960" s="5" t="n"/>
      <c r="BT960" s="5" t="n"/>
      <c r="BU960" s="5" t="n"/>
      <c r="BV960" s="5" t="n"/>
      <c r="BW960" s="5" t="n"/>
      <c r="BX960" s="5" t="n"/>
      <c r="BY960" s="5" t="n"/>
      <c r="BZ960" s="5" t="n"/>
      <c r="CA960" s="5" t="n"/>
      <c r="CB960" s="5" t="n"/>
      <c r="CC960" s="5" t="n"/>
      <c r="CD960" s="5" t="n"/>
      <c r="CE960" s="5" t="n"/>
      <c r="CF960" s="5" t="n"/>
    </row>
    <row r="961">
      <c r="A961" s="171" t="n"/>
      <c r="B961" s="171" t="n"/>
      <c r="C961" s="171" t="n"/>
      <c r="D961" s="170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  <c r="AY961" s="5" t="n"/>
      <c r="AZ961" s="5" t="n"/>
      <c r="BA961" s="5" t="n"/>
      <c r="BB961" s="5" t="n"/>
      <c r="BC961" s="5" t="n"/>
      <c r="BD961" s="5" t="n"/>
      <c r="BE961" s="5" t="n"/>
      <c r="BF961" s="5" t="n"/>
      <c r="BG961" s="5" t="n"/>
      <c r="BH961" s="5" t="n"/>
      <c r="BI961" s="5" t="n"/>
      <c r="BJ961" s="5" t="n"/>
      <c r="BK961" s="5" t="n"/>
      <c r="BL961" s="5" t="n"/>
      <c r="BM961" s="5" t="n"/>
      <c r="BN961" s="5" t="n"/>
      <c r="BO961" s="5" t="n"/>
      <c r="BP961" s="5" t="n"/>
      <c r="BQ961" s="5" t="n"/>
      <c r="BR961" s="5" t="n"/>
      <c r="BS961" s="5" t="n"/>
      <c r="BT961" s="5" t="n"/>
      <c r="BU961" s="5" t="n"/>
      <c r="BV961" s="5" t="n"/>
      <c r="BW961" s="5" t="n"/>
      <c r="BX961" s="5" t="n"/>
      <c r="BY961" s="5" t="n"/>
      <c r="BZ961" s="5" t="n"/>
      <c r="CA961" s="5" t="n"/>
      <c r="CB961" s="5" t="n"/>
      <c r="CC961" s="5" t="n"/>
      <c r="CD961" s="5" t="n"/>
      <c r="CE961" s="5" t="n"/>
      <c r="CF961" s="5" t="n"/>
    </row>
    <row r="962">
      <c r="A962" s="171" t="n"/>
      <c r="B962" s="171" t="n"/>
      <c r="C962" s="171" t="n"/>
      <c r="D962" s="170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  <c r="AY962" s="5" t="n"/>
      <c r="AZ962" s="5" t="n"/>
      <c r="BA962" s="5" t="n"/>
      <c r="BB962" s="5" t="n"/>
      <c r="BC962" s="5" t="n"/>
      <c r="BD962" s="5" t="n"/>
      <c r="BE962" s="5" t="n"/>
      <c r="BF962" s="5" t="n"/>
      <c r="BG962" s="5" t="n"/>
      <c r="BH962" s="5" t="n"/>
      <c r="BI962" s="5" t="n"/>
      <c r="BJ962" s="5" t="n"/>
      <c r="BK962" s="5" t="n"/>
      <c r="BL962" s="5" t="n"/>
      <c r="BM962" s="5" t="n"/>
      <c r="BN962" s="5" t="n"/>
      <c r="BO962" s="5" t="n"/>
      <c r="BP962" s="5" t="n"/>
      <c r="BQ962" s="5" t="n"/>
      <c r="BR962" s="5" t="n"/>
      <c r="BS962" s="5" t="n"/>
      <c r="BT962" s="5" t="n"/>
      <c r="BU962" s="5" t="n"/>
      <c r="BV962" s="5" t="n"/>
      <c r="BW962" s="5" t="n"/>
      <c r="BX962" s="5" t="n"/>
      <c r="BY962" s="5" t="n"/>
      <c r="BZ962" s="5" t="n"/>
      <c r="CA962" s="5" t="n"/>
      <c r="CB962" s="5" t="n"/>
      <c r="CC962" s="5" t="n"/>
      <c r="CD962" s="5" t="n"/>
      <c r="CE962" s="5" t="n"/>
      <c r="CF962" s="5" t="n"/>
    </row>
    <row r="963">
      <c r="A963" s="171" t="n"/>
      <c r="B963" s="171" t="n"/>
      <c r="C963" s="171" t="n"/>
      <c r="D963" s="170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  <c r="AY963" s="5" t="n"/>
      <c r="AZ963" s="5" t="n"/>
      <c r="BA963" s="5" t="n"/>
      <c r="BB963" s="5" t="n"/>
      <c r="BC963" s="5" t="n"/>
      <c r="BD963" s="5" t="n"/>
      <c r="BE963" s="5" t="n"/>
      <c r="BF963" s="5" t="n"/>
      <c r="BG963" s="5" t="n"/>
      <c r="BH963" s="5" t="n"/>
      <c r="BI963" s="5" t="n"/>
      <c r="BJ963" s="5" t="n"/>
      <c r="BK963" s="5" t="n"/>
      <c r="BL963" s="5" t="n"/>
      <c r="BM963" s="5" t="n"/>
      <c r="BN963" s="5" t="n"/>
      <c r="BO963" s="5" t="n"/>
      <c r="BP963" s="5" t="n"/>
      <c r="BQ963" s="5" t="n"/>
      <c r="BR963" s="5" t="n"/>
      <c r="BS963" s="5" t="n"/>
      <c r="BT963" s="5" t="n"/>
      <c r="BU963" s="5" t="n"/>
      <c r="BV963" s="5" t="n"/>
      <c r="BW963" s="5" t="n"/>
      <c r="BX963" s="5" t="n"/>
      <c r="BY963" s="5" t="n"/>
      <c r="BZ963" s="5" t="n"/>
      <c r="CA963" s="5" t="n"/>
      <c r="CB963" s="5" t="n"/>
      <c r="CC963" s="5" t="n"/>
      <c r="CD963" s="5" t="n"/>
      <c r="CE963" s="5" t="n"/>
      <c r="CF963" s="5" t="n"/>
    </row>
    <row r="964">
      <c r="A964" s="171" t="n"/>
      <c r="B964" s="171" t="n"/>
      <c r="C964" s="171" t="n"/>
      <c r="D964" s="170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  <c r="AY964" s="5" t="n"/>
      <c r="AZ964" s="5" t="n"/>
      <c r="BA964" s="5" t="n"/>
      <c r="BB964" s="5" t="n"/>
      <c r="BC964" s="5" t="n"/>
      <c r="BD964" s="5" t="n"/>
      <c r="BE964" s="5" t="n"/>
      <c r="BF964" s="5" t="n"/>
      <c r="BG964" s="5" t="n"/>
      <c r="BH964" s="5" t="n"/>
      <c r="BI964" s="5" t="n"/>
      <c r="BJ964" s="5" t="n"/>
      <c r="BK964" s="5" t="n"/>
      <c r="BL964" s="5" t="n"/>
      <c r="BM964" s="5" t="n"/>
      <c r="BN964" s="5" t="n"/>
      <c r="BO964" s="5" t="n"/>
      <c r="BP964" s="5" t="n"/>
      <c r="BQ964" s="5" t="n"/>
      <c r="BR964" s="5" t="n"/>
      <c r="BS964" s="5" t="n"/>
      <c r="BT964" s="5" t="n"/>
      <c r="BU964" s="5" t="n"/>
      <c r="BV964" s="5" t="n"/>
      <c r="BW964" s="5" t="n"/>
      <c r="BX964" s="5" t="n"/>
      <c r="BY964" s="5" t="n"/>
      <c r="BZ964" s="5" t="n"/>
      <c r="CA964" s="5" t="n"/>
      <c r="CB964" s="5" t="n"/>
      <c r="CC964" s="5" t="n"/>
      <c r="CD964" s="5" t="n"/>
      <c r="CE964" s="5" t="n"/>
      <c r="CF964" s="5" t="n"/>
    </row>
    <row r="965">
      <c r="A965" s="171" t="n"/>
      <c r="B965" s="171" t="n"/>
      <c r="C965" s="171" t="n"/>
      <c r="D965" s="170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  <c r="AY965" s="5" t="n"/>
      <c r="AZ965" s="5" t="n"/>
      <c r="BA965" s="5" t="n"/>
      <c r="BB965" s="5" t="n"/>
      <c r="BC965" s="5" t="n"/>
      <c r="BD965" s="5" t="n"/>
      <c r="BE965" s="5" t="n"/>
      <c r="BF965" s="5" t="n"/>
      <c r="BG965" s="5" t="n"/>
      <c r="BH965" s="5" t="n"/>
      <c r="BI965" s="5" t="n"/>
      <c r="BJ965" s="5" t="n"/>
      <c r="BK965" s="5" t="n"/>
      <c r="BL965" s="5" t="n"/>
      <c r="BM965" s="5" t="n"/>
      <c r="BN965" s="5" t="n"/>
      <c r="BO965" s="5" t="n"/>
      <c r="BP965" s="5" t="n"/>
      <c r="BQ965" s="5" t="n"/>
      <c r="BR965" s="5" t="n"/>
      <c r="BS965" s="5" t="n"/>
      <c r="BT965" s="5" t="n"/>
      <c r="BU965" s="5" t="n"/>
      <c r="BV965" s="5" t="n"/>
      <c r="BW965" s="5" t="n"/>
      <c r="BX965" s="5" t="n"/>
      <c r="BY965" s="5" t="n"/>
      <c r="BZ965" s="5" t="n"/>
      <c r="CA965" s="5" t="n"/>
      <c r="CB965" s="5" t="n"/>
      <c r="CC965" s="5" t="n"/>
      <c r="CD965" s="5" t="n"/>
      <c r="CE965" s="5" t="n"/>
      <c r="CF965" s="5" t="n"/>
    </row>
    <row r="966">
      <c r="A966" s="171" t="n"/>
      <c r="B966" s="171" t="n"/>
      <c r="C966" s="171" t="n"/>
      <c r="D966" s="170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  <c r="AY966" s="5" t="n"/>
      <c r="AZ966" s="5" t="n"/>
      <c r="BA966" s="5" t="n"/>
      <c r="BB966" s="5" t="n"/>
      <c r="BC966" s="5" t="n"/>
      <c r="BD966" s="5" t="n"/>
      <c r="BE966" s="5" t="n"/>
      <c r="BF966" s="5" t="n"/>
      <c r="BG966" s="5" t="n"/>
      <c r="BH966" s="5" t="n"/>
      <c r="BI966" s="5" t="n"/>
      <c r="BJ966" s="5" t="n"/>
      <c r="BK966" s="5" t="n"/>
      <c r="BL966" s="5" t="n"/>
      <c r="BM966" s="5" t="n"/>
      <c r="BN966" s="5" t="n"/>
      <c r="BO966" s="5" t="n"/>
      <c r="BP966" s="5" t="n"/>
      <c r="BQ966" s="5" t="n"/>
      <c r="BR966" s="5" t="n"/>
      <c r="BS966" s="5" t="n"/>
      <c r="BT966" s="5" t="n"/>
      <c r="BU966" s="5" t="n"/>
      <c r="BV966" s="5" t="n"/>
      <c r="BW966" s="5" t="n"/>
      <c r="BX966" s="5" t="n"/>
      <c r="BY966" s="5" t="n"/>
      <c r="BZ966" s="5" t="n"/>
      <c r="CA966" s="5" t="n"/>
      <c r="CB966" s="5" t="n"/>
      <c r="CC966" s="5" t="n"/>
      <c r="CD966" s="5" t="n"/>
      <c r="CE966" s="5" t="n"/>
      <c r="CF966" s="5" t="n"/>
    </row>
    <row r="967">
      <c r="A967" s="171" t="n"/>
      <c r="B967" s="171" t="n"/>
      <c r="C967" s="171" t="n"/>
      <c r="D967" s="170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  <c r="AY967" s="5" t="n"/>
      <c r="AZ967" s="5" t="n"/>
      <c r="BA967" s="5" t="n"/>
      <c r="BB967" s="5" t="n"/>
      <c r="BC967" s="5" t="n"/>
      <c r="BD967" s="5" t="n"/>
      <c r="BE967" s="5" t="n"/>
      <c r="BF967" s="5" t="n"/>
      <c r="BG967" s="5" t="n"/>
      <c r="BH967" s="5" t="n"/>
      <c r="BI967" s="5" t="n"/>
      <c r="BJ967" s="5" t="n"/>
      <c r="BK967" s="5" t="n"/>
      <c r="BL967" s="5" t="n"/>
      <c r="BM967" s="5" t="n"/>
      <c r="BN967" s="5" t="n"/>
      <c r="BO967" s="5" t="n"/>
      <c r="BP967" s="5" t="n"/>
      <c r="BQ967" s="5" t="n"/>
      <c r="BR967" s="5" t="n"/>
      <c r="BS967" s="5" t="n"/>
      <c r="BT967" s="5" t="n"/>
      <c r="BU967" s="5" t="n"/>
      <c r="BV967" s="5" t="n"/>
      <c r="BW967" s="5" t="n"/>
      <c r="BX967" s="5" t="n"/>
      <c r="BY967" s="5" t="n"/>
      <c r="BZ967" s="5" t="n"/>
      <c r="CA967" s="5" t="n"/>
      <c r="CB967" s="5" t="n"/>
      <c r="CC967" s="5" t="n"/>
      <c r="CD967" s="5" t="n"/>
      <c r="CE967" s="5" t="n"/>
      <c r="CF967" s="5" t="n"/>
    </row>
    <row r="968">
      <c r="A968" s="171" t="n"/>
      <c r="B968" s="171" t="n"/>
      <c r="C968" s="171" t="n"/>
      <c r="D968" s="170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  <c r="AY968" s="5" t="n"/>
      <c r="AZ968" s="5" t="n"/>
      <c r="BA968" s="5" t="n"/>
      <c r="BB968" s="5" t="n"/>
      <c r="BC968" s="5" t="n"/>
      <c r="BD968" s="5" t="n"/>
      <c r="BE968" s="5" t="n"/>
      <c r="BF968" s="5" t="n"/>
      <c r="BG968" s="5" t="n"/>
      <c r="BH968" s="5" t="n"/>
      <c r="BI968" s="5" t="n"/>
      <c r="BJ968" s="5" t="n"/>
      <c r="BK968" s="5" t="n"/>
      <c r="BL968" s="5" t="n"/>
      <c r="BM968" s="5" t="n"/>
      <c r="BN968" s="5" t="n"/>
      <c r="BO968" s="5" t="n"/>
      <c r="BP968" s="5" t="n"/>
      <c r="BQ968" s="5" t="n"/>
      <c r="BR968" s="5" t="n"/>
      <c r="BS968" s="5" t="n"/>
      <c r="BT968" s="5" t="n"/>
      <c r="BU968" s="5" t="n"/>
      <c r="BV968" s="5" t="n"/>
      <c r="BW968" s="5" t="n"/>
      <c r="BX968" s="5" t="n"/>
      <c r="BY968" s="5" t="n"/>
      <c r="BZ968" s="5" t="n"/>
      <c r="CA968" s="5" t="n"/>
      <c r="CB968" s="5" t="n"/>
      <c r="CC968" s="5" t="n"/>
      <c r="CD968" s="5" t="n"/>
      <c r="CE968" s="5" t="n"/>
      <c r="CF968" s="5" t="n"/>
    </row>
    <row r="969">
      <c r="A969" s="171" t="n"/>
      <c r="B969" s="171" t="n"/>
      <c r="C969" s="171" t="n"/>
      <c r="D969" s="170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  <c r="AY969" s="5" t="n"/>
      <c r="AZ969" s="5" t="n"/>
      <c r="BA969" s="5" t="n"/>
      <c r="BB969" s="5" t="n"/>
      <c r="BC969" s="5" t="n"/>
      <c r="BD969" s="5" t="n"/>
      <c r="BE969" s="5" t="n"/>
      <c r="BF969" s="5" t="n"/>
      <c r="BG969" s="5" t="n"/>
      <c r="BH969" s="5" t="n"/>
      <c r="BI969" s="5" t="n"/>
      <c r="BJ969" s="5" t="n"/>
      <c r="BK969" s="5" t="n"/>
      <c r="BL969" s="5" t="n"/>
      <c r="BM969" s="5" t="n"/>
      <c r="BN969" s="5" t="n"/>
      <c r="BO969" s="5" t="n"/>
      <c r="BP969" s="5" t="n"/>
      <c r="BQ969" s="5" t="n"/>
      <c r="BR969" s="5" t="n"/>
      <c r="BS969" s="5" t="n"/>
      <c r="BT969" s="5" t="n"/>
      <c r="BU969" s="5" t="n"/>
      <c r="BV969" s="5" t="n"/>
      <c r="BW969" s="5" t="n"/>
      <c r="BX969" s="5" t="n"/>
      <c r="BY969" s="5" t="n"/>
      <c r="BZ969" s="5" t="n"/>
      <c r="CA969" s="5" t="n"/>
      <c r="CB969" s="5" t="n"/>
      <c r="CC969" s="5" t="n"/>
      <c r="CD969" s="5" t="n"/>
      <c r="CE969" s="5" t="n"/>
      <c r="CF969" s="5" t="n"/>
    </row>
    <row r="970">
      <c r="A970" s="171" t="n"/>
      <c r="B970" s="171" t="n"/>
      <c r="C970" s="171" t="n"/>
      <c r="D970" s="170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  <c r="AY970" s="5" t="n"/>
      <c r="AZ970" s="5" t="n"/>
      <c r="BA970" s="5" t="n"/>
      <c r="BB970" s="5" t="n"/>
      <c r="BC970" s="5" t="n"/>
      <c r="BD970" s="5" t="n"/>
      <c r="BE970" s="5" t="n"/>
      <c r="BF970" s="5" t="n"/>
      <c r="BG970" s="5" t="n"/>
      <c r="BH970" s="5" t="n"/>
      <c r="BI970" s="5" t="n"/>
      <c r="BJ970" s="5" t="n"/>
      <c r="BK970" s="5" t="n"/>
      <c r="BL970" s="5" t="n"/>
      <c r="BM970" s="5" t="n"/>
      <c r="BN970" s="5" t="n"/>
      <c r="BO970" s="5" t="n"/>
      <c r="BP970" s="5" t="n"/>
      <c r="BQ970" s="5" t="n"/>
      <c r="BR970" s="5" t="n"/>
      <c r="BS970" s="5" t="n"/>
      <c r="BT970" s="5" t="n"/>
      <c r="BU970" s="5" t="n"/>
      <c r="BV970" s="5" t="n"/>
      <c r="BW970" s="5" t="n"/>
      <c r="BX970" s="5" t="n"/>
      <c r="BY970" s="5" t="n"/>
      <c r="BZ970" s="5" t="n"/>
      <c r="CA970" s="5" t="n"/>
      <c r="CB970" s="5" t="n"/>
      <c r="CC970" s="5" t="n"/>
      <c r="CD970" s="5" t="n"/>
      <c r="CE970" s="5" t="n"/>
      <c r="CF970" s="5" t="n"/>
    </row>
    <row r="971">
      <c r="A971" s="171" t="n"/>
      <c r="B971" s="171" t="n"/>
      <c r="C971" s="171" t="n"/>
      <c r="D971" s="170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  <c r="AY971" s="5" t="n"/>
      <c r="AZ971" s="5" t="n"/>
      <c r="BA971" s="5" t="n"/>
      <c r="BB971" s="5" t="n"/>
      <c r="BC971" s="5" t="n"/>
      <c r="BD971" s="5" t="n"/>
      <c r="BE971" s="5" t="n"/>
      <c r="BF971" s="5" t="n"/>
      <c r="BG971" s="5" t="n"/>
      <c r="BH971" s="5" t="n"/>
      <c r="BI971" s="5" t="n"/>
      <c r="BJ971" s="5" t="n"/>
      <c r="BK971" s="5" t="n"/>
      <c r="BL971" s="5" t="n"/>
      <c r="BM971" s="5" t="n"/>
      <c r="BN971" s="5" t="n"/>
      <c r="BO971" s="5" t="n"/>
      <c r="BP971" s="5" t="n"/>
      <c r="BQ971" s="5" t="n"/>
      <c r="BR971" s="5" t="n"/>
      <c r="BS971" s="5" t="n"/>
      <c r="BT971" s="5" t="n"/>
      <c r="BU971" s="5" t="n"/>
      <c r="BV971" s="5" t="n"/>
      <c r="BW971" s="5" t="n"/>
      <c r="BX971" s="5" t="n"/>
      <c r="BY971" s="5" t="n"/>
      <c r="BZ971" s="5" t="n"/>
      <c r="CA971" s="5" t="n"/>
      <c r="CB971" s="5" t="n"/>
      <c r="CC971" s="5" t="n"/>
      <c r="CD971" s="5" t="n"/>
      <c r="CE971" s="5" t="n"/>
      <c r="CF971" s="5" t="n"/>
    </row>
    <row r="972">
      <c r="A972" s="171" t="n"/>
      <c r="B972" s="171" t="n"/>
      <c r="C972" s="171" t="n"/>
      <c r="D972" s="170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  <c r="AY972" s="5" t="n"/>
      <c r="AZ972" s="5" t="n"/>
      <c r="BA972" s="5" t="n"/>
      <c r="BB972" s="5" t="n"/>
      <c r="BC972" s="5" t="n"/>
      <c r="BD972" s="5" t="n"/>
      <c r="BE972" s="5" t="n"/>
      <c r="BF972" s="5" t="n"/>
      <c r="BG972" s="5" t="n"/>
      <c r="BH972" s="5" t="n"/>
      <c r="BI972" s="5" t="n"/>
      <c r="BJ972" s="5" t="n"/>
      <c r="BK972" s="5" t="n"/>
      <c r="BL972" s="5" t="n"/>
      <c r="BM972" s="5" t="n"/>
      <c r="BN972" s="5" t="n"/>
      <c r="BO972" s="5" t="n"/>
      <c r="BP972" s="5" t="n"/>
      <c r="BQ972" s="5" t="n"/>
      <c r="BR972" s="5" t="n"/>
      <c r="BS972" s="5" t="n"/>
      <c r="BT972" s="5" t="n"/>
      <c r="BU972" s="5" t="n"/>
      <c r="BV972" s="5" t="n"/>
      <c r="BW972" s="5" t="n"/>
      <c r="BX972" s="5" t="n"/>
      <c r="BY972" s="5" t="n"/>
      <c r="BZ972" s="5" t="n"/>
      <c r="CA972" s="5" t="n"/>
      <c r="CB972" s="5" t="n"/>
      <c r="CC972" s="5" t="n"/>
      <c r="CD972" s="5" t="n"/>
      <c r="CE972" s="5" t="n"/>
      <c r="CF972" s="5" t="n"/>
    </row>
    <row r="973">
      <c r="A973" s="171" t="n"/>
      <c r="B973" s="171" t="n"/>
      <c r="C973" s="171" t="n"/>
      <c r="D973" s="170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  <c r="AY973" s="5" t="n"/>
      <c r="AZ973" s="5" t="n"/>
      <c r="BA973" s="5" t="n"/>
      <c r="BB973" s="5" t="n"/>
      <c r="BC973" s="5" t="n"/>
      <c r="BD973" s="5" t="n"/>
      <c r="BE973" s="5" t="n"/>
      <c r="BF973" s="5" t="n"/>
      <c r="BG973" s="5" t="n"/>
      <c r="BH973" s="5" t="n"/>
      <c r="BI973" s="5" t="n"/>
      <c r="BJ973" s="5" t="n"/>
      <c r="BK973" s="5" t="n"/>
      <c r="BL973" s="5" t="n"/>
      <c r="BM973" s="5" t="n"/>
      <c r="BN973" s="5" t="n"/>
      <c r="BO973" s="5" t="n"/>
      <c r="BP973" s="5" t="n"/>
      <c r="BQ973" s="5" t="n"/>
      <c r="BR973" s="5" t="n"/>
      <c r="BS973" s="5" t="n"/>
      <c r="BT973" s="5" t="n"/>
      <c r="BU973" s="5" t="n"/>
      <c r="BV973" s="5" t="n"/>
      <c r="BW973" s="5" t="n"/>
      <c r="BX973" s="5" t="n"/>
      <c r="BY973" s="5" t="n"/>
      <c r="BZ973" s="5" t="n"/>
      <c r="CA973" s="5" t="n"/>
      <c r="CB973" s="5" t="n"/>
      <c r="CC973" s="5" t="n"/>
      <c r="CD973" s="5" t="n"/>
      <c r="CE973" s="5" t="n"/>
      <c r="CF973" s="5" t="n"/>
    </row>
    <row r="974">
      <c r="A974" s="171" t="n"/>
      <c r="B974" s="171" t="n"/>
      <c r="C974" s="171" t="n"/>
      <c r="D974" s="170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  <c r="AY974" s="5" t="n"/>
      <c r="AZ974" s="5" t="n"/>
      <c r="BA974" s="5" t="n"/>
      <c r="BB974" s="5" t="n"/>
      <c r="BC974" s="5" t="n"/>
      <c r="BD974" s="5" t="n"/>
      <c r="BE974" s="5" t="n"/>
      <c r="BF974" s="5" t="n"/>
      <c r="BG974" s="5" t="n"/>
      <c r="BH974" s="5" t="n"/>
      <c r="BI974" s="5" t="n"/>
      <c r="BJ974" s="5" t="n"/>
      <c r="BK974" s="5" t="n"/>
      <c r="BL974" s="5" t="n"/>
      <c r="BM974" s="5" t="n"/>
      <c r="BN974" s="5" t="n"/>
      <c r="BO974" s="5" t="n"/>
      <c r="BP974" s="5" t="n"/>
      <c r="BQ974" s="5" t="n"/>
      <c r="BR974" s="5" t="n"/>
      <c r="BS974" s="5" t="n"/>
      <c r="BT974" s="5" t="n"/>
      <c r="BU974" s="5" t="n"/>
      <c r="BV974" s="5" t="n"/>
      <c r="BW974" s="5" t="n"/>
      <c r="BX974" s="5" t="n"/>
      <c r="BY974" s="5" t="n"/>
      <c r="BZ974" s="5" t="n"/>
      <c r="CA974" s="5" t="n"/>
      <c r="CB974" s="5" t="n"/>
      <c r="CC974" s="5" t="n"/>
      <c r="CD974" s="5" t="n"/>
      <c r="CE974" s="5" t="n"/>
      <c r="CF974" s="5" t="n"/>
    </row>
    <row r="975">
      <c r="A975" s="171" t="n"/>
      <c r="B975" s="171" t="n"/>
      <c r="C975" s="171" t="n"/>
      <c r="D975" s="170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  <c r="AY975" s="5" t="n"/>
      <c r="AZ975" s="5" t="n"/>
      <c r="BA975" s="5" t="n"/>
      <c r="BB975" s="5" t="n"/>
      <c r="BC975" s="5" t="n"/>
      <c r="BD975" s="5" t="n"/>
      <c r="BE975" s="5" t="n"/>
      <c r="BF975" s="5" t="n"/>
      <c r="BG975" s="5" t="n"/>
      <c r="BH975" s="5" t="n"/>
      <c r="BI975" s="5" t="n"/>
      <c r="BJ975" s="5" t="n"/>
      <c r="BK975" s="5" t="n"/>
      <c r="BL975" s="5" t="n"/>
      <c r="BM975" s="5" t="n"/>
      <c r="BN975" s="5" t="n"/>
      <c r="BO975" s="5" t="n"/>
      <c r="BP975" s="5" t="n"/>
      <c r="BQ975" s="5" t="n"/>
      <c r="BR975" s="5" t="n"/>
      <c r="BS975" s="5" t="n"/>
      <c r="BT975" s="5" t="n"/>
      <c r="BU975" s="5" t="n"/>
      <c r="BV975" s="5" t="n"/>
      <c r="BW975" s="5" t="n"/>
      <c r="BX975" s="5" t="n"/>
      <c r="BY975" s="5" t="n"/>
      <c r="BZ975" s="5" t="n"/>
      <c r="CA975" s="5" t="n"/>
      <c r="CB975" s="5" t="n"/>
      <c r="CC975" s="5" t="n"/>
      <c r="CD975" s="5" t="n"/>
      <c r="CE975" s="5" t="n"/>
      <c r="CF975" s="5" t="n"/>
    </row>
    <row r="976">
      <c r="A976" s="171" t="n"/>
      <c r="B976" s="171" t="n"/>
      <c r="C976" s="171" t="n"/>
      <c r="D976" s="170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  <c r="AY976" s="5" t="n"/>
      <c r="AZ976" s="5" t="n"/>
      <c r="BA976" s="5" t="n"/>
      <c r="BB976" s="5" t="n"/>
      <c r="BC976" s="5" t="n"/>
      <c r="BD976" s="5" t="n"/>
      <c r="BE976" s="5" t="n"/>
      <c r="BF976" s="5" t="n"/>
      <c r="BG976" s="5" t="n"/>
      <c r="BH976" s="5" t="n"/>
      <c r="BI976" s="5" t="n"/>
      <c r="BJ976" s="5" t="n"/>
      <c r="BK976" s="5" t="n"/>
      <c r="BL976" s="5" t="n"/>
      <c r="BM976" s="5" t="n"/>
      <c r="BN976" s="5" t="n"/>
      <c r="BO976" s="5" t="n"/>
      <c r="BP976" s="5" t="n"/>
      <c r="BQ976" s="5" t="n"/>
      <c r="BR976" s="5" t="n"/>
      <c r="BS976" s="5" t="n"/>
      <c r="BT976" s="5" t="n"/>
      <c r="BU976" s="5" t="n"/>
      <c r="BV976" s="5" t="n"/>
      <c r="BW976" s="5" t="n"/>
      <c r="BX976" s="5" t="n"/>
      <c r="BY976" s="5" t="n"/>
      <c r="BZ976" s="5" t="n"/>
      <c r="CA976" s="5" t="n"/>
      <c r="CB976" s="5" t="n"/>
      <c r="CC976" s="5" t="n"/>
      <c r="CD976" s="5" t="n"/>
      <c r="CE976" s="5" t="n"/>
      <c r="CF976" s="5" t="n"/>
    </row>
    <row r="977">
      <c r="A977" s="171" t="n"/>
      <c r="B977" s="171" t="n"/>
      <c r="C977" s="171" t="n"/>
      <c r="D977" s="170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5" t="n"/>
      <c r="AZ977" s="5" t="n"/>
      <c r="BA977" s="5" t="n"/>
      <c r="BB977" s="5" t="n"/>
      <c r="BC977" s="5" t="n"/>
      <c r="BD977" s="5" t="n"/>
      <c r="BE977" s="5" t="n"/>
      <c r="BF977" s="5" t="n"/>
      <c r="BG977" s="5" t="n"/>
      <c r="BH977" s="5" t="n"/>
      <c r="BI977" s="5" t="n"/>
      <c r="BJ977" s="5" t="n"/>
      <c r="BK977" s="5" t="n"/>
      <c r="BL977" s="5" t="n"/>
      <c r="BM977" s="5" t="n"/>
      <c r="BN977" s="5" t="n"/>
      <c r="BO977" s="5" t="n"/>
      <c r="BP977" s="5" t="n"/>
      <c r="BQ977" s="5" t="n"/>
      <c r="BR977" s="5" t="n"/>
      <c r="BS977" s="5" t="n"/>
      <c r="BT977" s="5" t="n"/>
      <c r="BU977" s="5" t="n"/>
      <c r="BV977" s="5" t="n"/>
      <c r="BW977" s="5" t="n"/>
      <c r="BX977" s="5" t="n"/>
      <c r="BY977" s="5" t="n"/>
      <c r="BZ977" s="5" t="n"/>
      <c r="CA977" s="5" t="n"/>
      <c r="CB977" s="5" t="n"/>
      <c r="CC977" s="5" t="n"/>
      <c r="CD977" s="5" t="n"/>
      <c r="CE977" s="5" t="n"/>
      <c r="CF977" s="5" t="n"/>
    </row>
    <row r="978">
      <c r="A978" s="171" t="n"/>
      <c r="B978" s="171" t="n"/>
      <c r="C978" s="171" t="n"/>
      <c r="D978" s="170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5" t="n"/>
      <c r="AZ978" s="5" t="n"/>
      <c r="BA978" s="5" t="n"/>
      <c r="BB978" s="5" t="n"/>
      <c r="BC978" s="5" t="n"/>
      <c r="BD978" s="5" t="n"/>
      <c r="BE978" s="5" t="n"/>
      <c r="BF978" s="5" t="n"/>
      <c r="BG978" s="5" t="n"/>
      <c r="BH978" s="5" t="n"/>
      <c r="BI978" s="5" t="n"/>
      <c r="BJ978" s="5" t="n"/>
      <c r="BK978" s="5" t="n"/>
      <c r="BL978" s="5" t="n"/>
      <c r="BM978" s="5" t="n"/>
      <c r="BN978" s="5" t="n"/>
      <c r="BO978" s="5" t="n"/>
      <c r="BP978" s="5" t="n"/>
      <c r="BQ978" s="5" t="n"/>
      <c r="BR978" s="5" t="n"/>
      <c r="BS978" s="5" t="n"/>
      <c r="BT978" s="5" t="n"/>
      <c r="BU978" s="5" t="n"/>
      <c r="BV978" s="5" t="n"/>
      <c r="BW978" s="5" t="n"/>
      <c r="BX978" s="5" t="n"/>
      <c r="BY978" s="5" t="n"/>
      <c r="BZ978" s="5" t="n"/>
      <c r="CA978" s="5" t="n"/>
      <c r="CB978" s="5" t="n"/>
      <c r="CC978" s="5" t="n"/>
      <c r="CD978" s="5" t="n"/>
      <c r="CE978" s="5" t="n"/>
      <c r="CF978" s="5" t="n"/>
    </row>
    <row r="979">
      <c r="A979" s="171" t="n"/>
      <c r="B979" s="171" t="n"/>
      <c r="C979" s="171" t="n"/>
      <c r="D979" s="170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5" t="n"/>
      <c r="AZ979" s="5" t="n"/>
      <c r="BA979" s="5" t="n"/>
      <c r="BB979" s="5" t="n"/>
      <c r="BC979" s="5" t="n"/>
      <c r="BD979" s="5" t="n"/>
      <c r="BE979" s="5" t="n"/>
      <c r="BF979" s="5" t="n"/>
      <c r="BG979" s="5" t="n"/>
      <c r="BH979" s="5" t="n"/>
      <c r="BI979" s="5" t="n"/>
      <c r="BJ979" s="5" t="n"/>
      <c r="BK979" s="5" t="n"/>
      <c r="BL979" s="5" t="n"/>
      <c r="BM979" s="5" t="n"/>
      <c r="BN979" s="5" t="n"/>
      <c r="BO979" s="5" t="n"/>
      <c r="BP979" s="5" t="n"/>
      <c r="BQ979" s="5" t="n"/>
      <c r="BR979" s="5" t="n"/>
      <c r="BS979" s="5" t="n"/>
      <c r="BT979" s="5" t="n"/>
      <c r="BU979" s="5" t="n"/>
      <c r="BV979" s="5" t="n"/>
      <c r="BW979" s="5" t="n"/>
      <c r="BX979" s="5" t="n"/>
      <c r="BY979" s="5" t="n"/>
      <c r="BZ979" s="5" t="n"/>
      <c r="CA979" s="5" t="n"/>
      <c r="CB979" s="5" t="n"/>
      <c r="CC979" s="5" t="n"/>
      <c r="CD979" s="5" t="n"/>
      <c r="CE979" s="5" t="n"/>
      <c r="CF979" s="5" t="n"/>
    </row>
    <row r="980">
      <c r="A980" s="171" t="n"/>
      <c r="B980" s="171" t="n"/>
      <c r="C980" s="171" t="n"/>
      <c r="D980" s="170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  <c r="AY980" s="5" t="n"/>
      <c r="AZ980" s="5" t="n"/>
      <c r="BA980" s="5" t="n"/>
      <c r="BB980" s="5" t="n"/>
      <c r="BC980" s="5" t="n"/>
      <c r="BD980" s="5" t="n"/>
      <c r="BE980" s="5" t="n"/>
      <c r="BF980" s="5" t="n"/>
      <c r="BG980" s="5" t="n"/>
      <c r="BH980" s="5" t="n"/>
      <c r="BI980" s="5" t="n"/>
      <c r="BJ980" s="5" t="n"/>
      <c r="BK980" s="5" t="n"/>
      <c r="BL980" s="5" t="n"/>
      <c r="BM980" s="5" t="n"/>
      <c r="BN980" s="5" t="n"/>
      <c r="BO980" s="5" t="n"/>
      <c r="BP980" s="5" t="n"/>
      <c r="BQ980" s="5" t="n"/>
      <c r="BR980" s="5" t="n"/>
      <c r="BS980" s="5" t="n"/>
      <c r="BT980" s="5" t="n"/>
      <c r="BU980" s="5" t="n"/>
      <c r="BV980" s="5" t="n"/>
      <c r="BW980" s="5" t="n"/>
      <c r="BX980" s="5" t="n"/>
      <c r="BY980" s="5" t="n"/>
      <c r="BZ980" s="5" t="n"/>
      <c r="CA980" s="5" t="n"/>
      <c r="CB980" s="5" t="n"/>
      <c r="CC980" s="5" t="n"/>
      <c r="CD980" s="5" t="n"/>
      <c r="CE980" s="5" t="n"/>
      <c r="CF980" s="5" t="n"/>
    </row>
    <row r="981">
      <c r="A981" s="171" t="n"/>
      <c r="B981" s="171" t="n"/>
      <c r="C981" s="171" t="n"/>
      <c r="D981" s="170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  <c r="AY981" s="5" t="n"/>
      <c r="AZ981" s="5" t="n"/>
      <c r="BA981" s="5" t="n"/>
      <c r="BB981" s="5" t="n"/>
      <c r="BC981" s="5" t="n"/>
      <c r="BD981" s="5" t="n"/>
      <c r="BE981" s="5" t="n"/>
      <c r="BF981" s="5" t="n"/>
      <c r="BG981" s="5" t="n"/>
      <c r="BH981" s="5" t="n"/>
      <c r="BI981" s="5" t="n"/>
      <c r="BJ981" s="5" t="n"/>
      <c r="BK981" s="5" t="n"/>
      <c r="BL981" s="5" t="n"/>
      <c r="BM981" s="5" t="n"/>
      <c r="BN981" s="5" t="n"/>
      <c r="BO981" s="5" t="n"/>
      <c r="BP981" s="5" t="n"/>
      <c r="BQ981" s="5" t="n"/>
      <c r="BR981" s="5" t="n"/>
      <c r="BS981" s="5" t="n"/>
      <c r="BT981" s="5" t="n"/>
      <c r="BU981" s="5" t="n"/>
      <c r="BV981" s="5" t="n"/>
      <c r="BW981" s="5" t="n"/>
      <c r="BX981" s="5" t="n"/>
      <c r="BY981" s="5" t="n"/>
      <c r="BZ981" s="5" t="n"/>
      <c r="CA981" s="5" t="n"/>
      <c r="CB981" s="5" t="n"/>
      <c r="CC981" s="5" t="n"/>
      <c r="CD981" s="5" t="n"/>
      <c r="CE981" s="5" t="n"/>
      <c r="CF981" s="5" t="n"/>
    </row>
    <row r="982">
      <c r="A982" s="171" t="n"/>
      <c r="B982" s="171" t="n"/>
      <c r="C982" s="171" t="n"/>
      <c r="D982" s="170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  <c r="AY982" s="5" t="n"/>
      <c r="AZ982" s="5" t="n"/>
      <c r="BA982" s="5" t="n"/>
      <c r="BB982" s="5" t="n"/>
      <c r="BC982" s="5" t="n"/>
      <c r="BD982" s="5" t="n"/>
      <c r="BE982" s="5" t="n"/>
      <c r="BF982" s="5" t="n"/>
      <c r="BG982" s="5" t="n"/>
      <c r="BH982" s="5" t="n"/>
      <c r="BI982" s="5" t="n"/>
      <c r="BJ982" s="5" t="n"/>
      <c r="BK982" s="5" t="n"/>
      <c r="BL982" s="5" t="n"/>
      <c r="BM982" s="5" t="n"/>
      <c r="BN982" s="5" t="n"/>
      <c r="BO982" s="5" t="n"/>
      <c r="BP982" s="5" t="n"/>
      <c r="BQ982" s="5" t="n"/>
      <c r="BR982" s="5" t="n"/>
      <c r="BS982" s="5" t="n"/>
      <c r="BT982" s="5" t="n"/>
      <c r="BU982" s="5" t="n"/>
      <c r="BV982" s="5" t="n"/>
      <c r="BW982" s="5" t="n"/>
      <c r="BX982" s="5" t="n"/>
      <c r="BY982" s="5" t="n"/>
      <c r="BZ982" s="5" t="n"/>
      <c r="CA982" s="5" t="n"/>
      <c r="CB982" s="5" t="n"/>
      <c r="CC982" s="5" t="n"/>
      <c r="CD982" s="5" t="n"/>
      <c r="CE982" s="5" t="n"/>
      <c r="CF982" s="5" t="n"/>
    </row>
    <row r="983">
      <c r="A983" s="171" t="n"/>
      <c r="B983" s="171" t="n"/>
      <c r="C983" s="171" t="n"/>
      <c r="D983" s="170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  <c r="AY983" s="5" t="n"/>
      <c r="AZ983" s="5" t="n"/>
      <c r="BA983" s="5" t="n"/>
      <c r="BB983" s="5" t="n"/>
      <c r="BC983" s="5" t="n"/>
      <c r="BD983" s="5" t="n"/>
      <c r="BE983" s="5" t="n"/>
      <c r="BF983" s="5" t="n"/>
      <c r="BG983" s="5" t="n"/>
      <c r="BH983" s="5" t="n"/>
      <c r="BI983" s="5" t="n"/>
      <c r="BJ983" s="5" t="n"/>
      <c r="BK983" s="5" t="n"/>
      <c r="BL983" s="5" t="n"/>
      <c r="BM983" s="5" t="n"/>
      <c r="BN983" s="5" t="n"/>
      <c r="BO983" s="5" t="n"/>
      <c r="BP983" s="5" t="n"/>
      <c r="BQ983" s="5" t="n"/>
      <c r="BR983" s="5" t="n"/>
      <c r="BS983" s="5" t="n"/>
      <c r="BT983" s="5" t="n"/>
      <c r="BU983" s="5" t="n"/>
      <c r="BV983" s="5" t="n"/>
      <c r="BW983" s="5" t="n"/>
      <c r="BX983" s="5" t="n"/>
      <c r="BY983" s="5" t="n"/>
      <c r="BZ983" s="5" t="n"/>
      <c r="CA983" s="5" t="n"/>
      <c r="CB983" s="5" t="n"/>
      <c r="CC983" s="5" t="n"/>
      <c r="CD983" s="5" t="n"/>
      <c r="CE983" s="5" t="n"/>
      <c r="CF983" s="5" t="n"/>
    </row>
    <row r="984">
      <c r="A984" s="171" t="n"/>
      <c r="B984" s="171" t="n"/>
      <c r="C984" s="171" t="n"/>
      <c r="D984" s="170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  <c r="AY984" s="5" t="n"/>
      <c r="AZ984" s="5" t="n"/>
      <c r="BA984" s="5" t="n"/>
      <c r="BB984" s="5" t="n"/>
      <c r="BC984" s="5" t="n"/>
      <c r="BD984" s="5" t="n"/>
      <c r="BE984" s="5" t="n"/>
      <c r="BF984" s="5" t="n"/>
      <c r="BG984" s="5" t="n"/>
      <c r="BH984" s="5" t="n"/>
      <c r="BI984" s="5" t="n"/>
      <c r="BJ984" s="5" t="n"/>
      <c r="BK984" s="5" t="n"/>
      <c r="BL984" s="5" t="n"/>
      <c r="BM984" s="5" t="n"/>
      <c r="BN984" s="5" t="n"/>
      <c r="BO984" s="5" t="n"/>
      <c r="BP984" s="5" t="n"/>
      <c r="BQ984" s="5" t="n"/>
      <c r="BR984" s="5" t="n"/>
      <c r="BS984" s="5" t="n"/>
      <c r="BT984" s="5" t="n"/>
      <c r="BU984" s="5" t="n"/>
      <c r="BV984" s="5" t="n"/>
      <c r="BW984" s="5" t="n"/>
      <c r="BX984" s="5" t="n"/>
      <c r="BY984" s="5" t="n"/>
      <c r="BZ984" s="5" t="n"/>
      <c r="CA984" s="5" t="n"/>
      <c r="CB984" s="5" t="n"/>
      <c r="CC984" s="5" t="n"/>
      <c r="CD984" s="5" t="n"/>
      <c r="CE984" s="5" t="n"/>
      <c r="CF984" s="5" t="n"/>
    </row>
    <row r="985">
      <c r="A985" s="171" t="n"/>
      <c r="B985" s="171" t="n"/>
      <c r="C985" s="171" t="n"/>
      <c r="D985" s="170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  <c r="AY985" s="5" t="n"/>
      <c r="AZ985" s="5" t="n"/>
      <c r="BA985" s="5" t="n"/>
      <c r="BB985" s="5" t="n"/>
      <c r="BC985" s="5" t="n"/>
      <c r="BD985" s="5" t="n"/>
      <c r="BE985" s="5" t="n"/>
      <c r="BF985" s="5" t="n"/>
      <c r="BG985" s="5" t="n"/>
      <c r="BH985" s="5" t="n"/>
      <c r="BI985" s="5" t="n"/>
      <c r="BJ985" s="5" t="n"/>
      <c r="BK985" s="5" t="n"/>
      <c r="BL985" s="5" t="n"/>
      <c r="BM985" s="5" t="n"/>
      <c r="BN985" s="5" t="n"/>
      <c r="BO985" s="5" t="n"/>
      <c r="BP985" s="5" t="n"/>
      <c r="BQ985" s="5" t="n"/>
      <c r="BR985" s="5" t="n"/>
      <c r="BS985" s="5" t="n"/>
      <c r="BT985" s="5" t="n"/>
      <c r="BU985" s="5" t="n"/>
      <c r="BV985" s="5" t="n"/>
      <c r="BW985" s="5" t="n"/>
      <c r="BX985" s="5" t="n"/>
      <c r="BY985" s="5" t="n"/>
      <c r="BZ985" s="5" t="n"/>
      <c r="CA985" s="5" t="n"/>
      <c r="CB985" s="5" t="n"/>
      <c r="CC985" s="5" t="n"/>
      <c r="CD985" s="5" t="n"/>
      <c r="CE985" s="5" t="n"/>
      <c r="CF985" s="5" t="n"/>
    </row>
    <row r="986">
      <c r="A986" s="171" t="n"/>
      <c r="B986" s="171" t="n"/>
      <c r="C986" s="171" t="n"/>
      <c r="D986" s="170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  <c r="AY986" s="5" t="n"/>
      <c r="AZ986" s="5" t="n"/>
      <c r="BA986" s="5" t="n"/>
      <c r="BB986" s="5" t="n"/>
      <c r="BC986" s="5" t="n"/>
      <c r="BD986" s="5" t="n"/>
      <c r="BE986" s="5" t="n"/>
      <c r="BF986" s="5" t="n"/>
      <c r="BG986" s="5" t="n"/>
      <c r="BH986" s="5" t="n"/>
      <c r="BI986" s="5" t="n"/>
      <c r="BJ986" s="5" t="n"/>
      <c r="BK986" s="5" t="n"/>
      <c r="BL986" s="5" t="n"/>
      <c r="BM986" s="5" t="n"/>
      <c r="BN986" s="5" t="n"/>
      <c r="BO986" s="5" t="n"/>
      <c r="BP986" s="5" t="n"/>
      <c r="BQ986" s="5" t="n"/>
      <c r="BR986" s="5" t="n"/>
      <c r="BS986" s="5" t="n"/>
      <c r="BT986" s="5" t="n"/>
      <c r="BU986" s="5" t="n"/>
      <c r="BV986" s="5" t="n"/>
      <c r="BW986" s="5" t="n"/>
      <c r="BX986" s="5" t="n"/>
      <c r="BY986" s="5" t="n"/>
      <c r="BZ986" s="5" t="n"/>
      <c r="CA986" s="5" t="n"/>
      <c r="CB986" s="5" t="n"/>
      <c r="CC986" s="5" t="n"/>
      <c r="CD986" s="5" t="n"/>
      <c r="CE986" s="5" t="n"/>
      <c r="CF986" s="5" t="n"/>
    </row>
    <row r="987">
      <c r="A987" s="171" t="n"/>
      <c r="B987" s="171" t="n"/>
      <c r="C987" s="171" t="n"/>
      <c r="D987" s="170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  <c r="AY987" s="5" t="n"/>
      <c r="AZ987" s="5" t="n"/>
      <c r="BA987" s="5" t="n"/>
      <c r="BB987" s="5" t="n"/>
      <c r="BC987" s="5" t="n"/>
      <c r="BD987" s="5" t="n"/>
      <c r="BE987" s="5" t="n"/>
      <c r="BF987" s="5" t="n"/>
      <c r="BG987" s="5" t="n"/>
      <c r="BH987" s="5" t="n"/>
      <c r="BI987" s="5" t="n"/>
      <c r="BJ987" s="5" t="n"/>
      <c r="BK987" s="5" t="n"/>
      <c r="BL987" s="5" t="n"/>
      <c r="BM987" s="5" t="n"/>
      <c r="BN987" s="5" t="n"/>
      <c r="BO987" s="5" t="n"/>
      <c r="BP987" s="5" t="n"/>
      <c r="BQ987" s="5" t="n"/>
      <c r="BR987" s="5" t="n"/>
      <c r="BS987" s="5" t="n"/>
      <c r="BT987" s="5" t="n"/>
      <c r="BU987" s="5" t="n"/>
      <c r="BV987" s="5" t="n"/>
      <c r="BW987" s="5" t="n"/>
      <c r="BX987" s="5" t="n"/>
      <c r="BY987" s="5" t="n"/>
      <c r="BZ987" s="5" t="n"/>
      <c r="CA987" s="5" t="n"/>
      <c r="CB987" s="5" t="n"/>
      <c r="CC987" s="5" t="n"/>
      <c r="CD987" s="5" t="n"/>
      <c r="CE987" s="5" t="n"/>
      <c r="CF987" s="5" t="n"/>
    </row>
    <row r="988">
      <c r="A988" s="171" t="n"/>
      <c r="B988" s="171" t="n"/>
      <c r="C988" s="171" t="n"/>
      <c r="D988" s="170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  <c r="AY988" s="5" t="n"/>
      <c r="AZ988" s="5" t="n"/>
      <c r="BA988" s="5" t="n"/>
      <c r="BB988" s="5" t="n"/>
      <c r="BC988" s="5" t="n"/>
      <c r="BD988" s="5" t="n"/>
      <c r="BE988" s="5" t="n"/>
      <c r="BF988" s="5" t="n"/>
      <c r="BG988" s="5" t="n"/>
      <c r="BH988" s="5" t="n"/>
      <c r="BI988" s="5" t="n"/>
      <c r="BJ988" s="5" t="n"/>
      <c r="BK988" s="5" t="n"/>
      <c r="BL988" s="5" t="n"/>
      <c r="BM988" s="5" t="n"/>
      <c r="BN988" s="5" t="n"/>
      <c r="BO988" s="5" t="n"/>
      <c r="BP988" s="5" t="n"/>
      <c r="BQ988" s="5" t="n"/>
      <c r="BR988" s="5" t="n"/>
      <c r="BS988" s="5" t="n"/>
      <c r="BT988" s="5" t="n"/>
      <c r="BU988" s="5" t="n"/>
      <c r="BV988" s="5" t="n"/>
      <c r="BW988" s="5" t="n"/>
      <c r="BX988" s="5" t="n"/>
      <c r="BY988" s="5" t="n"/>
      <c r="BZ988" s="5" t="n"/>
      <c r="CA988" s="5" t="n"/>
      <c r="CB988" s="5" t="n"/>
      <c r="CC988" s="5" t="n"/>
      <c r="CD988" s="5" t="n"/>
      <c r="CE988" s="5" t="n"/>
      <c r="CF988" s="5" t="n"/>
    </row>
    <row r="989">
      <c r="A989" s="171" t="n"/>
      <c r="B989" s="171" t="n"/>
      <c r="C989" s="171" t="n"/>
      <c r="D989" s="170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  <c r="AY989" s="5" t="n"/>
      <c r="AZ989" s="5" t="n"/>
      <c r="BA989" s="5" t="n"/>
      <c r="BB989" s="5" t="n"/>
      <c r="BC989" s="5" t="n"/>
      <c r="BD989" s="5" t="n"/>
      <c r="BE989" s="5" t="n"/>
      <c r="BF989" s="5" t="n"/>
      <c r="BG989" s="5" t="n"/>
      <c r="BH989" s="5" t="n"/>
      <c r="BI989" s="5" t="n"/>
      <c r="BJ989" s="5" t="n"/>
      <c r="BK989" s="5" t="n"/>
      <c r="BL989" s="5" t="n"/>
      <c r="BM989" s="5" t="n"/>
      <c r="BN989" s="5" t="n"/>
      <c r="BO989" s="5" t="n"/>
      <c r="BP989" s="5" t="n"/>
      <c r="BQ989" s="5" t="n"/>
      <c r="BR989" s="5" t="n"/>
      <c r="BS989" s="5" t="n"/>
      <c r="BT989" s="5" t="n"/>
      <c r="BU989" s="5" t="n"/>
      <c r="BV989" s="5" t="n"/>
      <c r="BW989" s="5" t="n"/>
      <c r="BX989" s="5" t="n"/>
      <c r="BY989" s="5" t="n"/>
      <c r="BZ989" s="5" t="n"/>
      <c r="CA989" s="5" t="n"/>
      <c r="CB989" s="5" t="n"/>
      <c r="CC989" s="5" t="n"/>
      <c r="CD989" s="5" t="n"/>
      <c r="CE989" s="5" t="n"/>
      <c r="CF989" s="5" t="n"/>
    </row>
    <row r="990">
      <c r="A990" s="171" t="n"/>
      <c r="B990" s="171" t="n"/>
      <c r="C990" s="171" t="n"/>
      <c r="D990" s="170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  <c r="AY990" s="5" t="n"/>
      <c r="AZ990" s="5" t="n"/>
      <c r="BA990" s="5" t="n"/>
      <c r="BB990" s="5" t="n"/>
      <c r="BC990" s="5" t="n"/>
      <c r="BD990" s="5" t="n"/>
      <c r="BE990" s="5" t="n"/>
      <c r="BF990" s="5" t="n"/>
      <c r="BG990" s="5" t="n"/>
      <c r="BH990" s="5" t="n"/>
      <c r="BI990" s="5" t="n"/>
      <c r="BJ990" s="5" t="n"/>
      <c r="BK990" s="5" t="n"/>
      <c r="BL990" s="5" t="n"/>
      <c r="BM990" s="5" t="n"/>
      <c r="BN990" s="5" t="n"/>
      <c r="BO990" s="5" t="n"/>
      <c r="BP990" s="5" t="n"/>
      <c r="BQ990" s="5" t="n"/>
      <c r="BR990" s="5" t="n"/>
      <c r="BS990" s="5" t="n"/>
      <c r="BT990" s="5" t="n"/>
      <c r="BU990" s="5" t="n"/>
      <c r="BV990" s="5" t="n"/>
      <c r="BW990" s="5" t="n"/>
      <c r="BX990" s="5" t="n"/>
      <c r="BY990" s="5" t="n"/>
      <c r="BZ990" s="5" t="n"/>
      <c r="CA990" s="5" t="n"/>
      <c r="CB990" s="5" t="n"/>
      <c r="CC990" s="5" t="n"/>
      <c r="CD990" s="5" t="n"/>
      <c r="CE990" s="5" t="n"/>
      <c r="CF990" s="5" t="n"/>
    </row>
    <row r="991">
      <c r="A991" s="171" t="n"/>
      <c r="B991" s="171" t="n"/>
      <c r="C991" s="171" t="n"/>
      <c r="D991" s="170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  <c r="AY991" s="5" t="n"/>
      <c r="AZ991" s="5" t="n"/>
      <c r="BA991" s="5" t="n"/>
      <c r="BB991" s="5" t="n"/>
      <c r="BC991" s="5" t="n"/>
      <c r="BD991" s="5" t="n"/>
      <c r="BE991" s="5" t="n"/>
      <c r="BF991" s="5" t="n"/>
      <c r="BG991" s="5" t="n"/>
      <c r="BH991" s="5" t="n"/>
      <c r="BI991" s="5" t="n"/>
      <c r="BJ991" s="5" t="n"/>
      <c r="BK991" s="5" t="n"/>
      <c r="BL991" s="5" t="n"/>
      <c r="BM991" s="5" t="n"/>
      <c r="BN991" s="5" t="n"/>
      <c r="BO991" s="5" t="n"/>
      <c r="BP991" s="5" t="n"/>
      <c r="BQ991" s="5" t="n"/>
      <c r="BR991" s="5" t="n"/>
      <c r="BS991" s="5" t="n"/>
      <c r="BT991" s="5" t="n"/>
      <c r="BU991" s="5" t="n"/>
      <c r="BV991" s="5" t="n"/>
      <c r="BW991" s="5" t="n"/>
      <c r="BX991" s="5" t="n"/>
      <c r="BY991" s="5" t="n"/>
      <c r="BZ991" s="5" t="n"/>
      <c r="CA991" s="5" t="n"/>
      <c r="CB991" s="5" t="n"/>
      <c r="CC991" s="5" t="n"/>
      <c r="CD991" s="5" t="n"/>
      <c r="CE991" s="5" t="n"/>
      <c r="CF991" s="5" t="n"/>
    </row>
    <row r="992">
      <c r="A992" s="171" t="n"/>
      <c r="B992" s="171" t="n"/>
      <c r="C992" s="171" t="n"/>
      <c r="D992" s="170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  <c r="AY992" s="5" t="n"/>
      <c r="AZ992" s="5" t="n"/>
      <c r="BA992" s="5" t="n"/>
      <c r="BB992" s="5" t="n"/>
      <c r="BC992" s="5" t="n"/>
      <c r="BD992" s="5" t="n"/>
      <c r="BE992" s="5" t="n"/>
      <c r="BF992" s="5" t="n"/>
      <c r="BG992" s="5" t="n"/>
      <c r="BH992" s="5" t="n"/>
      <c r="BI992" s="5" t="n"/>
      <c r="BJ992" s="5" t="n"/>
      <c r="BK992" s="5" t="n"/>
      <c r="BL992" s="5" t="n"/>
      <c r="BM992" s="5" t="n"/>
      <c r="BN992" s="5" t="n"/>
      <c r="BO992" s="5" t="n"/>
      <c r="BP992" s="5" t="n"/>
      <c r="BQ992" s="5" t="n"/>
      <c r="BR992" s="5" t="n"/>
      <c r="BS992" s="5" t="n"/>
      <c r="BT992" s="5" t="n"/>
      <c r="BU992" s="5" t="n"/>
      <c r="BV992" s="5" t="n"/>
      <c r="BW992" s="5" t="n"/>
      <c r="BX992" s="5" t="n"/>
      <c r="BY992" s="5" t="n"/>
      <c r="BZ992" s="5" t="n"/>
      <c r="CA992" s="5" t="n"/>
      <c r="CB992" s="5" t="n"/>
      <c r="CC992" s="5" t="n"/>
      <c r="CD992" s="5" t="n"/>
      <c r="CE992" s="5" t="n"/>
      <c r="CF992" s="5" t="n"/>
    </row>
    <row r="993">
      <c r="A993" s="171" t="n"/>
      <c r="B993" s="171" t="n"/>
      <c r="C993" s="171" t="n"/>
      <c r="D993" s="170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  <c r="AY993" s="5" t="n"/>
      <c r="AZ993" s="5" t="n"/>
      <c r="BA993" s="5" t="n"/>
      <c r="BB993" s="5" t="n"/>
      <c r="BC993" s="5" t="n"/>
      <c r="BD993" s="5" t="n"/>
      <c r="BE993" s="5" t="n"/>
      <c r="BF993" s="5" t="n"/>
      <c r="BG993" s="5" t="n"/>
      <c r="BH993" s="5" t="n"/>
      <c r="BI993" s="5" t="n"/>
      <c r="BJ993" s="5" t="n"/>
      <c r="BK993" s="5" t="n"/>
      <c r="BL993" s="5" t="n"/>
      <c r="BM993" s="5" t="n"/>
      <c r="BN993" s="5" t="n"/>
      <c r="BO993" s="5" t="n"/>
      <c r="BP993" s="5" t="n"/>
      <c r="BQ993" s="5" t="n"/>
      <c r="BR993" s="5" t="n"/>
      <c r="BS993" s="5" t="n"/>
      <c r="BT993" s="5" t="n"/>
      <c r="BU993" s="5" t="n"/>
      <c r="BV993" s="5" t="n"/>
      <c r="BW993" s="5" t="n"/>
      <c r="BX993" s="5" t="n"/>
      <c r="BY993" s="5" t="n"/>
      <c r="BZ993" s="5" t="n"/>
      <c r="CA993" s="5" t="n"/>
      <c r="CB993" s="5" t="n"/>
      <c r="CC993" s="5" t="n"/>
      <c r="CD993" s="5" t="n"/>
      <c r="CE993" s="5" t="n"/>
      <c r="CF993" s="5" t="n"/>
    </row>
    <row r="994">
      <c r="A994" s="171" t="n"/>
      <c r="B994" s="171" t="n"/>
      <c r="C994" s="171" t="n"/>
      <c r="D994" s="170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  <c r="AY994" s="5" t="n"/>
      <c r="AZ994" s="5" t="n"/>
      <c r="BA994" s="5" t="n"/>
      <c r="BB994" s="5" t="n"/>
      <c r="BC994" s="5" t="n"/>
      <c r="BD994" s="5" t="n"/>
      <c r="BE994" s="5" t="n"/>
      <c r="BF994" s="5" t="n"/>
      <c r="BG994" s="5" t="n"/>
      <c r="BH994" s="5" t="n"/>
      <c r="BI994" s="5" t="n"/>
      <c r="BJ994" s="5" t="n"/>
      <c r="BK994" s="5" t="n"/>
      <c r="BL994" s="5" t="n"/>
      <c r="BM994" s="5" t="n"/>
      <c r="BN994" s="5" t="n"/>
      <c r="BO994" s="5" t="n"/>
      <c r="BP994" s="5" t="n"/>
      <c r="BQ994" s="5" t="n"/>
      <c r="BR994" s="5" t="n"/>
      <c r="BS994" s="5" t="n"/>
      <c r="BT994" s="5" t="n"/>
      <c r="BU994" s="5" t="n"/>
      <c r="BV994" s="5" t="n"/>
      <c r="BW994" s="5" t="n"/>
      <c r="BX994" s="5" t="n"/>
      <c r="BY994" s="5" t="n"/>
      <c r="BZ994" s="5" t="n"/>
      <c r="CA994" s="5" t="n"/>
      <c r="CB994" s="5" t="n"/>
      <c r="CC994" s="5" t="n"/>
      <c r="CD994" s="5" t="n"/>
      <c r="CE994" s="5" t="n"/>
      <c r="CF994" s="5" t="n"/>
    </row>
    <row r="995">
      <c r="A995" s="171" t="n"/>
      <c r="B995" s="171" t="n"/>
      <c r="C995" s="171" t="n"/>
      <c r="D995" s="170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  <c r="AY995" s="5" t="n"/>
      <c r="AZ995" s="5" t="n"/>
      <c r="BA995" s="5" t="n"/>
      <c r="BB995" s="5" t="n"/>
      <c r="BC995" s="5" t="n"/>
      <c r="BD995" s="5" t="n"/>
      <c r="BE995" s="5" t="n"/>
      <c r="BF995" s="5" t="n"/>
      <c r="BG995" s="5" t="n"/>
      <c r="BH995" s="5" t="n"/>
      <c r="BI995" s="5" t="n"/>
      <c r="BJ995" s="5" t="n"/>
      <c r="BK995" s="5" t="n"/>
      <c r="BL995" s="5" t="n"/>
      <c r="BM995" s="5" t="n"/>
      <c r="BN995" s="5" t="n"/>
      <c r="BO995" s="5" t="n"/>
      <c r="BP995" s="5" t="n"/>
      <c r="BQ995" s="5" t="n"/>
      <c r="BR995" s="5" t="n"/>
      <c r="BS995" s="5" t="n"/>
      <c r="BT995" s="5" t="n"/>
      <c r="BU995" s="5" t="n"/>
      <c r="BV995" s="5" t="n"/>
      <c r="BW995" s="5" t="n"/>
      <c r="BX995" s="5" t="n"/>
      <c r="BY995" s="5" t="n"/>
      <c r="BZ995" s="5" t="n"/>
      <c r="CA995" s="5" t="n"/>
      <c r="CB995" s="5" t="n"/>
      <c r="CC995" s="5" t="n"/>
      <c r="CD995" s="5" t="n"/>
      <c r="CE995" s="5" t="n"/>
      <c r="CF995" s="5" t="n"/>
    </row>
    <row r="996">
      <c r="A996" s="171" t="n"/>
      <c r="B996" s="171" t="n"/>
      <c r="C996" s="171" t="n"/>
      <c r="D996" s="170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  <c r="AY996" s="5" t="n"/>
      <c r="AZ996" s="5" t="n"/>
      <c r="BA996" s="5" t="n"/>
      <c r="BB996" s="5" t="n"/>
      <c r="BC996" s="5" t="n"/>
      <c r="BD996" s="5" t="n"/>
      <c r="BE996" s="5" t="n"/>
      <c r="BF996" s="5" t="n"/>
      <c r="BG996" s="5" t="n"/>
      <c r="BH996" s="5" t="n"/>
      <c r="BI996" s="5" t="n"/>
      <c r="BJ996" s="5" t="n"/>
      <c r="BK996" s="5" t="n"/>
      <c r="BL996" s="5" t="n"/>
      <c r="BM996" s="5" t="n"/>
      <c r="BN996" s="5" t="n"/>
      <c r="BO996" s="5" t="n"/>
      <c r="BP996" s="5" t="n"/>
      <c r="BQ996" s="5" t="n"/>
      <c r="BR996" s="5" t="n"/>
      <c r="BS996" s="5" t="n"/>
      <c r="BT996" s="5" t="n"/>
      <c r="BU996" s="5" t="n"/>
      <c r="BV996" s="5" t="n"/>
      <c r="BW996" s="5" t="n"/>
      <c r="BX996" s="5" t="n"/>
      <c r="BY996" s="5" t="n"/>
      <c r="BZ996" s="5" t="n"/>
      <c r="CA996" s="5" t="n"/>
      <c r="CB996" s="5" t="n"/>
      <c r="CC996" s="5" t="n"/>
      <c r="CD996" s="5" t="n"/>
      <c r="CE996" s="5" t="n"/>
      <c r="CF996" s="5" t="n"/>
    </row>
    <row r="997">
      <c r="A997" s="171" t="n"/>
      <c r="B997" s="171" t="n"/>
      <c r="C997" s="171" t="n"/>
      <c r="D997" s="170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  <c r="AY997" s="5" t="n"/>
      <c r="AZ997" s="5" t="n"/>
      <c r="BA997" s="5" t="n"/>
      <c r="BB997" s="5" t="n"/>
      <c r="BC997" s="5" t="n"/>
      <c r="BD997" s="5" t="n"/>
      <c r="BE997" s="5" t="n"/>
      <c r="BF997" s="5" t="n"/>
      <c r="BG997" s="5" t="n"/>
      <c r="BH997" s="5" t="n"/>
      <c r="BI997" s="5" t="n"/>
      <c r="BJ997" s="5" t="n"/>
      <c r="BK997" s="5" t="n"/>
      <c r="BL997" s="5" t="n"/>
      <c r="BM997" s="5" t="n"/>
      <c r="BN997" s="5" t="n"/>
      <c r="BO997" s="5" t="n"/>
      <c r="BP997" s="5" t="n"/>
      <c r="BQ997" s="5" t="n"/>
      <c r="BR997" s="5" t="n"/>
      <c r="BS997" s="5" t="n"/>
      <c r="BT997" s="5" t="n"/>
      <c r="BU997" s="5" t="n"/>
      <c r="BV997" s="5" t="n"/>
      <c r="BW997" s="5" t="n"/>
      <c r="BX997" s="5" t="n"/>
      <c r="BY997" s="5" t="n"/>
      <c r="BZ997" s="5" t="n"/>
      <c r="CA997" s="5" t="n"/>
      <c r="CB997" s="5" t="n"/>
      <c r="CC997" s="5" t="n"/>
      <c r="CD997" s="5" t="n"/>
      <c r="CE997" s="5" t="n"/>
      <c r="CF997" s="5" t="n"/>
    </row>
    <row r="998">
      <c r="A998" s="171" t="n"/>
      <c r="B998" s="171" t="n"/>
      <c r="C998" s="171" t="n"/>
      <c r="D998" s="170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  <c r="AY998" s="5" t="n"/>
      <c r="AZ998" s="5" t="n"/>
      <c r="BA998" s="5" t="n"/>
      <c r="BB998" s="5" t="n"/>
      <c r="BC998" s="5" t="n"/>
      <c r="BD998" s="5" t="n"/>
      <c r="BE998" s="5" t="n"/>
      <c r="BF998" s="5" t="n"/>
      <c r="BG998" s="5" t="n"/>
      <c r="BH998" s="5" t="n"/>
      <c r="BI998" s="5" t="n"/>
      <c r="BJ998" s="5" t="n"/>
      <c r="BK998" s="5" t="n"/>
      <c r="BL998" s="5" t="n"/>
      <c r="BM998" s="5" t="n"/>
      <c r="BN998" s="5" t="n"/>
      <c r="BO998" s="5" t="n"/>
      <c r="BP998" s="5" t="n"/>
      <c r="BQ998" s="5" t="n"/>
      <c r="BR998" s="5" t="n"/>
      <c r="BS998" s="5" t="n"/>
      <c r="BT998" s="5" t="n"/>
      <c r="BU998" s="5" t="n"/>
      <c r="BV998" s="5" t="n"/>
      <c r="BW998" s="5" t="n"/>
      <c r="BX998" s="5" t="n"/>
      <c r="BY998" s="5" t="n"/>
      <c r="BZ998" s="5" t="n"/>
      <c r="CA998" s="5" t="n"/>
      <c r="CB998" s="5" t="n"/>
      <c r="CC998" s="5" t="n"/>
      <c r="CD998" s="5" t="n"/>
      <c r="CE998" s="5" t="n"/>
      <c r="CF998" s="5" t="n"/>
    </row>
    <row r="999">
      <c r="A999" s="171" t="n"/>
      <c r="B999" s="171" t="n"/>
      <c r="C999" s="171" t="n"/>
      <c r="D999" s="170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  <c r="AY999" s="5" t="n"/>
      <c r="AZ999" s="5" t="n"/>
      <c r="BA999" s="5" t="n"/>
      <c r="BB999" s="5" t="n"/>
      <c r="BC999" s="5" t="n"/>
      <c r="BD999" s="5" t="n"/>
      <c r="BE999" s="5" t="n"/>
      <c r="BF999" s="5" t="n"/>
      <c r="BG999" s="5" t="n"/>
      <c r="BH999" s="5" t="n"/>
      <c r="BI999" s="5" t="n"/>
      <c r="BJ999" s="5" t="n"/>
      <c r="BK999" s="5" t="n"/>
      <c r="BL999" s="5" t="n"/>
      <c r="BM999" s="5" t="n"/>
      <c r="BN999" s="5" t="n"/>
      <c r="BO999" s="5" t="n"/>
      <c r="BP999" s="5" t="n"/>
      <c r="BQ999" s="5" t="n"/>
      <c r="BR999" s="5" t="n"/>
      <c r="BS999" s="5" t="n"/>
      <c r="BT999" s="5" t="n"/>
      <c r="BU999" s="5" t="n"/>
      <c r="BV999" s="5" t="n"/>
      <c r="BW999" s="5" t="n"/>
      <c r="BX999" s="5" t="n"/>
      <c r="BY999" s="5" t="n"/>
      <c r="BZ999" s="5" t="n"/>
      <c r="CA999" s="5" t="n"/>
      <c r="CB999" s="5" t="n"/>
      <c r="CC999" s="5" t="n"/>
      <c r="CD999" s="5" t="n"/>
      <c r="CE999" s="5" t="n"/>
      <c r="CF999" s="5" t="n"/>
    </row>
    <row r="1000">
      <c r="A1000" s="171" t="n"/>
      <c r="B1000" s="171" t="n"/>
      <c r="C1000" s="171" t="n"/>
      <c r="D1000" s="170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  <c r="AQ1000" s="5" t="n"/>
      <c r="AR1000" s="5" t="n"/>
      <c r="AS1000" s="5" t="n"/>
      <c r="AT1000" s="5" t="n"/>
      <c r="AU1000" s="5" t="n"/>
      <c r="AV1000" s="5" t="n"/>
      <c r="AW1000" s="5" t="n"/>
      <c r="AX1000" s="5" t="n"/>
      <c r="AY1000" s="5" t="n"/>
      <c r="AZ1000" s="5" t="n"/>
      <c r="BA1000" s="5" t="n"/>
      <c r="BB1000" s="5" t="n"/>
      <c r="BC1000" s="5" t="n"/>
      <c r="BD1000" s="5" t="n"/>
      <c r="BE1000" s="5" t="n"/>
      <c r="BF1000" s="5" t="n"/>
      <c r="BG1000" s="5" t="n"/>
      <c r="BH1000" s="5" t="n"/>
      <c r="BI1000" s="5" t="n"/>
      <c r="BJ1000" s="5" t="n"/>
      <c r="BK1000" s="5" t="n"/>
      <c r="BL1000" s="5" t="n"/>
      <c r="BM1000" s="5" t="n"/>
      <c r="BN1000" s="5" t="n"/>
      <c r="BO1000" s="5" t="n"/>
      <c r="BP1000" s="5" t="n"/>
      <c r="BQ1000" s="5" t="n"/>
      <c r="BR1000" s="5" t="n"/>
      <c r="BS1000" s="5" t="n"/>
      <c r="BT1000" s="5" t="n"/>
      <c r="BU1000" s="5" t="n"/>
      <c r="BV1000" s="5" t="n"/>
      <c r="BW1000" s="5" t="n"/>
      <c r="BX1000" s="5" t="n"/>
      <c r="BY1000" s="5" t="n"/>
      <c r="BZ1000" s="5" t="n"/>
      <c r="CA1000" s="5" t="n"/>
      <c r="CB1000" s="5" t="n"/>
      <c r="CC1000" s="5" t="n"/>
      <c r="CD1000" s="5" t="n"/>
      <c r="CE1000" s="5" t="n"/>
      <c r="CF1000" s="5" t="n"/>
    </row>
    <row r="1001">
      <c r="A1001" s="171" t="n"/>
      <c r="B1001" s="171" t="n"/>
      <c r="C1001" s="171" t="n"/>
      <c r="D1001" s="170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/>
      <c r="AL1001" s="5" t="n"/>
      <c r="AM1001" s="5" t="n"/>
      <c r="AN1001" s="5" t="n"/>
      <c r="AO1001" s="5" t="n"/>
      <c r="AP1001" s="5" t="n"/>
      <c r="AQ1001" s="5" t="n"/>
      <c r="AR1001" s="5" t="n"/>
      <c r="AS1001" s="5" t="n"/>
      <c r="AT1001" s="5" t="n"/>
      <c r="AU1001" s="5" t="n"/>
      <c r="AV1001" s="5" t="n"/>
      <c r="AW1001" s="5" t="n"/>
      <c r="AX1001" s="5" t="n"/>
      <c r="AY1001" s="5" t="n"/>
      <c r="AZ1001" s="5" t="n"/>
      <c r="BA1001" s="5" t="n"/>
      <c r="BB1001" s="5" t="n"/>
      <c r="BC1001" s="5" t="n"/>
      <c r="BD1001" s="5" t="n"/>
      <c r="BE1001" s="5" t="n"/>
      <c r="BF1001" s="5" t="n"/>
      <c r="BG1001" s="5" t="n"/>
      <c r="BH1001" s="5" t="n"/>
      <c r="BI1001" s="5" t="n"/>
      <c r="BJ1001" s="5" t="n"/>
      <c r="BK1001" s="5" t="n"/>
      <c r="BL1001" s="5" t="n"/>
      <c r="BM1001" s="5" t="n"/>
      <c r="BN1001" s="5" t="n"/>
      <c r="BO1001" s="5" t="n"/>
      <c r="BP1001" s="5" t="n"/>
      <c r="BQ1001" s="5" t="n"/>
      <c r="BR1001" s="5" t="n"/>
      <c r="BS1001" s="5" t="n"/>
      <c r="BT1001" s="5" t="n"/>
      <c r="BU1001" s="5" t="n"/>
      <c r="BV1001" s="5" t="n"/>
      <c r="BW1001" s="5" t="n"/>
      <c r="BX1001" s="5" t="n"/>
      <c r="BY1001" s="5" t="n"/>
      <c r="BZ1001" s="5" t="n"/>
      <c r="CA1001" s="5" t="n"/>
      <c r="CB1001" s="5" t="n"/>
      <c r="CC1001" s="5" t="n"/>
      <c r="CD1001" s="5" t="n"/>
      <c r="CE1001" s="5" t="n"/>
      <c r="CF1001" s="5" t="n"/>
    </row>
    <row r="1002">
      <c r="A1002" s="171" t="n"/>
      <c r="B1002" s="171" t="n"/>
      <c r="C1002" s="171" t="n"/>
      <c r="D1002" s="170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5" t="n"/>
      <c r="AI1002" s="5" t="n"/>
      <c r="AJ1002" s="5" t="n"/>
      <c r="AK1002" s="5" t="n"/>
      <c r="AL1002" s="5" t="n"/>
      <c r="AM1002" s="5" t="n"/>
      <c r="AN1002" s="5" t="n"/>
      <c r="AO1002" s="5" t="n"/>
      <c r="AP1002" s="5" t="n"/>
      <c r="AQ1002" s="5" t="n"/>
      <c r="AR1002" s="5" t="n"/>
      <c r="AS1002" s="5" t="n"/>
      <c r="AT1002" s="5" t="n"/>
      <c r="AU1002" s="5" t="n"/>
      <c r="AV1002" s="5" t="n"/>
      <c r="AW1002" s="5" t="n"/>
      <c r="AX1002" s="5" t="n"/>
      <c r="AY1002" s="5" t="n"/>
      <c r="AZ1002" s="5" t="n"/>
      <c r="BA1002" s="5" t="n"/>
      <c r="BB1002" s="5" t="n"/>
      <c r="BC1002" s="5" t="n"/>
      <c r="BD1002" s="5" t="n"/>
      <c r="BE1002" s="5" t="n"/>
      <c r="BF1002" s="5" t="n"/>
      <c r="BG1002" s="5" t="n"/>
      <c r="BH1002" s="5" t="n"/>
      <c r="BI1002" s="5" t="n"/>
      <c r="BJ1002" s="5" t="n"/>
      <c r="BK1002" s="5" t="n"/>
      <c r="BL1002" s="5" t="n"/>
      <c r="BM1002" s="5" t="n"/>
      <c r="BN1002" s="5" t="n"/>
      <c r="BO1002" s="5" t="n"/>
      <c r="BP1002" s="5" t="n"/>
      <c r="BQ1002" s="5" t="n"/>
      <c r="BR1002" s="5" t="n"/>
      <c r="BS1002" s="5" t="n"/>
      <c r="BT1002" s="5" t="n"/>
      <c r="BU1002" s="5" t="n"/>
      <c r="BV1002" s="5" t="n"/>
      <c r="BW1002" s="5" t="n"/>
      <c r="BX1002" s="5" t="n"/>
      <c r="BY1002" s="5" t="n"/>
      <c r="BZ1002" s="5" t="n"/>
      <c r="CA1002" s="5" t="n"/>
      <c r="CB1002" s="5" t="n"/>
      <c r="CC1002" s="5" t="n"/>
      <c r="CD1002" s="5" t="n"/>
      <c r="CE1002" s="5" t="n"/>
      <c r="CF1002" s="5" t="n"/>
    </row>
    <row r="1003">
      <c r="A1003" s="171" t="n"/>
      <c r="B1003" s="171" t="n"/>
      <c r="C1003" s="171" t="n"/>
      <c r="D1003" s="170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5" t="n"/>
      <c r="AI1003" s="5" t="n"/>
      <c r="AJ1003" s="5" t="n"/>
      <c r="AK1003" s="5" t="n"/>
      <c r="AL1003" s="5" t="n"/>
      <c r="AM1003" s="5" t="n"/>
      <c r="AN1003" s="5" t="n"/>
      <c r="AO1003" s="5" t="n"/>
      <c r="AP1003" s="5" t="n"/>
      <c r="AQ1003" s="5" t="n"/>
      <c r="AR1003" s="5" t="n"/>
      <c r="AS1003" s="5" t="n"/>
      <c r="AT1003" s="5" t="n"/>
      <c r="AU1003" s="5" t="n"/>
      <c r="AV1003" s="5" t="n"/>
      <c r="AW1003" s="5" t="n"/>
      <c r="AX1003" s="5" t="n"/>
      <c r="AY1003" s="5" t="n"/>
      <c r="AZ1003" s="5" t="n"/>
      <c r="BA1003" s="5" t="n"/>
      <c r="BB1003" s="5" t="n"/>
      <c r="BC1003" s="5" t="n"/>
      <c r="BD1003" s="5" t="n"/>
      <c r="BE1003" s="5" t="n"/>
      <c r="BF1003" s="5" t="n"/>
      <c r="BG1003" s="5" t="n"/>
      <c r="BH1003" s="5" t="n"/>
      <c r="BI1003" s="5" t="n"/>
      <c r="BJ1003" s="5" t="n"/>
      <c r="BK1003" s="5" t="n"/>
      <c r="BL1003" s="5" t="n"/>
      <c r="BM1003" s="5" t="n"/>
      <c r="BN1003" s="5" t="n"/>
      <c r="BO1003" s="5" t="n"/>
      <c r="BP1003" s="5" t="n"/>
      <c r="BQ1003" s="5" t="n"/>
      <c r="BR1003" s="5" t="n"/>
      <c r="BS1003" s="5" t="n"/>
      <c r="BT1003" s="5" t="n"/>
      <c r="BU1003" s="5" t="n"/>
      <c r="BV1003" s="5" t="n"/>
      <c r="BW1003" s="5" t="n"/>
      <c r="BX1003" s="5" t="n"/>
      <c r="BY1003" s="5" t="n"/>
      <c r="BZ1003" s="5" t="n"/>
      <c r="CA1003" s="5" t="n"/>
      <c r="CB1003" s="5" t="n"/>
      <c r="CC1003" s="5" t="n"/>
      <c r="CD1003" s="5" t="n"/>
      <c r="CE1003" s="5" t="n"/>
      <c r="CF1003" s="5" t="n"/>
    </row>
    <row r="1004">
      <c r="A1004" s="171" t="n"/>
      <c r="B1004" s="171" t="n"/>
      <c r="C1004" s="171" t="n"/>
      <c r="D1004" s="170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5" t="n"/>
      <c r="AI1004" s="5" t="n"/>
      <c r="AJ1004" s="5" t="n"/>
      <c r="AK1004" s="5" t="n"/>
      <c r="AL1004" s="5" t="n"/>
      <c r="AM1004" s="5" t="n"/>
      <c r="AN1004" s="5" t="n"/>
      <c r="AO1004" s="5" t="n"/>
      <c r="AP1004" s="5" t="n"/>
      <c r="AQ1004" s="5" t="n"/>
      <c r="AR1004" s="5" t="n"/>
      <c r="AS1004" s="5" t="n"/>
      <c r="AT1004" s="5" t="n"/>
      <c r="AU1004" s="5" t="n"/>
      <c r="AV1004" s="5" t="n"/>
      <c r="AW1004" s="5" t="n"/>
      <c r="AX1004" s="5" t="n"/>
      <c r="AY1004" s="5" t="n"/>
      <c r="AZ1004" s="5" t="n"/>
      <c r="BA1004" s="5" t="n"/>
      <c r="BB1004" s="5" t="n"/>
      <c r="BC1004" s="5" t="n"/>
      <c r="BD1004" s="5" t="n"/>
      <c r="BE1004" s="5" t="n"/>
      <c r="BF1004" s="5" t="n"/>
      <c r="BG1004" s="5" t="n"/>
      <c r="BH1004" s="5" t="n"/>
      <c r="BI1004" s="5" t="n"/>
      <c r="BJ1004" s="5" t="n"/>
      <c r="BK1004" s="5" t="n"/>
      <c r="BL1004" s="5" t="n"/>
      <c r="BM1004" s="5" t="n"/>
      <c r="BN1004" s="5" t="n"/>
      <c r="BO1004" s="5" t="n"/>
      <c r="BP1004" s="5" t="n"/>
      <c r="BQ1004" s="5" t="n"/>
      <c r="BR1004" s="5" t="n"/>
      <c r="BS1004" s="5" t="n"/>
      <c r="BT1004" s="5" t="n"/>
      <c r="BU1004" s="5" t="n"/>
      <c r="BV1004" s="5" t="n"/>
      <c r="BW1004" s="5" t="n"/>
      <c r="BX1004" s="5" t="n"/>
      <c r="BY1004" s="5" t="n"/>
      <c r="BZ1004" s="5" t="n"/>
      <c r="CA1004" s="5" t="n"/>
      <c r="CB1004" s="5" t="n"/>
      <c r="CC1004" s="5" t="n"/>
      <c r="CD1004" s="5" t="n"/>
      <c r="CE1004" s="5" t="n"/>
      <c r="CF1004" s="5" t="n"/>
    </row>
    <row r="1005">
      <c r="A1005" s="171" t="n"/>
      <c r="B1005" s="171" t="n"/>
      <c r="C1005" s="171" t="n"/>
      <c r="D1005" s="170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  <c r="AD1005" s="5" t="n"/>
      <c r="AE1005" s="5" t="n"/>
      <c r="AF1005" s="5" t="n"/>
      <c r="AG1005" s="5" t="n"/>
      <c r="AH1005" s="5" t="n"/>
      <c r="AI1005" s="5" t="n"/>
      <c r="AJ1005" s="5" t="n"/>
      <c r="AK1005" s="5" t="n"/>
      <c r="AL1005" s="5" t="n"/>
      <c r="AM1005" s="5" t="n"/>
      <c r="AN1005" s="5" t="n"/>
      <c r="AO1005" s="5" t="n"/>
      <c r="AP1005" s="5" t="n"/>
      <c r="AQ1005" s="5" t="n"/>
      <c r="AR1005" s="5" t="n"/>
      <c r="AS1005" s="5" t="n"/>
      <c r="AT1005" s="5" t="n"/>
      <c r="AU1005" s="5" t="n"/>
      <c r="AV1005" s="5" t="n"/>
      <c r="AW1005" s="5" t="n"/>
      <c r="AX1005" s="5" t="n"/>
      <c r="AY1005" s="5" t="n"/>
      <c r="AZ1005" s="5" t="n"/>
      <c r="BA1005" s="5" t="n"/>
      <c r="BB1005" s="5" t="n"/>
      <c r="BC1005" s="5" t="n"/>
      <c r="BD1005" s="5" t="n"/>
      <c r="BE1005" s="5" t="n"/>
      <c r="BF1005" s="5" t="n"/>
      <c r="BG1005" s="5" t="n"/>
      <c r="BH1005" s="5" t="n"/>
      <c r="BI1005" s="5" t="n"/>
      <c r="BJ1005" s="5" t="n"/>
      <c r="BK1005" s="5" t="n"/>
      <c r="BL1005" s="5" t="n"/>
      <c r="BM1005" s="5" t="n"/>
      <c r="BN1005" s="5" t="n"/>
      <c r="BO1005" s="5" t="n"/>
      <c r="BP1005" s="5" t="n"/>
      <c r="BQ1005" s="5" t="n"/>
      <c r="BR1005" s="5" t="n"/>
      <c r="BS1005" s="5" t="n"/>
      <c r="BT1005" s="5" t="n"/>
      <c r="BU1005" s="5" t="n"/>
      <c r="BV1005" s="5" t="n"/>
      <c r="BW1005" s="5" t="n"/>
      <c r="BX1005" s="5" t="n"/>
      <c r="BY1005" s="5" t="n"/>
      <c r="BZ1005" s="5" t="n"/>
      <c r="CA1005" s="5" t="n"/>
      <c r="CB1005" s="5" t="n"/>
      <c r="CC1005" s="5" t="n"/>
      <c r="CD1005" s="5" t="n"/>
      <c r="CE1005" s="5" t="n"/>
      <c r="CF1005" s="5" t="n"/>
    </row>
    <row r="1006">
      <c r="A1006" s="171" t="n"/>
      <c r="B1006" s="171" t="n"/>
      <c r="C1006" s="171" t="n"/>
      <c r="D1006" s="170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5" t="n"/>
      <c r="AI1006" s="5" t="n"/>
      <c r="AJ1006" s="5" t="n"/>
      <c r="AK1006" s="5" t="n"/>
      <c r="AL1006" s="5" t="n"/>
      <c r="AM1006" s="5" t="n"/>
      <c r="AN1006" s="5" t="n"/>
      <c r="AO1006" s="5" t="n"/>
      <c r="AP1006" s="5" t="n"/>
      <c r="AQ1006" s="5" t="n"/>
      <c r="AR1006" s="5" t="n"/>
      <c r="AS1006" s="5" t="n"/>
      <c r="AT1006" s="5" t="n"/>
      <c r="AU1006" s="5" t="n"/>
      <c r="AV1006" s="5" t="n"/>
      <c r="AW1006" s="5" t="n"/>
      <c r="AX1006" s="5" t="n"/>
      <c r="AY1006" s="5" t="n"/>
      <c r="AZ1006" s="5" t="n"/>
      <c r="BA1006" s="5" t="n"/>
      <c r="BB1006" s="5" t="n"/>
      <c r="BC1006" s="5" t="n"/>
      <c r="BD1006" s="5" t="n"/>
      <c r="BE1006" s="5" t="n"/>
      <c r="BF1006" s="5" t="n"/>
      <c r="BG1006" s="5" t="n"/>
      <c r="BH1006" s="5" t="n"/>
      <c r="BI1006" s="5" t="n"/>
      <c r="BJ1006" s="5" t="n"/>
      <c r="BK1006" s="5" t="n"/>
      <c r="BL1006" s="5" t="n"/>
      <c r="BM1006" s="5" t="n"/>
      <c r="BN1006" s="5" t="n"/>
      <c r="BO1006" s="5" t="n"/>
      <c r="BP1006" s="5" t="n"/>
      <c r="BQ1006" s="5" t="n"/>
      <c r="BR1006" s="5" t="n"/>
      <c r="BS1006" s="5" t="n"/>
      <c r="BT1006" s="5" t="n"/>
      <c r="BU1006" s="5" t="n"/>
      <c r="BV1006" s="5" t="n"/>
      <c r="BW1006" s="5" t="n"/>
      <c r="BX1006" s="5" t="n"/>
      <c r="BY1006" s="5" t="n"/>
      <c r="BZ1006" s="5" t="n"/>
      <c r="CA1006" s="5" t="n"/>
      <c r="CB1006" s="5" t="n"/>
      <c r="CC1006" s="5" t="n"/>
      <c r="CD1006" s="5" t="n"/>
      <c r="CE1006" s="5" t="n"/>
      <c r="CF1006" s="5" t="n"/>
    </row>
    <row r="1007">
      <c r="A1007" s="171" t="n"/>
      <c r="B1007" s="171" t="n"/>
      <c r="C1007" s="171" t="n"/>
      <c r="D1007" s="170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  <c r="AD1007" s="5" t="n"/>
      <c r="AE1007" s="5" t="n"/>
      <c r="AF1007" s="5" t="n"/>
      <c r="AG1007" s="5" t="n"/>
      <c r="AH1007" s="5" t="n"/>
      <c r="AI1007" s="5" t="n"/>
      <c r="AJ1007" s="5" t="n"/>
      <c r="AK1007" s="5" t="n"/>
      <c r="AL1007" s="5" t="n"/>
      <c r="AM1007" s="5" t="n"/>
      <c r="AN1007" s="5" t="n"/>
      <c r="AO1007" s="5" t="n"/>
      <c r="AP1007" s="5" t="n"/>
      <c r="AQ1007" s="5" t="n"/>
      <c r="AR1007" s="5" t="n"/>
      <c r="AS1007" s="5" t="n"/>
      <c r="AT1007" s="5" t="n"/>
      <c r="AU1007" s="5" t="n"/>
      <c r="AV1007" s="5" t="n"/>
      <c r="AW1007" s="5" t="n"/>
      <c r="AX1007" s="5" t="n"/>
      <c r="AY1007" s="5" t="n"/>
      <c r="AZ1007" s="5" t="n"/>
      <c r="BA1007" s="5" t="n"/>
      <c r="BB1007" s="5" t="n"/>
      <c r="BC1007" s="5" t="n"/>
      <c r="BD1007" s="5" t="n"/>
      <c r="BE1007" s="5" t="n"/>
      <c r="BF1007" s="5" t="n"/>
      <c r="BG1007" s="5" t="n"/>
      <c r="BH1007" s="5" t="n"/>
      <c r="BI1007" s="5" t="n"/>
      <c r="BJ1007" s="5" t="n"/>
      <c r="BK1007" s="5" t="n"/>
      <c r="BL1007" s="5" t="n"/>
      <c r="BM1007" s="5" t="n"/>
      <c r="BN1007" s="5" t="n"/>
      <c r="BO1007" s="5" t="n"/>
      <c r="BP1007" s="5" t="n"/>
      <c r="BQ1007" s="5" t="n"/>
      <c r="BR1007" s="5" t="n"/>
      <c r="BS1007" s="5" t="n"/>
      <c r="BT1007" s="5" t="n"/>
      <c r="BU1007" s="5" t="n"/>
      <c r="BV1007" s="5" t="n"/>
      <c r="BW1007" s="5" t="n"/>
      <c r="BX1007" s="5" t="n"/>
      <c r="BY1007" s="5" t="n"/>
      <c r="BZ1007" s="5" t="n"/>
      <c r="CA1007" s="5" t="n"/>
      <c r="CB1007" s="5" t="n"/>
      <c r="CC1007" s="5" t="n"/>
      <c r="CD1007" s="5" t="n"/>
      <c r="CE1007" s="5" t="n"/>
      <c r="CF1007" s="5" t="n"/>
    </row>
    <row r="1008">
      <c r="A1008" s="171" t="n"/>
      <c r="B1008" s="171" t="n"/>
      <c r="C1008" s="171" t="n"/>
      <c r="D1008" s="170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  <c r="AD1008" s="5" t="n"/>
      <c r="AE1008" s="5" t="n"/>
      <c r="AF1008" s="5" t="n"/>
      <c r="AG1008" s="5" t="n"/>
      <c r="AH1008" s="5" t="n"/>
      <c r="AI1008" s="5" t="n"/>
      <c r="AJ1008" s="5" t="n"/>
      <c r="AK1008" s="5" t="n"/>
      <c r="AL1008" s="5" t="n"/>
      <c r="AM1008" s="5" t="n"/>
      <c r="AN1008" s="5" t="n"/>
      <c r="AO1008" s="5" t="n"/>
      <c r="AP1008" s="5" t="n"/>
      <c r="AQ1008" s="5" t="n"/>
      <c r="AR1008" s="5" t="n"/>
      <c r="AS1008" s="5" t="n"/>
      <c r="AT1008" s="5" t="n"/>
      <c r="AU1008" s="5" t="n"/>
      <c r="AV1008" s="5" t="n"/>
      <c r="AW1008" s="5" t="n"/>
      <c r="AX1008" s="5" t="n"/>
      <c r="AY1008" s="5" t="n"/>
      <c r="AZ1008" s="5" t="n"/>
      <c r="BA1008" s="5" t="n"/>
      <c r="BB1008" s="5" t="n"/>
      <c r="BC1008" s="5" t="n"/>
      <c r="BD1008" s="5" t="n"/>
      <c r="BE1008" s="5" t="n"/>
      <c r="BF1008" s="5" t="n"/>
      <c r="BG1008" s="5" t="n"/>
      <c r="BH1008" s="5" t="n"/>
      <c r="BI1008" s="5" t="n"/>
      <c r="BJ1008" s="5" t="n"/>
      <c r="BK1008" s="5" t="n"/>
      <c r="BL1008" s="5" t="n"/>
      <c r="BM1008" s="5" t="n"/>
      <c r="BN1008" s="5" t="n"/>
      <c r="BO1008" s="5" t="n"/>
      <c r="BP1008" s="5" t="n"/>
      <c r="BQ1008" s="5" t="n"/>
      <c r="BR1008" s="5" t="n"/>
      <c r="BS1008" s="5" t="n"/>
      <c r="BT1008" s="5" t="n"/>
      <c r="BU1008" s="5" t="n"/>
      <c r="BV1008" s="5" t="n"/>
      <c r="BW1008" s="5" t="n"/>
      <c r="BX1008" s="5" t="n"/>
      <c r="BY1008" s="5" t="n"/>
      <c r="BZ1008" s="5" t="n"/>
      <c r="CA1008" s="5" t="n"/>
      <c r="CB1008" s="5" t="n"/>
      <c r="CC1008" s="5" t="n"/>
      <c r="CD1008" s="5" t="n"/>
      <c r="CE1008" s="5" t="n"/>
      <c r="CF1008" s="5" t="n"/>
    </row>
    <row r="1009">
      <c r="A1009" s="171" t="n"/>
      <c r="B1009" s="171" t="n"/>
      <c r="C1009" s="171" t="n"/>
      <c r="D1009" s="170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  <c r="AD1009" s="5" t="n"/>
      <c r="AE1009" s="5" t="n"/>
      <c r="AF1009" s="5" t="n"/>
      <c r="AG1009" s="5" t="n"/>
      <c r="AH1009" s="5" t="n"/>
      <c r="AI1009" s="5" t="n"/>
      <c r="AJ1009" s="5" t="n"/>
      <c r="AK1009" s="5" t="n"/>
      <c r="AL1009" s="5" t="n"/>
      <c r="AM1009" s="5" t="n"/>
      <c r="AN1009" s="5" t="n"/>
      <c r="AO1009" s="5" t="n"/>
      <c r="AP1009" s="5" t="n"/>
      <c r="AQ1009" s="5" t="n"/>
      <c r="AR1009" s="5" t="n"/>
      <c r="AS1009" s="5" t="n"/>
      <c r="AT1009" s="5" t="n"/>
      <c r="AU1009" s="5" t="n"/>
      <c r="AV1009" s="5" t="n"/>
      <c r="AW1009" s="5" t="n"/>
      <c r="AX1009" s="5" t="n"/>
      <c r="AY1009" s="5" t="n"/>
      <c r="AZ1009" s="5" t="n"/>
      <c r="BA1009" s="5" t="n"/>
      <c r="BB1009" s="5" t="n"/>
      <c r="BC1009" s="5" t="n"/>
      <c r="BD1009" s="5" t="n"/>
      <c r="BE1009" s="5" t="n"/>
      <c r="BF1009" s="5" t="n"/>
      <c r="BG1009" s="5" t="n"/>
      <c r="BH1009" s="5" t="n"/>
      <c r="BI1009" s="5" t="n"/>
      <c r="BJ1009" s="5" t="n"/>
      <c r="BK1009" s="5" t="n"/>
      <c r="BL1009" s="5" t="n"/>
      <c r="BM1009" s="5" t="n"/>
      <c r="BN1009" s="5" t="n"/>
      <c r="BO1009" s="5" t="n"/>
      <c r="BP1009" s="5" t="n"/>
      <c r="BQ1009" s="5" t="n"/>
      <c r="BR1009" s="5" t="n"/>
      <c r="BS1009" s="5" t="n"/>
      <c r="BT1009" s="5" t="n"/>
      <c r="BU1009" s="5" t="n"/>
      <c r="BV1009" s="5" t="n"/>
      <c r="BW1009" s="5" t="n"/>
      <c r="BX1009" s="5" t="n"/>
      <c r="BY1009" s="5" t="n"/>
      <c r="BZ1009" s="5" t="n"/>
      <c r="CA1009" s="5" t="n"/>
      <c r="CB1009" s="5" t="n"/>
      <c r="CC1009" s="5" t="n"/>
      <c r="CD1009" s="5" t="n"/>
      <c r="CE1009" s="5" t="n"/>
      <c r="CF1009" s="5" t="n"/>
    </row>
    <row r="1010">
      <c r="A1010" s="171" t="n"/>
      <c r="B1010" s="171" t="n"/>
      <c r="C1010" s="171" t="n"/>
      <c r="D1010" s="170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  <c r="AD1010" s="5" t="n"/>
      <c r="AE1010" s="5" t="n"/>
      <c r="AF1010" s="5" t="n"/>
      <c r="AG1010" s="5" t="n"/>
      <c r="AH1010" s="5" t="n"/>
      <c r="AI1010" s="5" t="n"/>
      <c r="AJ1010" s="5" t="n"/>
      <c r="AK1010" s="5" t="n"/>
      <c r="AL1010" s="5" t="n"/>
      <c r="AM1010" s="5" t="n"/>
      <c r="AN1010" s="5" t="n"/>
      <c r="AO1010" s="5" t="n"/>
      <c r="AP1010" s="5" t="n"/>
      <c r="AQ1010" s="5" t="n"/>
      <c r="AR1010" s="5" t="n"/>
      <c r="AS1010" s="5" t="n"/>
      <c r="AT1010" s="5" t="n"/>
      <c r="AU1010" s="5" t="n"/>
      <c r="AV1010" s="5" t="n"/>
      <c r="AW1010" s="5" t="n"/>
      <c r="AX1010" s="5" t="n"/>
      <c r="AY1010" s="5" t="n"/>
      <c r="AZ1010" s="5" t="n"/>
      <c r="BA1010" s="5" t="n"/>
      <c r="BB1010" s="5" t="n"/>
      <c r="BC1010" s="5" t="n"/>
      <c r="BD1010" s="5" t="n"/>
      <c r="BE1010" s="5" t="n"/>
      <c r="BF1010" s="5" t="n"/>
      <c r="BG1010" s="5" t="n"/>
      <c r="BH1010" s="5" t="n"/>
      <c r="BI1010" s="5" t="n"/>
      <c r="BJ1010" s="5" t="n"/>
      <c r="BK1010" s="5" t="n"/>
      <c r="BL1010" s="5" t="n"/>
      <c r="BM1010" s="5" t="n"/>
      <c r="BN1010" s="5" t="n"/>
      <c r="BO1010" s="5" t="n"/>
      <c r="BP1010" s="5" t="n"/>
      <c r="BQ1010" s="5" t="n"/>
      <c r="BR1010" s="5" t="n"/>
      <c r="BS1010" s="5" t="n"/>
      <c r="BT1010" s="5" t="n"/>
      <c r="BU1010" s="5" t="n"/>
      <c r="BV1010" s="5" t="n"/>
      <c r="BW1010" s="5" t="n"/>
      <c r="BX1010" s="5" t="n"/>
      <c r="BY1010" s="5" t="n"/>
      <c r="BZ1010" s="5" t="n"/>
      <c r="CA1010" s="5" t="n"/>
      <c r="CB1010" s="5" t="n"/>
      <c r="CC1010" s="5" t="n"/>
      <c r="CD1010" s="5" t="n"/>
      <c r="CE1010" s="5" t="n"/>
      <c r="CF1010" s="5" t="n"/>
    </row>
    <row r="1011">
      <c r="A1011" s="171" t="n"/>
      <c r="B1011" s="171" t="n"/>
      <c r="C1011" s="171" t="n"/>
      <c r="D1011" s="170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  <c r="AD1011" s="5" t="n"/>
      <c r="AE1011" s="5" t="n"/>
      <c r="AF1011" s="5" t="n"/>
      <c r="AG1011" s="5" t="n"/>
      <c r="AH1011" s="5" t="n"/>
      <c r="AI1011" s="5" t="n"/>
      <c r="AJ1011" s="5" t="n"/>
      <c r="AK1011" s="5" t="n"/>
      <c r="AL1011" s="5" t="n"/>
      <c r="AM1011" s="5" t="n"/>
      <c r="AN1011" s="5" t="n"/>
      <c r="AO1011" s="5" t="n"/>
      <c r="AP1011" s="5" t="n"/>
      <c r="AQ1011" s="5" t="n"/>
      <c r="AR1011" s="5" t="n"/>
      <c r="AS1011" s="5" t="n"/>
      <c r="AT1011" s="5" t="n"/>
      <c r="AU1011" s="5" t="n"/>
      <c r="AV1011" s="5" t="n"/>
      <c r="AW1011" s="5" t="n"/>
      <c r="AX1011" s="5" t="n"/>
      <c r="AY1011" s="5" t="n"/>
      <c r="AZ1011" s="5" t="n"/>
      <c r="BA1011" s="5" t="n"/>
      <c r="BB1011" s="5" t="n"/>
      <c r="BC1011" s="5" t="n"/>
      <c r="BD1011" s="5" t="n"/>
      <c r="BE1011" s="5" t="n"/>
      <c r="BF1011" s="5" t="n"/>
      <c r="BG1011" s="5" t="n"/>
      <c r="BH1011" s="5" t="n"/>
      <c r="BI1011" s="5" t="n"/>
      <c r="BJ1011" s="5" t="n"/>
      <c r="BK1011" s="5" t="n"/>
      <c r="BL1011" s="5" t="n"/>
      <c r="BM1011" s="5" t="n"/>
      <c r="BN1011" s="5" t="n"/>
      <c r="BO1011" s="5" t="n"/>
      <c r="BP1011" s="5" t="n"/>
      <c r="BQ1011" s="5" t="n"/>
      <c r="BR1011" s="5" t="n"/>
      <c r="BS1011" s="5" t="n"/>
      <c r="BT1011" s="5" t="n"/>
      <c r="BU1011" s="5" t="n"/>
      <c r="BV1011" s="5" t="n"/>
      <c r="BW1011" s="5" t="n"/>
      <c r="BX1011" s="5" t="n"/>
      <c r="BY1011" s="5" t="n"/>
      <c r="BZ1011" s="5" t="n"/>
      <c r="CA1011" s="5" t="n"/>
      <c r="CB1011" s="5" t="n"/>
      <c r="CC1011" s="5" t="n"/>
      <c r="CD1011" s="5" t="n"/>
      <c r="CE1011" s="5" t="n"/>
      <c r="CF1011" s="5" t="n"/>
    </row>
    <row r="1012">
      <c r="A1012" s="171" t="n"/>
      <c r="B1012" s="171" t="n"/>
      <c r="C1012" s="171" t="n"/>
      <c r="D1012" s="170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  <c r="AD1012" s="5" t="n"/>
      <c r="AE1012" s="5" t="n"/>
      <c r="AF1012" s="5" t="n"/>
      <c r="AG1012" s="5" t="n"/>
      <c r="AH1012" s="5" t="n"/>
      <c r="AI1012" s="5" t="n"/>
      <c r="AJ1012" s="5" t="n"/>
      <c r="AK1012" s="5" t="n"/>
      <c r="AL1012" s="5" t="n"/>
      <c r="AM1012" s="5" t="n"/>
      <c r="AN1012" s="5" t="n"/>
      <c r="AO1012" s="5" t="n"/>
      <c r="AP1012" s="5" t="n"/>
      <c r="AQ1012" s="5" t="n"/>
      <c r="AR1012" s="5" t="n"/>
      <c r="AS1012" s="5" t="n"/>
      <c r="AT1012" s="5" t="n"/>
      <c r="AU1012" s="5" t="n"/>
      <c r="AV1012" s="5" t="n"/>
      <c r="AW1012" s="5" t="n"/>
      <c r="AX1012" s="5" t="n"/>
      <c r="AY1012" s="5" t="n"/>
      <c r="AZ1012" s="5" t="n"/>
      <c r="BA1012" s="5" t="n"/>
      <c r="BB1012" s="5" t="n"/>
      <c r="BC1012" s="5" t="n"/>
      <c r="BD1012" s="5" t="n"/>
      <c r="BE1012" s="5" t="n"/>
      <c r="BF1012" s="5" t="n"/>
      <c r="BG1012" s="5" t="n"/>
      <c r="BH1012" s="5" t="n"/>
      <c r="BI1012" s="5" t="n"/>
      <c r="BJ1012" s="5" t="n"/>
      <c r="BK1012" s="5" t="n"/>
      <c r="BL1012" s="5" t="n"/>
      <c r="BM1012" s="5" t="n"/>
      <c r="BN1012" s="5" t="n"/>
      <c r="BO1012" s="5" t="n"/>
      <c r="BP1012" s="5" t="n"/>
      <c r="BQ1012" s="5" t="n"/>
      <c r="BR1012" s="5" t="n"/>
      <c r="BS1012" s="5" t="n"/>
      <c r="BT1012" s="5" t="n"/>
      <c r="BU1012" s="5" t="n"/>
      <c r="BV1012" s="5" t="n"/>
      <c r="BW1012" s="5" t="n"/>
      <c r="BX1012" s="5" t="n"/>
      <c r="BY1012" s="5" t="n"/>
      <c r="BZ1012" s="5" t="n"/>
      <c r="CA1012" s="5" t="n"/>
      <c r="CB1012" s="5" t="n"/>
      <c r="CC1012" s="5" t="n"/>
      <c r="CD1012" s="5" t="n"/>
      <c r="CE1012" s="5" t="n"/>
      <c r="CF1012" s="5" t="n"/>
    </row>
    <row r="1013">
      <c r="A1013" s="171" t="n"/>
      <c r="B1013" s="171" t="n"/>
      <c r="C1013" s="171" t="n"/>
      <c r="D1013" s="170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5" t="n"/>
      <c r="AD1013" s="5" t="n"/>
      <c r="AE1013" s="5" t="n"/>
      <c r="AF1013" s="5" t="n"/>
      <c r="AG1013" s="5" t="n"/>
      <c r="AH1013" s="5" t="n"/>
      <c r="AI1013" s="5" t="n"/>
      <c r="AJ1013" s="5" t="n"/>
      <c r="AK1013" s="5" t="n"/>
      <c r="AL1013" s="5" t="n"/>
      <c r="AM1013" s="5" t="n"/>
      <c r="AN1013" s="5" t="n"/>
      <c r="AO1013" s="5" t="n"/>
      <c r="AP1013" s="5" t="n"/>
      <c r="AQ1013" s="5" t="n"/>
      <c r="AR1013" s="5" t="n"/>
      <c r="AS1013" s="5" t="n"/>
      <c r="AT1013" s="5" t="n"/>
      <c r="AU1013" s="5" t="n"/>
      <c r="AV1013" s="5" t="n"/>
      <c r="AW1013" s="5" t="n"/>
      <c r="AX1013" s="5" t="n"/>
      <c r="AY1013" s="5" t="n"/>
      <c r="AZ1013" s="5" t="n"/>
      <c r="BA1013" s="5" t="n"/>
      <c r="BB1013" s="5" t="n"/>
      <c r="BC1013" s="5" t="n"/>
      <c r="BD1013" s="5" t="n"/>
      <c r="BE1013" s="5" t="n"/>
      <c r="BF1013" s="5" t="n"/>
      <c r="BG1013" s="5" t="n"/>
      <c r="BH1013" s="5" t="n"/>
      <c r="BI1013" s="5" t="n"/>
      <c r="BJ1013" s="5" t="n"/>
      <c r="BK1013" s="5" t="n"/>
      <c r="BL1013" s="5" t="n"/>
      <c r="BM1013" s="5" t="n"/>
      <c r="BN1013" s="5" t="n"/>
      <c r="BO1013" s="5" t="n"/>
      <c r="BP1013" s="5" t="n"/>
      <c r="BQ1013" s="5" t="n"/>
      <c r="BR1013" s="5" t="n"/>
      <c r="BS1013" s="5" t="n"/>
      <c r="BT1013" s="5" t="n"/>
      <c r="BU1013" s="5" t="n"/>
      <c r="BV1013" s="5" t="n"/>
      <c r="BW1013" s="5" t="n"/>
      <c r="BX1013" s="5" t="n"/>
      <c r="BY1013" s="5" t="n"/>
      <c r="BZ1013" s="5" t="n"/>
      <c r="CA1013" s="5" t="n"/>
      <c r="CB1013" s="5" t="n"/>
      <c r="CC1013" s="5" t="n"/>
      <c r="CD1013" s="5" t="n"/>
      <c r="CE1013" s="5" t="n"/>
      <c r="CF1013" s="5" t="n"/>
    </row>
    <row r="1014">
      <c r="A1014" s="171" t="n"/>
      <c r="B1014" s="171" t="n"/>
      <c r="C1014" s="171" t="n"/>
      <c r="D1014" s="170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  <c r="AD1014" s="5" t="n"/>
      <c r="AE1014" s="5" t="n"/>
      <c r="AF1014" s="5" t="n"/>
      <c r="AG1014" s="5" t="n"/>
      <c r="AH1014" s="5" t="n"/>
      <c r="AI1014" s="5" t="n"/>
      <c r="AJ1014" s="5" t="n"/>
      <c r="AK1014" s="5" t="n"/>
      <c r="AL1014" s="5" t="n"/>
      <c r="AM1014" s="5" t="n"/>
      <c r="AN1014" s="5" t="n"/>
      <c r="AO1014" s="5" t="n"/>
      <c r="AP1014" s="5" t="n"/>
      <c r="AQ1014" s="5" t="n"/>
      <c r="AR1014" s="5" t="n"/>
      <c r="AS1014" s="5" t="n"/>
      <c r="AT1014" s="5" t="n"/>
      <c r="AU1014" s="5" t="n"/>
      <c r="AV1014" s="5" t="n"/>
      <c r="AW1014" s="5" t="n"/>
      <c r="AX1014" s="5" t="n"/>
      <c r="AY1014" s="5" t="n"/>
      <c r="AZ1014" s="5" t="n"/>
      <c r="BA1014" s="5" t="n"/>
      <c r="BB1014" s="5" t="n"/>
      <c r="BC1014" s="5" t="n"/>
      <c r="BD1014" s="5" t="n"/>
      <c r="BE1014" s="5" t="n"/>
      <c r="BF1014" s="5" t="n"/>
      <c r="BG1014" s="5" t="n"/>
      <c r="BH1014" s="5" t="n"/>
      <c r="BI1014" s="5" t="n"/>
      <c r="BJ1014" s="5" t="n"/>
      <c r="BK1014" s="5" t="n"/>
      <c r="BL1014" s="5" t="n"/>
      <c r="BM1014" s="5" t="n"/>
      <c r="BN1014" s="5" t="n"/>
      <c r="BO1014" s="5" t="n"/>
      <c r="BP1014" s="5" t="n"/>
      <c r="BQ1014" s="5" t="n"/>
      <c r="BR1014" s="5" t="n"/>
      <c r="BS1014" s="5" t="n"/>
      <c r="BT1014" s="5" t="n"/>
      <c r="BU1014" s="5" t="n"/>
      <c r="BV1014" s="5" t="n"/>
      <c r="BW1014" s="5" t="n"/>
      <c r="BX1014" s="5" t="n"/>
      <c r="BY1014" s="5" t="n"/>
      <c r="BZ1014" s="5" t="n"/>
      <c r="CA1014" s="5" t="n"/>
      <c r="CB1014" s="5" t="n"/>
      <c r="CC1014" s="5" t="n"/>
      <c r="CD1014" s="5" t="n"/>
      <c r="CE1014" s="5" t="n"/>
      <c r="CF1014" s="5" t="n"/>
    </row>
    <row r="1015">
      <c r="A1015" s="171" t="n"/>
      <c r="B1015" s="171" t="n"/>
      <c r="C1015" s="171" t="n"/>
      <c r="D1015" s="170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5" t="n"/>
      <c r="AB1015" s="5" t="n"/>
      <c r="AC1015" s="5" t="n"/>
      <c r="AD1015" s="5" t="n"/>
      <c r="AE1015" s="5" t="n"/>
      <c r="AF1015" s="5" t="n"/>
      <c r="AG1015" s="5" t="n"/>
      <c r="AH1015" s="5" t="n"/>
      <c r="AI1015" s="5" t="n"/>
      <c r="AJ1015" s="5" t="n"/>
      <c r="AK1015" s="5" t="n"/>
      <c r="AL1015" s="5" t="n"/>
      <c r="AM1015" s="5" t="n"/>
      <c r="AN1015" s="5" t="n"/>
      <c r="AO1015" s="5" t="n"/>
      <c r="AP1015" s="5" t="n"/>
      <c r="AQ1015" s="5" t="n"/>
      <c r="AR1015" s="5" t="n"/>
      <c r="AS1015" s="5" t="n"/>
      <c r="AT1015" s="5" t="n"/>
      <c r="AU1015" s="5" t="n"/>
      <c r="AV1015" s="5" t="n"/>
      <c r="AW1015" s="5" t="n"/>
      <c r="AX1015" s="5" t="n"/>
      <c r="AY1015" s="5" t="n"/>
      <c r="AZ1015" s="5" t="n"/>
      <c r="BA1015" s="5" t="n"/>
      <c r="BB1015" s="5" t="n"/>
      <c r="BC1015" s="5" t="n"/>
      <c r="BD1015" s="5" t="n"/>
      <c r="BE1015" s="5" t="n"/>
      <c r="BF1015" s="5" t="n"/>
      <c r="BG1015" s="5" t="n"/>
      <c r="BH1015" s="5" t="n"/>
      <c r="BI1015" s="5" t="n"/>
      <c r="BJ1015" s="5" t="n"/>
      <c r="BK1015" s="5" t="n"/>
      <c r="BL1015" s="5" t="n"/>
      <c r="BM1015" s="5" t="n"/>
      <c r="BN1015" s="5" t="n"/>
      <c r="BO1015" s="5" t="n"/>
      <c r="BP1015" s="5" t="n"/>
      <c r="BQ1015" s="5" t="n"/>
      <c r="BR1015" s="5" t="n"/>
      <c r="BS1015" s="5" t="n"/>
      <c r="BT1015" s="5" t="n"/>
      <c r="BU1015" s="5" t="n"/>
      <c r="BV1015" s="5" t="n"/>
      <c r="BW1015" s="5" t="n"/>
      <c r="BX1015" s="5" t="n"/>
      <c r="BY1015" s="5" t="n"/>
      <c r="BZ1015" s="5" t="n"/>
      <c r="CA1015" s="5" t="n"/>
      <c r="CB1015" s="5" t="n"/>
      <c r="CC1015" s="5" t="n"/>
      <c r="CD1015" s="5" t="n"/>
      <c r="CE1015" s="5" t="n"/>
      <c r="CF1015" s="5" t="n"/>
    </row>
    <row r="1016">
      <c r="A1016" s="171" t="n"/>
      <c r="B1016" s="171" t="n"/>
      <c r="C1016" s="171" t="n"/>
      <c r="D1016" s="170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  <c r="AD1016" s="5" t="n"/>
      <c r="AE1016" s="5" t="n"/>
      <c r="AF1016" s="5" t="n"/>
      <c r="AG1016" s="5" t="n"/>
      <c r="AH1016" s="5" t="n"/>
      <c r="AI1016" s="5" t="n"/>
      <c r="AJ1016" s="5" t="n"/>
      <c r="AK1016" s="5" t="n"/>
      <c r="AL1016" s="5" t="n"/>
      <c r="AM1016" s="5" t="n"/>
      <c r="AN1016" s="5" t="n"/>
      <c r="AO1016" s="5" t="n"/>
      <c r="AP1016" s="5" t="n"/>
      <c r="AQ1016" s="5" t="n"/>
      <c r="AR1016" s="5" t="n"/>
      <c r="AS1016" s="5" t="n"/>
      <c r="AT1016" s="5" t="n"/>
      <c r="AU1016" s="5" t="n"/>
      <c r="AV1016" s="5" t="n"/>
      <c r="AW1016" s="5" t="n"/>
      <c r="AX1016" s="5" t="n"/>
      <c r="AY1016" s="5" t="n"/>
      <c r="AZ1016" s="5" t="n"/>
      <c r="BA1016" s="5" t="n"/>
      <c r="BB1016" s="5" t="n"/>
      <c r="BC1016" s="5" t="n"/>
      <c r="BD1016" s="5" t="n"/>
      <c r="BE1016" s="5" t="n"/>
      <c r="BF1016" s="5" t="n"/>
      <c r="BG1016" s="5" t="n"/>
      <c r="BH1016" s="5" t="n"/>
      <c r="BI1016" s="5" t="n"/>
      <c r="BJ1016" s="5" t="n"/>
      <c r="BK1016" s="5" t="n"/>
      <c r="BL1016" s="5" t="n"/>
      <c r="BM1016" s="5" t="n"/>
      <c r="BN1016" s="5" t="n"/>
      <c r="BO1016" s="5" t="n"/>
      <c r="BP1016" s="5" t="n"/>
      <c r="BQ1016" s="5" t="n"/>
      <c r="BR1016" s="5" t="n"/>
      <c r="BS1016" s="5" t="n"/>
      <c r="BT1016" s="5" t="n"/>
      <c r="BU1016" s="5" t="n"/>
      <c r="BV1016" s="5" t="n"/>
      <c r="BW1016" s="5" t="n"/>
      <c r="BX1016" s="5" t="n"/>
      <c r="BY1016" s="5" t="n"/>
      <c r="BZ1016" s="5" t="n"/>
      <c r="CA1016" s="5" t="n"/>
      <c r="CB1016" s="5" t="n"/>
      <c r="CC1016" s="5" t="n"/>
      <c r="CD1016" s="5" t="n"/>
      <c r="CE1016" s="5" t="n"/>
      <c r="CF1016" s="5" t="n"/>
    </row>
    <row r="1017">
      <c r="A1017" s="171" t="n"/>
      <c r="B1017" s="171" t="n"/>
      <c r="C1017" s="171" t="n"/>
      <c r="D1017" s="170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5" t="n"/>
      <c r="AD1017" s="5" t="n"/>
      <c r="AE1017" s="5" t="n"/>
      <c r="AF1017" s="5" t="n"/>
      <c r="AG1017" s="5" t="n"/>
      <c r="AH1017" s="5" t="n"/>
      <c r="AI1017" s="5" t="n"/>
      <c r="AJ1017" s="5" t="n"/>
      <c r="AK1017" s="5" t="n"/>
      <c r="AL1017" s="5" t="n"/>
      <c r="AM1017" s="5" t="n"/>
      <c r="AN1017" s="5" t="n"/>
      <c r="AO1017" s="5" t="n"/>
      <c r="AP1017" s="5" t="n"/>
      <c r="AQ1017" s="5" t="n"/>
      <c r="AR1017" s="5" t="n"/>
      <c r="AS1017" s="5" t="n"/>
      <c r="AT1017" s="5" t="n"/>
      <c r="AU1017" s="5" t="n"/>
      <c r="AV1017" s="5" t="n"/>
      <c r="AW1017" s="5" t="n"/>
      <c r="AX1017" s="5" t="n"/>
      <c r="AY1017" s="5" t="n"/>
      <c r="AZ1017" s="5" t="n"/>
      <c r="BA1017" s="5" t="n"/>
      <c r="BB1017" s="5" t="n"/>
      <c r="BC1017" s="5" t="n"/>
      <c r="BD1017" s="5" t="n"/>
      <c r="BE1017" s="5" t="n"/>
      <c r="BF1017" s="5" t="n"/>
      <c r="BG1017" s="5" t="n"/>
      <c r="BH1017" s="5" t="n"/>
      <c r="BI1017" s="5" t="n"/>
      <c r="BJ1017" s="5" t="n"/>
      <c r="BK1017" s="5" t="n"/>
      <c r="BL1017" s="5" t="n"/>
      <c r="BM1017" s="5" t="n"/>
      <c r="BN1017" s="5" t="n"/>
      <c r="BO1017" s="5" t="n"/>
      <c r="BP1017" s="5" t="n"/>
      <c r="BQ1017" s="5" t="n"/>
      <c r="BR1017" s="5" t="n"/>
      <c r="BS1017" s="5" t="n"/>
      <c r="BT1017" s="5" t="n"/>
      <c r="BU1017" s="5" t="n"/>
      <c r="BV1017" s="5" t="n"/>
      <c r="BW1017" s="5" t="n"/>
      <c r="BX1017" s="5" t="n"/>
      <c r="BY1017" s="5" t="n"/>
      <c r="BZ1017" s="5" t="n"/>
      <c r="CA1017" s="5" t="n"/>
      <c r="CB1017" s="5" t="n"/>
      <c r="CC1017" s="5" t="n"/>
      <c r="CD1017" s="5" t="n"/>
      <c r="CE1017" s="5" t="n"/>
      <c r="CF1017" s="5" t="n"/>
    </row>
    <row r="1018">
      <c r="A1018" s="171" t="n"/>
      <c r="B1018" s="171" t="n"/>
      <c r="C1018" s="171" t="n"/>
      <c r="D1018" s="170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  <c r="AD1018" s="5" t="n"/>
      <c r="AE1018" s="5" t="n"/>
      <c r="AF1018" s="5" t="n"/>
      <c r="AG1018" s="5" t="n"/>
      <c r="AH1018" s="5" t="n"/>
      <c r="AI1018" s="5" t="n"/>
      <c r="AJ1018" s="5" t="n"/>
      <c r="AK1018" s="5" t="n"/>
      <c r="AL1018" s="5" t="n"/>
      <c r="AM1018" s="5" t="n"/>
      <c r="AN1018" s="5" t="n"/>
      <c r="AO1018" s="5" t="n"/>
      <c r="AP1018" s="5" t="n"/>
      <c r="AQ1018" s="5" t="n"/>
      <c r="AR1018" s="5" t="n"/>
      <c r="AS1018" s="5" t="n"/>
      <c r="AT1018" s="5" t="n"/>
      <c r="AU1018" s="5" t="n"/>
      <c r="AV1018" s="5" t="n"/>
      <c r="AW1018" s="5" t="n"/>
      <c r="AX1018" s="5" t="n"/>
      <c r="AY1018" s="5" t="n"/>
      <c r="AZ1018" s="5" t="n"/>
      <c r="BA1018" s="5" t="n"/>
      <c r="BB1018" s="5" t="n"/>
      <c r="BC1018" s="5" t="n"/>
      <c r="BD1018" s="5" t="n"/>
      <c r="BE1018" s="5" t="n"/>
      <c r="BF1018" s="5" t="n"/>
      <c r="BG1018" s="5" t="n"/>
      <c r="BH1018" s="5" t="n"/>
      <c r="BI1018" s="5" t="n"/>
      <c r="BJ1018" s="5" t="n"/>
      <c r="BK1018" s="5" t="n"/>
      <c r="BL1018" s="5" t="n"/>
      <c r="BM1018" s="5" t="n"/>
      <c r="BN1018" s="5" t="n"/>
      <c r="BO1018" s="5" t="n"/>
      <c r="BP1018" s="5" t="n"/>
      <c r="BQ1018" s="5" t="n"/>
      <c r="BR1018" s="5" t="n"/>
      <c r="BS1018" s="5" t="n"/>
      <c r="BT1018" s="5" t="n"/>
      <c r="BU1018" s="5" t="n"/>
      <c r="BV1018" s="5" t="n"/>
      <c r="BW1018" s="5" t="n"/>
      <c r="BX1018" s="5" t="n"/>
      <c r="BY1018" s="5" t="n"/>
      <c r="BZ1018" s="5" t="n"/>
      <c r="CA1018" s="5" t="n"/>
      <c r="CB1018" s="5" t="n"/>
      <c r="CC1018" s="5" t="n"/>
      <c r="CD1018" s="5" t="n"/>
      <c r="CE1018" s="5" t="n"/>
      <c r="CF1018" s="5" t="n"/>
    </row>
    <row r="1019">
      <c r="A1019" s="171" t="n"/>
      <c r="B1019" s="171" t="n"/>
      <c r="C1019" s="171" t="n"/>
      <c r="D1019" s="170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5" t="n"/>
      <c r="AB1019" s="5" t="n"/>
      <c r="AC1019" s="5" t="n"/>
      <c r="AD1019" s="5" t="n"/>
      <c r="AE1019" s="5" t="n"/>
      <c r="AF1019" s="5" t="n"/>
      <c r="AG1019" s="5" t="n"/>
      <c r="AH1019" s="5" t="n"/>
      <c r="AI1019" s="5" t="n"/>
      <c r="AJ1019" s="5" t="n"/>
      <c r="AK1019" s="5" t="n"/>
      <c r="AL1019" s="5" t="n"/>
      <c r="AM1019" s="5" t="n"/>
      <c r="AN1019" s="5" t="n"/>
      <c r="AO1019" s="5" t="n"/>
      <c r="AP1019" s="5" t="n"/>
      <c r="AQ1019" s="5" t="n"/>
      <c r="AR1019" s="5" t="n"/>
      <c r="AS1019" s="5" t="n"/>
      <c r="AT1019" s="5" t="n"/>
      <c r="AU1019" s="5" t="n"/>
      <c r="AV1019" s="5" t="n"/>
      <c r="AW1019" s="5" t="n"/>
      <c r="AX1019" s="5" t="n"/>
      <c r="AY1019" s="5" t="n"/>
      <c r="AZ1019" s="5" t="n"/>
      <c r="BA1019" s="5" t="n"/>
      <c r="BB1019" s="5" t="n"/>
      <c r="BC1019" s="5" t="n"/>
      <c r="BD1019" s="5" t="n"/>
      <c r="BE1019" s="5" t="n"/>
      <c r="BF1019" s="5" t="n"/>
      <c r="BG1019" s="5" t="n"/>
      <c r="BH1019" s="5" t="n"/>
      <c r="BI1019" s="5" t="n"/>
      <c r="BJ1019" s="5" t="n"/>
      <c r="BK1019" s="5" t="n"/>
      <c r="BL1019" s="5" t="n"/>
      <c r="BM1019" s="5" t="n"/>
      <c r="BN1019" s="5" t="n"/>
      <c r="BO1019" s="5" t="n"/>
      <c r="BP1019" s="5" t="n"/>
      <c r="BQ1019" s="5" t="n"/>
      <c r="BR1019" s="5" t="n"/>
      <c r="BS1019" s="5" t="n"/>
      <c r="BT1019" s="5" t="n"/>
      <c r="BU1019" s="5" t="n"/>
      <c r="BV1019" s="5" t="n"/>
      <c r="BW1019" s="5" t="n"/>
      <c r="BX1019" s="5" t="n"/>
      <c r="BY1019" s="5" t="n"/>
      <c r="BZ1019" s="5" t="n"/>
      <c r="CA1019" s="5" t="n"/>
      <c r="CB1019" s="5" t="n"/>
      <c r="CC1019" s="5" t="n"/>
      <c r="CD1019" s="5" t="n"/>
      <c r="CE1019" s="5" t="n"/>
      <c r="CF1019" s="5" t="n"/>
    </row>
    <row r="1020">
      <c r="A1020" s="171" t="n"/>
      <c r="B1020" s="171" t="n"/>
      <c r="C1020" s="171" t="n"/>
      <c r="D1020" s="170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  <c r="AD1020" s="5" t="n"/>
      <c r="AE1020" s="5" t="n"/>
      <c r="AF1020" s="5" t="n"/>
      <c r="AG1020" s="5" t="n"/>
      <c r="AH1020" s="5" t="n"/>
      <c r="AI1020" s="5" t="n"/>
      <c r="AJ1020" s="5" t="n"/>
      <c r="AK1020" s="5" t="n"/>
      <c r="AL1020" s="5" t="n"/>
      <c r="AM1020" s="5" t="n"/>
      <c r="AN1020" s="5" t="n"/>
      <c r="AO1020" s="5" t="n"/>
      <c r="AP1020" s="5" t="n"/>
      <c r="AQ1020" s="5" t="n"/>
      <c r="AR1020" s="5" t="n"/>
      <c r="AS1020" s="5" t="n"/>
      <c r="AT1020" s="5" t="n"/>
      <c r="AU1020" s="5" t="n"/>
      <c r="AV1020" s="5" t="n"/>
      <c r="AW1020" s="5" t="n"/>
      <c r="AX1020" s="5" t="n"/>
      <c r="AY1020" s="5" t="n"/>
      <c r="AZ1020" s="5" t="n"/>
      <c r="BA1020" s="5" t="n"/>
      <c r="BB1020" s="5" t="n"/>
      <c r="BC1020" s="5" t="n"/>
      <c r="BD1020" s="5" t="n"/>
      <c r="BE1020" s="5" t="n"/>
      <c r="BF1020" s="5" t="n"/>
      <c r="BG1020" s="5" t="n"/>
      <c r="BH1020" s="5" t="n"/>
      <c r="BI1020" s="5" t="n"/>
      <c r="BJ1020" s="5" t="n"/>
      <c r="BK1020" s="5" t="n"/>
      <c r="BL1020" s="5" t="n"/>
      <c r="BM1020" s="5" t="n"/>
      <c r="BN1020" s="5" t="n"/>
      <c r="BO1020" s="5" t="n"/>
      <c r="BP1020" s="5" t="n"/>
      <c r="BQ1020" s="5" t="n"/>
      <c r="BR1020" s="5" t="n"/>
      <c r="BS1020" s="5" t="n"/>
      <c r="BT1020" s="5" t="n"/>
      <c r="BU1020" s="5" t="n"/>
      <c r="BV1020" s="5" t="n"/>
      <c r="BW1020" s="5" t="n"/>
      <c r="BX1020" s="5" t="n"/>
      <c r="BY1020" s="5" t="n"/>
      <c r="BZ1020" s="5" t="n"/>
      <c r="CA1020" s="5" t="n"/>
      <c r="CB1020" s="5" t="n"/>
      <c r="CC1020" s="5" t="n"/>
      <c r="CD1020" s="5" t="n"/>
      <c r="CE1020" s="5" t="n"/>
      <c r="CF1020" s="5" t="n"/>
    </row>
    <row r="1021">
      <c r="A1021" s="171" t="n"/>
      <c r="B1021" s="171" t="n"/>
      <c r="C1021" s="171" t="n"/>
      <c r="D1021" s="170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5" t="n"/>
      <c r="AB1021" s="5" t="n"/>
      <c r="AC1021" s="5" t="n"/>
      <c r="AD1021" s="5" t="n"/>
      <c r="AE1021" s="5" t="n"/>
      <c r="AF1021" s="5" t="n"/>
      <c r="AG1021" s="5" t="n"/>
      <c r="AH1021" s="5" t="n"/>
      <c r="AI1021" s="5" t="n"/>
      <c r="AJ1021" s="5" t="n"/>
      <c r="AK1021" s="5" t="n"/>
      <c r="AL1021" s="5" t="n"/>
      <c r="AM1021" s="5" t="n"/>
      <c r="AN1021" s="5" t="n"/>
      <c r="AO1021" s="5" t="n"/>
      <c r="AP1021" s="5" t="n"/>
      <c r="AQ1021" s="5" t="n"/>
      <c r="AR1021" s="5" t="n"/>
      <c r="AS1021" s="5" t="n"/>
      <c r="AT1021" s="5" t="n"/>
      <c r="AU1021" s="5" t="n"/>
      <c r="AV1021" s="5" t="n"/>
      <c r="AW1021" s="5" t="n"/>
      <c r="AX1021" s="5" t="n"/>
      <c r="AY1021" s="5" t="n"/>
      <c r="AZ1021" s="5" t="n"/>
      <c r="BA1021" s="5" t="n"/>
      <c r="BB1021" s="5" t="n"/>
      <c r="BC1021" s="5" t="n"/>
      <c r="BD1021" s="5" t="n"/>
      <c r="BE1021" s="5" t="n"/>
      <c r="BF1021" s="5" t="n"/>
      <c r="BG1021" s="5" t="n"/>
      <c r="BH1021" s="5" t="n"/>
      <c r="BI1021" s="5" t="n"/>
      <c r="BJ1021" s="5" t="n"/>
      <c r="BK1021" s="5" t="n"/>
      <c r="BL1021" s="5" t="n"/>
      <c r="BM1021" s="5" t="n"/>
      <c r="BN1021" s="5" t="n"/>
      <c r="BO1021" s="5" t="n"/>
      <c r="BP1021" s="5" t="n"/>
      <c r="BQ1021" s="5" t="n"/>
      <c r="BR1021" s="5" t="n"/>
      <c r="BS1021" s="5" t="n"/>
      <c r="BT1021" s="5" t="n"/>
      <c r="BU1021" s="5" t="n"/>
      <c r="BV1021" s="5" t="n"/>
      <c r="BW1021" s="5" t="n"/>
      <c r="BX1021" s="5" t="n"/>
      <c r="BY1021" s="5" t="n"/>
      <c r="BZ1021" s="5" t="n"/>
      <c r="CA1021" s="5" t="n"/>
      <c r="CB1021" s="5" t="n"/>
      <c r="CC1021" s="5" t="n"/>
      <c r="CD1021" s="5" t="n"/>
      <c r="CE1021" s="5" t="n"/>
      <c r="CF1021" s="5" t="n"/>
    </row>
    <row r="1022">
      <c r="A1022" s="171" t="n"/>
      <c r="B1022" s="171" t="n"/>
      <c r="C1022" s="171" t="n"/>
      <c r="D1022" s="170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  <c r="AD1022" s="5" t="n"/>
      <c r="AE1022" s="5" t="n"/>
      <c r="AF1022" s="5" t="n"/>
      <c r="AG1022" s="5" t="n"/>
      <c r="AH1022" s="5" t="n"/>
      <c r="AI1022" s="5" t="n"/>
      <c r="AJ1022" s="5" t="n"/>
      <c r="AK1022" s="5" t="n"/>
      <c r="AL1022" s="5" t="n"/>
      <c r="AM1022" s="5" t="n"/>
      <c r="AN1022" s="5" t="n"/>
      <c r="AO1022" s="5" t="n"/>
      <c r="AP1022" s="5" t="n"/>
      <c r="AQ1022" s="5" t="n"/>
      <c r="AR1022" s="5" t="n"/>
      <c r="AS1022" s="5" t="n"/>
      <c r="AT1022" s="5" t="n"/>
      <c r="AU1022" s="5" t="n"/>
      <c r="AV1022" s="5" t="n"/>
      <c r="AW1022" s="5" t="n"/>
      <c r="AX1022" s="5" t="n"/>
      <c r="AY1022" s="5" t="n"/>
      <c r="AZ1022" s="5" t="n"/>
      <c r="BA1022" s="5" t="n"/>
      <c r="BB1022" s="5" t="n"/>
      <c r="BC1022" s="5" t="n"/>
      <c r="BD1022" s="5" t="n"/>
      <c r="BE1022" s="5" t="n"/>
      <c r="BF1022" s="5" t="n"/>
      <c r="BG1022" s="5" t="n"/>
      <c r="BH1022" s="5" t="n"/>
      <c r="BI1022" s="5" t="n"/>
      <c r="BJ1022" s="5" t="n"/>
      <c r="BK1022" s="5" t="n"/>
      <c r="BL1022" s="5" t="n"/>
      <c r="BM1022" s="5" t="n"/>
      <c r="BN1022" s="5" t="n"/>
      <c r="BO1022" s="5" t="n"/>
      <c r="BP1022" s="5" t="n"/>
      <c r="BQ1022" s="5" t="n"/>
      <c r="BR1022" s="5" t="n"/>
      <c r="BS1022" s="5" t="n"/>
      <c r="BT1022" s="5" t="n"/>
      <c r="BU1022" s="5" t="n"/>
      <c r="BV1022" s="5" t="n"/>
      <c r="BW1022" s="5" t="n"/>
      <c r="BX1022" s="5" t="n"/>
      <c r="BY1022" s="5" t="n"/>
      <c r="BZ1022" s="5" t="n"/>
      <c r="CA1022" s="5" t="n"/>
      <c r="CB1022" s="5" t="n"/>
      <c r="CC1022" s="5" t="n"/>
      <c r="CD1022" s="5" t="n"/>
      <c r="CE1022" s="5" t="n"/>
      <c r="CF1022" s="5" t="n"/>
    </row>
    <row r="1023">
      <c r="A1023" s="171" t="n"/>
      <c r="B1023" s="171" t="n"/>
      <c r="C1023" s="171" t="n"/>
      <c r="D1023" s="170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5" t="n"/>
      <c r="AD1023" s="5" t="n"/>
      <c r="AE1023" s="5" t="n"/>
      <c r="AF1023" s="5" t="n"/>
      <c r="AG1023" s="5" t="n"/>
      <c r="AH1023" s="5" t="n"/>
      <c r="AI1023" s="5" t="n"/>
      <c r="AJ1023" s="5" t="n"/>
      <c r="AK1023" s="5" t="n"/>
      <c r="AL1023" s="5" t="n"/>
      <c r="AM1023" s="5" t="n"/>
      <c r="AN1023" s="5" t="n"/>
      <c r="AO1023" s="5" t="n"/>
      <c r="AP1023" s="5" t="n"/>
      <c r="AQ1023" s="5" t="n"/>
      <c r="AR1023" s="5" t="n"/>
      <c r="AS1023" s="5" t="n"/>
      <c r="AT1023" s="5" t="n"/>
      <c r="AU1023" s="5" t="n"/>
      <c r="AV1023" s="5" t="n"/>
      <c r="AW1023" s="5" t="n"/>
      <c r="AX1023" s="5" t="n"/>
      <c r="AY1023" s="5" t="n"/>
      <c r="AZ1023" s="5" t="n"/>
      <c r="BA1023" s="5" t="n"/>
      <c r="BB1023" s="5" t="n"/>
      <c r="BC1023" s="5" t="n"/>
      <c r="BD1023" s="5" t="n"/>
      <c r="BE1023" s="5" t="n"/>
      <c r="BF1023" s="5" t="n"/>
      <c r="BG1023" s="5" t="n"/>
      <c r="BH1023" s="5" t="n"/>
      <c r="BI1023" s="5" t="n"/>
      <c r="BJ1023" s="5" t="n"/>
      <c r="BK1023" s="5" t="n"/>
      <c r="BL1023" s="5" t="n"/>
      <c r="BM1023" s="5" t="n"/>
      <c r="BN1023" s="5" t="n"/>
      <c r="BO1023" s="5" t="n"/>
      <c r="BP1023" s="5" t="n"/>
      <c r="BQ1023" s="5" t="n"/>
      <c r="BR1023" s="5" t="n"/>
      <c r="BS1023" s="5" t="n"/>
      <c r="BT1023" s="5" t="n"/>
      <c r="BU1023" s="5" t="n"/>
      <c r="BV1023" s="5" t="n"/>
      <c r="BW1023" s="5" t="n"/>
      <c r="BX1023" s="5" t="n"/>
      <c r="BY1023" s="5" t="n"/>
      <c r="BZ1023" s="5" t="n"/>
      <c r="CA1023" s="5" t="n"/>
      <c r="CB1023" s="5" t="n"/>
      <c r="CC1023" s="5" t="n"/>
      <c r="CD1023" s="5" t="n"/>
      <c r="CE1023" s="5" t="n"/>
      <c r="CF1023" s="5" t="n"/>
    </row>
    <row r="1024">
      <c r="A1024" s="171" t="n"/>
      <c r="B1024" s="171" t="n"/>
      <c r="C1024" s="171" t="n"/>
      <c r="D1024" s="170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  <c r="AD1024" s="5" t="n"/>
      <c r="AE1024" s="5" t="n"/>
      <c r="AF1024" s="5" t="n"/>
      <c r="AG1024" s="5" t="n"/>
      <c r="AH1024" s="5" t="n"/>
      <c r="AI1024" s="5" t="n"/>
      <c r="AJ1024" s="5" t="n"/>
      <c r="AK1024" s="5" t="n"/>
      <c r="AL1024" s="5" t="n"/>
      <c r="AM1024" s="5" t="n"/>
      <c r="AN1024" s="5" t="n"/>
      <c r="AO1024" s="5" t="n"/>
      <c r="AP1024" s="5" t="n"/>
      <c r="AQ1024" s="5" t="n"/>
      <c r="AR1024" s="5" t="n"/>
      <c r="AS1024" s="5" t="n"/>
      <c r="AT1024" s="5" t="n"/>
      <c r="AU1024" s="5" t="n"/>
      <c r="AV1024" s="5" t="n"/>
      <c r="AW1024" s="5" t="n"/>
      <c r="AX1024" s="5" t="n"/>
      <c r="AY1024" s="5" t="n"/>
      <c r="AZ1024" s="5" t="n"/>
      <c r="BA1024" s="5" t="n"/>
      <c r="BB1024" s="5" t="n"/>
      <c r="BC1024" s="5" t="n"/>
      <c r="BD1024" s="5" t="n"/>
      <c r="BE1024" s="5" t="n"/>
      <c r="BF1024" s="5" t="n"/>
      <c r="BG1024" s="5" t="n"/>
      <c r="BH1024" s="5" t="n"/>
      <c r="BI1024" s="5" t="n"/>
      <c r="BJ1024" s="5" t="n"/>
      <c r="BK1024" s="5" t="n"/>
      <c r="BL1024" s="5" t="n"/>
      <c r="BM1024" s="5" t="n"/>
      <c r="BN1024" s="5" t="n"/>
      <c r="BO1024" s="5" t="n"/>
      <c r="BP1024" s="5" t="n"/>
      <c r="BQ1024" s="5" t="n"/>
      <c r="BR1024" s="5" t="n"/>
      <c r="BS1024" s="5" t="n"/>
      <c r="BT1024" s="5" t="n"/>
      <c r="BU1024" s="5" t="n"/>
      <c r="BV1024" s="5" t="n"/>
      <c r="BW1024" s="5" t="n"/>
      <c r="BX1024" s="5" t="n"/>
      <c r="BY1024" s="5" t="n"/>
      <c r="BZ1024" s="5" t="n"/>
      <c r="CA1024" s="5" t="n"/>
      <c r="CB1024" s="5" t="n"/>
      <c r="CC1024" s="5" t="n"/>
      <c r="CD1024" s="5" t="n"/>
      <c r="CE1024" s="5" t="n"/>
      <c r="CF1024" s="5" t="n"/>
    </row>
    <row r="1025">
      <c r="A1025" s="171" t="n"/>
      <c r="B1025" s="171" t="n"/>
      <c r="C1025" s="171" t="n"/>
      <c r="D1025" s="170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5" t="n"/>
      <c r="AB1025" s="5" t="n"/>
      <c r="AC1025" s="5" t="n"/>
      <c r="AD1025" s="5" t="n"/>
      <c r="AE1025" s="5" t="n"/>
      <c r="AF1025" s="5" t="n"/>
      <c r="AG1025" s="5" t="n"/>
      <c r="AH1025" s="5" t="n"/>
      <c r="AI1025" s="5" t="n"/>
      <c r="AJ1025" s="5" t="n"/>
      <c r="AK1025" s="5" t="n"/>
      <c r="AL1025" s="5" t="n"/>
      <c r="AM1025" s="5" t="n"/>
      <c r="AN1025" s="5" t="n"/>
      <c r="AO1025" s="5" t="n"/>
      <c r="AP1025" s="5" t="n"/>
      <c r="AQ1025" s="5" t="n"/>
      <c r="AR1025" s="5" t="n"/>
      <c r="AS1025" s="5" t="n"/>
      <c r="AT1025" s="5" t="n"/>
      <c r="AU1025" s="5" t="n"/>
      <c r="AV1025" s="5" t="n"/>
      <c r="AW1025" s="5" t="n"/>
      <c r="AX1025" s="5" t="n"/>
      <c r="AY1025" s="5" t="n"/>
      <c r="AZ1025" s="5" t="n"/>
      <c r="BA1025" s="5" t="n"/>
      <c r="BB1025" s="5" t="n"/>
      <c r="BC1025" s="5" t="n"/>
      <c r="BD1025" s="5" t="n"/>
      <c r="BE1025" s="5" t="n"/>
      <c r="BF1025" s="5" t="n"/>
      <c r="BG1025" s="5" t="n"/>
      <c r="BH1025" s="5" t="n"/>
      <c r="BI1025" s="5" t="n"/>
      <c r="BJ1025" s="5" t="n"/>
      <c r="BK1025" s="5" t="n"/>
      <c r="BL1025" s="5" t="n"/>
      <c r="BM1025" s="5" t="n"/>
      <c r="BN1025" s="5" t="n"/>
      <c r="BO1025" s="5" t="n"/>
      <c r="BP1025" s="5" t="n"/>
      <c r="BQ1025" s="5" t="n"/>
      <c r="BR1025" s="5" t="n"/>
      <c r="BS1025" s="5" t="n"/>
      <c r="BT1025" s="5" t="n"/>
      <c r="BU1025" s="5" t="n"/>
      <c r="BV1025" s="5" t="n"/>
      <c r="BW1025" s="5" t="n"/>
      <c r="BX1025" s="5" t="n"/>
      <c r="BY1025" s="5" t="n"/>
      <c r="BZ1025" s="5" t="n"/>
      <c r="CA1025" s="5" t="n"/>
      <c r="CB1025" s="5" t="n"/>
      <c r="CC1025" s="5" t="n"/>
      <c r="CD1025" s="5" t="n"/>
      <c r="CE1025" s="5" t="n"/>
      <c r="CF1025" s="5" t="n"/>
    </row>
    <row r="1026">
      <c r="A1026" s="171" t="n"/>
      <c r="B1026" s="171" t="n"/>
      <c r="C1026" s="171" t="n"/>
      <c r="D1026" s="170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  <c r="AD1026" s="5" t="n"/>
      <c r="AE1026" s="5" t="n"/>
      <c r="AF1026" s="5" t="n"/>
      <c r="AG1026" s="5" t="n"/>
      <c r="AH1026" s="5" t="n"/>
      <c r="AI1026" s="5" t="n"/>
      <c r="AJ1026" s="5" t="n"/>
      <c r="AK1026" s="5" t="n"/>
      <c r="AL1026" s="5" t="n"/>
      <c r="AM1026" s="5" t="n"/>
      <c r="AN1026" s="5" t="n"/>
      <c r="AO1026" s="5" t="n"/>
      <c r="AP1026" s="5" t="n"/>
      <c r="AQ1026" s="5" t="n"/>
      <c r="AR1026" s="5" t="n"/>
      <c r="AS1026" s="5" t="n"/>
      <c r="AT1026" s="5" t="n"/>
      <c r="AU1026" s="5" t="n"/>
      <c r="AV1026" s="5" t="n"/>
      <c r="AW1026" s="5" t="n"/>
      <c r="AX1026" s="5" t="n"/>
      <c r="AY1026" s="5" t="n"/>
      <c r="AZ1026" s="5" t="n"/>
      <c r="BA1026" s="5" t="n"/>
      <c r="BB1026" s="5" t="n"/>
      <c r="BC1026" s="5" t="n"/>
      <c r="BD1026" s="5" t="n"/>
      <c r="BE1026" s="5" t="n"/>
      <c r="BF1026" s="5" t="n"/>
      <c r="BG1026" s="5" t="n"/>
      <c r="BH1026" s="5" t="n"/>
      <c r="BI1026" s="5" t="n"/>
      <c r="BJ1026" s="5" t="n"/>
      <c r="BK1026" s="5" t="n"/>
      <c r="BL1026" s="5" t="n"/>
      <c r="BM1026" s="5" t="n"/>
      <c r="BN1026" s="5" t="n"/>
      <c r="BO1026" s="5" t="n"/>
      <c r="BP1026" s="5" t="n"/>
      <c r="BQ1026" s="5" t="n"/>
      <c r="BR1026" s="5" t="n"/>
      <c r="BS1026" s="5" t="n"/>
      <c r="BT1026" s="5" t="n"/>
      <c r="BU1026" s="5" t="n"/>
      <c r="BV1026" s="5" t="n"/>
      <c r="BW1026" s="5" t="n"/>
      <c r="BX1026" s="5" t="n"/>
      <c r="BY1026" s="5" t="n"/>
      <c r="BZ1026" s="5" t="n"/>
      <c r="CA1026" s="5" t="n"/>
      <c r="CB1026" s="5" t="n"/>
      <c r="CC1026" s="5" t="n"/>
      <c r="CD1026" s="5" t="n"/>
      <c r="CE1026" s="5" t="n"/>
      <c r="CF1026" s="5" t="n"/>
    </row>
    <row r="1027">
      <c r="A1027" s="171" t="n"/>
      <c r="B1027" s="171" t="n"/>
      <c r="C1027" s="171" t="n"/>
      <c r="D1027" s="170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5" t="n"/>
      <c r="AB1027" s="5" t="n"/>
      <c r="AC1027" s="5" t="n"/>
      <c r="AD1027" s="5" t="n"/>
      <c r="AE1027" s="5" t="n"/>
      <c r="AF1027" s="5" t="n"/>
      <c r="AG1027" s="5" t="n"/>
      <c r="AH1027" s="5" t="n"/>
      <c r="AI1027" s="5" t="n"/>
      <c r="AJ1027" s="5" t="n"/>
      <c r="AK1027" s="5" t="n"/>
      <c r="AL1027" s="5" t="n"/>
      <c r="AM1027" s="5" t="n"/>
      <c r="AN1027" s="5" t="n"/>
      <c r="AO1027" s="5" t="n"/>
      <c r="AP1027" s="5" t="n"/>
      <c r="AQ1027" s="5" t="n"/>
      <c r="AR1027" s="5" t="n"/>
      <c r="AS1027" s="5" t="n"/>
      <c r="AT1027" s="5" t="n"/>
      <c r="AU1027" s="5" t="n"/>
      <c r="AV1027" s="5" t="n"/>
      <c r="AW1027" s="5" t="n"/>
      <c r="AX1027" s="5" t="n"/>
      <c r="AY1027" s="5" t="n"/>
      <c r="AZ1027" s="5" t="n"/>
      <c r="BA1027" s="5" t="n"/>
      <c r="BB1027" s="5" t="n"/>
      <c r="BC1027" s="5" t="n"/>
      <c r="BD1027" s="5" t="n"/>
      <c r="BE1027" s="5" t="n"/>
      <c r="BF1027" s="5" t="n"/>
      <c r="BG1027" s="5" t="n"/>
      <c r="BH1027" s="5" t="n"/>
      <c r="BI1027" s="5" t="n"/>
      <c r="BJ1027" s="5" t="n"/>
      <c r="BK1027" s="5" t="n"/>
      <c r="BL1027" s="5" t="n"/>
      <c r="BM1027" s="5" t="n"/>
      <c r="BN1027" s="5" t="n"/>
      <c r="BO1027" s="5" t="n"/>
      <c r="BP1027" s="5" t="n"/>
      <c r="BQ1027" s="5" t="n"/>
      <c r="BR1027" s="5" t="n"/>
      <c r="BS1027" s="5" t="n"/>
      <c r="BT1027" s="5" t="n"/>
      <c r="BU1027" s="5" t="n"/>
      <c r="BV1027" s="5" t="n"/>
      <c r="BW1027" s="5" t="n"/>
      <c r="BX1027" s="5" t="n"/>
      <c r="BY1027" s="5" t="n"/>
      <c r="BZ1027" s="5" t="n"/>
      <c r="CA1027" s="5" t="n"/>
      <c r="CB1027" s="5" t="n"/>
      <c r="CC1027" s="5" t="n"/>
      <c r="CD1027" s="5" t="n"/>
      <c r="CE1027" s="5" t="n"/>
      <c r="CF1027" s="5" t="n"/>
    </row>
    <row r="1028">
      <c r="A1028" s="171" t="n"/>
      <c r="B1028" s="171" t="n"/>
      <c r="C1028" s="171" t="n"/>
      <c r="D1028" s="170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  <c r="AD1028" s="5" t="n"/>
      <c r="AE1028" s="5" t="n"/>
      <c r="AF1028" s="5" t="n"/>
      <c r="AG1028" s="5" t="n"/>
      <c r="AH1028" s="5" t="n"/>
      <c r="AI1028" s="5" t="n"/>
      <c r="AJ1028" s="5" t="n"/>
      <c r="AK1028" s="5" t="n"/>
      <c r="AL1028" s="5" t="n"/>
      <c r="AM1028" s="5" t="n"/>
      <c r="AN1028" s="5" t="n"/>
      <c r="AO1028" s="5" t="n"/>
      <c r="AP1028" s="5" t="n"/>
      <c r="AQ1028" s="5" t="n"/>
      <c r="AR1028" s="5" t="n"/>
      <c r="AS1028" s="5" t="n"/>
      <c r="AT1028" s="5" t="n"/>
      <c r="AU1028" s="5" t="n"/>
      <c r="AV1028" s="5" t="n"/>
      <c r="AW1028" s="5" t="n"/>
      <c r="AX1028" s="5" t="n"/>
      <c r="AY1028" s="5" t="n"/>
      <c r="AZ1028" s="5" t="n"/>
      <c r="BA1028" s="5" t="n"/>
      <c r="BB1028" s="5" t="n"/>
      <c r="BC1028" s="5" t="n"/>
      <c r="BD1028" s="5" t="n"/>
      <c r="BE1028" s="5" t="n"/>
      <c r="BF1028" s="5" t="n"/>
      <c r="BG1028" s="5" t="n"/>
      <c r="BH1028" s="5" t="n"/>
      <c r="BI1028" s="5" t="n"/>
      <c r="BJ1028" s="5" t="n"/>
      <c r="BK1028" s="5" t="n"/>
      <c r="BL1028" s="5" t="n"/>
      <c r="BM1028" s="5" t="n"/>
      <c r="BN1028" s="5" t="n"/>
      <c r="BO1028" s="5" t="n"/>
      <c r="BP1028" s="5" t="n"/>
      <c r="BQ1028" s="5" t="n"/>
      <c r="BR1028" s="5" t="n"/>
      <c r="BS1028" s="5" t="n"/>
      <c r="BT1028" s="5" t="n"/>
      <c r="BU1028" s="5" t="n"/>
      <c r="BV1028" s="5" t="n"/>
      <c r="BW1028" s="5" t="n"/>
      <c r="BX1028" s="5" t="n"/>
      <c r="BY1028" s="5" t="n"/>
      <c r="BZ1028" s="5" t="n"/>
      <c r="CA1028" s="5" t="n"/>
      <c r="CB1028" s="5" t="n"/>
      <c r="CC1028" s="5" t="n"/>
      <c r="CD1028" s="5" t="n"/>
      <c r="CE1028" s="5" t="n"/>
      <c r="CF1028" s="5" t="n"/>
    </row>
    <row r="1029">
      <c r="A1029" s="171" t="n"/>
      <c r="B1029" s="171" t="n"/>
      <c r="C1029" s="171" t="n"/>
      <c r="D1029" s="170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5" t="n"/>
      <c r="AD1029" s="5" t="n"/>
      <c r="AE1029" s="5" t="n"/>
      <c r="AF1029" s="5" t="n"/>
      <c r="AG1029" s="5" t="n"/>
      <c r="AH1029" s="5" t="n"/>
      <c r="AI1029" s="5" t="n"/>
      <c r="AJ1029" s="5" t="n"/>
      <c r="AK1029" s="5" t="n"/>
      <c r="AL1029" s="5" t="n"/>
      <c r="AM1029" s="5" t="n"/>
      <c r="AN1029" s="5" t="n"/>
      <c r="AO1029" s="5" t="n"/>
      <c r="AP1029" s="5" t="n"/>
      <c r="AQ1029" s="5" t="n"/>
      <c r="AR1029" s="5" t="n"/>
      <c r="AS1029" s="5" t="n"/>
      <c r="AT1029" s="5" t="n"/>
      <c r="AU1029" s="5" t="n"/>
      <c r="AV1029" s="5" t="n"/>
      <c r="AW1029" s="5" t="n"/>
      <c r="AX1029" s="5" t="n"/>
      <c r="AY1029" s="5" t="n"/>
      <c r="AZ1029" s="5" t="n"/>
      <c r="BA1029" s="5" t="n"/>
      <c r="BB1029" s="5" t="n"/>
      <c r="BC1029" s="5" t="n"/>
      <c r="BD1029" s="5" t="n"/>
      <c r="BE1029" s="5" t="n"/>
      <c r="BF1029" s="5" t="n"/>
      <c r="BG1029" s="5" t="n"/>
      <c r="BH1029" s="5" t="n"/>
      <c r="BI1029" s="5" t="n"/>
      <c r="BJ1029" s="5" t="n"/>
      <c r="BK1029" s="5" t="n"/>
      <c r="BL1029" s="5" t="n"/>
      <c r="BM1029" s="5" t="n"/>
      <c r="BN1029" s="5" t="n"/>
      <c r="BO1029" s="5" t="n"/>
      <c r="BP1029" s="5" t="n"/>
      <c r="BQ1029" s="5" t="n"/>
      <c r="BR1029" s="5" t="n"/>
      <c r="BS1029" s="5" t="n"/>
      <c r="BT1029" s="5" t="n"/>
      <c r="BU1029" s="5" t="n"/>
      <c r="BV1029" s="5" t="n"/>
      <c r="BW1029" s="5" t="n"/>
      <c r="BX1029" s="5" t="n"/>
      <c r="BY1029" s="5" t="n"/>
      <c r="BZ1029" s="5" t="n"/>
      <c r="CA1029" s="5" t="n"/>
      <c r="CB1029" s="5" t="n"/>
      <c r="CC1029" s="5" t="n"/>
      <c r="CD1029" s="5" t="n"/>
      <c r="CE1029" s="5" t="n"/>
      <c r="CF1029" s="5" t="n"/>
    </row>
    <row r="1030">
      <c r="A1030" s="171" t="n"/>
      <c r="B1030" s="171" t="n"/>
      <c r="C1030" s="171" t="n"/>
      <c r="D1030" s="170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5" t="n"/>
      <c r="AI1030" s="5" t="n"/>
      <c r="AJ1030" s="5" t="n"/>
      <c r="AK1030" s="5" t="n"/>
      <c r="AL1030" s="5" t="n"/>
      <c r="AM1030" s="5" t="n"/>
      <c r="AN1030" s="5" t="n"/>
      <c r="AO1030" s="5" t="n"/>
      <c r="AP1030" s="5" t="n"/>
      <c r="AQ1030" s="5" t="n"/>
      <c r="AR1030" s="5" t="n"/>
      <c r="AS1030" s="5" t="n"/>
      <c r="AT1030" s="5" t="n"/>
      <c r="AU1030" s="5" t="n"/>
      <c r="AV1030" s="5" t="n"/>
      <c r="AW1030" s="5" t="n"/>
      <c r="AX1030" s="5" t="n"/>
      <c r="AY1030" s="5" t="n"/>
      <c r="AZ1030" s="5" t="n"/>
      <c r="BA1030" s="5" t="n"/>
      <c r="BB1030" s="5" t="n"/>
      <c r="BC1030" s="5" t="n"/>
      <c r="BD1030" s="5" t="n"/>
      <c r="BE1030" s="5" t="n"/>
      <c r="BF1030" s="5" t="n"/>
      <c r="BG1030" s="5" t="n"/>
      <c r="BH1030" s="5" t="n"/>
      <c r="BI1030" s="5" t="n"/>
      <c r="BJ1030" s="5" t="n"/>
      <c r="BK1030" s="5" t="n"/>
      <c r="BL1030" s="5" t="n"/>
      <c r="BM1030" s="5" t="n"/>
      <c r="BN1030" s="5" t="n"/>
      <c r="BO1030" s="5" t="n"/>
      <c r="BP1030" s="5" t="n"/>
      <c r="BQ1030" s="5" t="n"/>
      <c r="BR1030" s="5" t="n"/>
      <c r="BS1030" s="5" t="n"/>
      <c r="BT1030" s="5" t="n"/>
      <c r="BU1030" s="5" t="n"/>
      <c r="BV1030" s="5" t="n"/>
      <c r="BW1030" s="5" t="n"/>
      <c r="BX1030" s="5" t="n"/>
      <c r="BY1030" s="5" t="n"/>
      <c r="BZ1030" s="5" t="n"/>
      <c r="CA1030" s="5" t="n"/>
      <c r="CB1030" s="5" t="n"/>
      <c r="CC1030" s="5" t="n"/>
      <c r="CD1030" s="5" t="n"/>
      <c r="CE1030" s="5" t="n"/>
      <c r="CF1030" s="5" t="n"/>
    </row>
    <row r="1031">
      <c r="A1031" s="171" t="n"/>
      <c r="B1031" s="171" t="n"/>
      <c r="C1031" s="171" t="n"/>
      <c r="D1031" s="170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  <c r="AN1031" s="5" t="n"/>
      <c r="AO1031" s="5" t="n"/>
      <c r="AP1031" s="5" t="n"/>
      <c r="AQ1031" s="5" t="n"/>
      <c r="AR1031" s="5" t="n"/>
      <c r="AS1031" s="5" t="n"/>
      <c r="AT1031" s="5" t="n"/>
      <c r="AU1031" s="5" t="n"/>
      <c r="AV1031" s="5" t="n"/>
      <c r="AW1031" s="5" t="n"/>
      <c r="AX1031" s="5" t="n"/>
      <c r="AY1031" s="5" t="n"/>
      <c r="AZ1031" s="5" t="n"/>
      <c r="BA1031" s="5" t="n"/>
      <c r="BB1031" s="5" t="n"/>
      <c r="BC1031" s="5" t="n"/>
      <c r="BD1031" s="5" t="n"/>
      <c r="BE1031" s="5" t="n"/>
      <c r="BF1031" s="5" t="n"/>
      <c r="BG1031" s="5" t="n"/>
      <c r="BH1031" s="5" t="n"/>
      <c r="BI1031" s="5" t="n"/>
      <c r="BJ1031" s="5" t="n"/>
      <c r="BK1031" s="5" t="n"/>
      <c r="BL1031" s="5" t="n"/>
      <c r="BM1031" s="5" t="n"/>
      <c r="BN1031" s="5" t="n"/>
      <c r="BO1031" s="5" t="n"/>
      <c r="BP1031" s="5" t="n"/>
      <c r="BQ1031" s="5" t="n"/>
      <c r="BR1031" s="5" t="n"/>
      <c r="BS1031" s="5" t="n"/>
      <c r="BT1031" s="5" t="n"/>
      <c r="BU1031" s="5" t="n"/>
      <c r="BV1031" s="5" t="n"/>
      <c r="BW1031" s="5" t="n"/>
      <c r="BX1031" s="5" t="n"/>
      <c r="BY1031" s="5" t="n"/>
      <c r="BZ1031" s="5" t="n"/>
      <c r="CA1031" s="5" t="n"/>
      <c r="CB1031" s="5" t="n"/>
      <c r="CC1031" s="5" t="n"/>
      <c r="CD1031" s="5" t="n"/>
      <c r="CE1031" s="5" t="n"/>
      <c r="CF1031" s="5" t="n"/>
    </row>
    <row r="1032">
      <c r="A1032" s="171" t="n"/>
      <c r="B1032" s="171" t="n"/>
      <c r="C1032" s="171" t="n"/>
      <c r="D1032" s="170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  <c r="AD1032" s="5" t="n"/>
      <c r="AE1032" s="5" t="n"/>
      <c r="AF1032" s="5" t="n"/>
      <c r="AG1032" s="5" t="n"/>
      <c r="AH1032" s="5" t="n"/>
      <c r="AI1032" s="5" t="n"/>
      <c r="AJ1032" s="5" t="n"/>
      <c r="AK1032" s="5" t="n"/>
      <c r="AL1032" s="5" t="n"/>
      <c r="AM1032" s="5" t="n"/>
      <c r="AN1032" s="5" t="n"/>
      <c r="AO1032" s="5" t="n"/>
      <c r="AP1032" s="5" t="n"/>
      <c r="AQ1032" s="5" t="n"/>
      <c r="AR1032" s="5" t="n"/>
      <c r="AS1032" s="5" t="n"/>
      <c r="AT1032" s="5" t="n"/>
      <c r="AU1032" s="5" t="n"/>
      <c r="AV1032" s="5" t="n"/>
      <c r="AW1032" s="5" t="n"/>
      <c r="AX1032" s="5" t="n"/>
      <c r="AY1032" s="5" t="n"/>
      <c r="AZ1032" s="5" t="n"/>
      <c r="BA1032" s="5" t="n"/>
      <c r="BB1032" s="5" t="n"/>
      <c r="BC1032" s="5" t="n"/>
      <c r="BD1032" s="5" t="n"/>
      <c r="BE1032" s="5" t="n"/>
      <c r="BF1032" s="5" t="n"/>
      <c r="BG1032" s="5" t="n"/>
      <c r="BH1032" s="5" t="n"/>
      <c r="BI1032" s="5" t="n"/>
      <c r="BJ1032" s="5" t="n"/>
      <c r="BK1032" s="5" t="n"/>
      <c r="BL1032" s="5" t="n"/>
      <c r="BM1032" s="5" t="n"/>
      <c r="BN1032" s="5" t="n"/>
      <c r="BO1032" s="5" t="n"/>
      <c r="BP1032" s="5" t="n"/>
      <c r="BQ1032" s="5" t="n"/>
      <c r="BR1032" s="5" t="n"/>
      <c r="BS1032" s="5" t="n"/>
      <c r="BT1032" s="5" t="n"/>
      <c r="BU1032" s="5" t="n"/>
      <c r="BV1032" s="5" t="n"/>
      <c r="BW1032" s="5" t="n"/>
      <c r="BX1032" s="5" t="n"/>
      <c r="BY1032" s="5" t="n"/>
      <c r="BZ1032" s="5" t="n"/>
      <c r="CA1032" s="5" t="n"/>
      <c r="CB1032" s="5" t="n"/>
      <c r="CC1032" s="5" t="n"/>
      <c r="CD1032" s="5" t="n"/>
      <c r="CE1032" s="5" t="n"/>
      <c r="CF1032" s="5" t="n"/>
    </row>
    <row r="1033">
      <c r="A1033" s="171" t="n"/>
      <c r="B1033" s="171" t="n"/>
      <c r="C1033" s="171" t="n"/>
      <c r="D1033" s="170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  <c r="AA1033" s="5" t="n"/>
      <c r="AB1033" s="5" t="n"/>
      <c r="AC1033" s="5" t="n"/>
      <c r="AD1033" s="5" t="n"/>
      <c r="AE1033" s="5" t="n"/>
      <c r="AF1033" s="5" t="n"/>
      <c r="AG1033" s="5" t="n"/>
      <c r="AH1033" s="5" t="n"/>
      <c r="AI1033" s="5" t="n"/>
      <c r="AJ1033" s="5" t="n"/>
      <c r="AK1033" s="5" t="n"/>
      <c r="AL1033" s="5" t="n"/>
      <c r="AM1033" s="5" t="n"/>
      <c r="AN1033" s="5" t="n"/>
      <c r="AO1033" s="5" t="n"/>
      <c r="AP1033" s="5" t="n"/>
      <c r="AQ1033" s="5" t="n"/>
      <c r="AR1033" s="5" t="n"/>
      <c r="AS1033" s="5" t="n"/>
      <c r="AT1033" s="5" t="n"/>
      <c r="AU1033" s="5" t="n"/>
      <c r="AV1033" s="5" t="n"/>
      <c r="AW1033" s="5" t="n"/>
      <c r="AX1033" s="5" t="n"/>
      <c r="AY1033" s="5" t="n"/>
      <c r="AZ1033" s="5" t="n"/>
      <c r="BA1033" s="5" t="n"/>
      <c r="BB1033" s="5" t="n"/>
      <c r="BC1033" s="5" t="n"/>
      <c r="BD1033" s="5" t="n"/>
      <c r="BE1033" s="5" t="n"/>
      <c r="BF1033" s="5" t="n"/>
      <c r="BG1033" s="5" t="n"/>
      <c r="BH1033" s="5" t="n"/>
      <c r="BI1033" s="5" t="n"/>
      <c r="BJ1033" s="5" t="n"/>
      <c r="BK1033" s="5" t="n"/>
      <c r="BL1033" s="5" t="n"/>
      <c r="BM1033" s="5" t="n"/>
      <c r="BN1033" s="5" t="n"/>
      <c r="BO1033" s="5" t="n"/>
      <c r="BP1033" s="5" t="n"/>
      <c r="BQ1033" s="5" t="n"/>
      <c r="BR1033" s="5" t="n"/>
      <c r="BS1033" s="5" t="n"/>
      <c r="BT1033" s="5" t="n"/>
      <c r="BU1033" s="5" t="n"/>
      <c r="BV1033" s="5" t="n"/>
      <c r="BW1033" s="5" t="n"/>
      <c r="BX1033" s="5" t="n"/>
      <c r="BY1033" s="5" t="n"/>
      <c r="BZ1033" s="5" t="n"/>
      <c r="CA1033" s="5" t="n"/>
      <c r="CB1033" s="5" t="n"/>
      <c r="CC1033" s="5" t="n"/>
      <c r="CD1033" s="5" t="n"/>
      <c r="CE1033" s="5" t="n"/>
      <c r="CF1033" s="5" t="n"/>
    </row>
    <row r="1034">
      <c r="A1034" s="171" t="n"/>
      <c r="B1034" s="171" t="n"/>
      <c r="C1034" s="171" t="n"/>
      <c r="D1034" s="170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5" t="n"/>
      <c r="AB1034" s="5" t="n"/>
      <c r="AC1034" s="5" t="n"/>
      <c r="AD1034" s="5" t="n"/>
      <c r="AE1034" s="5" t="n"/>
      <c r="AF1034" s="5" t="n"/>
      <c r="AG1034" s="5" t="n"/>
      <c r="AH1034" s="5" t="n"/>
      <c r="AI1034" s="5" t="n"/>
      <c r="AJ1034" s="5" t="n"/>
      <c r="AK1034" s="5" t="n"/>
      <c r="AL1034" s="5" t="n"/>
      <c r="AM1034" s="5" t="n"/>
      <c r="AN1034" s="5" t="n"/>
      <c r="AO1034" s="5" t="n"/>
      <c r="AP1034" s="5" t="n"/>
      <c r="AQ1034" s="5" t="n"/>
      <c r="AR1034" s="5" t="n"/>
      <c r="AS1034" s="5" t="n"/>
      <c r="AT1034" s="5" t="n"/>
      <c r="AU1034" s="5" t="n"/>
      <c r="AV1034" s="5" t="n"/>
      <c r="AW1034" s="5" t="n"/>
      <c r="AX1034" s="5" t="n"/>
      <c r="AY1034" s="5" t="n"/>
      <c r="AZ1034" s="5" t="n"/>
      <c r="BA1034" s="5" t="n"/>
      <c r="BB1034" s="5" t="n"/>
      <c r="BC1034" s="5" t="n"/>
      <c r="BD1034" s="5" t="n"/>
      <c r="BE1034" s="5" t="n"/>
      <c r="BF1034" s="5" t="n"/>
      <c r="BG1034" s="5" t="n"/>
      <c r="BH1034" s="5" t="n"/>
      <c r="BI1034" s="5" t="n"/>
      <c r="BJ1034" s="5" t="n"/>
      <c r="BK1034" s="5" t="n"/>
      <c r="BL1034" s="5" t="n"/>
      <c r="BM1034" s="5" t="n"/>
      <c r="BN1034" s="5" t="n"/>
      <c r="BO1034" s="5" t="n"/>
      <c r="BP1034" s="5" t="n"/>
      <c r="BQ1034" s="5" t="n"/>
      <c r="BR1034" s="5" t="n"/>
      <c r="BS1034" s="5" t="n"/>
      <c r="BT1034" s="5" t="n"/>
      <c r="BU1034" s="5" t="n"/>
      <c r="BV1034" s="5" t="n"/>
      <c r="BW1034" s="5" t="n"/>
      <c r="BX1034" s="5" t="n"/>
      <c r="BY1034" s="5" t="n"/>
      <c r="BZ1034" s="5" t="n"/>
      <c r="CA1034" s="5" t="n"/>
      <c r="CB1034" s="5" t="n"/>
      <c r="CC1034" s="5" t="n"/>
      <c r="CD1034" s="5" t="n"/>
      <c r="CE1034" s="5" t="n"/>
      <c r="CF1034" s="5" t="n"/>
    </row>
    <row r="1035">
      <c r="A1035" s="171" t="n"/>
      <c r="B1035" s="171" t="n"/>
      <c r="C1035" s="171" t="n"/>
      <c r="D1035" s="170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  <c r="Q1035" s="5" t="n"/>
      <c r="R1035" s="5" t="n"/>
      <c r="S1035" s="5" t="n"/>
      <c r="T1035" s="5" t="n"/>
      <c r="U1035" s="5" t="n"/>
      <c r="V1035" s="5" t="n"/>
      <c r="W1035" s="5" t="n"/>
      <c r="X1035" s="5" t="n"/>
      <c r="Y1035" s="5" t="n"/>
      <c r="Z1035" s="5" t="n"/>
      <c r="AA1035" s="5" t="n"/>
      <c r="AB1035" s="5" t="n"/>
      <c r="AC1035" s="5" t="n"/>
      <c r="AD1035" s="5" t="n"/>
      <c r="AE1035" s="5" t="n"/>
      <c r="AF1035" s="5" t="n"/>
      <c r="AG1035" s="5" t="n"/>
      <c r="AH1035" s="5" t="n"/>
      <c r="AI1035" s="5" t="n"/>
      <c r="AJ1035" s="5" t="n"/>
      <c r="AK1035" s="5" t="n"/>
      <c r="AL1035" s="5" t="n"/>
      <c r="AM1035" s="5" t="n"/>
      <c r="AN1035" s="5" t="n"/>
      <c r="AO1035" s="5" t="n"/>
      <c r="AP1035" s="5" t="n"/>
      <c r="AQ1035" s="5" t="n"/>
      <c r="AR1035" s="5" t="n"/>
      <c r="AS1035" s="5" t="n"/>
      <c r="AT1035" s="5" t="n"/>
      <c r="AU1035" s="5" t="n"/>
      <c r="AV1035" s="5" t="n"/>
      <c r="AW1035" s="5" t="n"/>
      <c r="AX1035" s="5" t="n"/>
      <c r="AY1035" s="5" t="n"/>
      <c r="AZ1035" s="5" t="n"/>
      <c r="BA1035" s="5" t="n"/>
      <c r="BB1035" s="5" t="n"/>
      <c r="BC1035" s="5" t="n"/>
      <c r="BD1035" s="5" t="n"/>
      <c r="BE1035" s="5" t="n"/>
      <c r="BF1035" s="5" t="n"/>
      <c r="BG1035" s="5" t="n"/>
      <c r="BH1035" s="5" t="n"/>
      <c r="BI1035" s="5" t="n"/>
      <c r="BJ1035" s="5" t="n"/>
      <c r="BK1035" s="5" t="n"/>
      <c r="BL1035" s="5" t="n"/>
      <c r="BM1035" s="5" t="n"/>
      <c r="BN1035" s="5" t="n"/>
      <c r="BO1035" s="5" t="n"/>
      <c r="BP1035" s="5" t="n"/>
      <c r="BQ1035" s="5" t="n"/>
      <c r="BR1035" s="5" t="n"/>
      <c r="BS1035" s="5" t="n"/>
      <c r="BT1035" s="5" t="n"/>
      <c r="BU1035" s="5" t="n"/>
      <c r="BV1035" s="5" t="n"/>
      <c r="BW1035" s="5" t="n"/>
      <c r="BX1035" s="5" t="n"/>
      <c r="BY1035" s="5" t="n"/>
      <c r="BZ1035" s="5" t="n"/>
      <c r="CA1035" s="5" t="n"/>
      <c r="CB1035" s="5" t="n"/>
      <c r="CC1035" s="5" t="n"/>
      <c r="CD1035" s="5" t="n"/>
      <c r="CE1035" s="5" t="n"/>
      <c r="CF1035" s="5" t="n"/>
    </row>
    <row r="1036">
      <c r="A1036" s="171" t="n"/>
      <c r="B1036" s="171" t="n"/>
      <c r="C1036" s="171" t="n"/>
      <c r="D1036" s="170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  <c r="Q1036" s="5" t="n"/>
      <c r="R1036" s="5" t="n"/>
      <c r="S1036" s="5" t="n"/>
      <c r="T1036" s="5" t="n"/>
      <c r="U1036" s="5" t="n"/>
      <c r="V1036" s="5" t="n"/>
      <c r="W1036" s="5" t="n"/>
      <c r="X1036" s="5" t="n"/>
      <c r="Y1036" s="5" t="n"/>
      <c r="Z1036" s="5" t="n"/>
      <c r="AA1036" s="5" t="n"/>
      <c r="AB1036" s="5" t="n"/>
      <c r="AC1036" s="5" t="n"/>
      <c r="AD1036" s="5" t="n"/>
      <c r="AE1036" s="5" t="n"/>
      <c r="AF1036" s="5" t="n"/>
      <c r="AG1036" s="5" t="n"/>
      <c r="AH1036" s="5" t="n"/>
      <c r="AI1036" s="5" t="n"/>
      <c r="AJ1036" s="5" t="n"/>
      <c r="AK1036" s="5" t="n"/>
      <c r="AL1036" s="5" t="n"/>
      <c r="AM1036" s="5" t="n"/>
      <c r="AN1036" s="5" t="n"/>
      <c r="AO1036" s="5" t="n"/>
      <c r="AP1036" s="5" t="n"/>
      <c r="AQ1036" s="5" t="n"/>
      <c r="AR1036" s="5" t="n"/>
      <c r="AS1036" s="5" t="n"/>
      <c r="AT1036" s="5" t="n"/>
      <c r="AU1036" s="5" t="n"/>
      <c r="AV1036" s="5" t="n"/>
      <c r="AW1036" s="5" t="n"/>
      <c r="AX1036" s="5" t="n"/>
      <c r="AY1036" s="5" t="n"/>
      <c r="AZ1036" s="5" t="n"/>
      <c r="BA1036" s="5" t="n"/>
      <c r="BB1036" s="5" t="n"/>
      <c r="BC1036" s="5" t="n"/>
      <c r="BD1036" s="5" t="n"/>
      <c r="BE1036" s="5" t="n"/>
      <c r="BF1036" s="5" t="n"/>
      <c r="BG1036" s="5" t="n"/>
      <c r="BH1036" s="5" t="n"/>
      <c r="BI1036" s="5" t="n"/>
      <c r="BJ1036" s="5" t="n"/>
      <c r="BK1036" s="5" t="n"/>
      <c r="BL1036" s="5" t="n"/>
      <c r="BM1036" s="5" t="n"/>
      <c r="BN1036" s="5" t="n"/>
      <c r="BO1036" s="5" t="n"/>
      <c r="BP1036" s="5" t="n"/>
      <c r="BQ1036" s="5" t="n"/>
      <c r="BR1036" s="5" t="n"/>
      <c r="BS1036" s="5" t="n"/>
      <c r="BT1036" s="5" t="n"/>
      <c r="BU1036" s="5" t="n"/>
      <c r="BV1036" s="5" t="n"/>
      <c r="BW1036" s="5" t="n"/>
      <c r="BX1036" s="5" t="n"/>
      <c r="BY1036" s="5" t="n"/>
      <c r="BZ1036" s="5" t="n"/>
      <c r="CA1036" s="5" t="n"/>
      <c r="CB1036" s="5" t="n"/>
      <c r="CC1036" s="5" t="n"/>
      <c r="CD1036" s="5" t="n"/>
      <c r="CE1036" s="5" t="n"/>
      <c r="CF1036" s="5" t="n"/>
    </row>
    <row r="1037">
      <c r="A1037" s="171" t="n"/>
      <c r="B1037" s="171" t="n"/>
      <c r="C1037" s="171" t="n"/>
      <c r="D1037" s="170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  <c r="Q1037" s="5" t="n"/>
      <c r="R1037" s="5" t="n"/>
      <c r="S1037" s="5" t="n"/>
      <c r="T1037" s="5" t="n"/>
      <c r="U1037" s="5" t="n"/>
      <c r="V1037" s="5" t="n"/>
      <c r="W1037" s="5" t="n"/>
      <c r="X1037" s="5" t="n"/>
      <c r="Y1037" s="5" t="n"/>
      <c r="Z1037" s="5" t="n"/>
      <c r="AA1037" s="5" t="n"/>
      <c r="AB1037" s="5" t="n"/>
      <c r="AC1037" s="5" t="n"/>
      <c r="AD1037" s="5" t="n"/>
      <c r="AE1037" s="5" t="n"/>
      <c r="AF1037" s="5" t="n"/>
      <c r="AG1037" s="5" t="n"/>
      <c r="AH1037" s="5" t="n"/>
      <c r="AI1037" s="5" t="n"/>
      <c r="AJ1037" s="5" t="n"/>
      <c r="AK1037" s="5" t="n"/>
      <c r="AL1037" s="5" t="n"/>
      <c r="AM1037" s="5" t="n"/>
      <c r="AN1037" s="5" t="n"/>
      <c r="AO1037" s="5" t="n"/>
      <c r="AP1037" s="5" t="n"/>
      <c r="AQ1037" s="5" t="n"/>
      <c r="AR1037" s="5" t="n"/>
      <c r="AS1037" s="5" t="n"/>
      <c r="AT1037" s="5" t="n"/>
      <c r="AU1037" s="5" t="n"/>
      <c r="AV1037" s="5" t="n"/>
      <c r="AW1037" s="5" t="n"/>
      <c r="AX1037" s="5" t="n"/>
      <c r="AY1037" s="5" t="n"/>
      <c r="AZ1037" s="5" t="n"/>
      <c r="BA1037" s="5" t="n"/>
      <c r="BB1037" s="5" t="n"/>
      <c r="BC1037" s="5" t="n"/>
      <c r="BD1037" s="5" t="n"/>
      <c r="BE1037" s="5" t="n"/>
      <c r="BF1037" s="5" t="n"/>
      <c r="BG1037" s="5" t="n"/>
      <c r="BH1037" s="5" t="n"/>
      <c r="BI1037" s="5" t="n"/>
      <c r="BJ1037" s="5" t="n"/>
      <c r="BK1037" s="5" t="n"/>
      <c r="BL1037" s="5" t="n"/>
      <c r="BM1037" s="5" t="n"/>
      <c r="BN1037" s="5" t="n"/>
      <c r="BO1037" s="5" t="n"/>
      <c r="BP1037" s="5" t="n"/>
      <c r="BQ1037" s="5" t="n"/>
      <c r="BR1037" s="5" t="n"/>
      <c r="BS1037" s="5" t="n"/>
      <c r="BT1037" s="5" t="n"/>
      <c r="BU1037" s="5" t="n"/>
      <c r="BV1037" s="5" t="n"/>
      <c r="BW1037" s="5" t="n"/>
      <c r="BX1037" s="5" t="n"/>
      <c r="BY1037" s="5" t="n"/>
      <c r="BZ1037" s="5" t="n"/>
      <c r="CA1037" s="5" t="n"/>
      <c r="CB1037" s="5" t="n"/>
      <c r="CC1037" s="5" t="n"/>
      <c r="CD1037" s="5" t="n"/>
      <c r="CE1037" s="5" t="n"/>
      <c r="CF1037" s="5" t="n"/>
    </row>
    <row r="1038">
      <c r="A1038" s="171" t="n"/>
      <c r="B1038" s="171" t="n"/>
      <c r="C1038" s="171" t="n"/>
      <c r="D1038" s="170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  <c r="Q1038" s="5" t="n"/>
      <c r="R1038" s="5" t="n"/>
      <c r="S1038" s="5" t="n"/>
      <c r="T1038" s="5" t="n"/>
      <c r="U1038" s="5" t="n"/>
      <c r="V1038" s="5" t="n"/>
      <c r="W1038" s="5" t="n"/>
      <c r="X1038" s="5" t="n"/>
      <c r="Y1038" s="5" t="n"/>
      <c r="Z1038" s="5" t="n"/>
      <c r="AA1038" s="5" t="n"/>
      <c r="AB1038" s="5" t="n"/>
      <c r="AC1038" s="5" t="n"/>
      <c r="AD1038" s="5" t="n"/>
      <c r="AE1038" s="5" t="n"/>
      <c r="AF1038" s="5" t="n"/>
      <c r="AG1038" s="5" t="n"/>
      <c r="AH1038" s="5" t="n"/>
      <c r="AI1038" s="5" t="n"/>
      <c r="AJ1038" s="5" t="n"/>
      <c r="AK1038" s="5" t="n"/>
      <c r="AL1038" s="5" t="n"/>
      <c r="AM1038" s="5" t="n"/>
      <c r="AN1038" s="5" t="n"/>
      <c r="AO1038" s="5" t="n"/>
      <c r="AP1038" s="5" t="n"/>
      <c r="AQ1038" s="5" t="n"/>
      <c r="AR1038" s="5" t="n"/>
      <c r="AS1038" s="5" t="n"/>
      <c r="AT1038" s="5" t="n"/>
      <c r="AU1038" s="5" t="n"/>
      <c r="AV1038" s="5" t="n"/>
      <c r="AW1038" s="5" t="n"/>
      <c r="AX1038" s="5" t="n"/>
      <c r="AY1038" s="5" t="n"/>
      <c r="AZ1038" s="5" t="n"/>
      <c r="BA1038" s="5" t="n"/>
      <c r="BB1038" s="5" t="n"/>
      <c r="BC1038" s="5" t="n"/>
      <c r="BD1038" s="5" t="n"/>
      <c r="BE1038" s="5" t="n"/>
      <c r="BF1038" s="5" t="n"/>
      <c r="BG1038" s="5" t="n"/>
      <c r="BH1038" s="5" t="n"/>
      <c r="BI1038" s="5" t="n"/>
      <c r="BJ1038" s="5" t="n"/>
      <c r="BK1038" s="5" t="n"/>
      <c r="BL1038" s="5" t="n"/>
      <c r="BM1038" s="5" t="n"/>
      <c r="BN1038" s="5" t="n"/>
      <c r="BO1038" s="5" t="n"/>
      <c r="BP1038" s="5" t="n"/>
      <c r="BQ1038" s="5" t="n"/>
      <c r="BR1038" s="5" t="n"/>
      <c r="BS1038" s="5" t="n"/>
      <c r="BT1038" s="5" t="n"/>
      <c r="BU1038" s="5" t="n"/>
      <c r="BV1038" s="5" t="n"/>
      <c r="BW1038" s="5" t="n"/>
      <c r="BX1038" s="5" t="n"/>
      <c r="BY1038" s="5" t="n"/>
      <c r="BZ1038" s="5" t="n"/>
      <c r="CA1038" s="5" t="n"/>
      <c r="CB1038" s="5" t="n"/>
      <c r="CC1038" s="5" t="n"/>
      <c r="CD1038" s="5" t="n"/>
      <c r="CE1038" s="5" t="n"/>
      <c r="CF1038" s="5" t="n"/>
    </row>
    <row r="1039">
      <c r="A1039" s="171" t="n"/>
      <c r="B1039" s="171" t="n"/>
      <c r="C1039" s="171" t="n"/>
      <c r="D1039" s="170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  <c r="Q1039" s="5" t="n"/>
      <c r="R1039" s="5" t="n"/>
      <c r="S1039" s="5" t="n"/>
      <c r="T1039" s="5" t="n"/>
      <c r="U1039" s="5" t="n"/>
      <c r="V1039" s="5" t="n"/>
      <c r="W1039" s="5" t="n"/>
      <c r="X1039" s="5" t="n"/>
      <c r="Y1039" s="5" t="n"/>
      <c r="Z1039" s="5" t="n"/>
      <c r="AA1039" s="5" t="n"/>
      <c r="AB1039" s="5" t="n"/>
      <c r="AC1039" s="5" t="n"/>
      <c r="AD1039" s="5" t="n"/>
      <c r="AE1039" s="5" t="n"/>
      <c r="AF1039" s="5" t="n"/>
      <c r="AG1039" s="5" t="n"/>
      <c r="AH1039" s="5" t="n"/>
      <c r="AI1039" s="5" t="n"/>
      <c r="AJ1039" s="5" t="n"/>
      <c r="AK1039" s="5" t="n"/>
      <c r="AL1039" s="5" t="n"/>
      <c r="AM1039" s="5" t="n"/>
      <c r="AN1039" s="5" t="n"/>
      <c r="AO1039" s="5" t="n"/>
      <c r="AP1039" s="5" t="n"/>
      <c r="AQ1039" s="5" t="n"/>
      <c r="AR1039" s="5" t="n"/>
      <c r="AS1039" s="5" t="n"/>
      <c r="AT1039" s="5" t="n"/>
      <c r="AU1039" s="5" t="n"/>
      <c r="AV1039" s="5" t="n"/>
      <c r="AW1039" s="5" t="n"/>
      <c r="AX1039" s="5" t="n"/>
      <c r="AY1039" s="5" t="n"/>
      <c r="AZ1039" s="5" t="n"/>
      <c r="BA1039" s="5" t="n"/>
      <c r="BB1039" s="5" t="n"/>
      <c r="BC1039" s="5" t="n"/>
      <c r="BD1039" s="5" t="n"/>
      <c r="BE1039" s="5" t="n"/>
      <c r="BF1039" s="5" t="n"/>
      <c r="BG1039" s="5" t="n"/>
      <c r="BH1039" s="5" t="n"/>
      <c r="BI1039" s="5" t="n"/>
      <c r="BJ1039" s="5" t="n"/>
      <c r="BK1039" s="5" t="n"/>
      <c r="BL1039" s="5" t="n"/>
      <c r="BM1039" s="5" t="n"/>
      <c r="BN1039" s="5" t="n"/>
      <c r="BO1039" s="5" t="n"/>
      <c r="BP1039" s="5" t="n"/>
      <c r="BQ1039" s="5" t="n"/>
      <c r="BR1039" s="5" t="n"/>
      <c r="BS1039" s="5" t="n"/>
      <c r="BT1039" s="5" t="n"/>
      <c r="BU1039" s="5" t="n"/>
      <c r="BV1039" s="5" t="n"/>
      <c r="BW1039" s="5" t="n"/>
      <c r="BX1039" s="5" t="n"/>
      <c r="BY1039" s="5" t="n"/>
      <c r="BZ1039" s="5" t="n"/>
      <c r="CA1039" s="5" t="n"/>
      <c r="CB1039" s="5" t="n"/>
      <c r="CC1039" s="5" t="n"/>
      <c r="CD1039" s="5" t="n"/>
      <c r="CE1039" s="5" t="n"/>
      <c r="CF1039" s="5" t="n"/>
    </row>
    <row r="1040">
      <c r="A1040" s="171" t="n"/>
      <c r="B1040" s="171" t="n"/>
      <c r="C1040" s="171" t="n"/>
      <c r="D1040" s="170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5" t="n"/>
      <c r="AB1040" s="5" t="n"/>
      <c r="AC1040" s="5" t="n"/>
      <c r="AD1040" s="5" t="n"/>
      <c r="AE1040" s="5" t="n"/>
      <c r="AF1040" s="5" t="n"/>
      <c r="AG1040" s="5" t="n"/>
      <c r="AH1040" s="5" t="n"/>
      <c r="AI1040" s="5" t="n"/>
      <c r="AJ1040" s="5" t="n"/>
      <c r="AK1040" s="5" t="n"/>
      <c r="AL1040" s="5" t="n"/>
      <c r="AM1040" s="5" t="n"/>
      <c r="AN1040" s="5" t="n"/>
      <c r="AO1040" s="5" t="n"/>
      <c r="AP1040" s="5" t="n"/>
      <c r="AQ1040" s="5" t="n"/>
      <c r="AR1040" s="5" t="n"/>
      <c r="AS1040" s="5" t="n"/>
      <c r="AT1040" s="5" t="n"/>
      <c r="AU1040" s="5" t="n"/>
      <c r="AV1040" s="5" t="n"/>
      <c r="AW1040" s="5" t="n"/>
      <c r="AX1040" s="5" t="n"/>
      <c r="AY1040" s="5" t="n"/>
      <c r="AZ1040" s="5" t="n"/>
      <c r="BA1040" s="5" t="n"/>
      <c r="BB1040" s="5" t="n"/>
      <c r="BC1040" s="5" t="n"/>
      <c r="BD1040" s="5" t="n"/>
      <c r="BE1040" s="5" t="n"/>
      <c r="BF1040" s="5" t="n"/>
      <c r="BG1040" s="5" t="n"/>
      <c r="BH1040" s="5" t="n"/>
      <c r="BI1040" s="5" t="n"/>
      <c r="BJ1040" s="5" t="n"/>
      <c r="BK1040" s="5" t="n"/>
      <c r="BL1040" s="5" t="n"/>
      <c r="BM1040" s="5" t="n"/>
      <c r="BN1040" s="5" t="n"/>
      <c r="BO1040" s="5" t="n"/>
      <c r="BP1040" s="5" t="n"/>
      <c r="BQ1040" s="5" t="n"/>
      <c r="BR1040" s="5" t="n"/>
      <c r="BS1040" s="5" t="n"/>
      <c r="BT1040" s="5" t="n"/>
      <c r="BU1040" s="5" t="n"/>
      <c r="BV1040" s="5" t="n"/>
      <c r="BW1040" s="5" t="n"/>
      <c r="BX1040" s="5" t="n"/>
      <c r="BY1040" s="5" t="n"/>
      <c r="BZ1040" s="5" t="n"/>
      <c r="CA1040" s="5" t="n"/>
      <c r="CB1040" s="5" t="n"/>
      <c r="CC1040" s="5" t="n"/>
      <c r="CD1040" s="5" t="n"/>
      <c r="CE1040" s="5" t="n"/>
      <c r="CF1040" s="5" t="n"/>
    </row>
    <row r="1041">
      <c r="A1041" s="171" t="n"/>
      <c r="B1041" s="171" t="n"/>
      <c r="C1041" s="171" t="n"/>
      <c r="D1041" s="170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  <c r="Q1041" s="5" t="n"/>
      <c r="R1041" s="5" t="n"/>
      <c r="S1041" s="5" t="n"/>
      <c r="T1041" s="5" t="n"/>
      <c r="U1041" s="5" t="n"/>
      <c r="V1041" s="5" t="n"/>
      <c r="W1041" s="5" t="n"/>
      <c r="X1041" s="5" t="n"/>
      <c r="Y1041" s="5" t="n"/>
      <c r="Z1041" s="5" t="n"/>
      <c r="AA1041" s="5" t="n"/>
      <c r="AB1041" s="5" t="n"/>
      <c r="AC1041" s="5" t="n"/>
      <c r="AD1041" s="5" t="n"/>
      <c r="AE1041" s="5" t="n"/>
      <c r="AF1041" s="5" t="n"/>
      <c r="AG1041" s="5" t="n"/>
      <c r="AH1041" s="5" t="n"/>
      <c r="AI1041" s="5" t="n"/>
      <c r="AJ1041" s="5" t="n"/>
      <c r="AK1041" s="5" t="n"/>
      <c r="AL1041" s="5" t="n"/>
      <c r="AM1041" s="5" t="n"/>
      <c r="AN1041" s="5" t="n"/>
      <c r="AO1041" s="5" t="n"/>
      <c r="AP1041" s="5" t="n"/>
      <c r="AQ1041" s="5" t="n"/>
      <c r="AR1041" s="5" t="n"/>
      <c r="AS1041" s="5" t="n"/>
      <c r="AT1041" s="5" t="n"/>
      <c r="AU1041" s="5" t="n"/>
      <c r="AV1041" s="5" t="n"/>
      <c r="AW1041" s="5" t="n"/>
      <c r="AX1041" s="5" t="n"/>
      <c r="AY1041" s="5" t="n"/>
      <c r="AZ1041" s="5" t="n"/>
      <c r="BA1041" s="5" t="n"/>
      <c r="BB1041" s="5" t="n"/>
      <c r="BC1041" s="5" t="n"/>
      <c r="BD1041" s="5" t="n"/>
      <c r="BE1041" s="5" t="n"/>
      <c r="BF1041" s="5" t="n"/>
      <c r="BG1041" s="5" t="n"/>
      <c r="BH1041" s="5" t="n"/>
      <c r="BI1041" s="5" t="n"/>
      <c r="BJ1041" s="5" t="n"/>
      <c r="BK1041" s="5" t="n"/>
      <c r="BL1041" s="5" t="n"/>
      <c r="BM1041" s="5" t="n"/>
      <c r="BN1041" s="5" t="n"/>
      <c r="BO1041" s="5" t="n"/>
      <c r="BP1041" s="5" t="n"/>
      <c r="BQ1041" s="5" t="n"/>
      <c r="BR1041" s="5" t="n"/>
      <c r="BS1041" s="5" t="n"/>
      <c r="BT1041" s="5" t="n"/>
      <c r="BU1041" s="5" t="n"/>
      <c r="BV1041" s="5" t="n"/>
      <c r="BW1041" s="5" t="n"/>
      <c r="BX1041" s="5" t="n"/>
      <c r="BY1041" s="5" t="n"/>
      <c r="BZ1041" s="5" t="n"/>
      <c r="CA1041" s="5" t="n"/>
      <c r="CB1041" s="5" t="n"/>
      <c r="CC1041" s="5" t="n"/>
      <c r="CD1041" s="5" t="n"/>
      <c r="CE1041" s="5" t="n"/>
      <c r="CF1041" s="5" t="n"/>
    </row>
    <row r="1042">
      <c r="A1042" s="171" t="n"/>
      <c r="B1042" s="171" t="n"/>
      <c r="C1042" s="171" t="n"/>
      <c r="D1042" s="170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  <c r="Q1042" s="5" t="n"/>
      <c r="R1042" s="5" t="n"/>
      <c r="S1042" s="5" t="n"/>
      <c r="T1042" s="5" t="n"/>
      <c r="U1042" s="5" t="n"/>
      <c r="V1042" s="5" t="n"/>
      <c r="W1042" s="5" t="n"/>
      <c r="X1042" s="5" t="n"/>
      <c r="Y1042" s="5" t="n"/>
      <c r="Z1042" s="5" t="n"/>
      <c r="AA1042" s="5" t="n"/>
      <c r="AB1042" s="5" t="n"/>
      <c r="AC1042" s="5" t="n"/>
      <c r="AD1042" s="5" t="n"/>
      <c r="AE1042" s="5" t="n"/>
      <c r="AF1042" s="5" t="n"/>
      <c r="AG1042" s="5" t="n"/>
      <c r="AH1042" s="5" t="n"/>
      <c r="AI1042" s="5" t="n"/>
      <c r="AJ1042" s="5" t="n"/>
      <c r="AK1042" s="5" t="n"/>
      <c r="AL1042" s="5" t="n"/>
      <c r="AM1042" s="5" t="n"/>
      <c r="AN1042" s="5" t="n"/>
      <c r="AO1042" s="5" t="n"/>
      <c r="AP1042" s="5" t="n"/>
      <c r="AQ1042" s="5" t="n"/>
      <c r="AR1042" s="5" t="n"/>
      <c r="AS1042" s="5" t="n"/>
      <c r="AT1042" s="5" t="n"/>
      <c r="AU1042" s="5" t="n"/>
      <c r="AV1042" s="5" t="n"/>
      <c r="AW1042" s="5" t="n"/>
      <c r="AX1042" s="5" t="n"/>
      <c r="AY1042" s="5" t="n"/>
      <c r="AZ1042" s="5" t="n"/>
      <c r="BA1042" s="5" t="n"/>
      <c r="BB1042" s="5" t="n"/>
      <c r="BC1042" s="5" t="n"/>
      <c r="BD1042" s="5" t="n"/>
      <c r="BE1042" s="5" t="n"/>
      <c r="BF1042" s="5" t="n"/>
      <c r="BG1042" s="5" t="n"/>
      <c r="BH1042" s="5" t="n"/>
      <c r="BI1042" s="5" t="n"/>
      <c r="BJ1042" s="5" t="n"/>
      <c r="BK1042" s="5" t="n"/>
      <c r="BL1042" s="5" t="n"/>
      <c r="BM1042" s="5" t="n"/>
      <c r="BN1042" s="5" t="n"/>
      <c r="BO1042" s="5" t="n"/>
      <c r="BP1042" s="5" t="n"/>
      <c r="BQ1042" s="5" t="n"/>
      <c r="BR1042" s="5" t="n"/>
      <c r="BS1042" s="5" t="n"/>
      <c r="BT1042" s="5" t="n"/>
      <c r="BU1042" s="5" t="n"/>
      <c r="BV1042" s="5" t="n"/>
      <c r="BW1042" s="5" t="n"/>
      <c r="BX1042" s="5" t="n"/>
      <c r="BY1042" s="5" t="n"/>
      <c r="BZ1042" s="5" t="n"/>
      <c r="CA1042" s="5" t="n"/>
      <c r="CB1042" s="5" t="n"/>
      <c r="CC1042" s="5" t="n"/>
      <c r="CD1042" s="5" t="n"/>
      <c r="CE1042" s="5" t="n"/>
      <c r="CF1042" s="5" t="n"/>
    </row>
    <row r="1043">
      <c r="A1043" s="171" t="n"/>
      <c r="B1043" s="171" t="n"/>
      <c r="C1043" s="171" t="n"/>
      <c r="D1043" s="170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  <c r="Q1043" s="5" t="n"/>
      <c r="R1043" s="5" t="n"/>
      <c r="S1043" s="5" t="n"/>
      <c r="T1043" s="5" t="n"/>
      <c r="U1043" s="5" t="n"/>
      <c r="V1043" s="5" t="n"/>
      <c r="W1043" s="5" t="n"/>
      <c r="X1043" s="5" t="n"/>
      <c r="Y1043" s="5" t="n"/>
      <c r="Z1043" s="5" t="n"/>
      <c r="AA1043" s="5" t="n"/>
      <c r="AB1043" s="5" t="n"/>
      <c r="AC1043" s="5" t="n"/>
      <c r="AD1043" s="5" t="n"/>
      <c r="AE1043" s="5" t="n"/>
      <c r="AF1043" s="5" t="n"/>
      <c r="AG1043" s="5" t="n"/>
      <c r="AH1043" s="5" t="n"/>
      <c r="AI1043" s="5" t="n"/>
      <c r="AJ1043" s="5" t="n"/>
      <c r="AK1043" s="5" t="n"/>
      <c r="AL1043" s="5" t="n"/>
      <c r="AM1043" s="5" t="n"/>
      <c r="AN1043" s="5" t="n"/>
      <c r="AO1043" s="5" t="n"/>
      <c r="AP1043" s="5" t="n"/>
      <c r="AQ1043" s="5" t="n"/>
      <c r="AR1043" s="5" t="n"/>
      <c r="AS1043" s="5" t="n"/>
      <c r="AT1043" s="5" t="n"/>
      <c r="AU1043" s="5" t="n"/>
      <c r="AV1043" s="5" t="n"/>
      <c r="AW1043" s="5" t="n"/>
      <c r="AX1043" s="5" t="n"/>
      <c r="AY1043" s="5" t="n"/>
      <c r="AZ1043" s="5" t="n"/>
      <c r="BA1043" s="5" t="n"/>
      <c r="BB1043" s="5" t="n"/>
      <c r="BC1043" s="5" t="n"/>
      <c r="BD1043" s="5" t="n"/>
      <c r="BE1043" s="5" t="n"/>
      <c r="BF1043" s="5" t="n"/>
      <c r="BG1043" s="5" t="n"/>
      <c r="BH1043" s="5" t="n"/>
      <c r="BI1043" s="5" t="n"/>
      <c r="BJ1043" s="5" t="n"/>
      <c r="BK1043" s="5" t="n"/>
      <c r="BL1043" s="5" t="n"/>
      <c r="BM1043" s="5" t="n"/>
      <c r="BN1043" s="5" t="n"/>
      <c r="BO1043" s="5" t="n"/>
      <c r="BP1043" s="5" t="n"/>
      <c r="BQ1043" s="5" t="n"/>
      <c r="BR1043" s="5" t="n"/>
      <c r="BS1043" s="5" t="n"/>
      <c r="BT1043" s="5" t="n"/>
      <c r="BU1043" s="5" t="n"/>
      <c r="BV1043" s="5" t="n"/>
      <c r="BW1043" s="5" t="n"/>
      <c r="BX1043" s="5" t="n"/>
      <c r="BY1043" s="5" t="n"/>
      <c r="BZ1043" s="5" t="n"/>
      <c r="CA1043" s="5" t="n"/>
      <c r="CB1043" s="5" t="n"/>
      <c r="CC1043" s="5" t="n"/>
      <c r="CD1043" s="5" t="n"/>
      <c r="CE1043" s="5" t="n"/>
      <c r="CF1043" s="5" t="n"/>
    </row>
    <row r="1044">
      <c r="A1044" s="171" t="n"/>
      <c r="B1044" s="171" t="n"/>
      <c r="C1044" s="171" t="n"/>
      <c r="D1044" s="170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  <c r="Q1044" s="5" t="n"/>
      <c r="R1044" s="5" t="n"/>
      <c r="S1044" s="5" t="n"/>
      <c r="T1044" s="5" t="n"/>
      <c r="U1044" s="5" t="n"/>
      <c r="V1044" s="5" t="n"/>
      <c r="W1044" s="5" t="n"/>
      <c r="X1044" s="5" t="n"/>
      <c r="Y1044" s="5" t="n"/>
      <c r="Z1044" s="5" t="n"/>
      <c r="AA1044" s="5" t="n"/>
      <c r="AB1044" s="5" t="n"/>
      <c r="AC1044" s="5" t="n"/>
      <c r="AD1044" s="5" t="n"/>
      <c r="AE1044" s="5" t="n"/>
      <c r="AF1044" s="5" t="n"/>
      <c r="AG1044" s="5" t="n"/>
      <c r="AH1044" s="5" t="n"/>
      <c r="AI1044" s="5" t="n"/>
      <c r="AJ1044" s="5" t="n"/>
      <c r="AK1044" s="5" t="n"/>
      <c r="AL1044" s="5" t="n"/>
      <c r="AM1044" s="5" t="n"/>
      <c r="AN1044" s="5" t="n"/>
      <c r="AO1044" s="5" t="n"/>
      <c r="AP1044" s="5" t="n"/>
      <c r="AQ1044" s="5" t="n"/>
      <c r="AR1044" s="5" t="n"/>
      <c r="AS1044" s="5" t="n"/>
      <c r="AT1044" s="5" t="n"/>
      <c r="AU1044" s="5" t="n"/>
      <c r="AV1044" s="5" t="n"/>
      <c r="AW1044" s="5" t="n"/>
      <c r="AX1044" s="5" t="n"/>
      <c r="AY1044" s="5" t="n"/>
      <c r="AZ1044" s="5" t="n"/>
      <c r="BA1044" s="5" t="n"/>
      <c r="BB1044" s="5" t="n"/>
      <c r="BC1044" s="5" t="n"/>
      <c r="BD1044" s="5" t="n"/>
      <c r="BE1044" s="5" t="n"/>
      <c r="BF1044" s="5" t="n"/>
      <c r="BG1044" s="5" t="n"/>
      <c r="BH1044" s="5" t="n"/>
      <c r="BI1044" s="5" t="n"/>
      <c r="BJ1044" s="5" t="n"/>
      <c r="BK1044" s="5" t="n"/>
      <c r="BL1044" s="5" t="n"/>
      <c r="BM1044" s="5" t="n"/>
      <c r="BN1044" s="5" t="n"/>
      <c r="BO1044" s="5" t="n"/>
      <c r="BP1044" s="5" t="n"/>
      <c r="BQ1044" s="5" t="n"/>
      <c r="BR1044" s="5" t="n"/>
      <c r="BS1044" s="5" t="n"/>
      <c r="BT1044" s="5" t="n"/>
      <c r="BU1044" s="5" t="n"/>
      <c r="BV1044" s="5" t="n"/>
      <c r="BW1044" s="5" t="n"/>
      <c r="BX1044" s="5" t="n"/>
      <c r="BY1044" s="5" t="n"/>
      <c r="BZ1044" s="5" t="n"/>
      <c r="CA1044" s="5" t="n"/>
      <c r="CB1044" s="5" t="n"/>
      <c r="CC1044" s="5" t="n"/>
      <c r="CD1044" s="5" t="n"/>
      <c r="CE1044" s="5" t="n"/>
      <c r="CF1044" s="5" t="n"/>
    </row>
    <row r="1045">
      <c r="A1045" s="171" t="n"/>
      <c r="B1045" s="171" t="n"/>
      <c r="C1045" s="171" t="n"/>
      <c r="D1045" s="170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  <c r="Q1045" s="5" t="n"/>
      <c r="R1045" s="5" t="n"/>
      <c r="S1045" s="5" t="n"/>
      <c r="T1045" s="5" t="n"/>
      <c r="U1045" s="5" t="n"/>
      <c r="V1045" s="5" t="n"/>
      <c r="W1045" s="5" t="n"/>
      <c r="X1045" s="5" t="n"/>
      <c r="Y1045" s="5" t="n"/>
      <c r="Z1045" s="5" t="n"/>
      <c r="AA1045" s="5" t="n"/>
      <c r="AB1045" s="5" t="n"/>
      <c r="AC1045" s="5" t="n"/>
      <c r="AD1045" s="5" t="n"/>
      <c r="AE1045" s="5" t="n"/>
      <c r="AF1045" s="5" t="n"/>
      <c r="AG1045" s="5" t="n"/>
      <c r="AH1045" s="5" t="n"/>
      <c r="AI1045" s="5" t="n"/>
      <c r="AJ1045" s="5" t="n"/>
      <c r="AK1045" s="5" t="n"/>
      <c r="AL1045" s="5" t="n"/>
      <c r="AM1045" s="5" t="n"/>
      <c r="AN1045" s="5" t="n"/>
      <c r="AO1045" s="5" t="n"/>
      <c r="AP1045" s="5" t="n"/>
      <c r="AQ1045" s="5" t="n"/>
      <c r="AR1045" s="5" t="n"/>
      <c r="AS1045" s="5" t="n"/>
      <c r="AT1045" s="5" t="n"/>
      <c r="AU1045" s="5" t="n"/>
      <c r="AV1045" s="5" t="n"/>
      <c r="AW1045" s="5" t="n"/>
      <c r="AX1045" s="5" t="n"/>
      <c r="AY1045" s="5" t="n"/>
      <c r="AZ1045" s="5" t="n"/>
      <c r="BA1045" s="5" t="n"/>
      <c r="BB1045" s="5" t="n"/>
      <c r="BC1045" s="5" t="n"/>
      <c r="BD1045" s="5" t="n"/>
      <c r="BE1045" s="5" t="n"/>
      <c r="BF1045" s="5" t="n"/>
      <c r="BG1045" s="5" t="n"/>
      <c r="BH1045" s="5" t="n"/>
      <c r="BI1045" s="5" t="n"/>
      <c r="BJ1045" s="5" t="n"/>
      <c r="BK1045" s="5" t="n"/>
      <c r="BL1045" s="5" t="n"/>
      <c r="BM1045" s="5" t="n"/>
      <c r="BN1045" s="5" t="n"/>
      <c r="BO1045" s="5" t="n"/>
      <c r="BP1045" s="5" t="n"/>
      <c r="BQ1045" s="5" t="n"/>
      <c r="BR1045" s="5" t="n"/>
      <c r="BS1045" s="5" t="n"/>
      <c r="BT1045" s="5" t="n"/>
      <c r="BU1045" s="5" t="n"/>
      <c r="BV1045" s="5" t="n"/>
      <c r="BW1045" s="5" t="n"/>
      <c r="BX1045" s="5" t="n"/>
      <c r="BY1045" s="5" t="n"/>
      <c r="BZ1045" s="5" t="n"/>
      <c r="CA1045" s="5" t="n"/>
      <c r="CB1045" s="5" t="n"/>
      <c r="CC1045" s="5" t="n"/>
      <c r="CD1045" s="5" t="n"/>
      <c r="CE1045" s="5" t="n"/>
      <c r="CF1045" s="5" t="n"/>
    </row>
    <row r="1046">
      <c r="A1046" s="171" t="n"/>
      <c r="B1046" s="171" t="n"/>
      <c r="C1046" s="171" t="n"/>
      <c r="D1046" s="170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  <c r="Q1046" s="5" t="n"/>
      <c r="R1046" s="5" t="n"/>
      <c r="S1046" s="5" t="n"/>
      <c r="T1046" s="5" t="n"/>
      <c r="U1046" s="5" t="n"/>
      <c r="V1046" s="5" t="n"/>
      <c r="W1046" s="5" t="n"/>
      <c r="X1046" s="5" t="n"/>
      <c r="Y1046" s="5" t="n"/>
      <c r="Z1046" s="5" t="n"/>
      <c r="AA1046" s="5" t="n"/>
      <c r="AB1046" s="5" t="n"/>
      <c r="AC1046" s="5" t="n"/>
      <c r="AD1046" s="5" t="n"/>
      <c r="AE1046" s="5" t="n"/>
      <c r="AF1046" s="5" t="n"/>
      <c r="AG1046" s="5" t="n"/>
      <c r="AH1046" s="5" t="n"/>
      <c r="AI1046" s="5" t="n"/>
      <c r="AJ1046" s="5" t="n"/>
      <c r="AK1046" s="5" t="n"/>
      <c r="AL1046" s="5" t="n"/>
      <c r="AM1046" s="5" t="n"/>
      <c r="AN1046" s="5" t="n"/>
      <c r="AO1046" s="5" t="n"/>
      <c r="AP1046" s="5" t="n"/>
      <c r="AQ1046" s="5" t="n"/>
      <c r="AR1046" s="5" t="n"/>
      <c r="AS1046" s="5" t="n"/>
      <c r="AT1046" s="5" t="n"/>
      <c r="AU1046" s="5" t="n"/>
      <c r="AV1046" s="5" t="n"/>
      <c r="AW1046" s="5" t="n"/>
      <c r="AX1046" s="5" t="n"/>
      <c r="AY1046" s="5" t="n"/>
      <c r="AZ1046" s="5" t="n"/>
      <c r="BA1046" s="5" t="n"/>
      <c r="BB1046" s="5" t="n"/>
      <c r="BC1046" s="5" t="n"/>
      <c r="BD1046" s="5" t="n"/>
      <c r="BE1046" s="5" t="n"/>
      <c r="BF1046" s="5" t="n"/>
      <c r="BG1046" s="5" t="n"/>
      <c r="BH1046" s="5" t="n"/>
      <c r="BI1046" s="5" t="n"/>
      <c r="BJ1046" s="5" t="n"/>
      <c r="BK1046" s="5" t="n"/>
      <c r="BL1046" s="5" t="n"/>
      <c r="BM1046" s="5" t="n"/>
      <c r="BN1046" s="5" t="n"/>
      <c r="BO1046" s="5" t="n"/>
      <c r="BP1046" s="5" t="n"/>
      <c r="BQ1046" s="5" t="n"/>
      <c r="BR1046" s="5" t="n"/>
      <c r="BS1046" s="5" t="n"/>
      <c r="BT1046" s="5" t="n"/>
      <c r="BU1046" s="5" t="n"/>
      <c r="BV1046" s="5" t="n"/>
      <c r="BW1046" s="5" t="n"/>
      <c r="BX1046" s="5" t="n"/>
      <c r="BY1046" s="5" t="n"/>
      <c r="BZ1046" s="5" t="n"/>
      <c r="CA1046" s="5" t="n"/>
      <c r="CB1046" s="5" t="n"/>
      <c r="CC1046" s="5" t="n"/>
      <c r="CD1046" s="5" t="n"/>
      <c r="CE1046" s="5" t="n"/>
      <c r="CF1046" s="5" t="n"/>
    </row>
    <row r="1047">
      <c r="A1047" s="171" t="n"/>
      <c r="B1047" s="171" t="n"/>
      <c r="C1047" s="171" t="n"/>
      <c r="D1047" s="170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  <c r="Q1047" s="5" t="n"/>
      <c r="R1047" s="5" t="n"/>
      <c r="S1047" s="5" t="n"/>
      <c r="T1047" s="5" t="n"/>
      <c r="U1047" s="5" t="n"/>
      <c r="V1047" s="5" t="n"/>
      <c r="W1047" s="5" t="n"/>
      <c r="X1047" s="5" t="n"/>
      <c r="Y1047" s="5" t="n"/>
      <c r="Z1047" s="5" t="n"/>
      <c r="AA1047" s="5" t="n"/>
      <c r="AB1047" s="5" t="n"/>
      <c r="AC1047" s="5" t="n"/>
      <c r="AD1047" s="5" t="n"/>
      <c r="AE1047" s="5" t="n"/>
      <c r="AF1047" s="5" t="n"/>
      <c r="AG1047" s="5" t="n"/>
      <c r="AH1047" s="5" t="n"/>
      <c r="AI1047" s="5" t="n"/>
      <c r="AJ1047" s="5" t="n"/>
      <c r="AK1047" s="5" t="n"/>
      <c r="AL1047" s="5" t="n"/>
      <c r="AM1047" s="5" t="n"/>
      <c r="AN1047" s="5" t="n"/>
      <c r="AO1047" s="5" t="n"/>
      <c r="AP1047" s="5" t="n"/>
      <c r="AQ1047" s="5" t="n"/>
      <c r="AR1047" s="5" t="n"/>
      <c r="AS1047" s="5" t="n"/>
      <c r="AT1047" s="5" t="n"/>
      <c r="AU1047" s="5" t="n"/>
      <c r="AV1047" s="5" t="n"/>
      <c r="AW1047" s="5" t="n"/>
      <c r="AX1047" s="5" t="n"/>
      <c r="AY1047" s="5" t="n"/>
      <c r="AZ1047" s="5" t="n"/>
      <c r="BA1047" s="5" t="n"/>
      <c r="BB1047" s="5" t="n"/>
      <c r="BC1047" s="5" t="n"/>
      <c r="BD1047" s="5" t="n"/>
      <c r="BE1047" s="5" t="n"/>
      <c r="BF1047" s="5" t="n"/>
      <c r="BG1047" s="5" t="n"/>
      <c r="BH1047" s="5" t="n"/>
      <c r="BI1047" s="5" t="n"/>
      <c r="BJ1047" s="5" t="n"/>
      <c r="BK1047" s="5" t="n"/>
      <c r="BL1047" s="5" t="n"/>
      <c r="BM1047" s="5" t="n"/>
      <c r="BN1047" s="5" t="n"/>
      <c r="BO1047" s="5" t="n"/>
      <c r="BP1047" s="5" t="n"/>
      <c r="BQ1047" s="5" t="n"/>
      <c r="BR1047" s="5" t="n"/>
      <c r="BS1047" s="5" t="n"/>
      <c r="BT1047" s="5" t="n"/>
      <c r="BU1047" s="5" t="n"/>
      <c r="BV1047" s="5" t="n"/>
      <c r="BW1047" s="5" t="n"/>
      <c r="BX1047" s="5" t="n"/>
      <c r="BY1047" s="5" t="n"/>
      <c r="BZ1047" s="5" t="n"/>
      <c r="CA1047" s="5" t="n"/>
      <c r="CB1047" s="5" t="n"/>
      <c r="CC1047" s="5" t="n"/>
      <c r="CD1047" s="5" t="n"/>
      <c r="CE1047" s="5" t="n"/>
      <c r="CF1047" s="5" t="n"/>
    </row>
    <row r="1048">
      <c r="A1048" s="171" t="n"/>
      <c r="B1048" s="171" t="n"/>
      <c r="C1048" s="171" t="n"/>
      <c r="D1048" s="170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  <c r="Q1048" s="5" t="n"/>
      <c r="R1048" s="5" t="n"/>
      <c r="S1048" s="5" t="n"/>
      <c r="T1048" s="5" t="n"/>
      <c r="U1048" s="5" t="n"/>
      <c r="V1048" s="5" t="n"/>
      <c r="W1048" s="5" t="n"/>
      <c r="X1048" s="5" t="n"/>
      <c r="Y1048" s="5" t="n"/>
      <c r="Z1048" s="5" t="n"/>
      <c r="AA1048" s="5" t="n"/>
      <c r="AB1048" s="5" t="n"/>
      <c r="AC1048" s="5" t="n"/>
      <c r="AD1048" s="5" t="n"/>
      <c r="AE1048" s="5" t="n"/>
      <c r="AF1048" s="5" t="n"/>
      <c r="AG1048" s="5" t="n"/>
      <c r="AH1048" s="5" t="n"/>
      <c r="AI1048" s="5" t="n"/>
      <c r="AJ1048" s="5" t="n"/>
      <c r="AK1048" s="5" t="n"/>
      <c r="AL1048" s="5" t="n"/>
      <c r="AM1048" s="5" t="n"/>
      <c r="AN1048" s="5" t="n"/>
      <c r="AO1048" s="5" t="n"/>
      <c r="AP1048" s="5" t="n"/>
      <c r="AQ1048" s="5" t="n"/>
      <c r="AR1048" s="5" t="n"/>
      <c r="AS1048" s="5" t="n"/>
      <c r="AT1048" s="5" t="n"/>
      <c r="AU1048" s="5" t="n"/>
      <c r="AV1048" s="5" t="n"/>
      <c r="AW1048" s="5" t="n"/>
      <c r="AX1048" s="5" t="n"/>
      <c r="AY1048" s="5" t="n"/>
      <c r="AZ1048" s="5" t="n"/>
      <c r="BA1048" s="5" t="n"/>
      <c r="BB1048" s="5" t="n"/>
      <c r="BC1048" s="5" t="n"/>
      <c r="BD1048" s="5" t="n"/>
      <c r="BE1048" s="5" t="n"/>
      <c r="BF1048" s="5" t="n"/>
      <c r="BG1048" s="5" t="n"/>
      <c r="BH1048" s="5" t="n"/>
      <c r="BI1048" s="5" t="n"/>
      <c r="BJ1048" s="5" t="n"/>
      <c r="BK1048" s="5" t="n"/>
      <c r="BL1048" s="5" t="n"/>
      <c r="BM1048" s="5" t="n"/>
      <c r="BN1048" s="5" t="n"/>
      <c r="BO1048" s="5" t="n"/>
      <c r="BP1048" s="5" t="n"/>
      <c r="BQ1048" s="5" t="n"/>
      <c r="BR1048" s="5" t="n"/>
      <c r="BS1048" s="5" t="n"/>
      <c r="BT1048" s="5" t="n"/>
      <c r="BU1048" s="5" t="n"/>
      <c r="BV1048" s="5" t="n"/>
      <c r="BW1048" s="5" t="n"/>
      <c r="BX1048" s="5" t="n"/>
      <c r="BY1048" s="5" t="n"/>
      <c r="BZ1048" s="5" t="n"/>
      <c r="CA1048" s="5" t="n"/>
      <c r="CB1048" s="5" t="n"/>
      <c r="CC1048" s="5" t="n"/>
      <c r="CD1048" s="5" t="n"/>
      <c r="CE1048" s="5" t="n"/>
      <c r="CF1048" s="5" t="n"/>
    </row>
    <row r="1049">
      <c r="A1049" s="171" t="n"/>
      <c r="B1049" s="171" t="n"/>
      <c r="C1049" s="171" t="n"/>
      <c r="D1049" s="170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  <c r="Q1049" s="5" t="n"/>
      <c r="R1049" s="5" t="n"/>
      <c r="S1049" s="5" t="n"/>
      <c r="T1049" s="5" t="n"/>
      <c r="U1049" s="5" t="n"/>
      <c r="V1049" s="5" t="n"/>
      <c r="W1049" s="5" t="n"/>
      <c r="X1049" s="5" t="n"/>
      <c r="Y1049" s="5" t="n"/>
      <c r="Z1049" s="5" t="n"/>
      <c r="AA1049" s="5" t="n"/>
      <c r="AB1049" s="5" t="n"/>
      <c r="AC1049" s="5" t="n"/>
      <c r="AD1049" s="5" t="n"/>
      <c r="AE1049" s="5" t="n"/>
      <c r="AF1049" s="5" t="n"/>
      <c r="AG1049" s="5" t="n"/>
      <c r="AH1049" s="5" t="n"/>
      <c r="AI1049" s="5" t="n"/>
      <c r="AJ1049" s="5" t="n"/>
      <c r="AK1049" s="5" t="n"/>
      <c r="AL1049" s="5" t="n"/>
      <c r="AM1049" s="5" t="n"/>
      <c r="AN1049" s="5" t="n"/>
      <c r="AO1049" s="5" t="n"/>
      <c r="AP1049" s="5" t="n"/>
      <c r="AQ1049" s="5" t="n"/>
      <c r="AR1049" s="5" t="n"/>
      <c r="AS1049" s="5" t="n"/>
      <c r="AT1049" s="5" t="n"/>
      <c r="AU1049" s="5" t="n"/>
      <c r="AV1049" s="5" t="n"/>
      <c r="AW1049" s="5" t="n"/>
      <c r="AX1049" s="5" t="n"/>
      <c r="AY1049" s="5" t="n"/>
      <c r="AZ1049" s="5" t="n"/>
      <c r="BA1049" s="5" t="n"/>
      <c r="BB1049" s="5" t="n"/>
      <c r="BC1049" s="5" t="n"/>
      <c r="BD1049" s="5" t="n"/>
      <c r="BE1049" s="5" t="n"/>
      <c r="BF1049" s="5" t="n"/>
      <c r="BG1049" s="5" t="n"/>
      <c r="BH1049" s="5" t="n"/>
      <c r="BI1049" s="5" t="n"/>
      <c r="BJ1049" s="5" t="n"/>
      <c r="BK1049" s="5" t="n"/>
      <c r="BL1049" s="5" t="n"/>
      <c r="BM1049" s="5" t="n"/>
      <c r="BN1049" s="5" t="n"/>
      <c r="BO1049" s="5" t="n"/>
      <c r="BP1049" s="5" t="n"/>
      <c r="BQ1049" s="5" t="n"/>
      <c r="BR1049" s="5" t="n"/>
      <c r="BS1049" s="5" t="n"/>
      <c r="BT1049" s="5" t="n"/>
      <c r="BU1049" s="5" t="n"/>
      <c r="BV1049" s="5" t="n"/>
      <c r="BW1049" s="5" t="n"/>
      <c r="BX1049" s="5" t="n"/>
      <c r="BY1049" s="5" t="n"/>
      <c r="BZ1049" s="5" t="n"/>
      <c r="CA1049" s="5" t="n"/>
      <c r="CB1049" s="5" t="n"/>
      <c r="CC1049" s="5" t="n"/>
      <c r="CD1049" s="5" t="n"/>
      <c r="CE1049" s="5" t="n"/>
      <c r="CF1049" s="5" t="n"/>
    </row>
    <row r="1050">
      <c r="A1050" s="171" t="n"/>
      <c r="B1050" s="171" t="n"/>
      <c r="C1050" s="171" t="n"/>
      <c r="D1050" s="170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  <c r="Q1050" s="5" t="n"/>
      <c r="R1050" s="5" t="n"/>
      <c r="S1050" s="5" t="n"/>
      <c r="T1050" s="5" t="n"/>
      <c r="U1050" s="5" t="n"/>
      <c r="V1050" s="5" t="n"/>
      <c r="W1050" s="5" t="n"/>
      <c r="X1050" s="5" t="n"/>
      <c r="Y1050" s="5" t="n"/>
      <c r="Z1050" s="5" t="n"/>
      <c r="AA1050" s="5" t="n"/>
      <c r="AB1050" s="5" t="n"/>
      <c r="AC1050" s="5" t="n"/>
      <c r="AD1050" s="5" t="n"/>
      <c r="AE1050" s="5" t="n"/>
      <c r="AF1050" s="5" t="n"/>
      <c r="AG1050" s="5" t="n"/>
      <c r="AH1050" s="5" t="n"/>
      <c r="AI1050" s="5" t="n"/>
      <c r="AJ1050" s="5" t="n"/>
      <c r="AK1050" s="5" t="n"/>
      <c r="AL1050" s="5" t="n"/>
      <c r="AM1050" s="5" t="n"/>
      <c r="AN1050" s="5" t="n"/>
      <c r="AO1050" s="5" t="n"/>
      <c r="AP1050" s="5" t="n"/>
      <c r="AQ1050" s="5" t="n"/>
      <c r="AR1050" s="5" t="n"/>
      <c r="AS1050" s="5" t="n"/>
      <c r="AT1050" s="5" t="n"/>
      <c r="AU1050" s="5" t="n"/>
      <c r="AV1050" s="5" t="n"/>
      <c r="AW1050" s="5" t="n"/>
      <c r="AX1050" s="5" t="n"/>
      <c r="AY1050" s="5" t="n"/>
      <c r="AZ1050" s="5" t="n"/>
      <c r="BA1050" s="5" t="n"/>
      <c r="BB1050" s="5" t="n"/>
      <c r="BC1050" s="5" t="n"/>
      <c r="BD1050" s="5" t="n"/>
      <c r="BE1050" s="5" t="n"/>
      <c r="BF1050" s="5" t="n"/>
      <c r="BG1050" s="5" t="n"/>
      <c r="BH1050" s="5" t="n"/>
      <c r="BI1050" s="5" t="n"/>
      <c r="BJ1050" s="5" t="n"/>
      <c r="BK1050" s="5" t="n"/>
      <c r="BL1050" s="5" t="n"/>
      <c r="BM1050" s="5" t="n"/>
      <c r="BN1050" s="5" t="n"/>
      <c r="BO1050" s="5" t="n"/>
      <c r="BP1050" s="5" t="n"/>
      <c r="BQ1050" s="5" t="n"/>
      <c r="BR1050" s="5" t="n"/>
      <c r="BS1050" s="5" t="n"/>
      <c r="BT1050" s="5" t="n"/>
      <c r="BU1050" s="5" t="n"/>
      <c r="BV1050" s="5" t="n"/>
      <c r="BW1050" s="5" t="n"/>
      <c r="BX1050" s="5" t="n"/>
      <c r="BY1050" s="5" t="n"/>
      <c r="BZ1050" s="5" t="n"/>
      <c r="CA1050" s="5" t="n"/>
      <c r="CB1050" s="5" t="n"/>
      <c r="CC1050" s="5" t="n"/>
      <c r="CD1050" s="5" t="n"/>
      <c r="CE1050" s="5" t="n"/>
      <c r="CF1050" s="5" t="n"/>
    </row>
    <row r="1051">
      <c r="A1051" s="171" t="n"/>
      <c r="B1051" s="171" t="n"/>
      <c r="C1051" s="171" t="n"/>
      <c r="D1051" s="170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  <c r="Q1051" s="5" t="n"/>
      <c r="R1051" s="5" t="n"/>
      <c r="S1051" s="5" t="n"/>
      <c r="T1051" s="5" t="n"/>
      <c r="U1051" s="5" t="n"/>
      <c r="V1051" s="5" t="n"/>
      <c r="W1051" s="5" t="n"/>
      <c r="X1051" s="5" t="n"/>
      <c r="Y1051" s="5" t="n"/>
      <c r="Z1051" s="5" t="n"/>
      <c r="AA1051" s="5" t="n"/>
      <c r="AB1051" s="5" t="n"/>
      <c r="AC1051" s="5" t="n"/>
      <c r="AD1051" s="5" t="n"/>
      <c r="AE1051" s="5" t="n"/>
      <c r="AF1051" s="5" t="n"/>
      <c r="AG1051" s="5" t="n"/>
      <c r="AH1051" s="5" t="n"/>
      <c r="AI1051" s="5" t="n"/>
      <c r="AJ1051" s="5" t="n"/>
      <c r="AK1051" s="5" t="n"/>
      <c r="AL1051" s="5" t="n"/>
      <c r="AM1051" s="5" t="n"/>
      <c r="AN1051" s="5" t="n"/>
      <c r="AO1051" s="5" t="n"/>
      <c r="AP1051" s="5" t="n"/>
      <c r="AQ1051" s="5" t="n"/>
      <c r="AR1051" s="5" t="n"/>
      <c r="AS1051" s="5" t="n"/>
      <c r="AT1051" s="5" t="n"/>
      <c r="AU1051" s="5" t="n"/>
      <c r="AV1051" s="5" t="n"/>
      <c r="AW1051" s="5" t="n"/>
      <c r="AX1051" s="5" t="n"/>
      <c r="AY1051" s="5" t="n"/>
      <c r="AZ1051" s="5" t="n"/>
      <c r="BA1051" s="5" t="n"/>
      <c r="BB1051" s="5" t="n"/>
      <c r="BC1051" s="5" t="n"/>
      <c r="BD1051" s="5" t="n"/>
      <c r="BE1051" s="5" t="n"/>
      <c r="BF1051" s="5" t="n"/>
      <c r="BG1051" s="5" t="n"/>
      <c r="BH1051" s="5" t="n"/>
      <c r="BI1051" s="5" t="n"/>
      <c r="BJ1051" s="5" t="n"/>
      <c r="BK1051" s="5" t="n"/>
      <c r="BL1051" s="5" t="n"/>
      <c r="BM1051" s="5" t="n"/>
      <c r="BN1051" s="5" t="n"/>
      <c r="BO1051" s="5" t="n"/>
      <c r="BP1051" s="5" t="n"/>
      <c r="BQ1051" s="5" t="n"/>
      <c r="BR1051" s="5" t="n"/>
      <c r="BS1051" s="5" t="n"/>
      <c r="BT1051" s="5" t="n"/>
      <c r="BU1051" s="5" t="n"/>
      <c r="BV1051" s="5" t="n"/>
      <c r="BW1051" s="5" t="n"/>
      <c r="BX1051" s="5" t="n"/>
      <c r="BY1051" s="5" t="n"/>
      <c r="BZ1051" s="5" t="n"/>
      <c r="CA1051" s="5" t="n"/>
      <c r="CB1051" s="5" t="n"/>
      <c r="CC1051" s="5" t="n"/>
      <c r="CD1051" s="5" t="n"/>
      <c r="CE1051" s="5" t="n"/>
      <c r="CF1051" s="5" t="n"/>
    </row>
    <row r="1052">
      <c r="A1052" s="171" t="n"/>
      <c r="B1052" s="171" t="n"/>
      <c r="C1052" s="171" t="n"/>
      <c r="D1052" s="170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  <c r="Q1052" s="5" t="n"/>
      <c r="R1052" s="5" t="n"/>
      <c r="S1052" s="5" t="n"/>
      <c r="T1052" s="5" t="n"/>
      <c r="U1052" s="5" t="n"/>
      <c r="V1052" s="5" t="n"/>
      <c r="W1052" s="5" t="n"/>
      <c r="X1052" s="5" t="n"/>
      <c r="Y1052" s="5" t="n"/>
      <c r="Z1052" s="5" t="n"/>
      <c r="AA1052" s="5" t="n"/>
      <c r="AB1052" s="5" t="n"/>
      <c r="AC1052" s="5" t="n"/>
      <c r="AD1052" s="5" t="n"/>
      <c r="AE1052" s="5" t="n"/>
      <c r="AF1052" s="5" t="n"/>
      <c r="AG1052" s="5" t="n"/>
      <c r="AH1052" s="5" t="n"/>
      <c r="AI1052" s="5" t="n"/>
      <c r="AJ1052" s="5" t="n"/>
      <c r="AK1052" s="5" t="n"/>
      <c r="AL1052" s="5" t="n"/>
      <c r="AM1052" s="5" t="n"/>
      <c r="AN1052" s="5" t="n"/>
      <c r="AO1052" s="5" t="n"/>
      <c r="AP1052" s="5" t="n"/>
      <c r="AQ1052" s="5" t="n"/>
      <c r="AR1052" s="5" t="n"/>
      <c r="AS1052" s="5" t="n"/>
      <c r="AT1052" s="5" t="n"/>
      <c r="AU1052" s="5" t="n"/>
      <c r="AV1052" s="5" t="n"/>
      <c r="AW1052" s="5" t="n"/>
      <c r="AX1052" s="5" t="n"/>
      <c r="AY1052" s="5" t="n"/>
      <c r="AZ1052" s="5" t="n"/>
      <c r="BA1052" s="5" t="n"/>
      <c r="BB1052" s="5" t="n"/>
      <c r="BC1052" s="5" t="n"/>
      <c r="BD1052" s="5" t="n"/>
      <c r="BE1052" s="5" t="n"/>
      <c r="BF1052" s="5" t="n"/>
      <c r="BG1052" s="5" t="n"/>
      <c r="BH1052" s="5" t="n"/>
      <c r="BI1052" s="5" t="n"/>
      <c r="BJ1052" s="5" t="n"/>
      <c r="BK1052" s="5" t="n"/>
      <c r="BL1052" s="5" t="n"/>
      <c r="BM1052" s="5" t="n"/>
      <c r="BN1052" s="5" t="n"/>
      <c r="BO1052" s="5" t="n"/>
      <c r="BP1052" s="5" t="n"/>
      <c r="BQ1052" s="5" t="n"/>
      <c r="BR1052" s="5" t="n"/>
      <c r="BS1052" s="5" t="n"/>
      <c r="BT1052" s="5" t="n"/>
      <c r="BU1052" s="5" t="n"/>
      <c r="BV1052" s="5" t="n"/>
      <c r="BW1052" s="5" t="n"/>
      <c r="BX1052" s="5" t="n"/>
      <c r="BY1052" s="5" t="n"/>
      <c r="BZ1052" s="5" t="n"/>
      <c r="CA1052" s="5" t="n"/>
      <c r="CB1052" s="5" t="n"/>
      <c r="CC1052" s="5" t="n"/>
      <c r="CD1052" s="5" t="n"/>
      <c r="CE1052" s="5" t="n"/>
      <c r="CF1052" s="5" t="n"/>
    </row>
    <row r="1053">
      <c r="A1053" s="171" t="n"/>
      <c r="B1053" s="171" t="n"/>
      <c r="C1053" s="171" t="n"/>
      <c r="D1053" s="170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  <c r="Q1053" s="5" t="n"/>
      <c r="R1053" s="5" t="n"/>
      <c r="S1053" s="5" t="n"/>
      <c r="T1053" s="5" t="n"/>
      <c r="U1053" s="5" t="n"/>
      <c r="V1053" s="5" t="n"/>
      <c r="W1053" s="5" t="n"/>
      <c r="X1053" s="5" t="n"/>
      <c r="Y1053" s="5" t="n"/>
      <c r="Z1053" s="5" t="n"/>
      <c r="AA1053" s="5" t="n"/>
      <c r="AB1053" s="5" t="n"/>
      <c r="AC1053" s="5" t="n"/>
      <c r="AD1053" s="5" t="n"/>
      <c r="AE1053" s="5" t="n"/>
      <c r="AF1053" s="5" t="n"/>
      <c r="AG1053" s="5" t="n"/>
      <c r="AH1053" s="5" t="n"/>
      <c r="AI1053" s="5" t="n"/>
      <c r="AJ1053" s="5" t="n"/>
      <c r="AK1053" s="5" t="n"/>
      <c r="AL1053" s="5" t="n"/>
      <c r="AM1053" s="5" t="n"/>
      <c r="AN1053" s="5" t="n"/>
      <c r="AO1053" s="5" t="n"/>
      <c r="AP1053" s="5" t="n"/>
      <c r="AQ1053" s="5" t="n"/>
      <c r="AR1053" s="5" t="n"/>
      <c r="AS1053" s="5" t="n"/>
      <c r="AT1053" s="5" t="n"/>
      <c r="AU1053" s="5" t="n"/>
      <c r="AV1053" s="5" t="n"/>
      <c r="AW1053" s="5" t="n"/>
      <c r="AX1053" s="5" t="n"/>
      <c r="AY1053" s="5" t="n"/>
      <c r="AZ1053" s="5" t="n"/>
      <c r="BA1053" s="5" t="n"/>
      <c r="BB1053" s="5" t="n"/>
      <c r="BC1053" s="5" t="n"/>
      <c r="BD1053" s="5" t="n"/>
      <c r="BE1053" s="5" t="n"/>
      <c r="BF1053" s="5" t="n"/>
      <c r="BG1053" s="5" t="n"/>
      <c r="BH1053" s="5" t="n"/>
      <c r="BI1053" s="5" t="n"/>
      <c r="BJ1053" s="5" t="n"/>
      <c r="BK1053" s="5" t="n"/>
      <c r="BL1053" s="5" t="n"/>
      <c r="BM1053" s="5" t="n"/>
      <c r="BN1053" s="5" t="n"/>
      <c r="BO1053" s="5" t="n"/>
      <c r="BP1053" s="5" t="n"/>
      <c r="BQ1053" s="5" t="n"/>
      <c r="BR1053" s="5" t="n"/>
      <c r="BS1053" s="5" t="n"/>
      <c r="BT1053" s="5" t="n"/>
      <c r="BU1053" s="5" t="n"/>
      <c r="BV1053" s="5" t="n"/>
      <c r="BW1053" s="5" t="n"/>
      <c r="BX1053" s="5" t="n"/>
      <c r="BY1053" s="5" t="n"/>
      <c r="BZ1053" s="5" t="n"/>
      <c r="CA1053" s="5" t="n"/>
      <c r="CB1053" s="5" t="n"/>
      <c r="CC1053" s="5" t="n"/>
      <c r="CD1053" s="5" t="n"/>
      <c r="CE1053" s="5" t="n"/>
      <c r="CF1053" s="5" t="n"/>
    </row>
    <row r="1054">
      <c r="A1054" s="171" t="n"/>
      <c r="B1054" s="171" t="n"/>
      <c r="C1054" s="171" t="n"/>
      <c r="D1054" s="170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  <c r="Q1054" s="5" t="n"/>
      <c r="R1054" s="5" t="n"/>
      <c r="S1054" s="5" t="n"/>
      <c r="T1054" s="5" t="n"/>
      <c r="U1054" s="5" t="n"/>
      <c r="V1054" s="5" t="n"/>
      <c r="W1054" s="5" t="n"/>
      <c r="X1054" s="5" t="n"/>
      <c r="Y1054" s="5" t="n"/>
      <c r="Z1054" s="5" t="n"/>
      <c r="AA1054" s="5" t="n"/>
      <c r="AB1054" s="5" t="n"/>
      <c r="AC1054" s="5" t="n"/>
      <c r="AD1054" s="5" t="n"/>
      <c r="AE1054" s="5" t="n"/>
      <c r="AF1054" s="5" t="n"/>
      <c r="AG1054" s="5" t="n"/>
      <c r="AH1054" s="5" t="n"/>
      <c r="AI1054" s="5" t="n"/>
      <c r="AJ1054" s="5" t="n"/>
      <c r="AK1054" s="5" t="n"/>
      <c r="AL1054" s="5" t="n"/>
      <c r="AM1054" s="5" t="n"/>
      <c r="AN1054" s="5" t="n"/>
      <c r="AO1054" s="5" t="n"/>
      <c r="AP1054" s="5" t="n"/>
      <c r="AQ1054" s="5" t="n"/>
      <c r="AR1054" s="5" t="n"/>
      <c r="AS1054" s="5" t="n"/>
      <c r="AT1054" s="5" t="n"/>
      <c r="AU1054" s="5" t="n"/>
      <c r="AV1054" s="5" t="n"/>
      <c r="AW1054" s="5" t="n"/>
      <c r="AX1054" s="5" t="n"/>
      <c r="AY1054" s="5" t="n"/>
      <c r="AZ1054" s="5" t="n"/>
      <c r="BA1054" s="5" t="n"/>
      <c r="BB1054" s="5" t="n"/>
      <c r="BC1054" s="5" t="n"/>
      <c r="BD1054" s="5" t="n"/>
      <c r="BE1054" s="5" t="n"/>
      <c r="BF1054" s="5" t="n"/>
      <c r="BG1054" s="5" t="n"/>
      <c r="BH1054" s="5" t="n"/>
      <c r="BI1054" s="5" t="n"/>
      <c r="BJ1054" s="5" t="n"/>
      <c r="BK1054" s="5" t="n"/>
      <c r="BL1054" s="5" t="n"/>
      <c r="BM1054" s="5" t="n"/>
      <c r="BN1054" s="5" t="n"/>
      <c r="BO1054" s="5" t="n"/>
      <c r="BP1054" s="5" t="n"/>
      <c r="BQ1054" s="5" t="n"/>
      <c r="BR1054" s="5" t="n"/>
      <c r="BS1054" s="5" t="n"/>
      <c r="BT1054" s="5" t="n"/>
      <c r="BU1054" s="5" t="n"/>
      <c r="BV1054" s="5" t="n"/>
      <c r="BW1054" s="5" t="n"/>
      <c r="BX1054" s="5" t="n"/>
      <c r="BY1054" s="5" t="n"/>
      <c r="BZ1054" s="5" t="n"/>
      <c r="CA1054" s="5" t="n"/>
      <c r="CB1054" s="5" t="n"/>
      <c r="CC1054" s="5" t="n"/>
      <c r="CD1054" s="5" t="n"/>
      <c r="CE1054" s="5" t="n"/>
      <c r="CF1054" s="5" t="n"/>
    </row>
    <row r="1055">
      <c r="A1055" s="171" t="n"/>
      <c r="B1055" s="171" t="n"/>
      <c r="C1055" s="171" t="n"/>
      <c r="D1055" s="170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  <c r="Q1055" s="5" t="n"/>
      <c r="R1055" s="5" t="n"/>
      <c r="S1055" s="5" t="n"/>
      <c r="T1055" s="5" t="n"/>
      <c r="U1055" s="5" t="n"/>
      <c r="V1055" s="5" t="n"/>
      <c r="W1055" s="5" t="n"/>
      <c r="X1055" s="5" t="n"/>
      <c r="Y1055" s="5" t="n"/>
      <c r="Z1055" s="5" t="n"/>
      <c r="AA1055" s="5" t="n"/>
      <c r="AB1055" s="5" t="n"/>
      <c r="AC1055" s="5" t="n"/>
      <c r="AD1055" s="5" t="n"/>
      <c r="AE1055" s="5" t="n"/>
      <c r="AF1055" s="5" t="n"/>
      <c r="AG1055" s="5" t="n"/>
      <c r="AH1055" s="5" t="n"/>
      <c r="AI1055" s="5" t="n"/>
      <c r="AJ1055" s="5" t="n"/>
      <c r="AK1055" s="5" t="n"/>
      <c r="AL1055" s="5" t="n"/>
      <c r="AM1055" s="5" t="n"/>
      <c r="AN1055" s="5" t="n"/>
      <c r="AO1055" s="5" t="n"/>
      <c r="AP1055" s="5" t="n"/>
      <c r="AQ1055" s="5" t="n"/>
      <c r="AR1055" s="5" t="n"/>
      <c r="AS1055" s="5" t="n"/>
      <c r="AT1055" s="5" t="n"/>
      <c r="AU1055" s="5" t="n"/>
      <c r="AV1055" s="5" t="n"/>
      <c r="AW1055" s="5" t="n"/>
      <c r="AX1055" s="5" t="n"/>
      <c r="AY1055" s="5" t="n"/>
      <c r="AZ1055" s="5" t="n"/>
      <c r="BA1055" s="5" t="n"/>
      <c r="BB1055" s="5" t="n"/>
      <c r="BC1055" s="5" t="n"/>
      <c r="BD1055" s="5" t="n"/>
      <c r="BE1055" s="5" t="n"/>
      <c r="BF1055" s="5" t="n"/>
      <c r="BG1055" s="5" t="n"/>
      <c r="BH1055" s="5" t="n"/>
      <c r="BI1055" s="5" t="n"/>
      <c r="BJ1055" s="5" t="n"/>
      <c r="BK1055" s="5" t="n"/>
      <c r="BL1055" s="5" t="n"/>
      <c r="BM1055" s="5" t="n"/>
      <c r="BN1055" s="5" t="n"/>
      <c r="BO1055" s="5" t="n"/>
      <c r="BP1055" s="5" t="n"/>
      <c r="BQ1055" s="5" t="n"/>
      <c r="BR1055" s="5" t="n"/>
      <c r="BS1055" s="5" t="n"/>
      <c r="BT1055" s="5" t="n"/>
      <c r="BU1055" s="5" t="n"/>
      <c r="BV1055" s="5" t="n"/>
      <c r="BW1055" s="5" t="n"/>
      <c r="BX1055" s="5" t="n"/>
      <c r="BY1055" s="5" t="n"/>
      <c r="BZ1055" s="5" t="n"/>
      <c r="CA1055" s="5" t="n"/>
      <c r="CB1055" s="5" t="n"/>
      <c r="CC1055" s="5" t="n"/>
      <c r="CD1055" s="5" t="n"/>
      <c r="CE1055" s="5" t="n"/>
      <c r="CF1055" s="5" t="n"/>
    </row>
    <row r="1056">
      <c r="A1056" s="171" t="n"/>
      <c r="B1056" s="171" t="n"/>
      <c r="C1056" s="171" t="n"/>
      <c r="D1056" s="170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  <c r="Q1056" s="5" t="n"/>
      <c r="R1056" s="5" t="n"/>
      <c r="S1056" s="5" t="n"/>
      <c r="T1056" s="5" t="n"/>
      <c r="U1056" s="5" t="n"/>
      <c r="V1056" s="5" t="n"/>
      <c r="W1056" s="5" t="n"/>
      <c r="X1056" s="5" t="n"/>
      <c r="Y1056" s="5" t="n"/>
      <c r="Z1056" s="5" t="n"/>
      <c r="AA1056" s="5" t="n"/>
      <c r="AB1056" s="5" t="n"/>
      <c r="AC1056" s="5" t="n"/>
      <c r="AD1056" s="5" t="n"/>
      <c r="AE1056" s="5" t="n"/>
      <c r="AF1056" s="5" t="n"/>
      <c r="AG1056" s="5" t="n"/>
      <c r="AH1056" s="5" t="n"/>
      <c r="AI1056" s="5" t="n"/>
      <c r="AJ1056" s="5" t="n"/>
      <c r="AK1056" s="5" t="n"/>
      <c r="AL1056" s="5" t="n"/>
      <c r="AM1056" s="5" t="n"/>
      <c r="AN1056" s="5" t="n"/>
      <c r="AO1056" s="5" t="n"/>
      <c r="AP1056" s="5" t="n"/>
      <c r="AQ1056" s="5" t="n"/>
      <c r="AR1056" s="5" t="n"/>
      <c r="AS1056" s="5" t="n"/>
      <c r="AT1056" s="5" t="n"/>
      <c r="AU1056" s="5" t="n"/>
      <c r="AV1056" s="5" t="n"/>
      <c r="AW1056" s="5" t="n"/>
      <c r="AX1056" s="5" t="n"/>
      <c r="AY1056" s="5" t="n"/>
      <c r="AZ1056" s="5" t="n"/>
      <c r="BA1056" s="5" t="n"/>
      <c r="BB1056" s="5" t="n"/>
      <c r="BC1056" s="5" t="n"/>
      <c r="BD1056" s="5" t="n"/>
      <c r="BE1056" s="5" t="n"/>
      <c r="BF1056" s="5" t="n"/>
      <c r="BG1056" s="5" t="n"/>
      <c r="BH1056" s="5" t="n"/>
      <c r="BI1056" s="5" t="n"/>
      <c r="BJ1056" s="5" t="n"/>
      <c r="BK1056" s="5" t="n"/>
      <c r="BL1056" s="5" t="n"/>
      <c r="BM1056" s="5" t="n"/>
      <c r="BN1056" s="5" t="n"/>
      <c r="BO1056" s="5" t="n"/>
      <c r="BP1056" s="5" t="n"/>
      <c r="BQ1056" s="5" t="n"/>
      <c r="BR1056" s="5" t="n"/>
      <c r="BS1056" s="5" t="n"/>
      <c r="BT1056" s="5" t="n"/>
      <c r="BU1056" s="5" t="n"/>
      <c r="BV1056" s="5" t="n"/>
      <c r="BW1056" s="5" t="n"/>
      <c r="BX1056" s="5" t="n"/>
      <c r="BY1056" s="5" t="n"/>
      <c r="BZ1056" s="5" t="n"/>
      <c r="CA1056" s="5" t="n"/>
      <c r="CB1056" s="5" t="n"/>
      <c r="CC1056" s="5" t="n"/>
      <c r="CD1056" s="5" t="n"/>
      <c r="CE1056" s="5" t="n"/>
      <c r="CF1056" s="5" t="n"/>
    </row>
    <row r="1057">
      <c r="A1057" s="171" t="n"/>
      <c r="B1057" s="171" t="n"/>
      <c r="C1057" s="171" t="n"/>
      <c r="D1057" s="170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  <c r="Q1057" s="5" t="n"/>
      <c r="R1057" s="5" t="n"/>
      <c r="S1057" s="5" t="n"/>
      <c r="T1057" s="5" t="n"/>
      <c r="U1057" s="5" t="n"/>
      <c r="V1057" s="5" t="n"/>
      <c r="W1057" s="5" t="n"/>
      <c r="X1057" s="5" t="n"/>
      <c r="Y1057" s="5" t="n"/>
      <c r="Z1057" s="5" t="n"/>
      <c r="AA1057" s="5" t="n"/>
      <c r="AB1057" s="5" t="n"/>
      <c r="AC1057" s="5" t="n"/>
      <c r="AD1057" s="5" t="n"/>
      <c r="AE1057" s="5" t="n"/>
      <c r="AF1057" s="5" t="n"/>
      <c r="AG1057" s="5" t="n"/>
      <c r="AH1057" s="5" t="n"/>
      <c r="AI1057" s="5" t="n"/>
      <c r="AJ1057" s="5" t="n"/>
      <c r="AK1057" s="5" t="n"/>
      <c r="AL1057" s="5" t="n"/>
      <c r="AM1057" s="5" t="n"/>
      <c r="AN1057" s="5" t="n"/>
      <c r="AO1057" s="5" t="n"/>
      <c r="AP1057" s="5" t="n"/>
      <c r="AQ1057" s="5" t="n"/>
      <c r="AR1057" s="5" t="n"/>
      <c r="AS1057" s="5" t="n"/>
      <c r="AT1057" s="5" t="n"/>
      <c r="AU1057" s="5" t="n"/>
      <c r="AV1057" s="5" t="n"/>
      <c r="AW1057" s="5" t="n"/>
      <c r="AX1057" s="5" t="n"/>
      <c r="AY1057" s="5" t="n"/>
      <c r="AZ1057" s="5" t="n"/>
      <c r="BA1057" s="5" t="n"/>
      <c r="BB1057" s="5" t="n"/>
      <c r="BC1057" s="5" t="n"/>
      <c r="BD1057" s="5" t="n"/>
      <c r="BE1057" s="5" t="n"/>
      <c r="BF1057" s="5" t="n"/>
      <c r="BG1057" s="5" t="n"/>
      <c r="BH1057" s="5" t="n"/>
      <c r="BI1057" s="5" t="n"/>
      <c r="BJ1057" s="5" t="n"/>
      <c r="BK1057" s="5" t="n"/>
      <c r="BL1057" s="5" t="n"/>
      <c r="BM1057" s="5" t="n"/>
      <c r="BN1057" s="5" t="n"/>
      <c r="BO1057" s="5" t="n"/>
      <c r="BP1057" s="5" t="n"/>
      <c r="BQ1057" s="5" t="n"/>
      <c r="BR1057" s="5" t="n"/>
      <c r="BS1057" s="5" t="n"/>
      <c r="BT1057" s="5" t="n"/>
      <c r="BU1057" s="5" t="n"/>
      <c r="BV1057" s="5" t="n"/>
      <c r="BW1057" s="5" t="n"/>
      <c r="BX1057" s="5" t="n"/>
      <c r="BY1057" s="5" t="n"/>
      <c r="BZ1057" s="5" t="n"/>
      <c r="CA1057" s="5" t="n"/>
      <c r="CB1057" s="5" t="n"/>
      <c r="CC1057" s="5" t="n"/>
      <c r="CD1057" s="5" t="n"/>
      <c r="CE1057" s="5" t="n"/>
      <c r="CF1057" s="5" t="n"/>
    </row>
    <row r="1058">
      <c r="A1058" s="171" t="n"/>
      <c r="B1058" s="171" t="n"/>
      <c r="C1058" s="171" t="n"/>
      <c r="D1058" s="170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  <c r="Q1058" s="5" t="n"/>
      <c r="R1058" s="5" t="n"/>
      <c r="S1058" s="5" t="n"/>
      <c r="T1058" s="5" t="n"/>
      <c r="U1058" s="5" t="n"/>
      <c r="V1058" s="5" t="n"/>
      <c r="W1058" s="5" t="n"/>
      <c r="X1058" s="5" t="n"/>
      <c r="Y1058" s="5" t="n"/>
      <c r="Z1058" s="5" t="n"/>
      <c r="AA1058" s="5" t="n"/>
      <c r="AB1058" s="5" t="n"/>
      <c r="AC1058" s="5" t="n"/>
      <c r="AD1058" s="5" t="n"/>
      <c r="AE1058" s="5" t="n"/>
      <c r="AF1058" s="5" t="n"/>
      <c r="AG1058" s="5" t="n"/>
      <c r="AH1058" s="5" t="n"/>
      <c r="AI1058" s="5" t="n"/>
      <c r="AJ1058" s="5" t="n"/>
      <c r="AK1058" s="5" t="n"/>
      <c r="AL1058" s="5" t="n"/>
      <c r="AM1058" s="5" t="n"/>
      <c r="AN1058" s="5" t="n"/>
      <c r="AO1058" s="5" t="n"/>
      <c r="AP1058" s="5" t="n"/>
      <c r="AQ1058" s="5" t="n"/>
      <c r="AR1058" s="5" t="n"/>
      <c r="AS1058" s="5" t="n"/>
      <c r="AT1058" s="5" t="n"/>
      <c r="AU1058" s="5" t="n"/>
      <c r="AV1058" s="5" t="n"/>
      <c r="AW1058" s="5" t="n"/>
      <c r="AX1058" s="5" t="n"/>
      <c r="AY1058" s="5" t="n"/>
      <c r="AZ1058" s="5" t="n"/>
      <c r="BA1058" s="5" t="n"/>
      <c r="BB1058" s="5" t="n"/>
      <c r="BC1058" s="5" t="n"/>
      <c r="BD1058" s="5" t="n"/>
      <c r="BE1058" s="5" t="n"/>
      <c r="BF1058" s="5" t="n"/>
      <c r="BG1058" s="5" t="n"/>
      <c r="BH1058" s="5" t="n"/>
      <c r="BI1058" s="5" t="n"/>
      <c r="BJ1058" s="5" t="n"/>
      <c r="BK1058" s="5" t="n"/>
      <c r="BL1058" s="5" t="n"/>
      <c r="BM1058" s="5" t="n"/>
      <c r="BN1058" s="5" t="n"/>
      <c r="BO1058" s="5" t="n"/>
      <c r="BP1058" s="5" t="n"/>
      <c r="BQ1058" s="5" t="n"/>
      <c r="BR1058" s="5" t="n"/>
      <c r="BS1058" s="5" t="n"/>
      <c r="BT1058" s="5" t="n"/>
      <c r="BU1058" s="5" t="n"/>
      <c r="BV1058" s="5" t="n"/>
      <c r="BW1058" s="5" t="n"/>
      <c r="BX1058" s="5" t="n"/>
      <c r="BY1058" s="5" t="n"/>
      <c r="BZ1058" s="5" t="n"/>
      <c r="CA1058" s="5" t="n"/>
      <c r="CB1058" s="5" t="n"/>
      <c r="CC1058" s="5" t="n"/>
      <c r="CD1058" s="5" t="n"/>
      <c r="CE1058" s="5" t="n"/>
      <c r="CF1058" s="5" t="n"/>
    </row>
    <row r="1059">
      <c r="A1059" s="171" t="n"/>
      <c r="B1059" s="171" t="n"/>
      <c r="C1059" s="171" t="n"/>
      <c r="D1059" s="170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  <c r="Q1059" s="5" t="n"/>
      <c r="R1059" s="5" t="n"/>
      <c r="S1059" s="5" t="n"/>
      <c r="T1059" s="5" t="n"/>
      <c r="U1059" s="5" t="n"/>
      <c r="V1059" s="5" t="n"/>
      <c r="W1059" s="5" t="n"/>
      <c r="X1059" s="5" t="n"/>
      <c r="Y1059" s="5" t="n"/>
      <c r="Z1059" s="5" t="n"/>
      <c r="AA1059" s="5" t="n"/>
      <c r="AB1059" s="5" t="n"/>
      <c r="AC1059" s="5" t="n"/>
      <c r="AD1059" s="5" t="n"/>
      <c r="AE1059" s="5" t="n"/>
      <c r="AF1059" s="5" t="n"/>
      <c r="AG1059" s="5" t="n"/>
      <c r="AH1059" s="5" t="n"/>
      <c r="AI1059" s="5" t="n"/>
      <c r="AJ1059" s="5" t="n"/>
      <c r="AK1059" s="5" t="n"/>
      <c r="AL1059" s="5" t="n"/>
      <c r="AM1059" s="5" t="n"/>
      <c r="AN1059" s="5" t="n"/>
      <c r="AO1059" s="5" t="n"/>
      <c r="AP1059" s="5" t="n"/>
      <c r="AQ1059" s="5" t="n"/>
      <c r="AR1059" s="5" t="n"/>
      <c r="AS1059" s="5" t="n"/>
      <c r="AT1059" s="5" t="n"/>
      <c r="AU1059" s="5" t="n"/>
      <c r="AV1059" s="5" t="n"/>
      <c r="AW1059" s="5" t="n"/>
      <c r="AX1059" s="5" t="n"/>
      <c r="AY1059" s="5" t="n"/>
      <c r="AZ1059" s="5" t="n"/>
      <c r="BA1059" s="5" t="n"/>
      <c r="BB1059" s="5" t="n"/>
      <c r="BC1059" s="5" t="n"/>
      <c r="BD1059" s="5" t="n"/>
      <c r="BE1059" s="5" t="n"/>
      <c r="BF1059" s="5" t="n"/>
      <c r="BG1059" s="5" t="n"/>
      <c r="BH1059" s="5" t="n"/>
      <c r="BI1059" s="5" t="n"/>
      <c r="BJ1059" s="5" t="n"/>
      <c r="BK1059" s="5" t="n"/>
      <c r="BL1059" s="5" t="n"/>
      <c r="BM1059" s="5" t="n"/>
      <c r="BN1059" s="5" t="n"/>
      <c r="BO1059" s="5" t="n"/>
      <c r="BP1059" s="5" t="n"/>
      <c r="BQ1059" s="5" t="n"/>
      <c r="BR1059" s="5" t="n"/>
      <c r="BS1059" s="5" t="n"/>
      <c r="BT1059" s="5" t="n"/>
      <c r="BU1059" s="5" t="n"/>
      <c r="BV1059" s="5" t="n"/>
      <c r="BW1059" s="5" t="n"/>
      <c r="BX1059" s="5" t="n"/>
      <c r="BY1059" s="5" t="n"/>
      <c r="BZ1059" s="5" t="n"/>
      <c r="CA1059" s="5" t="n"/>
      <c r="CB1059" s="5" t="n"/>
      <c r="CC1059" s="5" t="n"/>
      <c r="CD1059" s="5" t="n"/>
      <c r="CE1059" s="5" t="n"/>
      <c r="CF1059" s="5" t="n"/>
    </row>
    <row r="1060">
      <c r="A1060" s="171" t="n"/>
      <c r="B1060" s="171" t="n"/>
      <c r="C1060" s="171" t="n"/>
      <c r="D1060" s="170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  <c r="Q1060" s="5" t="n"/>
      <c r="R1060" s="5" t="n"/>
      <c r="S1060" s="5" t="n"/>
      <c r="T1060" s="5" t="n"/>
      <c r="U1060" s="5" t="n"/>
      <c r="V1060" s="5" t="n"/>
      <c r="W1060" s="5" t="n"/>
      <c r="X1060" s="5" t="n"/>
      <c r="Y1060" s="5" t="n"/>
      <c r="Z1060" s="5" t="n"/>
      <c r="AA1060" s="5" t="n"/>
      <c r="AB1060" s="5" t="n"/>
      <c r="AC1060" s="5" t="n"/>
      <c r="AD1060" s="5" t="n"/>
      <c r="AE1060" s="5" t="n"/>
      <c r="AF1060" s="5" t="n"/>
      <c r="AG1060" s="5" t="n"/>
      <c r="AH1060" s="5" t="n"/>
      <c r="AI1060" s="5" t="n"/>
      <c r="AJ1060" s="5" t="n"/>
      <c r="AK1060" s="5" t="n"/>
      <c r="AL1060" s="5" t="n"/>
      <c r="AM1060" s="5" t="n"/>
      <c r="AN1060" s="5" t="n"/>
      <c r="AO1060" s="5" t="n"/>
      <c r="AP1060" s="5" t="n"/>
      <c r="AQ1060" s="5" t="n"/>
      <c r="AR1060" s="5" t="n"/>
      <c r="AS1060" s="5" t="n"/>
      <c r="AT1060" s="5" t="n"/>
      <c r="AU1060" s="5" t="n"/>
      <c r="AV1060" s="5" t="n"/>
      <c r="AW1060" s="5" t="n"/>
      <c r="AX1060" s="5" t="n"/>
      <c r="AY1060" s="5" t="n"/>
      <c r="AZ1060" s="5" t="n"/>
      <c r="BA1060" s="5" t="n"/>
      <c r="BB1060" s="5" t="n"/>
      <c r="BC1060" s="5" t="n"/>
      <c r="BD1060" s="5" t="n"/>
      <c r="BE1060" s="5" t="n"/>
      <c r="BF1060" s="5" t="n"/>
      <c r="BG1060" s="5" t="n"/>
      <c r="BH1060" s="5" t="n"/>
      <c r="BI1060" s="5" t="n"/>
      <c r="BJ1060" s="5" t="n"/>
      <c r="BK1060" s="5" t="n"/>
      <c r="BL1060" s="5" t="n"/>
      <c r="BM1060" s="5" t="n"/>
      <c r="BN1060" s="5" t="n"/>
      <c r="BO1060" s="5" t="n"/>
      <c r="BP1060" s="5" t="n"/>
      <c r="BQ1060" s="5" t="n"/>
      <c r="BR1060" s="5" t="n"/>
      <c r="BS1060" s="5" t="n"/>
      <c r="BT1060" s="5" t="n"/>
      <c r="BU1060" s="5" t="n"/>
      <c r="BV1060" s="5" t="n"/>
      <c r="BW1060" s="5" t="n"/>
      <c r="BX1060" s="5" t="n"/>
      <c r="BY1060" s="5" t="n"/>
      <c r="BZ1060" s="5" t="n"/>
      <c r="CA1060" s="5" t="n"/>
      <c r="CB1060" s="5" t="n"/>
      <c r="CC1060" s="5" t="n"/>
      <c r="CD1060" s="5" t="n"/>
      <c r="CE1060" s="5" t="n"/>
      <c r="CF1060" s="5" t="n"/>
    </row>
    <row r="1061">
      <c r="A1061" s="171" t="n"/>
      <c r="B1061" s="171" t="n"/>
      <c r="C1061" s="171" t="n"/>
      <c r="D1061" s="170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  <c r="Q1061" s="5" t="n"/>
      <c r="R1061" s="5" t="n"/>
      <c r="S1061" s="5" t="n"/>
      <c r="T1061" s="5" t="n"/>
      <c r="U1061" s="5" t="n"/>
      <c r="V1061" s="5" t="n"/>
      <c r="W1061" s="5" t="n"/>
      <c r="X1061" s="5" t="n"/>
      <c r="Y1061" s="5" t="n"/>
      <c r="Z1061" s="5" t="n"/>
      <c r="AA1061" s="5" t="n"/>
      <c r="AB1061" s="5" t="n"/>
      <c r="AC1061" s="5" t="n"/>
      <c r="AD1061" s="5" t="n"/>
      <c r="AE1061" s="5" t="n"/>
      <c r="AF1061" s="5" t="n"/>
      <c r="AG1061" s="5" t="n"/>
      <c r="AH1061" s="5" t="n"/>
      <c r="AI1061" s="5" t="n"/>
      <c r="AJ1061" s="5" t="n"/>
      <c r="AK1061" s="5" t="n"/>
      <c r="AL1061" s="5" t="n"/>
      <c r="AM1061" s="5" t="n"/>
      <c r="AN1061" s="5" t="n"/>
      <c r="AO1061" s="5" t="n"/>
      <c r="AP1061" s="5" t="n"/>
      <c r="AQ1061" s="5" t="n"/>
      <c r="AR1061" s="5" t="n"/>
      <c r="AS1061" s="5" t="n"/>
      <c r="AT1061" s="5" t="n"/>
      <c r="AU1061" s="5" t="n"/>
      <c r="AV1061" s="5" t="n"/>
      <c r="AW1061" s="5" t="n"/>
      <c r="AX1061" s="5" t="n"/>
      <c r="AY1061" s="5" t="n"/>
      <c r="AZ1061" s="5" t="n"/>
      <c r="BA1061" s="5" t="n"/>
      <c r="BB1061" s="5" t="n"/>
      <c r="BC1061" s="5" t="n"/>
      <c r="BD1061" s="5" t="n"/>
      <c r="BE1061" s="5" t="n"/>
      <c r="BF1061" s="5" t="n"/>
      <c r="BG1061" s="5" t="n"/>
      <c r="BH1061" s="5" t="n"/>
      <c r="BI1061" s="5" t="n"/>
      <c r="BJ1061" s="5" t="n"/>
      <c r="BK1061" s="5" t="n"/>
      <c r="BL1061" s="5" t="n"/>
      <c r="BM1061" s="5" t="n"/>
      <c r="BN1061" s="5" t="n"/>
      <c r="BO1061" s="5" t="n"/>
      <c r="BP1061" s="5" t="n"/>
      <c r="BQ1061" s="5" t="n"/>
      <c r="BR1061" s="5" t="n"/>
      <c r="BS1061" s="5" t="n"/>
      <c r="BT1061" s="5" t="n"/>
      <c r="BU1061" s="5" t="n"/>
      <c r="BV1061" s="5" t="n"/>
      <c r="BW1061" s="5" t="n"/>
      <c r="BX1061" s="5" t="n"/>
      <c r="BY1061" s="5" t="n"/>
      <c r="BZ1061" s="5" t="n"/>
      <c r="CA1061" s="5" t="n"/>
      <c r="CB1061" s="5" t="n"/>
      <c r="CC1061" s="5" t="n"/>
      <c r="CD1061" s="5" t="n"/>
      <c r="CE1061" s="5" t="n"/>
      <c r="CF1061" s="5" t="n"/>
    </row>
    <row r="1062">
      <c r="A1062" s="171" t="n"/>
      <c r="B1062" s="171" t="n"/>
      <c r="C1062" s="171" t="n"/>
      <c r="D1062" s="170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  <c r="Q1062" s="5" t="n"/>
      <c r="R1062" s="5" t="n"/>
      <c r="S1062" s="5" t="n"/>
      <c r="T1062" s="5" t="n"/>
      <c r="U1062" s="5" t="n"/>
      <c r="V1062" s="5" t="n"/>
      <c r="W1062" s="5" t="n"/>
      <c r="X1062" s="5" t="n"/>
      <c r="Y1062" s="5" t="n"/>
      <c r="Z1062" s="5" t="n"/>
      <c r="AA1062" s="5" t="n"/>
      <c r="AB1062" s="5" t="n"/>
      <c r="AC1062" s="5" t="n"/>
      <c r="AD1062" s="5" t="n"/>
      <c r="AE1062" s="5" t="n"/>
      <c r="AF1062" s="5" t="n"/>
      <c r="AG1062" s="5" t="n"/>
      <c r="AH1062" s="5" t="n"/>
      <c r="AI1062" s="5" t="n"/>
      <c r="AJ1062" s="5" t="n"/>
      <c r="AK1062" s="5" t="n"/>
      <c r="AL1062" s="5" t="n"/>
      <c r="AM1062" s="5" t="n"/>
      <c r="AN1062" s="5" t="n"/>
      <c r="AO1062" s="5" t="n"/>
      <c r="AP1062" s="5" t="n"/>
      <c r="AQ1062" s="5" t="n"/>
      <c r="AR1062" s="5" t="n"/>
      <c r="AS1062" s="5" t="n"/>
      <c r="AT1062" s="5" t="n"/>
      <c r="AU1062" s="5" t="n"/>
      <c r="AV1062" s="5" t="n"/>
      <c r="AW1062" s="5" t="n"/>
      <c r="AX1062" s="5" t="n"/>
      <c r="AY1062" s="5" t="n"/>
      <c r="AZ1062" s="5" t="n"/>
      <c r="BA1062" s="5" t="n"/>
      <c r="BB1062" s="5" t="n"/>
      <c r="BC1062" s="5" t="n"/>
      <c r="BD1062" s="5" t="n"/>
      <c r="BE1062" s="5" t="n"/>
      <c r="BF1062" s="5" t="n"/>
      <c r="BG1062" s="5" t="n"/>
      <c r="BH1062" s="5" t="n"/>
      <c r="BI1062" s="5" t="n"/>
      <c r="BJ1062" s="5" t="n"/>
      <c r="BK1062" s="5" t="n"/>
      <c r="BL1062" s="5" t="n"/>
      <c r="BM1062" s="5" t="n"/>
      <c r="BN1062" s="5" t="n"/>
      <c r="BO1062" s="5" t="n"/>
      <c r="BP1062" s="5" t="n"/>
      <c r="BQ1062" s="5" t="n"/>
      <c r="BR1062" s="5" t="n"/>
      <c r="BS1062" s="5" t="n"/>
      <c r="BT1062" s="5" t="n"/>
      <c r="BU1062" s="5" t="n"/>
      <c r="BV1062" s="5" t="n"/>
      <c r="BW1062" s="5" t="n"/>
      <c r="BX1062" s="5" t="n"/>
      <c r="BY1062" s="5" t="n"/>
      <c r="BZ1062" s="5" t="n"/>
      <c r="CA1062" s="5" t="n"/>
      <c r="CB1062" s="5" t="n"/>
      <c r="CC1062" s="5" t="n"/>
      <c r="CD1062" s="5" t="n"/>
      <c r="CE1062" s="5" t="n"/>
      <c r="CF1062" s="5" t="n"/>
    </row>
    <row r="1063">
      <c r="A1063" s="171" t="n"/>
      <c r="B1063" s="171" t="n"/>
      <c r="C1063" s="171" t="n"/>
      <c r="D1063" s="170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  <c r="Q1063" s="5" t="n"/>
      <c r="R1063" s="5" t="n"/>
      <c r="S1063" s="5" t="n"/>
      <c r="T1063" s="5" t="n"/>
      <c r="U1063" s="5" t="n"/>
      <c r="V1063" s="5" t="n"/>
      <c r="W1063" s="5" t="n"/>
      <c r="X1063" s="5" t="n"/>
      <c r="Y1063" s="5" t="n"/>
      <c r="Z1063" s="5" t="n"/>
      <c r="AA1063" s="5" t="n"/>
      <c r="AB1063" s="5" t="n"/>
      <c r="AC1063" s="5" t="n"/>
      <c r="AD1063" s="5" t="n"/>
      <c r="AE1063" s="5" t="n"/>
      <c r="AF1063" s="5" t="n"/>
      <c r="AG1063" s="5" t="n"/>
      <c r="AH1063" s="5" t="n"/>
      <c r="AI1063" s="5" t="n"/>
      <c r="AJ1063" s="5" t="n"/>
      <c r="AK1063" s="5" t="n"/>
      <c r="AL1063" s="5" t="n"/>
      <c r="AM1063" s="5" t="n"/>
      <c r="AN1063" s="5" t="n"/>
      <c r="AO1063" s="5" t="n"/>
      <c r="AP1063" s="5" t="n"/>
      <c r="AQ1063" s="5" t="n"/>
      <c r="AR1063" s="5" t="n"/>
      <c r="AS1063" s="5" t="n"/>
      <c r="AT1063" s="5" t="n"/>
      <c r="AU1063" s="5" t="n"/>
      <c r="AV1063" s="5" t="n"/>
      <c r="AW1063" s="5" t="n"/>
      <c r="AX1063" s="5" t="n"/>
      <c r="AY1063" s="5" t="n"/>
      <c r="AZ1063" s="5" t="n"/>
      <c r="BA1063" s="5" t="n"/>
      <c r="BB1063" s="5" t="n"/>
      <c r="BC1063" s="5" t="n"/>
      <c r="BD1063" s="5" t="n"/>
      <c r="BE1063" s="5" t="n"/>
      <c r="BF1063" s="5" t="n"/>
      <c r="BG1063" s="5" t="n"/>
      <c r="BH1063" s="5" t="n"/>
      <c r="BI1063" s="5" t="n"/>
      <c r="BJ1063" s="5" t="n"/>
      <c r="BK1063" s="5" t="n"/>
      <c r="BL1063" s="5" t="n"/>
      <c r="BM1063" s="5" t="n"/>
      <c r="BN1063" s="5" t="n"/>
      <c r="BO1063" s="5" t="n"/>
      <c r="BP1063" s="5" t="n"/>
      <c r="BQ1063" s="5" t="n"/>
      <c r="BR1063" s="5" t="n"/>
      <c r="BS1063" s="5" t="n"/>
      <c r="BT1063" s="5" t="n"/>
      <c r="BU1063" s="5" t="n"/>
      <c r="BV1063" s="5" t="n"/>
      <c r="BW1063" s="5" t="n"/>
      <c r="BX1063" s="5" t="n"/>
      <c r="BY1063" s="5" t="n"/>
      <c r="BZ1063" s="5" t="n"/>
      <c r="CA1063" s="5" t="n"/>
      <c r="CB1063" s="5" t="n"/>
      <c r="CC1063" s="5" t="n"/>
      <c r="CD1063" s="5" t="n"/>
      <c r="CE1063" s="5" t="n"/>
      <c r="CF1063" s="5" t="n"/>
    </row>
    <row r="1064">
      <c r="A1064" s="171" t="n"/>
      <c r="B1064" s="171" t="n"/>
      <c r="C1064" s="171" t="n"/>
      <c r="D1064" s="170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  <c r="Q1064" s="5" t="n"/>
      <c r="R1064" s="5" t="n"/>
      <c r="S1064" s="5" t="n"/>
      <c r="T1064" s="5" t="n"/>
      <c r="U1064" s="5" t="n"/>
      <c r="V1064" s="5" t="n"/>
      <c r="W1064" s="5" t="n"/>
      <c r="X1064" s="5" t="n"/>
      <c r="Y1064" s="5" t="n"/>
      <c r="Z1064" s="5" t="n"/>
      <c r="AA1064" s="5" t="n"/>
      <c r="AB1064" s="5" t="n"/>
      <c r="AC1064" s="5" t="n"/>
      <c r="AD1064" s="5" t="n"/>
      <c r="AE1064" s="5" t="n"/>
      <c r="AF1064" s="5" t="n"/>
      <c r="AG1064" s="5" t="n"/>
      <c r="AH1064" s="5" t="n"/>
      <c r="AI1064" s="5" t="n"/>
      <c r="AJ1064" s="5" t="n"/>
      <c r="AK1064" s="5" t="n"/>
      <c r="AL1064" s="5" t="n"/>
      <c r="AM1064" s="5" t="n"/>
      <c r="AN1064" s="5" t="n"/>
      <c r="AO1064" s="5" t="n"/>
      <c r="AP1064" s="5" t="n"/>
      <c r="AQ1064" s="5" t="n"/>
      <c r="AR1064" s="5" t="n"/>
      <c r="AS1064" s="5" t="n"/>
      <c r="AT1064" s="5" t="n"/>
      <c r="AU1064" s="5" t="n"/>
      <c r="AV1064" s="5" t="n"/>
      <c r="AW1064" s="5" t="n"/>
      <c r="AX1064" s="5" t="n"/>
      <c r="AY1064" s="5" t="n"/>
      <c r="AZ1064" s="5" t="n"/>
      <c r="BA1064" s="5" t="n"/>
      <c r="BB1064" s="5" t="n"/>
      <c r="BC1064" s="5" t="n"/>
      <c r="BD1064" s="5" t="n"/>
      <c r="BE1064" s="5" t="n"/>
      <c r="BF1064" s="5" t="n"/>
      <c r="BG1064" s="5" t="n"/>
      <c r="BH1064" s="5" t="n"/>
      <c r="BI1064" s="5" t="n"/>
      <c r="BJ1064" s="5" t="n"/>
      <c r="BK1064" s="5" t="n"/>
      <c r="BL1064" s="5" t="n"/>
      <c r="BM1064" s="5" t="n"/>
      <c r="BN1064" s="5" t="n"/>
      <c r="BO1064" s="5" t="n"/>
      <c r="BP1064" s="5" t="n"/>
      <c r="BQ1064" s="5" t="n"/>
      <c r="BR1064" s="5" t="n"/>
      <c r="BS1064" s="5" t="n"/>
      <c r="BT1064" s="5" t="n"/>
      <c r="BU1064" s="5" t="n"/>
      <c r="BV1064" s="5" t="n"/>
      <c r="BW1064" s="5" t="n"/>
      <c r="BX1064" s="5" t="n"/>
      <c r="BY1064" s="5" t="n"/>
      <c r="BZ1064" s="5" t="n"/>
      <c r="CA1064" s="5" t="n"/>
      <c r="CB1064" s="5" t="n"/>
      <c r="CC1064" s="5" t="n"/>
      <c r="CD1064" s="5" t="n"/>
      <c r="CE1064" s="5" t="n"/>
      <c r="CF1064" s="5" t="n"/>
    </row>
    <row r="1065">
      <c r="A1065" s="171" t="n"/>
      <c r="B1065" s="171" t="n"/>
      <c r="C1065" s="171" t="n"/>
      <c r="D1065" s="170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  <c r="Q1065" s="5" t="n"/>
      <c r="R1065" s="5" t="n"/>
      <c r="S1065" s="5" t="n"/>
      <c r="T1065" s="5" t="n"/>
      <c r="U1065" s="5" t="n"/>
      <c r="V1065" s="5" t="n"/>
      <c r="W1065" s="5" t="n"/>
      <c r="X1065" s="5" t="n"/>
      <c r="Y1065" s="5" t="n"/>
      <c r="Z1065" s="5" t="n"/>
      <c r="AA1065" s="5" t="n"/>
      <c r="AB1065" s="5" t="n"/>
      <c r="AC1065" s="5" t="n"/>
      <c r="AD1065" s="5" t="n"/>
      <c r="AE1065" s="5" t="n"/>
      <c r="AF1065" s="5" t="n"/>
      <c r="AG1065" s="5" t="n"/>
      <c r="AH1065" s="5" t="n"/>
      <c r="AI1065" s="5" t="n"/>
      <c r="AJ1065" s="5" t="n"/>
      <c r="AK1065" s="5" t="n"/>
      <c r="AL1065" s="5" t="n"/>
      <c r="AM1065" s="5" t="n"/>
      <c r="AN1065" s="5" t="n"/>
      <c r="AO1065" s="5" t="n"/>
      <c r="AP1065" s="5" t="n"/>
      <c r="AQ1065" s="5" t="n"/>
      <c r="AR1065" s="5" t="n"/>
      <c r="AS1065" s="5" t="n"/>
      <c r="AT1065" s="5" t="n"/>
      <c r="AU1065" s="5" t="n"/>
      <c r="AV1065" s="5" t="n"/>
      <c r="AW1065" s="5" t="n"/>
      <c r="AX1065" s="5" t="n"/>
      <c r="AY1065" s="5" t="n"/>
      <c r="AZ1065" s="5" t="n"/>
      <c r="BA1065" s="5" t="n"/>
      <c r="BB1065" s="5" t="n"/>
      <c r="BC1065" s="5" t="n"/>
      <c r="BD1065" s="5" t="n"/>
      <c r="BE1065" s="5" t="n"/>
      <c r="BF1065" s="5" t="n"/>
      <c r="BG1065" s="5" t="n"/>
      <c r="BH1065" s="5" t="n"/>
      <c r="BI1065" s="5" t="n"/>
      <c r="BJ1065" s="5" t="n"/>
      <c r="BK1065" s="5" t="n"/>
      <c r="BL1065" s="5" t="n"/>
      <c r="BM1065" s="5" t="n"/>
      <c r="BN1065" s="5" t="n"/>
      <c r="BO1065" s="5" t="n"/>
      <c r="BP1065" s="5" t="n"/>
      <c r="BQ1065" s="5" t="n"/>
      <c r="BR1065" s="5" t="n"/>
      <c r="BS1065" s="5" t="n"/>
      <c r="BT1065" s="5" t="n"/>
      <c r="BU1065" s="5" t="n"/>
      <c r="BV1065" s="5" t="n"/>
      <c r="BW1065" s="5" t="n"/>
      <c r="BX1065" s="5" t="n"/>
      <c r="BY1065" s="5" t="n"/>
      <c r="BZ1065" s="5" t="n"/>
      <c r="CA1065" s="5" t="n"/>
      <c r="CB1065" s="5" t="n"/>
      <c r="CC1065" s="5" t="n"/>
      <c r="CD1065" s="5" t="n"/>
      <c r="CE1065" s="5" t="n"/>
      <c r="CF1065" s="5" t="n"/>
    </row>
    <row r="1066">
      <c r="A1066" s="171" t="n"/>
      <c r="B1066" s="171" t="n"/>
      <c r="C1066" s="171" t="n"/>
      <c r="D1066" s="170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  <c r="AA1066" s="5" t="n"/>
      <c r="AB1066" s="5" t="n"/>
      <c r="AC1066" s="5" t="n"/>
      <c r="AD1066" s="5" t="n"/>
      <c r="AE1066" s="5" t="n"/>
      <c r="AF1066" s="5" t="n"/>
      <c r="AG1066" s="5" t="n"/>
      <c r="AH1066" s="5" t="n"/>
      <c r="AI1066" s="5" t="n"/>
      <c r="AJ1066" s="5" t="n"/>
      <c r="AK1066" s="5" t="n"/>
      <c r="AL1066" s="5" t="n"/>
      <c r="AM1066" s="5" t="n"/>
      <c r="AN1066" s="5" t="n"/>
      <c r="AO1066" s="5" t="n"/>
      <c r="AP1066" s="5" t="n"/>
      <c r="AQ1066" s="5" t="n"/>
      <c r="AR1066" s="5" t="n"/>
      <c r="AS1066" s="5" t="n"/>
      <c r="AT1066" s="5" t="n"/>
      <c r="AU1066" s="5" t="n"/>
      <c r="AV1066" s="5" t="n"/>
      <c r="AW1066" s="5" t="n"/>
      <c r="AX1066" s="5" t="n"/>
      <c r="AY1066" s="5" t="n"/>
      <c r="AZ1066" s="5" t="n"/>
      <c r="BA1066" s="5" t="n"/>
      <c r="BB1066" s="5" t="n"/>
      <c r="BC1066" s="5" t="n"/>
      <c r="BD1066" s="5" t="n"/>
      <c r="BE1066" s="5" t="n"/>
      <c r="BF1066" s="5" t="n"/>
      <c r="BG1066" s="5" t="n"/>
      <c r="BH1066" s="5" t="n"/>
      <c r="BI1066" s="5" t="n"/>
      <c r="BJ1066" s="5" t="n"/>
      <c r="BK1066" s="5" t="n"/>
      <c r="BL1066" s="5" t="n"/>
      <c r="BM1066" s="5" t="n"/>
      <c r="BN1066" s="5" t="n"/>
      <c r="BO1066" s="5" t="n"/>
      <c r="BP1066" s="5" t="n"/>
      <c r="BQ1066" s="5" t="n"/>
      <c r="BR1066" s="5" t="n"/>
      <c r="BS1066" s="5" t="n"/>
      <c r="BT1066" s="5" t="n"/>
      <c r="BU1066" s="5" t="n"/>
      <c r="BV1066" s="5" t="n"/>
      <c r="BW1066" s="5" t="n"/>
      <c r="BX1066" s="5" t="n"/>
      <c r="BY1066" s="5" t="n"/>
      <c r="BZ1066" s="5" t="n"/>
      <c r="CA1066" s="5" t="n"/>
      <c r="CB1066" s="5" t="n"/>
      <c r="CC1066" s="5" t="n"/>
      <c r="CD1066" s="5" t="n"/>
      <c r="CE1066" s="5" t="n"/>
      <c r="CF1066" s="5" t="n"/>
    </row>
    <row r="1067">
      <c r="A1067" s="171" t="n"/>
      <c r="B1067" s="171" t="n"/>
      <c r="C1067" s="171" t="n"/>
      <c r="D1067" s="170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  <c r="Q1067" s="5" t="n"/>
      <c r="R1067" s="5" t="n"/>
      <c r="S1067" s="5" t="n"/>
      <c r="T1067" s="5" t="n"/>
      <c r="U1067" s="5" t="n"/>
      <c r="V1067" s="5" t="n"/>
      <c r="W1067" s="5" t="n"/>
      <c r="X1067" s="5" t="n"/>
      <c r="Y1067" s="5" t="n"/>
      <c r="Z1067" s="5" t="n"/>
      <c r="AA1067" s="5" t="n"/>
      <c r="AB1067" s="5" t="n"/>
      <c r="AC1067" s="5" t="n"/>
      <c r="AD1067" s="5" t="n"/>
      <c r="AE1067" s="5" t="n"/>
      <c r="AF1067" s="5" t="n"/>
      <c r="AG1067" s="5" t="n"/>
      <c r="AH1067" s="5" t="n"/>
      <c r="AI1067" s="5" t="n"/>
      <c r="AJ1067" s="5" t="n"/>
      <c r="AK1067" s="5" t="n"/>
      <c r="AL1067" s="5" t="n"/>
      <c r="AM1067" s="5" t="n"/>
      <c r="AN1067" s="5" t="n"/>
      <c r="AO1067" s="5" t="n"/>
      <c r="AP1067" s="5" t="n"/>
      <c r="AQ1067" s="5" t="n"/>
      <c r="AR1067" s="5" t="n"/>
      <c r="AS1067" s="5" t="n"/>
      <c r="AT1067" s="5" t="n"/>
      <c r="AU1067" s="5" t="n"/>
      <c r="AV1067" s="5" t="n"/>
      <c r="AW1067" s="5" t="n"/>
      <c r="AX1067" s="5" t="n"/>
      <c r="AY1067" s="5" t="n"/>
      <c r="AZ1067" s="5" t="n"/>
      <c r="BA1067" s="5" t="n"/>
      <c r="BB1067" s="5" t="n"/>
      <c r="BC1067" s="5" t="n"/>
      <c r="BD1067" s="5" t="n"/>
      <c r="BE1067" s="5" t="n"/>
      <c r="BF1067" s="5" t="n"/>
      <c r="BG1067" s="5" t="n"/>
      <c r="BH1067" s="5" t="n"/>
      <c r="BI1067" s="5" t="n"/>
      <c r="BJ1067" s="5" t="n"/>
      <c r="BK1067" s="5" t="n"/>
      <c r="BL1067" s="5" t="n"/>
      <c r="BM1067" s="5" t="n"/>
      <c r="BN1067" s="5" t="n"/>
      <c r="BO1067" s="5" t="n"/>
      <c r="BP1067" s="5" t="n"/>
      <c r="BQ1067" s="5" t="n"/>
      <c r="BR1067" s="5" t="n"/>
      <c r="BS1067" s="5" t="n"/>
      <c r="BT1067" s="5" t="n"/>
      <c r="BU1067" s="5" t="n"/>
      <c r="BV1067" s="5" t="n"/>
      <c r="BW1067" s="5" t="n"/>
      <c r="BX1067" s="5" t="n"/>
      <c r="BY1067" s="5" t="n"/>
      <c r="BZ1067" s="5" t="n"/>
      <c r="CA1067" s="5" t="n"/>
      <c r="CB1067" s="5" t="n"/>
      <c r="CC1067" s="5" t="n"/>
      <c r="CD1067" s="5" t="n"/>
      <c r="CE1067" s="5" t="n"/>
      <c r="CF1067" s="5" t="n"/>
    </row>
    <row r="1068">
      <c r="A1068" s="171" t="n"/>
      <c r="B1068" s="171" t="n"/>
      <c r="C1068" s="171" t="n"/>
      <c r="D1068" s="170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  <c r="Q1068" s="5" t="n"/>
      <c r="R1068" s="5" t="n"/>
      <c r="S1068" s="5" t="n"/>
      <c r="T1068" s="5" t="n"/>
      <c r="U1068" s="5" t="n"/>
      <c r="V1068" s="5" t="n"/>
      <c r="W1068" s="5" t="n"/>
      <c r="X1068" s="5" t="n"/>
      <c r="Y1068" s="5" t="n"/>
      <c r="Z1068" s="5" t="n"/>
      <c r="AA1068" s="5" t="n"/>
      <c r="AB1068" s="5" t="n"/>
      <c r="AC1068" s="5" t="n"/>
      <c r="AD1068" s="5" t="n"/>
      <c r="AE1068" s="5" t="n"/>
      <c r="AF1068" s="5" t="n"/>
      <c r="AG1068" s="5" t="n"/>
      <c r="AH1068" s="5" t="n"/>
      <c r="AI1068" s="5" t="n"/>
      <c r="AJ1068" s="5" t="n"/>
      <c r="AK1068" s="5" t="n"/>
      <c r="AL1068" s="5" t="n"/>
      <c r="AM1068" s="5" t="n"/>
      <c r="AN1068" s="5" t="n"/>
      <c r="AO1068" s="5" t="n"/>
      <c r="AP1068" s="5" t="n"/>
      <c r="AQ1068" s="5" t="n"/>
      <c r="AR1068" s="5" t="n"/>
      <c r="AS1068" s="5" t="n"/>
      <c r="AT1068" s="5" t="n"/>
      <c r="AU1068" s="5" t="n"/>
      <c r="AV1068" s="5" t="n"/>
      <c r="AW1068" s="5" t="n"/>
      <c r="AX1068" s="5" t="n"/>
      <c r="AY1068" s="5" t="n"/>
      <c r="AZ1068" s="5" t="n"/>
      <c r="BA1068" s="5" t="n"/>
      <c r="BB1068" s="5" t="n"/>
      <c r="BC1068" s="5" t="n"/>
      <c r="BD1068" s="5" t="n"/>
      <c r="BE1068" s="5" t="n"/>
      <c r="BF1068" s="5" t="n"/>
      <c r="BG1068" s="5" t="n"/>
      <c r="BH1068" s="5" t="n"/>
      <c r="BI1068" s="5" t="n"/>
      <c r="BJ1068" s="5" t="n"/>
      <c r="BK1068" s="5" t="n"/>
      <c r="BL1068" s="5" t="n"/>
      <c r="BM1068" s="5" t="n"/>
      <c r="BN1068" s="5" t="n"/>
      <c r="BO1068" s="5" t="n"/>
      <c r="BP1068" s="5" t="n"/>
      <c r="BQ1068" s="5" t="n"/>
      <c r="BR1068" s="5" t="n"/>
      <c r="BS1068" s="5" t="n"/>
      <c r="BT1068" s="5" t="n"/>
      <c r="BU1068" s="5" t="n"/>
      <c r="BV1068" s="5" t="n"/>
      <c r="BW1068" s="5" t="n"/>
      <c r="BX1068" s="5" t="n"/>
      <c r="BY1068" s="5" t="n"/>
      <c r="BZ1068" s="5" t="n"/>
      <c r="CA1068" s="5" t="n"/>
      <c r="CB1068" s="5" t="n"/>
      <c r="CC1068" s="5" t="n"/>
      <c r="CD1068" s="5" t="n"/>
      <c r="CE1068" s="5" t="n"/>
      <c r="CF1068" s="5" t="n"/>
    </row>
    <row r="1069">
      <c r="A1069" s="171" t="n"/>
      <c r="B1069" s="171" t="n"/>
      <c r="C1069" s="171" t="n"/>
      <c r="D1069" s="170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  <c r="Q1069" s="5" t="n"/>
      <c r="R1069" s="5" t="n"/>
      <c r="S1069" s="5" t="n"/>
      <c r="T1069" s="5" t="n"/>
      <c r="U1069" s="5" t="n"/>
      <c r="V1069" s="5" t="n"/>
      <c r="W1069" s="5" t="n"/>
      <c r="X1069" s="5" t="n"/>
      <c r="Y1069" s="5" t="n"/>
      <c r="Z1069" s="5" t="n"/>
      <c r="AA1069" s="5" t="n"/>
      <c r="AB1069" s="5" t="n"/>
      <c r="AC1069" s="5" t="n"/>
      <c r="AD1069" s="5" t="n"/>
      <c r="AE1069" s="5" t="n"/>
      <c r="AF1069" s="5" t="n"/>
      <c r="AG1069" s="5" t="n"/>
      <c r="AH1069" s="5" t="n"/>
      <c r="AI1069" s="5" t="n"/>
      <c r="AJ1069" s="5" t="n"/>
      <c r="AK1069" s="5" t="n"/>
      <c r="AL1069" s="5" t="n"/>
      <c r="AM1069" s="5" t="n"/>
      <c r="AN1069" s="5" t="n"/>
      <c r="AO1069" s="5" t="n"/>
      <c r="AP1069" s="5" t="n"/>
      <c r="AQ1069" s="5" t="n"/>
      <c r="AR1069" s="5" t="n"/>
      <c r="AS1069" s="5" t="n"/>
      <c r="AT1069" s="5" t="n"/>
      <c r="AU1069" s="5" t="n"/>
      <c r="AV1069" s="5" t="n"/>
      <c r="AW1069" s="5" t="n"/>
      <c r="AX1069" s="5" t="n"/>
      <c r="AY1069" s="5" t="n"/>
      <c r="AZ1069" s="5" t="n"/>
      <c r="BA1069" s="5" t="n"/>
      <c r="BB1069" s="5" t="n"/>
      <c r="BC1069" s="5" t="n"/>
      <c r="BD1069" s="5" t="n"/>
      <c r="BE1069" s="5" t="n"/>
      <c r="BF1069" s="5" t="n"/>
      <c r="BG1069" s="5" t="n"/>
      <c r="BH1069" s="5" t="n"/>
      <c r="BI1069" s="5" t="n"/>
      <c r="BJ1069" s="5" t="n"/>
      <c r="BK1069" s="5" t="n"/>
      <c r="BL1069" s="5" t="n"/>
      <c r="BM1069" s="5" t="n"/>
      <c r="BN1069" s="5" t="n"/>
      <c r="BO1069" s="5" t="n"/>
      <c r="BP1069" s="5" t="n"/>
      <c r="BQ1069" s="5" t="n"/>
      <c r="BR1069" s="5" t="n"/>
      <c r="BS1069" s="5" t="n"/>
      <c r="BT1069" s="5" t="n"/>
      <c r="BU1069" s="5" t="n"/>
      <c r="BV1069" s="5" t="n"/>
      <c r="BW1069" s="5" t="n"/>
      <c r="BX1069" s="5" t="n"/>
      <c r="BY1069" s="5" t="n"/>
      <c r="BZ1069" s="5" t="n"/>
      <c r="CA1069" s="5" t="n"/>
      <c r="CB1069" s="5" t="n"/>
      <c r="CC1069" s="5" t="n"/>
      <c r="CD1069" s="5" t="n"/>
      <c r="CE1069" s="5" t="n"/>
      <c r="CF1069" s="5" t="n"/>
    </row>
    <row r="1070">
      <c r="A1070" s="171" t="n"/>
      <c r="B1070" s="171" t="n"/>
      <c r="C1070" s="171" t="n"/>
      <c r="D1070" s="170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  <c r="Q1070" s="5" t="n"/>
      <c r="R1070" s="5" t="n"/>
      <c r="S1070" s="5" t="n"/>
      <c r="T1070" s="5" t="n"/>
      <c r="U1070" s="5" t="n"/>
      <c r="V1070" s="5" t="n"/>
      <c r="W1070" s="5" t="n"/>
      <c r="X1070" s="5" t="n"/>
      <c r="Y1070" s="5" t="n"/>
      <c r="Z1070" s="5" t="n"/>
      <c r="AA1070" s="5" t="n"/>
      <c r="AB1070" s="5" t="n"/>
      <c r="AC1070" s="5" t="n"/>
      <c r="AD1070" s="5" t="n"/>
      <c r="AE1070" s="5" t="n"/>
      <c r="AF1070" s="5" t="n"/>
      <c r="AG1070" s="5" t="n"/>
      <c r="AH1070" s="5" t="n"/>
      <c r="AI1070" s="5" t="n"/>
      <c r="AJ1070" s="5" t="n"/>
      <c r="AK1070" s="5" t="n"/>
      <c r="AL1070" s="5" t="n"/>
      <c r="AM1070" s="5" t="n"/>
      <c r="AN1070" s="5" t="n"/>
      <c r="AO1070" s="5" t="n"/>
      <c r="AP1070" s="5" t="n"/>
      <c r="AQ1070" s="5" t="n"/>
      <c r="AR1070" s="5" t="n"/>
      <c r="AS1070" s="5" t="n"/>
      <c r="AT1070" s="5" t="n"/>
      <c r="AU1070" s="5" t="n"/>
      <c r="AV1070" s="5" t="n"/>
      <c r="AW1070" s="5" t="n"/>
      <c r="AX1070" s="5" t="n"/>
      <c r="AY1070" s="5" t="n"/>
      <c r="AZ1070" s="5" t="n"/>
      <c r="BA1070" s="5" t="n"/>
      <c r="BB1070" s="5" t="n"/>
      <c r="BC1070" s="5" t="n"/>
      <c r="BD1070" s="5" t="n"/>
      <c r="BE1070" s="5" t="n"/>
      <c r="BF1070" s="5" t="n"/>
      <c r="BG1070" s="5" t="n"/>
      <c r="BH1070" s="5" t="n"/>
      <c r="BI1070" s="5" t="n"/>
      <c r="BJ1070" s="5" t="n"/>
      <c r="BK1070" s="5" t="n"/>
      <c r="BL1070" s="5" t="n"/>
      <c r="BM1070" s="5" t="n"/>
      <c r="BN1070" s="5" t="n"/>
      <c r="BO1070" s="5" t="n"/>
      <c r="BP1070" s="5" t="n"/>
      <c r="BQ1070" s="5" t="n"/>
      <c r="BR1070" s="5" t="n"/>
      <c r="BS1070" s="5" t="n"/>
      <c r="BT1070" s="5" t="n"/>
      <c r="BU1070" s="5" t="n"/>
      <c r="BV1070" s="5" t="n"/>
      <c r="BW1070" s="5" t="n"/>
      <c r="BX1070" s="5" t="n"/>
      <c r="BY1070" s="5" t="n"/>
      <c r="BZ1070" s="5" t="n"/>
      <c r="CA1070" s="5" t="n"/>
      <c r="CB1070" s="5" t="n"/>
      <c r="CC1070" s="5" t="n"/>
      <c r="CD1070" s="5" t="n"/>
      <c r="CE1070" s="5" t="n"/>
      <c r="CF1070" s="5" t="n"/>
    </row>
    <row r="1071">
      <c r="A1071" s="171" t="n"/>
      <c r="B1071" s="171" t="n"/>
      <c r="C1071" s="171" t="n"/>
      <c r="D1071" s="170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  <c r="Q1071" s="5" t="n"/>
      <c r="R1071" s="5" t="n"/>
      <c r="S1071" s="5" t="n"/>
      <c r="T1071" s="5" t="n"/>
      <c r="U1071" s="5" t="n"/>
      <c r="V1071" s="5" t="n"/>
      <c r="W1071" s="5" t="n"/>
      <c r="X1071" s="5" t="n"/>
      <c r="Y1071" s="5" t="n"/>
      <c r="Z1071" s="5" t="n"/>
      <c r="AA1071" s="5" t="n"/>
      <c r="AB1071" s="5" t="n"/>
      <c r="AC1071" s="5" t="n"/>
      <c r="AD1071" s="5" t="n"/>
      <c r="AE1071" s="5" t="n"/>
      <c r="AF1071" s="5" t="n"/>
      <c r="AG1071" s="5" t="n"/>
      <c r="AH1071" s="5" t="n"/>
      <c r="AI1071" s="5" t="n"/>
      <c r="AJ1071" s="5" t="n"/>
      <c r="AK1071" s="5" t="n"/>
      <c r="AL1071" s="5" t="n"/>
      <c r="AM1071" s="5" t="n"/>
      <c r="AN1071" s="5" t="n"/>
      <c r="AO1071" s="5" t="n"/>
      <c r="AP1071" s="5" t="n"/>
      <c r="AQ1071" s="5" t="n"/>
      <c r="AR1071" s="5" t="n"/>
      <c r="AS1071" s="5" t="n"/>
      <c r="AT1071" s="5" t="n"/>
      <c r="AU1071" s="5" t="n"/>
      <c r="AV1071" s="5" t="n"/>
      <c r="AW1071" s="5" t="n"/>
      <c r="AX1071" s="5" t="n"/>
      <c r="AY1071" s="5" t="n"/>
      <c r="AZ1071" s="5" t="n"/>
      <c r="BA1071" s="5" t="n"/>
      <c r="BB1071" s="5" t="n"/>
      <c r="BC1071" s="5" t="n"/>
      <c r="BD1071" s="5" t="n"/>
      <c r="BE1071" s="5" t="n"/>
      <c r="BF1071" s="5" t="n"/>
      <c r="BG1071" s="5" t="n"/>
      <c r="BH1071" s="5" t="n"/>
      <c r="BI1071" s="5" t="n"/>
      <c r="BJ1071" s="5" t="n"/>
      <c r="BK1071" s="5" t="n"/>
      <c r="BL1071" s="5" t="n"/>
      <c r="BM1071" s="5" t="n"/>
      <c r="BN1071" s="5" t="n"/>
      <c r="BO1071" s="5" t="n"/>
      <c r="BP1071" s="5" t="n"/>
      <c r="BQ1071" s="5" t="n"/>
      <c r="BR1071" s="5" t="n"/>
      <c r="BS1071" s="5" t="n"/>
      <c r="BT1071" s="5" t="n"/>
      <c r="BU1071" s="5" t="n"/>
      <c r="BV1071" s="5" t="n"/>
      <c r="BW1071" s="5" t="n"/>
      <c r="BX1071" s="5" t="n"/>
      <c r="BY1071" s="5" t="n"/>
      <c r="BZ1071" s="5" t="n"/>
      <c r="CA1071" s="5" t="n"/>
      <c r="CB1071" s="5" t="n"/>
      <c r="CC1071" s="5" t="n"/>
      <c r="CD1071" s="5" t="n"/>
      <c r="CE1071" s="5" t="n"/>
      <c r="CF1071" s="5" t="n"/>
    </row>
    <row r="1072">
      <c r="A1072" s="171" t="n"/>
      <c r="B1072" s="171" t="n"/>
      <c r="C1072" s="171" t="n"/>
      <c r="D1072" s="170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  <c r="Q1072" s="5" t="n"/>
      <c r="R1072" s="5" t="n"/>
      <c r="S1072" s="5" t="n"/>
      <c r="T1072" s="5" t="n"/>
      <c r="U1072" s="5" t="n"/>
      <c r="V1072" s="5" t="n"/>
      <c r="W1072" s="5" t="n"/>
      <c r="X1072" s="5" t="n"/>
      <c r="Y1072" s="5" t="n"/>
      <c r="Z1072" s="5" t="n"/>
      <c r="AA1072" s="5" t="n"/>
      <c r="AB1072" s="5" t="n"/>
      <c r="AC1072" s="5" t="n"/>
      <c r="AD1072" s="5" t="n"/>
      <c r="AE1072" s="5" t="n"/>
      <c r="AF1072" s="5" t="n"/>
      <c r="AG1072" s="5" t="n"/>
      <c r="AH1072" s="5" t="n"/>
      <c r="AI1072" s="5" t="n"/>
      <c r="AJ1072" s="5" t="n"/>
      <c r="AK1072" s="5" t="n"/>
      <c r="AL1072" s="5" t="n"/>
      <c r="AM1072" s="5" t="n"/>
      <c r="AN1072" s="5" t="n"/>
      <c r="AO1072" s="5" t="n"/>
      <c r="AP1072" s="5" t="n"/>
      <c r="AQ1072" s="5" t="n"/>
      <c r="AR1072" s="5" t="n"/>
      <c r="AS1072" s="5" t="n"/>
      <c r="AT1072" s="5" t="n"/>
      <c r="AU1072" s="5" t="n"/>
      <c r="AV1072" s="5" t="n"/>
      <c r="AW1072" s="5" t="n"/>
      <c r="AX1072" s="5" t="n"/>
      <c r="AY1072" s="5" t="n"/>
      <c r="AZ1072" s="5" t="n"/>
      <c r="BA1072" s="5" t="n"/>
      <c r="BB1072" s="5" t="n"/>
      <c r="BC1072" s="5" t="n"/>
      <c r="BD1072" s="5" t="n"/>
      <c r="BE1072" s="5" t="n"/>
      <c r="BF1072" s="5" t="n"/>
      <c r="BG1072" s="5" t="n"/>
      <c r="BH1072" s="5" t="n"/>
      <c r="BI1072" s="5" t="n"/>
      <c r="BJ1072" s="5" t="n"/>
      <c r="BK1072" s="5" t="n"/>
      <c r="BL1072" s="5" t="n"/>
      <c r="BM1072" s="5" t="n"/>
      <c r="BN1072" s="5" t="n"/>
      <c r="BO1072" s="5" t="n"/>
      <c r="BP1072" s="5" t="n"/>
      <c r="BQ1072" s="5" t="n"/>
      <c r="BR1072" s="5" t="n"/>
      <c r="BS1072" s="5" t="n"/>
      <c r="BT1072" s="5" t="n"/>
      <c r="BU1072" s="5" t="n"/>
      <c r="BV1072" s="5" t="n"/>
      <c r="BW1072" s="5" t="n"/>
      <c r="BX1072" s="5" t="n"/>
      <c r="BY1072" s="5" t="n"/>
      <c r="BZ1072" s="5" t="n"/>
      <c r="CA1072" s="5" t="n"/>
      <c r="CB1072" s="5" t="n"/>
      <c r="CC1072" s="5" t="n"/>
      <c r="CD1072" s="5" t="n"/>
      <c r="CE1072" s="5" t="n"/>
      <c r="CF1072" s="5" t="n"/>
    </row>
    <row r="1073">
      <c r="A1073" s="171" t="n"/>
      <c r="B1073" s="171" t="n"/>
      <c r="C1073" s="171" t="n"/>
      <c r="D1073" s="170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  <c r="Q1073" s="5" t="n"/>
      <c r="R1073" s="5" t="n"/>
      <c r="S1073" s="5" t="n"/>
      <c r="T1073" s="5" t="n"/>
      <c r="U1073" s="5" t="n"/>
      <c r="V1073" s="5" t="n"/>
      <c r="W1073" s="5" t="n"/>
      <c r="X1073" s="5" t="n"/>
      <c r="Y1073" s="5" t="n"/>
      <c r="Z1073" s="5" t="n"/>
      <c r="AA1073" s="5" t="n"/>
      <c r="AB1073" s="5" t="n"/>
      <c r="AC1073" s="5" t="n"/>
      <c r="AD1073" s="5" t="n"/>
      <c r="AE1073" s="5" t="n"/>
      <c r="AF1073" s="5" t="n"/>
      <c r="AG1073" s="5" t="n"/>
      <c r="AH1073" s="5" t="n"/>
      <c r="AI1073" s="5" t="n"/>
      <c r="AJ1073" s="5" t="n"/>
      <c r="AK1073" s="5" t="n"/>
      <c r="AL1073" s="5" t="n"/>
      <c r="AM1073" s="5" t="n"/>
      <c r="AN1073" s="5" t="n"/>
      <c r="AO1073" s="5" t="n"/>
      <c r="AP1073" s="5" t="n"/>
      <c r="AQ1073" s="5" t="n"/>
      <c r="AR1073" s="5" t="n"/>
      <c r="AS1073" s="5" t="n"/>
      <c r="AT1073" s="5" t="n"/>
      <c r="AU1073" s="5" t="n"/>
      <c r="AV1073" s="5" t="n"/>
      <c r="AW1073" s="5" t="n"/>
      <c r="AX1073" s="5" t="n"/>
      <c r="AY1073" s="5" t="n"/>
      <c r="AZ1073" s="5" t="n"/>
      <c r="BA1073" s="5" t="n"/>
      <c r="BB1073" s="5" t="n"/>
      <c r="BC1073" s="5" t="n"/>
      <c r="BD1073" s="5" t="n"/>
      <c r="BE1073" s="5" t="n"/>
      <c r="BF1073" s="5" t="n"/>
      <c r="BG1073" s="5" t="n"/>
      <c r="BH1073" s="5" t="n"/>
      <c r="BI1073" s="5" t="n"/>
      <c r="BJ1073" s="5" t="n"/>
      <c r="BK1073" s="5" t="n"/>
      <c r="BL1073" s="5" t="n"/>
      <c r="BM1073" s="5" t="n"/>
      <c r="BN1073" s="5" t="n"/>
      <c r="BO1073" s="5" t="n"/>
      <c r="BP1073" s="5" t="n"/>
      <c r="BQ1073" s="5" t="n"/>
      <c r="BR1073" s="5" t="n"/>
      <c r="BS1073" s="5" t="n"/>
      <c r="BT1073" s="5" t="n"/>
      <c r="BU1073" s="5" t="n"/>
      <c r="BV1073" s="5" t="n"/>
      <c r="BW1073" s="5" t="n"/>
      <c r="BX1073" s="5" t="n"/>
      <c r="BY1073" s="5" t="n"/>
      <c r="BZ1073" s="5" t="n"/>
      <c r="CA1073" s="5" t="n"/>
      <c r="CB1073" s="5" t="n"/>
      <c r="CC1073" s="5" t="n"/>
      <c r="CD1073" s="5" t="n"/>
      <c r="CE1073" s="5" t="n"/>
      <c r="CF1073" s="5" t="n"/>
    </row>
    <row r="1074">
      <c r="A1074" s="171" t="n"/>
      <c r="B1074" s="171" t="n"/>
      <c r="C1074" s="171" t="n"/>
      <c r="D1074" s="170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  <c r="Q1074" s="5" t="n"/>
      <c r="R1074" s="5" t="n"/>
      <c r="S1074" s="5" t="n"/>
      <c r="T1074" s="5" t="n"/>
      <c r="U1074" s="5" t="n"/>
      <c r="V1074" s="5" t="n"/>
      <c r="W1074" s="5" t="n"/>
      <c r="X1074" s="5" t="n"/>
      <c r="Y1074" s="5" t="n"/>
      <c r="Z1074" s="5" t="n"/>
      <c r="AA1074" s="5" t="n"/>
      <c r="AB1074" s="5" t="n"/>
      <c r="AC1074" s="5" t="n"/>
      <c r="AD1074" s="5" t="n"/>
      <c r="AE1074" s="5" t="n"/>
      <c r="AF1074" s="5" t="n"/>
      <c r="AG1074" s="5" t="n"/>
      <c r="AH1074" s="5" t="n"/>
      <c r="AI1074" s="5" t="n"/>
      <c r="AJ1074" s="5" t="n"/>
      <c r="AK1074" s="5" t="n"/>
      <c r="AL1074" s="5" t="n"/>
      <c r="AM1074" s="5" t="n"/>
      <c r="AN1074" s="5" t="n"/>
      <c r="AO1074" s="5" t="n"/>
      <c r="AP1074" s="5" t="n"/>
      <c r="AQ1074" s="5" t="n"/>
      <c r="AR1074" s="5" t="n"/>
      <c r="AS1074" s="5" t="n"/>
      <c r="AT1074" s="5" t="n"/>
      <c r="AU1074" s="5" t="n"/>
      <c r="AV1074" s="5" t="n"/>
      <c r="AW1074" s="5" t="n"/>
      <c r="AX1074" s="5" t="n"/>
      <c r="AY1074" s="5" t="n"/>
      <c r="AZ1074" s="5" t="n"/>
      <c r="BA1074" s="5" t="n"/>
      <c r="BB1074" s="5" t="n"/>
      <c r="BC1074" s="5" t="n"/>
      <c r="BD1074" s="5" t="n"/>
      <c r="BE1074" s="5" t="n"/>
      <c r="BF1074" s="5" t="n"/>
      <c r="BG1074" s="5" t="n"/>
      <c r="BH1074" s="5" t="n"/>
      <c r="BI1074" s="5" t="n"/>
      <c r="BJ1074" s="5" t="n"/>
      <c r="BK1074" s="5" t="n"/>
      <c r="BL1074" s="5" t="n"/>
      <c r="BM1074" s="5" t="n"/>
      <c r="BN1074" s="5" t="n"/>
      <c r="BO1074" s="5" t="n"/>
      <c r="BP1074" s="5" t="n"/>
      <c r="BQ1074" s="5" t="n"/>
      <c r="BR1074" s="5" t="n"/>
      <c r="BS1074" s="5" t="n"/>
      <c r="BT1074" s="5" t="n"/>
      <c r="BU1074" s="5" t="n"/>
      <c r="BV1074" s="5" t="n"/>
      <c r="BW1074" s="5" t="n"/>
      <c r="BX1074" s="5" t="n"/>
      <c r="BY1074" s="5" t="n"/>
      <c r="BZ1074" s="5" t="n"/>
      <c r="CA1074" s="5" t="n"/>
      <c r="CB1074" s="5" t="n"/>
      <c r="CC1074" s="5" t="n"/>
      <c r="CD1074" s="5" t="n"/>
      <c r="CE1074" s="5" t="n"/>
      <c r="CF1074" s="5" t="n"/>
    </row>
    <row r="1075">
      <c r="A1075" s="171" t="n"/>
      <c r="B1075" s="171" t="n"/>
      <c r="C1075" s="171" t="n"/>
      <c r="D1075" s="170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  <c r="Q1075" s="5" t="n"/>
      <c r="R1075" s="5" t="n"/>
      <c r="S1075" s="5" t="n"/>
      <c r="T1075" s="5" t="n"/>
      <c r="U1075" s="5" t="n"/>
      <c r="V1075" s="5" t="n"/>
      <c r="W1075" s="5" t="n"/>
      <c r="X1075" s="5" t="n"/>
      <c r="Y1075" s="5" t="n"/>
      <c r="Z1075" s="5" t="n"/>
      <c r="AA1075" s="5" t="n"/>
      <c r="AB1075" s="5" t="n"/>
      <c r="AC1075" s="5" t="n"/>
      <c r="AD1075" s="5" t="n"/>
      <c r="AE1075" s="5" t="n"/>
      <c r="AF1075" s="5" t="n"/>
      <c r="AG1075" s="5" t="n"/>
      <c r="AH1075" s="5" t="n"/>
      <c r="AI1075" s="5" t="n"/>
      <c r="AJ1075" s="5" t="n"/>
      <c r="AK1075" s="5" t="n"/>
      <c r="AL1075" s="5" t="n"/>
      <c r="AM1075" s="5" t="n"/>
      <c r="AN1075" s="5" t="n"/>
      <c r="AO1075" s="5" t="n"/>
      <c r="AP1075" s="5" t="n"/>
      <c r="AQ1075" s="5" t="n"/>
      <c r="AR1075" s="5" t="n"/>
      <c r="AS1075" s="5" t="n"/>
      <c r="AT1075" s="5" t="n"/>
      <c r="AU1075" s="5" t="n"/>
      <c r="AV1075" s="5" t="n"/>
      <c r="AW1075" s="5" t="n"/>
      <c r="AX1075" s="5" t="n"/>
      <c r="AY1075" s="5" t="n"/>
      <c r="AZ1075" s="5" t="n"/>
      <c r="BA1075" s="5" t="n"/>
      <c r="BB1075" s="5" t="n"/>
      <c r="BC1075" s="5" t="n"/>
      <c r="BD1075" s="5" t="n"/>
      <c r="BE1075" s="5" t="n"/>
      <c r="BF1075" s="5" t="n"/>
      <c r="BG1075" s="5" t="n"/>
      <c r="BH1075" s="5" t="n"/>
      <c r="BI1075" s="5" t="n"/>
      <c r="BJ1075" s="5" t="n"/>
      <c r="BK1075" s="5" t="n"/>
      <c r="BL1075" s="5" t="n"/>
      <c r="BM1075" s="5" t="n"/>
      <c r="BN1075" s="5" t="n"/>
      <c r="BO1075" s="5" t="n"/>
      <c r="BP1075" s="5" t="n"/>
      <c r="BQ1075" s="5" t="n"/>
      <c r="BR1075" s="5" t="n"/>
      <c r="BS1075" s="5" t="n"/>
      <c r="BT1075" s="5" t="n"/>
      <c r="BU1075" s="5" t="n"/>
      <c r="BV1075" s="5" t="n"/>
      <c r="BW1075" s="5" t="n"/>
      <c r="BX1075" s="5" t="n"/>
      <c r="BY1075" s="5" t="n"/>
      <c r="BZ1075" s="5" t="n"/>
      <c r="CA1075" s="5" t="n"/>
      <c r="CB1075" s="5" t="n"/>
      <c r="CC1075" s="5" t="n"/>
      <c r="CD1075" s="5" t="n"/>
      <c r="CE1075" s="5" t="n"/>
      <c r="CF1075" s="5" t="n"/>
    </row>
    <row r="1076">
      <c r="A1076" s="171" t="n"/>
      <c r="B1076" s="171" t="n"/>
      <c r="C1076" s="171" t="n"/>
      <c r="D1076" s="170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  <c r="Q1076" s="5" t="n"/>
      <c r="R1076" s="5" t="n"/>
      <c r="S1076" s="5" t="n"/>
      <c r="T1076" s="5" t="n"/>
      <c r="U1076" s="5" t="n"/>
      <c r="V1076" s="5" t="n"/>
      <c r="W1076" s="5" t="n"/>
      <c r="X1076" s="5" t="n"/>
      <c r="Y1076" s="5" t="n"/>
      <c r="Z1076" s="5" t="n"/>
      <c r="AA1076" s="5" t="n"/>
      <c r="AB1076" s="5" t="n"/>
      <c r="AC1076" s="5" t="n"/>
      <c r="AD1076" s="5" t="n"/>
      <c r="AE1076" s="5" t="n"/>
      <c r="AF1076" s="5" t="n"/>
      <c r="AG1076" s="5" t="n"/>
      <c r="AH1076" s="5" t="n"/>
      <c r="AI1076" s="5" t="n"/>
      <c r="AJ1076" s="5" t="n"/>
      <c r="AK1076" s="5" t="n"/>
      <c r="AL1076" s="5" t="n"/>
      <c r="AM1076" s="5" t="n"/>
      <c r="AN1076" s="5" t="n"/>
      <c r="AO1076" s="5" t="n"/>
      <c r="AP1076" s="5" t="n"/>
      <c r="AQ1076" s="5" t="n"/>
      <c r="AR1076" s="5" t="n"/>
      <c r="AS1076" s="5" t="n"/>
      <c r="AT1076" s="5" t="n"/>
      <c r="AU1076" s="5" t="n"/>
      <c r="AV1076" s="5" t="n"/>
      <c r="AW1076" s="5" t="n"/>
      <c r="AX1076" s="5" t="n"/>
      <c r="AY1076" s="5" t="n"/>
      <c r="AZ1076" s="5" t="n"/>
      <c r="BA1076" s="5" t="n"/>
      <c r="BB1076" s="5" t="n"/>
      <c r="BC1076" s="5" t="n"/>
      <c r="BD1076" s="5" t="n"/>
      <c r="BE1076" s="5" t="n"/>
      <c r="BF1076" s="5" t="n"/>
      <c r="BG1076" s="5" t="n"/>
      <c r="BH1076" s="5" t="n"/>
      <c r="BI1076" s="5" t="n"/>
      <c r="BJ1076" s="5" t="n"/>
      <c r="BK1076" s="5" t="n"/>
      <c r="BL1076" s="5" t="n"/>
      <c r="BM1076" s="5" t="n"/>
      <c r="BN1076" s="5" t="n"/>
      <c r="BO1076" s="5" t="n"/>
      <c r="BP1076" s="5" t="n"/>
      <c r="BQ1076" s="5" t="n"/>
      <c r="BR1076" s="5" t="n"/>
      <c r="BS1076" s="5" t="n"/>
      <c r="BT1076" s="5" t="n"/>
      <c r="BU1076" s="5" t="n"/>
      <c r="BV1076" s="5" t="n"/>
      <c r="BW1076" s="5" t="n"/>
      <c r="BX1076" s="5" t="n"/>
      <c r="BY1076" s="5" t="n"/>
      <c r="BZ1076" s="5" t="n"/>
      <c r="CA1076" s="5" t="n"/>
      <c r="CB1076" s="5" t="n"/>
      <c r="CC1076" s="5" t="n"/>
      <c r="CD1076" s="5" t="n"/>
      <c r="CE1076" s="5" t="n"/>
      <c r="CF1076" s="5" t="n"/>
    </row>
    <row r="1077">
      <c r="A1077" s="171" t="n"/>
      <c r="B1077" s="171" t="n"/>
      <c r="C1077" s="171" t="n"/>
      <c r="D1077" s="170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  <c r="Q1077" s="5" t="n"/>
      <c r="R1077" s="5" t="n"/>
      <c r="S1077" s="5" t="n"/>
      <c r="T1077" s="5" t="n"/>
      <c r="U1077" s="5" t="n"/>
      <c r="V1077" s="5" t="n"/>
      <c r="W1077" s="5" t="n"/>
      <c r="X1077" s="5" t="n"/>
      <c r="Y1077" s="5" t="n"/>
      <c r="Z1077" s="5" t="n"/>
      <c r="AA1077" s="5" t="n"/>
      <c r="AB1077" s="5" t="n"/>
      <c r="AC1077" s="5" t="n"/>
      <c r="AD1077" s="5" t="n"/>
      <c r="AE1077" s="5" t="n"/>
      <c r="AF1077" s="5" t="n"/>
      <c r="AG1077" s="5" t="n"/>
      <c r="AH1077" s="5" t="n"/>
      <c r="AI1077" s="5" t="n"/>
      <c r="AJ1077" s="5" t="n"/>
      <c r="AK1077" s="5" t="n"/>
      <c r="AL1077" s="5" t="n"/>
      <c r="AM1077" s="5" t="n"/>
      <c r="AN1077" s="5" t="n"/>
      <c r="AO1077" s="5" t="n"/>
      <c r="AP1077" s="5" t="n"/>
      <c r="AQ1077" s="5" t="n"/>
      <c r="AR1077" s="5" t="n"/>
      <c r="AS1077" s="5" t="n"/>
      <c r="AT1077" s="5" t="n"/>
      <c r="AU1077" s="5" t="n"/>
      <c r="AV1077" s="5" t="n"/>
      <c r="AW1077" s="5" t="n"/>
      <c r="AX1077" s="5" t="n"/>
      <c r="AY1077" s="5" t="n"/>
      <c r="AZ1077" s="5" t="n"/>
      <c r="BA1077" s="5" t="n"/>
      <c r="BB1077" s="5" t="n"/>
      <c r="BC1077" s="5" t="n"/>
      <c r="BD1077" s="5" t="n"/>
      <c r="BE1077" s="5" t="n"/>
      <c r="BF1077" s="5" t="n"/>
      <c r="BG1077" s="5" t="n"/>
      <c r="BH1077" s="5" t="n"/>
      <c r="BI1077" s="5" t="n"/>
      <c r="BJ1077" s="5" t="n"/>
      <c r="BK1077" s="5" t="n"/>
      <c r="BL1077" s="5" t="n"/>
      <c r="BM1077" s="5" t="n"/>
      <c r="BN1077" s="5" t="n"/>
      <c r="BO1077" s="5" t="n"/>
      <c r="BP1077" s="5" t="n"/>
      <c r="BQ1077" s="5" t="n"/>
      <c r="BR1077" s="5" t="n"/>
      <c r="BS1077" s="5" t="n"/>
      <c r="BT1077" s="5" t="n"/>
      <c r="BU1077" s="5" t="n"/>
      <c r="BV1077" s="5" t="n"/>
      <c r="BW1077" s="5" t="n"/>
      <c r="BX1077" s="5" t="n"/>
      <c r="BY1077" s="5" t="n"/>
      <c r="BZ1077" s="5" t="n"/>
      <c r="CA1077" s="5" t="n"/>
      <c r="CB1077" s="5" t="n"/>
      <c r="CC1077" s="5" t="n"/>
      <c r="CD1077" s="5" t="n"/>
      <c r="CE1077" s="5" t="n"/>
      <c r="CF1077" s="5" t="n"/>
    </row>
    <row r="1078">
      <c r="A1078" s="171" t="n"/>
      <c r="B1078" s="171" t="n"/>
      <c r="C1078" s="171" t="n"/>
      <c r="D1078" s="170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  <c r="Q1078" s="5" t="n"/>
      <c r="R1078" s="5" t="n"/>
      <c r="S1078" s="5" t="n"/>
      <c r="T1078" s="5" t="n"/>
      <c r="U1078" s="5" t="n"/>
      <c r="V1078" s="5" t="n"/>
      <c r="W1078" s="5" t="n"/>
      <c r="X1078" s="5" t="n"/>
      <c r="Y1078" s="5" t="n"/>
      <c r="Z1078" s="5" t="n"/>
      <c r="AA1078" s="5" t="n"/>
      <c r="AB1078" s="5" t="n"/>
      <c r="AC1078" s="5" t="n"/>
      <c r="AD1078" s="5" t="n"/>
      <c r="AE1078" s="5" t="n"/>
      <c r="AF1078" s="5" t="n"/>
      <c r="AG1078" s="5" t="n"/>
      <c r="AH1078" s="5" t="n"/>
      <c r="AI1078" s="5" t="n"/>
      <c r="AJ1078" s="5" t="n"/>
      <c r="AK1078" s="5" t="n"/>
      <c r="AL1078" s="5" t="n"/>
      <c r="AM1078" s="5" t="n"/>
      <c r="AN1078" s="5" t="n"/>
      <c r="AO1078" s="5" t="n"/>
      <c r="AP1078" s="5" t="n"/>
      <c r="AQ1078" s="5" t="n"/>
      <c r="AR1078" s="5" t="n"/>
      <c r="AS1078" s="5" t="n"/>
      <c r="AT1078" s="5" t="n"/>
      <c r="AU1078" s="5" t="n"/>
      <c r="AV1078" s="5" t="n"/>
      <c r="AW1078" s="5" t="n"/>
      <c r="AX1078" s="5" t="n"/>
      <c r="AY1078" s="5" t="n"/>
      <c r="AZ1078" s="5" t="n"/>
      <c r="BA1078" s="5" t="n"/>
      <c r="BB1078" s="5" t="n"/>
      <c r="BC1078" s="5" t="n"/>
      <c r="BD1078" s="5" t="n"/>
      <c r="BE1078" s="5" t="n"/>
      <c r="BF1078" s="5" t="n"/>
      <c r="BG1078" s="5" t="n"/>
      <c r="BH1078" s="5" t="n"/>
      <c r="BI1078" s="5" t="n"/>
      <c r="BJ1078" s="5" t="n"/>
      <c r="BK1078" s="5" t="n"/>
      <c r="BL1078" s="5" t="n"/>
      <c r="BM1078" s="5" t="n"/>
      <c r="BN1078" s="5" t="n"/>
      <c r="BO1078" s="5" t="n"/>
      <c r="BP1078" s="5" t="n"/>
      <c r="BQ1078" s="5" t="n"/>
      <c r="BR1078" s="5" t="n"/>
      <c r="BS1078" s="5" t="n"/>
      <c r="BT1078" s="5" t="n"/>
      <c r="BU1078" s="5" t="n"/>
      <c r="BV1078" s="5" t="n"/>
      <c r="BW1078" s="5" t="n"/>
      <c r="BX1078" s="5" t="n"/>
      <c r="BY1078" s="5" t="n"/>
      <c r="BZ1078" s="5" t="n"/>
      <c r="CA1078" s="5" t="n"/>
      <c r="CB1078" s="5" t="n"/>
      <c r="CC1078" s="5" t="n"/>
      <c r="CD1078" s="5" t="n"/>
      <c r="CE1078" s="5" t="n"/>
      <c r="CF1078" s="5" t="n"/>
    </row>
    <row r="1079">
      <c r="A1079" s="171" t="n"/>
      <c r="B1079" s="171" t="n"/>
      <c r="C1079" s="171" t="n"/>
      <c r="D1079" s="170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  <c r="Q1079" s="5" t="n"/>
      <c r="R1079" s="5" t="n"/>
      <c r="S1079" s="5" t="n"/>
      <c r="T1079" s="5" t="n"/>
      <c r="U1079" s="5" t="n"/>
      <c r="V1079" s="5" t="n"/>
      <c r="W1079" s="5" t="n"/>
      <c r="X1079" s="5" t="n"/>
      <c r="Y1079" s="5" t="n"/>
      <c r="Z1079" s="5" t="n"/>
      <c r="AA1079" s="5" t="n"/>
      <c r="AB1079" s="5" t="n"/>
      <c r="AC1079" s="5" t="n"/>
      <c r="AD1079" s="5" t="n"/>
      <c r="AE1079" s="5" t="n"/>
      <c r="AF1079" s="5" t="n"/>
      <c r="AG1079" s="5" t="n"/>
      <c r="AH1079" s="5" t="n"/>
      <c r="AI1079" s="5" t="n"/>
      <c r="AJ1079" s="5" t="n"/>
      <c r="AK1079" s="5" t="n"/>
      <c r="AL1079" s="5" t="n"/>
      <c r="AM1079" s="5" t="n"/>
      <c r="AN1079" s="5" t="n"/>
      <c r="AO1079" s="5" t="n"/>
      <c r="AP1079" s="5" t="n"/>
      <c r="AQ1079" s="5" t="n"/>
      <c r="AR1079" s="5" t="n"/>
      <c r="AS1079" s="5" t="n"/>
      <c r="AT1079" s="5" t="n"/>
      <c r="AU1079" s="5" t="n"/>
      <c r="AV1079" s="5" t="n"/>
      <c r="AW1079" s="5" t="n"/>
      <c r="AX1079" s="5" t="n"/>
      <c r="AY1079" s="5" t="n"/>
      <c r="AZ1079" s="5" t="n"/>
      <c r="BA1079" s="5" t="n"/>
      <c r="BB1079" s="5" t="n"/>
      <c r="BC1079" s="5" t="n"/>
      <c r="BD1079" s="5" t="n"/>
      <c r="BE1079" s="5" t="n"/>
      <c r="BF1079" s="5" t="n"/>
      <c r="BG1079" s="5" t="n"/>
      <c r="BH1079" s="5" t="n"/>
      <c r="BI1079" s="5" t="n"/>
      <c r="BJ1079" s="5" t="n"/>
      <c r="BK1079" s="5" t="n"/>
      <c r="BL1079" s="5" t="n"/>
      <c r="BM1079" s="5" t="n"/>
      <c r="BN1079" s="5" t="n"/>
      <c r="BO1079" s="5" t="n"/>
      <c r="BP1079" s="5" t="n"/>
      <c r="BQ1079" s="5" t="n"/>
      <c r="BR1079" s="5" t="n"/>
      <c r="BS1079" s="5" t="n"/>
      <c r="BT1079" s="5" t="n"/>
      <c r="BU1079" s="5" t="n"/>
      <c r="BV1079" s="5" t="n"/>
      <c r="BW1079" s="5" t="n"/>
      <c r="BX1079" s="5" t="n"/>
      <c r="BY1079" s="5" t="n"/>
      <c r="BZ1079" s="5" t="n"/>
      <c r="CA1079" s="5" t="n"/>
      <c r="CB1079" s="5" t="n"/>
      <c r="CC1079" s="5" t="n"/>
      <c r="CD1079" s="5" t="n"/>
      <c r="CE1079" s="5" t="n"/>
      <c r="CF1079" s="5" t="n"/>
    </row>
    <row r="1080">
      <c r="A1080" s="171" t="n"/>
      <c r="B1080" s="171" t="n"/>
      <c r="C1080" s="171" t="n"/>
      <c r="D1080" s="170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  <c r="Q1080" s="5" t="n"/>
      <c r="R1080" s="5" t="n"/>
      <c r="S1080" s="5" t="n"/>
      <c r="T1080" s="5" t="n"/>
      <c r="U1080" s="5" t="n"/>
      <c r="V1080" s="5" t="n"/>
      <c r="W1080" s="5" t="n"/>
      <c r="X1080" s="5" t="n"/>
      <c r="Y1080" s="5" t="n"/>
      <c r="Z1080" s="5" t="n"/>
      <c r="AA1080" s="5" t="n"/>
      <c r="AB1080" s="5" t="n"/>
      <c r="AC1080" s="5" t="n"/>
      <c r="AD1080" s="5" t="n"/>
      <c r="AE1080" s="5" t="n"/>
      <c r="AF1080" s="5" t="n"/>
      <c r="AG1080" s="5" t="n"/>
      <c r="AH1080" s="5" t="n"/>
      <c r="AI1080" s="5" t="n"/>
      <c r="AJ1080" s="5" t="n"/>
      <c r="AK1080" s="5" t="n"/>
      <c r="AL1080" s="5" t="n"/>
      <c r="AM1080" s="5" t="n"/>
      <c r="AN1080" s="5" t="n"/>
      <c r="AO1080" s="5" t="n"/>
      <c r="AP1080" s="5" t="n"/>
      <c r="AQ1080" s="5" t="n"/>
      <c r="AR1080" s="5" t="n"/>
      <c r="AS1080" s="5" t="n"/>
      <c r="AT1080" s="5" t="n"/>
      <c r="AU1080" s="5" t="n"/>
      <c r="AV1080" s="5" t="n"/>
      <c r="AW1080" s="5" t="n"/>
      <c r="AX1080" s="5" t="n"/>
      <c r="AY1080" s="5" t="n"/>
      <c r="AZ1080" s="5" t="n"/>
      <c r="BA1080" s="5" t="n"/>
      <c r="BB1080" s="5" t="n"/>
      <c r="BC1080" s="5" t="n"/>
      <c r="BD1080" s="5" t="n"/>
      <c r="BE1080" s="5" t="n"/>
      <c r="BF1080" s="5" t="n"/>
      <c r="BG1080" s="5" t="n"/>
      <c r="BH1080" s="5" t="n"/>
      <c r="BI1080" s="5" t="n"/>
      <c r="BJ1080" s="5" t="n"/>
      <c r="BK1080" s="5" t="n"/>
      <c r="BL1080" s="5" t="n"/>
      <c r="BM1080" s="5" t="n"/>
      <c r="BN1080" s="5" t="n"/>
      <c r="BO1080" s="5" t="n"/>
      <c r="BP1080" s="5" t="n"/>
      <c r="BQ1080" s="5" t="n"/>
      <c r="BR1080" s="5" t="n"/>
      <c r="BS1080" s="5" t="n"/>
      <c r="BT1080" s="5" t="n"/>
      <c r="BU1080" s="5" t="n"/>
      <c r="BV1080" s="5" t="n"/>
      <c r="BW1080" s="5" t="n"/>
      <c r="BX1080" s="5" t="n"/>
      <c r="BY1080" s="5" t="n"/>
      <c r="BZ1080" s="5" t="n"/>
      <c r="CA1080" s="5" t="n"/>
      <c r="CB1080" s="5" t="n"/>
      <c r="CC1080" s="5" t="n"/>
      <c r="CD1080" s="5" t="n"/>
      <c r="CE1080" s="5" t="n"/>
      <c r="CF1080" s="5" t="n"/>
    </row>
    <row r="1081">
      <c r="A1081" s="171" t="n"/>
      <c r="B1081" s="171" t="n"/>
      <c r="C1081" s="171" t="n"/>
      <c r="D1081" s="170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  <c r="Q1081" s="5" t="n"/>
      <c r="R1081" s="5" t="n"/>
      <c r="S1081" s="5" t="n"/>
      <c r="T1081" s="5" t="n"/>
      <c r="U1081" s="5" t="n"/>
      <c r="V1081" s="5" t="n"/>
      <c r="W1081" s="5" t="n"/>
      <c r="X1081" s="5" t="n"/>
      <c r="Y1081" s="5" t="n"/>
      <c r="Z1081" s="5" t="n"/>
      <c r="AA1081" s="5" t="n"/>
      <c r="AB1081" s="5" t="n"/>
      <c r="AC1081" s="5" t="n"/>
      <c r="AD1081" s="5" t="n"/>
      <c r="AE1081" s="5" t="n"/>
      <c r="AF1081" s="5" t="n"/>
      <c r="AG1081" s="5" t="n"/>
      <c r="AH1081" s="5" t="n"/>
      <c r="AI1081" s="5" t="n"/>
      <c r="AJ1081" s="5" t="n"/>
      <c r="AK1081" s="5" t="n"/>
      <c r="AL1081" s="5" t="n"/>
      <c r="AM1081" s="5" t="n"/>
      <c r="AN1081" s="5" t="n"/>
      <c r="AO1081" s="5" t="n"/>
      <c r="AP1081" s="5" t="n"/>
      <c r="AQ1081" s="5" t="n"/>
      <c r="AR1081" s="5" t="n"/>
      <c r="AS1081" s="5" t="n"/>
      <c r="AT1081" s="5" t="n"/>
      <c r="AU1081" s="5" t="n"/>
      <c r="AV1081" s="5" t="n"/>
      <c r="AW1081" s="5" t="n"/>
      <c r="AX1081" s="5" t="n"/>
      <c r="AY1081" s="5" t="n"/>
      <c r="AZ1081" s="5" t="n"/>
      <c r="BA1081" s="5" t="n"/>
      <c r="BB1081" s="5" t="n"/>
      <c r="BC1081" s="5" t="n"/>
      <c r="BD1081" s="5" t="n"/>
      <c r="BE1081" s="5" t="n"/>
      <c r="BF1081" s="5" t="n"/>
      <c r="BG1081" s="5" t="n"/>
      <c r="BH1081" s="5" t="n"/>
      <c r="BI1081" s="5" t="n"/>
      <c r="BJ1081" s="5" t="n"/>
      <c r="BK1081" s="5" t="n"/>
      <c r="BL1081" s="5" t="n"/>
      <c r="BM1081" s="5" t="n"/>
      <c r="BN1081" s="5" t="n"/>
      <c r="BO1081" s="5" t="n"/>
      <c r="BP1081" s="5" t="n"/>
      <c r="BQ1081" s="5" t="n"/>
      <c r="BR1081" s="5" t="n"/>
      <c r="BS1081" s="5" t="n"/>
      <c r="BT1081" s="5" t="n"/>
      <c r="BU1081" s="5" t="n"/>
      <c r="BV1081" s="5" t="n"/>
      <c r="BW1081" s="5" t="n"/>
      <c r="BX1081" s="5" t="n"/>
      <c r="BY1081" s="5" t="n"/>
      <c r="BZ1081" s="5" t="n"/>
      <c r="CA1081" s="5" t="n"/>
      <c r="CB1081" s="5" t="n"/>
      <c r="CC1081" s="5" t="n"/>
      <c r="CD1081" s="5" t="n"/>
      <c r="CE1081" s="5" t="n"/>
      <c r="CF1081" s="5" t="n"/>
    </row>
    <row r="1082">
      <c r="A1082" s="171" t="n"/>
      <c r="B1082" s="171" t="n"/>
      <c r="C1082" s="171" t="n"/>
      <c r="D1082" s="170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  <c r="Q1082" s="5" t="n"/>
      <c r="R1082" s="5" t="n"/>
      <c r="S1082" s="5" t="n"/>
      <c r="T1082" s="5" t="n"/>
      <c r="U1082" s="5" t="n"/>
      <c r="V1082" s="5" t="n"/>
      <c r="W1082" s="5" t="n"/>
      <c r="X1082" s="5" t="n"/>
      <c r="Y1082" s="5" t="n"/>
      <c r="Z1082" s="5" t="n"/>
      <c r="AA1082" s="5" t="n"/>
      <c r="AB1082" s="5" t="n"/>
      <c r="AC1082" s="5" t="n"/>
      <c r="AD1082" s="5" t="n"/>
      <c r="AE1082" s="5" t="n"/>
      <c r="AF1082" s="5" t="n"/>
      <c r="AG1082" s="5" t="n"/>
      <c r="AH1082" s="5" t="n"/>
      <c r="AI1082" s="5" t="n"/>
      <c r="AJ1082" s="5" t="n"/>
      <c r="AK1082" s="5" t="n"/>
      <c r="AL1082" s="5" t="n"/>
      <c r="AM1082" s="5" t="n"/>
      <c r="AN1082" s="5" t="n"/>
      <c r="AO1082" s="5" t="n"/>
      <c r="AP1082" s="5" t="n"/>
      <c r="AQ1082" s="5" t="n"/>
      <c r="AR1082" s="5" t="n"/>
      <c r="AS1082" s="5" t="n"/>
      <c r="AT1082" s="5" t="n"/>
      <c r="AU1082" s="5" t="n"/>
      <c r="AV1082" s="5" t="n"/>
      <c r="AW1082" s="5" t="n"/>
      <c r="AX1082" s="5" t="n"/>
      <c r="AY1082" s="5" t="n"/>
      <c r="AZ1082" s="5" t="n"/>
      <c r="BA1082" s="5" t="n"/>
      <c r="BB1082" s="5" t="n"/>
      <c r="BC1082" s="5" t="n"/>
      <c r="BD1082" s="5" t="n"/>
      <c r="BE1082" s="5" t="n"/>
      <c r="BF1082" s="5" t="n"/>
      <c r="BG1082" s="5" t="n"/>
      <c r="BH1082" s="5" t="n"/>
      <c r="BI1082" s="5" t="n"/>
      <c r="BJ1082" s="5" t="n"/>
      <c r="BK1082" s="5" t="n"/>
      <c r="BL1082" s="5" t="n"/>
      <c r="BM1082" s="5" t="n"/>
      <c r="BN1082" s="5" t="n"/>
      <c r="BO1082" s="5" t="n"/>
      <c r="BP1082" s="5" t="n"/>
      <c r="BQ1082" s="5" t="n"/>
      <c r="BR1082" s="5" t="n"/>
      <c r="BS1082" s="5" t="n"/>
      <c r="BT1082" s="5" t="n"/>
      <c r="BU1082" s="5" t="n"/>
      <c r="BV1082" s="5" t="n"/>
      <c r="BW1082" s="5" t="n"/>
      <c r="BX1082" s="5" t="n"/>
      <c r="BY1082" s="5" t="n"/>
      <c r="BZ1082" s="5" t="n"/>
      <c r="CA1082" s="5" t="n"/>
      <c r="CB1082" s="5" t="n"/>
      <c r="CC1082" s="5" t="n"/>
      <c r="CD1082" s="5" t="n"/>
      <c r="CE1082" s="5" t="n"/>
      <c r="CF1082" s="5" t="n"/>
    </row>
    <row r="1083">
      <c r="A1083" s="171" t="n"/>
      <c r="B1083" s="171" t="n"/>
      <c r="C1083" s="171" t="n"/>
      <c r="D1083" s="170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  <c r="Q1083" s="5" t="n"/>
      <c r="R1083" s="5" t="n"/>
      <c r="S1083" s="5" t="n"/>
      <c r="T1083" s="5" t="n"/>
      <c r="U1083" s="5" t="n"/>
      <c r="V1083" s="5" t="n"/>
      <c r="W1083" s="5" t="n"/>
      <c r="X1083" s="5" t="n"/>
      <c r="Y1083" s="5" t="n"/>
      <c r="Z1083" s="5" t="n"/>
      <c r="AA1083" s="5" t="n"/>
      <c r="AB1083" s="5" t="n"/>
      <c r="AC1083" s="5" t="n"/>
      <c r="AD1083" s="5" t="n"/>
      <c r="AE1083" s="5" t="n"/>
      <c r="AF1083" s="5" t="n"/>
      <c r="AG1083" s="5" t="n"/>
      <c r="AH1083" s="5" t="n"/>
      <c r="AI1083" s="5" t="n"/>
      <c r="AJ1083" s="5" t="n"/>
      <c r="AK1083" s="5" t="n"/>
      <c r="AL1083" s="5" t="n"/>
      <c r="AM1083" s="5" t="n"/>
      <c r="AN1083" s="5" t="n"/>
      <c r="AO1083" s="5" t="n"/>
      <c r="AP1083" s="5" t="n"/>
      <c r="AQ1083" s="5" t="n"/>
      <c r="AR1083" s="5" t="n"/>
      <c r="AS1083" s="5" t="n"/>
      <c r="AT1083" s="5" t="n"/>
      <c r="AU1083" s="5" t="n"/>
      <c r="AV1083" s="5" t="n"/>
      <c r="AW1083" s="5" t="n"/>
      <c r="AX1083" s="5" t="n"/>
      <c r="AY1083" s="5" t="n"/>
      <c r="AZ1083" s="5" t="n"/>
      <c r="BA1083" s="5" t="n"/>
      <c r="BB1083" s="5" t="n"/>
      <c r="BC1083" s="5" t="n"/>
      <c r="BD1083" s="5" t="n"/>
      <c r="BE1083" s="5" t="n"/>
      <c r="BF1083" s="5" t="n"/>
      <c r="BG1083" s="5" t="n"/>
      <c r="BH1083" s="5" t="n"/>
      <c r="BI1083" s="5" t="n"/>
      <c r="BJ1083" s="5" t="n"/>
      <c r="BK1083" s="5" t="n"/>
      <c r="BL1083" s="5" t="n"/>
      <c r="BM1083" s="5" t="n"/>
      <c r="BN1083" s="5" t="n"/>
      <c r="BO1083" s="5" t="n"/>
      <c r="BP1083" s="5" t="n"/>
      <c r="BQ1083" s="5" t="n"/>
      <c r="BR1083" s="5" t="n"/>
      <c r="BS1083" s="5" t="n"/>
      <c r="BT1083" s="5" t="n"/>
      <c r="BU1083" s="5" t="n"/>
      <c r="BV1083" s="5" t="n"/>
      <c r="BW1083" s="5" t="n"/>
      <c r="BX1083" s="5" t="n"/>
      <c r="BY1083" s="5" t="n"/>
      <c r="BZ1083" s="5" t="n"/>
      <c r="CA1083" s="5" t="n"/>
      <c r="CB1083" s="5" t="n"/>
      <c r="CC1083" s="5" t="n"/>
      <c r="CD1083" s="5" t="n"/>
      <c r="CE1083" s="5" t="n"/>
      <c r="CF1083" s="5" t="n"/>
    </row>
    <row r="1084">
      <c r="A1084" s="171" t="n"/>
      <c r="B1084" s="171" t="n"/>
      <c r="C1084" s="171" t="n"/>
      <c r="D1084" s="170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  <c r="Q1084" s="5" t="n"/>
      <c r="R1084" s="5" t="n"/>
      <c r="S1084" s="5" t="n"/>
      <c r="T1084" s="5" t="n"/>
      <c r="U1084" s="5" t="n"/>
      <c r="V1084" s="5" t="n"/>
      <c r="W1084" s="5" t="n"/>
      <c r="X1084" s="5" t="n"/>
      <c r="Y1084" s="5" t="n"/>
      <c r="Z1084" s="5" t="n"/>
      <c r="AA1084" s="5" t="n"/>
      <c r="AB1084" s="5" t="n"/>
      <c r="AC1084" s="5" t="n"/>
      <c r="AD1084" s="5" t="n"/>
      <c r="AE1084" s="5" t="n"/>
      <c r="AF1084" s="5" t="n"/>
      <c r="AG1084" s="5" t="n"/>
      <c r="AH1084" s="5" t="n"/>
      <c r="AI1084" s="5" t="n"/>
      <c r="AJ1084" s="5" t="n"/>
      <c r="AK1084" s="5" t="n"/>
      <c r="AL1084" s="5" t="n"/>
      <c r="AM1084" s="5" t="n"/>
      <c r="AN1084" s="5" t="n"/>
      <c r="AO1084" s="5" t="n"/>
      <c r="AP1084" s="5" t="n"/>
      <c r="AQ1084" s="5" t="n"/>
      <c r="AR1084" s="5" t="n"/>
      <c r="AS1084" s="5" t="n"/>
      <c r="AT1084" s="5" t="n"/>
      <c r="AU1084" s="5" t="n"/>
      <c r="AV1084" s="5" t="n"/>
      <c r="AW1084" s="5" t="n"/>
      <c r="AX1084" s="5" t="n"/>
      <c r="AY1084" s="5" t="n"/>
      <c r="AZ1084" s="5" t="n"/>
      <c r="BA1084" s="5" t="n"/>
      <c r="BB1084" s="5" t="n"/>
      <c r="BC1084" s="5" t="n"/>
      <c r="BD1084" s="5" t="n"/>
      <c r="BE1084" s="5" t="n"/>
      <c r="BF1084" s="5" t="n"/>
      <c r="BG1084" s="5" t="n"/>
      <c r="BH1084" s="5" t="n"/>
      <c r="BI1084" s="5" t="n"/>
      <c r="BJ1084" s="5" t="n"/>
      <c r="BK1084" s="5" t="n"/>
      <c r="BL1084" s="5" t="n"/>
      <c r="BM1084" s="5" t="n"/>
      <c r="BN1084" s="5" t="n"/>
      <c r="BO1084" s="5" t="n"/>
      <c r="BP1084" s="5" t="n"/>
      <c r="BQ1084" s="5" t="n"/>
      <c r="BR1084" s="5" t="n"/>
      <c r="BS1084" s="5" t="n"/>
      <c r="BT1084" s="5" t="n"/>
      <c r="BU1084" s="5" t="n"/>
      <c r="BV1084" s="5" t="n"/>
      <c r="BW1084" s="5" t="n"/>
      <c r="BX1084" s="5" t="n"/>
      <c r="BY1084" s="5" t="n"/>
      <c r="BZ1084" s="5" t="n"/>
      <c r="CA1084" s="5" t="n"/>
      <c r="CB1084" s="5" t="n"/>
      <c r="CC1084" s="5" t="n"/>
      <c r="CD1084" s="5" t="n"/>
      <c r="CE1084" s="5" t="n"/>
      <c r="CF1084" s="5" t="n"/>
    </row>
    <row r="1085">
      <c r="A1085" s="171" t="n"/>
      <c r="B1085" s="171" t="n"/>
      <c r="C1085" s="171" t="n"/>
      <c r="D1085" s="170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  <c r="Q1085" s="5" t="n"/>
      <c r="R1085" s="5" t="n"/>
      <c r="S1085" s="5" t="n"/>
      <c r="T1085" s="5" t="n"/>
      <c r="U1085" s="5" t="n"/>
      <c r="V1085" s="5" t="n"/>
      <c r="W1085" s="5" t="n"/>
      <c r="X1085" s="5" t="n"/>
      <c r="Y1085" s="5" t="n"/>
      <c r="Z1085" s="5" t="n"/>
      <c r="AA1085" s="5" t="n"/>
      <c r="AB1085" s="5" t="n"/>
      <c r="AC1085" s="5" t="n"/>
      <c r="AD1085" s="5" t="n"/>
      <c r="AE1085" s="5" t="n"/>
      <c r="AF1085" s="5" t="n"/>
      <c r="AG1085" s="5" t="n"/>
      <c r="AH1085" s="5" t="n"/>
      <c r="AI1085" s="5" t="n"/>
      <c r="AJ1085" s="5" t="n"/>
      <c r="AK1085" s="5" t="n"/>
      <c r="AL1085" s="5" t="n"/>
      <c r="AM1085" s="5" t="n"/>
      <c r="AN1085" s="5" t="n"/>
      <c r="AO1085" s="5" t="n"/>
      <c r="AP1085" s="5" t="n"/>
      <c r="AQ1085" s="5" t="n"/>
      <c r="AR1085" s="5" t="n"/>
      <c r="AS1085" s="5" t="n"/>
      <c r="AT1085" s="5" t="n"/>
      <c r="AU1085" s="5" t="n"/>
      <c r="AV1085" s="5" t="n"/>
      <c r="AW1085" s="5" t="n"/>
      <c r="AX1085" s="5" t="n"/>
      <c r="AY1085" s="5" t="n"/>
      <c r="AZ1085" s="5" t="n"/>
      <c r="BA1085" s="5" t="n"/>
      <c r="BB1085" s="5" t="n"/>
      <c r="BC1085" s="5" t="n"/>
      <c r="BD1085" s="5" t="n"/>
      <c r="BE1085" s="5" t="n"/>
      <c r="BF1085" s="5" t="n"/>
      <c r="BG1085" s="5" t="n"/>
      <c r="BH1085" s="5" t="n"/>
      <c r="BI1085" s="5" t="n"/>
      <c r="BJ1085" s="5" t="n"/>
      <c r="BK1085" s="5" t="n"/>
      <c r="BL1085" s="5" t="n"/>
      <c r="BM1085" s="5" t="n"/>
      <c r="BN1085" s="5" t="n"/>
      <c r="BO1085" s="5" t="n"/>
      <c r="BP1085" s="5" t="n"/>
      <c r="BQ1085" s="5" t="n"/>
      <c r="BR1085" s="5" t="n"/>
      <c r="BS1085" s="5" t="n"/>
      <c r="BT1085" s="5" t="n"/>
      <c r="BU1085" s="5" t="n"/>
      <c r="BV1085" s="5" t="n"/>
      <c r="BW1085" s="5" t="n"/>
      <c r="BX1085" s="5" t="n"/>
      <c r="BY1085" s="5" t="n"/>
      <c r="BZ1085" s="5" t="n"/>
      <c r="CA1085" s="5" t="n"/>
      <c r="CB1085" s="5" t="n"/>
      <c r="CC1085" s="5" t="n"/>
      <c r="CD1085" s="5" t="n"/>
      <c r="CE1085" s="5" t="n"/>
      <c r="CF1085" s="5" t="n"/>
    </row>
    <row r="1086">
      <c r="A1086" s="171" t="n"/>
      <c r="B1086" s="171" t="n"/>
      <c r="C1086" s="171" t="n"/>
      <c r="D1086" s="170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  <c r="Q1086" s="5" t="n"/>
      <c r="R1086" s="5" t="n"/>
      <c r="S1086" s="5" t="n"/>
      <c r="T1086" s="5" t="n"/>
      <c r="U1086" s="5" t="n"/>
      <c r="V1086" s="5" t="n"/>
      <c r="W1086" s="5" t="n"/>
      <c r="X1086" s="5" t="n"/>
      <c r="Y1086" s="5" t="n"/>
      <c r="Z1086" s="5" t="n"/>
      <c r="AA1086" s="5" t="n"/>
      <c r="AB1086" s="5" t="n"/>
      <c r="AC1086" s="5" t="n"/>
      <c r="AD1086" s="5" t="n"/>
      <c r="AE1086" s="5" t="n"/>
      <c r="AF1086" s="5" t="n"/>
      <c r="AG1086" s="5" t="n"/>
      <c r="AH1086" s="5" t="n"/>
      <c r="AI1086" s="5" t="n"/>
      <c r="AJ1086" s="5" t="n"/>
      <c r="AK1086" s="5" t="n"/>
      <c r="AL1086" s="5" t="n"/>
      <c r="AM1086" s="5" t="n"/>
      <c r="AN1086" s="5" t="n"/>
      <c r="AO1086" s="5" t="n"/>
      <c r="AP1086" s="5" t="n"/>
      <c r="AQ1086" s="5" t="n"/>
      <c r="AR1086" s="5" t="n"/>
      <c r="AS1086" s="5" t="n"/>
      <c r="AT1086" s="5" t="n"/>
      <c r="AU1086" s="5" t="n"/>
      <c r="AV1086" s="5" t="n"/>
      <c r="AW1086" s="5" t="n"/>
      <c r="AX1086" s="5" t="n"/>
      <c r="AY1086" s="5" t="n"/>
      <c r="AZ1086" s="5" t="n"/>
      <c r="BA1086" s="5" t="n"/>
      <c r="BB1086" s="5" t="n"/>
      <c r="BC1086" s="5" t="n"/>
      <c r="BD1086" s="5" t="n"/>
      <c r="BE1086" s="5" t="n"/>
      <c r="BF1086" s="5" t="n"/>
      <c r="BG1086" s="5" t="n"/>
      <c r="BH1086" s="5" t="n"/>
      <c r="BI1086" s="5" t="n"/>
      <c r="BJ1086" s="5" t="n"/>
      <c r="BK1086" s="5" t="n"/>
      <c r="BL1086" s="5" t="n"/>
      <c r="BM1086" s="5" t="n"/>
      <c r="BN1086" s="5" t="n"/>
      <c r="BO1086" s="5" t="n"/>
      <c r="BP1086" s="5" t="n"/>
      <c r="BQ1086" s="5" t="n"/>
      <c r="BR1086" s="5" t="n"/>
      <c r="BS1086" s="5" t="n"/>
      <c r="BT1086" s="5" t="n"/>
      <c r="BU1086" s="5" t="n"/>
      <c r="BV1086" s="5" t="n"/>
      <c r="BW1086" s="5" t="n"/>
      <c r="BX1086" s="5" t="n"/>
      <c r="BY1086" s="5" t="n"/>
      <c r="BZ1086" s="5" t="n"/>
      <c r="CA1086" s="5" t="n"/>
      <c r="CB1086" s="5" t="n"/>
      <c r="CC1086" s="5" t="n"/>
      <c r="CD1086" s="5" t="n"/>
      <c r="CE1086" s="5" t="n"/>
      <c r="CF1086" s="5" t="n"/>
    </row>
    <row r="1087">
      <c r="A1087" s="171" t="n"/>
      <c r="B1087" s="171" t="n"/>
      <c r="C1087" s="171" t="n"/>
      <c r="D1087" s="170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  <c r="Q1087" s="5" t="n"/>
      <c r="R1087" s="5" t="n"/>
      <c r="S1087" s="5" t="n"/>
      <c r="T1087" s="5" t="n"/>
      <c r="U1087" s="5" t="n"/>
      <c r="V1087" s="5" t="n"/>
      <c r="W1087" s="5" t="n"/>
      <c r="X1087" s="5" t="n"/>
      <c r="Y1087" s="5" t="n"/>
      <c r="Z1087" s="5" t="n"/>
      <c r="AA1087" s="5" t="n"/>
      <c r="AB1087" s="5" t="n"/>
      <c r="AC1087" s="5" t="n"/>
      <c r="AD1087" s="5" t="n"/>
      <c r="AE1087" s="5" t="n"/>
      <c r="AF1087" s="5" t="n"/>
      <c r="AG1087" s="5" t="n"/>
      <c r="AH1087" s="5" t="n"/>
      <c r="AI1087" s="5" t="n"/>
      <c r="AJ1087" s="5" t="n"/>
      <c r="AK1087" s="5" t="n"/>
      <c r="AL1087" s="5" t="n"/>
      <c r="AM1087" s="5" t="n"/>
      <c r="AN1087" s="5" t="n"/>
      <c r="AO1087" s="5" t="n"/>
      <c r="AP1087" s="5" t="n"/>
      <c r="AQ1087" s="5" t="n"/>
      <c r="AR1087" s="5" t="n"/>
      <c r="AS1087" s="5" t="n"/>
      <c r="AT1087" s="5" t="n"/>
      <c r="AU1087" s="5" t="n"/>
      <c r="AV1087" s="5" t="n"/>
      <c r="AW1087" s="5" t="n"/>
      <c r="AX1087" s="5" t="n"/>
      <c r="AY1087" s="5" t="n"/>
      <c r="AZ1087" s="5" t="n"/>
      <c r="BA1087" s="5" t="n"/>
      <c r="BB1087" s="5" t="n"/>
      <c r="BC1087" s="5" t="n"/>
      <c r="BD1087" s="5" t="n"/>
      <c r="BE1087" s="5" t="n"/>
      <c r="BF1087" s="5" t="n"/>
      <c r="BG1087" s="5" t="n"/>
      <c r="BH1087" s="5" t="n"/>
      <c r="BI1087" s="5" t="n"/>
      <c r="BJ1087" s="5" t="n"/>
      <c r="BK1087" s="5" t="n"/>
      <c r="BL1087" s="5" t="n"/>
      <c r="BM1087" s="5" t="n"/>
      <c r="BN1087" s="5" t="n"/>
      <c r="BO1087" s="5" t="n"/>
      <c r="BP1087" s="5" t="n"/>
      <c r="BQ1087" s="5" t="n"/>
      <c r="BR1087" s="5" t="n"/>
      <c r="BS1087" s="5" t="n"/>
      <c r="BT1087" s="5" t="n"/>
      <c r="BU1087" s="5" t="n"/>
      <c r="BV1087" s="5" t="n"/>
      <c r="BW1087" s="5" t="n"/>
      <c r="BX1087" s="5" t="n"/>
      <c r="BY1087" s="5" t="n"/>
      <c r="BZ1087" s="5" t="n"/>
      <c r="CA1087" s="5" t="n"/>
      <c r="CB1087" s="5" t="n"/>
      <c r="CC1087" s="5" t="n"/>
      <c r="CD1087" s="5" t="n"/>
      <c r="CE1087" s="5" t="n"/>
      <c r="CF1087" s="5" t="n"/>
    </row>
    <row r="1088">
      <c r="A1088" s="171" t="n"/>
      <c r="B1088" s="171" t="n"/>
      <c r="C1088" s="171" t="n"/>
      <c r="D1088" s="170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  <c r="Q1088" s="5" t="n"/>
      <c r="R1088" s="5" t="n"/>
      <c r="S1088" s="5" t="n"/>
      <c r="T1088" s="5" t="n"/>
      <c r="U1088" s="5" t="n"/>
      <c r="V1088" s="5" t="n"/>
      <c r="W1088" s="5" t="n"/>
      <c r="X1088" s="5" t="n"/>
      <c r="Y1088" s="5" t="n"/>
      <c r="Z1088" s="5" t="n"/>
      <c r="AA1088" s="5" t="n"/>
      <c r="AB1088" s="5" t="n"/>
      <c r="AC1088" s="5" t="n"/>
      <c r="AD1088" s="5" t="n"/>
      <c r="AE1088" s="5" t="n"/>
      <c r="AF1088" s="5" t="n"/>
      <c r="AG1088" s="5" t="n"/>
      <c r="AH1088" s="5" t="n"/>
      <c r="AI1088" s="5" t="n"/>
      <c r="AJ1088" s="5" t="n"/>
      <c r="AK1088" s="5" t="n"/>
      <c r="AL1088" s="5" t="n"/>
      <c r="AM1088" s="5" t="n"/>
      <c r="AN1088" s="5" t="n"/>
      <c r="AO1088" s="5" t="n"/>
      <c r="AP1088" s="5" t="n"/>
      <c r="AQ1088" s="5" t="n"/>
      <c r="AR1088" s="5" t="n"/>
      <c r="AS1088" s="5" t="n"/>
      <c r="AT1088" s="5" t="n"/>
      <c r="AU1088" s="5" t="n"/>
      <c r="AV1088" s="5" t="n"/>
      <c r="AW1088" s="5" t="n"/>
      <c r="AX1088" s="5" t="n"/>
      <c r="AY1088" s="5" t="n"/>
      <c r="AZ1088" s="5" t="n"/>
      <c r="BA1088" s="5" t="n"/>
      <c r="BB1088" s="5" t="n"/>
      <c r="BC1088" s="5" t="n"/>
      <c r="BD1088" s="5" t="n"/>
      <c r="BE1088" s="5" t="n"/>
      <c r="BF1088" s="5" t="n"/>
      <c r="BG1088" s="5" t="n"/>
      <c r="BH1088" s="5" t="n"/>
      <c r="BI1088" s="5" t="n"/>
      <c r="BJ1088" s="5" t="n"/>
      <c r="BK1088" s="5" t="n"/>
      <c r="BL1088" s="5" t="n"/>
      <c r="BM1088" s="5" t="n"/>
      <c r="BN1088" s="5" t="n"/>
      <c r="BO1088" s="5" t="n"/>
      <c r="BP1088" s="5" t="n"/>
      <c r="BQ1088" s="5" t="n"/>
      <c r="BR1088" s="5" t="n"/>
      <c r="BS1088" s="5" t="n"/>
      <c r="BT1088" s="5" t="n"/>
      <c r="BU1088" s="5" t="n"/>
      <c r="BV1088" s="5" t="n"/>
      <c r="BW1088" s="5" t="n"/>
      <c r="BX1088" s="5" t="n"/>
      <c r="BY1088" s="5" t="n"/>
      <c r="BZ1088" s="5" t="n"/>
      <c r="CA1088" s="5" t="n"/>
      <c r="CB1088" s="5" t="n"/>
      <c r="CC1088" s="5" t="n"/>
      <c r="CD1088" s="5" t="n"/>
      <c r="CE1088" s="5" t="n"/>
      <c r="CF1088" s="5" t="n"/>
    </row>
    <row r="1089">
      <c r="A1089" s="171" t="n"/>
      <c r="B1089" s="171" t="n"/>
      <c r="C1089" s="171" t="n"/>
      <c r="D1089" s="170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  <c r="Q1089" s="5" t="n"/>
      <c r="R1089" s="5" t="n"/>
      <c r="S1089" s="5" t="n"/>
      <c r="T1089" s="5" t="n"/>
      <c r="U1089" s="5" t="n"/>
      <c r="V1089" s="5" t="n"/>
      <c r="W1089" s="5" t="n"/>
      <c r="X1089" s="5" t="n"/>
      <c r="Y1089" s="5" t="n"/>
      <c r="Z1089" s="5" t="n"/>
      <c r="AA1089" s="5" t="n"/>
      <c r="AB1089" s="5" t="n"/>
      <c r="AC1089" s="5" t="n"/>
      <c r="AD1089" s="5" t="n"/>
      <c r="AE1089" s="5" t="n"/>
      <c r="AF1089" s="5" t="n"/>
      <c r="AG1089" s="5" t="n"/>
      <c r="AH1089" s="5" t="n"/>
      <c r="AI1089" s="5" t="n"/>
      <c r="AJ1089" s="5" t="n"/>
      <c r="AK1089" s="5" t="n"/>
      <c r="AL1089" s="5" t="n"/>
      <c r="AM1089" s="5" t="n"/>
      <c r="AN1089" s="5" t="n"/>
      <c r="AO1089" s="5" t="n"/>
      <c r="AP1089" s="5" t="n"/>
      <c r="AQ1089" s="5" t="n"/>
      <c r="AR1089" s="5" t="n"/>
      <c r="AS1089" s="5" t="n"/>
      <c r="AT1089" s="5" t="n"/>
      <c r="AU1089" s="5" t="n"/>
      <c r="AV1089" s="5" t="n"/>
      <c r="AW1089" s="5" t="n"/>
      <c r="AX1089" s="5" t="n"/>
      <c r="AY1089" s="5" t="n"/>
      <c r="AZ1089" s="5" t="n"/>
      <c r="BA1089" s="5" t="n"/>
      <c r="BB1089" s="5" t="n"/>
      <c r="BC1089" s="5" t="n"/>
      <c r="BD1089" s="5" t="n"/>
      <c r="BE1089" s="5" t="n"/>
      <c r="BF1089" s="5" t="n"/>
      <c r="BG1089" s="5" t="n"/>
      <c r="BH1089" s="5" t="n"/>
      <c r="BI1089" s="5" t="n"/>
      <c r="BJ1089" s="5" t="n"/>
      <c r="BK1089" s="5" t="n"/>
      <c r="BL1089" s="5" t="n"/>
      <c r="BM1089" s="5" t="n"/>
      <c r="BN1089" s="5" t="n"/>
      <c r="BO1089" s="5" t="n"/>
      <c r="BP1089" s="5" t="n"/>
      <c r="BQ1089" s="5" t="n"/>
      <c r="BR1089" s="5" t="n"/>
      <c r="BS1089" s="5" t="n"/>
      <c r="BT1089" s="5" t="n"/>
      <c r="BU1089" s="5" t="n"/>
      <c r="BV1089" s="5" t="n"/>
      <c r="BW1089" s="5" t="n"/>
      <c r="BX1089" s="5" t="n"/>
      <c r="BY1089" s="5" t="n"/>
      <c r="BZ1089" s="5" t="n"/>
      <c r="CA1089" s="5" t="n"/>
      <c r="CB1089" s="5" t="n"/>
      <c r="CC1089" s="5" t="n"/>
      <c r="CD1089" s="5" t="n"/>
      <c r="CE1089" s="5" t="n"/>
      <c r="CF1089" s="5" t="n"/>
    </row>
    <row r="1090">
      <c r="A1090" s="171" t="n"/>
      <c r="B1090" s="171" t="n"/>
      <c r="C1090" s="171" t="n"/>
      <c r="D1090" s="170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  <c r="AA1090" s="5" t="n"/>
      <c r="AB1090" s="5" t="n"/>
      <c r="AC1090" s="5" t="n"/>
      <c r="AD1090" s="5" t="n"/>
      <c r="AE1090" s="5" t="n"/>
      <c r="AF1090" s="5" t="n"/>
      <c r="AG1090" s="5" t="n"/>
      <c r="AH1090" s="5" t="n"/>
      <c r="AI1090" s="5" t="n"/>
      <c r="AJ1090" s="5" t="n"/>
      <c r="AK1090" s="5" t="n"/>
      <c r="AL1090" s="5" t="n"/>
      <c r="AM1090" s="5" t="n"/>
      <c r="AN1090" s="5" t="n"/>
      <c r="AO1090" s="5" t="n"/>
      <c r="AP1090" s="5" t="n"/>
      <c r="AQ1090" s="5" t="n"/>
      <c r="AR1090" s="5" t="n"/>
      <c r="AS1090" s="5" t="n"/>
      <c r="AT1090" s="5" t="n"/>
      <c r="AU1090" s="5" t="n"/>
      <c r="AV1090" s="5" t="n"/>
      <c r="AW1090" s="5" t="n"/>
      <c r="AX1090" s="5" t="n"/>
      <c r="AY1090" s="5" t="n"/>
      <c r="AZ1090" s="5" t="n"/>
      <c r="BA1090" s="5" t="n"/>
      <c r="BB1090" s="5" t="n"/>
      <c r="BC1090" s="5" t="n"/>
      <c r="BD1090" s="5" t="n"/>
      <c r="BE1090" s="5" t="n"/>
      <c r="BF1090" s="5" t="n"/>
      <c r="BG1090" s="5" t="n"/>
      <c r="BH1090" s="5" t="n"/>
      <c r="BI1090" s="5" t="n"/>
      <c r="BJ1090" s="5" t="n"/>
      <c r="BK1090" s="5" t="n"/>
      <c r="BL1090" s="5" t="n"/>
      <c r="BM1090" s="5" t="n"/>
      <c r="BN1090" s="5" t="n"/>
      <c r="BO1090" s="5" t="n"/>
      <c r="BP1090" s="5" t="n"/>
      <c r="BQ1090" s="5" t="n"/>
      <c r="BR1090" s="5" t="n"/>
      <c r="BS1090" s="5" t="n"/>
      <c r="BT1090" s="5" t="n"/>
      <c r="BU1090" s="5" t="n"/>
      <c r="BV1090" s="5" t="n"/>
      <c r="BW1090" s="5" t="n"/>
      <c r="BX1090" s="5" t="n"/>
      <c r="BY1090" s="5" t="n"/>
      <c r="BZ1090" s="5" t="n"/>
      <c r="CA1090" s="5" t="n"/>
      <c r="CB1090" s="5" t="n"/>
      <c r="CC1090" s="5" t="n"/>
      <c r="CD1090" s="5" t="n"/>
      <c r="CE1090" s="5" t="n"/>
      <c r="CF1090" s="5" t="n"/>
    </row>
    <row r="1091">
      <c r="A1091" s="171" t="n"/>
      <c r="B1091" s="171" t="n"/>
      <c r="C1091" s="171" t="n"/>
      <c r="D1091" s="170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  <c r="Q1091" s="5" t="n"/>
      <c r="R1091" s="5" t="n"/>
      <c r="S1091" s="5" t="n"/>
      <c r="T1091" s="5" t="n"/>
      <c r="U1091" s="5" t="n"/>
      <c r="V1091" s="5" t="n"/>
      <c r="W1091" s="5" t="n"/>
      <c r="X1091" s="5" t="n"/>
      <c r="Y1091" s="5" t="n"/>
      <c r="Z1091" s="5" t="n"/>
      <c r="AA1091" s="5" t="n"/>
      <c r="AB1091" s="5" t="n"/>
      <c r="AC1091" s="5" t="n"/>
      <c r="AD1091" s="5" t="n"/>
      <c r="AE1091" s="5" t="n"/>
      <c r="AF1091" s="5" t="n"/>
      <c r="AG1091" s="5" t="n"/>
      <c r="AH1091" s="5" t="n"/>
      <c r="AI1091" s="5" t="n"/>
      <c r="AJ1091" s="5" t="n"/>
      <c r="AK1091" s="5" t="n"/>
      <c r="AL1091" s="5" t="n"/>
      <c r="AM1091" s="5" t="n"/>
      <c r="AN1091" s="5" t="n"/>
      <c r="AO1091" s="5" t="n"/>
      <c r="AP1091" s="5" t="n"/>
      <c r="AQ1091" s="5" t="n"/>
      <c r="AR1091" s="5" t="n"/>
      <c r="AS1091" s="5" t="n"/>
      <c r="AT1091" s="5" t="n"/>
      <c r="AU1091" s="5" t="n"/>
      <c r="AV1091" s="5" t="n"/>
      <c r="AW1091" s="5" t="n"/>
      <c r="AX1091" s="5" t="n"/>
      <c r="AY1091" s="5" t="n"/>
      <c r="AZ1091" s="5" t="n"/>
      <c r="BA1091" s="5" t="n"/>
      <c r="BB1091" s="5" t="n"/>
      <c r="BC1091" s="5" t="n"/>
      <c r="BD1091" s="5" t="n"/>
      <c r="BE1091" s="5" t="n"/>
      <c r="BF1091" s="5" t="n"/>
      <c r="BG1091" s="5" t="n"/>
      <c r="BH1091" s="5" t="n"/>
      <c r="BI1091" s="5" t="n"/>
      <c r="BJ1091" s="5" t="n"/>
      <c r="BK1091" s="5" t="n"/>
      <c r="BL1091" s="5" t="n"/>
      <c r="BM1091" s="5" t="n"/>
      <c r="BN1091" s="5" t="n"/>
      <c r="BO1091" s="5" t="n"/>
      <c r="BP1091" s="5" t="n"/>
      <c r="BQ1091" s="5" t="n"/>
      <c r="BR1091" s="5" t="n"/>
      <c r="BS1091" s="5" t="n"/>
      <c r="BT1091" s="5" t="n"/>
      <c r="BU1091" s="5" t="n"/>
      <c r="BV1091" s="5" t="n"/>
      <c r="BW1091" s="5" t="n"/>
      <c r="BX1091" s="5" t="n"/>
      <c r="BY1091" s="5" t="n"/>
      <c r="BZ1091" s="5" t="n"/>
      <c r="CA1091" s="5" t="n"/>
      <c r="CB1091" s="5" t="n"/>
      <c r="CC1091" s="5" t="n"/>
      <c r="CD1091" s="5" t="n"/>
      <c r="CE1091" s="5" t="n"/>
      <c r="CF1091" s="5" t="n"/>
    </row>
    <row r="1092">
      <c r="A1092" s="171" t="n"/>
      <c r="B1092" s="171" t="n"/>
      <c r="C1092" s="171" t="n"/>
      <c r="D1092" s="170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  <c r="AA1092" s="5" t="n"/>
      <c r="AB1092" s="5" t="n"/>
      <c r="AC1092" s="5" t="n"/>
      <c r="AD1092" s="5" t="n"/>
      <c r="AE1092" s="5" t="n"/>
      <c r="AF1092" s="5" t="n"/>
      <c r="AG1092" s="5" t="n"/>
      <c r="AH1092" s="5" t="n"/>
      <c r="AI1092" s="5" t="n"/>
      <c r="AJ1092" s="5" t="n"/>
      <c r="AK1092" s="5" t="n"/>
      <c r="AL1092" s="5" t="n"/>
      <c r="AM1092" s="5" t="n"/>
      <c r="AN1092" s="5" t="n"/>
      <c r="AO1092" s="5" t="n"/>
      <c r="AP1092" s="5" t="n"/>
      <c r="AQ1092" s="5" t="n"/>
      <c r="AR1092" s="5" t="n"/>
      <c r="AS1092" s="5" t="n"/>
      <c r="AT1092" s="5" t="n"/>
      <c r="AU1092" s="5" t="n"/>
      <c r="AV1092" s="5" t="n"/>
      <c r="AW1092" s="5" t="n"/>
      <c r="AX1092" s="5" t="n"/>
      <c r="AY1092" s="5" t="n"/>
      <c r="AZ1092" s="5" t="n"/>
      <c r="BA1092" s="5" t="n"/>
      <c r="BB1092" s="5" t="n"/>
      <c r="BC1092" s="5" t="n"/>
      <c r="BD1092" s="5" t="n"/>
      <c r="BE1092" s="5" t="n"/>
      <c r="BF1092" s="5" t="n"/>
      <c r="BG1092" s="5" t="n"/>
      <c r="BH1092" s="5" t="n"/>
      <c r="BI1092" s="5" t="n"/>
      <c r="BJ1092" s="5" t="n"/>
      <c r="BK1092" s="5" t="n"/>
      <c r="BL1092" s="5" t="n"/>
      <c r="BM1092" s="5" t="n"/>
      <c r="BN1092" s="5" t="n"/>
      <c r="BO1092" s="5" t="n"/>
      <c r="BP1092" s="5" t="n"/>
      <c r="BQ1092" s="5" t="n"/>
      <c r="BR1092" s="5" t="n"/>
      <c r="BS1092" s="5" t="n"/>
      <c r="BT1092" s="5" t="n"/>
      <c r="BU1092" s="5" t="n"/>
      <c r="BV1092" s="5" t="n"/>
      <c r="BW1092" s="5" t="n"/>
      <c r="BX1092" s="5" t="n"/>
      <c r="BY1092" s="5" t="n"/>
      <c r="BZ1092" s="5" t="n"/>
      <c r="CA1092" s="5" t="n"/>
      <c r="CB1092" s="5" t="n"/>
      <c r="CC1092" s="5" t="n"/>
      <c r="CD1092" s="5" t="n"/>
      <c r="CE1092" s="5" t="n"/>
      <c r="CF1092" s="5" t="n"/>
    </row>
    <row r="1093">
      <c r="A1093" s="171" t="n"/>
      <c r="B1093" s="171" t="n"/>
      <c r="C1093" s="171" t="n"/>
      <c r="D1093" s="170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  <c r="Q1093" s="5" t="n"/>
      <c r="R1093" s="5" t="n"/>
      <c r="S1093" s="5" t="n"/>
      <c r="T1093" s="5" t="n"/>
      <c r="U1093" s="5" t="n"/>
      <c r="V1093" s="5" t="n"/>
      <c r="W1093" s="5" t="n"/>
      <c r="X1093" s="5" t="n"/>
      <c r="Y1093" s="5" t="n"/>
      <c r="Z1093" s="5" t="n"/>
      <c r="AA1093" s="5" t="n"/>
      <c r="AB1093" s="5" t="n"/>
      <c r="AC1093" s="5" t="n"/>
      <c r="AD1093" s="5" t="n"/>
      <c r="AE1093" s="5" t="n"/>
      <c r="AF1093" s="5" t="n"/>
      <c r="AG1093" s="5" t="n"/>
      <c r="AH1093" s="5" t="n"/>
      <c r="AI1093" s="5" t="n"/>
      <c r="AJ1093" s="5" t="n"/>
      <c r="AK1093" s="5" t="n"/>
      <c r="AL1093" s="5" t="n"/>
      <c r="AM1093" s="5" t="n"/>
      <c r="AN1093" s="5" t="n"/>
      <c r="AO1093" s="5" t="n"/>
      <c r="AP1093" s="5" t="n"/>
      <c r="AQ1093" s="5" t="n"/>
      <c r="AR1093" s="5" t="n"/>
      <c r="AS1093" s="5" t="n"/>
      <c r="AT1093" s="5" t="n"/>
      <c r="AU1093" s="5" t="n"/>
      <c r="AV1093" s="5" t="n"/>
      <c r="AW1093" s="5" t="n"/>
      <c r="AX1093" s="5" t="n"/>
      <c r="AY1093" s="5" t="n"/>
      <c r="AZ1093" s="5" t="n"/>
      <c r="BA1093" s="5" t="n"/>
      <c r="BB1093" s="5" t="n"/>
      <c r="BC1093" s="5" t="n"/>
      <c r="BD1093" s="5" t="n"/>
      <c r="BE1093" s="5" t="n"/>
      <c r="BF1093" s="5" t="n"/>
      <c r="BG1093" s="5" t="n"/>
      <c r="BH1093" s="5" t="n"/>
      <c r="BI1093" s="5" t="n"/>
      <c r="BJ1093" s="5" t="n"/>
      <c r="BK1093" s="5" t="n"/>
      <c r="BL1093" s="5" t="n"/>
      <c r="BM1093" s="5" t="n"/>
      <c r="BN1093" s="5" t="n"/>
      <c r="BO1093" s="5" t="n"/>
      <c r="BP1093" s="5" t="n"/>
      <c r="BQ1093" s="5" t="n"/>
      <c r="BR1093" s="5" t="n"/>
      <c r="BS1093" s="5" t="n"/>
      <c r="BT1093" s="5" t="n"/>
      <c r="BU1093" s="5" t="n"/>
      <c r="BV1093" s="5" t="n"/>
      <c r="BW1093" s="5" t="n"/>
      <c r="BX1093" s="5" t="n"/>
      <c r="BY1093" s="5" t="n"/>
      <c r="BZ1093" s="5" t="n"/>
      <c r="CA1093" s="5" t="n"/>
      <c r="CB1093" s="5" t="n"/>
      <c r="CC1093" s="5" t="n"/>
      <c r="CD1093" s="5" t="n"/>
      <c r="CE1093" s="5" t="n"/>
      <c r="CF1093" s="5" t="n"/>
    </row>
    <row r="1094">
      <c r="A1094" s="171" t="n"/>
      <c r="B1094" s="171" t="n"/>
      <c r="C1094" s="171" t="n"/>
      <c r="D1094" s="170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  <c r="Q1094" s="5" t="n"/>
      <c r="R1094" s="5" t="n"/>
      <c r="S1094" s="5" t="n"/>
      <c r="T1094" s="5" t="n"/>
      <c r="U1094" s="5" t="n"/>
      <c r="V1094" s="5" t="n"/>
      <c r="W1094" s="5" t="n"/>
      <c r="X1094" s="5" t="n"/>
      <c r="Y1094" s="5" t="n"/>
      <c r="Z1094" s="5" t="n"/>
      <c r="AA1094" s="5" t="n"/>
      <c r="AB1094" s="5" t="n"/>
      <c r="AC1094" s="5" t="n"/>
      <c r="AD1094" s="5" t="n"/>
      <c r="AE1094" s="5" t="n"/>
      <c r="AF1094" s="5" t="n"/>
      <c r="AG1094" s="5" t="n"/>
      <c r="AH1094" s="5" t="n"/>
      <c r="AI1094" s="5" t="n"/>
      <c r="AJ1094" s="5" t="n"/>
      <c r="AK1094" s="5" t="n"/>
      <c r="AL1094" s="5" t="n"/>
      <c r="AM1094" s="5" t="n"/>
      <c r="AN1094" s="5" t="n"/>
      <c r="AO1094" s="5" t="n"/>
      <c r="AP1094" s="5" t="n"/>
      <c r="AQ1094" s="5" t="n"/>
      <c r="AR1094" s="5" t="n"/>
      <c r="AS1094" s="5" t="n"/>
      <c r="AT1094" s="5" t="n"/>
      <c r="AU1094" s="5" t="n"/>
      <c r="AV1094" s="5" t="n"/>
      <c r="AW1094" s="5" t="n"/>
      <c r="AX1094" s="5" t="n"/>
      <c r="AY1094" s="5" t="n"/>
      <c r="AZ1094" s="5" t="n"/>
      <c r="BA1094" s="5" t="n"/>
      <c r="BB1094" s="5" t="n"/>
      <c r="BC1094" s="5" t="n"/>
      <c r="BD1094" s="5" t="n"/>
      <c r="BE1094" s="5" t="n"/>
      <c r="BF1094" s="5" t="n"/>
      <c r="BG1094" s="5" t="n"/>
      <c r="BH1094" s="5" t="n"/>
      <c r="BI1094" s="5" t="n"/>
      <c r="BJ1094" s="5" t="n"/>
      <c r="BK1094" s="5" t="n"/>
      <c r="BL1094" s="5" t="n"/>
      <c r="BM1094" s="5" t="n"/>
      <c r="BN1094" s="5" t="n"/>
      <c r="BO1094" s="5" t="n"/>
      <c r="BP1094" s="5" t="n"/>
      <c r="BQ1094" s="5" t="n"/>
      <c r="BR1094" s="5" t="n"/>
      <c r="BS1094" s="5" t="n"/>
      <c r="BT1094" s="5" t="n"/>
      <c r="BU1094" s="5" t="n"/>
      <c r="BV1094" s="5" t="n"/>
      <c r="BW1094" s="5" t="n"/>
      <c r="BX1094" s="5" t="n"/>
      <c r="BY1094" s="5" t="n"/>
      <c r="BZ1094" s="5" t="n"/>
      <c r="CA1094" s="5" t="n"/>
      <c r="CB1094" s="5" t="n"/>
      <c r="CC1094" s="5" t="n"/>
      <c r="CD1094" s="5" t="n"/>
      <c r="CE1094" s="5" t="n"/>
      <c r="CF1094" s="5" t="n"/>
    </row>
    <row r="1095">
      <c r="A1095" s="171" t="n"/>
      <c r="B1095" s="171" t="n"/>
      <c r="C1095" s="171" t="n"/>
      <c r="D1095" s="170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  <c r="Q1095" s="5" t="n"/>
      <c r="R1095" s="5" t="n"/>
      <c r="S1095" s="5" t="n"/>
      <c r="T1095" s="5" t="n"/>
      <c r="U1095" s="5" t="n"/>
      <c r="V1095" s="5" t="n"/>
      <c r="W1095" s="5" t="n"/>
      <c r="X1095" s="5" t="n"/>
      <c r="Y1095" s="5" t="n"/>
      <c r="Z1095" s="5" t="n"/>
      <c r="AA1095" s="5" t="n"/>
      <c r="AB1095" s="5" t="n"/>
      <c r="AC1095" s="5" t="n"/>
      <c r="AD1095" s="5" t="n"/>
      <c r="AE1095" s="5" t="n"/>
      <c r="AF1095" s="5" t="n"/>
      <c r="AG1095" s="5" t="n"/>
      <c r="AH1095" s="5" t="n"/>
      <c r="AI1095" s="5" t="n"/>
      <c r="AJ1095" s="5" t="n"/>
      <c r="AK1095" s="5" t="n"/>
      <c r="AL1095" s="5" t="n"/>
      <c r="AM1095" s="5" t="n"/>
      <c r="AN1095" s="5" t="n"/>
      <c r="AO1095" s="5" t="n"/>
      <c r="AP1095" s="5" t="n"/>
      <c r="AQ1095" s="5" t="n"/>
      <c r="AR1095" s="5" t="n"/>
      <c r="AS1095" s="5" t="n"/>
      <c r="AT1095" s="5" t="n"/>
      <c r="AU1095" s="5" t="n"/>
      <c r="AV1095" s="5" t="n"/>
      <c r="AW1095" s="5" t="n"/>
      <c r="AX1095" s="5" t="n"/>
      <c r="AY1095" s="5" t="n"/>
      <c r="AZ1095" s="5" t="n"/>
      <c r="BA1095" s="5" t="n"/>
      <c r="BB1095" s="5" t="n"/>
      <c r="BC1095" s="5" t="n"/>
      <c r="BD1095" s="5" t="n"/>
      <c r="BE1095" s="5" t="n"/>
      <c r="BF1095" s="5" t="n"/>
      <c r="BG1095" s="5" t="n"/>
      <c r="BH1095" s="5" t="n"/>
      <c r="BI1095" s="5" t="n"/>
      <c r="BJ1095" s="5" t="n"/>
      <c r="BK1095" s="5" t="n"/>
      <c r="BL1095" s="5" t="n"/>
      <c r="BM1095" s="5" t="n"/>
      <c r="BN1095" s="5" t="n"/>
      <c r="BO1095" s="5" t="n"/>
      <c r="BP1095" s="5" t="n"/>
      <c r="BQ1095" s="5" t="n"/>
      <c r="BR1095" s="5" t="n"/>
      <c r="BS1095" s="5" t="n"/>
      <c r="BT1095" s="5" t="n"/>
      <c r="BU1095" s="5" t="n"/>
      <c r="BV1095" s="5" t="n"/>
      <c r="BW1095" s="5" t="n"/>
      <c r="BX1095" s="5" t="n"/>
      <c r="BY1095" s="5" t="n"/>
      <c r="BZ1095" s="5" t="n"/>
      <c r="CA1095" s="5" t="n"/>
      <c r="CB1095" s="5" t="n"/>
      <c r="CC1095" s="5" t="n"/>
      <c r="CD1095" s="5" t="n"/>
      <c r="CE1095" s="5" t="n"/>
      <c r="CF1095" s="5" t="n"/>
    </row>
    <row r="1096">
      <c r="A1096" s="171" t="n"/>
      <c r="B1096" s="171" t="n"/>
      <c r="C1096" s="171" t="n"/>
      <c r="D1096" s="170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  <c r="Q1096" s="5" t="n"/>
      <c r="R1096" s="5" t="n"/>
      <c r="S1096" s="5" t="n"/>
      <c r="T1096" s="5" t="n"/>
      <c r="U1096" s="5" t="n"/>
      <c r="V1096" s="5" t="n"/>
      <c r="W1096" s="5" t="n"/>
      <c r="X1096" s="5" t="n"/>
      <c r="Y1096" s="5" t="n"/>
      <c r="Z1096" s="5" t="n"/>
      <c r="AA1096" s="5" t="n"/>
      <c r="AB1096" s="5" t="n"/>
      <c r="AC1096" s="5" t="n"/>
      <c r="AD1096" s="5" t="n"/>
      <c r="AE1096" s="5" t="n"/>
      <c r="AF1096" s="5" t="n"/>
      <c r="AG1096" s="5" t="n"/>
      <c r="AH1096" s="5" t="n"/>
      <c r="AI1096" s="5" t="n"/>
      <c r="AJ1096" s="5" t="n"/>
      <c r="AK1096" s="5" t="n"/>
      <c r="AL1096" s="5" t="n"/>
      <c r="AM1096" s="5" t="n"/>
      <c r="AN1096" s="5" t="n"/>
      <c r="AO1096" s="5" t="n"/>
      <c r="AP1096" s="5" t="n"/>
      <c r="AQ1096" s="5" t="n"/>
      <c r="AR1096" s="5" t="n"/>
      <c r="AS1096" s="5" t="n"/>
      <c r="AT1096" s="5" t="n"/>
      <c r="AU1096" s="5" t="n"/>
      <c r="AV1096" s="5" t="n"/>
      <c r="AW1096" s="5" t="n"/>
      <c r="AX1096" s="5" t="n"/>
      <c r="AY1096" s="5" t="n"/>
      <c r="AZ1096" s="5" t="n"/>
      <c r="BA1096" s="5" t="n"/>
      <c r="BB1096" s="5" t="n"/>
      <c r="BC1096" s="5" t="n"/>
      <c r="BD1096" s="5" t="n"/>
      <c r="BE1096" s="5" t="n"/>
      <c r="BF1096" s="5" t="n"/>
      <c r="BG1096" s="5" t="n"/>
      <c r="BH1096" s="5" t="n"/>
      <c r="BI1096" s="5" t="n"/>
      <c r="BJ1096" s="5" t="n"/>
      <c r="BK1096" s="5" t="n"/>
      <c r="BL1096" s="5" t="n"/>
      <c r="BM1096" s="5" t="n"/>
      <c r="BN1096" s="5" t="n"/>
      <c r="BO1096" s="5" t="n"/>
      <c r="BP1096" s="5" t="n"/>
      <c r="BQ1096" s="5" t="n"/>
      <c r="BR1096" s="5" t="n"/>
      <c r="BS1096" s="5" t="n"/>
      <c r="BT1096" s="5" t="n"/>
      <c r="BU1096" s="5" t="n"/>
      <c r="BV1096" s="5" t="n"/>
      <c r="BW1096" s="5" t="n"/>
      <c r="BX1096" s="5" t="n"/>
      <c r="BY1096" s="5" t="n"/>
      <c r="BZ1096" s="5" t="n"/>
      <c r="CA1096" s="5" t="n"/>
      <c r="CB1096" s="5" t="n"/>
      <c r="CC1096" s="5" t="n"/>
      <c r="CD1096" s="5" t="n"/>
      <c r="CE1096" s="5" t="n"/>
      <c r="CF1096" s="5" t="n"/>
    </row>
    <row r="1097">
      <c r="A1097" s="171" t="n"/>
      <c r="B1097" s="171" t="n"/>
      <c r="C1097" s="171" t="n"/>
      <c r="D1097" s="170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  <c r="Q1097" s="5" t="n"/>
      <c r="R1097" s="5" t="n"/>
      <c r="S1097" s="5" t="n"/>
      <c r="T1097" s="5" t="n"/>
      <c r="U1097" s="5" t="n"/>
      <c r="V1097" s="5" t="n"/>
      <c r="W1097" s="5" t="n"/>
      <c r="X1097" s="5" t="n"/>
      <c r="Y1097" s="5" t="n"/>
      <c r="Z1097" s="5" t="n"/>
      <c r="AA1097" s="5" t="n"/>
      <c r="AB1097" s="5" t="n"/>
      <c r="AC1097" s="5" t="n"/>
      <c r="AD1097" s="5" t="n"/>
      <c r="AE1097" s="5" t="n"/>
      <c r="AF1097" s="5" t="n"/>
      <c r="AG1097" s="5" t="n"/>
      <c r="AH1097" s="5" t="n"/>
      <c r="AI1097" s="5" t="n"/>
      <c r="AJ1097" s="5" t="n"/>
      <c r="AK1097" s="5" t="n"/>
      <c r="AL1097" s="5" t="n"/>
      <c r="AM1097" s="5" t="n"/>
      <c r="AN1097" s="5" t="n"/>
      <c r="AO1097" s="5" t="n"/>
      <c r="AP1097" s="5" t="n"/>
      <c r="AQ1097" s="5" t="n"/>
      <c r="AR1097" s="5" t="n"/>
      <c r="AS1097" s="5" t="n"/>
      <c r="AT1097" s="5" t="n"/>
      <c r="AU1097" s="5" t="n"/>
      <c r="AV1097" s="5" t="n"/>
      <c r="AW1097" s="5" t="n"/>
      <c r="AX1097" s="5" t="n"/>
      <c r="AY1097" s="5" t="n"/>
      <c r="AZ1097" s="5" t="n"/>
      <c r="BA1097" s="5" t="n"/>
      <c r="BB1097" s="5" t="n"/>
      <c r="BC1097" s="5" t="n"/>
      <c r="BD1097" s="5" t="n"/>
      <c r="BE1097" s="5" t="n"/>
      <c r="BF1097" s="5" t="n"/>
      <c r="BG1097" s="5" t="n"/>
      <c r="BH1097" s="5" t="n"/>
      <c r="BI1097" s="5" t="n"/>
      <c r="BJ1097" s="5" t="n"/>
      <c r="BK1097" s="5" t="n"/>
      <c r="BL1097" s="5" t="n"/>
      <c r="BM1097" s="5" t="n"/>
      <c r="BN1097" s="5" t="n"/>
      <c r="BO1097" s="5" t="n"/>
      <c r="BP1097" s="5" t="n"/>
      <c r="BQ1097" s="5" t="n"/>
      <c r="BR1097" s="5" t="n"/>
      <c r="BS1097" s="5" t="n"/>
      <c r="BT1097" s="5" t="n"/>
      <c r="BU1097" s="5" t="n"/>
      <c r="BV1097" s="5" t="n"/>
      <c r="BW1097" s="5" t="n"/>
      <c r="BX1097" s="5" t="n"/>
      <c r="BY1097" s="5" t="n"/>
      <c r="BZ1097" s="5" t="n"/>
      <c r="CA1097" s="5" t="n"/>
      <c r="CB1097" s="5" t="n"/>
      <c r="CC1097" s="5" t="n"/>
      <c r="CD1097" s="5" t="n"/>
      <c r="CE1097" s="5" t="n"/>
      <c r="CF1097" s="5" t="n"/>
    </row>
    <row r="1098">
      <c r="A1098" s="171" t="n"/>
      <c r="B1098" s="171" t="n"/>
      <c r="C1098" s="171" t="n"/>
      <c r="D1098" s="170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  <c r="Q1098" s="5" t="n"/>
      <c r="R1098" s="5" t="n"/>
      <c r="S1098" s="5" t="n"/>
      <c r="T1098" s="5" t="n"/>
      <c r="U1098" s="5" t="n"/>
      <c r="V1098" s="5" t="n"/>
      <c r="W1098" s="5" t="n"/>
      <c r="X1098" s="5" t="n"/>
      <c r="Y1098" s="5" t="n"/>
      <c r="Z1098" s="5" t="n"/>
      <c r="AA1098" s="5" t="n"/>
      <c r="AB1098" s="5" t="n"/>
      <c r="AC1098" s="5" t="n"/>
      <c r="AD1098" s="5" t="n"/>
      <c r="AE1098" s="5" t="n"/>
      <c r="AF1098" s="5" t="n"/>
      <c r="AG1098" s="5" t="n"/>
      <c r="AH1098" s="5" t="n"/>
      <c r="AI1098" s="5" t="n"/>
      <c r="AJ1098" s="5" t="n"/>
      <c r="AK1098" s="5" t="n"/>
      <c r="AL1098" s="5" t="n"/>
      <c r="AM1098" s="5" t="n"/>
      <c r="AN1098" s="5" t="n"/>
      <c r="AO1098" s="5" t="n"/>
      <c r="AP1098" s="5" t="n"/>
      <c r="AQ1098" s="5" t="n"/>
      <c r="AR1098" s="5" t="n"/>
      <c r="AS1098" s="5" t="n"/>
      <c r="AT1098" s="5" t="n"/>
      <c r="AU1098" s="5" t="n"/>
      <c r="AV1098" s="5" t="n"/>
      <c r="AW1098" s="5" t="n"/>
      <c r="AX1098" s="5" t="n"/>
      <c r="AY1098" s="5" t="n"/>
      <c r="AZ1098" s="5" t="n"/>
      <c r="BA1098" s="5" t="n"/>
      <c r="BB1098" s="5" t="n"/>
      <c r="BC1098" s="5" t="n"/>
      <c r="BD1098" s="5" t="n"/>
      <c r="BE1098" s="5" t="n"/>
      <c r="BF1098" s="5" t="n"/>
      <c r="BG1098" s="5" t="n"/>
      <c r="BH1098" s="5" t="n"/>
      <c r="BI1098" s="5" t="n"/>
      <c r="BJ1098" s="5" t="n"/>
      <c r="BK1098" s="5" t="n"/>
      <c r="BL1098" s="5" t="n"/>
      <c r="BM1098" s="5" t="n"/>
      <c r="BN1098" s="5" t="n"/>
      <c r="BO1098" s="5" t="n"/>
      <c r="BP1098" s="5" t="n"/>
      <c r="BQ1098" s="5" t="n"/>
      <c r="BR1098" s="5" t="n"/>
      <c r="BS1098" s="5" t="n"/>
      <c r="BT1098" s="5" t="n"/>
      <c r="BU1098" s="5" t="n"/>
      <c r="BV1098" s="5" t="n"/>
      <c r="BW1098" s="5" t="n"/>
      <c r="BX1098" s="5" t="n"/>
      <c r="BY1098" s="5" t="n"/>
      <c r="BZ1098" s="5" t="n"/>
      <c r="CA1098" s="5" t="n"/>
      <c r="CB1098" s="5" t="n"/>
      <c r="CC1098" s="5" t="n"/>
      <c r="CD1098" s="5" t="n"/>
      <c r="CE1098" s="5" t="n"/>
      <c r="CF1098" s="5" t="n"/>
    </row>
    <row r="1099">
      <c r="A1099" s="171" t="n"/>
      <c r="B1099" s="171" t="n"/>
      <c r="C1099" s="171" t="n"/>
      <c r="D1099" s="170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  <c r="Q1099" s="5" t="n"/>
      <c r="R1099" s="5" t="n"/>
      <c r="S1099" s="5" t="n"/>
      <c r="T1099" s="5" t="n"/>
      <c r="U1099" s="5" t="n"/>
      <c r="V1099" s="5" t="n"/>
      <c r="W1099" s="5" t="n"/>
      <c r="X1099" s="5" t="n"/>
      <c r="Y1099" s="5" t="n"/>
      <c r="Z1099" s="5" t="n"/>
      <c r="AA1099" s="5" t="n"/>
      <c r="AB1099" s="5" t="n"/>
      <c r="AC1099" s="5" t="n"/>
      <c r="AD1099" s="5" t="n"/>
      <c r="AE1099" s="5" t="n"/>
      <c r="AF1099" s="5" t="n"/>
      <c r="AG1099" s="5" t="n"/>
      <c r="AH1099" s="5" t="n"/>
      <c r="AI1099" s="5" t="n"/>
      <c r="AJ1099" s="5" t="n"/>
      <c r="AK1099" s="5" t="n"/>
      <c r="AL1099" s="5" t="n"/>
      <c r="AM1099" s="5" t="n"/>
      <c r="AN1099" s="5" t="n"/>
      <c r="AO1099" s="5" t="n"/>
      <c r="AP1099" s="5" t="n"/>
      <c r="AQ1099" s="5" t="n"/>
      <c r="AR1099" s="5" t="n"/>
      <c r="AS1099" s="5" t="n"/>
      <c r="AT1099" s="5" t="n"/>
      <c r="AU1099" s="5" t="n"/>
      <c r="AV1099" s="5" t="n"/>
      <c r="AW1099" s="5" t="n"/>
      <c r="AX1099" s="5" t="n"/>
      <c r="AY1099" s="5" t="n"/>
      <c r="AZ1099" s="5" t="n"/>
      <c r="BA1099" s="5" t="n"/>
      <c r="BB1099" s="5" t="n"/>
      <c r="BC1099" s="5" t="n"/>
      <c r="BD1099" s="5" t="n"/>
      <c r="BE1099" s="5" t="n"/>
      <c r="BF1099" s="5" t="n"/>
      <c r="BG1099" s="5" t="n"/>
      <c r="BH1099" s="5" t="n"/>
      <c r="BI1099" s="5" t="n"/>
      <c r="BJ1099" s="5" t="n"/>
      <c r="BK1099" s="5" t="n"/>
      <c r="BL1099" s="5" t="n"/>
      <c r="BM1099" s="5" t="n"/>
      <c r="BN1099" s="5" t="n"/>
      <c r="BO1099" s="5" t="n"/>
      <c r="BP1099" s="5" t="n"/>
      <c r="BQ1099" s="5" t="n"/>
      <c r="BR1099" s="5" t="n"/>
      <c r="BS1099" s="5" t="n"/>
      <c r="BT1099" s="5" t="n"/>
      <c r="BU1099" s="5" t="n"/>
      <c r="BV1099" s="5" t="n"/>
      <c r="BW1099" s="5" t="n"/>
      <c r="BX1099" s="5" t="n"/>
      <c r="BY1099" s="5" t="n"/>
      <c r="BZ1099" s="5" t="n"/>
      <c r="CA1099" s="5" t="n"/>
      <c r="CB1099" s="5" t="n"/>
      <c r="CC1099" s="5" t="n"/>
      <c r="CD1099" s="5" t="n"/>
      <c r="CE1099" s="5" t="n"/>
      <c r="CF1099" s="5" t="n"/>
    </row>
    <row r="1100">
      <c r="A1100" s="171" t="n"/>
      <c r="B1100" s="171" t="n"/>
      <c r="C1100" s="171" t="n"/>
      <c r="D1100" s="170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  <c r="Q1100" s="5" t="n"/>
      <c r="R1100" s="5" t="n"/>
      <c r="S1100" s="5" t="n"/>
      <c r="T1100" s="5" t="n"/>
      <c r="U1100" s="5" t="n"/>
      <c r="V1100" s="5" t="n"/>
      <c r="W1100" s="5" t="n"/>
      <c r="X1100" s="5" t="n"/>
      <c r="Y1100" s="5" t="n"/>
      <c r="Z1100" s="5" t="n"/>
      <c r="AA1100" s="5" t="n"/>
      <c r="AB1100" s="5" t="n"/>
      <c r="AC1100" s="5" t="n"/>
      <c r="AD1100" s="5" t="n"/>
      <c r="AE1100" s="5" t="n"/>
      <c r="AF1100" s="5" t="n"/>
      <c r="AG1100" s="5" t="n"/>
      <c r="AH1100" s="5" t="n"/>
      <c r="AI1100" s="5" t="n"/>
      <c r="AJ1100" s="5" t="n"/>
      <c r="AK1100" s="5" t="n"/>
      <c r="AL1100" s="5" t="n"/>
      <c r="AM1100" s="5" t="n"/>
      <c r="AN1100" s="5" t="n"/>
      <c r="AO1100" s="5" t="n"/>
      <c r="AP1100" s="5" t="n"/>
      <c r="AQ1100" s="5" t="n"/>
      <c r="AR1100" s="5" t="n"/>
      <c r="AS1100" s="5" t="n"/>
      <c r="AT1100" s="5" t="n"/>
      <c r="AU1100" s="5" t="n"/>
      <c r="AV1100" s="5" t="n"/>
      <c r="AW1100" s="5" t="n"/>
      <c r="AX1100" s="5" t="n"/>
      <c r="AY1100" s="5" t="n"/>
      <c r="AZ1100" s="5" t="n"/>
      <c r="BA1100" s="5" t="n"/>
      <c r="BB1100" s="5" t="n"/>
      <c r="BC1100" s="5" t="n"/>
      <c r="BD1100" s="5" t="n"/>
      <c r="BE1100" s="5" t="n"/>
      <c r="BF1100" s="5" t="n"/>
      <c r="BG1100" s="5" t="n"/>
      <c r="BH1100" s="5" t="n"/>
      <c r="BI1100" s="5" t="n"/>
      <c r="BJ1100" s="5" t="n"/>
      <c r="BK1100" s="5" t="n"/>
      <c r="BL1100" s="5" t="n"/>
      <c r="BM1100" s="5" t="n"/>
      <c r="BN1100" s="5" t="n"/>
      <c r="BO1100" s="5" t="n"/>
      <c r="BP1100" s="5" t="n"/>
      <c r="BQ1100" s="5" t="n"/>
      <c r="BR1100" s="5" t="n"/>
      <c r="BS1100" s="5" t="n"/>
      <c r="BT1100" s="5" t="n"/>
      <c r="BU1100" s="5" t="n"/>
      <c r="BV1100" s="5" t="n"/>
      <c r="BW1100" s="5" t="n"/>
      <c r="BX1100" s="5" t="n"/>
      <c r="BY1100" s="5" t="n"/>
      <c r="BZ1100" s="5" t="n"/>
      <c r="CA1100" s="5" t="n"/>
      <c r="CB1100" s="5" t="n"/>
      <c r="CC1100" s="5" t="n"/>
      <c r="CD1100" s="5" t="n"/>
      <c r="CE1100" s="5" t="n"/>
      <c r="CF1100" s="5" t="n"/>
    </row>
    <row r="1101">
      <c r="A1101" s="171" t="n"/>
      <c r="B1101" s="171" t="n"/>
      <c r="C1101" s="171" t="n"/>
      <c r="D1101" s="170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  <c r="Q1101" s="5" t="n"/>
      <c r="R1101" s="5" t="n"/>
      <c r="S1101" s="5" t="n"/>
      <c r="T1101" s="5" t="n"/>
      <c r="U1101" s="5" t="n"/>
      <c r="V1101" s="5" t="n"/>
      <c r="W1101" s="5" t="n"/>
      <c r="X1101" s="5" t="n"/>
      <c r="Y1101" s="5" t="n"/>
      <c r="Z1101" s="5" t="n"/>
      <c r="AA1101" s="5" t="n"/>
      <c r="AB1101" s="5" t="n"/>
      <c r="AC1101" s="5" t="n"/>
      <c r="AD1101" s="5" t="n"/>
      <c r="AE1101" s="5" t="n"/>
      <c r="AF1101" s="5" t="n"/>
      <c r="AG1101" s="5" t="n"/>
      <c r="AH1101" s="5" t="n"/>
      <c r="AI1101" s="5" t="n"/>
      <c r="AJ1101" s="5" t="n"/>
      <c r="AK1101" s="5" t="n"/>
      <c r="AL1101" s="5" t="n"/>
      <c r="AM1101" s="5" t="n"/>
      <c r="AN1101" s="5" t="n"/>
      <c r="AO1101" s="5" t="n"/>
      <c r="AP1101" s="5" t="n"/>
      <c r="AQ1101" s="5" t="n"/>
      <c r="AR1101" s="5" t="n"/>
      <c r="AS1101" s="5" t="n"/>
      <c r="AT1101" s="5" t="n"/>
      <c r="AU1101" s="5" t="n"/>
      <c r="AV1101" s="5" t="n"/>
      <c r="AW1101" s="5" t="n"/>
      <c r="AX1101" s="5" t="n"/>
      <c r="AY1101" s="5" t="n"/>
      <c r="AZ1101" s="5" t="n"/>
      <c r="BA1101" s="5" t="n"/>
      <c r="BB1101" s="5" t="n"/>
      <c r="BC1101" s="5" t="n"/>
      <c r="BD1101" s="5" t="n"/>
      <c r="BE1101" s="5" t="n"/>
      <c r="BF1101" s="5" t="n"/>
      <c r="BG1101" s="5" t="n"/>
      <c r="BH1101" s="5" t="n"/>
      <c r="BI1101" s="5" t="n"/>
      <c r="BJ1101" s="5" t="n"/>
      <c r="BK1101" s="5" t="n"/>
      <c r="BL1101" s="5" t="n"/>
      <c r="BM1101" s="5" t="n"/>
      <c r="BN1101" s="5" t="n"/>
      <c r="BO1101" s="5" t="n"/>
      <c r="BP1101" s="5" t="n"/>
      <c r="BQ1101" s="5" t="n"/>
      <c r="BR1101" s="5" t="n"/>
      <c r="BS1101" s="5" t="n"/>
      <c r="BT1101" s="5" t="n"/>
      <c r="BU1101" s="5" t="n"/>
      <c r="BV1101" s="5" t="n"/>
      <c r="BW1101" s="5" t="n"/>
      <c r="BX1101" s="5" t="n"/>
      <c r="BY1101" s="5" t="n"/>
      <c r="BZ1101" s="5" t="n"/>
      <c r="CA1101" s="5" t="n"/>
      <c r="CB1101" s="5" t="n"/>
      <c r="CC1101" s="5" t="n"/>
      <c r="CD1101" s="5" t="n"/>
      <c r="CE1101" s="5" t="n"/>
      <c r="CF1101" s="5" t="n"/>
    </row>
    <row r="1102">
      <c r="A1102" s="171" t="n"/>
      <c r="B1102" s="171" t="n"/>
      <c r="C1102" s="171" t="n"/>
      <c r="D1102" s="170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  <c r="Q1102" s="5" t="n"/>
      <c r="R1102" s="5" t="n"/>
      <c r="S1102" s="5" t="n"/>
      <c r="T1102" s="5" t="n"/>
      <c r="U1102" s="5" t="n"/>
      <c r="V1102" s="5" t="n"/>
      <c r="W1102" s="5" t="n"/>
      <c r="X1102" s="5" t="n"/>
      <c r="Y1102" s="5" t="n"/>
      <c r="Z1102" s="5" t="n"/>
      <c r="AA1102" s="5" t="n"/>
      <c r="AB1102" s="5" t="n"/>
      <c r="AC1102" s="5" t="n"/>
      <c r="AD1102" s="5" t="n"/>
      <c r="AE1102" s="5" t="n"/>
      <c r="AF1102" s="5" t="n"/>
      <c r="AG1102" s="5" t="n"/>
      <c r="AH1102" s="5" t="n"/>
      <c r="AI1102" s="5" t="n"/>
      <c r="AJ1102" s="5" t="n"/>
      <c r="AK1102" s="5" t="n"/>
      <c r="AL1102" s="5" t="n"/>
      <c r="AM1102" s="5" t="n"/>
      <c r="AN1102" s="5" t="n"/>
      <c r="AO1102" s="5" t="n"/>
      <c r="AP1102" s="5" t="n"/>
      <c r="AQ1102" s="5" t="n"/>
      <c r="AR1102" s="5" t="n"/>
      <c r="AS1102" s="5" t="n"/>
      <c r="AT1102" s="5" t="n"/>
      <c r="AU1102" s="5" t="n"/>
      <c r="AV1102" s="5" t="n"/>
      <c r="AW1102" s="5" t="n"/>
      <c r="AX1102" s="5" t="n"/>
      <c r="AY1102" s="5" t="n"/>
      <c r="AZ1102" s="5" t="n"/>
      <c r="BA1102" s="5" t="n"/>
      <c r="BB1102" s="5" t="n"/>
      <c r="BC1102" s="5" t="n"/>
      <c r="BD1102" s="5" t="n"/>
      <c r="BE1102" s="5" t="n"/>
      <c r="BF1102" s="5" t="n"/>
      <c r="BG1102" s="5" t="n"/>
      <c r="BH1102" s="5" t="n"/>
      <c r="BI1102" s="5" t="n"/>
      <c r="BJ1102" s="5" t="n"/>
      <c r="BK1102" s="5" t="n"/>
      <c r="BL1102" s="5" t="n"/>
      <c r="BM1102" s="5" t="n"/>
      <c r="BN1102" s="5" t="n"/>
      <c r="BO1102" s="5" t="n"/>
      <c r="BP1102" s="5" t="n"/>
      <c r="BQ1102" s="5" t="n"/>
      <c r="BR1102" s="5" t="n"/>
      <c r="BS1102" s="5" t="n"/>
      <c r="BT1102" s="5" t="n"/>
      <c r="BU1102" s="5" t="n"/>
      <c r="BV1102" s="5" t="n"/>
      <c r="BW1102" s="5" t="n"/>
      <c r="BX1102" s="5" t="n"/>
      <c r="BY1102" s="5" t="n"/>
      <c r="BZ1102" s="5" t="n"/>
      <c r="CA1102" s="5" t="n"/>
      <c r="CB1102" s="5" t="n"/>
      <c r="CC1102" s="5" t="n"/>
      <c r="CD1102" s="5" t="n"/>
      <c r="CE1102" s="5" t="n"/>
      <c r="CF1102" s="5" t="n"/>
    </row>
    <row r="1103">
      <c r="A1103" s="171" t="n"/>
      <c r="B1103" s="171" t="n"/>
      <c r="C1103" s="171" t="n"/>
      <c r="D1103" s="170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  <c r="Q1103" s="5" t="n"/>
      <c r="R1103" s="5" t="n"/>
      <c r="S1103" s="5" t="n"/>
      <c r="T1103" s="5" t="n"/>
      <c r="U1103" s="5" t="n"/>
      <c r="V1103" s="5" t="n"/>
      <c r="W1103" s="5" t="n"/>
      <c r="X1103" s="5" t="n"/>
      <c r="Y1103" s="5" t="n"/>
      <c r="Z1103" s="5" t="n"/>
      <c r="AA1103" s="5" t="n"/>
      <c r="AB1103" s="5" t="n"/>
      <c r="AC1103" s="5" t="n"/>
      <c r="AD1103" s="5" t="n"/>
      <c r="AE1103" s="5" t="n"/>
      <c r="AF1103" s="5" t="n"/>
      <c r="AG1103" s="5" t="n"/>
      <c r="AH1103" s="5" t="n"/>
      <c r="AI1103" s="5" t="n"/>
      <c r="AJ1103" s="5" t="n"/>
      <c r="AK1103" s="5" t="n"/>
      <c r="AL1103" s="5" t="n"/>
      <c r="AM1103" s="5" t="n"/>
      <c r="AN1103" s="5" t="n"/>
      <c r="AO1103" s="5" t="n"/>
      <c r="AP1103" s="5" t="n"/>
      <c r="AQ1103" s="5" t="n"/>
      <c r="AR1103" s="5" t="n"/>
      <c r="AS1103" s="5" t="n"/>
      <c r="AT1103" s="5" t="n"/>
      <c r="AU1103" s="5" t="n"/>
      <c r="AV1103" s="5" t="n"/>
      <c r="AW1103" s="5" t="n"/>
      <c r="AX1103" s="5" t="n"/>
      <c r="AY1103" s="5" t="n"/>
      <c r="AZ1103" s="5" t="n"/>
      <c r="BA1103" s="5" t="n"/>
      <c r="BB1103" s="5" t="n"/>
      <c r="BC1103" s="5" t="n"/>
      <c r="BD1103" s="5" t="n"/>
      <c r="BE1103" s="5" t="n"/>
      <c r="BF1103" s="5" t="n"/>
      <c r="BG1103" s="5" t="n"/>
      <c r="BH1103" s="5" t="n"/>
      <c r="BI1103" s="5" t="n"/>
      <c r="BJ1103" s="5" t="n"/>
      <c r="BK1103" s="5" t="n"/>
      <c r="BL1103" s="5" t="n"/>
      <c r="BM1103" s="5" t="n"/>
      <c r="BN1103" s="5" t="n"/>
      <c r="BO1103" s="5" t="n"/>
      <c r="BP1103" s="5" t="n"/>
      <c r="BQ1103" s="5" t="n"/>
      <c r="BR1103" s="5" t="n"/>
      <c r="BS1103" s="5" t="n"/>
      <c r="BT1103" s="5" t="n"/>
      <c r="BU1103" s="5" t="n"/>
      <c r="BV1103" s="5" t="n"/>
      <c r="BW1103" s="5" t="n"/>
      <c r="BX1103" s="5" t="n"/>
      <c r="BY1103" s="5" t="n"/>
      <c r="BZ1103" s="5" t="n"/>
      <c r="CA1103" s="5" t="n"/>
      <c r="CB1103" s="5" t="n"/>
      <c r="CC1103" s="5" t="n"/>
      <c r="CD1103" s="5" t="n"/>
      <c r="CE1103" s="5" t="n"/>
      <c r="CF1103" s="5" t="n"/>
    </row>
    <row r="1104">
      <c r="A1104" s="171" t="n"/>
      <c r="B1104" s="171" t="n"/>
      <c r="C1104" s="171" t="n"/>
      <c r="D1104" s="170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  <c r="Q1104" s="5" t="n"/>
      <c r="R1104" s="5" t="n"/>
      <c r="S1104" s="5" t="n"/>
      <c r="T1104" s="5" t="n"/>
      <c r="U1104" s="5" t="n"/>
      <c r="V1104" s="5" t="n"/>
      <c r="W1104" s="5" t="n"/>
      <c r="X1104" s="5" t="n"/>
      <c r="Y1104" s="5" t="n"/>
      <c r="Z1104" s="5" t="n"/>
      <c r="AA1104" s="5" t="n"/>
      <c r="AB1104" s="5" t="n"/>
      <c r="AC1104" s="5" t="n"/>
      <c r="AD1104" s="5" t="n"/>
      <c r="AE1104" s="5" t="n"/>
      <c r="AF1104" s="5" t="n"/>
      <c r="AG1104" s="5" t="n"/>
      <c r="AH1104" s="5" t="n"/>
      <c r="AI1104" s="5" t="n"/>
      <c r="AJ1104" s="5" t="n"/>
      <c r="AK1104" s="5" t="n"/>
      <c r="AL1104" s="5" t="n"/>
      <c r="AM1104" s="5" t="n"/>
      <c r="AN1104" s="5" t="n"/>
      <c r="AO1104" s="5" t="n"/>
      <c r="AP1104" s="5" t="n"/>
      <c r="AQ1104" s="5" t="n"/>
      <c r="AR1104" s="5" t="n"/>
      <c r="AS1104" s="5" t="n"/>
      <c r="AT1104" s="5" t="n"/>
      <c r="AU1104" s="5" t="n"/>
      <c r="AV1104" s="5" t="n"/>
      <c r="AW1104" s="5" t="n"/>
      <c r="AX1104" s="5" t="n"/>
      <c r="AY1104" s="5" t="n"/>
      <c r="AZ1104" s="5" t="n"/>
      <c r="BA1104" s="5" t="n"/>
      <c r="BB1104" s="5" t="n"/>
      <c r="BC1104" s="5" t="n"/>
      <c r="BD1104" s="5" t="n"/>
      <c r="BE1104" s="5" t="n"/>
      <c r="BF1104" s="5" t="n"/>
      <c r="BG1104" s="5" t="n"/>
      <c r="BH1104" s="5" t="n"/>
      <c r="BI1104" s="5" t="n"/>
      <c r="BJ1104" s="5" t="n"/>
      <c r="BK1104" s="5" t="n"/>
      <c r="BL1104" s="5" t="n"/>
      <c r="BM1104" s="5" t="n"/>
      <c r="BN1104" s="5" t="n"/>
      <c r="BO1104" s="5" t="n"/>
      <c r="BP1104" s="5" t="n"/>
      <c r="BQ1104" s="5" t="n"/>
      <c r="BR1104" s="5" t="n"/>
      <c r="BS1104" s="5" t="n"/>
      <c r="BT1104" s="5" t="n"/>
      <c r="BU1104" s="5" t="n"/>
      <c r="BV1104" s="5" t="n"/>
      <c r="BW1104" s="5" t="n"/>
      <c r="BX1104" s="5" t="n"/>
      <c r="BY1104" s="5" t="n"/>
      <c r="BZ1104" s="5" t="n"/>
      <c r="CA1104" s="5" t="n"/>
      <c r="CB1104" s="5" t="n"/>
      <c r="CC1104" s="5" t="n"/>
      <c r="CD1104" s="5" t="n"/>
      <c r="CE1104" s="5" t="n"/>
      <c r="CF1104" s="5" t="n"/>
    </row>
    <row r="1105">
      <c r="A1105" s="171" t="n"/>
      <c r="B1105" s="171" t="n"/>
      <c r="C1105" s="171" t="n"/>
      <c r="D1105" s="170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  <c r="Q1105" s="5" t="n"/>
      <c r="R1105" s="5" t="n"/>
      <c r="S1105" s="5" t="n"/>
      <c r="T1105" s="5" t="n"/>
      <c r="U1105" s="5" t="n"/>
      <c r="V1105" s="5" t="n"/>
      <c r="W1105" s="5" t="n"/>
      <c r="X1105" s="5" t="n"/>
      <c r="Y1105" s="5" t="n"/>
      <c r="Z1105" s="5" t="n"/>
      <c r="AA1105" s="5" t="n"/>
      <c r="AB1105" s="5" t="n"/>
      <c r="AC1105" s="5" t="n"/>
      <c r="AD1105" s="5" t="n"/>
      <c r="AE1105" s="5" t="n"/>
      <c r="AF1105" s="5" t="n"/>
      <c r="AG1105" s="5" t="n"/>
      <c r="AH1105" s="5" t="n"/>
      <c r="AI1105" s="5" t="n"/>
      <c r="AJ1105" s="5" t="n"/>
      <c r="AK1105" s="5" t="n"/>
      <c r="AL1105" s="5" t="n"/>
      <c r="AM1105" s="5" t="n"/>
      <c r="AN1105" s="5" t="n"/>
      <c r="AO1105" s="5" t="n"/>
      <c r="AP1105" s="5" t="n"/>
      <c r="AQ1105" s="5" t="n"/>
      <c r="AR1105" s="5" t="n"/>
      <c r="AS1105" s="5" t="n"/>
      <c r="AT1105" s="5" t="n"/>
      <c r="AU1105" s="5" t="n"/>
      <c r="AV1105" s="5" t="n"/>
      <c r="AW1105" s="5" t="n"/>
      <c r="AX1105" s="5" t="n"/>
      <c r="AY1105" s="5" t="n"/>
      <c r="AZ1105" s="5" t="n"/>
      <c r="BA1105" s="5" t="n"/>
      <c r="BB1105" s="5" t="n"/>
      <c r="BC1105" s="5" t="n"/>
      <c r="BD1105" s="5" t="n"/>
      <c r="BE1105" s="5" t="n"/>
      <c r="BF1105" s="5" t="n"/>
      <c r="BG1105" s="5" t="n"/>
      <c r="BH1105" s="5" t="n"/>
      <c r="BI1105" s="5" t="n"/>
      <c r="BJ1105" s="5" t="n"/>
      <c r="BK1105" s="5" t="n"/>
      <c r="BL1105" s="5" t="n"/>
      <c r="BM1105" s="5" t="n"/>
      <c r="BN1105" s="5" t="n"/>
      <c r="BO1105" s="5" t="n"/>
      <c r="BP1105" s="5" t="n"/>
      <c r="BQ1105" s="5" t="n"/>
      <c r="BR1105" s="5" t="n"/>
      <c r="BS1105" s="5" t="n"/>
      <c r="BT1105" s="5" t="n"/>
      <c r="BU1105" s="5" t="n"/>
      <c r="BV1105" s="5" t="n"/>
      <c r="BW1105" s="5" t="n"/>
      <c r="BX1105" s="5" t="n"/>
      <c r="BY1105" s="5" t="n"/>
      <c r="BZ1105" s="5" t="n"/>
      <c r="CA1105" s="5" t="n"/>
      <c r="CB1105" s="5" t="n"/>
      <c r="CC1105" s="5" t="n"/>
      <c r="CD1105" s="5" t="n"/>
      <c r="CE1105" s="5" t="n"/>
      <c r="CF1105" s="5" t="n"/>
    </row>
    <row r="1106">
      <c r="A1106" s="171" t="n"/>
      <c r="B1106" s="171" t="n"/>
      <c r="C1106" s="171" t="n"/>
      <c r="D1106" s="170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  <c r="Q1106" s="5" t="n"/>
      <c r="R1106" s="5" t="n"/>
      <c r="S1106" s="5" t="n"/>
      <c r="T1106" s="5" t="n"/>
      <c r="U1106" s="5" t="n"/>
      <c r="V1106" s="5" t="n"/>
      <c r="W1106" s="5" t="n"/>
      <c r="X1106" s="5" t="n"/>
      <c r="Y1106" s="5" t="n"/>
      <c r="Z1106" s="5" t="n"/>
      <c r="AA1106" s="5" t="n"/>
      <c r="AB1106" s="5" t="n"/>
      <c r="AC1106" s="5" t="n"/>
      <c r="AD1106" s="5" t="n"/>
      <c r="AE1106" s="5" t="n"/>
      <c r="AF1106" s="5" t="n"/>
      <c r="AG1106" s="5" t="n"/>
      <c r="AH1106" s="5" t="n"/>
      <c r="AI1106" s="5" t="n"/>
      <c r="AJ1106" s="5" t="n"/>
      <c r="AK1106" s="5" t="n"/>
      <c r="AL1106" s="5" t="n"/>
      <c r="AM1106" s="5" t="n"/>
      <c r="AN1106" s="5" t="n"/>
      <c r="AO1106" s="5" t="n"/>
      <c r="AP1106" s="5" t="n"/>
      <c r="AQ1106" s="5" t="n"/>
      <c r="AR1106" s="5" t="n"/>
      <c r="AS1106" s="5" t="n"/>
      <c r="AT1106" s="5" t="n"/>
      <c r="AU1106" s="5" t="n"/>
      <c r="AV1106" s="5" t="n"/>
      <c r="AW1106" s="5" t="n"/>
      <c r="AX1106" s="5" t="n"/>
      <c r="AY1106" s="5" t="n"/>
      <c r="AZ1106" s="5" t="n"/>
      <c r="BA1106" s="5" t="n"/>
      <c r="BB1106" s="5" t="n"/>
      <c r="BC1106" s="5" t="n"/>
      <c r="BD1106" s="5" t="n"/>
      <c r="BE1106" s="5" t="n"/>
      <c r="BF1106" s="5" t="n"/>
      <c r="BG1106" s="5" t="n"/>
      <c r="BH1106" s="5" t="n"/>
      <c r="BI1106" s="5" t="n"/>
      <c r="BJ1106" s="5" t="n"/>
      <c r="BK1106" s="5" t="n"/>
      <c r="BL1106" s="5" t="n"/>
      <c r="BM1106" s="5" t="n"/>
      <c r="BN1106" s="5" t="n"/>
      <c r="BO1106" s="5" t="n"/>
      <c r="BP1106" s="5" t="n"/>
      <c r="BQ1106" s="5" t="n"/>
      <c r="BR1106" s="5" t="n"/>
      <c r="BS1106" s="5" t="n"/>
      <c r="BT1106" s="5" t="n"/>
      <c r="BU1106" s="5" t="n"/>
      <c r="BV1106" s="5" t="n"/>
      <c r="BW1106" s="5" t="n"/>
      <c r="BX1106" s="5" t="n"/>
      <c r="BY1106" s="5" t="n"/>
      <c r="BZ1106" s="5" t="n"/>
      <c r="CA1106" s="5" t="n"/>
      <c r="CB1106" s="5" t="n"/>
      <c r="CC1106" s="5" t="n"/>
      <c r="CD1106" s="5" t="n"/>
      <c r="CE1106" s="5" t="n"/>
      <c r="CF1106" s="5" t="n"/>
    </row>
    <row r="1107">
      <c r="A1107" s="171" t="n"/>
      <c r="B1107" s="171" t="n"/>
      <c r="C1107" s="171" t="n"/>
      <c r="D1107" s="170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  <c r="Q1107" s="5" t="n"/>
      <c r="R1107" s="5" t="n"/>
      <c r="S1107" s="5" t="n"/>
      <c r="T1107" s="5" t="n"/>
      <c r="U1107" s="5" t="n"/>
      <c r="V1107" s="5" t="n"/>
      <c r="W1107" s="5" t="n"/>
      <c r="X1107" s="5" t="n"/>
      <c r="Y1107" s="5" t="n"/>
      <c r="Z1107" s="5" t="n"/>
      <c r="AA1107" s="5" t="n"/>
      <c r="AB1107" s="5" t="n"/>
      <c r="AC1107" s="5" t="n"/>
      <c r="AD1107" s="5" t="n"/>
      <c r="AE1107" s="5" t="n"/>
      <c r="AF1107" s="5" t="n"/>
      <c r="AG1107" s="5" t="n"/>
      <c r="AH1107" s="5" t="n"/>
      <c r="AI1107" s="5" t="n"/>
      <c r="AJ1107" s="5" t="n"/>
      <c r="AK1107" s="5" t="n"/>
      <c r="AL1107" s="5" t="n"/>
      <c r="AM1107" s="5" t="n"/>
      <c r="AN1107" s="5" t="n"/>
      <c r="AO1107" s="5" t="n"/>
      <c r="AP1107" s="5" t="n"/>
      <c r="AQ1107" s="5" t="n"/>
      <c r="AR1107" s="5" t="n"/>
      <c r="AS1107" s="5" t="n"/>
      <c r="AT1107" s="5" t="n"/>
      <c r="AU1107" s="5" t="n"/>
      <c r="AV1107" s="5" t="n"/>
      <c r="AW1107" s="5" t="n"/>
      <c r="AX1107" s="5" t="n"/>
      <c r="AY1107" s="5" t="n"/>
      <c r="AZ1107" s="5" t="n"/>
      <c r="BA1107" s="5" t="n"/>
      <c r="BB1107" s="5" t="n"/>
      <c r="BC1107" s="5" t="n"/>
      <c r="BD1107" s="5" t="n"/>
      <c r="BE1107" s="5" t="n"/>
      <c r="BF1107" s="5" t="n"/>
      <c r="BG1107" s="5" t="n"/>
      <c r="BH1107" s="5" t="n"/>
      <c r="BI1107" s="5" t="n"/>
      <c r="BJ1107" s="5" t="n"/>
      <c r="BK1107" s="5" t="n"/>
      <c r="BL1107" s="5" t="n"/>
      <c r="BM1107" s="5" t="n"/>
      <c r="BN1107" s="5" t="n"/>
      <c r="BO1107" s="5" t="n"/>
      <c r="BP1107" s="5" t="n"/>
      <c r="BQ1107" s="5" t="n"/>
      <c r="BR1107" s="5" t="n"/>
      <c r="BS1107" s="5" t="n"/>
      <c r="BT1107" s="5" t="n"/>
      <c r="BU1107" s="5" t="n"/>
      <c r="BV1107" s="5" t="n"/>
      <c r="BW1107" s="5" t="n"/>
      <c r="BX1107" s="5" t="n"/>
      <c r="BY1107" s="5" t="n"/>
      <c r="BZ1107" s="5" t="n"/>
      <c r="CA1107" s="5" t="n"/>
      <c r="CB1107" s="5" t="n"/>
      <c r="CC1107" s="5" t="n"/>
      <c r="CD1107" s="5" t="n"/>
      <c r="CE1107" s="5" t="n"/>
      <c r="CF1107" s="5" t="n"/>
    </row>
    <row r="1108">
      <c r="A1108" s="171" t="n"/>
      <c r="B1108" s="171" t="n"/>
      <c r="C1108" s="171" t="n"/>
      <c r="D1108" s="170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  <c r="Q1108" s="5" t="n"/>
      <c r="R1108" s="5" t="n"/>
      <c r="S1108" s="5" t="n"/>
      <c r="T1108" s="5" t="n"/>
      <c r="U1108" s="5" t="n"/>
      <c r="V1108" s="5" t="n"/>
      <c r="W1108" s="5" t="n"/>
      <c r="X1108" s="5" t="n"/>
      <c r="Y1108" s="5" t="n"/>
      <c r="Z1108" s="5" t="n"/>
      <c r="AA1108" s="5" t="n"/>
      <c r="AB1108" s="5" t="n"/>
      <c r="AC1108" s="5" t="n"/>
      <c r="AD1108" s="5" t="n"/>
      <c r="AE1108" s="5" t="n"/>
      <c r="AF1108" s="5" t="n"/>
      <c r="AG1108" s="5" t="n"/>
      <c r="AH1108" s="5" t="n"/>
      <c r="AI1108" s="5" t="n"/>
      <c r="AJ1108" s="5" t="n"/>
      <c r="AK1108" s="5" t="n"/>
      <c r="AL1108" s="5" t="n"/>
      <c r="AM1108" s="5" t="n"/>
      <c r="AN1108" s="5" t="n"/>
      <c r="AO1108" s="5" t="n"/>
      <c r="AP1108" s="5" t="n"/>
      <c r="AQ1108" s="5" t="n"/>
      <c r="AR1108" s="5" t="n"/>
      <c r="AS1108" s="5" t="n"/>
      <c r="AT1108" s="5" t="n"/>
      <c r="AU1108" s="5" t="n"/>
      <c r="AV1108" s="5" t="n"/>
      <c r="AW1108" s="5" t="n"/>
      <c r="AX1108" s="5" t="n"/>
      <c r="AY1108" s="5" t="n"/>
      <c r="AZ1108" s="5" t="n"/>
      <c r="BA1108" s="5" t="n"/>
      <c r="BB1108" s="5" t="n"/>
      <c r="BC1108" s="5" t="n"/>
      <c r="BD1108" s="5" t="n"/>
      <c r="BE1108" s="5" t="n"/>
      <c r="BF1108" s="5" t="n"/>
      <c r="BG1108" s="5" t="n"/>
      <c r="BH1108" s="5" t="n"/>
      <c r="BI1108" s="5" t="n"/>
      <c r="BJ1108" s="5" t="n"/>
      <c r="BK1108" s="5" t="n"/>
      <c r="BL1108" s="5" t="n"/>
      <c r="BM1108" s="5" t="n"/>
      <c r="BN1108" s="5" t="n"/>
      <c r="BO1108" s="5" t="n"/>
      <c r="BP1108" s="5" t="n"/>
      <c r="BQ1108" s="5" t="n"/>
      <c r="BR1108" s="5" t="n"/>
      <c r="BS1108" s="5" t="n"/>
      <c r="BT1108" s="5" t="n"/>
      <c r="BU1108" s="5" t="n"/>
      <c r="BV1108" s="5" t="n"/>
      <c r="BW1108" s="5" t="n"/>
      <c r="BX1108" s="5" t="n"/>
      <c r="BY1108" s="5" t="n"/>
      <c r="BZ1108" s="5" t="n"/>
      <c r="CA1108" s="5" t="n"/>
      <c r="CB1108" s="5" t="n"/>
      <c r="CC1108" s="5" t="n"/>
      <c r="CD1108" s="5" t="n"/>
      <c r="CE1108" s="5" t="n"/>
      <c r="CF1108" s="5" t="n"/>
    </row>
    <row r="1109">
      <c r="A1109" s="171" t="n"/>
      <c r="B1109" s="171" t="n"/>
      <c r="C1109" s="171" t="n"/>
      <c r="D1109" s="170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  <c r="Q1109" s="5" t="n"/>
      <c r="R1109" s="5" t="n"/>
      <c r="S1109" s="5" t="n"/>
      <c r="T1109" s="5" t="n"/>
      <c r="U1109" s="5" t="n"/>
      <c r="V1109" s="5" t="n"/>
      <c r="W1109" s="5" t="n"/>
      <c r="X1109" s="5" t="n"/>
      <c r="Y1109" s="5" t="n"/>
      <c r="Z1109" s="5" t="n"/>
      <c r="AA1109" s="5" t="n"/>
      <c r="AB1109" s="5" t="n"/>
      <c r="AC1109" s="5" t="n"/>
      <c r="AD1109" s="5" t="n"/>
      <c r="AE1109" s="5" t="n"/>
      <c r="AF1109" s="5" t="n"/>
      <c r="AG1109" s="5" t="n"/>
      <c r="AH1109" s="5" t="n"/>
      <c r="AI1109" s="5" t="n"/>
      <c r="AJ1109" s="5" t="n"/>
      <c r="AK1109" s="5" t="n"/>
      <c r="AL1109" s="5" t="n"/>
      <c r="AM1109" s="5" t="n"/>
      <c r="AN1109" s="5" t="n"/>
      <c r="AO1109" s="5" t="n"/>
      <c r="AP1109" s="5" t="n"/>
      <c r="AQ1109" s="5" t="n"/>
      <c r="AR1109" s="5" t="n"/>
      <c r="AS1109" s="5" t="n"/>
      <c r="AT1109" s="5" t="n"/>
      <c r="AU1109" s="5" t="n"/>
      <c r="AV1109" s="5" t="n"/>
      <c r="AW1109" s="5" t="n"/>
      <c r="AX1109" s="5" t="n"/>
      <c r="AY1109" s="5" t="n"/>
      <c r="AZ1109" s="5" t="n"/>
      <c r="BA1109" s="5" t="n"/>
      <c r="BB1109" s="5" t="n"/>
      <c r="BC1109" s="5" t="n"/>
      <c r="BD1109" s="5" t="n"/>
      <c r="BE1109" s="5" t="n"/>
      <c r="BF1109" s="5" t="n"/>
      <c r="BG1109" s="5" t="n"/>
      <c r="BH1109" s="5" t="n"/>
      <c r="BI1109" s="5" t="n"/>
      <c r="BJ1109" s="5" t="n"/>
      <c r="BK1109" s="5" t="n"/>
      <c r="BL1109" s="5" t="n"/>
      <c r="BM1109" s="5" t="n"/>
      <c r="BN1109" s="5" t="n"/>
      <c r="BO1109" s="5" t="n"/>
      <c r="BP1109" s="5" t="n"/>
      <c r="BQ1109" s="5" t="n"/>
      <c r="BR1109" s="5" t="n"/>
      <c r="BS1109" s="5" t="n"/>
      <c r="BT1109" s="5" t="n"/>
      <c r="BU1109" s="5" t="n"/>
      <c r="BV1109" s="5" t="n"/>
      <c r="BW1109" s="5" t="n"/>
      <c r="BX1109" s="5" t="n"/>
      <c r="BY1109" s="5" t="n"/>
      <c r="BZ1109" s="5" t="n"/>
      <c r="CA1109" s="5" t="n"/>
      <c r="CB1109" s="5" t="n"/>
      <c r="CC1109" s="5" t="n"/>
      <c r="CD1109" s="5" t="n"/>
      <c r="CE1109" s="5" t="n"/>
      <c r="CF1109" s="5" t="n"/>
    </row>
    <row r="1110">
      <c r="A1110" s="171" t="n"/>
      <c r="B1110" s="171" t="n"/>
      <c r="C1110" s="171" t="n"/>
      <c r="D1110" s="170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  <c r="Q1110" s="5" t="n"/>
      <c r="R1110" s="5" t="n"/>
      <c r="S1110" s="5" t="n"/>
      <c r="T1110" s="5" t="n"/>
      <c r="U1110" s="5" t="n"/>
      <c r="V1110" s="5" t="n"/>
      <c r="W1110" s="5" t="n"/>
      <c r="X1110" s="5" t="n"/>
      <c r="Y1110" s="5" t="n"/>
      <c r="Z1110" s="5" t="n"/>
      <c r="AA1110" s="5" t="n"/>
      <c r="AB1110" s="5" t="n"/>
      <c r="AC1110" s="5" t="n"/>
      <c r="AD1110" s="5" t="n"/>
      <c r="AE1110" s="5" t="n"/>
      <c r="AF1110" s="5" t="n"/>
      <c r="AG1110" s="5" t="n"/>
      <c r="AH1110" s="5" t="n"/>
      <c r="AI1110" s="5" t="n"/>
      <c r="AJ1110" s="5" t="n"/>
      <c r="AK1110" s="5" t="n"/>
      <c r="AL1110" s="5" t="n"/>
      <c r="AM1110" s="5" t="n"/>
      <c r="AN1110" s="5" t="n"/>
      <c r="AO1110" s="5" t="n"/>
      <c r="AP1110" s="5" t="n"/>
      <c r="AQ1110" s="5" t="n"/>
      <c r="AR1110" s="5" t="n"/>
      <c r="AS1110" s="5" t="n"/>
      <c r="AT1110" s="5" t="n"/>
      <c r="AU1110" s="5" t="n"/>
      <c r="AV1110" s="5" t="n"/>
      <c r="AW1110" s="5" t="n"/>
      <c r="AX1110" s="5" t="n"/>
      <c r="AY1110" s="5" t="n"/>
      <c r="AZ1110" s="5" t="n"/>
      <c r="BA1110" s="5" t="n"/>
      <c r="BB1110" s="5" t="n"/>
      <c r="BC1110" s="5" t="n"/>
      <c r="BD1110" s="5" t="n"/>
      <c r="BE1110" s="5" t="n"/>
      <c r="BF1110" s="5" t="n"/>
      <c r="BG1110" s="5" t="n"/>
      <c r="BH1110" s="5" t="n"/>
      <c r="BI1110" s="5" t="n"/>
      <c r="BJ1110" s="5" t="n"/>
      <c r="BK1110" s="5" t="n"/>
      <c r="BL1110" s="5" t="n"/>
      <c r="BM1110" s="5" t="n"/>
      <c r="BN1110" s="5" t="n"/>
      <c r="BO1110" s="5" t="n"/>
      <c r="BP1110" s="5" t="n"/>
      <c r="BQ1110" s="5" t="n"/>
      <c r="BR1110" s="5" t="n"/>
      <c r="BS1110" s="5" t="n"/>
      <c r="BT1110" s="5" t="n"/>
      <c r="BU1110" s="5" t="n"/>
      <c r="BV1110" s="5" t="n"/>
      <c r="BW1110" s="5" t="n"/>
      <c r="BX1110" s="5" t="n"/>
      <c r="BY1110" s="5" t="n"/>
      <c r="BZ1110" s="5" t="n"/>
      <c r="CA1110" s="5" t="n"/>
      <c r="CB1110" s="5" t="n"/>
      <c r="CC1110" s="5" t="n"/>
      <c r="CD1110" s="5" t="n"/>
      <c r="CE1110" s="5" t="n"/>
      <c r="CF1110" s="5" t="n"/>
    </row>
    <row r="1111">
      <c r="A1111" s="171" t="n"/>
      <c r="B1111" s="171" t="n"/>
      <c r="C1111" s="171" t="n"/>
      <c r="D1111" s="170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  <c r="Q1111" s="5" t="n"/>
      <c r="R1111" s="5" t="n"/>
      <c r="S1111" s="5" t="n"/>
      <c r="T1111" s="5" t="n"/>
      <c r="U1111" s="5" t="n"/>
      <c r="V1111" s="5" t="n"/>
      <c r="W1111" s="5" t="n"/>
      <c r="X1111" s="5" t="n"/>
      <c r="Y1111" s="5" t="n"/>
      <c r="Z1111" s="5" t="n"/>
      <c r="AA1111" s="5" t="n"/>
      <c r="AB1111" s="5" t="n"/>
      <c r="AC1111" s="5" t="n"/>
      <c r="AD1111" s="5" t="n"/>
      <c r="AE1111" s="5" t="n"/>
      <c r="AF1111" s="5" t="n"/>
      <c r="AG1111" s="5" t="n"/>
      <c r="AH1111" s="5" t="n"/>
      <c r="AI1111" s="5" t="n"/>
      <c r="AJ1111" s="5" t="n"/>
      <c r="AK1111" s="5" t="n"/>
      <c r="AL1111" s="5" t="n"/>
      <c r="AM1111" s="5" t="n"/>
      <c r="AN1111" s="5" t="n"/>
      <c r="AO1111" s="5" t="n"/>
      <c r="AP1111" s="5" t="n"/>
      <c r="AQ1111" s="5" t="n"/>
      <c r="AR1111" s="5" t="n"/>
      <c r="AS1111" s="5" t="n"/>
      <c r="AT1111" s="5" t="n"/>
      <c r="AU1111" s="5" t="n"/>
      <c r="AV1111" s="5" t="n"/>
      <c r="AW1111" s="5" t="n"/>
      <c r="AX1111" s="5" t="n"/>
      <c r="AY1111" s="5" t="n"/>
      <c r="AZ1111" s="5" t="n"/>
      <c r="BA1111" s="5" t="n"/>
      <c r="BB1111" s="5" t="n"/>
      <c r="BC1111" s="5" t="n"/>
      <c r="BD1111" s="5" t="n"/>
      <c r="BE1111" s="5" t="n"/>
      <c r="BF1111" s="5" t="n"/>
      <c r="BG1111" s="5" t="n"/>
      <c r="BH1111" s="5" t="n"/>
      <c r="BI1111" s="5" t="n"/>
      <c r="BJ1111" s="5" t="n"/>
      <c r="BK1111" s="5" t="n"/>
      <c r="BL1111" s="5" t="n"/>
      <c r="BM1111" s="5" t="n"/>
      <c r="BN1111" s="5" t="n"/>
      <c r="BO1111" s="5" t="n"/>
      <c r="BP1111" s="5" t="n"/>
      <c r="BQ1111" s="5" t="n"/>
      <c r="BR1111" s="5" t="n"/>
      <c r="BS1111" s="5" t="n"/>
      <c r="BT1111" s="5" t="n"/>
      <c r="BU1111" s="5" t="n"/>
      <c r="BV1111" s="5" t="n"/>
      <c r="BW1111" s="5" t="n"/>
      <c r="BX1111" s="5" t="n"/>
      <c r="BY1111" s="5" t="n"/>
      <c r="BZ1111" s="5" t="n"/>
      <c r="CA1111" s="5" t="n"/>
      <c r="CB1111" s="5" t="n"/>
      <c r="CC1111" s="5" t="n"/>
      <c r="CD1111" s="5" t="n"/>
      <c r="CE1111" s="5" t="n"/>
      <c r="CF1111" s="5" t="n"/>
    </row>
    <row r="1112">
      <c r="A1112" s="171" t="n"/>
      <c r="B1112" s="171" t="n"/>
      <c r="C1112" s="171" t="n"/>
      <c r="D1112" s="170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  <c r="Q1112" s="5" t="n"/>
      <c r="R1112" s="5" t="n"/>
      <c r="S1112" s="5" t="n"/>
      <c r="T1112" s="5" t="n"/>
      <c r="U1112" s="5" t="n"/>
      <c r="V1112" s="5" t="n"/>
      <c r="W1112" s="5" t="n"/>
      <c r="X1112" s="5" t="n"/>
      <c r="Y1112" s="5" t="n"/>
      <c r="Z1112" s="5" t="n"/>
      <c r="AA1112" s="5" t="n"/>
      <c r="AB1112" s="5" t="n"/>
      <c r="AC1112" s="5" t="n"/>
      <c r="AD1112" s="5" t="n"/>
      <c r="AE1112" s="5" t="n"/>
      <c r="AF1112" s="5" t="n"/>
      <c r="AG1112" s="5" t="n"/>
      <c r="AH1112" s="5" t="n"/>
      <c r="AI1112" s="5" t="n"/>
      <c r="AJ1112" s="5" t="n"/>
      <c r="AK1112" s="5" t="n"/>
      <c r="AL1112" s="5" t="n"/>
      <c r="AM1112" s="5" t="n"/>
      <c r="AN1112" s="5" t="n"/>
      <c r="AO1112" s="5" t="n"/>
      <c r="AP1112" s="5" t="n"/>
      <c r="AQ1112" s="5" t="n"/>
      <c r="AR1112" s="5" t="n"/>
      <c r="AS1112" s="5" t="n"/>
      <c r="AT1112" s="5" t="n"/>
      <c r="AU1112" s="5" t="n"/>
      <c r="AV1112" s="5" t="n"/>
      <c r="AW1112" s="5" t="n"/>
      <c r="AX1112" s="5" t="n"/>
      <c r="AY1112" s="5" t="n"/>
      <c r="AZ1112" s="5" t="n"/>
      <c r="BA1112" s="5" t="n"/>
      <c r="BB1112" s="5" t="n"/>
      <c r="BC1112" s="5" t="n"/>
      <c r="BD1112" s="5" t="n"/>
      <c r="BE1112" s="5" t="n"/>
      <c r="BF1112" s="5" t="n"/>
      <c r="BG1112" s="5" t="n"/>
      <c r="BH1112" s="5" t="n"/>
      <c r="BI1112" s="5" t="n"/>
      <c r="BJ1112" s="5" t="n"/>
      <c r="BK1112" s="5" t="n"/>
      <c r="BL1112" s="5" t="n"/>
      <c r="BM1112" s="5" t="n"/>
      <c r="BN1112" s="5" t="n"/>
      <c r="BO1112" s="5" t="n"/>
      <c r="BP1112" s="5" t="n"/>
      <c r="BQ1112" s="5" t="n"/>
      <c r="BR1112" s="5" t="n"/>
      <c r="BS1112" s="5" t="n"/>
      <c r="BT1112" s="5" t="n"/>
      <c r="BU1112" s="5" t="n"/>
      <c r="BV1112" s="5" t="n"/>
      <c r="BW1112" s="5" t="n"/>
      <c r="BX1112" s="5" t="n"/>
      <c r="BY1112" s="5" t="n"/>
      <c r="BZ1112" s="5" t="n"/>
      <c r="CA1112" s="5" t="n"/>
      <c r="CB1112" s="5" t="n"/>
      <c r="CC1112" s="5" t="n"/>
      <c r="CD1112" s="5" t="n"/>
      <c r="CE1112" s="5" t="n"/>
      <c r="CF1112" s="5" t="n"/>
    </row>
    <row r="1113">
      <c r="A1113" s="171" t="n"/>
      <c r="B1113" s="171" t="n"/>
      <c r="C1113" s="171" t="n"/>
      <c r="D1113" s="170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  <c r="Q1113" s="5" t="n"/>
      <c r="R1113" s="5" t="n"/>
      <c r="S1113" s="5" t="n"/>
      <c r="T1113" s="5" t="n"/>
      <c r="U1113" s="5" t="n"/>
      <c r="V1113" s="5" t="n"/>
      <c r="W1113" s="5" t="n"/>
      <c r="X1113" s="5" t="n"/>
      <c r="Y1113" s="5" t="n"/>
      <c r="Z1113" s="5" t="n"/>
      <c r="AA1113" s="5" t="n"/>
      <c r="AB1113" s="5" t="n"/>
      <c r="AC1113" s="5" t="n"/>
      <c r="AD1113" s="5" t="n"/>
      <c r="AE1113" s="5" t="n"/>
      <c r="AF1113" s="5" t="n"/>
      <c r="AG1113" s="5" t="n"/>
      <c r="AH1113" s="5" t="n"/>
      <c r="AI1113" s="5" t="n"/>
      <c r="AJ1113" s="5" t="n"/>
      <c r="AK1113" s="5" t="n"/>
      <c r="AL1113" s="5" t="n"/>
      <c r="AM1113" s="5" t="n"/>
      <c r="AN1113" s="5" t="n"/>
      <c r="AO1113" s="5" t="n"/>
      <c r="AP1113" s="5" t="n"/>
      <c r="AQ1113" s="5" t="n"/>
      <c r="AR1113" s="5" t="n"/>
      <c r="AS1113" s="5" t="n"/>
      <c r="AT1113" s="5" t="n"/>
      <c r="AU1113" s="5" t="n"/>
      <c r="AV1113" s="5" t="n"/>
      <c r="AW1113" s="5" t="n"/>
      <c r="AX1113" s="5" t="n"/>
      <c r="AY1113" s="5" t="n"/>
      <c r="AZ1113" s="5" t="n"/>
      <c r="BA1113" s="5" t="n"/>
      <c r="BB1113" s="5" t="n"/>
      <c r="BC1113" s="5" t="n"/>
      <c r="BD1113" s="5" t="n"/>
      <c r="BE1113" s="5" t="n"/>
      <c r="BF1113" s="5" t="n"/>
      <c r="BG1113" s="5" t="n"/>
      <c r="BH1113" s="5" t="n"/>
      <c r="BI1113" s="5" t="n"/>
      <c r="BJ1113" s="5" t="n"/>
      <c r="BK1113" s="5" t="n"/>
      <c r="BL1113" s="5" t="n"/>
      <c r="BM1113" s="5" t="n"/>
      <c r="BN1113" s="5" t="n"/>
      <c r="BO1113" s="5" t="n"/>
      <c r="BP1113" s="5" t="n"/>
      <c r="BQ1113" s="5" t="n"/>
      <c r="BR1113" s="5" t="n"/>
      <c r="BS1113" s="5" t="n"/>
      <c r="BT1113" s="5" t="n"/>
      <c r="BU1113" s="5" t="n"/>
      <c r="BV1113" s="5" t="n"/>
      <c r="BW1113" s="5" t="n"/>
      <c r="BX1113" s="5" t="n"/>
      <c r="BY1113" s="5" t="n"/>
      <c r="BZ1113" s="5" t="n"/>
      <c r="CA1113" s="5" t="n"/>
      <c r="CB1113" s="5" t="n"/>
      <c r="CC1113" s="5" t="n"/>
      <c r="CD1113" s="5" t="n"/>
      <c r="CE1113" s="5" t="n"/>
      <c r="CF1113" s="5" t="n"/>
    </row>
    <row r="1114">
      <c r="A1114" s="171" t="n"/>
      <c r="B1114" s="171" t="n"/>
      <c r="C1114" s="171" t="n"/>
      <c r="D1114" s="170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  <c r="Q1114" s="5" t="n"/>
      <c r="R1114" s="5" t="n"/>
      <c r="S1114" s="5" t="n"/>
      <c r="T1114" s="5" t="n"/>
      <c r="U1114" s="5" t="n"/>
      <c r="V1114" s="5" t="n"/>
      <c r="W1114" s="5" t="n"/>
      <c r="X1114" s="5" t="n"/>
      <c r="Y1114" s="5" t="n"/>
      <c r="Z1114" s="5" t="n"/>
      <c r="AA1114" s="5" t="n"/>
      <c r="AB1114" s="5" t="n"/>
      <c r="AC1114" s="5" t="n"/>
      <c r="AD1114" s="5" t="n"/>
      <c r="AE1114" s="5" t="n"/>
      <c r="AF1114" s="5" t="n"/>
      <c r="AG1114" s="5" t="n"/>
      <c r="AH1114" s="5" t="n"/>
      <c r="AI1114" s="5" t="n"/>
      <c r="AJ1114" s="5" t="n"/>
      <c r="AK1114" s="5" t="n"/>
      <c r="AL1114" s="5" t="n"/>
      <c r="AM1114" s="5" t="n"/>
      <c r="AN1114" s="5" t="n"/>
      <c r="AO1114" s="5" t="n"/>
      <c r="AP1114" s="5" t="n"/>
      <c r="AQ1114" s="5" t="n"/>
      <c r="AR1114" s="5" t="n"/>
      <c r="AS1114" s="5" t="n"/>
      <c r="AT1114" s="5" t="n"/>
      <c r="AU1114" s="5" t="n"/>
      <c r="AV1114" s="5" t="n"/>
      <c r="AW1114" s="5" t="n"/>
      <c r="AX1114" s="5" t="n"/>
      <c r="AY1114" s="5" t="n"/>
      <c r="AZ1114" s="5" t="n"/>
      <c r="BA1114" s="5" t="n"/>
      <c r="BB1114" s="5" t="n"/>
      <c r="BC1114" s="5" t="n"/>
      <c r="BD1114" s="5" t="n"/>
      <c r="BE1114" s="5" t="n"/>
      <c r="BF1114" s="5" t="n"/>
      <c r="BG1114" s="5" t="n"/>
      <c r="BH1114" s="5" t="n"/>
      <c r="BI1114" s="5" t="n"/>
      <c r="BJ1114" s="5" t="n"/>
      <c r="BK1114" s="5" t="n"/>
      <c r="BL1114" s="5" t="n"/>
      <c r="BM1114" s="5" t="n"/>
      <c r="BN1114" s="5" t="n"/>
      <c r="BO1114" s="5" t="n"/>
      <c r="BP1114" s="5" t="n"/>
      <c r="BQ1114" s="5" t="n"/>
      <c r="BR1114" s="5" t="n"/>
      <c r="BS1114" s="5" t="n"/>
      <c r="BT1114" s="5" t="n"/>
      <c r="BU1114" s="5" t="n"/>
      <c r="BV1114" s="5" t="n"/>
      <c r="BW1114" s="5" t="n"/>
      <c r="BX1114" s="5" t="n"/>
      <c r="BY1114" s="5" t="n"/>
      <c r="BZ1114" s="5" t="n"/>
      <c r="CA1114" s="5" t="n"/>
      <c r="CB1114" s="5" t="n"/>
      <c r="CC1114" s="5" t="n"/>
      <c r="CD1114" s="5" t="n"/>
      <c r="CE1114" s="5" t="n"/>
      <c r="CF1114" s="5" t="n"/>
    </row>
    <row r="1115">
      <c r="A1115" s="171" t="n"/>
      <c r="B1115" s="171" t="n"/>
      <c r="C1115" s="171" t="n"/>
      <c r="D1115" s="170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  <c r="Q1115" s="5" t="n"/>
      <c r="R1115" s="5" t="n"/>
      <c r="S1115" s="5" t="n"/>
      <c r="T1115" s="5" t="n"/>
      <c r="U1115" s="5" t="n"/>
      <c r="V1115" s="5" t="n"/>
      <c r="W1115" s="5" t="n"/>
      <c r="X1115" s="5" t="n"/>
      <c r="Y1115" s="5" t="n"/>
      <c r="Z1115" s="5" t="n"/>
      <c r="AA1115" s="5" t="n"/>
      <c r="AB1115" s="5" t="n"/>
      <c r="AC1115" s="5" t="n"/>
      <c r="AD1115" s="5" t="n"/>
      <c r="AE1115" s="5" t="n"/>
      <c r="AF1115" s="5" t="n"/>
      <c r="AG1115" s="5" t="n"/>
      <c r="AH1115" s="5" t="n"/>
      <c r="AI1115" s="5" t="n"/>
      <c r="AJ1115" s="5" t="n"/>
      <c r="AK1115" s="5" t="n"/>
      <c r="AL1115" s="5" t="n"/>
      <c r="AM1115" s="5" t="n"/>
      <c r="AN1115" s="5" t="n"/>
      <c r="AO1115" s="5" t="n"/>
      <c r="AP1115" s="5" t="n"/>
      <c r="AQ1115" s="5" t="n"/>
      <c r="AR1115" s="5" t="n"/>
      <c r="AS1115" s="5" t="n"/>
      <c r="AT1115" s="5" t="n"/>
      <c r="AU1115" s="5" t="n"/>
      <c r="AV1115" s="5" t="n"/>
      <c r="AW1115" s="5" t="n"/>
      <c r="AX1115" s="5" t="n"/>
      <c r="AY1115" s="5" t="n"/>
      <c r="AZ1115" s="5" t="n"/>
      <c r="BA1115" s="5" t="n"/>
      <c r="BB1115" s="5" t="n"/>
      <c r="BC1115" s="5" t="n"/>
      <c r="BD1115" s="5" t="n"/>
      <c r="BE1115" s="5" t="n"/>
      <c r="BF1115" s="5" t="n"/>
      <c r="BG1115" s="5" t="n"/>
      <c r="BH1115" s="5" t="n"/>
      <c r="BI1115" s="5" t="n"/>
      <c r="BJ1115" s="5" t="n"/>
      <c r="BK1115" s="5" t="n"/>
      <c r="BL1115" s="5" t="n"/>
      <c r="BM1115" s="5" t="n"/>
      <c r="BN1115" s="5" t="n"/>
      <c r="BO1115" s="5" t="n"/>
      <c r="BP1115" s="5" t="n"/>
      <c r="BQ1115" s="5" t="n"/>
      <c r="BR1115" s="5" t="n"/>
      <c r="BS1115" s="5" t="n"/>
      <c r="BT1115" s="5" t="n"/>
      <c r="BU1115" s="5" t="n"/>
      <c r="BV1115" s="5" t="n"/>
      <c r="BW1115" s="5" t="n"/>
      <c r="BX1115" s="5" t="n"/>
      <c r="BY1115" s="5" t="n"/>
      <c r="BZ1115" s="5" t="n"/>
      <c r="CA1115" s="5" t="n"/>
      <c r="CB1115" s="5" t="n"/>
      <c r="CC1115" s="5" t="n"/>
      <c r="CD1115" s="5" t="n"/>
      <c r="CE1115" s="5" t="n"/>
      <c r="CF1115" s="5" t="n"/>
    </row>
    <row r="1116">
      <c r="A1116" s="171" t="n"/>
      <c r="B1116" s="171" t="n"/>
      <c r="C1116" s="171" t="n"/>
      <c r="D1116" s="170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  <c r="Q1116" s="5" t="n"/>
      <c r="R1116" s="5" t="n"/>
      <c r="S1116" s="5" t="n"/>
      <c r="T1116" s="5" t="n"/>
      <c r="U1116" s="5" t="n"/>
      <c r="V1116" s="5" t="n"/>
      <c r="W1116" s="5" t="n"/>
      <c r="X1116" s="5" t="n"/>
      <c r="Y1116" s="5" t="n"/>
      <c r="Z1116" s="5" t="n"/>
      <c r="AA1116" s="5" t="n"/>
      <c r="AB1116" s="5" t="n"/>
      <c r="AC1116" s="5" t="n"/>
      <c r="AD1116" s="5" t="n"/>
      <c r="AE1116" s="5" t="n"/>
      <c r="AF1116" s="5" t="n"/>
      <c r="AG1116" s="5" t="n"/>
      <c r="AH1116" s="5" t="n"/>
      <c r="AI1116" s="5" t="n"/>
      <c r="AJ1116" s="5" t="n"/>
      <c r="AK1116" s="5" t="n"/>
      <c r="AL1116" s="5" t="n"/>
      <c r="AM1116" s="5" t="n"/>
      <c r="AN1116" s="5" t="n"/>
      <c r="AO1116" s="5" t="n"/>
      <c r="AP1116" s="5" t="n"/>
      <c r="AQ1116" s="5" t="n"/>
      <c r="AR1116" s="5" t="n"/>
      <c r="AS1116" s="5" t="n"/>
      <c r="AT1116" s="5" t="n"/>
      <c r="AU1116" s="5" t="n"/>
      <c r="AV1116" s="5" t="n"/>
      <c r="AW1116" s="5" t="n"/>
      <c r="AX1116" s="5" t="n"/>
      <c r="AY1116" s="5" t="n"/>
      <c r="AZ1116" s="5" t="n"/>
      <c r="BA1116" s="5" t="n"/>
      <c r="BB1116" s="5" t="n"/>
      <c r="BC1116" s="5" t="n"/>
      <c r="BD1116" s="5" t="n"/>
      <c r="BE1116" s="5" t="n"/>
      <c r="BF1116" s="5" t="n"/>
      <c r="BG1116" s="5" t="n"/>
      <c r="BH1116" s="5" t="n"/>
      <c r="BI1116" s="5" t="n"/>
      <c r="BJ1116" s="5" t="n"/>
      <c r="BK1116" s="5" t="n"/>
      <c r="BL1116" s="5" t="n"/>
      <c r="BM1116" s="5" t="n"/>
      <c r="BN1116" s="5" t="n"/>
      <c r="BO1116" s="5" t="n"/>
      <c r="BP1116" s="5" t="n"/>
      <c r="BQ1116" s="5" t="n"/>
      <c r="BR1116" s="5" t="n"/>
      <c r="BS1116" s="5" t="n"/>
      <c r="BT1116" s="5" t="n"/>
      <c r="BU1116" s="5" t="n"/>
      <c r="BV1116" s="5" t="n"/>
      <c r="BW1116" s="5" t="n"/>
      <c r="BX1116" s="5" t="n"/>
      <c r="BY1116" s="5" t="n"/>
      <c r="BZ1116" s="5" t="n"/>
      <c r="CA1116" s="5" t="n"/>
      <c r="CB1116" s="5" t="n"/>
      <c r="CC1116" s="5" t="n"/>
      <c r="CD1116" s="5" t="n"/>
      <c r="CE1116" s="5" t="n"/>
      <c r="CF1116" s="5" t="n"/>
    </row>
    <row r="1117">
      <c r="A1117" s="171" t="n"/>
      <c r="B1117" s="171" t="n"/>
      <c r="C1117" s="171" t="n"/>
      <c r="D1117" s="170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  <c r="Q1117" s="5" t="n"/>
      <c r="R1117" s="5" t="n"/>
      <c r="S1117" s="5" t="n"/>
      <c r="T1117" s="5" t="n"/>
      <c r="U1117" s="5" t="n"/>
      <c r="V1117" s="5" t="n"/>
      <c r="W1117" s="5" t="n"/>
      <c r="X1117" s="5" t="n"/>
      <c r="Y1117" s="5" t="n"/>
      <c r="Z1117" s="5" t="n"/>
      <c r="AA1117" s="5" t="n"/>
      <c r="AB1117" s="5" t="n"/>
      <c r="AC1117" s="5" t="n"/>
      <c r="AD1117" s="5" t="n"/>
      <c r="AE1117" s="5" t="n"/>
      <c r="AF1117" s="5" t="n"/>
      <c r="AG1117" s="5" t="n"/>
      <c r="AH1117" s="5" t="n"/>
      <c r="AI1117" s="5" t="n"/>
      <c r="AJ1117" s="5" t="n"/>
      <c r="AK1117" s="5" t="n"/>
      <c r="AL1117" s="5" t="n"/>
      <c r="AM1117" s="5" t="n"/>
      <c r="AN1117" s="5" t="n"/>
      <c r="AO1117" s="5" t="n"/>
      <c r="AP1117" s="5" t="n"/>
      <c r="AQ1117" s="5" t="n"/>
      <c r="AR1117" s="5" t="n"/>
      <c r="AS1117" s="5" t="n"/>
      <c r="AT1117" s="5" t="n"/>
      <c r="AU1117" s="5" t="n"/>
      <c r="AV1117" s="5" t="n"/>
      <c r="AW1117" s="5" t="n"/>
      <c r="AX1117" s="5" t="n"/>
      <c r="AY1117" s="5" t="n"/>
      <c r="AZ1117" s="5" t="n"/>
      <c r="BA1117" s="5" t="n"/>
      <c r="BB1117" s="5" t="n"/>
      <c r="BC1117" s="5" t="n"/>
      <c r="BD1117" s="5" t="n"/>
      <c r="BE1117" s="5" t="n"/>
      <c r="BF1117" s="5" t="n"/>
      <c r="BG1117" s="5" t="n"/>
      <c r="BH1117" s="5" t="n"/>
      <c r="BI1117" s="5" t="n"/>
      <c r="BJ1117" s="5" t="n"/>
      <c r="BK1117" s="5" t="n"/>
      <c r="BL1117" s="5" t="n"/>
      <c r="BM1117" s="5" t="n"/>
      <c r="BN1117" s="5" t="n"/>
      <c r="BO1117" s="5" t="n"/>
      <c r="BP1117" s="5" t="n"/>
      <c r="BQ1117" s="5" t="n"/>
      <c r="BR1117" s="5" t="n"/>
      <c r="BS1117" s="5" t="n"/>
      <c r="BT1117" s="5" t="n"/>
      <c r="BU1117" s="5" t="n"/>
      <c r="BV1117" s="5" t="n"/>
      <c r="BW1117" s="5" t="n"/>
      <c r="BX1117" s="5" t="n"/>
      <c r="BY1117" s="5" t="n"/>
      <c r="BZ1117" s="5" t="n"/>
      <c r="CA1117" s="5" t="n"/>
      <c r="CB1117" s="5" t="n"/>
      <c r="CC1117" s="5" t="n"/>
      <c r="CD1117" s="5" t="n"/>
      <c r="CE1117" s="5" t="n"/>
      <c r="CF1117" s="5" t="n"/>
    </row>
    <row r="1118">
      <c r="A1118" s="171" t="n"/>
      <c r="B1118" s="171" t="n"/>
      <c r="C1118" s="171" t="n"/>
      <c r="D1118" s="170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  <c r="Q1118" s="5" t="n"/>
      <c r="R1118" s="5" t="n"/>
      <c r="S1118" s="5" t="n"/>
      <c r="T1118" s="5" t="n"/>
      <c r="U1118" s="5" t="n"/>
      <c r="V1118" s="5" t="n"/>
      <c r="W1118" s="5" t="n"/>
      <c r="X1118" s="5" t="n"/>
      <c r="Y1118" s="5" t="n"/>
      <c r="Z1118" s="5" t="n"/>
      <c r="AA1118" s="5" t="n"/>
      <c r="AB1118" s="5" t="n"/>
      <c r="AC1118" s="5" t="n"/>
      <c r="AD1118" s="5" t="n"/>
      <c r="AE1118" s="5" t="n"/>
      <c r="AF1118" s="5" t="n"/>
      <c r="AG1118" s="5" t="n"/>
      <c r="AH1118" s="5" t="n"/>
      <c r="AI1118" s="5" t="n"/>
      <c r="AJ1118" s="5" t="n"/>
      <c r="AK1118" s="5" t="n"/>
      <c r="AL1118" s="5" t="n"/>
      <c r="AM1118" s="5" t="n"/>
      <c r="AN1118" s="5" t="n"/>
      <c r="AO1118" s="5" t="n"/>
      <c r="AP1118" s="5" t="n"/>
      <c r="AQ1118" s="5" t="n"/>
      <c r="AR1118" s="5" t="n"/>
      <c r="AS1118" s="5" t="n"/>
      <c r="AT1118" s="5" t="n"/>
      <c r="AU1118" s="5" t="n"/>
      <c r="AV1118" s="5" t="n"/>
      <c r="AW1118" s="5" t="n"/>
      <c r="AX1118" s="5" t="n"/>
      <c r="AY1118" s="5" t="n"/>
      <c r="AZ1118" s="5" t="n"/>
      <c r="BA1118" s="5" t="n"/>
      <c r="BB1118" s="5" t="n"/>
      <c r="BC1118" s="5" t="n"/>
      <c r="BD1118" s="5" t="n"/>
      <c r="BE1118" s="5" t="n"/>
      <c r="BF1118" s="5" t="n"/>
      <c r="BG1118" s="5" t="n"/>
      <c r="BH1118" s="5" t="n"/>
      <c r="BI1118" s="5" t="n"/>
      <c r="BJ1118" s="5" t="n"/>
      <c r="BK1118" s="5" t="n"/>
      <c r="BL1118" s="5" t="n"/>
      <c r="BM1118" s="5" t="n"/>
      <c r="BN1118" s="5" t="n"/>
      <c r="BO1118" s="5" t="n"/>
      <c r="BP1118" s="5" t="n"/>
      <c r="BQ1118" s="5" t="n"/>
      <c r="BR1118" s="5" t="n"/>
      <c r="BS1118" s="5" t="n"/>
      <c r="BT1118" s="5" t="n"/>
      <c r="BU1118" s="5" t="n"/>
      <c r="BV1118" s="5" t="n"/>
      <c r="BW1118" s="5" t="n"/>
      <c r="BX1118" s="5" t="n"/>
      <c r="BY1118" s="5" t="n"/>
      <c r="BZ1118" s="5" t="n"/>
      <c r="CA1118" s="5" t="n"/>
      <c r="CB1118" s="5" t="n"/>
      <c r="CC1118" s="5" t="n"/>
      <c r="CD1118" s="5" t="n"/>
      <c r="CE1118" s="5" t="n"/>
      <c r="CF1118" s="5" t="n"/>
    </row>
    <row r="1119">
      <c r="A1119" s="171" t="n"/>
      <c r="B1119" s="171" t="n"/>
      <c r="C1119" s="171" t="n"/>
      <c r="D1119" s="170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  <c r="AI1119" s="5" t="n"/>
      <c r="AJ1119" s="5" t="n"/>
      <c r="AK1119" s="5" t="n"/>
      <c r="AL1119" s="5" t="n"/>
      <c r="AM1119" s="5" t="n"/>
      <c r="AN1119" s="5" t="n"/>
      <c r="AO1119" s="5" t="n"/>
      <c r="AP1119" s="5" t="n"/>
      <c r="AQ1119" s="5" t="n"/>
      <c r="AR1119" s="5" t="n"/>
      <c r="AS1119" s="5" t="n"/>
      <c r="AT1119" s="5" t="n"/>
      <c r="AU1119" s="5" t="n"/>
      <c r="AV1119" s="5" t="n"/>
      <c r="AW1119" s="5" t="n"/>
      <c r="AX1119" s="5" t="n"/>
      <c r="AY1119" s="5" t="n"/>
      <c r="AZ1119" s="5" t="n"/>
      <c r="BA1119" s="5" t="n"/>
      <c r="BB1119" s="5" t="n"/>
      <c r="BC1119" s="5" t="n"/>
      <c r="BD1119" s="5" t="n"/>
      <c r="BE1119" s="5" t="n"/>
      <c r="BF1119" s="5" t="n"/>
      <c r="BG1119" s="5" t="n"/>
      <c r="BH1119" s="5" t="n"/>
      <c r="BI1119" s="5" t="n"/>
      <c r="BJ1119" s="5" t="n"/>
      <c r="BK1119" s="5" t="n"/>
      <c r="BL1119" s="5" t="n"/>
      <c r="BM1119" s="5" t="n"/>
      <c r="BN1119" s="5" t="n"/>
      <c r="BO1119" s="5" t="n"/>
      <c r="BP1119" s="5" t="n"/>
      <c r="BQ1119" s="5" t="n"/>
      <c r="BR1119" s="5" t="n"/>
      <c r="BS1119" s="5" t="n"/>
      <c r="BT1119" s="5" t="n"/>
      <c r="BU1119" s="5" t="n"/>
      <c r="BV1119" s="5" t="n"/>
      <c r="BW1119" s="5" t="n"/>
      <c r="BX1119" s="5" t="n"/>
      <c r="BY1119" s="5" t="n"/>
      <c r="BZ1119" s="5" t="n"/>
      <c r="CA1119" s="5" t="n"/>
      <c r="CB1119" s="5" t="n"/>
      <c r="CC1119" s="5" t="n"/>
      <c r="CD1119" s="5" t="n"/>
      <c r="CE1119" s="5" t="n"/>
      <c r="CF1119" s="5" t="n"/>
    </row>
    <row r="1120">
      <c r="A1120" s="171" t="n"/>
      <c r="B1120" s="171" t="n"/>
      <c r="C1120" s="171" t="n"/>
      <c r="D1120" s="170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n"/>
      <c r="AJ1120" s="5" t="n"/>
      <c r="AK1120" s="5" t="n"/>
      <c r="AL1120" s="5" t="n"/>
      <c r="AM1120" s="5" t="n"/>
      <c r="AN1120" s="5" t="n"/>
      <c r="AO1120" s="5" t="n"/>
      <c r="AP1120" s="5" t="n"/>
      <c r="AQ1120" s="5" t="n"/>
      <c r="AR1120" s="5" t="n"/>
      <c r="AS1120" s="5" t="n"/>
      <c r="AT1120" s="5" t="n"/>
      <c r="AU1120" s="5" t="n"/>
      <c r="AV1120" s="5" t="n"/>
      <c r="AW1120" s="5" t="n"/>
      <c r="AX1120" s="5" t="n"/>
      <c r="AY1120" s="5" t="n"/>
      <c r="AZ1120" s="5" t="n"/>
      <c r="BA1120" s="5" t="n"/>
      <c r="BB1120" s="5" t="n"/>
      <c r="BC1120" s="5" t="n"/>
      <c r="BD1120" s="5" t="n"/>
      <c r="BE1120" s="5" t="n"/>
      <c r="BF1120" s="5" t="n"/>
      <c r="BG1120" s="5" t="n"/>
      <c r="BH1120" s="5" t="n"/>
      <c r="BI1120" s="5" t="n"/>
      <c r="BJ1120" s="5" t="n"/>
      <c r="BK1120" s="5" t="n"/>
      <c r="BL1120" s="5" t="n"/>
      <c r="BM1120" s="5" t="n"/>
      <c r="BN1120" s="5" t="n"/>
      <c r="BO1120" s="5" t="n"/>
      <c r="BP1120" s="5" t="n"/>
      <c r="BQ1120" s="5" t="n"/>
      <c r="BR1120" s="5" t="n"/>
      <c r="BS1120" s="5" t="n"/>
      <c r="BT1120" s="5" t="n"/>
      <c r="BU1120" s="5" t="n"/>
      <c r="BV1120" s="5" t="n"/>
      <c r="BW1120" s="5" t="n"/>
      <c r="BX1120" s="5" t="n"/>
      <c r="BY1120" s="5" t="n"/>
      <c r="BZ1120" s="5" t="n"/>
      <c r="CA1120" s="5" t="n"/>
      <c r="CB1120" s="5" t="n"/>
      <c r="CC1120" s="5" t="n"/>
      <c r="CD1120" s="5" t="n"/>
      <c r="CE1120" s="5" t="n"/>
      <c r="CF1120" s="5" t="n"/>
    </row>
    <row r="1121">
      <c r="A1121" s="171" t="n"/>
      <c r="B1121" s="171" t="n"/>
      <c r="C1121" s="171" t="n"/>
      <c r="D1121" s="170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5" t="n"/>
      <c r="AL1121" s="5" t="n"/>
      <c r="AM1121" s="5" t="n"/>
      <c r="AN1121" s="5" t="n"/>
      <c r="AO1121" s="5" t="n"/>
      <c r="AP1121" s="5" t="n"/>
      <c r="AQ1121" s="5" t="n"/>
      <c r="AR1121" s="5" t="n"/>
      <c r="AS1121" s="5" t="n"/>
      <c r="AT1121" s="5" t="n"/>
      <c r="AU1121" s="5" t="n"/>
      <c r="AV1121" s="5" t="n"/>
      <c r="AW1121" s="5" t="n"/>
      <c r="AX1121" s="5" t="n"/>
      <c r="AY1121" s="5" t="n"/>
      <c r="AZ1121" s="5" t="n"/>
      <c r="BA1121" s="5" t="n"/>
      <c r="BB1121" s="5" t="n"/>
      <c r="BC1121" s="5" t="n"/>
      <c r="BD1121" s="5" t="n"/>
      <c r="BE1121" s="5" t="n"/>
      <c r="BF1121" s="5" t="n"/>
      <c r="BG1121" s="5" t="n"/>
      <c r="BH1121" s="5" t="n"/>
      <c r="BI1121" s="5" t="n"/>
      <c r="BJ1121" s="5" t="n"/>
      <c r="BK1121" s="5" t="n"/>
      <c r="BL1121" s="5" t="n"/>
      <c r="BM1121" s="5" t="n"/>
      <c r="BN1121" s="5" t="n"/>
      <c r="BO1121" s="5" t="n"/>
      <c r="BP1121" s="5" t="n"/>
      <c r="BQ1121" s="5" t="n"/>
      <c r="BR1121" s="5" t="n"/>
      <c r="BS1121" s="5" t="n"/>
      <c r="BT1121" s="5" t="n"/>
      <c r="BU1121" s="5" t="n"/>
      <c r="BV1121" s="5" t="n"/>
      <c r="BW1121" s="5" t="n"/>
      <c r="BX1121" s="5" t="n"/>
      <c r="BY1121" s="5" t="n"/>
      <c r="BZ1121" s="5" t="n"/>
      <c r="CA1121" s="5" t="n"/>
      <c r="CB1121" s="5" t="n"/>
      <c r="CC1121" s="5" t="n"/>
      <c r="CD1121" s="5" t="n"/>
      <c r="CE1121" s="5" t="n"/>
      <c r="CF1121" s="5" t="n"/>
    </row>
    <row r="1122">
      <c r="A1122" s="171" t="n"/>
      <c r="B1122" s="171" t="n"/>
      <c r="C1122" s="171" t="n"/>
      <c r="D1122" s="170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  <c r="Q1122" s="5" t="n"/>
      <c r="R1122" s="5" t="n"/>
      <c r="S1122" s="5" t="n"/>
      <c r="T1122" s="5" t="n"/>
      <c r="U1122" s="5" t="n"/>
      <c r="V1122" s="5" t="n"/>
      <c r="W1122" s="5" t="n"/>
      <c r="X1122" s="5" t="n"/>
      <c r="Y1122" s="5" t="n"/>
      <c r="Z1122" s="5" t="n"/>
      <c r="AA1122" s="5" t="n"/>
      <c r="AB1122" s="5" t="n"/>
      <c r="AC1122" s="5" t="n"/>
      <c r="AD1122" s="5" t="n"/>
      <c r="AE1122" s="5" t="n"/>
      <c r="AF1122" s="5" t="n"/>
      <c r="AG1122" s="5" t="n"/>
      <c r="AH1122" s="5" t="n"/>
      <c r="AI1122" s="5" t="n"/>
      <c r="AJ1122" s="5" t="n"/>
      <c r="AK1122" s="5" t="n"/>
      <c r="AL1122" s="5" t="n"/>
      <c r="AM1122" s="5" t="n"/>
      <c r="AN1122" s="5" t="n"/>
      <c r="AO1122" s="5" t="n"/>
      <c r="AP1122" s="5" t="n"/>
      <c r="AQ1122" s="5" t="n"/>
      <c r="AR1122" s="5" t="n"/>
      <c r="AS1122" s="5" t="n"/>
      <c r="AT1122" s="5" t="n"/>
      <c r="AU1122" s="5" t="n"/>
      <c r="AV1122" s="5" t="n"/>
      <c r="AW1122" s="5" t="n"/>
      <c r="AX1122" s="5" t="n"/>
      <c r="AY1122" s="5" t="n"/>
      <c r="AZ1122" s="5" t="n"/>
      <c r="BA1122" s="5" t="n"/>
      <c r="BB1122" s="5" t="n"/>
      <c r="BC1122" s="5" t="n"/>
      <c r="BD1122" s="5" t="n"/>
      <c r="BE1122" s="5" t="n"/>
      <c r="BF1122" s="5" t="n"/>
      <c r="BG1122" s="5" t="n"/>
      <c r="BH1122" s="5" t="n"/>
      <c r="BI1122" s="5" t="n"/>
      <c r="BJ1122" s="5" t="n"/>
      <c r="BK1122" s="5" t="n"/>
      <c r="BL1122" s="5" t="n"/>
      <c r="BM1122" s="5" t="n"/>
      <c r="BN1122" s="5" t="n"/>
      <c r="BO1122" s="5" t="n"/>
      <c r="BP1122" s="5" t="n"/>
      <c r="BQ1122" s="5" t="n"/>
      <c r="BR1122" s="5" t="n"/>
      <c r="BS1122" s="5" t="n"/>
      <c r="BT1122" s="5" t="n"/>
      <c r="BU1122" s="5" t="n"/>
      <c r="BV1122" s="5" t="n"/>
      <c r="BW1122" s="5" t="n"/>
      <c r="BX1122" s="5" t="n"/>
      <c r="BY1122" s="5" t="n"/>
      <c r="BZ1122" s="5" t="n"/>
      <c r="CA1122" s="5" t="n"/>
      <c r="CB1122" s="5" t="n"/>
      <c r="CC1122" s="5" t="n"/>
      <c r="CD1122" s="5" t="n"/>
      <c r="CE1122" s="5" t="n"/>
      <c r="CF1122" s="5" t="n"/>
    </row>
    <row r="1123">
      <c r="A1123" s="171" t="n"/>
      <c r="B1123" s="171" t="n"/>
      <c r="C1123" s="171" t="n"/>
      <c r="D1123" s="170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  <c r="Q1123" s="5" t="n"/>
      <c r="R1123" s="5" t="n"/>
      <c r="S1123" s="5" t="n"/>
      <c r="T1123" s="5" t="n"/>
      <c r="U1123" s="5" t="n"/>
      <c r="V1123" s="5" t="n"/>
      <c r="W1123" s="5" t="n"/>
      <c r="X1123" s="5" t="n"/>
      <c r="Y1123" s="5" t="n"/>
      <c r="Z1123" s="5" t="n"/>
      <c r="AA1123" s="5" t="n"/>
      <c r="AB1123" s="5" t="n"/>
      <c r="AC1123" s="5" t="n"/>
      <c r="AD1123" s="5" t="n"/>
      <c r="AE1123" s="5" t="n"/>
      <c r="AF1123" s="5" t="n"/>
      <c r="AG1123" s="5" t="n"/>
      <c r="AH1123" s="5" t="n"/>
      <c r="AI1123" s="5" t="n"/>
      <c r="AJ1123" s="5" t="n"/>
      <c r="AK1123" s="5" t="n"/>
      <c r="AL1123" s="5" t="n"/>
      <c r="AM1123" s="5" t="n"/>
      <c r="AN1123" s="5" t="n"/>
      <c r="AO1123" s="5" t="n"/>
      <c r="AP1123" s="5" t="n"/>
      <c r="AQ1123" s="5" t="n"/>
      <c r="AR1123" s="5" t="n"/>
      <c r="AS1123" s="5" t="n"/>
      <c r="AT1123" s="5" t="n"/>
      <c r="AU1123" s="5" t="n"/>
      <c r="AV1123" s="5" t="n"/>
      <c r="AW1123" s="5" t="n"/>
      <c r="AX1123" s="5" t="n"/>
      <c r="AY1123" s="5" t="n"/>
      <c r="AZ1123" s="5" t="n"/>
      <c r="BA1123" s="5" t="n"/>
      <c r="BB1123" s="5" t="n"/>
      <c r="BC1123" s="5" t="n"/>
      <c r="BD1123" s="5" t="n"/>
      <c r="BE1123" s="5" t="n"/>
      <c r="BF1123" s="5" t="n"/>
      <c r="BG1123" s="5" t="n"/>
      <c r="BH1123" s="5" t="n"/>
      <c r="BI1123" s="5" t="n"/>
      <c r="BJ1123" s="5" t="n"/>
      <c r="BK1123" s="5" t="n"/>
      <c r="BL1123" s="5" t="n"/>
      <c r="BM1123" s="5" t="n"/>
      <c r="BN1123" s="5" t="n"/>
      <c r="BO1123" s="5" t="n"/>
      <c r="BP1123" s="5" t="n"/>
      <c r="BQ1123" s="5" t="n"/>
      <c r="BR1123" s="5" t="n"/>
      <c r="BS1123" s="5" t="n"/>
      <c r="BT1123" s="5" t="n"/>
      <c r="BU1123" s="5" t="n"/>
      <c r="BV1123" s="5" t="n"/>
      <c r="BW1123" s="5" t="n"/>
      <c r="BX1123" s="5" t="n"/>
      <c r="BY1123" s="5" t="n"/>
      <c r="BZ1123" s="5" t="n"/>
      <c r="CA1123" s="5" t="n"/>
      <c r="CB1123" s="5" t="n"/>
      <c r="CC1123" s="5" t="n"/>
      <c r="CD1123" s="5" t="n"/>
      <c r="CE1123" s="5" t="n"/>
      <c r="CF1123" s="5" t="n"/>
    </row>
    <row r="1124">
      <c r="A1124" s="171" t="n"/>
      <c r="B1124" s="171" t="n"/>
      <c r="C1124" s="171" t="n"/>
      <c r="D1124" s="170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  <c r="Q1124" s="5" t="n"/>
      <c r="R1124" s="5" t="n"/>
      <c r="S1124" s="5" t="n"/>
      <c r="T1124" s="5" t="n"/>
      <c r="U1124" s="5" t="n"/>
      <c r="V1124" s="5" t="n"/>
      <c r="W1124" s="5" t="n"/>
      <c r="X1124" s="5" t="n"/>
      <c r="Y1124" s="5" t="n"/>
      <c r="Z1124" s="5" t="n"/>
      <c r="AA1124" s="5" t="n"/>
      <c r="AB1124" s="5" t="n"/>
      <c r="AC1124" s="5" t="n"/>
      <c r="AD1124" s="5" t="n"/>
      <c r="AE1124" s="5" t="n"/>
      <c r="AF1124" s="5" t="n"/>
      <c r="AG1124" s="5" t="n"/>
      <c r="AH1124" s="5" t="n"/>
      <c r="AI1124" s="5" t="n"/>
      <c r="AJ1124" s="5" t="n"/>
      <c r="AK1124" s="5" t="n"/>
      <c r="AL1124" s="5" t="n"/>
      <c r="AM1124" s="5" t="n"/>
      <c r="AN1124" s="5" t="n"/>
      <c r="AO1124" s="5" t="n"/>
      <c r="AP1124" s="5" t="n"/>
      <c r="AQ1124" s="5" t="n"/>
      <c r="AR1124" s="5" t="n"/>
      <c r="AS1124" s="5" t="n"/>
      <c r="AT1124" s="5" t="n"/>
      <c r="AU1124" s="5" t="n"/>
      <c r="AV1124" s="5" t="n"/>
      <c r="AW1124" s="5" t="n"/>
      <c r="AX1124" s="5" t="n"/>
      <c r="AY1124" s="5" t="n"/>
      <c r="AZ1124" s="5" t="n"/>
      <c r="BA1124" s="5" t="n"/>
      <c r="BB1124" s="5" t="n"/>
      <c r="BC1124" s="5" t="n"/>
      <c r="BD1124" s="5" t="n"/>
      <c r="BE1124" s="5" t="n"/>
      <c r="BF1124" s="5" t="n"/>
      <c r="BG1124" s="5" t="n"/>
      <c r="BH1124" s="5" t="n"/>
      <c r="BI1124" s="5" t="n"/>
      <c r="BJ1124" s="5" t="n"/>
      <c r="BK1124" s="5" t="n"/>
      <c r="BL1124" s="5" t="n"/>
      <c r="BM1124" s="5" t="n"/>
      <c r="BN1124" s="5" t="n"/>
      <c r="BO1124" s="5" t="n"/>
      <c r="BP1124" s="5" t="n"/>
      <c r="BQ1124" s="5" t="n"/>
      <c r="BR1124" s="5" t="n"/>
      <c r="BS1124" s="5" t="n"/>
      <c r="BT1124" s="5" t="n"/>
      <c r="BU1124" s="5" t="n"/>
      <c r="BV1124" s="5" t="n"/>
      <c r="BW1124" s="5" t="n"/>
      <c r="BX1124" s="5" t="n"/>
      <c r="BY1124" s="5" t="n"/>
      <c r="BZ1124" s="5" t="n"/>
      <c r="CA1124" s="5" t="n"/>
      <c r="CB1124" s="5" t="n"/>
      <c r="CC1124" s="5" t="n"/>
      <c r="CD1124" s="5" t="n"/>
      <c r="CE1124" s="5" t="n"/>
      <c r="CF1124" s="5" t="n"/>
    </row>
    <row r="1125">
      <c r="A1125" s="171" t="n"/>
      <c r="B1125" s="171" t="n"/>
      <c r="C1125" s="171" t="n"/>
      <c r="D1125" s="170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  <c r="Q1125" s="5" t="n"/>
      <c r="R1125" s="5" t="n"/>
      <c r="S1125" s="5" t="n"/>
      <c r="T1125" s="5" t="n"/>
      <c r="U1125" s="5" t="n"/>
      <c r="V1125" s="5" t="n"/>
      <c r="W1125" s="5" t="n"/>
      <c r="X1125" s="5" t="n"/>
      <c r="Y1125" s="5" t="n"/>
      <c r="Z1125" s="5" t="n"/>
      <c r="AA1125" s="5" t="n"/>
      <c r="AB1125" s="5" t="n"/>
      <c r="AC1125" s="5" t="n"/>
      <c r="AD1125" s="5" t="n"/>
      <c r="AE1125" s="5" t="n"/>
      <c r="AF1125" s="5" t="n"/>
      <c r="AG1125" s="5" t="n"/>
      <c r="AH1125" s="5" t="n"/>
      <c r="AI1125" s="5" t="n"/>
      <c r="AJ1125" s="5" t="n"/>
      <c r="AK1125" s="5" t="n"/>
      <c r="AL1125" s="5" t="n"/>
      <c r="AM1125" s="5" t="n"/>
      <c r="AN1125" s="5" t="n"/>
      <c r="AO1125" s="5" t="n"/>
      <c r="AP1125" s="5" t="n"/>
      <c r="AQ1125" s="5" t="n"/>
      <c r="AR1125" s="5" t="n"/>
      <c r="AS1125" s="5" t="n"/>
      <c r="AT1125" s="5" t="n"/>
      <c r="AU1125" s="5" t="n"/>
      <c r="AV1125" s="5" t="n"/>
      <c r="AW1125" s="5" t="n"/>
      <c r="AX1125" s="5" t="n"/>
      <c r="AY1125" s="5" t="n"/>
      <c r="AZ1125" s="5" t="n"/>
      <c r="BA1125" s="5" t="n"/>
      <c r="BB1125" s="5" t="n"/>
      <c r="BC1125" s="5" t="n"/>
      <c r="BD1125" s="5" t="n"/>
      <c r="BE1125" s="5" t="n"/>
      <c r="BF1125" s="5" t="n"/>
      <c r="BG1125" s="5" t="n"/>
      <c r="BH1125" s="5" t="n"/>
      <c r="BI1125" s="5" t="n"/>
      <c r="BJ1125" s="5" t="n"/>
      <c r="BK1125" s="5" t="n"/>
      <c r="BL1125" s="5" t="n"/>
      <c r="BM1125" s="5" t="n"/>
      <c r="BN1125" s="5" t="n"/>
      <c r="BO1125" s="5" t="n"/>
      <c r="BP1125" s="5" t="n"/>
      <c r="BQ1125" s="5" t="n"/>
      <c r="BR1125" s="5" t="n"/>
      <c r="BS1125" s="5" t="n"/>
      <c r="BT1125" s="5" t="n"/>
      <c r="BU1125" s="5" t="n"/>
      <c r="BV1125" s="5" t="n"/>
      <c r="BW1125" s="5" t="n"/>
      <c r="BX1125" s="5" t="n"/>
      <c r="BY1125" s="5" t="n"/>
      <c r="BZ1125" s="5" t="n"/>
      <c r="CA1125" s="5" t="n"/>
      <c r="CB1125" s="5" t="n"/>
      <c r="CC1125" s="5" t="n"/>
      <c r="CD1125" s="5" t="n"/>
      <c r="CE1125" s="5" t="n"/>
      <c r="CF1125" s="5" t="n"/>
    </row>
    <row r="1126">
      <c r="A1126" s="171" t="n"/>
      <c r="B1126" s="171" t="n"/>
      <c r="C1126" s="171" t="n"/>
      <c r="D1126" s="170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  <c r="Q1126" s="5" t="n"/>
      <c r="R1126" s="5" t="n"/>
      <c r="S1126" s="5" t="n"/>
      <c r="T1126" s="5" t="n"/>
      <c r="U1126" s="5" t="n"/>
      <c r="V1126" s="5" t="n"/>
      <c r="W1126" s="5" t="n"/>
      <c r="X1126" s="5" t="n"/>
      <c r="Y1126" s="5" t="n"/>
      <c r="Z1126" s="5" t="n"/>
      <c r="AA1126" s="5" t="n"/>
      <c r="AB1126" s="5" t="n"/>
      <c r="AC1126" s="5" t="n"/>
      <c r="AD1126" s="5" t="n"/>
      <c r="AE1126" s="5" t="n"/>
      <c r="AF1126" s="5" t="n"/>
      <c r="AG1126" s="5" t="n"/>
      <c r="AH1126" s="5" t="n"/>
      <c r="AI1126" s="5" t="n"/>
      <c r="AJ1126" s="5" t="n"/>
      <c r="AK1126" s="5" t="n"/>
      <c r="AL1126" s="5" t="n"/>
      <c r="AM1126" s="5" t="n"/>
      <c r="AN1126" s="5" t="n"/>
      <c r="AO1126" s="5" t="n"/>
      <c r="AP1126" s="5" t="n"/>
      <c r="AQ1126" s="5" t="n"/>
      <c r="AR1126" s="5" t="n"/>
      <c r="AS1126" s="5" t="n"/>
      <c r="AT1126" s="5" t="n"/>
      <c r="AU1126" s="5" t="n"/>
      <c r="AV1126" s="5" t="n"/>
      <c r="AW1126" s="5" t="n"/>
      <c r="AX1126" s="5" t="n"/>
      <c r="AY1126" s="5" t="n"/>
      <c r="AZ1126" s="5" t="n"/>
      <c r="BA1126" s="5" t="n"/>
      <c r="BB1126" s="5" t="n"/>
      <c r="BC1126" s="5" t="n"/>
      <c r="BD1126" s="5" t="n"/>
      <c r="BE1126" s="5" t="n"/>
      <c r="BF1126" s="5" t="n"/>
      <c r="BG1126" s="5" t="n"/>
      <c r="BH1126" s="5" t="n"/>
      <c r="BI1126" s="5" t="n"/>
      <c r="BJ1126" s="5" t="n"/>
      <c r="BK1126" s="5" t="n"/>
      <c r="BL1126" s="5" t="n"/>
      <c r="BM1126" s="5" t="n"/>
      <c r="BN1126" s="5" t="n"/>
      <c r="BO1126" s="5" t="n"/>
      <c r="BP1126" s="5" t="n"/>
      <c r="BQ1126" s="5" t="n"/>
      <c r="BR1126" s="5" t="n"/>
      <c r="BS1126" s="5" t="n"/>
      <c r="BT1126" s="5" t="n"/>
      <c r="BU1126" s="5" t="n"/>
      <c r="BV1126" s="5" t="n"/>
      <c r="BW1126" s="5" t="n"/>
      <c r="BX1126" s="5" t="n"/>
      <c r="BY1126" s="5" t="n"/>
      <c r="BZ1126" s="5" t="n"/>
      <c r="CA1126" s="5" t="n"/>
      <c r="CB1126" s="5" t="n"/>
      <c r="CC1126" s="5" t="n"/>
      <c r="CD1126" s="5" t="n"/>
      <c r="CE1126" s="5" t="n"/>
      <c r="CF1126" s="5" t="n"/>
    </row>
    <row r="1127">
      <c r="A1127" s="171" t="n"/>
      <c r="B1127" s="171" t="n"/>
      <c r="C1127" s="171" t="n"/>
      <c r="D1127" s="170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  <c r="Q1127" s="5" t="n"/>
      <c r="R1127" s="5" t="n"/>
      <c r="S1127" s="5" t="n"/>
      <c r="T1127" s="5" t="n"/>
      <c r="U1127" s="5" t="n"/>
      <c r="V1127" s="5" t="n"/>
      <c r="W1127" s="5" t="n"/>
      <c r="X1127" s="5" t="n"/>
      <c r="Y1127" s="5" t="n"/>
      <c r="Z1127" s="5" t="n"/>
      <c r="AA1127" s="5" t="n"/>
      <c r="AB1127" s="5" t="n"/>
      <c r="AC1127" s="5" t="n"/>
      <c r="AD1127" s="5" t="n"/>
      <c r="AE1127" s="5" t="n"/>
      <c r="AF1127" s="5" t="n"/>
      <c r="AG1127" s="5" t="n"/>
      <c r="AH1127" s="5" t="n"/>
      <c r="AI1127" s="5" t="n"/>
      <c r="AJ1127" s="5" t="n"/>
      <c r="AK1127" s="5" t="n"/>
      <c r="AL1127" s="5" t="n"/>
      <c r="AM1127" s="5" t="n"/>
      <c r="AN1127" s="5" t="n"/>
      <c r="AO1127" s="5" t="n"/>
      <c r="AP1127" s="5" t="n"/>
      <c r="AQ1127" s="5" t="n"/>
      <c r="AR1127" s="5" t="n"/>
      <c r="AS1127" s="5" t="n"/>
      <c r="AT1127" s="5" t="n"/>
      <c r="AU1127" s="5" t="n"/>
      <c r="AV1127" s="5" t="n"/>
      <c r="AW1127" s="5" t="n"/>
      <c r="AX1127" s="5" t="n"/>
      <c r="AY1127" s="5" t="n"/>
      <c r="AZ1127" s="5" t="n"/>
      <c r="BA1127" s="5" t="n"/>
      <c r="BB1127" s="5" t="n"/>
      <c r="BC1127" s="5" t="n"/>
      <c r="BD1127" s="5" t="n"/>
      <c r="BE1127" s="5" t="n"/>
      <c r="BF1127" s="5" t="n"/>
      <c r="BG1127" s="5" t="n"/>
      <c r="BH1127" s="5" t="n"/>
      <c r="BI1127" s="5" t="n"/>
      <c r="BJ1127" s="5" t="n"/>
      <c r="BK1127" s="5" t="n"/>
      <c r="BL1127" s="5" t="n"/>
      <c r="BM1127" s="5" t="n"/>
      <c r="BN1127" s="5" t="n"/>
      <c r="BO1127" s="5" t="n"/>
      <c r="BP1127" s="5" t="n"/>
      <c r="BQ1127" s="5" t="n"/>
      <c r="BR1127" s="5" t="n"/>
      <c r="BS1127" s="5" t="n"/>
      <c r="BT1127" s="5" t="n"/>
      <c r="BU1127" s="5" t="n"/>
      <c r="BV1127" s="5" t="n"/>
      <c r="BW1127" s="5" t="n"/>
      <c r="BX1127" s="5" t="n"/>
      <c r="BY1127" s="5" t="n"/>
      <c r="BZ1127" s="5" t="n"/>
      <c r="CA1127" s="5" t="n"/>
      <c r="CB1127" s="5" t="n"/>
      <c r="CC1127" s="5" t="n"/>
      <c r="CD1127" s="5" t="n"/>
      <c r="CE1127" s="5" t="n"/>
      <c r="CF1127" s="5" t="n"/>
    </row>
    <row r="1128">
      <c r="A1128" s="171" t="n"/>
      <c r="B1128" s="171" t="n"/>
      <c r="C1128" s="171" t="n"/>
      <c r="D1128" s="170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  <c r="Q1128" s="5" t="n"/>
      <c r="R1128" s="5" t="n"/>
      <c r="S1128" s="5" t="n"/>
      <c r="T1128" s="5" t="n"/>
      <c r="U1128" s="5" t="n"/>
      <c r="V1128" s="5" t="n"/>
      <c r="W1128" s="5" t="n"/>
      <c r="X1128" s="5" t="n"/>
      <c r="Y1128" s="5" t="n"/>
      <c r="Z1128" s="5" t="n"/>
      <c r="AA1128" s="5" t="n"/>
      <c r="AB1128" s="5" t="n"/>
      <c r="AC1128" s="5" t="n"/>
      <c r="AD1128" s="5" t="n"/>
      <c r="AE1128" s="5" t="n"/>
      <c r="AF1128" s="5" t="n"/>
      <c r="AG1128" s="5" t="n"/>
      <c r="AH1128" s="5" t="n"/>
      <c r="AI1128" s="5" t="n"/>
      <c r="AJ1128" s="5" t="n"/>
      <c r="AK1128" s="5" t="n"/>
      <c r="AL1128" s="5" t="n"/>
      <c r="AM1128" s="5" t="n"/>
      <c r="AN1128" s="5" t="n"/>
      <c r="AO1128" s="5" t="n"/>
      <c r="AP1128" s="5" t="n"/>
      <c r="AQ1128" s="5" t="n"/>
      <c r="AR1128" s="5" t="n"/>
      <c r="AS1128" s="5" t="n"/>
      <c r="AT1128" s="5" t="n"/>
      <c r="AU1128" s="5" t="n"/>
      <c r="AV1128" s="5" t="n"/>
      <c r="AW1128" s="5" t="n"/>
      <c r="AX1128" s="5" t="n"/>
      <c r="AY1128" s="5" t="n"/>
      <c r="AZ1128" s="5" t="n"/>
      <c r="BA1128" s="5" t="n"/>
      <c r="BB1128" s="5" t="n"/>
      <c r="BC1128" s="5" t="n"/>
      <c r="BD1128" s="5" t="n"/>
      <c r="BE1128" s="5" t="n"/>
      <c r="BF1128" s="5" t="n"/>
      <c r="BG1128" s="5" t="n"/>
      <c r="BH1128" s="5" t="n"/>
      <c r="BI1128" s="5" t="n"/>
      <c r="BJ1128" s="5" t="n"/>
      <c r="BK1128" s="5" t="n"/>
      <c r="BL1128" s="5" t="n"/>
      <c r="BM1128" s="5" t="n"/>
      <c r="BN1128" s="5" t="n"/>
      <c r="BO1128" s="5" t="n"/>
      <c r="BP1128" s="5" t="n"/>
      <c r="BQ1128" s="5" t="n"/>
      <c r="BR1128" s="5" t="n"/>
      <c r="BS1128" s="5" t="n"/>
      <c r="BT1128" s="5" t="n"/>
      <c r="BU1128" s="5" t="n"/>
      <c r="BV1128" s="5" t="n"/>
      <c r="BW1128" s="5" t="n"/>
      <c r="BX1128" s="5" t="n"/>
      <c r="BY1128" s="5" t="n"/>
      <c r="BZ1128" s="5" t="n"/>
      <c r="CA1128" s="5" t="n"/>
      <c r="CB1128" s="5" t="n"/>
      <c r="CC1128" s="5" t="n"/>
      <c r="CD1128" s="5" t="n"/>
      <c r="CE1128" s="5" t="n"/>
      <c r="CF1128" s="5" t="n"/>
    </row>
    <row r="1129">
      <c r="A1129" s="171" t="n"/>
      <c r="B1129" s="171" t="n"/>
      <c r="C1129" s="171" t="n"/>
      <c r="D1129" s="170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  <c r="Q1129" s="5" t="n"/>
      <c r="R1129" s="5" t="n"/>
      <c r="S1129" s="5" t="n"/>
      <c r="T1129" s="5" t="n"/>
      <c r="U1129" s="5" t="n"/>
      <c r="V1129" s="5" t="n"/>
      <c r="W1129" s="5" t="n"/>
      <c r="X1129" s="5" t="n"/>
      <c r="Y1129" s="5" t="n"/>
      <c r="Z1129" s="5" t="n"/>
      <c r="AA1129" s="5" t="n"/>
      <c r="AB1129" s="5" t="n"/>
      <c r="AC1129" s="5" t="n"/>
      <c r="AD1129" s="5" t="n"/>
      <c r="AE1129" s="5" t="n"/>
      <c r="AF1129" s="5" t="n"/>
      <c r="AG1129" s="5" t="n"/>
      <c r="AH1129" s="5" t="n"/>
      <c r="AI1129" s="5" t="n"/>
      <c r="AJ1129" s="5" t="n"/>
      <c r="AK1129" s="5" t="n"/>
      <c r="AL1129" s="5" t="n"/>
      <c r="AM1129" s="5" t="n"/>
      <c r="AN1129" s="5" t="n"/>
      <c r="AO1129" s="5" t="n"/>
      <c r="AP1129" s="5" t="n"/>
      <c r="AQ1129" s="5" t="n"/>
      <c r="AR1129" s="5" t="n"/>
      <c r="AS1129" s="5" t="n"/>
      <c r="AT1129" s="5" t="n"/>
      <c r="AU1129" s="5" t="n"/>
      <c r="AV1129" s="5" t="n"/>
      <c r="AW1129" s="5" t="n"/>
      <c r="AX1129" s="5" t="n"/>
      <c r="AY1129" s="5" t="n"/>
      <c r="AZ1129" s="5" t="n"/>
      <c r="BA1129" s="5" t="n"/>
      <c r="BB1129" s="5" t="n"/>
      <c r="BC1129" s="5" t="n"/>
      <c r="BD1129" s="5" t="n"/>
      <c r="BE1129" s="5" t="n"/>
      <c r="BF1129" s="5" t="n"/>
      <c r="BG1129" s="5" t="n"/>
      <c r="BH1129" s="5" t="n"/>
      <c r="BI1129" s="5" t="n"/>
      <c r="BJ1129" s="5" t="n"/>
      <c r="BK1129" s="5" t="n"/>
      <c r="BL1129" s="5" t="n"/>
      <c r="BM1129" s="5" t="n"/>
      <c r="BN1129" s="5" t="n"/>
      <c r="BO1129" s="5" t="n"/>
      <c r="BP1129" s="5" t="n"/>
      <c r="BQ1129" s="5" t="n"/>
      <c r="BR1129" s="5" t="n"/>
      <c r="BS1129" s="5" t="n"/>
      <c r="BT1129" s="5" t="n"/>
      <c r="BU1129" s="5" t="n"/>
      <c r="BV1129" s="5" t="n"/>
      <c r="BW1129" s="5" t="n"/>
      <c r="BX1129" s="5" t="n"/>
      <c r="BY1129" s="5" t="n"/>
      <c r="BZ1129" s="5" t="n"/>
      <c r="CA1129" s="5" t="n"/>
      <c r="CB1129" s="5" t="n"/>
      <c r="CC1129" s="5" t="n"/>
      <c r="CD1129" s="5" t="n"/>
      <c r="CE1129" s="5" t="n"/>
      <c r="CF1129" s="5" t="n"/>
    </row>
    <row r="1130">
      <c r="A1130" s="171" t="n"/>
      <c r="B1130" s="171" t="n"/>
      <c r="C1130" s="171" t="n"/>
      <c r="D1130" s="170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  <c r="Q1130" s="5" t="n"/>
      <c r="R1130" s="5" t="n"/>
      <c r="S1130" s="5" t="n"/>
      <c r="T1130" s="5" t="n"/>
      <c r="U1130" s="5" t="n"/>
      <c r="V1130" s="5" t="n"/>
      <c r="W1130" s="5" t="n"/>
      <c r="X1130" s="5" t="n"/>
      <c r="Y1130" s="5" t="n"/>
      <c r="Z1130" s="5" t="n"/>
      <c r="AA1130" s="5" t="n"/>
      <c r="AB1130" s="5" t="n"/>
      <c r="AC1130" s="5" t="n"/>
      <c r="AD1130" s="5" t="n"/>
      <c r="AE1130" s="5" t="n"/>
      <c r="AF1130" s="5" t="n"/>
      <c r="AG1130" s="5" t="n"/>
      <c r="AH1130" s="5" t="n"/>
      <c r="AI1130" s="5" t="n"/>
      <c r="AJ1130" s="5" t="n"/>
      <c r="AK1130" s="5" t="n"/>
      <c r="AL1130" s="5" t="n"/>
      <c r="AM1130" s="5" t="n"/>
      <c r="AN1130" s="5" t="n"/>
      <c r="AO1130" s="5" t="n"/>
      <c r="AP1130" s="5" t="n"/>
      <c r="AQ1130" s="5" t="n"/>
      <c r="AR1130" s="5" t="n"/>
      <c r="AS1130" s="5" t="n"/>
      <c r="AT1130" s="5" t="n"/>
      <c r="AU1130" s="5" t="n"/>
      <c r="AV1130" s="5" t="n"/>
      <c r="AW1130" s="5" t="n"/>
      <c r="AX1130" s="5" t="n"/>
      <c r="AY1130" s="5" t="n"/>
      <c r="AZ1130" s="5" t="n"/>
      <c r="BA1130" s="5" t="n"/>
      <c r="BB1130" s="5" t="n"/>
      <c r="BC1130" s="5" t="n"/>
      <c r="BD1130" s="5" t="n"/>
      <c r="BE1130" s="5" t="n"/>
      <c r="BF1130" s="5" t="n"/>
      <c r="BG1130" s="5" t="n"/>
      <c r="BH1130" s="5" t="n"/>
      <c r="BI1130" s="5" t="n"/>
      <c r="BJ1130" s="5" t="n"/>
      <c r="BK1130" s="5" t="n"/>
      <c r="BL1130" s="5" t="n"/>
      <c r="BM1130" s="5" t="n"/>
      <c r="BN1130" s="5" t="n"/>
      <c r="BO1130" s="5" t="n"/>
      <c r="BP1130" s="5" t="n"/>
      <c r="BQ1130" s="5" t="n"/>
      <c r="BR1130" s="5" t="n"/>
      <c r="BS1130" s="5" t="n"/>
      <c r="BT1130" s="5" t="n"/>
      <c r="BU1130" s="5" t="n"/>
      <c r="BV1130" s="5" t="n"/>
      <c r="BW1130" s="5" t="n"/>
      <c r="BX1130" s="5" t="n"/>
      <c r="BY1130" s="5" t="n"/>
      <c r="BZ1130" s="5" t="n"/>
      <c r="CA1130" s="5" t="n"/>
      <c r="CB1130" s="5" t="n"/>
      <c r="CC1130" s="5" t="n"/>
      <c r="CD1130" s="5" t="n"/>
      <c r="CE1130" s="5" t="n"/>
      <c r="CF1130" s="5" t="n"/>
    </row>
    <row r="1131">
      <c r="A1131" s="171" t="n"/>
      <c r="B1131" s="171" t="n"/>
      <c r="C1131" s="171" t="n"/>
      <c r="D1131" s="170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  <c r="Q1131" s="5" t="n"/>
      <c r="R1131" s="5" t="n"/>
      <c r="S1131" s="5" t="n"/>
      <c r="T1131" s="5" t="n"/>
      <c r="U1131" s="5" t="n"/>
      <c r="V1131" s="5" t="n"/>
      <c r="W1131" s="5" t="n"/>
      <c r="X1131" s="5" t="n"/>
      <c r="Y1131" s="5" t="n"/>
      <c r="Z1131" s="5" t="n"/>
      <c r="AA1131" s="5" t="n"/>
      <c r="AB1131" s="5" t="n"/>
      <c r="AC1131" s="5" t="n"/>
      <c r="AD1131" s="5" t="n"/>
      <c r="AE1131" s="5" t="n"/>
      <c r="AF1131" s="5" t="n"/>
      <c r="AG1131" s="5" t="n"/>
      <c r="AH1131" s="5" t="n"/>
      <c r="AI1131" s="5" t="n"/>
      <c r="AJ1131" s="5" t="n"/>
      <c r="AK1131" s="5" t="n"/>
      <c r="AL1131" s="5" t="n"/>
      <c r="AM1131" s="5" t="n"/>
      <c r="AN1131" s="5" t="n"/>
      <c r="AO1131" s="5" t="n"/>
      <c r="AP1131" s="5" t="n"/>
      <c r="AQ1131" s="5" t="n"/>
      <c r="AR1131" s="5" t="n"/>
      <c r="AS1131" s="5" t="n"/>
      <c r="AT1131" s="5" t="n"/>
      <c r="AU1131" s="5" t="n"/>
      <c r="AV1131" s="5" t="n"/>
      <c r="AW1131" s="5" t="n"/>
      <c r="AX1131" s="5" t="n"/>
      <c r="AY1131" s="5" t="n"/>
      <c r="AZ1131" s="5" t="n"/>
      <c r="BA1131" s="5" t="n"/>
      <c r="BB1131" s="5" t="n"/>
      <c r="BC1131" s="5" t="n"/>
      <c r="BD1131" s="5" t="n"/>
      <c r="BE1131" s="5" t="n"/>
      <c r="BF1131" s="5" t="n"/>
      <c r="BG1131" s="5" t="n"/>
      <c r="BH1131" s="5" t="n"/>
      <c r="BI1131" s="5" t="n"/>
      <c r="BJ1131" s="5" t="n"/>
      <c r="BK1131" s="5" t="n"/>
      <c r="BL1131" s="5" t="n"/>
      <c r="BM1131" s="5" t="n"/>
      <c r="BN1131" s="5" t="n"/>
      <c r="BO1131" s="5" t="n"/>
      <c r="BP1131" s="5" t="n"/>
      <c r="BQ1131" s="5" t="n"/>
      <c r="BR1131" s="5" t="n"/>
      <c r="BS1131" s="5" t="n"/>
      <c r="BT1131" s="5" t="n"/>
      <c r="BU1131" s="5" t="n"/>
      <c r="BV1131" s="5" t="n"/>
      <c r="BW1131" s="5" t="n"/>
      <c r="BX1131" s="5" t="n"/>
      <c r="BY1131" s="5" t="n"/>
      <c r="BZ1131" s="5" t="n"/>
      <c r="CA1131" s="5" t="n"/>
      <c r="CB1131" s="5" t="n"/>
      <c r="CC1131" s="5" t="n"/>
      <c r="CD1131" s="5" t="n"/>
      <c r="CE1131" s="5" t="n"/>
      <c r="CF1131" s="5" t="n"/>
    </row>
    <row r="1132">
      <c r="A1132" s="171" t="n"/>
      <c r="B1132" s="171" t="n"/>
      <c r="C1132" s="171" t="n"/>
      <c r="D1132" s="170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  <c r="Q1132" s="5" t="n"/>
      <c r="R1132" s="5" t="n"/>
      <c r="S1132" s="5" t="n"/>
      <c r="T1132" s="5" t="n"/>
      <c r="U1132" s="5" t="n"/>
      <c r="V1132" s="5" t="n"/>
      <c r="W1132" s="5" t="n"/>
      <c r="X1132" s="5" t="n"/>
      <c r="Y1132" s="5" t="n"/>
      <c r="Z1132" s="5" t="n"/>
      <c r="AA1132" s="5" t="n"/>
      <c r="AB1132" s="5" t="n"/>
      <c r="AC1132" s="5" t="n"/>
      <c r="AD1132" s="5" t="n"/>
      <c r="AE1132" s="5" t="n"/>
      <c r="AF1132" s="5" t="n"/>
      <c r="AG1132" s="5" t="n"/>
      <c r="AH1132" s="5" t="n"/>
      <c r="AI1132" s="5" t="n"/>
      <c r="AJ1132" s="5" t="n"/>
      <c r="AK1132" s="5" t="n"/>
      <c r="AL1132" s="5" t="n"/>
      <c r="AM1132" s="5" t="n"/>
      <c r="AN1132" s="5" t="n"/>
      <c r="AO1132" s="5" t="n"/>
      <c r="AP1132" s="5" t="n"/>
      <c r="AQ1132" s="5" t="n"/>
      <c r="AR1132" s="5" t="n"/>
      <c r="AS1132" s="5" t="n"/>
      <c r="AT1132" s="5" t="n"/>
      <c r="AU1132" s="5" t="n"/>
      <c r="AV1132" s="5" t="n"/>
      <c r="AW1132" s="5" t="n"/>
      <c r="AX1132" s="5" t="n"/>
      <c r="AY1132" s="5" t="n"/>
      <c r="AZ1132" s="5" t="n"/>
      <c r="BA1132" s="5" t="n"/>
      <c r="BB1132" s="5" t="n"/>
      <c r="BC1132" s="5" t="n"/>
      <c r="BD1132" s="5" t="n"/>
      <c r="BE1132" s="5" t="n"/>
      <c r="BF1132" s="5" t="n"/>
      <c r="BG1132" s="5" t="n"/>
      <c r="BH1132" s="5" t="n"/>
      <c r="BI1132" s="5" t="n"/>
      <c r="BJ1132" s="5" t="n"/>
      <c r="BK1132" s="5" t="n"/>
      <c r="BL1132" s="5" t="n"/>
      <c r="BM1132" s="5" t="n"/>
      <c r="BN1132" s="5" t="n"/>
      <c r="BO1132" s="5" t="n"/>
      <c r="BP1132" s="5" t="n"/>
      <c r="BQ1132" s="5" t="n"/>
      <c r="BR1132" s="5" t="n"/>
      <c r="BS1132" s="5" t="n"/>
      <c r="BT1132" s="5" t="n"/>
      <c r="BU1132" s="5" t="n"/>
      <c r="BV1132" s="5" t="n"/>
      <c r="BW1132" s="5" t="n"/>
      <c r="BX1132" s="5" t="n"/>
      <c r="BY1132" s="5" t="n"/>
      <c r="BZ1132" s="5" t="n"/>
      <c r="CA1132" s="5" t="n"/>
      <c r="CB1132" s="5" t="n"/>
      <c r="CC1132" s="5" t="n"/>
      <c r="CD1132" s="5" t="n"/>
      <c r="CE1132" s="5" t="n"/>
      <c r="CF1132" s="5" t="n"/>
    </row>
    <row r="1133">
      <c r="A1133" s="171" t="n"/>
      <c r="B1133" s="171" t="n"/>
      <c r="C1133" s="171" t="n"/>
      <c r="D1133" s="170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  <c r="Q1133" s="5" t="n"/>
      <c r="R1133" s="5" t="n"/>
      <c r="S1133" s="5" t="n"/>
      <c r="T1133" s="5" t="n"/>
      <c r="U1133" s="5" t="n"/>
      <c r="V1133" s="5" t="n"/>
      <c r="W1133" s="5" t="n"/>
      <c r="X1133" s="5" t="n"/>
      <c r="Y1133" s="5" t="n"/>
      <c r="Z1133" s="5" t="n"/>
      <c r="AA1133" s="5" t="n"/>
      <c r="AB1133" s="5" t="n"/>
      <c r="AC1133" s="5" t="n"/>
      <c r="AD1133" s="5" t="n"/>
      <c r="AE1133" s="5" t="n"/>
      <c r="AF1133" s="5" t="n"/>
      <c r="AG1133" s="5" t="n"/>
      <c r="AH1133" s="5" t="n"/>
      <c r="AI1133" s="5" t="n"/>
      <c r="AJ1133" s="5" t="n"/>
      <c r="AK1133" s="5" t="n"/>
      <c r="AL1133" s="5" t="n"/>
      <c r="AM1133" s="5" t="n"/>
      <c r="AN1133" s="5" t="n"/>
      <c r="AO1133" s="5" t="n"/>
      <c r="AP1133" s="5" t="n"/>
      <c r="AQ1133" s="5" t="n"/>
      <c r="AR1133" s="5" t="n"/>
      <c r="AS1133" s="5" t="n"/>
      <c r="AT1133" s="5" t="n"/>
      <c r="AU1133" s="5" t="n"/>
      <c r="AV1133" s="5" t="n"/>
      <c r="AW1133" s="5" t="n"/>
      <c r="AX1133" s="5" t="n"/>
      <c r="AY1133" s="5" t="n"/>
      <c r="AZ1133" s="5" t="n"/>
      <c r="BA1133" s="5" t="n"/>
      <c r="BB1133" s="5" t="n"/>
      <c r="BC1133" s="5" t="n"/>
      <c r="BD1133" s="5" t="n"/>
      <c r="BE1133" s="5" t="n"/>
      <c r="BF1133" s="5" t="n"/>
      <c r="BG1133" s="5" t="n"/>
      <c r="BH1133" s="5" t="n"/>
      <c r="BI1133" s="5" t="n"/>
      <c r="BJ1133" s="5" t="n"/>
      <c r="BK1133" s="5" t="n"/>
      <c r="BL1133" s="5" t="n"/>
      <c r="BM1133" s="5" t="n"/>
      <c r="BN1133" s="5" t="n"/>
      <c r="BO1133" s="5" t="n"/>
      <c r="BP1133" s="5" t="n"/>
      <c r="BQ1133" s="5" t="n"/>
      <c r="BR1133" s="5" t="n"/>
      <c r="BS1133" s="5" t="n"/>
      <c r="BT1133" s="5" t="n"/>
      <c r="BU1133" s="5" t="n"/>
      <c r="BV1133" s="5" t="n"/>
      <c r="BW1133" s="5" t="n"/>
      <c r="BX1133" s="5" t="n"/>
      <c r="BY1133" s="5" t="n"/>
      <c r="BZ1133" s="5" t="n"/>
      <c r="CA1133" s="5" t="n"/>
      <c r="CB1133" s="5" t="n"/>
      <c r="CC1133" s="5" t="n"/>
      <c r="CD1133" s="5" t="n"/>
      <c r="CE1133" s="5" t="n"/>
      <c r="CF1133" s="5" t="n"/>
    </row>
    <row r="1134">
      <c r="A1134" s="171" t="n"/>
      <c r="B1134" s="171" t="n"/>
      <c r="C1134" s="171" t="n"/>
      <c r="D1134" s="170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  <c r="Q1134" s="5" t="n"/>
      <c r="R1134" s="5" t="n"/>
      <c r="S1134" s="5" t="n"/>
      <c r="T1134" s="5" t="n"/>
      <c r="U1134" s="5" t="n"/>
      <c r="V1134" s="5" t="n"/>
      <c r="W1134" s="5" t="n"/>
      <c r="X1134" s="5" t="n"/>
      <c r="Y1134" s="5" t="n"/>
      <c r="Z1134" s="5" t="n"/>
      <c r="AA1134" s="5" t="n"/>
      <c r="AB1134" s="5" t="n"/>
      <c r="AC1134" s="5" t="n"/>
      <c r="AD1134" s="5" t="n"/>
      <c r="AE1134" s="5" t="n"/>
      <c r="AF1134" s="5" t="n"/>
      <c r="AG1134" s="5" t="n"/>
      <c r="AH1134" s="5" t="n"/>
      <c r="AI1134" s="5" t="n"/>
      <c r="AJ1134" s="5" t="n"/>
      <c r="AK1134" s="5" t="n"/>
      <c r="AL1134" s="5" t="n"/>
      <c r="AM1134" s="5" t="n"/>
      <c r="AN1134" s="5" t="n"/>
      <c r="AO1134" s="5" t="n"/>
      <c r="AP1134" s="5" t="n"/>
      <c r="AQ1134" s="5" t="n"/>
      <c r="AR1134" s="5" t="n"/>
      <c r="AS1134" s="5" t="n"/>
      <c r="AT1134" s="5" t="n"/>
      <c r="AU1134" s="5" t="n"/>
      <c r="AV1134" s="5" t="n"/>
      <c r="AW1134" s="5" t="n"/>
      <c r="AX1134" s="5" t="n"/>
      <c r="AY1134" s="5" t="n"/>
      <c r="AZ1134" s="5" t="n"/>
      <c r="BA1134" s="5" t="n"/>
      <c r="BB1134" s="5" t="n"/>
      <c r="BC1134" s="5" t="n"/>
      <c r="BD1134" s="5" t="n"/>
      <c r="BE1134" s="5" t="n"/>
      <c r="BF1134" s="5" t="n"/>
      <c r="BG1134" s="5" t="n"/>
      <c r="BH1134" s="5" t="n"/>
      <c r="BI1134" s="5" t="n"/>
      <c r="BJ1134" s="5" t="n"/>
      <c r="BK1134" s="5" t="n"/>
      <c r="BL1134" s="5" t="n"/>
      <c r="BM1134" s="5" t="n"/>
      <c r="BN1134" s="5" t="n"/>
      <c r="BO1134" s="5" t="n"/>
      <c r="BP1134" s="5" t="n"/>
      <c r="BQ1134" s="5" t="n"/>
      <c r="BR1134" s="5" t="n"/>
      <c r="BS1134" s="5" t="n"/>
      <c r="BT1134" s="5" t="n"/>
      <c r="BU1134" s="5" t="n"/>
      <c r="BV1134" s="5" t="n"/>
      <c r="BW1134" s="5" t="n"/>
      <c r="BX1134" s="5" t="n"/>
      <c r="BY1134" s="5" t="n"/>
      <c r="BZ1134" s="5" t="n"/>
      <c r="CA1134" s="5" t="n"/>
      <c r="CB1134" s="5" t="n"/>
      <c r="CC1134" s="5" t="n"/>
      <c r="CD1134" s="5" t="n"/>
      <c r="CE1134" s="5" t="n"/>
      <c r="CF1134" s="5" t="n"/>
    </row>
    <row r="1135">
      <c r="A1135" s="171" t="n"/>
      <c r="B1135" s="171" t="n"/>
      <c r="C1135" s="171" t="n"/>
      <c r="D1135" s="170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  <c r="Q1135" s="5" t="n"/>
      <c r="R1135" s="5" t="n"/>
      <c r="S1135" s="5" t="n"/>
      <c r="T1135" s="5" t="n"/>
      <c r="U1135" s="5" t="n"/>
      <c r="V1135" s="5" t="n"/>
      <c r="W1135" s="5" t="n"/>
      <c r="X1135" s="5" t="n"/>
      <c r="Y1135" s="5" t="n"/>
      <c r="Z1135" s="5" t="n"/>
      <c r="AA1135" s="5" t="n"/>
      <c r="AB1135" s="5" t="n"/>
      <c r="AC1135" s="5" t="n"/>
      <c r="AD1135" s="5" t="n"/>
      <c r="AE1135" s="5" t="n"/>
      <c r="AF1135" s="5" t="n"/>
      <c r="AG1135" s="5" t="n"/>
      <c r="AH1135" s="5" t="n"/>
      <c r="AI1135" s="5" t="n"/>
      <c r="AJ1135" s="5" t="n"/>
      <c r="AK1135" s="5" t="n"/>
      <c r="AL1135" s="5" t="n"/>
      <c r="AM1135" s="5" t="n"/>
      <c r="AN1135" s="5" t="n"/>
      <c r="AO1135" s="5" t="n"/>
      <c r="AP1135" s="5" t="n"/>
      <c r="AQ1135" s="5" t="n"/>
      <c r="AR1135" s="5" t="n"/>
      <c r="AS1135" s="5" t="n"/>
      <c r="AT1135" s="5" t="n"/>
      <c r="AU1135" s="5" t="n"/>
      <c r="AV1135" s="5" t="n"/>
      <c r="AW1135" s="5" t="n"/>
      <c r="AX1135" s="5" t="n"/>
      <c r="AY1135" s="5" t="n"/>
      <c r="AZ1135" s="5" t="n"/>
      <c r="BA1135" s="5" t="n"/>
      <c r="BB1135" s="5" t="n"/>
      <c r="BC1135" s="5" t="n"/>
      <c r="BD1135" s="5" t="n"/>
      <c r="BE1135" s="5" t="n"/>
      <c r="BF1135" s="5" t="n"/>
      <c r="BG1135" s="5" t="n"/>
      <c r="BH1135" s="5" t="n"/>
      <c r="BI1135" s="5" t="n"/>
      <c r="BJ1135" s="5" t="n"/>
      <c r="BK1135" s="5" t="n"/>
      <c r="BL1135" s="5" t="n"/>
      <c r="BM1135" s="5" t="n"/>
      <c r="BN1135" s="5" t="n"/>
      <c r="BO1135" s="5" t="n"/>
      <c r="BP1135" s="5" t="n"/>
      <c r="BQ1135" s="5" t="n"/>
      <c r="BR1135" s="5" t="n"/>
      <c r="BS1135" s="5" t="n"/>
      <c r="BT1135" s="5" t="n"/>
      <c r="BU1135" s="5" t="n"/>
      <c r="BV1135" s="5" t="n"/>
      <c r="BW1135" s="5" t="n"/>
      <c r="BX1135" s="5" t="n"/>
      <c r="BY1135" s="5" t="n"/>
      <c r="BZ1135" s="5" t="n"/>
      <c r="CA1135" s="5" t="n"/>
      <c r="CB1135" s="5" t="n"/>
      <c r="CC1135" s="5" t="n"/>
      <c r="CD1135" s="5" t="n"/>
      <c r="CE1135" s="5" t="n"/>
      <c r="CF1135" s="5" t="n"/>
    </row>
    <row r="1136">
      <c r="A1136" s="171" t="n"/>
      <c r="B1136" s="171" t="n"/>
      <c r="C1136" s="171" t="n"/>
      <c r="D1136" s="170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  <c r="Q1136" s="5" t="n"/>
      <c r="R1136" s="5" t="n"/>
      <c r="S1136" s="5" t="n"/>
      <c r="T1136" s="5" t="n"/>
      <c r="U1136" s="5" t="n"/>
      <c r="V1136" s="5" t="n"/>
      <c r="W1136" s="5" t="n"/>
      <c r="X1136" s="5" t="n"/>
      <c r="Y1136" s="5" t="n"/>
      <c r="Z1136" s="5" t="n"/>
      <c r="AA1136" s="5" t="n"/>
      <c r="AB1136" s="5" t="n"/>
      <c r="AC1136" s="5" t="n"/>
      <c r="AD1136" s="5" t="n"/>
      <c r="AE1136" s="5" t="n"/>
      <c r="AF1136" s="5" t="n"/>
      <c r="AG1136" s="5" t="n"/>
      <c r="AH1136" s="5" t="n"/>
      <c r="AI1136" s="5" t="n"/>
      <c r="AJ1136" s="5" t="n"/>
      <c r="AK1136" s="5" t="n"/>
      <c r="AL1136" s="5" t="n"/>
      <c r="AM1136" s="5" t="n"/>
      <c r="AN1136" s="5" t="n"/>
      <c r="AO1136" s="5" t="n"/>
      <c r="AP1136" s="5" t="n"/>
      <c r="AQ1136" s="5" t="n"/>
      <c r="AR1136" s="5" t="n"/>
      <c r="AS1136" s="5" t="n"/>
      <c r="AT1136" s="5" t="n"/>
      <c r="AU1136" s="5" t="n"/>
      <c r="AV1136" s="5" t="n"/>
      <c r="AW1136" s="5" t="n"/>
      <c r="AX1136" s="5" t="n"/>
      <c r="AY1136" s="5" t="n"/>
      <c r="AZ1136" s="5" t="n"/>
      <c r="BA1136" s="5" t="n"/>
      <c r="BB1136" s="5" t="n"/>
      <c r="BC1136" s="5" t="n"/>
      <c r="BD1136" s="5" t="n"/>
      <c r="BE1136" s="5" t="n"/>
      <c r="BF1136" s="5" t="n"/>
      <c r="BG1136" s="5" t="n"/>
      <c r="BH1136" s="5" t="n"/>
      <c r="BI1136" s="5" t="n"/>
      <c r="BJ1136" s="5" t="n"/>
      <c r="BK1136" s="5" t="n"/>
      <c r="BL1136" s="5" t="n"/>
      <c r="BM1136" s="5" t="n"/>
      <c r="BN1136" s="5" t="n"/>
      <c r="BO1136" s="5" t="n"/>
      <c r="BP1136" s="5" t="n"/>
      <c r="BQ1136" s="5" t="n"/>
      <c r="BR1136" s="5" t="n"/>
      <c r="BS1136" s="5" t="n"/>
      <c r="BT1136" s="5" t="n"/>
      <c r="BU1136" s="5" t="n"/>
      <c r="BV1136" s="5" t="n"/>
      <c r="BW1136" s="5" t="n"/>
      <c r="BX1136" s="5" t="n"/>
      <c r="BY1136" s="5" t="n"/>
      <c r="BZ1136" s="5" t="n"/>
      <c r="CA1136" s="5" t="n"/>
      <c r="CB1136" s="5" t="n"/>
      <c r="CC1136" s="5" t="n"/>
      <c r="CD1136" s="5" t="n"/>
      <c r="CE1136" s="5" t="n"/>
      <c r="CF1136" s="5" t="n"/>
    </row>
    <row r="1137">
      <c r="A1137" s="171" t="n"/>
      <c r="B1137" s="171" t="n"/>
      <c r="C1137" s="171" t="n"/>
      <c r="D1137" s="170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  <c r="Q1137" s="5" t="n"/>
      <c r="R1137" s="5" t="n"/>
      <c r="S1137" s="5" t="n"/>
      <c r="T1137" s="5" t="n"/>
      <c r="U1137" s="5" t="n"/>
      <c r="V1137" s="5" t="n"/>
      <c r="W1137" s="5" t="n"/>
      <c r="X1137" s="5" t="n"/>
      <c r="Y1137" s="5" t="n"/>
      <c r="Z1137" s="5" t="n"/>
      <c r="AA1137" s="5" t="n"/>
      <c r="AB1137" s="5" t="n"/>
      <c r="AC1137" s="5" t="n"/>
      <c r="AD1137" s="5" t="n"/>
      <c r="AE1137" s="5" t="n"/>
      <c r="AF1137" s="5" t="n"/>
      <c r="AG1137" s="5" t="n"/>
      <c r="AH1137" s="5" t="n"/>
      <c r="AI1137" s="5" t="n"/>
      <c r="AJ1137" s="5" t="n"/>
      <c r="AK1137" s="5" t="n"/>
      <c r="AL1137" s="5" t="n"/>
      <c r="AM1137" s="5" t="n"/>
      <c r="AN1137" s="5" t="n"/>
      <c r="AO1137" s="5" t="n"/>
      <c r="AP1137" s="5" t="n"/>
      <c r="AQ1137" s="5" t="n"/>
      <c r="AR1137" s="5" t="n"/>
      <c r="AS1137" s="5" t="n"/>
      <c r="AT1137" s="5" t="n"/>
      <c r="AU1137" s="5" t="n"/>
      <c r="AV1137" s="5" t="n"/>
      <c r="AW1137" s="5" t="n"/>
      <c r="AX1137" s="5" t="n"/>
      <c r="AY1137" s="5" t="n"/>
      <c r="AZ1137" s="5" t="n"/>
      <c r="BA1137" s="5" t="n"/>
      <c r="BB1137" s="5" t="n"/>
      <c r="BC1137" s="5" t="n"/>
      <c r="BD1137" s="5" t="n"/>
      <c r="BE1137" s="5" t="n"/>
      <c r="BF1137" s="5" t="n"/>
      <c r="BG1137" s="5" t="n"/>
      <c r="BH1137" s="5" t="n"/>
      <c r="BI1137" s="5" t="n"/>
      <c r="BJ1137" s="5" t="n"/>
      <c r="BK1137" s="5" t="n"/>
      <c r="BL1137" s="5" t="n"/>
      <c r="BM1137" s="5" t="n"/>
      <c r="BN1137" s="5" t="n"/>
      <c r="BO1137" s="5" t="n"/>
      <c r="BP1137" s="5" t="n"/>
      <c r="BQ1137" s="5" t="n"/>
      <c r="BR1137" s="5" t="n"/>
      <c r="BS1137" s="5" t="n"/>
      <c r="BT1137" s="5" t="n"/>
      <c r="BU1137" s="5" t="n"/>
      <c r="BV1137" s="5" t="n"/>
      <c r="BW1137" s="5" t="n"/>
      <c r="BX1137" s="5" t="n"/>
      <c r="BY1137" s="5" t="n"/>
      <c r="BZ1137" s="5" t="n"/>
      <c r="CA1137" s="5" t="n"/>
      <c r="CB1137" s="5" t="n"/>
      <c r="CC1137" s="5" t="n"/>
      <c r="CD1137" s="5" t="n"/>
      <c r="CE1137" s="5" t="n"/>
      <c r="CF1137" s="5" t="n"/>
    </row>
    <row r="1138">
      <c r="A1138" s="171" t="n"/>
      <c r="B1138" s="171" t="n"/>
      <c r="C1138" s="171" t="n"/>
      <c r="D1138" s="170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  <c r="Q1138" s="5" t="n"/>
      <c r="R1138" s="5" t="n"/>
      <c r="S1138" s="5" t="n"/>
      <c r="T1138" s="5" t="n"/>
      <c r="U1138" s="5" t="n"/>
      <c r="V1138" s="5" t="n"/>
      <c r="W1138" s="5" t="n"/>
      <c r="X1138" s="5" t="n"/>
      <c r="Y1138" s="5" t="n"/>
      <c r="Z1138" s="5" t="n"/>
      <c r="AA1138" s="5" t="n"/>
      <c r="AB1138" s="5" t="n"/>
      <c r="AC1138" s="5" t="n"/>
      <c r="AD1138" s="5" t="n"/>
      <c r="AE1138" s="5" t="n"/>
      <c r="AF1138" s="5" t="n"/>
      <c r="AG1138" s="5" t="n"/>
      <c r="AH1138" s="5" t="n"/>
      <c r="AI1138" s="5" t="n"/>
      <c r="AJ1138" s="5" t="n"/>
      <c r="AK1138" s="5" t="n"/>
      <c r="AL1138" s="5" t="n"/>
      <c r="AM1138" s="5" t="n"/>
      <c r="AN1138" s="5" t="n"/>
      <c r="AO1138" s="5" t="n"/>
      <c r="AP1138" s="5" t="n"/>
      <c r="AQ1138" s="5" t="n"/>
      <c r="AR1138" s="5" t="n"/>
      <c r="AS1138" s="5" t="n"/>
      <c r="AT1138" s="5" t="n"/>
      <c r="AU1138" s="5" t="n"/>
      <c r="AV1138" s="5" t="n"/>
      <c r="AW1138" s="5" t="n"/>
      <c r="AX1138" s="5" t="n"/>
      <c r="AY1138" s="5" t="n"/>
      <c r="AZ1138" s="5" t="n"/>
      <c r="BA1138" s="5" t="n"/>
      <c r="BB1138" s="5" t="n"/>
      <c r="BC1138" s="5" t="n"/>
      <c r="BD1138" s="5" t="n"/>
      <c r="BE1138" s="5" t="n"/>
      <c r="BF1138" s="5" t="n"/>
      <c r="BG1138" s="5" t="n"/>
      <c r="BH1138" s="5" t="n"/>
      <c r="BI1138" s="5" t="n"/>
      <c r="BJ1138" s="5" t="n"/>
      <c r="BK1138" s="5" t="n"/>
      <c r="BL1138" s="5" t="n"/>
      <c r="BM1138" s="5" t="n"/>
      <c r="BN1138" s="5" t="n"/>
      <c r="BO1138" s="5" t="n"/>
      <c r="BP1138" s="5" t="n"/>
      <c r="BQ1138" s="5" t="n"/>
      <c r="BR1138" s="5" t="n"/>
      <c r="BS1138" s="5" t="n"/>
      <c r="BT1138" s="5" t="n"/>
      <c r="BU1138" s="5" t="n"/>
      <c r="BV1138" s="5" t="n"/>
      <c r="BW1138" s="5" t="n"/>
      <c r="BX1138" s="5" t="n"/>
      <c r="BY1138" s="5" t="n"/>
      <c r="BZ1138" s="5" t="n"/>
      <c r="CA1138" s="5" t="n"/>
      <c r="CB1138" s="5" t="n"/>
      <c r="CC1138" s="5" t="n"/>
      <c r="CD1138" s="5" t="n"/>
      <c r="CE1138" s="5" t="n"/>
      <c r="CF1138" s="5" t="n"/>
    </row>
    <row r="1139">
      <c r="A1139" s="171" t="n"/>
      <c r="B1139" s="171" t="n"/>
      <c r="C1139" s="171" t="n"/>
      <c r="D1139" s="170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  <c r="Q1139" s="5" t="n"/>
      <c r="R1139" s="5" t="n"/>
      <c r="S1139" s="5" t="n"/>
      <c r="T1139" s="5" t="n"/>
      <c r="U1139" s="5" t="n"/>
      <c r="V1139" s="5" t="n"/>
      <c r="W1139" s="5" t="n"/>
      <c r="X1139" s="5" t="n"/>
      <c r="Y1139" s="5" t="n"/>
      <c r="Z1139" s="5" t="n"/>
      <c r="AA1139" s="5" t="n"/>
      <c r="AB1139" s="5" t="n"/>
      <c r="AC1139" s="5" t="n"/>
      <c r="AD1139" s="5" t="n"/>
      <c r="AE1139" s="5" t="n"/>
      <c r="AF1139" s="5" t="n"/>
      <c r="AG1139" s="5" t="n"/>
      <c r="AH1139" s="5" t="n"/>
      <c r="AI1139" s="5" t="n"/>
      <c r="AJ1139" s="5" t="n"/>
      <c r="AK1139" s="5" t="n"/>
      <c r="AL1139" s="5" t="n"/>
      <c r="AM1139" s="5" t="n"/>
      <c r="AN1139" s="5" t="n"/>
      <c r="AO1139" s="5" t="n"/>
      <c r="AP1139" s="5" t="n"/>
      <c r="AQ1139" s="5" t="n"/>
      <c r="AR1139" s="5" t="n"/>
      <c r="AS1139" s="5" t="n"/>
      <c r="AT1139" s="5" t="n"/>
      <c r="AU1139" s="5" t="n"/>
      <c r="AV1139" s="5" t="n"/>
      <c r="AW1139" s="5" t="n"/>
      <c r="AX1139" s="5" t="n"/>
      <c r="AY1139" s="5" t="n"/>
      <c r="AZ1139" s="5" t="n"/>
      <c r="BA1139" s="5" t="n"/>
      <c r="BB1139" s="5" t="n"/>
      <c r="BC1139" s="5" t="n"/>
      <c r="BD1139" s="5" t="n"/>
      <c r="BE1139" s="5" t="n"/>
      <c r="BF1139" s="5" t="n"/>
      <c r="BG1139" s="5" t="n"/>
      <c r="BH1139" s="5" t="n"/>
      <c r="BI1139" s="5" t="n"/>
      <c r="BJ1139" s="5" t="n"/>
      <c r="BK1139" s="5" t="n"/>
      <c r="BL1139" s="5" t="n"/>
      <c r="BM1139" s="5" t="n"/>
      <c r="BN1139" s="5" t="n"/>
      <c r="BO1139" s="5" t="n"/>
      <c r="BP1139" s="5" t="n"/>
      <c r="BQ1139" s="5" t="n"/>
      <c r="BR1139" s="5" t="n"/>
      <c r="BS1139" s="5" t="n"/>
      <c r="BT1139" s="5" t="n"/>
      <c r="BU1139" s="5" t="n"/>
      <c r="BV1139" s="5" t="n"/>
      <c r="BW1139" s="5" t="n"/>
      <c r="BX1139" s="5" t="n"/>
      <c r="BY1139" s="5" t="n"/>
      <c r="BZ1139" s="5" t="n"/>
      <c r="CA1139" s="5" t="n"/>
      <c r="CB1139" s="5" t="n"/>
      <c r="CC1139" s="5" t="n"/>
      <c r="CD1139" s="5" t="n"/>
      <c r="CE1139" s="5" t="n"/>
      <c r="CF1139" s="5" t="n"/>
    </row>
    <row r="1140">
      <c r="A1140" s="171" t="n"/>
      <c r="B1140" s="171" t="n"/>
      <c r="C1140" s="171" t="n"/>
      <c r="D1140" s="170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  <c r="Q1140" s="5" t="n"/>
      <c r="R1140" s="5" t="n"/>
      <c r="S1140" s="5" t="n"/>
      <c r="T1140" s="5" t="n"/>
      <c r="U1140" s="5" t="n"/>
      <c r="V1140" s="5" t="n"/>
      <c r="W1140" s="5" t="n"/>
      <c r="X1140" s="5" t="n"/>
      <c r="Y1140" s="5" t="n"/>
      <c r="Z1140" s="5" t="n"/>
      <c r="AA1140" s="5" t="n"/>
      <c r="AB1140" s="5" t="n"/>
      <c r="AC1140" s="5" t="n"/>
      <c r="AD1140" s="5" t="n"/>
      <c r="AE1140" s="5" t="n"/>
      <c r="AF1140" s="5" t="n"/>
      <c r="AG1140" s="5" t="n"/>
      <c r="AH1140" s="5" t="n"/>
      <c r="AI1140" s="5" t="n"/>
      <c r="AJ1140" s="5" t="n"/>
      <c r="AK1140" s="5" t="n"/>
      <c r="AL1140" s="5" t="n"/>
      <c r="AM1140" s="5" t="n"/>
      <c r="AN1140" s="5" t="n"/>
      <c r="AO1140" s="5" t="n"/>
      <c r="AP1140" s="5" t="n"/>
      <c r="AQ1140" s="5" t="n"/>
      <c r="AR1140" s="5" t="n"/>
      <c r="AS1140" s="5" t="n"/>
      <c r="AT1140" s="5" t="n"/>
      <c r="AU1140" s="5" t="n"/>
      <c r="AV1140" s="5" t="n"/>
      <c r="AW1140" s="5" t="n"/>
      <c r="AX1140" s="5" t="n"/>
      <c r="AY1140" s="5" t="n"/>
      <c r="AZ1140" s="5" t="n"/>
      <c r="BA1140" s="5" t="n"/>
      <c r="BB1140" s="5" t="n"/>
      <c r="BC1140" s="5" t="n"/>
      <c r="BD1140" s="5" t="n"/>
      <c r="BE1140" s="5" t="n"/>
      <c r="BF1140" s="5" t="n"/>
      <c r="BG1140" s="5" t="n"/>
      <c r="BH1140" s="5" t="n"/>
      <c r="BI1140" s="5" t="n"/>
      <c r="BJ1140" s="5" t="n"/>
      <c r="BK1140" s="5" t="n"/>
      <c r="BL1140" s="5" t="n"/>
      <c r="BM1140" s="5" t="n"/>
      <c r="BN1140" s="5" t="n"/>
      <c r="BO1140" s="5" t="n"/>
      <c r="BP1140" s="5" t="n"/>
      <c r="BQ1140" s="5" t="n"/>
      <c r="BR1140" s="5" t="n"/>
      <c r="BS1140" s="5" t="n"/>
      <c r="BT1140" s="5" t="n"/>
      <c r="BU1140" s="5" t="n"/>
      <c r="BV1140" s="5" t="n"/>
      <c r="BW1140" s="5" t="n"/>
      <c r="BX1140" s="5" t="n"/>
      <c r="BY1140" s="5" t="n"/>
      <c r="BZ1140" s="5" t="n"/>
      <c r="CA1140" s="5" t="n"/>
      <c r="CB1140" s="5" t="n"/>
      <c r="CC1140" s="5" t="n"/>
      <c r="CD1140" s="5" t="n"/>
      <c r="CE1140" s="5" t="n"/>
      <c r="CF1140" s="5" t="n"/>
    </row>
    <row r="1141">
      <c r="A1141" s="171" t="n"/>
      <c r="B1141" s="171" t="n"/>
      <c r="C1141" s="171" t="n"/>
      <c r="D1141" s="170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  <c r="Q1141" s="5" t="n"/>
      <c r="R1141" s="5" t="n"/>
      <c r="S1141" s="5" t="n"/>
      <c r="T1141" s="5" t="n"/>
      <c r="U1141" s="5" t="n"/>
      <c r="V1141" s="5" t="n"/>
      <c r="W1141" s="5" t="n"/>
      <c r="X1141" s="5" t="n"/>
      <c r="Y1141" s="5" t="n"/>
      <c r="Z1141" s="5" t="n"/>
      <c r="AA1141" s="5" t="n"/>
      <c r="AB1141" s="5" t="n"/>
      <c r="AC1141" s="5" t="n"/>
      <c r="AD1141" s="5" t="n"/>
      <c r="AE1141" s="5" t="n"/>
      <c r="AF1141" s="5" t="n"/>
      <c r="AG1141" s="5" t="n"/>
      <c r="AH1141" s="5" t="n"/>
      <c r="AI1141" s="5" t="n"/>
      <c r="AJ1141" s="5" t="n"/>
      <c r="AK1141" s="5" t="n"/>
      <c r="AL1141" s="5" t="n"/>
      <c r="AM1141" s="5" t="n"/>
      <c r="AN1141" s="5" t="n"/>
      <c r="AO1141" s="5" t="n"/>
      <c r="AP1141" s="5" t="n"/>
      <c r="AQ1141" s="5" t="n"/>
      <c r="AR1141" s="5" t="n"/>
      <c r="AS1141" s="5" t="n"/>
      <c r="AT1141" s="5" t="n"/>
      <c r="AU1141" s="5" t="n"/>
      <c r="AV1141" s="5" t="n"/>
      <c r="AW1141" s="5" t="n"/>
      <c r="AX1141" s="5" t="n"/>
      <c r="AY1141" s="5" t="n"/>
      <c r="AZ1141" s="5" t="n"/>
      <c r="BA1141" s="5" t="n"/>
      <c r="BB1141" s="5" t="n"/>
      <c r="BC1141" s="5" t="n"/>
      <c r="BD1141" s="5" t="n"/>
      <c r="BE1141" s="5" t="n"/>
      <c r="BF1141" s="5" t="n"/>
      <c r="BG1141" s="5" t="n"/>
      <c r="BH1141" s="5" t="n"/>
      <c r="BI1141" s="5" t="n"/>
      <c r="BJ1141" s="5" t="n"/>
      <c r="BK1141" s="5" t="n"/>
      <c r="BL1141" s="5" t="n"/>
      <c r="BM1141" s="5" t="n"/>
      <c r="BN1141" s="5" t="n"/>
      <c r="BO1141" s="5" t="n"/>
      <c r="BP1141" s="5" t="n"/>
      <c r="BQ1141" s="5" t="n"/>
      <c r="BR1141" s="5" t="n"/>
      <c r="BS1141" s="5" t="n"/>
      <c r="BT1141" s="5" t="n"/>
      <c r="BU1141" s="5" t="n"/>
      <c r="BV1141" s="5" t="n"/>
      <c r="BW1141" s="5" t="n"/>
      <c r="BX1141" s="5" t="n"/>
      <c r="BY1141" s="5" t="n"/>
      <c r="BZ1141" s="5" t="n"/>
      <c r="CA1141" s="5" t="n"/>
      <c r="CB1141" s="5" t="n"/>
      <c r="CC1141" s="5" t="n"/>
      <c r="CD1141" s="5" t="n"/>
      <c r="CE1141" s="5" t="n"/>
      <c r="CF1141" s="5" t="n"/>
    </row>
    <row r="1142">
      <c r="A1142" s="171" t="n"/>
      <c r="B1142" s="171" t="n"/>
      <c r="C1142" s="171" t="n"/>
      <c r="D1142" s="170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  <c r="Q1142" s="5" t="n"/>
      <c r="R1142" s="5" t="n"/>
      <c r="S1142" s="5" t="n"/>
      <c r="T1142" s="5" t="n"/>
      <c r="U1142" s="5" t="n"/>
      <c r="V1142" s="5" t="n"/>
      <c r="W1142" s="5" t="n"/>
      <c r="X1142" s="5" t="n"/>
      <c r="Y1142" s="5" t="n"/>
      <c r="Z1142" s="5" t="n"/>
      <c r="AA1142" s="5" t="n"/>
      <c r="AB1142" s="5" t="n"/>
      <c r="AC1142" s="5" t="n"/>
      <c r="AD1142" s="5" t="n"/>
      <c r="AE1142" s="5" t="n"/>
      <c r="AF1142" s="5" t="n"/>
      <c r="AG1142" s="5" t="n"/>
      <c r="AH1142" s="5" t="n"/>
      <c r="AI1142" s="5" t="n"/>
      <c r="AJ1142" s="5" t="n"/>
      <c r="AK1142" s="5" t="n"/>
      <c r="AL1142" s="5" t="n"/>
      <c r="AM1142" s="5" t="n"/>
      <c r="AN1142" s="5" t="n"/>
      <c r="AO1142" s="5" t="n"/>
      <c r="AP1142" s="5" t="n"/>
      <c r="AQ1142" s="5" t="n"/>
      <c r="AR1142" s="5" t="n"/>
      <c r="AS1142" s="5" t="n"/>
      <c r="AT1142" s="5" t="n"/>
      <c r="AU1142" s="5" t="n"/>
      <c r="AV1142" s="5" t="n"/>
      <c r="AW1142" s="5" t="n"/>
      <c r="AX1142" s="5" t="n"/>
      <c r="AY1142" s="5" t="n"/>
      <c r="AZ1142" s="5" t="n"/>
      <c r="BA1142" s="5" t="n"/>
      <c r="BB1142" s="5" t="n"/>
      <c r="BC1142" s="5" t="n"/>
      <c r="BD1142" s="5" t="n"/>
      <c r="BE1142" s="5" t="n"/>
      <c r="BF1142" s="5" t="n"/>
      <c r="BG1142" s="5" t="n"/>
      <c r="BH1142" s="5" t="n"/>
      <c r="BI1142" s="5" t="n"/>
      <c r="BJ1142" s="5" t="n"/>
      <c r="BK1142" s="5" t="n"/>
      <c r="BL1142" s="5" t="n"/>
      <c r="BM1142" s="5" t="n"/>
      <c r="BN1142" s="5" t="n"/>
      <c r="BO1142" s="5" t="n"/>
      <c r="BP1142" s="5" t="n"/>
      <c r="BQ1142" s="5" t="n"/>
      <c r="BR1142" s="5" t="n"/>
      <c r="BS1142" s="5" t="n"/>
      <c r="BT1142" s="5" t="n"/>
      <c r="BU1142" s="5" t="n"/>
      <c r="BV1142" s="5" t="n"/>
      <c r="BW1142" s="5" t="n"/>
      <c r="BX1142" s="5" t="n"/>
      <c r="BY1142" s="5" t="n"/>
      <c r="BZ1142" s="5" t="n"/>
      <c r="CA1142" s="5" t="n"/>
      <c r="CB1142" s="5" t="n"/>
      <c r="CC1142" s="5" t="n"/>
      <c r="CD1142" s="5" t="n"/>
      <c r="CE1142" s="5" t="n"/>
      <c r="CF1142" s="5" t="n"/>
    </row>
    <row r="1143">
      <c r="A1143" s="171" t="n"/>
      <c r="B1143" s="171" t="n"/>
      <c r="C1143" s="171" t="n"/>
      <c r="D1143" s="170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  <c r="Q1143" s="5" t="n"/>
      <c r="R1143" s="5" t="n"/>
      <c r="S1143" s="5" t="n"/>
      <c r="T1143" s="5" t="n"/>
      <c r="U1143" s="5" t="n"/>
      <c r="V1143" s="5" t="n"/>
      <c r="W1143" s="5" t="n"/>
      <c r="X1143" s="5" t="n"/>
      <c r="Y1143" s="5" t="n"/>
      <c r="Z1143" s="5" t="n"/>
      <c r="AA1143" s="5" t="n"/>
      <c r="AB1143" s="5" t="n"/>
      <c r="AC1143" s="5" t="n"/>
      <c r="AD1143" s="5" t="n"/>
      <c r="AE1143" s="5" t="n"/>
      <c r="AF1143" s="5" t="n"/>
      <c r="AG1143" s="5" t="n"/>
      <c r="AH1143" s="5" t="n"/>
      <c r="AI1143" s="5" t="n"/>
      <c r="AJ1143" s="5" t="n"/>
      <c r="AK1143" s="5" t="n"/>
      <c r="AL1143" s="5" t="n"/>
      <c r="AM1143" s="5" t="n"/>
      <c r="AN1143" s="5" t="n"/>
      <c r="AO1143" s="5" t="n"/>
      <c r="AP1143" s="5" t="n"/>
      <c r="AQ1143" s="5" t="n"/>
      <c r="AR1143" s="5" t="n"/>
      <c r="AS1143" s="5" t="n"/>
      <c r="AT1143" s="5" t="n"/>
      <c r="AU1143" s="5" t="n"/>
      <c r="AV1143" s="5" t="n"/>
      <c r="AW1143" s="5" t="n"/>
      <c r="AX1143" s="5" t="n"/>
      <c r="AY1143" s="5" t="n"/>
      <c r="AZ1143" s="5" t="n"/>
      <c r="BA1143" s="5" t="n"/>
      <c r="BB1143" s="5" t="n"/>
      <c r="BC1143" s="5" t="n"/>
      <c r="BD1143" s="5" t="n"/>
      <c r="BE1143" s="5" t="n"/>
      <c r="BF1143" s="5" t="n"/>
      <c r="BG1143" s="5" t="n"/>
      <c r="BH1143" s="5" t="n"/>
      <c r="BI1143" s="5" t="n"/>
      <c r="BJ1143" s="5" t="n"/>
      <c r="BK1143" s="5" t="n"/>
      <c r="BL1143" s="5" t="n"/>
      <c r="BM1143" s="5" t="n"/>
      <c r="BN1143" s="5" t="n"/>
      <c r="BO1143" s="5" t="n"/>
      <c r="BP1143" s="5" t="n"/>
      <c r="BQ1143" s="5" t="n"/>
      <c r="BR1143" s="5" t="n"/>
      <c r="BS1143" s="5" t="n"/>
      <c r="BT1143" s="5" t="n"/>
      <c r="BU1143" s="5" t="n"/>
      <c r="BV1143" s="5" t="n"/>
      <c r="BW1143" s="5" t="n"/>
      <c r="BX1143" s="5" t="n"/>
      <c r="BY1143" s="5" t="n"/>
      <c r="BZ1143" s="5" t="n"/>
      <c r="CA1143" s="5" t="n"/>
      <c r="CB1143" s="5" t="n"/>
      <c r="CC1143" s="5" t="n"/>
      <c r="CD1143" s="5" t="n"/>
      <c r="CE1143" s="5" t="n"/>
      <c r="CF1143" s="5" t="n"/>
    </row>
    <row r="1144">
      <c r="A1144" s="171" t="n"/>
      <c r="B1144" s="171" t="n"/>
      <c r="C1144" s="171" t="n"/>
      <c r="D1144" s="170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  <c r="Q1144" s="5" t="n"/>
      <c r="R1144" s="5" t="n"/>
      <c r="S1144" s="5" t="n"/>
      <c r="T1144" s="5" t="n"/>
      <c r="U1144" s="5" t="n"/>
      <c r="V1144" s="5" t="n"/>
      <c r="W1144" s="5" t="n"/>
      <c r="X1144" s="5" t="n"/>
      <c r="Y1144" s="5" t="n"/>
      <c r="Z1144" s="5" t="n"/>
      <c r="AA1144" s="5" t="n"/>
      <c r="AB1144" s="5" t="n"/>
      <c r="AC1144" s="5" t="n"/>
      <c r="AD1144" s="5" t="n"/>
      <c r="AE1144" s="5" t="n"/>
      <c r="AF1144" s="5" t="n"/>
      <c r="AG1144" s="5" t="n"/>
      <c r="AH1144" s="5" t="n"/>
      <c r="AI1144" s="5" t="n"/>
      <c r="AJ1144" s="5" t="n"/>
      <c r="AK1144" s="5" t="n"/>
      <c r="AL1144" s="5" t="n"/>
      <c r="AM1144" s="5" t="n"/>
      <c r="AN1144" s="5" t="n"/>
      <c r="AO1144" s="5" t="n"/>
      <c r="AP1144" s="5" t="n"/>
      <c r="AQ1144" s="5" t="n"/>
      <c r="AR1144" s="5" t="n"/>
      <c r="AS1144" s="5" t="n"/>
      <c r="AT1144" s="5" t="n"/>
      <c r="AU1144" s="5" t="n"/>
      <c r="AV1144" s="5" t="n"/>
      <c r="AW1144" s="5" t="n"/>
      <c r="AX1144" s="5" t="n"/>
      <c r="AY1144" s="5" t="n"/>
      <c r="AZ1144" s="5" t="n"/>
      <c r="BA1144" s="5" t="n"/>
      <c r="BB1144" s="5" t="n"/>
      <c r="BC1144" s="5" t="n"/>
      <c r="BD1144" s="5" t="n"/>
      <c r="BE1144" s="5" t="n"/>
      <c r="BF1144" s="5" t="n"/>
      <c r="BG1144" s="5" t="n"/>
      <c r="BH1144" s="5" t="n"/>
      <c r="BI1144" s="5" t="n"/>
      <c r="BJ1144" s="5" t="n"/>
      <c r="BK1144" s="5" t="n"/>
      <c r="BL1144" s="5" t="n"/>
      <c r="BM1144" s="5" t="n"/>
      <c r="BN1144" s="5" t="n"/>
      <c r="BO1144" s="5" t="n"/>
      <c r="BP1144" s="5" t="n"/>
      <c r="BQ1144" s="5" t="n"/>
      <c r="BR1144" s="5" t="n"/>
      <c r="BS1144" s="5" t="n"/>
      <c r="BT1144" s="5" t="n"/>
      <c r="BU1144" s="5" t="n"/>
      <c r="BV1144" s="5" t="n"/>
      <c r="BW1144" s="5" t="n"/>
      <c r="BX1144" s="5" t="n"/>
      <c r="BY1144" s="5" t="n"/>
      <c r="BZ1144" s="5" t="n"/>
      <c r="CA1144" s="5" t="n"/>
      <c r="CB1144" s="5" t="n"/>
      <c r="CC1144" s="5" t="n"/>
      <c r="CD1144" s="5" t="n"/>
      <c r="CE1144" s="5" t="n"/>
      <c r="CF1144" s="5" t="n"/>
    </row>
    <row r="1145">
      <c r="A1145" s="171" t="n"/>
      <c r="B1145" s="171" t="n"/>
      <c r="C1145" s="171" t="n"/>
      <c r="D1145" s="170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  <c r="Q1145" s="5" t="n"/>
      <c r="R1145" s="5" t="n"/>
      <c r="S1145" s="5" t="n"/>
      <c r="T1145" s="5" t="n"/>
      <c r="U1145" s="5" t="n"/>
      <c r="V1145" s="5" t="n"/>
      <c r="W1145" s="5" t="n"/>
      <c r="X1145" s="5" t="n"/>
      <c r="Y1145" s="5" t="n"/>
      <c r="Z1145" s="5" t="n"/>
      <c r="AA1145" s="5" t="n"/>
      <c r="AB1145" s="5" t="n"/>
      <c r="AC1145" s="5" t="n"/>
      <c r="AD1145" s="5" t="n"/>
      <c r="AE1145" s="5" t="n"/>
      <c r="AF1145" s="5" t="n"/>
      <c r="AG1145" s="5" t="n"/>
      <c r="AH1145" s="5" t="n"/>
      <c r="AI1145" s="5" t="n"/>
      <c r="AJ1145" s="5" t="n"/>
      <c r="AK1145" s="5" t="n"/>
      <c r="AL1145" s="5" t="n"/>
      <c r="AM1145" s="5" t="n"/>
      <c r="AN1145" s="5" t="n"/>
      <c r="AO1145" s="5" t="n"/>
      <c r="AP1145" s="5" t="n"/>
      <c r="AQ1145" s="5" t="n"/>
      <c r="AR1145" s="5" t="n"/>
      <c r="AS1145" s="5" t="n"/>
      <c r="AT1145" s="5" t="n"/>
      <c r="AU1145" s="5" t="n"/>
      <c r="AV1145" s="5" t="n"/>
      <c r="AW1145" s="5" t="n"/>
      <c r="AX1145" s="5" t="n"/>
      <c r="AY1145" s="5" t="n"/>
      <c r="AZ1145" s="5" t="n"/>
      <c r="BA1145" s="5" t="n"/>
      <c r="BB1145" s="5" t="n"/>
      <c r="BC1145" s="5" t="n"/>
      <c r="BD1145" s="5" t="n"/>
      <c r="BE1145" s="5" t="n"/>
      <c r="BF1145" s="5" t="n"/>
      <c r="BG1145" s="5" t="n"/>
      <c r="BH1145" s="5" t="n"/>
      <c r="BI1145" s="5" t="n"/>
      <c r="BJ1145" s="5" t="n"/>
      <c r="BK1145" s="5" t="n"/>
      <c r="BL1145" s="5" t="n"/>
      <c r="BM1145" s="5" t="n"/>
      <c r="BN1145" s="5" t="n"/>
      <c r="BO1145" s="5" t="n"/>
      <c r="BP1145" s="5" t="n"/>
      <c r="BQ1145" s="5" t="n"/>
      <c r="BR1145" s="5" t="n"/>
      <c r="BS1145" s="5" t="n"/>
      <c r="BT1145" s="5" t="n"/>
      <c r="BU1145" s="5" t="n"/>
      <c r="BV1145" s="5" t="n"/>
      <c r="BW1145" s="5" t="n"/>
      <c r="BX1145" s="5" t="n"/>
      <c r="BY1145" s="5" t="n"/>
      <c r="BZ1145" s="5" t="n"/>
      <c r="CA1145" s="5" t="n"/>
      <c r="CB1145" s="5" t="n"/>
      <c r="CC1145" s="5" t="n"/>
      <c r="CD1145" s="5" t="n"/>
      <c r="CE1145" s="5" t="n"/>
      <c r="CF1145" s="5" t="n"/>
    </row>
    <row r="1146">
      <c r="A1146" s="171" t="n"/>
      <c r="B1146" s="171" t="n"/>
      <c r="C1146" s="171" t="n"/>
      <c r="D1146" s="170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  <c r="Q1146" s="5" t="n"/>
      <c r="R1146" s="5" t="n"/>
      <c r="S1146" s="5" t="n"/>
      <c r="T1146" s="5" t="n"/>
      <c r="U1146" s="5" t="n"/>
      <c r="V1146" s="5" t="n"/>
      <c r="W1146" s="5" t="n"/>
      <c r="X1146" s="5" t="n"/>
      <c r="Y1146" s="5" t="n"/>
      <c r="Z1146" s="5" t="n"/>
      <c r="AA1146" s="5" t="n"/>
      <c r="AB1146" s="5" t="n"/>
      <c r="AC1146" s="5" t="n"/>
      <c r="AD1146" s="5" t="n"/>
      <c r="AE1146" s="5" t="n"/>
      <c r="AF1146" s="5" t="n"/>
      <c r="AG1146" s="5" t="n"/>
      <c r="AH1146" s="5" t="n"/>
      <c r="AI1146" s="5" t="n"/>
      <c r="AJ1146" s="5" t="n"/>
      <c r="AK1146" s="5" t="n"/>
      <c r="AL1146" s="5" t="n"/>
      <c r="AM1146" s="5" t="n"/>
      <c r="AN1146" s="5" t="n"/>
      <c r="AO1146" s="5" t="n"/>
      <c r="AP1146" s="5" t="n"/>
      <c r="AQ1146" s="5" t="n"/>
      <c r="AR1146" s="5" t="n"/>
      <c r="AS1146" s="5" t="n"/>
      <c r="AT1146" s="5" t="n"/>
      <c r="AU1146" s="5" t="n"/>
      <c r="AV1146" s="5" t="n"/>
      <c r="AW1146" s="5" t="n"/>
      <c r="AX1146" s="5" t="n"/>
      <c r="AY1146" s="5" t="n"/>
      <c r="AZ1146" s="5" t="n"/>
      <c r="BA1146" s="5" t="n"/>
      <c r="BB1146" s="5" t="n"/>
      <c r="BC1146" s="5" t="n"/>
      <c r="BD1146" s="5" t="n"/>
      <c r="BE1146" s="5" t="n"/>
      <c r="BF1146" s="5" t="n"/>
      <c r="BG1146" s="5" t="n"/>
      <c r="BH1146" s="5" t="n"/>
      <c r="BI1146" s="5" t="n"/>
      <c r="BJ1146" s="5" t="n"/>
      <c r="BK1146" s="5" t="n"/>
      <c r="BL1146" s="5" t="n"/>
      <c r="BM1146" s="5" t="n"/>
      <c r="BN1146" s="5" t="n"/>
      <c r="BO1146" s="5" t="n"/>
      <c r="BP1146" s="5" t="n"/>
      <c r="BQ1146" s="5" t="n"/>
      <c r="BR1146" s="5" t="n"/>
      <c r="BS1146" s="5" t="n"/>
      <c r="BT1146" s="5" t="n"/>
      <c r="BU1146" s="5" t="n"/>
      <c r="BV1146" s="5" t="n"/>
      <c r="BW1146" s="5" t="n"/>
      <c r="BX1146" s="5" t="n"/>
      <c r="BY1146" s="5" t="n"/>
      <c r="BZ1146" s="5" t="n"/>
      <c r="CA1146" s="5" t="n"/>
      <c r="CB1146" s="5" t="n"/>
      <c r="CC1146" s="5" t="n"/>
      <c r="CD1146" s="5" t="n"/>
      <c r="CE1146" s="5" t="n"/>
      <c r="CF1146" s="5" t="n"/>
    </row>
    <row r="1147">
      <c r="A1147" s="171" t="n"/>
      <c r="B1147" s="171" t="n"/>
      <c r="C1147" s="171" t="n"/>
      <c r="D1147" s="170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  <c r="Q1147" s="5" t="n"/>
      <c r="R1147" s="5" t="n"/>
      <c r="S1147" s="5" t="n"/>
      <c r="T1147" s="5" t="n"/>
      <c r="U1147" s="5" t="n"/>
      <c r="V1147" s="5" t="n"/>
      <c r="W1147" s="5" t="n"/>
      <c r="X1147" s="5" t="n"/>
      <c r="Y1147" s="5" t="n"/>
      <c r="Z1147" s="5" t="n"/>
      <c r="AA1147" s="5" t="n"/>
      <c r="AB1147" s="5" t="n"/>
      <c r="AC1147" s="5" t="n"/>
      <c r="AD1147" s="5" t="n"/>
      <c r="AE1147" s="5" t="n"/>
      <c r="AF1147" s="5" t="n"/>
      <c r="AG1147" s="5" t="n"/>
      <c r="AH1147" s="5" t="n"/>
      <c r="AI1147" s="5" t="n"/>
      <c r="AJ1147" s="5" t="n"/>
      <c r="AK1147" s="5" t="n"/>
      <c r="AL1147" s="5" t="n"/>
      <c r="AM1147" s="5" t="n"/>
      <c r="AN1147" s="5" t="n"/>
      <c r="AO1147" s="5" t="n"/>
      <c r="AP1147" s="5" t="n"/>
      <c r="AQ1147" s="5" t="n"/>
      <c r="AR1147" s="5" t="n"/>
      <c r="AS1147" s="5" t="n"/>
      <c r="AT1147" s="5" t="n"/>
      <c r="AU1147" s="5" t="n"/>
      <c r="AV1147" s="5" t="n"/>
      <c r="AW1147" s="5" t="n"/>
      <c r="AX1147" s="5" t="n"/>
      <c r="AY1147" s="5" t="n"/>
      <c r="AZ1147" s="5" t="n"/>
      <c r="BA1147" s="5" t="n"/>
      <c r="BB1147" s="5" t="n"/>
      <c r="BC1147" s="5" t="n"/>
      <c r="BD1147" s="5" t="n"/>
      <c r="BE1147" s="5" t="n"/>
      <c r="BF1147" s="5" t="n"/>
      <c r="BG1147" s="5" t="n"/>
      <c r="BH1147" s="5" t="n"/>
      <c r="BI1147" s="5" t="n"/>
      <c r="BJ1147" s="5" t="n"/>
      <c r="BK1147" s="5" t="n"/>
      <c r="BL1147" s="5" t="n"/>
      <c r="BM1147" s="5" t="n"/>
      <c r="BN1147" s="5" t="n"/>
      <c r="BO1147" s="5" t="n"/>
      <c r="BP1147" s="5" t="n"/>
      <c r="BQ1147" s="5" t="n"/>
      <c r="BR1147" s="5" t="n"/>
      <c r="BS1147" s="5" t="n"/>
      <c r="BT1147" s="5" t="n"/>
      <c r="BU1147" s="5" t="n"/>
      <c r="BV1147" s="5" t="n"/>
      <c r="BW1147" s="5" t="n"/>
      <c r="BX1147" s="5" t="n"/>
      <c r="BY1147" s="5" t="n"/>
      <c r="BZ1147" s="5" t="n"/>
      <c r="CA1147" s="5" t="n"/>
      <c r="CB1147" s="5" t="n"/>
      <c r="CC1147" s="5" t="n"/>
      <c r="CD1147" s="5" t="n"/>
      <c r="CE1147" s="5" t="n"/>
      <c r="CF1147" s="5" t="n"/>
    </row>
    <row r="1148">
      <c r="A1148" s="171" t="n"/>
      <c r="B1148" s="171" t="n"/>
      <c r="C1148" s="171" t="n"/>
      <c r="D1148" s="170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  <c r="Q1148" s="5" t="n"/>
      <c r="R1148" s="5" t="n"/>
      <c r="S1148" s="5" t="n"/>
      <c r="T1148" s="5" t="n"/>
      <c r="U1148" s="5" t="n"/>
      <c r="V1148" s="5" t="n"/>
      <c r="W1148" s="5" t="n"/>
      <c r="X1148" s="5" t="n"/>
      <c r="Y1148" s="5" t="n"/>
      <c r="Z1148" s="5" t="n"/>
      <c r="AA1148" s="5" t="n"/>
      <c r="AB1148" s="5" t="n"/>
      <c r="AC1148" s="5" t="n"/>
      <c r="AD1148" s="5" t="n"/>
      <c r="AE1148" s="5" t="n"/>
      <c r="AF1148" s="5" t="n"/>
      <c r="AG1148" s="5" t="n"/>
      <c r="AH1148" s="5" t="n"/>
      <c r="AI1148" s="5" t="n"/>
      <c r="AJ1148" s="5" t="n"/>
      <c r="AK1148" s="5" t="n"/>
      <c r="AL1148" s="5" t="n"/>
      <c r="AM1148" s="5" t="n"/>
      <c r="AN1148" s="5" t="n"/>
      <c r="AO1148" s="5" t="n"/>
      <c r="AP1148" s="5" t="n"/>
      <c r="AQ1148" s="5" t="n"/>
      <c r="AR1148" s="5" t="n"/>
      <c r="AS1148" s="5" t="n"/>
      <c r="AT1148" s="5" t="n"/>
      <c r="AU1148" s="5" t="n"/>
      <c r="AV1148" s="5" t="n"/>
      <c r="AW1148" s="5" t="n"/>
      <c r="AX1148" s="5" t="n"/>
      <c r="AY1148" s="5" t="n"/>
      <c r="AZ1148" s="5" t="n"/>
      <c r="BA1148" s="5" t="n"/>
      <c r="BB1148" s="5" t="n"/>
      <c r="BC1148" s="5" t="n"/>
      <c r="BD1148" s="5" t="n"/>
      <c r="BE1148" s="5" t="n"/>
      <c r="BF1148" s="5" t="n"/>
      <c r="BG1148" s="5" t="n"/>
      <c r="BH1148" s="5" t="n"/>
      <c r="BI1148" s="5" t="n"/>
      <c r="BJ1148" s="5" t="n"/>
      <c r="BK1148" s="5" t="n"/>
      <c r="BL1148" s="5" t="n"/>
      <c r="BM1148" s="5" t="n"/>
      <c r="BN1148" s="5" t="n"/>
      <c r="BO1148" s="5" t="n"/>
      <c r="BP1148" s="5" t="n"/>
      <c r="BQ1148" s="5" t="n"/>
      <c r="BR1148" s="5" t="n"/>
      <c r="BS1148" s="5" t="n"/>
      <c r="BT1148" s="5" t="n"/>
      <c r="BU1148" s="5" t="n"/>
      <c r="BV1148" s="5" t="n"/>
      <c r="BW1148" s="5" t="n"/>
      <c r="BX1148" s="5" t="n"/>
      <c r="BY1148" s="5" t="n"/>
      <c r="BZ1148" s="5" t="n"/>
      <c r="CA1148" s="5" t="n"/>
      <c r="CB1148" s="5" t="n"/>
      <c r="CC1148" s="5" t="n"/>
      <c r="CD1148" s="5" t="n"/>
      <c r="CE1148" s="5" t="n"/>
      <c r="CF1148" s="5" t="n"/>
    </row>
    <row r="1149">
      <c r="A1149" s="171" t="n"/>
      <c r="B1149" s="171" t="n"/>
      <c r="C1149" s="171" t="n"/>
      <c r="D1149" s="170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  <c r="Q1149" s="5" t="n"/>
      <c r="R1149" s="5" t="n"/>
      <c r="S1149" s="5" t="n"/>
      <c r="T1149" s="5" t="n"/>
      <c r="U1149" s="5" t="n"/>
      <c r="V1149" s="5" t="n"/>
      <c r="W1149" s="5" t="n"/>
      <c r="X1149" s="5" t="n"/>
      <c r="Y1149" s="5" t="n"/>
      <c r="Z1149" s="5" t="n"/>
      <c r="AA1149" s="5" t="n"/>
      <c r="AB1149" s="5" t="n"/>
      <c r="AC1149" s="5" t="n"/>
      <c r="AD1149" s="5" t="n"/>
      <c r="AE1149" s="5" t="n"/>
      <c r="AF1149" s="5" t="n"/>
      <c r="AG1149" s="5" t="n"/>
      <c r="AH1149" s="5" t="n"/>
      <c r="AI1149" s="5" t="n"/>
      <c r="AJ1149" s="5" t="n"/>
      <c r="AK1149" s="5" t="n"/>
      <c r="AL1149" s="5" t="n"/>
      <c r="AM1149" s="5" t="n"/>
      <c r="AN1149" s="5" t="n"/>
      <c r="AO1149" s="5" t="n"/>
      <c r="AP1149" s="5" t="n"/>
      <c r="AQ1149" s="5" t="n"/>
      <c r="AR1149" s="5" t="n"/>
      <c r="AS1149" s="5" t="n"/>
      <c r="AT1149" s="5" t="n"/>
      <c r="AU1149" s="5" t="n"/>
      <c r="AV1149" s="5" t="n"/>
      <c r="AW1149" s="5" t="n"/>
      <c r="AX1149" s="5" t="n"/>
      <c r="AY1149" s="5" t="n"/>
      <c r="AZ1149" s="5" t="n"/>
      <c r="BA1149" s="5" t="n"/>
      <c r="BB1149" s="5" t="n"/>
      <c r="BC1149" s="5" t="n"/>
      <c r="BD1149" s="5" t="n"/>
      <c r="BE1149" s="5" t="n"/>
      <c r="BF1149" s="5" t="n"/>
      <c r="BG1149" s="5" t="n"/>
      <c r="BH1149" s="5" t="n"/>
      <c r="BI1149" s="5" t="n"/>
      <c r="BJ1149" s="5" t="n"/>
      <c r="BK1149" s="5" t="n"/>
      <c r="BL1149" s="5" t="n"/>
      <c r="BM1149" s="5" t="n"/>
      <c r="BN1149" s="5" t="n"/>
      <c r="BO1149" s="5" t="n"/>
      <c r="BP1149" s="5" t="n"/>
      <c r="BQ1149" s="5" t="n"/>
      <c r="BR1149" s="5" t="n"/>
      <c r="BS1149" s="5" t="n"/>
      <c r="BT1149" s="5" t="n"/>
      <c r="BU1149" s="5" t="n"/>
      <c r="BV1149" s="5" t="n"/>
      <c r="BW1149" s="5" t="n"/>
      <c r="BX1149" s="5" t="n"/>
      <c r="BY1149" s="5" t="n"/>
      <c r="BZ1149" s="5" t="n"/>
      <c r="CA1149" s="5" t="n"/>
      <c r="CB1149" s="5" t="n"/>
      <c r="CC1149" s="5" t="n"/>
      <c r="CD1149" s="5" t="n"/>
      <c r="CE1149" s="5" t="n"/>
      <c r="CF1149" s="5" t="n"/>
    </row>
    <row r="1150">
      <c r="A1150" s="171" t="n"/>
      <c r="B1150" s="171" t="n"/>
      <c r="C1150" s="171" t="n"/>
      <c r="D1150" s="170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  <c r="Q1150" s="5" t="n"/>
      <c r="R1150" s="5" t="n"/>
      <c r="S1150" s="5" t="n"/>
      <c r="T1150" s="5" t="n"/>
      <c r="U1150" s="5" t="n"/>
      <c r="V1150" s="5" t="n"/>
      <c r="W1150" s="5" t="n"/>
      <c r="X1150" s="5" t="n"/>
      <c r="Y1150" s="5" t="n"/>
      <c r="Z1150" s="5" t="n"/>
      <c r="AA1150" s="5" t="n"/>
      <c r="AB1150" s="5" t="n"/>
      <c r="AC1150" s="5" t="n"/>
      <c r="AD1150" s="5" t="n"/>
      <c r="AE1150" s="5" t="n"/>
      <c r="AF1150" s="5" t="n"/>
      <c r="AG1150" s="5" t="n"/>
      <c r="AH1150" s="5" t="n"/>
      <c r="AI1150" s="5" t="n"/>
      <c r="AJ1150" s="5" t="n"/>
      <c r="AK1150" s="5" t="n"/>
      <c r="AL1150" s="5" t="n"/>
      <c r="AM1150" s="5" t="n"/>
      <c r="AN1150" s="5" t="n"/>
      <c r="AO1150" s="5" t="n"/>
      <c r="AP1150" s="5" t="n"/>
      <c r="AQ1150" s="5" t="n"/>
      <c r="AR1150" s="5" t="n"/>
      <c r="AS1150" s="5" t="n"/>
      <c r="AT1150" s="5" t="n"/>
      <c r="AU1150" s="5" t="n"/>
      <c r="AV1150" s="5" t="n"/>
      <c r="AW1150" s="5" t="n"/>
      <c r="AX1150" s="5" t="n"/>
      <c r="AY1150" s="5" t="n"/>
      <c r="AZ1150" s="5" t="n"/>
      <c r="BA1150" s="5" t="n"/>
      <c r="BB1150" s="5" t="n"/>
      <c r="BC1150" s="5" t="n"/>
      <c r="BD1150" s="5" t="n"/>
      <c r="BE1150" s="5" t="n"/>
      <c r="BF1150" s="5" t="n"/>
      <c r="BG1150" s="5" t="n"/>
      <c r="BH1150" s="5" t="n"/>
      <c r="BI1150" s="5" t="n"/>
      <c r="BJ1150" s="5" t="n"/>
      <c r="BK1150" s="5" t="n"/>
      <c r="BL1150" s="5" t="n"/>
      <c r="BM1150" s="5" t="n"/>
      <c r="BN1150" s="5" t="n"/>
      <c r="BO1150" s="5" t="n"/>
      <c r="BP1150" s="5" t="n"/>
      <c r="BQ1150" s="5" t="n"/>
      <c r="BR1150" s="5" t="n"/>
      <c r="BS1150" s="5" t="n"/>
      <c r="BT1150" s="5" t="n"/>
      <c r="BU1150" s="5" t="n"/>
      <c r="BV1150" s="5" t="n"/>
      <c r="BW1150" s="5" t="n"/>
      <c r="BX1150" s="5" t="n"/>
      <c r="BY1150" s="5" t="n"/>
      <c r="BZ1150" s="5" t="n"/>
      <c r="CA1150" s="5" t="n"/>
      <c r="CB1150" s="5" t="n"/>
      <c r="CC1150" s="5" t="n"/>
      <c r="CD1150" s="5" t="n"/>
      <c r="CE1150" s="5" t="n"/>
      <c r="CF1150" s="5" t="n"/>
    </row>
    <row r="1151">
      <c r="A1151" s="171" t="n"/>
      <c r="B1151" s="171" t="n"/>
      <c r="C1151" s="171" t="n"/>
      <c r="D1151" s="170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  <c r="Q1151" s="5" t="n"/>
      <c r="R1151" s="5" t="n"/>
      <c r="S1151" s="5" t="n"/>
      <c r="T1151" s="5" t="n"/>
      <c r="U1151" s="5" t="n"/>
      <c r="V1151" s="5" t="n"/>
      <c r="W1151" s="5" t="n"/>
      <c r="X1151" s="5" t="n"/>
      <c r="Y1151" s="5" t="n"/>
      <c r="Z1151" s="5" t="n"/>
      <c r="AA1151" s="5" t="n"/>
      <c r="AB1151" s="5" t="n"/>
      <c r="AC1151" s="5" t="n"/>
      <c r="AD1151" s="5" t="n"/>
      <c r="AE1151" s="5" t="n"/>
      <c r="AF1151" s="5" t="n"/>
      <c r="AG1151" s="5" t="n"/>
      <c r="AH1151" s="5" t="n"/>
      <c r="AI1151" s="5" t="n"/>
      <c r="AJ1151" s="5" t="n"/>
      <c r="AK1151" s="5" t="n"/>
      <c r="AL1151" s="5" t="n"/>
      <c r="AM1151" s="5" t="n"/>
      <c r="AN1151" s="5" t="n"/>
      <c r="AO1151" s="5" t="n"/>
      <c r="AP1151" s="5" t="n"/>
      <c r="AQ1151" s="5" t="n"/>
      <c r="AR1151" s="5" t="n"/>
      <c r="AS1151" s="5" t="n"/>
      <c r="AT1151" s="5" t="n"/>
      <c r="AU1151" s="5" t="n"/>
      <c r="AV1151" s="5" t="n"/>
      <c r="AW1151" s="5" t="n"/>
      <c r="AX1151" s="5" t="n"/>
      <c r="AY1151" s="5" t="n"/>
      <c r="AZ1151" s="5" t="n"/>
      <c r="BA1151" s="5" t="n"/>
      <c r="BB1151" s="5" t="n"/>
      <c r="BC1151" s="5" t="n"/>
      <c r="BD1151" s="5" t="n"/>
      <c r="BE1151" s="5" t="n"/>
      <c r="BF1151" s="5" t="n"/>
      <c r="BG1151" s="5" t="n"/>
      <c r="BH1151" s="5" t="n"/>
      <c r="BI1151" s="5" t="n"/>
      <c r="BJ1151" s="5" t="n"/>
      <c r="BK1151" s="5" t="n"/>
      <c r="BL1151" s="5" t="n"/>
      <c r="BM1151" s="5" t="n"/>
      <c r="BN1151" s="5" t="n"/>
      <c r="BO1151" s="5" t="n"/>
      <c r="BP1151" s="5" t="n"/>
      <c r="BQ1151" s="5" t="n"/>
      <c r="BR1151" s="5" t="n"/>
      <c r="BS1151" s="5" t="n"/>
      <c r="BT1151" s="5" t="n"/>
      <c r="BU1151" s="5" t="n"/>
      <c r="BV1151" s="5" t="n"/>
      <c r="BW1151" s="5" t="n"/>
      <c r="BX1151" s="5" t="n"/>
      <c r="BY1151" s="5" t="n"/>
      <c r="BZ1151" s="5" t="n"/>
      <c r="CA1151" s="5" t="n"/>
      <c r="CB1151" s="5" t="n"/>
      <c r="CC1151" s="5" t="n"/>
      <c r="CD1151" s="5" t="n"/>
      <c r="CE1151" s="5" t="n"/>
      <c r="CF1151" s="5" t="n"/>
    </row>
    <row r="1152">
      <c r="A1152" s="171" t="n"/>
      <c r="B1152" s="171" t="n"/>
      <c r="C1152" s="171" t="n"/>
      <c r="D1152" s="170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  <c r="Q1152" s="5" t="n"/>
      <c r="R1152" s="5" t="n"/>
      <c r="S1152" s="5" t="n"/>
      <c r="T1152" s="5" t="n"/>
      <c r="U1152" s="5" t="n"/>
      <c r="V1152" s="5" t="n"/>
      <c r="W1152" s="5" t="n"/>
      <c r="X1152" s="5" t="n"/>
      <c r="Y1152" s="5" t="n"/>
      <c r="Z1152" s="5" t="n"/>
      <c r="AA1152" s="5" t="n"/>
      <c r="AB1152" s="5" t="n"/>
      <c r="AC1152" s="5" t="n"/>
      <c r="AD1152" s="5" t="n"/>
      <c r="AE1152" s="5" t="n"/>
      <c r="AF1152" s="5" t="n"/>
      <c r="AG1152" s="5" t="n"/>
      <c r="AH1152" s="5" t="n"/>
      <c r="AI1152" s="5" t="n"/>
      <c r="AJ1152" s="5" t="n"/>
      <c r="AK1152" s="5" t="n"/>
      <c r="AL1152" s="5" t="n"/>
      <c r="AM1152" s="5" t="n"/>
      <c r="AN1152" s="5" t="n"/>
      <c r="AO1152" s="5" t="n"/>
      <c r="AP1152" s="5" t="n"/>
      <c r="AQ1152" s="5" t="n"/>
      <c r="AR1152" s="5" t="n"/>
      <c r="AS1152" s="5" t="n"/>
      <c r="AT1152" s="5" t="n"/>
      <c r="AU1152" s="5" t="n"/>
      <c r="AV1152" s="5" t="n"/>
      <c r="AW1152" s="5" t="n"/>
      <c r="AX1152" s="5" t="n"/>
      <c r="AY1152" s="5" t="n"/>
      <c r="AZ1152" s="5" t="n"/>
      <c r="BA1152" s="5" t="n"/>
      <c r="BB1152" s="5" t="n"/>
      <c r="BC1152" s="5" t="n"/>
      <c r="BD1152" s="5" t="n"/>
      <c r="BE1152" s="5" t="n"/>
      <c r="BF1152" s="5" t="n"/>
      <c r="BG1152" s="5" t="n"/>
      <c r="BH1152" s="5" t="n"/>
      <c r="BI1152" s="5" t="n"/>
      <c r="BJ1152" s="5" t="n"/>
      <c r="BK1152" s="5" t="n"/>
      <c r="BL1152" s="5" t="n"/>
      <c r="BM1152" s="5" t="n"/>
      <c r="BN1152" s="5" t="n"/>
      <c r="BO1152" s="5" t="n"/>
      <c r="BP1152" s="5" t="n"/>
      <c r="BQ1152" s="5" t="n"/>
      <c r="BR1152" s="5" t="n"/>
      <c r="BS1152" s="5" t="n"/>
      <c r="BT1152" s="5" t="n"/>
      <c r="BU1152" s="5" t="n"/>
      <c r="BV1152" s="5" t="n"/>
      <c r="BW1152" s="5" t="n"/>
      <c r="BX1152" s="5" t="n"/>
      <c r="BY1152" s="5" t="n"/>
      <c r="BZ1152" s="5" t="n"/>
      <c r="CA1152" s="5" t="n"/>
      <c r="CB1152" s="5" t="n"/>
      <c r="CC1152" s="5" t="n"/>
      <c r="CD1152" s="5" t="n"/>
      <c r="CE1152" s="5" t="n"/>
      <c r="CF1152" s="5" t="n"/>
    </row>
    <row r="1153">
      <c r="A1153" s="171" t="n"/>
      <c r="B1153" s="171" t="n"/>
      <c r="C1153" s="171" t="n"/>
      <c r="D1153" s="170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  <c r="Q1153" s="5" t="n"/>
      <c r="R1153" s="5" t="n"/>
      <c r="S1153" s="5" t="n"/>
      <c r="T1153" s="5" t="n"/>
      <c r="U1153" s="5" t="n"/>
      <c r="V1153" s="5" t="n"/>
      <c r="W1153" s="5" t="n"/>
      <c r="X1153" s="5" t="n"/>
      <c r="Y1153" s="5" t="n"/>
      <c r="Z1153" s="5" t="n"/>
      <c r="AA1153" s="5" t="n"/>
      <c r="AB1153" s="5" t="n"/>
      <c r="AC1153" s="5" t="n"/>
      <c r="AD1153" s="5" t="n"/>
      <c r="AE1153" s="5" t="n"/>
      <c r="AF1153" s="5" t="n"/>
      <c r="AG1153" s="5" t="n"/>
      <c r="AH1153" s="5" t="n"/>
      <c r="AI1153" s="5" t="n"/>
      <c r="AJ1153" s="5" t="n"/>
      <c r="AK1153" s="5" t="n"/>
      <c r="AL1153" s="5" t="n"/>
      <c r="AM1153" s="5" t="n"/>
      <c r="AN1153" s="5" t="n"/>
      <c r="AO1153" s="5" t="n"/>
      <c r="AP1153" s="5" t="n"/>
      <c r="AQ1153" s="5" t="n"/>
      <c r="AR1153" s="5" t="n"/>
      <c r="AS1153" s="5" t="n"/>
      <c r="AT1153" s="5" t="n"/>
      <c r="AU1153" s="5" t="n"/>
      <c r="AV1153" s="5" t="n"/>
      <c r="AW1153" s="5" t="n"/>
      <c r="AX1153" s="5" t="n"/>
      <c r="AY1153" s="5" t="n"/>
      <c r="AZ1153" s="5" t="n"/>
      <c r="BA1153" s="5" t="n"/>
      <c r="BB1153" s="5" t="n"/>
      <c r="BC1153" s="5" t="n"/>
      <c r="BD1153" s="5" t="n"/>
      <c r="BE1153" s="5" t="n"/>
      <c r="BF1153" s="5" t="n"/>
      <c r="BG1153" s="5" t="n"/>
      <c r="BH1153" s="5" t="n"/>
      <c r="BI1153" s="5" t="n"/>
      <c r="BJ1153" s="5" t="n"/>
      <c r="BK1153" s="5" t="n"/>
      <c r="BL1153" s="5" t="n"/>
      <c r="BM1153" s="5" t="n"/>
      <c r="BN1153" s="5" t="n"/>
      <c r="BO1153" s="5" t="n"/>
      <c r="BP1153" s="5" t="n"/>
      <c r="BQ1153" s="5" t="n"/>
      <c r="BR1153" s="5" t="n"/>
      <c r="BS1153" s="5" t="n"/>
      <c r="BT1153" s="5" t="n"/>
      <c r="BU1153" s="5" t="n"/>
      <c r="BV1153" s="5" t="n"/>
      <c r="BW1153" s="5" t="n"/>
      <c r="BX1153" s="5" t="n"/>
      <c r="BY1153" s="5" t="n"/>
      <c r="BZ1153" s="5" t="n"/>
      <c r="CA1153" s="5" t="n"/>
      <c r="CB1153" s="5" t="n"/>
      <c r="CC1153" s="5" t="n"/>
      <c r="CD1153" s="5" t="n"/>
      <c r="CE1153" s="5" t="n"/>
      <c r="CF1153" s="5" t="n"/>
    </row>
    <row r="1154">
      <c r="A1154" s="171" t="n"/>
      <c r="B1154" s="171" t="n"/>
      <c r="C1154" s="171" t="n"/>
      <c r="D1154" s="170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  <c r="Q1154" s="5" t="n"/>
      <c r="R1154" s="5" t="n"/>
      <c r="S1154" s="5" t="n"/>
      <c r="T1154" s="5" t="n"/>
      <c r="U1154" s="5" t="n"/>
      <c r="V1154" s="5" t="n"/>
      <c r="W1154" s="5" t="n"/>
      <c r="X1154" s="5" t="n"/>
      <c r="Y1154" s="5" t="n"/>
      <c r="Z1154" s="5" t="n"/>
      <c r="AA1154" s="5" t="n"/>
      <c r="AB1154" s="5" t="n"/>
      <c r="AC1154" s="5" t="n"/>
      <c r="AD1154" s="5" t="n"/>
      <c r="AE1154" s="5" t="n"/>
      <c r="AF1154" s="5" t="n"/>
      <c r="AG1154" s="5" t="n"/>
      <c r="AH1154" s="5" t="n"/>
      <c r="AI1154" s="5" t="n"/>
      <c r="AJ1154" s="5" t="n"/>
      <c r="AK1154" s="5" t="n"/>
      <c r="AL1154" s="5" t="n"/>
      <c r="AM1154" s="5" t="n"/>
      <c r="AN1154" s="5" t="n"/>
      <c r="AO1154" s="5" t="n"/>
      <c r="AP1154" s="5" t="n"/>
      <c r="AQ1154" s="5" t="n"/>
      <c r="AR1154" s="5" t="n"/>
      <c r="AS1154" s="5" t="n"/>
      <c r="AT1154" s="5" t="n"/>
      <c r="AU1154" s="5" t="n"/>
      <c r="AV1154" s="5" t="n"/>
      <c r="AW1154" s="5" t="n"/>
      <c r="AX1154" s="5" t="n"/>
      <c r="AY1154" s="5" t="n"/>
      <c r="AZ1154" s="5" t="n"/>
      <c r="BA1154" s="5" t="n"/>
      <c r="BB1154" s="5" t="n"/>
      <c r="BC1154" s="5" t="n"/>
      <c r="BD1154" s="5" t="n"/>
      <c r="BE1154" s="5" t="n"/>
      <c r="BF1154" s="5" t="n"/>
      <c r="BG1154" s="5" t="n"/>
      <c r="BH1154" s="5" t="n"/>
      <c r="BI1154" s="5" t="n"/>
      <c r="BJ1154" s="5" t="n"/>
      <c r="BK1154" s="5" t="n"/>
      <c r="BL1154" s="5" t="n"/>
      <c r="BM1154" s="5" t="n"/>
      <c r="BN1154" s="5" t="n"/>
      <c r="BO1154" s="5" t="n"/>
      <c r="BP1154" s="5" t="n"/>
      <c r="BQ1154" s="5" t="n"/>
      <c r="BR1154" s="5" t="n"/>
      <c r="BS1154" s="5" t="n"/>
      <c r="BT1154" s="5" t="n"/>
      <c r="BU1154" s="5" t="n"/>
      <c r="BV1154" s="5" t="n"/>
      <c r="BW1154" s="5" t="n"/>
      <c r="BX1154" s="5" t="n"/>
      <c r="BY1154" s="5" t="n"/>
      <c r="BZ1154" s="5" t="n"/>
      <c r="CA1154" s="5" t="n"/>
      <c r="CB1154" s="5" t="n"/>
      <c r="CC1154" s="5" t="n"/>
      <c r="CD1154" s="5" t="n"/>
      <c r="CE1154" s="5" t="n"/>
      <c r="CF1154" s="5" t="n"/>
    </row>
    <row r="1155">
      <c r="A1155" s="171" t="n"/>
      <c r="B1155" s="171" t="n"/>
      <c r="C1155" s="171" t="n"/>
      <c r="D1155" s="170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  <c r="Q1155" s="5" t="n"/>
      <c r="R1155" s="5" t="n"/>
      <c r="S1155" s="5" t="n"/>
      <c r="T1155" s="5" t="n"/>
      <c r="U1155" s="5" t="n"/>
      <c r="V1155" s="5" t="n"/>
      <c r="W1155" s="5" t="n"/>
      <c r="X1155" s="5" t="n"/>
      <c r="Y1155" s="5" t="n"/>
      <c r="Z1155" s="5" t="n"/>
      <c r="AA1155" s="5" t="n"/>
      <c r="AB1155" s="5" t="n"/>
      <c r="AC1155" s="5" t="n"/>
      <c r="AD1155" s="5" t="n"/>
      <c r="AE1155" s="5" t="n"/>
      <c r="AF1155" s="5" t="n"/>
      <c r="AG1155" s="5" t="n"/>
      <c r="AH1155" s="5" t="n"/>
      <c r="AI1155" s="5" t="n"/>
      <c r="AJ1155" s="5" t="n"/>
      <c r="AK1155" s="5" t="n"/>
      <c r="AL1155" s="5" t="n"/>
      <c r="AM1155" s="5" t="n"/>
      <c r="AN1155" s="5" t="n"/>
      <c r="AO1155" s="5" t="n"/>
      <c r="AP1155" s="5" t="n"/>
      <c r="AQ1155" s="5" t="n"/>
      <c r="AR1155" s="5" t="n"/>
      <c r="AS1155" s="5" t="n"/>
      <c r="AT1155" s="5" t="n"/>
      <c r="AU1155" s="5" t="n"/>
      <c r="AV1155" s="5" t="n"/>
      <c r="AW1155" s="5" t="n"/>
      <c r="AX1155" s="5" t="n"/>
      <c r="AY1155" s="5" t="n"/>
      <c r="AZ1155" s="5" t="n"/>
      <c r="BA1155" s="5" t="n"/>
      <c r="BB1155" s="5" t="n"/>
      <c r="BC1155" s="5" t="n"/>
      <c r="BD1155" s="5" t="n"/>
      <c r="BE1155" s="5" t="n"/>
      <c r="BF1155" s="5" t="n"/>
      <c r="BG1155" s="5" t="n"/>
      <c r="BH1155" s="5" t="n"/>
      <c r="BI1155" s="5" t="n"/>
      <c r="BJ1155" s="5" t="n"/>
      <c r="BK1155" s="5" t="n"/>
      <c r="BL1155" s="5" t="n"/>
      <c r="BM1155" s="5" t="n"/>
      <c r="BN1155" s="5" t="n"/>
      <c r="BO1155" s="5" t="n"/>
      <c r="BP1155" s="5" t="n"/>
      <c r="BQ1155" s="5" t="n"/>
      <c r="BR1155" s="5" t="n"/>
      <c r="BS1155" s="5" t="n"/>
      <c r="BT1155" s="5" t="n"/>
      <c r="BU1155" s="5" t="n"/>
      <c r="BV1155" s="5" t="n"/>
      <c r="BW1155" s="5" t="n"/>
      <c r="BX1155" s="5" t="n"/>
      <c r="BY1155" s="5" t="n"/>
      <c r="BZ1155" s="5" t="n"/>
      <c r="CA1155" s="5" t="n"/>
      <c r="CB1155" s="5" t="n"/>
      <c r="CC1155" s="5" t="n"/>
      <c r="CD1155" s="5" t="n"/>
      <c r="CE1155" s="5" t="n"/>
      <c r="CF1155" s="5" t="n"/>
    </row>
    <row r="1156">
      <c r="A1156" s="171" t="n"/>
      <c r="B1156" s="171" t="n"/>
      <c r="C1156" s="171" t="n"/>
      <c r="D1156" s="170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5" t="n"/>
      <c r="R1156" s="5" t="n"/>
      <c r="S1156" s="5" t="n"/>
      <c r="T1156" s="5" t="n"/>
      <c r="U1156" s="5" t="n"/>
      <c r="V1156" s="5" t="n"/>
      <c r="W1156" s="5" t="n"/>
      <c r="X1156" s="5" t="n"/>
      <c r="Y1156" s="5" t="n"/>
      <c r="Z1156" s="5" t="n"/>
      <c r="AA1156" s="5" t="n"/>
      <c r="AB1156" s="5" t="n"/>
      <c r="AC1156" s="5" t="n"/>
      <c r="AD1156" s="5" t="n"/>
      <c r="AE1156" s="5" t="n"/>
      <c r="AF1156" s="5" t="n"/>
      <c r="AG1156" s="5" t="n"/>
      <c r="AH1156" s="5" t="n"/>
      <c r="AI1156" s="5" t="n"/>
      <c r="AJ1156" s="5" t="n"/>
      <c r="AK1156" s="5" t="n"/>
      <c r="AL1156" s="5" t="n"/>
      <c r="AM1156" s="5" t="n"/>
      <c r="AN1156" s="5" t="n"/>
      <c r="AO1156" s="5" t="n"/>
      <c r="AP1156" s="5" t="n"/>
      <c r="AQ1156" s="5" t="n"/>
      <c r="AR1156" s="5" t="n"/>
      <c r="AS1156" s="5" t="n"/>
      <c r="AT1156" s="5" t="n"/>
      <c r="AU1156" s="5" t="n"/>
      <c r="AV1156" s="5" t="n"/>
      <c r="AW1156" s="5" t="n"/>
      <c r="AX1156" s="5" t="n"/>
      <c r="AY1156" s="5" t="n"/>
      <c r="AZ1156" s="5" t="n"/>
      <c r="BA1156" s="5" t="n"/>
      <c r="BB1156" s="5" t="n"/>
      <c r="BC1156" s="5" t="n"/>
      <c r="BD1156" s="5" t="n"/>
      <c r="BE1156" s="5" t="n"/>
      <c r="BF1156" s="5" t="n"/>
      <c r="BG1156" s="5" t="n"/>
      <c r="BH1156" s="5" t="n"/>
      <c r="BI1156" s="5" t="n"/>
      <c r="BJ1156" s="5" t="n"/>
      <c r="BK1156" s="5" t="n"/>
      <c r="BL1156" s="5" t="n"/>
      <c r="BM1156" s="5" t="n"/>
      <c r="BN1156" s="5" t="n"/>
      <c r="BO1156" s="5" t="n"/>
      <c r="BP1156" s="5" t="n"/>
      <c r="BQ1156" s="5" t="n"/>
      <c r="BR1156" s="5" t="n"/>
      <c r="BS1156" s="5" t="n"/>
      <c r="BT1156" s="5" t="n"/>
      <c r="BU1156" s="5" t="n"/>
      <c r="BV1156" s="5" t="n"/>
      <c r="BW1156" s="5" t="n"/>
      <c r="BX1156" s="5" t="n"/>
      <c r="BY1156" s="5" t="n"/>
      <c r="BZ1156" s="5" t="n"/>
      <c r="CA1156" s="5" t="n"/>
      <c r="CB1156" s="5" t="n"/>
      <c r="CC1156" s="5" t="n"/>
      <c r="CD1156" s="5" t="n"/>
      <c r="CE1156" s="5" t="n"/>
      <c r="CF1156" s="5" t="n"/>
    </row>
    <row r="1157">
      <c r="A1157" s="171" t="n"/>
      <c r="B1157" s="171" t="n"/>
      <c r="C1157" s="171" t="n"/>
      <c r="D1157" s="170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  <c r="Q1157" s="5" t="n"/>
      <c r="R1157" s="5" t="n"/>
      <c r="S1157" s="5" t="n"/>
      <c r="T1157" s="5" t="n"/>
      <c r="U1157" s="5" t="n"/>
      <c r="V1157" s="5" t="n"/>
      <c r="W1157" s="5" t="n"/>
      <c r="X1157" s="5" t="n"/>
      <c r="Y1157" s="5" t="n"/>
      <c r="Z1157" s="5" t="n"/>
      <c r="AA1157" s="5" t="n"/>
      <c r="AB1157" s="5" t="n"/>
      <c r="AC1157" s="5" t="n"/>
      <c r="AD1157" s="5" t="n"/>
      <c r="AE1157" s="5" t="n"/>
      <c r="AF1157" s="5" t="n"/>
      <c r="AG1157" s="5" t="n"/>
      <c r="AH1157" s="5" t="n"/>
      <c r="AI1157" s="5" t="n"/>
      <c r="AJ1157" s="5" t="n"/>
      <c r="AK1157" s="5" t="n"/>
      <c r="AL1157" s="5" t="n"/>
      <c r="AM1157" s="5" t="n"/>
      <c r="AN1157" s="5" t="n"/>
      <c r="AO1157" s="5" t="n"/>
      <c r="AP1157" s="5" t="n"/>
      <c r="AQ1157" s="5" t="n"/>
      <c r="AR1157" s="5" t="n"/>
      <c r="AS1157" s="5" t="n"/>
      <c r="AT1157" s="5" t="n"/>
      <c r="AU1157" s="5" t="n"/>
      <c r="AV1157" s="5" t="n"/>
      <c r="AW1157" s="5" t="n"/>
      <c r="AX1157" s="5" t="n"/>
      <c r="AY1157" s="5" t="n"/>
      <c r="AZ1157" s="5" t="n"/>
      <c r="BA1157" s="5" t="n"/>
      <c r="BB1157" s="5" t="n"/>
      <c r="BC1157" s="5" t="n"/>
      <c r="BD1157" s="5" t="n"/>
      <c r="BE1157" s="5" t="n"/>
      <c r="BF1157" s="5" t="n"/>
      <c r="BG1157" s="5" t="n"/>
      <c r="BH1157" s="5" t="n"/>
      <c r="BI1157" s="5" t="n"/>
      <c r="BJ1157" s="5" t="n"/>
      <c r="BK1157" s="5" t="n"/>
      <c r="BL1157" s="5" t="n"/>
      <c r="BM1157" s="5" t="n"/>
      <c r="BN1157" s="5" t="n"/>
      <c r="BO1157" s="5" t="n"/>
      <c r="BP1157" s="5" t="n"/>
      <c r="BQ1157" s="5" t="n"/>
      <c r="BR1157" s="5" t="n"/>
      <c r="BS1157" s="5" t="n"/>
      <c r="BT1157" s="5" t="n"/>
      <c r="BU1157" s="5" t="n"/>
      <c r="BV1157" s="5" t="n"/>
      <c r="BW1157" s="5" t="n"/>
      <c r="BX1157" s="5" t="n"/>
      <c r="BY1157" s="5" t="n"/>
      <c r="BZ1157" s="5" t="n"/>
      <c r="CA1157" s="5" t="n"/>
      <c r="CB1157" s="5" t="n"/>
      <c r="CC1157" s="5" t="n"/>
      <c r="CD1157" s="5" t="n"/>
      <c r="CE1157" s="5" t="n"/>
      <c r="CF1157" s="5" t="n"/>
    </row>
    <row r="1158">
      <c r="A1158" s="171" t="n"/>
      <c r="B1158" s="171" t="n"/>
      <c r="C1158" s="171" t="n"/>
      <c r="D1158" s="170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5" t="n"/>
      <c r="R1158" s="5" t="n"/>
      <c r="S1158" s="5" t="n"/>
      <c r="T1158" s="5" t="n"/>
      <c r="U1158" s="5" t="n"/>
      <c r="V1158" s="5" t="n"/>
      <c r="W1158" s="5" t="n"/>
      <c r="X1158" s="5" t="n"/>
      <c r="Y1158" s="5" t="n"/>
      <c r="Z1158" s="5" t="n"/>
      <c r="AA1158" s="5" t="n"/>
      <c r="AB1158" s="5" t="n"/>
      <c r="AC1158" s="5" t="n"/>
      <c r="AD1158" s="5" t="n"/>
      <c r="AE1158" s="5" t="n"/>
      <c r="AF1158" s="5" t="n"/>
      <c r="AG1158" s="5" t="n"/>
      <c r="AH1158" s="5" t="n"/>
      <c r="AI1158" s="5" t="n"/>
      <c r="AJ1158" s="5" t="n"/>
      <c r="AK1158" s="5" t="n"/>
      <c r="AL1158" s="5" t="n"/>
      <c r="AM1158" s="5" t="n"/>
      <c r="AN1158" s="5" t="n"/>
      <c r="AO1158" s="5" t="n"/>
      <c r="AP1158" s="5" t="n"/>
      <c r="AQ1158" s="5" t="n"/>
      <c r="AR1158" s="5" t="n"/>
      <c r="AS1158" s="5" t="n"/>
      <c r="AT1158" s="5" t="n"/>
      <c r="AU1158" s="5" t="n"/>
      <c r="AV1158" s="5" t="n"/>
      <c r="AW1158" s="5" t="n"/>
      <c r="AX1158" s="5" t="n"/>
      <c r="AY1158" s="5" t="n"/>
      <c r="AZ1158" s="5" t="n"/>
      <c r="BA1158" s="5" t="n"/>
      <c r="BB1158" s="5" t="n"/>
      <c r="BC1158" s="5" t="n"/>
      <c r="BD1158" s="5" t="n"/>
      <c r="BE1158" s="5" t="n"/>
      <c r="BF1158" s="5" t="n"/>
      <c r="BG1158" s="5" t="n"/>
      <c r="BH1158" s="5" t="n"/>
      <c r="BI1158" s="5" t="n"/>
      <c r="BJ1158" s="5" t="n"/>
      <c r="BK1158" s="5" t="n"/>
      <c r="BL1158" s="5" t="n"/>
      <c r="BM1158" s="5" t="n"/>
      <c r="BN1158" s="5" t="n"/>
      <c r="BO1158" s="5" t="n"/>
      <c r="BP1158" s="5" t="n"/>
      <c r="BQ1158" s="5" t="n"/>
      <c r="BR1158" s="5" t="n"/>
      <c r="BS1158" s="5" t="n"/>
      <c r="BT1158" s="5" t="n"/>
      <c r="BU1158" s="5" t="n"/>
      <c r="BV1158" s="5" t="n"/>
      <c r="BW1158" s="5" t="n"/>
      <c r="BX1158" s="5" t="n"/>
      <c r="BY1158" s="5" t="n"/>
      <c r="BZ1158" s="5" t="n"/>
      <c r="CA1158" s="5" t="n"/>
      <c r="CB1158" s="5" t="n"/>
      <c r="CC1158" s="5" t="n"/>
      <c r="CD1158" s="5" t="n"/>
      <c r="CE1158" s="5" t="n"/>
      <c r="CF1158" s="5" t="n"/>
    </row>
    <row r="1159">
      <c r="A1159" s="171" t="n"/>
      <c r="B1159" s="171" t="n"/>
      <c r="C1159" s="171" t="n"/>
      <c r="D1159" s="170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  <c r="Q1159" s="5" t="n"/>
      <c r="R1159" s="5" t="n"/>
      <c r="S1159" s="5" t="n"/>
      <c r="T1159" s="5" t="n"/>
      <c r="U1159" s="5" t="n"/>
      <c r="V1159" s="5" t="n"/>
      <c r="W1159" s="5" t="n"/>
      <c r="X1159" s="5" t="n"/>
      <c r="Y1159" s="5" t="n"/>
      <c r="Z1159" s="5" t="n"/>
      <c r="AA1159" s="5" t="n"/>
      <c r="AB1159" s="5" t="n"/>
      <c r="AC1159" s="5" t="n"/>
      <c r="AD1159" s="5" t="n"/>
      <c r="AE1159" s="5" t="n"/>
      <c r="AF1159" s="5" t="n"/>
      <c r="AG1159" s="5" t="n"/>
      <c r="AH1159" s="5" t="n"/>
      <c r="AI1159" s="5" t="n"/>
      <c r="AJ1159" s="5" t="n"/>
      <c r="AK1159" s="5" t="n"/>
      <c r="AL1159" s="5" t="n"/>
      <c r="AM1159" s="5" t="n"/>
      <c r="AN1159" s="5" t="n"/>
      <c r="AO1159" s="5" t="n"/>
      <c r="AP1159" s="5" t="n"/>
      <c r="AQ1159" s="5" t="n"/>
      <c r="AR1159" s="5" t="n"/>
      <c r="AS1159" s="5" t="n"/>
      <c r="AT1159" s="5" t="n"/>
      <c r="AU1159" s="5" t="n"/>
      <c r="AV1159" s="5" t="n"/>
      <c r="AW1159" s="5" t="n"/>
      <c r="AX1159" s="5" t="n"/>
      <c r="AY1159" s="5" t="n"/>
      <c r="AZ1159" s="5" t="n"/>
      <c r="BA1159" s="5" t="n"/>
      <c r="BB1159" s="5" t="n"/>
      <c r="BC1159" s="5" t="n"/>
      <c r="BD1159" s="5" t="n"/>
      <c r="BE1159" s="5" t="n"/>
      <c r="BF1159" s="5" t="n"/>
      <c r="BG1159" s="5" t="n"/>
      <c r="BH1159" s="5" t="n"/>
      <c r="BI1159" s="5" t="n"/>
      <c r="BJ1159" s="5" t="n"/>
      <c r="BK1159" s="5" t="n"/>
      <c r="BL1159" s="5" t="n"/>
      <c r="BM1159" s="5" t="n"/>
      <c r="BN1159" s="5" t="n"/>
      <c r="BO1159" s="5" t="n"/>
      <c r="BP1159" s="5" t="n"/>
      <c r="BQ1159" s="5" t="n"/>
      <c r="BR1159" s="5" t="n"/>
      <c r="BS1159" s="5" t="n"/>
      <c r="BT1159" s="5" t="n"/>
      <c r="BU1159" s="5" t="n"/>
      <c r="BV1159" s="5" t="n"/>
      <c r="BW1159" s="5" t="n"/>
      <c r="BX1159" s="5" t="n"/>
      <c r="BY1159" s="5" t="n"/>
      <c r="BZ1159" s="5" t="n"/>
      <c r="CA1159" s="5" t="n"/>
      <c r="CB1159" s="5" t="n"/>
      <c r="CC1159" s="5" t="n"/>
      <c r="CD1159" s="5" t="n"/>
      <c r="CE1159" s="5" t="n"/>
      <c r="CF1159" s="5" t="n"/>
    </row>
    <row r="1160">
      <c r="A1160" s="171" t="n"/>
      <c r="B1160" s="171" t="n"/>
      <c r="C1160" s="171" t="n"/>
      <c r="D1160" s="170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  <c r="Q1160" s="5" t="n"/>
      <c r="R1160" s="5" t="n"/>
      <c r="S1160" s="5" t="n"/>
      <c r="T1160" s="5" t="n"/>
      <c r="U1160" s="5" t="n"/>
      <c r="V1160" s="5" t="n"/>
      <c r="W1160" s="5" t="n"/>
      <c r="X1160" s="5" t="n"/>
      <c r="Y1160" s="5" t="n"/>
      <c r="Z1160" s="5" t="n"/>
      <c r="AA1160" s="5" t="n"/>
      <c r="AB1160" s="5" t="n"/>
      <c r="AC1160" s="5" t="n"/>
      <c r="AD1160" s="5" t="n"/>
      <c r="AE1160" s="5" t="n"/>
      <c r="AF1160" s="5" t="n"/>
      <c r="AG1160" s="5" t="n"/>
      <c r="AH1160" s="5" t="n"/>
      <c r="AI1160" s="5" t="n"/>
      <c r="AJ1160" s="5" t="n"/>
      <c r="AK1160" s="5" t="n"/>
      <c r="AL1160" s="5" t="n"/>
      <c r="AM1160" s="5" t="n"/>
      <c r="AN1160" s="5" t="n"/>
      <c r="AO1160" s="5" t="n"/>
      <c r="AP1160" s="5" t="n"/>
      <c r="AQ1160" s="5" t="n"/>
      <c r="AR1160" s="5" t="n"/>
      <c r="AS1160" s="5" t="n"/>
      <c r="AT1160" s="5" t="n"/>
      <c r="AU1160" s="5" t="n"/>
      <c r="AV1160" s="5" t="n"/>
      <c r="AW1160" s="5" t="n"/>
      <c r="AX1160" s="5" t="n"/>
      <c r="AY1160" s="5" t="n"/>
      <c r="AZ1160" s="5" t="n"/>
      <c r="BA1160" s="5" t="n"/>
      <c r="BB1160" s="5" t="n"/>
      <c r="BC1160" s="5" t="n"/>
      <c r="BD1160" s="5" t="n"/>
      <c r="BE1160" s="5" t="n"/>
      <c r="BF1160" s="5" t="n"/>
      <c r="BG1160" s="5" t="n"/>
      <c r="BH1160" s="5" t="n"/>
      <c r="BI1160" s="5" t="n"/>
      <c r="BJ1160" s="5" t="n"/>
      <c r="BK1160" s="5" t="n"/>
      <c r="BL1160" s="5" t="n"/>
      <c r="BM1160" s="5" t="n"/>
      <c r="BN1160" s="5" t="n"/>
      <c r="BO1160" s="5" t="n"/>
      <c r="BP1160" s="5" t="n"/>
      <c r="BQ1160" s="5" t="n"/>
      <c r="BR1160" s="5" t="n"/>
      <c r="BS1160" s="5" t="n"/>
      <c r="BT1160" s="5" t="n"/>
      <c r="BU1160" s="5" t="n"/>
      <c r="BV1160" s="5" t="n"/>
      <c r="BW1160" s="5" t="n"/>
      <c r="BX1160" s="5" t="n"/>
      <c r="BY1160" s="5" t="n"/>
      <c r="BZ1160" s="5" t="n"/>
      <c r="CA1160" s="5" t="n"/>
      <c r="CB1160" s="5" t="n"/>
      <c r="CC1160" s="5" t="n"/>
      <c r="CD1160" s="5" t="n"/>
      <c r="CE1160" s="5" t="n"/>
      <c r="CF1160" s="5" t="n"/>
    </row>
    <row r="1161">
      <c r="A1161" s="171" t="n"/>
      <c r="B1161" s="171" t="n"/>
      <c r="C1161" s="171" t="n"/>
      <c r="D1161" s="170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  <c r="Q1161" s="5" t="n"/>
      <c r="R1161" s="5" t="n"/>
      <c r="S1161" s="5" t="n"/>
      <c r="T1161" s="5" t="n"/>
      <c r="U1161" s="5" t="n"/>
      <c r="V1161" s="5" t="n"/>
      <c r="W1161" s="5" t="n"/>
      <c r="X1161" s="5" t="n"/>
      <c r="Y1161" s="5" t="n"/>
      <c r="Z1161" s="5" t="n"/>
      <c r="AA1161" s="5" t="n"/>
      <c r="AB1161" s="5" t="n"/>
      <c r="AC1161" s="5" t="n"/>
      <c r="AD1161" s="5" t="n"/>
      <c r="AE1161" s="5" t="n"/>
      <c r="AF1161" s="5" t="n"/>
      <c r="AG1161" s="5" t="n"/>
      <c r="AH1161" s="5" t="n"/>
      <c r="AI1161" s="5" t="n"/>
      <c r="AJ1161" s="5" t="n"/>
      <c r="AK1161" s="5" t="n"/>
      <c r="AL1161" s="5" t="n"/>
      <c r="AM1161" s="5" t="n"/>
      <c r="AN1161" s="5" t="n"/>
      <c r="AO1161" s="5" t="n"/>
      <c r="AP1161" s="5" t="n"/>
      <c r="AQ1161" s="5" t="n"/>
      <c r="AR1161" s="5" t="n"/>
      <c r="AS1161" s="5" t="n"/>
      <c r="AT1161" s="5" t="n"/>
      <c r="AU1161" s="5" t="n"/>
      <c r="AV1161" s="5" t="n"/>
      <c r="AW1161" s="5" t="n"/>
      <c r="AX1161" s="5" t="n"/>
      <c r="AY1161" s="5" t="n"/>
      <c r="AZ1161" s="5" t="n"/>
      <c r="BA1161" s="5" t="n"/>
      <c r="BB1161" s="5" t="n"/>
      <c r="BC1161" s="5" t="n"/>
      <c r="BD1161" s="5" t="n"/>
      <c r="BE1161" s="5" t="n"/>
      <c r="BF1161" s="5" t="n"/>
      <c r="BG1161" s="5" t="n"/>
      <c r="BH1161" s="5" t="n"/>
      <c r="BI1161" s="5" t="n"/>
      <c r="BJ1161" s="5" t="n"/>
      <c r="BK1161" s="5" t="n"/>
      <c r="BL1161" s="5" t="n"/>
      <c r="BM1161" s="5" t="n"/>
      <c r="BN1161" s="5" t="n"/>
      <c r="BO1161" s="5" t="n"/>
      <c r="BP1161" s="5" t="n"/>
      <c r="BQ1161" s="5" t="n"/>
      <c r="BR1161" s="5" t="n"/>
      <c r="BS1161" s="5" t="n"/>
      <c r="BT1161" s="5" t="n"/>
      <c r="BU1161" s="5" t="n"/>
      <c r="BV1161" s="5" t="n"/>
      <c r="BW1161" s="5" t="n"/>
      <c r="BX1161" s="5" t="n"/>
      <c r="BY1161" s="5" t="n"/>
      <c r="BZ1161" s="5" t="n"/>
      <c r="CA1161" s="5" t="n"/>
      <c r="CB1161" s="5" t="n"/>
      <c r="CC1161" s="5" t="n"/>
      <c r="CD1161" s="5" t="n"/>
      <c r="CE1161" s="5" t="n"/>
      <c r="CF1161" s="5" t="n"/>
    </row>
    <row r="1162">
      <c r="A1162" s="171" t="n"/>
      <c r="B1162" s="171" t="n"/>
      <c r="C1162" s="171" t="n"/>
      <c r="D1162" s="170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  <c r="Q1162" s="5" t="n"/>
      <c r="R1162" s="5" t="n"/>
      <c r="S1162" s="5" t="n"/>
      <c r="T1162" s="5" t="n"/>
      <c r="U1162" s="5" t="n"/>
      <c r="V1162" s="5" t="n"/>
      <c r="W1162" s="5" t="n"/>
      <c r="X1162" s="5" t="n"/>
      <c r="Y1162" s="5" t="n"/>
      <c r="Z1162" s="5" t="n"/>
      <c r="AA1162" s="5" t="n"/>
      <c r="AB1162" s="5" t="n"/>
      <c r="AC1162" s="5" t="n"/>
      <c r="AD1162" s="5" t="n"/>
      <c r="AE1162" s="5" t="n"/>
      <c r="AF1162" s="5" t="n"/>
      <c r="AG1162" s="5" t="n"/>
      <c r="AH1162" s="5" t="n"/>
      <c r="AI1162" s="5" t="n"/>
      <c r="AJ1162" s="5" t="n"/>
      <c r="AK1162" s="5" t="n"/>
      <c r="AL1162" s="5" t="n"/>
      <c r="AM1162" s="5" t="n"/>
      <c r="AN1162" s="5" t="n"/>
      <c r="AO1162" s="5" t="n"/>
      <c r="AP1162" s="5" t="n"/>
      <c r="AQ1162" s="5" t="n"/>
      <c r="AR1162" s="5" t="n"/>
      <c r="AS1162" s="5" t="n"/>
      <c r="AT1162" s="5" t="n"/>
      <c r="AU1162" s="5" t="n"/>
      <c r="AV1162" s="5" t="n"/>
      <c r="AW1162" s="5" t="n"/>
      <c r="AX1162" s="5" t="n"/>
      <c r="AY1162" s="5" t="n"/>
      <c r="AZ1162" s="5" t="n"/>
      <c r="BA1162" s="5" t="n"/>
      <c r="BB1162" s="5" t="n"/>
      <c r="BC1162" s="5" t="n"/>
      <c r="BD1162" s="5" t="n"/>
      <c r="BE1162" s="5" t="n"/>
      <c r="BF1162" s="5" t="n"/>
      <c r="BG1162" s="5" t="n"/>
      <c r="BH1162" s="5" t="n"/>
      <c r="BI1162" s="5" t="n"/>
      <c r="BJ1162" s="5" t="n"/>
      <c r="BK1162" s="5" t="n"/>
      <c r="BL1162" s="5" t="n"/>
      <c r="BM1162" s="5" t="n"/>
      <c r="BN1162" s="5" t="n"/>
      <c r="BO1162" s="5" t="n"/>
      <c r="BP1162" s="5" t="n"/>
      <c r="BQ1162" s="5" t="n"/>
      <c r="BR1162" s="5" t="n"/>
      <c r="BS1162" s="5" t="n"/>
      <c r="BT1162" s="5" t="n"/>
      <c r="BU1162" s="5" t="n"/>
      <c r="BV1162" s="5" t="n"/>
      <c r="BW1162" s="5" t="n"/>
      <c r="BX1162" s="5" t="n"/>
      <c r="BY1162" s="5" t="n"/>
      <c r="BZ1162" s="5" t="n"/>
      <c r="CA1162" s="5" t="n"/>
      <c r="CB1162" s="5" t="n"/>
      <c r="CC1162" s="5" t="n"/>
      <c r="CD1162" s="5" t="n"/>
      <c r="CE1162" s="5" t="n"/>
      <c r="CF1162" s="5" t="n"/>
    </row>
    <row r="1163">
      <c r="A1163" s="171" t="n"/>
      <c r="B1163" s="171" t="n"/>
      <c r="C1163" s="171" t="n"/>
      <c r="D1163" s="170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  <c r="Q1163" s="5" t="n"/>
      <c r="R1163" s="5" t="n"/>
      <c r="S1163" s="5" t="n"/>
      <c r="T1163" s="5" t="n"/>
      <c r="U1163" s="5" t="n"/>
      <c r="V1163" s="5" t="n"/>
      <c r="W1163" s="5" t="n"/>
      <c r="X1163" s="5" t="n"/>
      <c r="Y1163" s="5" t="n"/>
      <c r="Z1163" s="5" t="n"/>
      <c r="AA1163" s="5" t="n"/>
      <c r="AB1163" s="5" t="n"/>
      <c r="AC1163" s="5" t="n"/>
      <c r="AD1163" s="5" t="n"/>
      <c r="AE1163" s="5" t="n"/>
      <c r="AF1163" s="5" t="n"/>
      <c r="AG1163" s="5" t="n"/>
      <c r="AH1163" s="5" t="n"/>
      <c r="AI1163" s="5" t="n"/>
      <c r="AJ1163" s="5" t="n"/>
      <c r="AK1163" s="5" t="n"/>
      <c r="AL1163" s="5" t="n"/>
      <c r="AM1163" s="5" t="n"/>
      <c r="AN1163" s="5" t="n"/>
      <c r="AO1163" s="5" t="n"/>
      <c r="AP1163" s="5" t="n"/>
      <c r="AQ1163" s="5" t="n"/>
      <c r="AR1163" s="5" t="n"/>
      <c r="AS1163" s="5" t="n"/>
      <c r="AT1163" s="5" t="n"/>
      <c r="AU1163" s="5" t="n"/>
      <c r="AV1163" s="5" t="n"/>
      <c r="AW1163" s="5" t="n"/>
      <c r="AX1163" s="5" t="n"/>
      <c r="AY1163" s="5" t="n"/>
      <c r="AZ1163" s="5" t="n"/>
      <c r="BA1163" s="5" t="n"/>
      <c r="BB1163" s="5" t="n"/>
      <c r="BC1163" s="5" t="n"/>
      <c r="BD1163" s="5" t="n"/>
      <c r="BE1163" s="5" t="n"/>
      <c r="BF1163" s="5" t="n"/>
      <c r="BG1163" s="5" t="n"/>
      <c r="BH1163" s="5" t="n"/>
      <c r="BI1163" s="5" t="n"/>
      <c r="BJ1163" s="5" t="n"/>
      <c r="BK1163" s="5" t="n"/>
      <c r="BL1163" s="5" t="n"/>
      <c r="BM1163" s="5" t="n"/>
      <c r="BN1163" s="5" t="n"/>
      <c r="BO1163" s="5" t="n"/>
      <c r="BP1163" s="5" t="n"/>
      <c r="BQ1163" s="5" t="n"/>
      <c r="BR1163" s="5" t="n"/>
      <c r="BS1163" s="5" t="n"/>
      <c r="BT1163" s="5" t="n"/>
      <c r="BU1163" s="5" t="n"/>
      <c r="BV1163" s="5" t="n"/>
      <c r="BW1163" s="5" t="n"/>
      <c r="BX1163" s="5" t="n"/>
      <c r="BY1163" s="5" t="n"/>
      <c r="BZ1163" s="5" t="n"/>
      <c r="CA1163" s="5" t="n"/>
      <c r="CB1163" s="5" t="n"/>
      <c r="CC1163" s="5" t="n"/>
      <c r="CD1163" s="5" t="n"/>
      <c r="CE1163" s="5" t="n"/>
      <c r="CF1163" s="5" t="n"/>
    </row>
    <row r="1164">
      <c r="A1164" s="171" t="n"/>
      <c r="B1164" s="171" t="n"/>
      <c r="C1164" s="171" t="n"/>
      <c r="D1164" s="170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  <c r="Q1164" s="5" t="n"/>
      <c r="R1164" s="5" t="n"/>
      <c r="S1164" s="5" t="n"/>
      <c r="T1164" s="5" t="n"/>
      <c r="U1164" s="5" t="n"/>
      <c r="V1164" s="5" t="n"/>
      <c r="W1164" s="5" t="n"/>
      <c r="X1164" s="5" t="n"/>
      <c r="Y1164" s="5" t="n"/>
      <c r="Z1164" s="5" t="n"/>
      <c r="AA1164" s="5" t="n"/>
      <c r="AB1164" s="5" t="n"/>
      <c r="AC1164" s="5" t="n"/>
      <c r="AD1164" s="5" t="n"/>
      <c r="AE1164" s="5" t="n"/>
      <c r="AF1164" s="5" t="n"/>
      <c r="AG1164" s="5" t="n"/>
      <c r="AH1164" s="5" t="n"/>
      <c r="AI1164" s="5" t="n"/>
      <c r="AJ1164" s="5" t="n"/>
      <c r="AK1164" s="5" t="n"/>
      <c r="AL1164" s="5" t="n"/>
      <c r="AM1164" s="5" t="n"/>
      <c r="AN1164" s="5" t="n"/>
      <c r="AO1164" s="5" t="n"/>
      <c r="AP1164" s="5" t="n"/>
      <c r="AQ1164" s="5" t="n"/>
      <c r="AR1164" s="5" t="n"/>
      <c r="AS1164" s="5" t="n"/>
      <c r="AT1164" s="5" t="n"/>
      <c r="AU1164" s="5" t="n"/>
      <c r="AV1164" s="5" t="n"/>
      <c r="AW1164" s="5" t="n"/>
      <c r="AX1164" s="5" t="n"/>
      <c r="AY1164" s="5" t="n"/>
      <c r="AZ1164" s="5" t="n"/>
      <c r="BA1164" s="5" t="n"/>
      <c r="BB1164" s="5" t="n"/>
      <c r="BC1164" s="5" t="n"/>
      <c r="BD1164" s="5" t="n"/>
      <c r="BE1164" s="5" t="n"/>
      <c r="BF1164" s="5" t="n"/>
      <c r="BG1164" s="5" t="n"/>
      <c r="BH1164" s="5" t="n"/>
      <c r="BI1164" s="5" t="n"/>
      <c r="BJ1164" s="5" t="n"/>
      <c r="BK1164" s="5" t="n"/>
      <c r="BL1164" s="5" t="n"/>
      <c r="BM1164" s="5" t="n"/>
      <c r="BN1164" s="5" t="n"/>
      <c r="BO1164" s="5" t="n"/>
      <c r="BP1164" s="5" t="n"/>
      <c r="BQ1164" s="5" t="n"/>
      <c r="BR1164" s="5" t="n"/>
      <c r="BS1164" s="5" t="n"/>
      <c r="BT1164" s="5" t="n"/>
      <c r="BU1164" s="5" t="n"/>
      <c r="BV1164" s="5" t="n"/>
      <c r="BW1164" s="5" t="n"/>
      <c r="BX1164" s="5" t="n"/>
      <c r="BY1164" s="5" t="n"/>
      <c r="BZ1164" s="5" t="n"/>
      <c r="CA1164" s="5" t="n"/>
      <c r="CB1164" s="5" t="n"/>
      <c r="CC1164" s="5" t="n"/>
      <c r="CD1164" s="5" t="n"/>
      <c r="CE1164" s="5" t="n"/>
      <c r="CF1164" s="5" t="n"/>
    </row>
    <row r="1165">
      <c r="A1165" s="171" t="n"/>
      <c r="B1165" s="171" t="n"/>
      <c r="C1165" s="171" t="n"/>
      <c r="D1165" s="170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  <c r="Q1165" s="5" t="n"/>
      <c r="R1165" s="5" t="n"/>
      <c r="S1165" s="5" t="n"/>
      <c r="T1165" s="5" t="n"/>
      <c r="U1165" s="5" t="n"/>
      <c r="V1165" s="5" t="n"/>
      <c r="W1165" s="5" t="n"/>
      <c r="X1165" s="5" t="n"/>
      <c r="Y1165" s="5" t="n"/>
      <c r="Z1165" s="5" t="n"/>
      <c r="AA1165" s="5" t="n"/>
      <c r="AB1165" s="5" t="n"/>
      <c r="AC1165" s="5" t="n"/>
      <c r="AD1165" s="5" t="n"/>
      <c r="AE1165" s="5" t="n"/>
      <c r="AF1165" s="5" t="n"/>
      <c r="AG1165" s="5" t="n"/>
      <c r="AH1165" s="5" t="n"/>
      <c r="AI1165" s="5" t="n"/>
      <c r="AJ1165" s="5" t="n"/>
      <c r="AK1165" s="5" t="n"/>
      <c r="AL1165" s="5" t="n"/>
      <c r="AM1165" s="5" t="n"/>
      <c r="AN1165" s="5" t="n"/>
      <c r="AO1165" s="5" t="n"/>
      <c r="AP1165" s="5" t="n"/>
      <c r="AQ1165" s="5" t="n"/>
      <c r="AR1165" s="5" t="n"/>
      <c r="AS1165" s="5" t="n"/>
      <c r="AT1165" s="5" t="n"/>
      <c r="AU1165" s="5" t="n"/>
      <c r="AV1165" s="5" t="n"/>
      <c r="AW1165" s="5" t="n"/>
      <c r="AX1165" s="5" t="n"/>
      <c r="AY1165" s="5" t="n"/>
      <c r="AZ1165" s="5" t="n"/>
      <c r="BA1165" s="5" t="n"/>
      <c r="BB1165" s="5" t="n"/>
      <c r="BC1165" s="5" t="n"/>
      <c r="BD1165" s="5" t="n"/>
      <c r="BE1165" s="5" t="n"/>
      <c r="BF1165" s="5" t="n"/>
      <c r="BG1165" s="5" t="n"/>
      <c r="BH1165" s="5" t="n"/>
      <c r="BI1165" s="5" t="n"/>
      <c r="BJ1165" s="5" t="n"/>
      <c r="BK1165" s="5" t="n"/>
      <c r="BL1165" s="5" t="n"/>
      <c r="BM1165" s="5" t="n"/>
      <c r="BN1165" s="5" t="n"/>
      <c r="BO1165" s="5" t="n"/>
      <c r="BP1165" s="5" t="n"/>
      <c r="BQ1165" s="5" t="n"/>
      <c r="BR1165" s="5" t="n"/>
      <c r="BS1165" s="5" t="n"/>
      <c r="BT1165" s="5" t="n"/>
      <c r="BU1165" s="5" t="n"/>
      <c r="BV1165" s="5" t="n"/>
      <c r="BW1165" s="5" t="n"/>
      <c r="BX1165" s="5" t="n"/>
      <c r="BY1165" s="5" t="n"/>
      <c r="BZ1165" s="5" t="n"/>
      <c r="CA1165" s="5" t="n"/>
      <c r="CB1165" s="5" t="n"/>
      <c r="CC1165" s="5" t="n"/>
      <c r="CD1165" s="5" t="n"/>
      <c r="CE1165" s="5" t="n"/>
      <c r="CF1165" s="5" t="n"/>
    </row>
    <row r="1166">
      <c r="A1166" s="171" t="n"/>
      <c r="B1166" s="171" t="n"/>
      <c r="C1166" s="171" t="n"/>
      <c r="D1166" s="170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  <c r="Q1166" s="5" t="n"/>
      <c r="R1166" s="5" t="n"/>
      <c r="S1166" s="5" t="n"/>
      <c r="T1166" s="5" t="n"/>
      <c r="U1166" s="5" t="n"/>
      <c r="V1166" s="5" t="n"/>
      <c r="W1166" s="5" t="n"/>
      <c r="X1166" s="5" t="n"/>
      <c r="Y1166" s="5" t="n"/>
      <c r="Z1166" s="5" t="n"/>
      <c r="AA1166" s="5" t="n"/>
      <c r="AB1166" s="5" t="n"/>
      <c r="AC1166" s="5" t="n"/>
      <c r="AD1166" s="5" t="n"/>
      <c r="AE1166" s="5" t="n"/>
      <c r="AF1166" s="5" t="n"/>
      <c r="AG1166" s="5" t="n"/>
      <c r="AH1166" s="5" t="n"/>
      <c r="AI1166" s="5" t="n"/>
      <c r="AJ1166" s="5" t="n"/>
      <c r="AK1166" s="5" t="n"/>
      <c r="AL1166" s="5" t="n"/>
      <c r="AM1166" s="5" t="n"/>
      <c r="AN1166" s="5" t="n"/>
      <c r="AO1166" s="5" t="n"/>
      <c r="AP1166" s="5" t="n"/>
      <c r="AQ1166" s="5" t="n"/>
      <c r="AR1166" s="5" t="n"/>
      <c r="AS1166" s="5" t="n"/>
      <c r="AT1166" s="5" t="n"/>
      <c r="AU1166" s="5" t="n"/>
      <c r="AV1166" s="5" t="n"/>
      <c r="AW1166" s="5" t="n"/>
      <c r="AX1166" s="5" t="n"/>
      <c r="AY1166" s="5" t="n"/>
      <c r="AZ1166" s="5" t="n"/>
      <c r="BA1166" s="5" t="n"/>
      <c r="BB1166" s="5" t="n"/>
      <c r="BC1166" s="5" t="n"/>
      <c r="BD1166" s="5" t="n"/>
      <c r="BE1166" s="5" t="n"/>
      <c r="BF1166" s="5" t="n"/>
      <c r="BG1166" s="5" t="n"/>
      <c r="BH1166" s="5" t="n"/>
      <c r="BI1166" s="5" t="n"/>
      <c r="BJ1166" s="5" t="n"/>
      <c r="BK1166" s="5" t="n"/>
      <c r="BL1166" s="5" t="n"/>
      <c r="BM1166" s="5" t="n"/>
      <c r="BN1166" s="5" t="n"/>
      <c r="BO1166" s="5" t="n"/>
      <c r="BP1166" s="5" t="n"/>
      <c r="BQ1166" s="5" t="n"/>
      <c r="BR1166" s="5" t="n"/>
      <c r="BS1166" s="5" t="n"/>
      <c r="BT1166" s="5" t="n"/>
      <c r="BU1166" s="5" t="n"/>
      <c r="BV1166" s="5" t="n"/>
      <c r="BW1166" s="5" t="n"/>
      <c r="BX1166" s="5" t="n"/>
      <c r="BY1166" s="5" t="n"/>
      <c r="BZ1166" s="5" t="n"/>
      <c r="CA1166" s="5" t="n"/>
      <c r="CB1166" s="5" t="n"/>
      <c r="CC1166" s="5" t="n"/>
      <c r="CD1166" s="5" t="n"/>
      <c r="CE1166" s="5" t="n"/>
      <c r="CF1166" s="5" t="n"/>
    </row>
    <row r="1167">
      <c r="A1167" s="171" t="n"/>
      <c r="B1167" s="171" t="n"/>
      <c r="C1167" s="171" t="n"/>
      <c r="D1167" s="170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  <c r="Q1167" s="5" t="n"/>
      <c r="R1167" s="5" t="n"/>
      <c r="S1167" s="5" t="n"/>
      <c r="T1167" s="5" t="n"/>
      <c r="U1167" s="5" t="n"/>
      <c r="V1167" s="5" t="n"/>
      <c r="W1167" s="5" t="n"/>
      <c r="X1167" s="5" t="n"/>
      <c r="Y1167" s="5" t="n"/>
      <c r="Z1167" s="5" t="n"/>
      <c r="AA1167" s="5" t="n"/>
      <c r="AB1167" s="5" t="n"/>
      <c r="AC1167" s="5" t="n"/>
      <c r="AD1167" s="5" t="n"/>
      <c r="AE1167" s="5" t="n"/>
      <c r="AF1167" s="5" t="n"/>
      <c r="AG1167" s="5" t="n"/>
      <c r="AH1167" s="5" t="n"/>
      <c r="AI1167" s="5" t="n"/>
      <c r="AJ1167" s="5" t="n"/>
      <c r="AK1167" s="5" t="n"/>
      <c r="AL1167" s="5" t="n"/>
      <c r="AM1167" s="5" t="n"/>
      <c r="AN1167" s="5" t="n"/>
      <c r="AO1167" s="5" t="n"/>
      <c r="AP1167" s="5" t="n"/>
      <c r="AQ1167" s="5" t="n"/>
      <c r="AR1167" s="5" t="n"/>
      <c r="AS1167" s="5" t="n"/>
      <c r="AT1167" s="5" t="n"/>
      <c r="AU1167" s="5" t="n"/>
      <c r="AV1167" s="5" t="n"/>
      <c r="AW1167" s="5" t="n"/>
      <c r="AX1167" s="5" t="n"/>
      <c r="AY1167" s="5" t="n"/>
      <c r="AZ1167" s="5" t="n"/>
      <c r="BA1167" s="5" t="n"/>
      <c r="BB1167" s="5" t="n"/>
      <c r="BC1167" s="5" t="n"/>
      <c r="BD1167" s="5" t="n"/>
      <c r="BE1167" s="5" t="n"/>
      <c r="BF1167" s="5" t="n"/>
      <c r="BG1167" s="5" t="n"/>
      <c r="BH1167" s="5" t="n"/>
      <c r="BI1167" s="5" t="n"/>
      <c r="BJ1167" s="5" t="n"/>
      <c r="BK1167" s="5" t="n"/>
      <c r="BL1167" s="5" t="n"/>
      <c r="BM1167" s="5" t="n"/>
      <c r="BN1167" s="5" t="n"/>
      <c r="BO1167" s="5" t="n"/>
      <c r="BP1167" s="5" t="n"/>
      <c r="BQ1167" s="5" t="n"/>
      <c r="BR1167" s="5" t="n"/>
      <c r="BS1167" s="5" t="n"/>
      <c r="BT1167" s="5" t="n"/>
      <c r="BU1167" s="5" t="n"/>
      <c r="BV1167" s="5" t="n"/>
      <c r="BW1167" s="5" t="n"/>
      <c r="BX1167" s="5" t="n"/>
      <c r="BY1167" s="5" t="n"/>
      <c r="BZ1167" s="5" t="n"/>
      <c r="CA1167" s="5" t="n"/>
      <c r="CB1167" s="5" t="n"/>
      <c r="CC1167" s="5" t="n"/>
      <c r="CD1167" s="5" t="n"/>
      <c r="CE1167" s="5" t="n"/>
      <c r="CF1167" s="5" t="n"/>
    </row>
    <row r="1168">
      <c r="A1168" s="171" t="n"/>
      <c r="B1168" s="171" t="n"/>
      <c r="C1168" s="171" t="n"/>
      <c r="D1168" s="170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/>
      <c r="S1168" s="5" t="n"/>
      <c r="T1168" s="5" t="n"/>
      <c r="U1168" s="5" t="n"/>
      <c r="V1168" s="5" t="n"/>
      <c r="W1168" s="5" t="n"/>
      <c r="X1168" s="5" t="n"/>
      <c r="Y1168" s="5" t="n"/>
      <c r="Z1168" s="5" t="n"/>
      <c r="AA1168" s="5" t="n"/>
      <c r="AB1168" s="5" t="n"/>
      <c r="AC1168" s="5" t="n"/>
      <c r="AD1168" s="5" t="n"/>
      <c r="AE1168" s="5" t="n"/>
      <c r="AF1168" s="5" t="n"/>
      <c r="AG1168" s="5" t="n"/>
      <c r="AH1168" s="5" t="n"/>
      <c r="AI1168" s="5" t="n"/>
      <c r="AJ1168" s="5" t="n"/>
      <c r="AK1168" s="5" t="n"/>
      <c r="AL1168" s="5" t="n"/>
      <c r="AM1168" s="5" t="n"/>
      <c r="AN1168" s="5" t="n"/>
      <c r="AO1168" s="5" t="n"/>
      <c r="AP1168" s="5" t="n"/>
      <c r="AQ1168" s="5" t="n"/>
      <c r="AR1168" s="5" t="n"/>
      <c r="AS1168" s="5" t="n"/>
      <c r="AT1168" s="5" t="n"/>
      <c r="AU1168" s="5" t="n"/>
      <c r="AV1168" s="5" t="n"/>
      <c r="AW1168" s="5" t="n"/>
      <c r="AX1168" s="5" t="n"/>
      <c r="AY1168" s="5" t="n"/>
      <c r="AZ1168" s="5" t="n"/>
      <c r="BA1168" s="5" t="n"/>
      <c r="BB1168" s="5" t="n"/>
      <c r="BC1168" s="5" t="n"/>
      <c r="BD1168" s="5" t="n"/>
      <c r="BE1168" s="5" t="n"/>
      <c r="BF1168" s="5" t="n"/>
      <c r="BG1168" s="5" t="n"/>
      <c r="BH1168" s="5" t="n"/>
      <c r="BI1168" s="5" t="n"/>
      <c r="BJ1168" s="5" t="n"/>
      <c r="BK1168" s="5" t="n"/>
      <c r="BL1168" s="5" t="n"/>
      <c r="BM1168" s="5" t="n"/>
      <c r="BN1168" s="5" t="n"/>
      <c r="BO1168" s="5" t="n"/>
      <c r="BP1168" s="5" t="n"/>
      <c r="BQ1168" s="5" t="n"/>
      <c r="BR1168" s="5" t="n"/>
      <c r="BS1168" s="5" t="n"/>
      <c r="BT1168" s="5" t="n"/>
      <c r="BU1168" s="5" t="n"/>
      <c r="BV1168" s="5" t="n"/>
      <c r="BW1168" s="5" t="n"/>
      <c r="BX1168" s="5" t="n"/>
      <c r="BY1168" s="5" t="n"/>
      <c r="BZ1168" s="5" t="n"/>
      <c r="CA1168" s="5" t="n"/>
      <c r="CB1168" s="5" t="n"/>
      <c r="CC1168" s="5" t="n"/>
      <c r="CD1168" s="5" t="n"/>
      <c r="CE1168" s="5" t="n"/>
      <c r="CF1168" s="5" t="n"/>
    </row>
    <row r="1169">
      <c r="A1169" s="171" t="n"/>
      <c r="B1169" s="171" t="n"/>
      <c r="C1169" s="171" t="n"/>
      <c r="D1169" s="170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  <c r="Q1169" s="5" t="n"/>
      <c r="R1169" s="5" t="n"/>
      <c r="S1169" s="5" t="n"/>
      <c r="T1169" s="5" t="n"/>
      <c r="U1169" s="5" t="n"/>
      <c r="V1169" s="5" t="n"/>
      <c r="W1169" s="5" t="n"/>
      <c r="X1169" s="5" t="n"/>
      <c r="Y1169" s="5" t="n"/>
      <c r="Z1169" s="5" t="n"/>
      <c r="AA1169" s="5" t="n"/>
      <c r="AB1169" s="5" t="n"/>
      <c r="AC1169" s="5" t="n"/>
      <c r="AD1169" s="5" t="n"/>
      <c r="AE1169" s="5" t="n"/>
      <c r="AF1169" s="5" t="n"/>
      <c r="AG1169" s="5" t="n"/>
      <c r="AH1169" s="5" t="n"/>
      <c r="AI1169" s="5" t="n"/>
      <c r="AJ1169" s="5" t="n"/>
      <c r="AK1169" s="5" t="n"/>
      <c r="AL1169" s="5" t="n"/>
      <c r="AM1169" s="5" t="n"/>
      <c r="AN1169" s="5" t="n"/>
      <c r="AO1169" s="5" t="n"/>
      <c r="AP1169" s="5" t="n"/>
      <c r="AQ1169" s="5" t="n"/>
      <c r="AR1169" s="5" t="n"/>
      <c r="AS1169" s="5" t="n"/>
      <c r="AT1169" s="5" t="n"/>
      <c r="AU1169" s="5" t="n"/>
      <c r="AV1169" s="5" t="n"/>
      <c r="AW1169" s="5" t="n"/>
      <c r="AX1169" s="5" t="n"/>
      <c r="AY1169" s="5" t="n"/>
      <c r="AZ1169" s="5" t="n"/>
      <c r="BA1169" s="5" t="n"/>
      <c r="BB1169" s="5" t="n"/>
      <c r="BC1169" s="5" t="n"/>
      <c r="BD1169" s="5" t="n"/>
      <c r="BE1169" s="5" t="n"/>
      <c r="BF1169" s="5" t="n"/>
      <c r="BG1169" s="5" t="n"/>
      <c r="BH1169" s="5" t="n"/>
      <c r="BI1169" s="5" t="n"/>
      <c r="BJ1169" s="5" t="n"/>
      <c r="BK1169" s="5" t="n"/>
      <c r="BL1169" s="5" t="n"/>
      <c r="BM1169" s="5" t="n"/>
      <c r="BN1169" s="5" t="n"/>
      <c r="BO1169" s="5" t="n"/>
      <c r="BP1169" s="5" t="n"/>
      <c r="BQ1169" s="5" t="n"/>
      <c r="BR1169" s="5" t="n"/>
      <c r="BS1169" s="5" t="n"/>
      <c r="BT1169" s="5" t="n"/>
      <c r="BU1169" s="5" t="n"/>
      <c r="BV1169" s="5" t="n"/>
      <c r="BW1169" s="5" t="n"/>
      <c r="BX1169" s="5" t="n"/>
      <c r="BY1169" s="5" t="n"/>
      <c r="BZ1169" s="5" t="n"/>
      <c r="CA1169" s="5" t="n"/>
      <c r="CB1169" s="5" t="n"/>
      <c r="CC1169" s="5" t="n"/>
      <c r="CD1169" s="5" t="n"/>
      <c r="CE1169" s="5" t="n"/>
      <c r="CF1169" s="5" t="n"/>
    </row>
    <row r="1170">
      <c r="A1170" s="171" t="n"/>
      <c r="B1170" s="171" t="n"/>
      <c r="C1170" s="171" t="n"/>
      <c r="D1170" s="170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/>
      <c r="S1170" s="5" t="n"/>
      <c r="T1170" s="5" t="n"/>
      <c r="U1170" s="5" t="n"/>
      <c r="V1170" s="5" t="n"/>
      <c r="W1170" s="5" t="n"/>
      <c r="X1170" s="5" t="n"/>
      <c r="Y1170" s="5" t="n"/>
      <c r="Z1170" s="5" t="n"/>
      <c r="AA1170" s="5" t="n"/>
      <c r="AB1170" s="5" t="n"/>
      <c r="AC1170" s="5" t="n"/>
      <c r="AD1170" s="5" t="n"/>
      <c r="AE1170" s="5" t="n"/>
      <c r="AF1170" s="5" t="n"/>
      <c r="AG1170" s="5" t="n"/>
      <c r="AH1170" s="5" t="n"/>
      <c r="AI1170" s="5" t="n"/>
      <c r="AJ1170" s="5" t="n"/>
      <c r="AK1170" s="5" t="n"/>
      <c r="AL1170" s="5" t="n"/>
      <c r="AM1170" s="5" t="n"/>
      <c r="AN1170" s="5" t="n"/>
      <c r="AO1170" s="5" t="n"/>
      <c r="AP1170" s="5" t="n"/>
      <c r="AQ1170" s="5" t="n"/>
      <c r="AR1170" s="5" t="n"/>
      <c r="AS1170" s="5" t="n"/>
      <c r="AT1170" s="5" t="n"/>
      <c r="AU1170" s="5" t="n"/>
      <c r="AV1170" s="5" t="n"/>
      <c r="AW1170" s="5" t="n"/>
      <c r="AX1170" s="5" t="n"/>
      <c r="AY1170" s="5" t="n"/>
      <c r="AZ1170" s="5" t="n"/>
      <c r="BA1170" s="5" t="n"/>
      <c r="BB1170" s="5" t="n"/>
      <c r="BC1170" s="5" t="n"/>
      <c r="BD1170" s="5" t="n"/>
      <c r="BE1170" s="5" t="n"/>
      <c r="BF1170" s="5" t="n"/>
      <c r="BG1170" s="5" t="n"/>
      <c r="BH1170" s="5" t="n"/>
      <c r="BI1170" s="5" t="n"/>
      <c r="BJ1170" s="5" t="n"/>
      <c r="BK1170" s="5" t="n"/>
      <c r="BL1170" s="5" t="n"/>
      <c r="BM1170" s="5" t="n"/>
      <c r="BN1170" s="5" t="n"/>
      <c r="BO1170" s="5" t="n"/>
      <c r="BP1170" s="5" t="n"/>
      <c r="BQ1170" s="5" t="n"/>
      <c r="BR1170" s="5" t="n"/>
      <c r="BS1170" s="5" t="n"/>
      <c r="BT1170" s="5" t="n"/>
      <c r="BU1170" s="5" t="n"/>
      <c r="BV1170" s="5" t="n"/>
      <c r="BW1170" s="5" t="n"/>
      <c r="BX1170" s="5" t="n"/>
      <c r="BY1170" s="5" t="n"/>
      <c r="BZ1170" s="5" t="n"/>
      <c r="CA1170" s="5" t="n"/>
      <c r="CB1170" s="5" t="n"/>
      <c r="CC1170" s="5" t="n"/>
      <c r="CD1170" s="5" t="n"/>
      <c r="CE1170" s="5" t="n"/>
      <c r="CF1170" s="5" t="n"/>
    </row>
    <row r="1171">
      <c r="A1171" s="171" t="n"/>
      <c r="B1171" s="171" t="n"/>
      <c r="C1171" s="171" t="n"/>
      <c r="D1171" s="170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  <c r="Q1171" s="5" t="n"/>
      <c r="R1171" s="5" t="n"/>
      <c r="S1171" s="5" t="n"/>
      <c r="T1171" s="5" t="n"/>
      <c r="U1171" s="5" t="n"/>
      <c r="V1171" s="5" t="n"/>
      <c r="W1171" s="5" t="n"/>
      <c r="X1171" s="5" t="n"/>
      <c r="Y1171" s="5" t="n"/>
      <c r="Z1171" s="5" t="n"/>
      <c r="AA1171" s="5" t="n"/>
      <c r="AB1171" s="5" t="n"/>
      <c r="AC1171" s="5" t="n"/>
      <c r="AD1171" s="5" t="n"/>
      <c r="AE1171" s="5" t="n"/>
      <c r="AF1171" s="5" t="n"/>
      <c r="AG1171" s="5" t="n"/>
      <c r="AH1171" s="5" t="n"/>
      <c r="AI1171" s="5" t="n"/>
      <c r="AJ1171" s="5" t="n"/>
      <c r="AK1171" s="5" t="n"/>
      <c r="AL1171" s="5" t="n"/>
      <c r="AM1171" s="5" t="n"/>
      <c r="AN1171" s="5" t="n"/>
      <c r="AO1171" s="5" t="n"/>
      <c r="AP1171" s="5" t="n"/>
      <c r="AQ1171" s="5" t="n"/>
      <c r="AR1171" s="5" t="n"/>
      <c r="AS1171" s="5" t="n"/>
      <c r="AT1171" s="5" t="n"/>
      <c r="AU1171" s="5" t="n"/>
      <c r="AV1171" s="5" t="n"/>
      <c r="AW1171" s="5" t="n"/>
      <c r="AX1171" s="5" t="n"/>
      <c r="AY1171" s="5" t="n"/>
      <c r="AZ1171" s="5" t="n"/>
      <c r="BA1171" s="5" t="n"/>
      <c r="BB1171" s="5" t="n"/>
      <c r="BC1171" s="5" t="n"/>
      <c r="BD1171" s="5" t="n"/>
      <c r="BE1171" s="5" t="n"/>
      <c r="BF1171" s="5" t="n"/>
      <c r="BG1171" s="5" t="n"/>
      <c r="BH1171" s="5" t="n"/>
      <c r="BI1171" s="5" t="n"/>
      <c r="BJ1171" s="5" t="n"/>
      <c r="BK1171" s="5" t="n"/>
      <c r="BL1171" s="5" t="n"/>
      <c r="BM1171" s="5" t="n"/>
      <c r="BN1171" s="5" t="n"/>
      <c r="BO1171" s="5" t="n"/>
      <c r="BP1171" s="5" t="n"/>
      <c r="BQ1171" s="5" t="n"/>
      <c r="BR1171" s="5" t="n"/>
      <c r="BS1171" s="5" t="n"/>
      <c r="BT1171" s="5" t="n"/>
      <c r="BU1171" s="5" t="n"/>
      <c r="BV1171" s="5" t="n"/>
      <c r="BW1171" s="5" t="n"/>
      <c r="BX1171" s="5" t="n"/>
      <c r="BY1171" s="5" t="n"/>
      <c r="BZ1171" s="5" t="n"/>
      <c r="CA1171" s="5" t="n"/>
      <c r="CB1171" s="5" t="n"/>
      <c r="CC1171" s="5" t="n"/>
      <c r="CD1171" s="5" t="n"/>
      <c r="CE1171" s="5" t="n"/>
      <c r="CF1171" s="5" t="n"/>
    </row>
    <row r="1172">
      <c r="A1172" s="171" t="n"/>
      <c r="B1172" s="171" t="n"/>
      <c r="C1172" s="171" t="n"/>
      <c r="D1172" s="170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  <c r="Q1172" s="5" t="n"/>
      <c r="R1172" s="5" t="n"/>
      <c r="S1172" s="5" t="n"/>
      <c r="T1172" s="5" t="n"/>
      <c r="U1172" s="5" t="n"/>
      <c r="V1172" s="5" t="n"/>
      <c r="W1172" s="5" t="n"/>
      <c r="X1172" s="5" t="n"/>
      <c r="Y1172" s="5" t="n"/>
      <c r="Z1172" s="5" t="n"/>
      <c r="AA1172" s="5" t="n"/>
      <c r="AB1172" s="5" t="n"/>
      <c r="AC1172" s="5" t="n"/>
      <c r="AD1172" s="5" t="n"/>
      <c r="AE1172" s="5" t="n"/>
      <c r="AF1172" s="5" t="n"/>
      <c r="AG1172" s="5" t="n"/>
      <c r="AH1172" s="5" t="n"/>
      <c r="AI1172" s="5" t="n"/>
      <c r="AJ1172" s="5" t="n"/>
      <c r="AK1172" s="5" t="n"/>
      <c r="AL1172" s="5" t="n"/>
      <c r="AM1172" s="5" t="n"/>
      <c r="AN1172" s="5" t="n"/>
      <c r="AO1172" s="5" t="n"/>
      <c r="AP1172" s="5" t="n"/>
      <c r="AQ1172" s="5" t="n"/>
      <c r="AR1172" s="5" t="n"/>
      <c r="AS1172" s="5" t="n"/>
      <c r="AT1172" s="5" t="n"/>
      <c r="AU1172" s="5" t="n"/>
      <c r="AV1172" s="5" t="n"/>
      <c r="AW1172" s="5" t="n"/>
      <c r="AX1172" s="5" t="n"/>
      <c r="AY1172" s="5" t="n"/>
      <c r="AZ1172" s="5" t="n"/>
      <c r="BA1172" s="5" t="n"/>
      <c r="BB1172" s="5" t="n"/>
      <c r="BC1172" s="5" t="n"/>
      <c r="BD1172" s="5" t="n"/>
      <c r="BE1172" s="5" t="n"/>
      <c r="BF1172" s="5" t="n"/>
      <c r="BG1172" s="5" t="n"/>
      <c r="BH1172" s="5" t="n"/>
      <c r="BI1172" s="5" t="n"/>
      <c r="BJ1172" s="5" t="n"/>
      <c r="BK1172" s="5" t="n"/>
      <c r="BL1172" s="5" t="n"/>
      <c r="BM1172" s="5" t="n"/>
      <c r="BN1172" s="5" t="n"/>
      <c r="BO1172" s="5" t="n"/>
      <c r="BP1172" s="5" t="n"/>
      <c r="BQ1172" s="5" t="n"/>
      <c r="BR1172" s="5" t="n"/>
      <c r="BS1172" s="5" t="n"/>
      <c r="BT1172" s="5" t="n"/>
      <c r="BU1172" s="5" t="n"/>
      <c r="BV1172" s="5" t="n"/>
      <c r="BW1172" s="5" t="n"/>
      <c r="BX1172" s="5" t="n"/>
      <c r="BY1172" s="5" t="n"/>
      <c r="BZ1172" s="5" t="n"/>
      <c r="CA1172" s="5" t="n"/>
      <c r="CB1172" s="5" t="n"/>
      <c r="CC1172" s="5" t="n"/>
      <c r="CD1172" s="5" t="n"/>
      <c r="CE1172" s="5" t="n"/>
      <c r="CF1172" s="5" t="n"/>
    </row>
    <row r="1173">
      <c r="A1173" s="171" t="n"/>
      <c r="B1173" s="171" t="n"/>
      <c r="C1173" s="171" t="n"/>
      <c r="D1173" s="170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5" t="n"/>
      <c r="R1173" s="5" t="n"/>
      <c r="S1173" s="5" t="n"/>
      <c r="T1173" s="5" t="n"/>
      <c r="U1173" s="5" t="n"/>
      <c r="V1173" s="5" t="n"/>
      <c r="W1173" s="5" t="n"/>
      <c r="X1173" s="5" t="n"/>
      <c r="Y1173" s="5" t="n"/>
      <c r="Z1173" s="5" t="n"/>
      <c r="AA1173" s="5" t="n"/>
      <c r="AB1173" s="5" t="n"/>
      <c r="AC1173" s="5" t="n"/>
      <c r="AD1173" s="5" t="n"/>
      <c r="AE1173" s="5" t="n"/>
      <c r="AF1173" s="5" t="n"/>
      <c r="AG1173" s="5" t="n"/>
      <c r="AH1173" s="5" t="n"/>
      <c r="AI1173" s="5" t="n"/>
      <c r="AJ1173" s="5" t="n"/>
      <c r="AK1173" s="5" t="n"/>
      <c r="AL1173" s="5" t="n"/>
      <c r="AM1173" s="5" t="n"/>
      <c r="AN1173" s="5" t="n"/>
      <c r="AO1173" s="5" t="n"/>
      <c r="AP1173" s="5" t="n"/>
      <c r="AQ1173" s="5" t="n"/>
      <c r="AR1173" s="5" t="n"/>
      <c r="AS1173" s="5" t="n"/>
      <c r="AT1173" s="5" t="n"/>
      <c r="AU1173" s="5" t="n"/>
      <c r="AV1173" s="5" t="n"/>
      <c r="AW1173" s="5" t="n"/>
      <c r="AX1173" s="5" t="n"/>
      <c r="AY1173" s="5" t="n"/>
      <c r="AZ1173" s="5" t="n"/>
      <c r="BA1173" s="5" t="n"/>
      <c r="BB1173" s="5" t="n"/>
      <c r="BC1173" s="5" t="n"/>
      <c r="BD1173" s="5" t="n"/>
      <c r="BE1173" s="5" t="n"/>
      <c r="BF1173" s="5" t="n"/>
      <c r="BG1173" s="5" t="n"/>
      <c r="BH1173" s="5" t="n"/>
      <c r="BI1173" s="5" t="n"/>
      <c r="BJ1173" s="5" t="n"/>
      <c r="BK1173" s="5" t="n"/>
      <c r="BL1173" s="5" t="n"/>
      <c r="BM1173" s="5" t="n"/>
      <c r="BN1173" s="5" t="n"/>
      <c r="BO1173" s="5" t="n"/>
      <c r="BP1173" s="5" t="n"/>
      <c r="BQ1173" s="5" t="n"/>
      <c r="BR1173" s="5" t="n"/>
      <c r="BS1173" s="5" t="n"/>
      <c r="BT1173" s="5" t="n"/>
      <c r="BU1173" s="5" t="n"/>
      <c r="BV1173" s="5" t="n"/>
      <c r="BW1173" s="5" t="n"/>
      <c r="BX1173" s="5" t="n"/>
      <c r="BY1173" s="5" t="n"/>
      <c r="BZ1173" s="5" t="n"/>
      <c r="CA1173" s="5" t="n"/>
      <c r="CB1173" s="5" t="n"/>
      <c r="CC1173" s="5" t="n"/>
      <c r="CD1173" s="5" t="n"/>
      <c r="CE1173" s="5" t="n"/>
      <c r="CF1173" s="5" t="n"/>
    </row>
    <row r="1174">
      <c r="A1174" s="171" t="n"/>
      <c r="B1174" s="171" t="n"/>
      <c r="C1174" s="171" t="n"/>
      <c r="D1174" s="170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  <c r="Q1174" s="5" t="n"/>
      <c r="R1174" s="5" t="n"/>
      <c r="S1174" s="5" t="n"/>
      <c r="T1174" s="5" t="n"/>
      <c r="U1174" s="5" t="n"/>
      <c r="V1174" s="5" t="n"/>
      <c r="W1174" s="5" t="n"/>
      <c r="X1174" s="5" t="n"/>
      <c r="Y1174" s="5" t="n"/>
      <c r="Z1174" s="5" t="n"/>
      <c r="AA1174" s="5" t="n"/>
      <c r="AB1174" s="5" t="n"/>
      <c r="AC1174" s="5" t="n"/>
      <c r="AD1174" s="5" t="n"/>
      <c r="AE1174" s="5" t="n"/>
      <c r="AF1174" s="5" t="n"/>
      <c r="AG1174" s="5" t="n"/>
      <c r="AH1174" s="5" t="n"/>
      <c r="AI1174" s="5" t="n"/>
      <c r="AJ1174" s="5" t="n"/>
      <c r="AK1174" s="5" t="n"/>
      <c r="AL1174" s="5" t="n"/>
      <c r="AM1174" s="5" t="n"/>
      <c r="AN1174" s="5" t="n"/>
      <c r="AO1174" s="5" t="n"/>
      <c r="AP1174" s="5" t="n"/>
      <c r="AQ1174" s="5" t="n"/>
      <c r="AR1174" s="5" t="n"/>
      <c r="AS1174" s="5" t="n"/>
      <c r="AT1174" s="5" t="n"/>
      <c r="AU1174" s="5" t="n"/>
      <c r="AV1174" s="5" t="n"/>
      <c r="AW1174" s="5" t="n"/>
      <c r="AX1174" s="5" t="n"/>
      <c r="AY1174" s="5" t="n"/>
      <c r="AZ1174" s="5" t="n"/>
      <c r="BA1174" s="5" t="n"/>
      <c r="BB1174" s="5" t="n"/>
      <c r="BC1174" s="5" t="n"/>
      <c r="BD1174" s="5" t="n"/>
      <c r="BE1174" s="5" t="n"/>
      <c r="BF1174" s="5" t="n"/>
      <c r="BG1174" s="5" t="n"/>
      <c r="BH1174" s="5" t="n"/>
      <c r="BI1174" s="5" t="n"/>
      <c r="BJ1174" s="5" t="n"/>
      <c r="BK1174" s="5" t="n"/>
      <c r="BL1174" s="5" t="n"/>
      <c r="BM1174" s="5" t="n"/>
      <c r="BN1174" s="5" t="n"/>
      <c r="BO1174" s="5" t="n"/>
      <c r="BP1174" s="5" t="n"/>
      <c r="BQ1174" s="5" t="n"/>
      <c r="BR1174" s="5" t="n"/>
      <c r="BS1174" s="5" t="n"/>
      <c r="BT1174" s="5" t="n"/>
      <c r="BU1174" s="5" t="n"/>
      <c r="BV1174" s="5" t="n"/>
      <c r="BW1174" s="5" t="n"/>
      <c r="BX1174" s="5" t="n"/>
      <c r="BY1174" s="5" t="n"/>
      <c r="BZ1174" s="5" t="n"/>
      <c r="CA1174" s="5" t="n"/>
      <c r="CB1174" s="5" t="n"/>
      <c r="CC1174" s="5" t="n"/>
      <c r="CD1174" s="5" t="n"/>
      <c r="CE1174" s="5" t="n"/>
      <c r="CF1174" s="5" t="n"/>
    </row>
    <row r="1175">
      <c r="A1175" s="171" t="n"/>
      <c r="B1175" s="171" t="n"/>
      <c r="C1175" s="171" t="n"/>
      <c r="D1175" s="170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  <c r="Q1175" s="5" t="n"/>
      <c r="R1175" s="5" t="n"/>
      <c r="S1175" s="5" t="n"/>
      <c r="T1175" s="5" t="n"/>
      <c r="U1175" s="5" t="n"/>
      <c r="V1175" s="5" t="n"/>
      <c r="W1175" s="5" t="n"/>
      <c r="X1175" s="5" t="n"/>
      <c r="Y1175" s="5" t="n"/>
      <c r="Z1175" s="5" t="n"/>
      <c r="AA1175" s="5" t="n"/>
      <c r="AB1175" s="5" t="n"/>
      <c r="AC1175" s="5" t="n"/>
      <c r="AD1175" s="5" t="n"/>
      <c r="AE1175" s="5" t="n"/>
      <c r="AF1175" s="5" t="n"/>
      <c r="AG1175" s="5" t="n"/>
      <c r="AH1175" s="5" t="n"/>
      <c r="AI1175" s="5" t="n"/>
      <c r="AJ1175" s="5" t="n"/>
      <c r="AK1175" s="5" t="n"/>
      <c r="AL1175" s="5" t="n"/>
      <c r="AM1175" s="5" t="n"/>
      <c r="AN1175" s="5" t="n"/>
      <c r="AO1175" s="5" t="n"/>
      <c r="AP1175" s="5" t="n"/>
      <c r="AQ1175" s="5" t="n"/>
      <c r="AR1175" s="5" t="n"/>
      <c r="AS1175" s="5" t="n"/>
      <c r="AT1175" s="5" t="n"/>
      <c r="AU1175" s="5" t="n"/>
      <c r="AV1175" s="5" t="n"/>
      <c r="AW1175" s="5" t="n"/>
      <c r="AX1175" s="5" t="n"/>
      <c r="AY1175" s="5" t="n"/>
      <c r="AZ1175" s="5" t="n"/>
      <c r="BA1175" s="5" t="n"/>
      <c r="BB1175" s="5" t="n"/>
      <c r="BC1175" s="5" t="n"/>
      <c r="BD1175" s="5" t="n"/>
      <c r="BE1175" s="5" t="n"/>
      <c r="BF1175" s="5" t="n"/>
      <c r="BG1175" s="5" t="n"/>
      <c r="BH1175" s="5" t="n"/>
      <c r="BI1175" s="5" t="n"/>
      <c r="BJ1175" s="5" t="n"/>
      <c r="BK1175" s="5" t="n"/>
      <c r="BL1175" s="5" t="n"/>
      <c r="BM1175" s="5" t="n"/>
      <c r="BN1175" s="5" t="n"/>
      <c r="BO1175" s="5" t="n"/>
      <c r="BP1175" s="5" t="n"/>
      <c r="BQ1175" s="5" t="n"/>
      <c r="BR1175" s="5" t="n"/>
      <c r="BS1175" s="5" t="n"/>
      <c r="BT1175" s="5" t="n"/>
      <c r="BU1175" s="5" t="n"/>
      <c r="BV1175" s="5" t="n"/>
      <c r="BW1175" s="5" t="n"/>
      <c r="BX1175" s="5" t="n"/>
      <c r="BY1175" s="5" t="n"/>
      <c r="BZ1175" s="5" t="n"/>
      <c r="CA1175" s="5" t="n"/>
      <c r="CB1175" s="5" t="n"/>
      <c r="CC1175" s="5" t="n"/>
      <c r="CD1175" s="5" t="n"/>
      <c r="CE1175" s="5" t="n"/>
      <c r="CF1175" s="5" t="n"/>
    </row>
    <row r="1176">
      <c r="A1176" s="171" t="n"/>
      <c r="B1176" s="171" t="n"/>
      <c r="C1176" s="171" t="n"/>
      <c r="D1176" s="170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  <c r="Q1176" s="5" t="n"/>
      <c r="R1176" s="5" t="n"/>
      <c r="S1176" s="5" t="n"/>
      <c r="T1176" s="5" t="n"/>
      <c r="U1176" s="5" t="n"/>
      <c r="V1176" s="5" t="n"/>
      <c r="W1176" s="5" t="n"/>
      <c r="X1176" s="5" t="n"/>
      <c r="Y1176" s="5" t="n"/>
      <c r="Z1176" s="5" t="n"/>
      <c r="AA1176" s="5" t="n"/>
      <c r="AB1176" s="5" t="n"/>
      <c r="AC1176" s="5" t="n"/>
      <c r="AD1176" s="5" t="n"/>
      <c r="AE1176" s="5" t="n"/>
      <c r="AF1176" s="5" t="n"/>
      <c r="AG1176" s="5" t="n"/>
      <c r="AH1176" s="5" t="n"/>
      <c r="AI1176" s="5" t="n"/>
      <c r="AJ1176" s="5" t="n"/>
      <c r="AK1176" s="5" t="n"/>
      <c r="AL1176" s="5" t="n"/>
      <c r="AM1176" s="5" t="n"/>
      <c r="AN1176" s="5" t="n"/>
      <c r="AO1176" s="5" t="n"/>
      <c r="AP1176" s="5" t="n"/>
      <c r="AQ1176" s="5" t="n"/>
      <c r="AR1176" s="5" t="n"/>
      <c r="AS1176" s="5" t="n"/>
      <c r="AT1176" s="5" t="n"/>
      <c r="AU1176" s="5" t="n"/>
      <c r="AV1176" s="5" t="n"/>
      <c r="AW1176" s="5" t="n"/>
      <c r="AX1176" s="5" t="n"/>
      <c r="AY1176" s="5" t="n"/>
      <c r="AZ1176" s="5" t="n"/>
      <c r="BA1176" s="5" t="n"/>
      <c r="BB1176" s="5" t="n"/>
      <c r="BC1176" s="5" t="n"/>
      <c r="BD1176" s="5" t="n"/>
      <c r="BE1176" s="5" t="n"/>
      <c r="BF1176" s="5" t="n"/>
      <c r="BG1176" s="5" t="n"/>
      <c r="BH1176" s="5" t="n"/>
      <c r="BI1176" s="5" t="n"/>
      <c r="BJ1176" s="5" t="n"/>
      <c r="BK1176" s="5" t="n"/>
      <c r="BL1176" s="5" t="n"/>
      <c r="BM1176" s="5" t="n"/>
      <c r="BN1176" s="5" t="n"/>
      <c r="BO1176" s="5" t="n"/>
      <c r="BP1176" s="5" t="n"/>
      <c r="BQ1176" s="5" t="n"/>
      <c r="BR1176" s="5" t="n"/>
      <c r="BS1176" s="5" t="n"/>
      <c r="BT1176" s="5" t="n"/>
      <c r="BU1176" s="5" t="n"/>
      <c r="BV1176" s="5" t="n"/>
      <c r="BW1176" s="5" t="n"/>
      <c r="BX1176" s="5" t="n"/>
      <c r="BY1176" s="5" t="n"/>
      <c r="BZ1176" s="5" t="n"/>
      <c r="CA1176" s="5" t="n"/>
      <c r="CB1176" s="5" t="n"/>
      <c r="CC1176" s="5" t="n"/>
      <c r="CD1176" s="5" t="n"/>
      <c r="CE1176" s="5" t="n"/>
      <c r="CF1176" s="5" t="n"/>
    </row>
    <row r="1177">
      <c r="A1177" s="171" t="n"/>
      <c r="B1177" s="171" t="n"/>
      <c r="C1177" s="171" t="n"/>
      <c r="D1177" s="170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  <c r="Q1177" s="5" t="n"/>
      <c r="R1177" s="5" t="n"/>
      <c r="S1177" s="5" t="n"/>
      <c r="T1177" s="5" t="n"/>
      <c r="U1177" s="5" t="n"/>
      <c r="V1177" s="5" t="n"/>
      <c r="W1177" s="5" t="n"/>
      <c r="X1177" s="5" t="n"/>
      <c r="Y1177" s="5" t="n"/>
      <c r="Z1177" s="5" t="n"/>
      <c r="AA1177" s="5" t="n"/>
      <c r="AB1177" s="5" t="n"/>
      <c r="AC1177" s="5" t="n"/>
      <c r="AD1177" s="5" t="n"/>
      <c r="AE1177" s="5" t="n"/>
      <c r="AF1177" s="5" t="n"/>
      <c r="AG1177" s="5" t="n"/>
      <c r="AH1177" s="5" t="n"/>
      <c r="AI1177" s="5" t="n"/>
      <c r="AJ1177" s="5" t="n"/>
      <c r="AK1177" s="5" t="n"/>
      <c r="AL1177" s="5" t="n"/>
      <c r="AM1177" s="5" t="n"/>
      <c r="AN1177" s="5" t="n"/>
      <c r="AO1177" s="5" t="n"/>
      <c r="AP1177" s="5" t="n"/>
      <c r="AQ1177" s="5" t="n"/>
      <c r="AR1177" s="5" t="n"/>
      <c r="AS1177" s="5" t="n"/>
      <c r="AT1177" s="5" t="n"/>
      <c r="AU1177" s="5" t="n"/>
      <c r="AV1177" s="5" t="n"/>
      <c r="AW1177" s="5" t="n"/>
      <c r="AX1177" s="5" t="n"/>
      <c r="AY1177" s="5" t="n"/>
      <c r="AZ1177" s="5" t="n"/>
      <c r="BA1177" s="5" t="n"/>
      <c r="BB1177" s="5" t="n"/>
      <c r="BC1177" s="5" t="n"/>
      <c r="BD1177" s="5" t="n"/>
      <c r="BE1177" s="5" t="n"/>
      <c r="BF1177" s="5" t="n"/>
      <c r="BG1177" s="5" t="n"/>
      <c r="BH1177" s="5" t="n"/>
      <c r="BI1177" s="5" t="n"/>
      <c r="BJ1177" s="5" t="n"/>
      <c r="BK1177" s="5" t="n"/>
      <c r="BL1177" s="5" t="n"/>
      <c r="BM1177" s="5" t="n"/>
      <c r="BN1177" s="5" t="n"/>
      <c r="BO1177" s="5" t="n"/>
      <c r="BP1177" s="5" t="n"/>
      <c r="BQ1177" s="5" t="n"/>
      <c r="BR1177" s="5" t="n"/>
      <c r="BS1177" s="5" t="n"/>
      <c r="BT1177" s="5" t="n"/>
      <c r="BU1177" s="5" t="n"/>
      <c r="BV1177" s="5" t="n"/>
      <c r="BW1177" s="5" t="n"/>
      <c r="BX1177" s="5" t="n"/>
      <c r="BY1177" s="5" t="n"/>
      <c r="BZ1177" s="5" t="n"/>
      <c r="CA1177" s="5" t="n"/>
      <c r="CB1177" s="5" t="n"/>
      <c r="CC1177" s="5" t="n"/>
      <c r="CD1177" s="5" t="n"/>
      <c r="CE1177" s="5" t="n"/>
      <c r="CF1177" s="5" t="n"/>
    </row>
    <row r="1178">
      <c r="A1178" s="171" t="n"/>
      <c r="B1178" s="171" t="n"/>
      <c r="C1178" s="171" t="n"/>
      <c r="D1178" s="170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  <c r="Q1178" s="5" t="n"/>
      <c r="R1178" s="5" t="n"/>
      <c r="S1178" s="5" t="n"/>
      <c r="T1178" s="5" t="n"/>
      <c r="U1178" s="5" t="n"/>
      <c r="V1178" s="5" t="n"/>
      <c r="W1178" s="5" t="n"/>
      <c r="X1178" s="5" t="n"/>
      <c r="Y1178" s="5" t="n"/>
      <c r="Z1178" s="5" t="n"/>
      <c r="AA1178" s="5" t="n"/>
      <c r="AB1178" s="5" t="n"/>
      <c r="AC1178" s="5" t="n"/>
      <c r="AD1178" s="5" t="n"/>
      <c r="AE1178" s="5" t="n"/>
      <c r="AF1178" s="5" t="n"/>
      <c r="AG1178" s="5" t="n"/>
      <c r="AH1178" s="5" t="n"/>
      <c r="AI1178" s="5" t="n"/>
      <c r="AJ1178" s="5" t="n"/>
      <c r="AK1178" s="5" t="n"/>
      <c r="AL1178" s="5" t="n"/>
      <c r="AM1178" s="5" t="n"/>
      <c r="AN1178" s="5" t="n"/>
      <c r="AO1178" s="5" t="n"/>
      <c r="AP1178" s="5" t="n"/>
      <c r="AQ1178" s="5" t="n"/>
      <c r="AR1178" s="5" t="n"/>
      <c r="AS1178" s="5" t="n"/>
      <c r="AT1178" s="5" t="n"/>
      <c r="AU1178" s="5" t="n"/>
      <c r="AV1178" s="5" t="n"/>
      <c r="AW1178" s="5" t="n"/>
      <c r="AX1178" s="5" t="n"/>
      <c r="AY1178" s="5" t="n"/>
      <c r="AZ1178" s="5" t="n"/>
      <c r="BA1178" s="5" t="n"/>
      <c r="BB1178" s="5" t="n"/>
      <c r="BC1178" s="5" t="n"/>
      <c r="BD1178" s="5" t="n"/>
      <c r="BE1178" s="5" t="n"/>
      <c r="BF1178" s="5" t="n"/>
      <c r="BG1178" s="5" t="n"/>
      <c r="BH1178" s="5" t="n"/>
      <c r="BI1178" s="5" t="n"/>
      <c r="BJ1178" s="5" t="n"/>
      <c r="BK1178" s="5" t="n"/>
      <c r="BL1178" s="5" t="n"/>
      <c r="BM1178" s="5" t="n"/>
      <c r="BN1178" s="5" t="n"/>
      <c r="BO1178" s="5" t="n"/>
      <c r="BP1178" s="5" t="n"/>
      <c r="BQ1178" s="5" t="n"/>
      <c r="BR1178" s="5" t="n"/>
      <c r="BS1178" s="5" t="n"/>
      <c r="BT1178" s="5" t="n"/>
      <c r="BU1178" s="5" t="n"/>
      <c r="BV1178" s="5" t="n"/>
      <c r="BW1178" s="5" t="n"/>
      <c r="BX1178" s="5" t="n"/>
      <c r="BY1178" s="5" t="n"/>
      <c r="BZ1178" s="5" t="n"/>
      <c r="CA1178" s="5" t="n"/>
      <c r="CB1178" s="5" t="n"/>
      <c r="CC1178" s="5" t="n"/>
      <c r="CD1178" s="5" t="n"/>
      <c r="CE1178" s="5" t="n"/>
      <c r="CF1178" s="5" t="n"/>
    </row>
    <row r="1179">
      <c r="A1179" s="171" t="n"/>
      <c r="B1179" s="171" t="n"/>
      <c r="C1179" s="171" t="n"/>
      <c r="D1179" s="170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  <c r="Q1179" s="5" t="n"/>
      <c r="R1179" s="5" t="n"/>
      <c r="S1179" s="5" t="n"/>
      <c r="T1179" s="5" t="n"/>
      <c r="U1179" s="5" t="n"/>
      <c r="V1179" s="5" t="n"/>
      <c r="W1179" s="5" t="n"/>
      <c r="X1179" s="5" t="n"/>
      <c r="Y1179" s="5" t="n"/>
      <c r="Z1179" s="5" t="n"/>
      <c r="AA1179" s="5" t="n"/>
      <c r="AB1179" s="5" t="n"/>
      <c r="AC1179" s="5" t="n"/>
      <c r="AD1179" s="5" t="n"/>
      <c r="AE1179" s="5" t="n"/>
      <c r="AF1179" s="5" t="n"/>
      <c r="AG1179" s="5" t="n"/>
      <c r="AH1179" s="5" t="n"/>
      <c r="AI1179" s="5" t="n"/>
      <c r="AJ1179" s="5" t="n"/>
      <c r="AK1179" s="5" t="n"/>
      <c r="AL1179" s="5" t="n"/>
      <c r="AM1179" s="5" t="n"/>
      <c r="AN1179" s="5" t="n"/>
      <c r="AO1179" s="5" t="n"/>
      <c r="AP1179" s="5" t="n"/>
      <c r="AQ1179" s="5" t="n"/>
      <c r="AR1179" s="5" t="n"/>
      <c r="AS1179" s="5" t="n"/>
      <c r="AT1179" s="5" t="n"/>
      <c r="AU1179" s="5" t="n"/>
      <c r="AV1179" s="5" t="n"/>
      <c r="AW1179" s="5" t="n"/>
      <c r="AX1179" s="5" t="n"/>
      <c r="AY1179" s="5" t="n"/>
      <c r="AZ1179" s="5" t="n"/>
      <c r="BA1179" s="5" t="n"/>
      <c r="BB1179" s="5" t="n"/>
      <c r="BC1179" s="5" t="n"/>
      <c r="BD1179" s="5" t="n"/>
      <c r="BE1179" s="5" t="n"/>
      <c r="BF1179" s="5" t="n"/>
      <c r="BG1179" s="5" t="n"/>
      <c r="BH1179" s="5" t="n"/>
      <c r="BI1179" s="5" t="n"/>
      <c r="BJ1179" s="5" t="n"/>
      <c r="BK1179" s="5" t="n"/>
      <c r="BL1179" s="5" t="n"/>
      <c r="BM1179" s="5" t="n"/>
      <c r="BN1179" s="5" t="n"/>
      <c r="BO1179" s="5" t="n"/>
      <c r="BP1179" s="5" t="n"/>
      <c r="BQ1179" s="5" t="n"/>
      <c r="BR1179" s="5" t="n"/>
      <c r="BS1179" s="5" t="n"/>
      <c r="BT1179" s="5" t="n"/>
      <c r="BU1179" s="5" t="n"/>
      <c r="BV1179" s="5" t="n"/>
      <c r="BW1179" s="5" t="n"/>
      <c r="BX1179" s="5" t="n"/>
      <c r="BY1179" s="5" t="n"/>
      <c r="BZ1179" s="5" t="n"/>
      <c r="CA1179" s="5" t="n"/>
      <c r="CB1179" s="5" t="n"/>
      <c r="CC1179" s="5" t="n"/>
      <c r="CD1179" s="5" t="n"/>
      <c r="CE1179" s="5" t="n"/>
      <c r="CF1179" s="5" t="n"/>
    </row>
    <row r="1180">
      <c r="A1180" s="171" t="n"/>
      <c r="B1180" s="171" t="n"/>
      <c r="C1180" s="171" t="n"/>
      <c r="D1180" s="170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  <c r="Q1180" s="5" t="n"/>
      <c r="R1180" s="5" t="n"/>
      <c r="S1180" s="5" t="n"/>
      <c r="T1180" s="5" t="n"/>
      <c r="U1180" s="5" t="n"/>
      <c r="V1180" s="5" t="n"/>
      <c r="W1180" s="5" t="n"/>
      <c r="X1180" s="5" t="n"/>
      <c r="Y1180" s="5" t="n"/>
      <c r="Z1180" s="5" t="n"/>
      <c r="AA1180" s="5" t="n"/>
      <c r="AB1180" s="5" t="n"/>
      <c r="AC1180" s="5" t="n"/>
      <c r="AD1180" s="5" t="n"/>
      <c r="AE1180" s="5" t="n"/>
      <c r="AF1180" s="5" t="n"/>
      <c r="AG1180" s="5" t="n"/>
      <c r="AH1180" s="5" t="n"/>
      <c r="AI1180" s="5" t="n"/>
      <c r="AJ1180" s="5" t="n"/>
      <c r="AK1180" s="5" t="n"/>
      <c r="AL1180" s="5" t="n"/>
      <c r="AM1180" s="5" t="n"/>
      <c r="AN1180" s="5" t="n"/>
      <c r="AO1180" s="5" t="n"/>
      <c r="AP1180" s="5" t="n"/>
      <c r="AQ1180" s="5" t="n"/>
      <c r="AR1180" s="5" t="n"/>
      <c r="AS1180" s="5" t="n"/>
      <c r="AT1180" s="5" t="n"/>
      <c r="AU1180" s="5" t="n"/>
      <c r="AV1180" s="5" t="n"/>
      <c r="AW1180" s="5" t="n"/>
      <c r="AX1180" s="5" t="n"/>
      <c r="AY1180" s="5" t="n"/>
      <c r="AZ1180" s="5" t="n"/>
      <c r="BA1180" s="5" t="n"/>
      <c r="BB1180" s="5" t="n"/>
      <c r="BC1180" s="5" t="n"/>
      <c r="BD1180" s="5" t="n"/>
      <c r="BE1180" s="5" t="n"/>
      <c r="BF1180" s="5" t="n"/>
      <c r="BG1180" s="5" t="n"/>
      <c r="BH1180" s="5" t="n"/>
      <c r="BI1180" s="5" t="n"/>
      <c r="BJ1180" s="5" t="n"/>
      <c r="BK1180" s="5" t="n"/>
      <c r="BL1180" s="5" t="n"/>
      <c r="BM1180" s="5" t="n"/>
      <c r="BN1180" s="5" t="n"/>
      <c r="BO1180" s="5" t="n"/>
      <c r="BP1180" s="5" t="n"/>
      <c r="BQ1180" s="5" t="n"/>
      <c r="BR1180" s="5" t="n"/>
      <c r="BS1180" s="5" t="n"/>
      <c r="BT1180" s="5" t="n"/>
      <c r="BU1180" s="5" t="n"/>
      <c r="BV1180" s="5" t="n"/>
      <c r="BW1180" s="5" t="n"/>
      <c r="BX1180" s="5" t="n"/>
      <c r="BY1180" s="5" t="n"/>
      <c r="BZ1180" s="5" t="n"/>
      <c r="CA1180" s="5" t="n"/>
      <c r="CB1180" s="5" t="n"/>
      <c r="CC1180" s="5" t="n"/>
      <c r="CD1180" s="5" t="n"/>
      <c r="CE1180" s="5" t="n"/>
      <c r="CF1180" s="5" t="n"/>
    </row>
    <row r="1181">
      <c r="A1181" s="171" t="n"/>
      <c r="B1181" s="171" t="n"/>
      <c r="C1181" s="171" t="n"/>
      <c r="D1181" s="170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  <c r="Q1181" s="5" t="n"/>
      <c r="R1181" s="5" t="n"/>
      <c r="S1181" s="5" t="n"/>
      <c r="T1181" s="5" t="n"/>
      <c r="U1181" s="5" t="n"/>
      <c r="V1181" s="5" t="n"/>
      <c r="W1181" s="5" t="n"/>
      <c r="X1181" s="5" t="n"/>
      <c r="Y1181" s="5" t="n"/>
      <c r="Z1181" s="5" t="n"/>
      <c r="AA1181" s="5" t="n"/>
      <c r="AB1181" s="5" t="n"/>
      <c r="AC1181" s="5" t="n"/>
      <c r="AD1181" s="5" t="n"/>
      <c r="AE1181" s="5" t="n"/>
      <c r="AF1181" s="5" t="n"/>
      <c r="AG1181" s="5" t="n"/>
      <c r="AH1181" s="5" t="n"/>
      <c r="AI1181" s="5" t="n"/>
      <c r="AJ1181" s="5" t="n"/>
      <c r="AK1181" s="5" t="n"/>
      <c r="AL1181" s="5" t="n"/>
      <c r="AM1181" s="5" t="n"/>
      <c r="AN1181" s="5" t="n"/>
      <c r="AO1181" s="5" t="n"/>
      <c r="AP1181" s="5" t="n"/>
      <c r="AQ1181" s="5" t="n"/>
      <c r="AR1181" s="5" t="n"/>
      <c r="AS1181" s="5" t="n"/>
      <c r="AT1181" s="5" t="n"/>
      <c r="AU1181" s="5" t="n"/>
      <c r="AV1181" s="5" t="n"/>
      <c r="AW1181" s="5" t="n"/>
      <c r="AX1181" s="5" t="n"/>
      <c r="AY1181" s="5" t="n"/>
      <c r="AZ1181" s="5" t="n"/>
      <c r="BA1181" s="5" t="n"/>
      <c r="BB1181" s="5" t="n"/>
      <c r="BC1181" s="5" t="n"/>
      <c r="BD1181" s="5" t="n"/>
      <c r="BE1181" s="5" t="n"/>
      <c r="BF1181" s="5" t="n"/>
      <c r="BG1181" s="5" t="n"/>
      <c r="BH1181" s="5" t="n"/>
      <c r="BI1181" s="5" t="n"/>
      <c r="BJ1181" s="5" t="n"/>
      <c r="BK1181" s="5" t="n"/>
      <c r="BL1181" s="5" t="n"/>
      <c r="BM1181" s="5" t="n"/>
      <c r="BN1181" s="5" t="n"/>
      <c r="BO1181" s="5" t="n"/>
      <c r="BP1181" s="5" t="n"/>
      <c r="BQ1181" s="5" t="n"/>
      <c r="BR1181" s="5" t="n"/>
      <c r="BS1181" s="5" t="n"/>
      <c r="BT1181" s="5" t="n"/>
      <c r="BU1181" s="5" t="n"/>
      <c r="BV1181" s="5" t="n"/>
      <c r="BW1181" s="5" t="n"/>
      <c r="BX1181" s="5" t="n"/>
      <c r="BY1181" s="5" t="n"/>
      <c r="BZ1181" s="5" t="n"/>
      <c r="CA1181" s="5" t="n"/>
      <c r="CB1181" s="5" t="n"/>
      <c r="CC1181" s="5" t="n"/>
      <c r="CD1181" s="5" t="n"/>
      <c r="CE1181" s="5" t="n"/>
      <c r="CF1181" s="5" t="n"/>
    </row>
    <row r="1182">
      <c r="D1182" s="172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  <c r="Q1182" s="5" t="n"/>
      <c r="R1182" s="5" t="n"/>
      <c r="S1182" s="5" t="n"/>
      <c r="T1182" s="5" t="n"/>
      <c r="U1182" s="5" t="n"/>
      <c r="V1182" s="5" t="n"/>
      <c r="W1182" s="5" t="n"/>
      <c r="X1182" s="5" t="n"/>
      <c r="Y1182" s="5" t="n"/>
      <c r="Z1182" s="5" t="n"/>
      <c r="AA1182" s="5" t="n"/>
      <c r="AB1182" s="5" t="n"/>
      <c r="AC1182" s="5" t="n"/>
      <c r="AD1182" s="5" t="n"/>
      <c r="AE1182" s="5" t="n"/>
      <c r="AF1182" s="5" t="n"/>
      <c r="AG1182" s="5" t="n"/>
      <c r="AH1182" s="5" t="n"/>
      <c r="AI1182" s="5" t="n"/>
      <c r="AJ1182" s="5" t="n"/>
      <c r="AK1182" s="5" t="n"/>
      <c r="AL1182" s="5" t="n"/>
      <c r="AM1182" s="5" t="n"/>
      <c r="AN1182" s="5" t="n"/>
      <c r="AO1182" s="5" t="n"/>
      <c r="AP1182" s="5" t="n"/>
      <c r="AQ1182" s="5" t="n"/>
      <c r="AR1182" s="5" t="n"/>
      <c r="AS1182" s="5" t="n"/>
      <c r="AT1182" s="5" t="n"/>
      <c r="AU1182" s="5" t="n"/>
      <c r="AV1182" s="5" t="n"/>
      <c r="AW1182" s="5" t="n"/>
      <c r="AX1182" s="5" t="n"/>
      <c r="AY1182" s="5" t="n"/>
      <c r="AZ1182" s="5" t="n"/>
      <c r="BA1182" s="5" t="n"/>
      <c r="BB1182" s="5" t="n"/>
      <c r="BC1182" s="5" t="n"/>
      <c r="BD1182" s="5" t="n"/>
      <c r="BE1182" s="5" t="n"/>
      <c r="BF1182" s="5" t="n"/>
      <c r="BG1182" s="5" t="n"/>
      <c r="BH1182" s="5" t="n"/>
      <c r="BI1182" s="5" t="n"/>
      <c r="BJ1182" s="5" t="n"/>
      <c r="BK1182" s="5" t="n"/>
      <c r="BL1182" s="5" t="n"/>
      <c r="BM1182" s="5" t="n"/>
      <c r="BN1182" s="5" t="n"/>
      <c r="BO1182" s="5" t="n"/>
      <c r="BP1182" s="5" t="n"/>
      <c r="BQ1182" s="5" t="n"/>
      <c r="BR1182" s="5" t="n"/>
      <c r="BS1182" s="5" t="n"/>
      <c r="BT1182" s="5" t="n"/>
      <c r="BU1182" s="5" t="n"/>
      <c r="BV1182" s="5" t="n"/>
      <c r="BW1182" s="5" t="n"/>
      <c r="BX1182" s="5" t="n"/>
      <c r="BY1182" s="5" t="n"/>
      <c r="BZ1182" s="5" t="n"/>
      <c r="CA1182" s="5" t="n"/>
      <c r="CB1182" s="5" t="n"/>
      <c r="CC1182" s="5" t="n"/>
      <c r="CD1182" s="5" t="n"/>
      <c r="CE1182" s="5" t="n"/>
      <c r="CF1182" s="5" t="n"/>
    </row>
    <row r="1183">
      <c r="D1183" s="172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  <c r="Q1183" s="5" t="n"/>
      <c r="R1183" s="5" t="n"/>
      <c r="S1183" s="5" t="n"/>
      <c r="T1183" s="5" t="n"/>
      <c r="U1183" s="5" t="n"/>
      <c r="V1183" s="5" t="n"/>
      <c r="W1183" s="5" t="n"/>
      <c r="X1183" s="5" t="n"/>
      <c r="Y1183" s="5" t="n"/>
      <c r="Z1183" s="5" t="n"/>
      <c r="AA1183" s="5" t="n"/>
      <c r="AB1183" s="5" t="n"/>
      <c r="AC1183" s="5" t="n"/>
      <c r="AD1183" s="5" t="n"/>
      <c r="AE1183" s="5" t="n"/>
      <c r="AF1183" s="5" t="n"/>
      <c r="AG1183" s="5" t="n"/>
      <c r="AH1183" s="5" t="n"/>
      <c r="AI1183" s="5" t="n"/>
      <c r="AJ1183" s="5" t="n"/>
      <c r="AK1183" s="5" t="n"/>
      <c r="AL1183" s="5" t="n"/>
      <c r="AM1183" s="5" t="n"/>
      <c r="AN1183" s="5" t="n"/>
      <c r="AO1183" s="5" t="n"/>
      <c r="AP1183" s="5" t="n"/>
      <c r="AQ1183" s="5" t="n"/>
      <c r="AR1183" s="5" t="n"/>
      <c r="AS1183" s="5" t="n"/>
      <c r="AT1183" s="5" t="n"/>
      <c r="AU1183" s="5" t="n"/>
      <c r="AV1183" s="5" t="n"/>
      <c r="AW1183" s="5" t="n"/>
      <c r="AX1183" s="5" t="n"/>
      <c r="AY1183" s="5" t="n"/>
      <c r="AZ1183" s="5" t="n"/>
      <c r="BA1183" s="5" t="n"/>
      <c r="BB1183" s="5" t="n"/>
      <c r="BC1183" s="5" t="n"/>
      <c r="BD1183" s="5" t="n"/>
      <c r="BE1183" s="5" t="n"/>
      <c r="BF1183" s="5" t="n"/>
      <c r="BG1183" s="5" t="n"/>
      <c r="BH1183" s="5" t="n"/>
      <c r="BI1183" s="5" t="n"/>
      <c r="BJ1183" s="5" t="n"/>
      <c r="BK1183" s="5" t="n"/>
      <c r="BL1183" s="5" t="n"/>
      <c r="BM1183" s="5" t="n"/>
      <c r="BN1183" s="5" t="n"/>
      <c r="BO1183" s="5" t="n"/>
      <c r="BP1183" s="5" t="n"/>
      <c r="BQ1183" s="5" t="n"/>
      <c r="BR1183" s="5" t="n"/>
      <c r="BS1183" s="5" t="n"/>
      <c r="BT1183" s="5" t="n"/>
      <c r="BU1183" s="5" t="n"/>
      <c r="BV1183" s="5" t="n"/>
      <c r="BW1183" s="5" t="n"/>
      <c r="BX1183" s="5" t="n"/>
      <c r="BY1183" s="5" t="n"/>
      <c r="BZ1183" s="5" t="n"/>
      <c r="CA1183" s="5" t="n"/>
      <c r="CB1183" s="5" t="n"/>
      <c r="CC1183" s="5" t="n"/>
      <c r="CD1183" s="5" t="n"/>
      <c r="CE1183" s="5" t="n"/>
      <c r="CF1183" s="5" t="n"/>
    </row>
    <row r="1184">
      <c r="D1184" s="172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  <c r="Q1184" s="5" t="n"/>
      <c r="R1184" s="5" t="n"/>
      <c r="S1184" s="5" t="n"/>
      <c r="T1184" s="5" t="n"/>
      <c r="U1184" s="5" t="n"/>
      <c r="V1184" s="5" t="n"/>
      <c r="W1184" s="5" t="n"/>
      <c r="X1184" s="5" t="n"/>
      <c r="Y1184" s="5" t="n"/>
      <c r="Z1184" s="5" t="n"/>
      <c r="AA1184" s="5" t="n"/>
      <c r="AB1184" s="5" t="n"/>
      <c r="AC1184" s="5" t="n"/>
      <c r="AD1184" s="5" t="n"/>
      <c r="AE1184" s="5" t="n"/>
      <c r="AF1184" s="5" t="n"/>
      <c r="AG1184" s="5" t="n"/>
      <c r="AH1184" s="5" t="n"/>
      <c r="AI1184" s="5" t="n"/>
      <c r="AJ1184" s="5" t="n"/>
      <c r="AK1184" s="5" t="n"/>
      <c r="AL1184" s="5" t="n"/>
      <c r="AM1184" s="5" t="n"/>
      <c r="AN1184" s="5" t="n"/>
      <c r="AO1184" s="5" t="n"/>
      <c r="AP1184" s="5" t="n"/>
      <c r="AQ1184" s="5" t="n"/>
      <c r="AR1184" s="5" t="n"/>
      <c r="AS1184" s="5" t="n"/>
      <c r="AT1184" s="5" t="n"/>
      <c r="AU1184" s="5" t="n"/>
      <c r="AV1184" s="5" t="n"/>
      <c r="AW1184" s="5" t="n"/>
      <c r="AX1184" s="5" t="n"/>
      <c r="AY1184" s="5" t="n"/>
      <c r="AZ1184" s="5" t="n"/>
      <c r="BA1184" s="5" t="n"/>
      <c r="BB1184" s="5" t="n"/>
      <c r="BC1184" s="5" t="n"/>
      <c r="BD1184" s="5" t="n"/>
      <c r="BE1184" s="5" t="n"/>
      <c r="BF1184" s="5" t="n"/>
      <c r="BG1184" s="5" t="n"/>
      <c r="BH1184" s="5" t="n"/>
      <c r="BI1184" s="5" t="n"/>
      <c r="BJ1184" s="5" t="n"/>
      <c r="BK1184" s="5" t="n"/>
      <c r="BL1184" s="5" t="n"/>
      <c r="BM1184" s="5" t="n"/>
      <c r="BN1184" s="5" t="n"/>
      <c r="BO1184" s="5" t="n"/>
      <c r="BP1184" s="5" t="n"/>
      <c r="BQ1184" s="5" t="n"/>
      <c r="BR1184" s="5" t="n"/>
      <c r="BS1184" s="5" t="n"/>
      <c r="BT1184" s="5" t="n"/>
      <c r="BU1184" s="5" t="n"/>
      <c r="BV1184" s="5" t="n"/>
      <c r="BW1184" s="5" t="n"/>
      <c r="BX1184" s="5" t="n"/>
      <c r="BY1184" s="5" t="n"/>
      <c r="BZ1184" s="5" t="n"/>
      <c r="CA1184" s="5" t="n"/>
      <c r="CB1184" s="5" t="n"/>
      <c r="CC1184" s="5" t="n"/>
      <c r="CD1184" s="5" t="n"/>
      <c r="CE1184" s="5" t="n"/>
      <c r="CF1184" s="5" t="n"/>
    </row>
    <row r="1185">
      <c r="D1185" s="172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  <c r="Q1185" s="5" t="n"/>
      <c r="R1185" s="5" t="n"/>
      <c r="S1185" s="5" t="n"/>
      <c r="T1185" s="5" t="n"/>
      <c r="U1185" s="5" t="n"/>
      <c r="V1185" s="5" t="n"/>
      <c r="W1185" s="5" t="n"/>
      <c r="X1185" s="5" t="n"/>
      <c r="Y1185" s="5" t="n"/>
      <c r="Z1185" s="5" t="n"/>
      <c r="AA1185" s="5" t="n"/>
      <c r="AB1185" s="5" t="n"/>
      <c r="AC1185" s="5" t="n"/>
      <c r="AD1185" s="5" t="n"/>
      <c r="AE1185" s="5" t="n"/>
      <c r="AF1185" s="5" t="n"/>
      <c r="AG1185" s="5" t="n"/>
      <c r="AH1185" s="5" t="n"/>
      <c r="AI1185" s="5" t="n"/>
      <c r="AJ1185" s="5" t="n"/>
      <c r="AK1185" s="5" t="n"/>
      <c r="AL1185" s="5" t="n"/>
      <c r="AM1185" s="5" t="n"/>
      <c r="AN1185" s="5" t="n"/>
      <c r="AO1185" s="5" t="n"/>
      <c r="AP1185" s="5" t="n"/>
      <c r="AQ1185" s="5" t="n"/>
      <c r="AR1185" s="5" t="n"/>
      <c r="AS1185" s="5" t="n"/>
      <c r="AT1185" s="5" t="n"/>
      <c r="AU1185" s="5" t="n"/>
      <c r="AV1185" s="5" t="n"/>
      <c r="AW1185" s="5" t="n"/>
      <c r="AX1185" s="5" t="n"/>
      <c r="AY1185" s="5" t="n"/>
      <c r="AZ1185" s="5" t="n"/>
      <c r="BA1185" s="5" t="n"/>
      <c r="BB1185" s="5" t="n"/>
      <c r="BC1185" s="5" t="n"/>
      <c r="BD1185" s="5" t="n"/>
      <c r="BE1185" s="5" t="n"/>
      <c r="BF1185" s="5" t="n"/>
      <c r="BG1185" s="5" t="n"/>
      <c r="BH1185" s="5" t="n"/>
      <c r="BI1185" s="5" t="n"/>
      <c r="BJ1185" s="5" t="n"/>
      <c r="BK1185" s="5" t="n"/>
      <c r="BL1185" s="5" t="n"/>
      <c r="BM1185" s="5" t="n"/>
      <c r="BN1185" s="5" t="n"/>
      <c r="BO1185" s="5" t="n"/>
      <c r="BP1185" s="5" t="n"/>
      <c r="BQ1185" s="5" t="n"/>
      <c r="BR1185" s="5" t="n"/>
      <c r="BS1185" s="5" t="n"/>
      <c r="BT1185" s="5" t="n"/>
      <c r="BU1185" s="5" t="n"/>
      <c r="BV1185" s="5" t="n"/>
      <c r="BW1185" s="5" t="n"/>
      <c r="BX1185" s="5" t="n"/>
      <c r="BY1185" s="5" t="n"/>
      <c r="BZ1185" s="5" t="n"/>
      <c r="CA1185" s="5" t="n"/>
      <c r="CB1185" s="5" t="n"/>
      <c r="CC1185" s="5" t="n"/>
      <c r="CD1185" s="5" t="n"/>
      <c r="CE1185" s="5" t="n"/>
      <c r="CF1185" s="5" t="n"/>
    </row>
    <row r="1186">
      <c r="D1186" s="172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  <c r="Q1186" s="5" t="n"/>
      <c r="R1186" s="5" t="n"/>
      <c r="S1186" s="5" t="n"/>
      <c r="T1186" s="5" t="n"/>
      <c r="U1186" s="5" t="n"/>
      <c r="V1186" s="5" t="n"/>
      <c r="W1186" s="5" t="n"/>
      <c r="X1186" s="5" t="n"/>
      <c r="Y1186" s="5" t="n"/>
      <c r="Z1186" s="5" t="n"/>
      <c r="AA1186" s="5" t="n"/>
      <c r="AB1186" s="5" t="n"/>
      <c r="AC1186" s="5" t="n"/>
      <c r="AD1186" s="5" t="n"/>
      <c r="AE1186" s="5" t="n"/>
      <c r="AF1186" s="5" t="n"/>
      <c r="AG1186" s="5" t="n"/>
      <c r="AH1186" s="5" t="n"/>
      <c r="AI1186" s="5" t="n"/>
      <c r="AJ1186" s="5" t="n"/>
      <c r="AK1186" s="5" t="n"/>
      <c r="AL1186" s="5" t="n"/>
      <c r="AM1186" s="5" t="n"/>
      <c r="AN1186" s="5" t="n"/>
      <c r="AO1186" s="5" t="n"/>
      <c r="AP1186" s="5" t="n"/>
      <c r="AQ1186" s="5" t="n"/>
      <c r="AR1186" s="5" t="n"/>
      <c r="AS1186" s="5" t="n"/>
      <c r="AT1186" s="5" t="n"/>
      <c r="AU1186" s="5" t="n"/>
      <c r="AV1186" s="5" t="n"/>
      <c r="AW1186" s="5" t="n"/>
      <c r="AX1186" s="5" t="n"/>
      <c r="AY1186" s="5" t="n"/>
      <c r="AZ1186" s="5" t="n"/>
      <c r="BA1186" s="5" t="n"/>
      <c r="BB1186" s="5" t="n"/>
      <c r="BC1186" s="5" t="n"/>
      <c r="BD1186" s="5" t="n"/>
      <c r="BE1186" s="5" t="n"/>
      <c r="BF1186" s="5" t="n"/>
      <c r="BG1186" s="5" t="n"/>
      <c r="BH1186" s="5" t="n"/>
      <c r="BI1186" s="5" t="n"/>
      <c r="BJ1186" s="5" t="n"/>
      <c r="BK1186" s="5" t="n"/>
      <c r="BL1186" s="5" t="n"/>
      <c r="BM1186" s="5" t="n"/>
      <c r="BN1186" s="5" t="n"/>
      <c r="BO1186" s="5" t="n"/>
      <c r="BP1186" s="5" t="n"/>
      <c r="BQ1186" s="5" t="n"/>
      <c r="BR1186" s="5" t="n"/>
      <c r="BS1186" s="5" t="n"/>
      <c r="BT1186" s="5" t="n"/>
      <c r="BU1186" s="5" t="n"/>
      <c r="BV1186" s="5" t="n"/>
      <c r="BW1186" s="5" t="n"/>
      <c r="BX1186" s="5" t="n"/>
      <c r="BY1186" s="5" t="n"/>
      <c r="BZ1186" s="5" t="n"/>
      <c r="CA1186" s="5" t="n"/>
      <c r="CB1186" s="5" t="n"/>
      <c r="CC1186" s="5" t="n"/>
      <c r="CD1186" s="5" t="n"/>
      <c r="CE1186" s="5" t="n"/>
      <c r="CF1186" s="5" t="n"/>
    </row>
    <row r="1187">
      <c r="D1187" s="172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  <c r="Q1187" s="5" t="n"/>
      <c r="R1187" s="5" t="n"/>
      <c r="S1187" s="5" t="n"/>
      <c r="T1187" s="5" t="n"/>
      <c r="U1187" s="5" t="n"/>
      <c r="V1187" s="5" t="n"/>
      <c r="W1187" s="5" t="n"/>
      <c r="X1187" s="5" t="n"/>
      <c r="Y1187" s="5" t="n"/>
      <c r="Z1187" s="5" t="n"/>
      <c r="AA1187" s="5" t="n"/>
      <c r="AB1187" s="5" t="n"/>
      <c r="AC1187" s="5" t="n"/>
      <c r="AD1187" s="5" t="n"/>
      <c r="AE1187" s="5" t="n"/>
      <c r="AF1187" s="5" t="n"/>
      <c r="AG1187" s="5" t="n"/>
      <c r="AH1187" s="5" t="n"/>
      <c r="AI1187" s="5" t="n"/>
      <c r="AJ1187" s="5" t="n"/>
      <c r="AK1187" s="5" t="n"/>
      <c r="AL1187" s="5" t="n"/>
      <c r="AM1187" s="5" t="n"/>
      <c r="AN1187" s="5" t="n"/>
      <c r="AO1187" s="5" t="n"/>
      <c r="AP1187" s="5" t="n"/>
      <c r="AQ1187" s="5" t="n"/>
      <c r="AR1187" s="5" t="n"/>
      <c r="AS1187" s="5" t="n"/>
      <c r="AT1187" s="5" t="n"/>
      <c r="AU1187" s="5" t="n"/>
      <c r="AV1187" s="5" t="n"/>
      <c r="AW1187" s="5" t="n"/>
      <c r="AX1187" s="5" t="n"/>
      <c r="AY1187" s="5" t="n"/>
      <c r="AZ1187" s="5" t="n"/>
      <c r="BA1187" s="5" t="n"/>
      <c r="BB1187" s="5" t="n"/>
      <c r="BC1187" s="5" t="n"/>
      <c r="BD1187" s="5" t="n"/>
      <c r="BE1187" s="5" t="n"/>
      <c r="BF1187" s="5" t="n"/>
      <c r="BG1187" s="5" t="n"/>
      <c r="BH1187" s="5" t="n"/>
      <c r="BI1187" s="5" t="n"/>
      <c r="BJ1187" s="5" t="n"/>
      <c r="BK1187" s="5" t="n"/>
      <c r="BL1187" s="5" t="n"/>
      <c r="BM1187" s="5" t="n"/>
      <c r="BN1187" s="5" t="n"/>
      <c r="BO1187" s="5" t="n"/>
      <c r="BP1187" s="5" t="n"/>
      <c r="BQ1187" s="5" t="n"/>
      <c r="BR1187" s="5" t="n"/>
      <c r="BS1187" s="5" t="n"/>
      <c r="BT1187" s="5" t="n"/>
      <c r="BU1187" s="5" t="n"/>
      <c r="BV1187" s="5" t="n"/>
      <c r="BW1187" s="5" t="n"/>
      <c r="BX1187" s="5" t="n"/>
      <c r="BY1187" s="5" t="n"/>
      <c r="BZ1187" s="5" t="n"/>
      <c r="CA1187" s="5" t="n"/>
      <c r="CB1187" s="5" t="n"/>
      <c r="CC1187" s="5" t="n"/>
      <c r="CD1187" s="5" t="n"/>
      <c r="CE1187" s="5" t="n"/>
      <c r="CF1187" s="5" t="n"/>
    </row>
    <row r="1188">
      <c r="D1188" s="172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  <c r="Q1188" s="5" t="n"/>
      <c r="R1188" s="5" t="n"/>
      <c r="S1188" s="5" t="n"/>
      <c r="T1188" s="5" t="n"/>
      <c r="U1188" s="5" t="n"/>
      <c r="V1188" s="5" t="n"/>
      <c r="W1188" s="5" t="n"/>
      <c r="X1188" s="5" t="n"/>
      <c r="Y1188" s="5" t="n"/>
      <c r="Z1188" s="5" t="n"/>
      <c r="AA1188" s="5" t="n"/>
      <c r="AB1188" s="5" t="n"/>
      <c r="AC1188" s="5" t="n"/>
      <c r="AD1188" s="5" t="n"/>
      <c r="AE1188" s="5" t="n"/>
      <c r="AF1188" s="5" t="n"/>
      <c r="AG1188" s="5" t="n"/>
      <c r="AH1188" s="5" t="n"/>
      <c r="AI1188" s="5" t="n"/>
      <c r="AJ1188" s="5" t="n"/>
      <c r="AK1188" s="5" t="n"/>
      <c r="AL1188" s="5" t="n"/>
      <c r="AM1188" s="5" t="n"/>
      <c r="AN1188" s="5" t="n"/>
      <c r="AO1188" s="5" t="n"/>
      <c r="AP1188" s="5" t="n"/>
      <c r="AQ1188" s="5" t="n"/>
      <c r="AR1188" s="5" t="n"/>
      <c r="AS1188" s="5" t="n"/>
      <c r="AT1188" s="5" t="n"/>
      <c r="AU1188" s="5" t="n"/>
      <c r="AV1188" s="5" t="n"/>
      <c r="AW1188" s="5" t="n"/>
      <c r="AX1188" s="5" t="n"/>
      <c r="AY1188" s="5" t="n"/>
      <c r="AZ1188" s="5" t="n"/>
      <c r="BA1188" s="5" t="n"/>
      <c r="BB1188" s="5" t="n"/>
      <c r="BC1188" s="5" t="n"/>
      <c r="BD1188" s="5" t="n"/>
      <c r="BE1188" s="5" t="n"/>
      <c r="BF1188" s="5" t="n"/>
      <c r="BG1188" s="5" t="n"/>
      <c r="BH1188" s="5" t="n"/>
      <c r="BI1188" s="5" t="n"/>
      <c r="BJ1188" s="5" t="n"/>
      <c r="BK1188" s="5" t="n"/>
      <c r="BL1188" s="5" t="n"/>
      <c r="BM1188" s="5" t="n"/>
      <c r="BN1188" s="5" t="n"/>
      <c r="BO1188" s="5" t="n"/>
      <c r="BP1188" s="5" t="n"/>
      <c r="BQ1188" s="5" t="n"/>
      <c r="BR1188" s="5" t="n"/>
      <c r="BS1188" s="5" t="n"/>
      <c r="BT1188" s="5" t="n"/>
      <c r="BU1188" s="5" t="n"/>
      <c r="BV1188" s="5" t="n"/>
      <c r="BW1188" s="5" t="n"/>
      <c r="BX1188" s="5" t="n"/>
      <c r="BY1188" s="5" t="n"/>
      <c r="BZ1188" s="5" t="n"/>
      <c r="CA1188" s="5" t="n"/>
      <c r="CB1188" s="5" t="n"/>
      <c r="CC1188" s="5" t="n"/>
      <c r="CD1188" s="5" t="n"/>
      <c r="CE1188" s="5" t="n"/>
      <c r="CF1188" s="5" t="n"/>
    </row>
    <row r="1189">
      <c r="D1189" s="172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  <c r="Q1189" s="5" t="n"/>
      <c r="R1189" s="5" t="n"/>
      <c r="S1189" s="5" t="n"/>
      <c r="T1189" s="5" t="n"/>
      <c r="U1189" s="5" t="n"/>
      <c r="V1189" s="5" t="n"/>
      <c r="W1189" s="5" t="n"/>
      <c r="X1189" s="5" t="n"/>
      <c r="Y1189" s="5" t="n"/>
      <c r="Z1189" s="5" t="n"/>
      <c r="AA1189" s="5" t="n"/>
      <c r="AB1189" s="5" t="n"/>
      <c r="AC1189" s="5" t="n"/>
      <c r="AD1189" s="5" t="n"/>
      <c r="AE1189" s="5" t="n"/>
      <c r="AF1189" s="5" t="n"/>
      <c r="AG1189" s="5" t="n"/>
      <c r="AH1189" s="5" t="n"/>
      <c r="AI1189" s="5" t="n"/>
      <c r="AJ1189" s="5" t="n"/>
      <c r="AK1189" s="5" t="n"/>
      <c r="AL1189" s="5" t="n"/>
      <c r="AM1189" s="5" t="n"/>
      <c r="AN1189" s="5" t="n"/>
      <c r="AO1189" s="5" t="n"/>
      <c r="AP1189" s="5" t="n"/>
      <c r="AQ1189" s="5" t="n"/>
      <c r="AR1189" s="5" t="n"/>
      <c r="AS1189" s="5" t="n"/>
      <c r="AT1189" s="5" t="n"/>
      <c r="AU1189" s="5" t="n"/>
      <c r="AV1189" s="5" t="n"/>
      <c r="AW1189" s="5" t="n"/>
      <c r="AX1189" s="5" t="n"/>
      <c r="AY1189" s="5" t="n"/>
      <c r="AZ1189" s="5" t="n"/>
      <c r="BA1189" s="5" t="n"/>
      <c r="BB1189" s="5" t="n"/>
      <c r="BC1189" s="5" t="n"/>
      <c r="BD1189" s="5" t="n"/>
      <c r="BE1189" s="5" t="n"/>
      <c r="BF1189" s="5" t="n"/>
      <c r="BG1189" s="5" t="n"/>
      <c r="BH1189" s="5" t="n"/>
      <c r="BI1189" s="5" t="n"/>
      <c r="BJ1189" s="5" t="n"/>
      <c r="BK1189" s="5" t="n"/>
      <c r="BL1189" s="5" t="n"/>
      <c r="BM1189" s="5" t="n"/>
      <c r="BN1189" s="5" t="n"/>
      <c r="BO1189" s="5" t="n"/>
      <c r="BP1189" s="5" t="n"/>
      <c r="BQ1189" s="5" t="n"/>
      <c r="BR1189" s="5" t="n"/>
      <c r="BS1189" s="5" t="n"/>
      <c r="BT1189" s="5" t="n"/>
      <c r="BU1189" s="5" t="n"/>
      <c r="BV1189" s="5" t="n"/>
      <c r="BW1189" s="5" t="n"/>
      <c r="BX1189" s="5" t="n"/>
      <c r="BY1189" s="5" t="n"/>
      <c r="BZ1189" s="5" t="n"/>
      <c r="CA1189" s="5" t="n"/>
      <c r="CB1189" s="5" t="n"/>
      <c r="CC1189" s="5" t="n"/>
      <c r="CD1189" s="5" t="n"/>
      <c r="CE1189" s="5" t="n"/>
      <c r="CF1189" s="5" t="n"/>
    </row>
    <row r="1190">
      <c r="D1190" s="172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  <c r="Q1190" s="5" t="n"/>
      <c r="R1190" s="5" t="n"/>
      <c r="S1190" s="5" t="n"/>
      <c r="T1190" s="5" t="n"/>
      <c r="U1190" s="5" t="n"/>
      <c r="V1190" s="5" t="n"/>
      <c r="W1190" s="5" t="n"/>
      <c r="X1190" s="5" t="n"/>
      <c r="Y1190" s="5" t="n"/>
      <c r="Z1190" s="5" t="n"/>
      <c r="AA1190" s="5" t="n"/>
      <c r="AB1190" s="5" t="n"/>
      <c r="AC1190" s="5" t="n"/>
      <c r="AD1190" s="5" t="n"/>
      <c r="AE1190" s="5" t="n"/>
      <c r="AF1190" s="5" t="n"/>
      <c r="AG1190" s="5" t="n"/>
      <c r="AH1190" s="5" t="n"/>
      <c r="AI1190" s="5" t="n"/>
      <c r="AJ1190" s="5" t="n"/>
      <c r="AK1190" s="5" t="n"/>
      <c r="AL1190" s="5" t="n"/>
      <c r="AM1190" s="5" t="n"/>
      <c r="AN1190" s="5" t="n"/>
      <c r="AO1190" s="5" t="n"/>
      <c r="AP1190" s="5" t="n"/>
      <c r="AQ1190" s="5" t="n"/>
      <c r="AR1190" s="5" t="n"/>
      <c r="AS1190" s="5" t="n"/>
      <c r="AT1190" s="5" t="n"/>
      <c r="AU1190" s="5" t="n"/>
      <c r="AV1190" s="5" t="n"/>
      <c r="AW1190" s="5" t="n"/>
      <c r="AX1190" s="5" t="n"/>
      <c r="AY1190" s="5" t="n"/>
      <c r="AZ1190" s="5" t="n"/>
      <c r="BA1190" s="5" t="n"/>
      <c r="BB1190" s="5" t="n"/>
      <c r="BC1190" s="5" t="n"/>
      <c r="BD1190" s="5" t="n"/>
      <c r="BE1190" s="5" t="n"/>
      <c r="BF1190" s="5" t="n"/>
      <c r="BG1190" s="5" t="n"/>
      <c r="BH1190" s="5" t="n"/>
      <c r="BI1190" s="5" t="n"/>
      <c r="BJ1190" s="5" t="n"/>
      <c r="BK1190" s="5" t="n"/>
      <c r="BL1190" s="5" t="n"/>
      <c r="BM1190" s="5" t="n"/>
      <c r="BN1190" s="5" t="n"/>
      <c r="BO1190" s="5" t="n"/>
      <c r="BP1190" s="5" t="n"/>
      <c r="BQ1190" s="5" t="n"/>
      <c r="BR1190" s="5" t="n"/>
      <c r="BS1190" s="5" t="n"/>
      <c r="BT1190" s="5" t="n"/>
      <c r="BU1190" s="5" t="n"/>
      <c r="BV1190" s="5" t="n"/>
      <c r="BW1190" s="5" t="n"/>
      <c r="BX1190" s="5" t="n"/>
      <c r="BY1190" s="5" t="n"/>
      <c r="BZ1190" s="5" t="n"/>
      <c r="CA1190" s="5" t="n"/>
      <c r="CB1190" s="5" t="n"/>
      <c r="CC1190" s="5" t="n"/>
      <c r="CD1190" s="5" t="n"/>
      <c r="CE1190" s="5" t="n"/>
      <c r="CF1190" s="5" t="n"/>
    </row>
    <row r="1191">
      <c r="D1191" s="172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  <c r="Q1191" s="5" t="n"/>
      <c r="R1191" s="5" t="n"/>
      <c r="S1191" s="5" t="n"/>
      <c r="T1191" s="5" t="n"/>
      <c r="U1191" s="5" t="n"/>
      <c r="V1191" s="5" t="n"/>
      <c r="W1191" s="5" t="n"/>
      <c r="X1191" s="5" t="n"/>
      <c r="Y1191" s="5" t="n"/>
      <c r="Z1191" s="5" t="n"/>
      <c r="AA1191" s="5" t="n"/>
      <c r="AB1191" s="5" t="n"/>
      <c r="AC1191" s="5" t="n"/>
      <c r="AD1191" s="5" t="n"/>
      <c r="AE1191" s="5" t="n"/>
      <c r="AF1191" s="5" t="n"/>
      <c r="AG1191" s="5" t="n"/>
      <c r="AH1191" s="5" t="n"/>
      <c r="AI1191" s="5" t="n"/>
      <c r="AJ1191" s="5" t="n"/>
      <c r="AK1191" s="5" t="n"/>
      <c r="AL1191" s="5" t="n"/>
      <c r="AM1191" s="5" t="n"/>
      <c r="AN1191" s="5" t="n"/>
      <c r="AO1191" s="5" t="n"/>
      <c r="AP1191" s="5" t="n"/>
      <c r="AQ1191" s="5" t="n"/>
      <c r="AR1191" s="5" t="n"/>
      <c r="AS1191" s="5" t="n"/>
      <c r="AT1191" s="5" t="n"/>
      <c r="AU1191" s="5" t="n"/>
      <c r="AV1191" s="5" t="n"/>
      <c r="AW1191" s="5" t="n"/>
      <c r="AX1191" s="5" t="n"/>
      <c r="AY1191" s="5" t="n"/>
      <c r="AZ1191" s="5" t="n"/>
      <c r="BA1191" s="5" t="n"/>
      <c r="BB1191" s="5" t="n"/>
      <c r="BC1191" s="5" t="n"/>
      <c r="BD1191" s="5" t="n"/>
      <c r="BE1191" s="5" t="n"/>
      <c r="BF1191" s="5" t="n"/>
      <c r="BG1191" s="5" t="n"/>
      <c r="BH1191" s="5" t="n"/>
      <c r="BI1191" s="5" t="n"/>
      <c r="BJ1191" s="5" t="n"/>
      <c r="BK1191" s="5" t="n"/>
      <c r="BL1191" s="5" t="n"/>
      <c r="BM1191" s="5" t="n"/>
      <c r="BN1191" s="5" t="n"/>
      <c r="BO1191" s="5" t="n"/>
      <c r="BP1191" s="5" t="n"/>
      <c r="BQ1191" s="5" t="n"/>
      <c r="BR1191" s="5" t="n"/>
      <c r="BS1191" s="5" t="n"/>
      <c r="BT1191" s="5" t="n"/>
      <c r="BU1191" s="5" t="n"/>
      <c r="BV1191" s="5" t="n"/>
      <c r="BW1191" s="5" t="n"/>
      <c r="BX1191" s="5" t="n"/>
      <c r="BY1191" s="5" t="n"/>
      <c r="BZ1191" s="5" t="n"/>
      <c r="CA1191" s="5" t="n"/>
      <c r="CB1191" s="5" t="n"/>
      <c r="CC1191" s="5" t="n"/>
      <c r="CD1191" s="5" t="n"/>
      <c r="CE1191" s="5" t="n"/>
      <c r="CF1191" s="5" t="n"/>
    </row>
    <row r="1192">
      <c r="D1192" s="172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  <c r="Q1192" s="5" t="n"/>
      <c r="R1192" s="5" t="n"/>
      <c r="S1192" s="5" t="n"/>
      <c r="T1192" s="5" t="n"/>
      <c r="U1192" s="5" t="n"/>
      <c r="V1192" s="5" t="n"/>
      <c r="W1192" s="5" t="n"/>
      <c r="X1192" s="5" t="n"/>
      <c r="Y1192" s="5" t="n"/>
      <c r="Z1192" s="5" t="n"/>
      <c r="AA1192" s="5" t="n"/>
      <c r="AB1192" s="5" t="n"/>
      <c r="AC1192" s="5" t="n"/>
      <c r="AD1192" s="5" t="n"/>
      <c r="AE1192" s="5" t="n"/>
      <c r="AF1192" s="5" t="n"/>
      <c r="AG1192" s="5" t="n"/>
      <c r="AH1192" s="5" t="n"/>
      <c r="AI1192" s="5" t="n"/>
      <c r="AJ1192" s="5" t="n"/>
      <c r="AK1192" s="5" t="n"/>
      <c r="AL1192" s="5" t="n"/>
      <c r="AM1192" s="5" t="n"/>
      <c r="AN1192" s="5" t="n"/>
      <c r="AO1192" s="5" t="n"/>
      <c r="AP1192" s="5" t="n"/>
      <c r="AQ1192" s="5" t="n"/>
      <c r="AR1192" s="5" t="n"/>
      <c r="AS1192" s="5" t="n"/>
      <c r="AT1192" s="5" t="n"/>
      <c r="AU1192" s="5" t="n"/>
      <c r="AV1192" s="5" t="n"/>
      <c r="AW1192" s="5" t="n"/>
      <c r="AX1192" s="5" t="n"/>
      <c r="AY1192" s="5" t="n"/>
      <c r="AZ1192" s="5" t="n"/>
      <c r="BA1192" s="5" t="n"/>
      <c r="BB1192" s="5" t="n"/>
      <c r="BC1192" s="5" t="n"/>
      <c r="BD1192" s="5" t="n"/>
      <c r="BE1192" s="5" t="n"/>
      <c r="BF1192" s="5" t="n"/>
      <c r="BG1192" s="5" t="n"/>
      <c r="BH1192" s="5" t="n"/>
      <c r="BI1192" s="5" t="n"/>
      <c r="BJ1192" s="5" t="n"/>
      <c r="BK1192" s="5" t="n"/>
      <c r="BL1192" s="5" t="n"/>
      <c r="BM1192" s="5" t="n"/>
      <c r="BN1192" s="5" t="n"/>
      <c r="BO1192" s="5" t="n"/>
      <c r="BP1192" s="5" t="n"/>
      <c r="BQ1192" s="5" t="n"/>
      <c r="BR1192" s="5" t="n"/>
      <c r="BS1192" s="5" t="n"/>
      <c r="BT1192" s="5" t="n"/>
      <c r="BU1192" s="5" t="n"/>
      <c r="BV1192" s="5" t="n"/>
      <c r="BW1192" s="5" t="n"/>
      <c r="BX1192" s="5" t="n"/>
      <c r="BY1192" s="5" t="n"/>
      <c r="BZ1192" s="5" t="n"/>
      <c r="CA1192" s="5" t="n"/>
      <c r="CB1192" s="5" t="n"/>
      <c r="CC1192" s="5" t="n"/>
      <c r="CD1192" s="5" t="n"/>
      <c r="CE1192" s="5" t="n"/>
      <c r="CF1192" s="5" t="n"/>
    </row>
    <row r="1193">
      <c r="D1193" s="172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  <c r="Q1193" s="5" t="n"/>
      <c r="R1193" s="5" t="n"/>
      <c r="S1193" s="5" t="n"/>
      <c r="T1193" s="5" t="n"/>
      <c r="U1193" s="5" t="n"/>
      <c r="V1193" s="5" t="n"/>
      <c r="W1193" s="5" t="n"/>
      <c r="X1193" s="5" t="n"/>
      <c r="Y1193" s="5" t="n"/>
      <c r="Z1193" s="5" t="n"/>
      <c r="AA1193" s="5" t="n"/>
      <c r="AB1193" s="5" t="n"/>
      <c r="AC1193" s="5" t="n"/>
      <c r="AD1193" s="5" t="n"/>
      <c r="AE1193" s="5" t="n"/>
      <c r="AF1193" s="5" t="n"/>
      <c r="AG1193" s="5" t="n"/>
      <c r="AH1193" s="5" t="n"/>
      <c r="AI1193" s="5" t="n"/>
      <c r="AJ1193" s="5" t="n"/>
      <c r="AK1193" s="5" t="n"/>
      <c r="AL1193" s="5" t="n"/>
      <c r="AM1193" s="5" t="n"/>
      <c r="AN1193" s="5" t="n"/>
      <c r="AO1193" s="5" t="n"/>
      <c r="AP1193" s="5" t="n"/>
      <c r="AQ1193" s="5" t="n"/>
      <c r="AR1193" s="5" t="n"/>
      <c r="AS1193" s="5" t="n"/>
      <c r="AT1193" s="5" t="n"/>
      <c r="AU1193" s="5" t="n"/>
      <c r="AV1193" s="5" t="n"/>
      <c r="AW1193" s="5" t="n"/>
      <c r="AX1193" s="5" t="n"/>
      <c r="AY1193" s="5" t="n"/>
      <c r="AZ1193" s="5" t="n"/>
      <c r="BA1193" s="5" t="n"/>
      <c r="BB1193" s="5" t="n"/>
      <c r="BC1193" s="5" t="n"/>
      <c r="BD1193" s="5" t="n"/>
      <c r="BE1193" s="5" t="n"/>
      <c r="BF1193" s="5" t="n"/>
      <c r="BG1193" s="5" t="n"/>
      <c r="BH1193" s="5" t="n"/>
      <c r="BI1193" s="5" t="n"/>
      <c r="BJ1193" s="5" t="n"/>
      <c r="BK1193" s="5" t="n"/>
      <c r="BL1193" s="5" t="n"/>
      <c r="BM1193" s="5" t="n"/>
      <c r="BN1193" s="5" t="n"/>
      <c r="BO1193" s="5" t="n"/>
      <c r="BP1193" s="5" t="n"/>
      <c r="BQ1193" s="5" t="n"/>
      <c r="BR1193" s="5" t="n"/>
      <c r="BS1193" s="5" t="n"/>
      <c r="BT1193" s="5" t="n"/>
      <c r="BU1193" s="5" t="n"/>
      <c r="BV1193" s="5" t="n"/>
      <c r="BW1193" s="5" t="n"/>
      <c r="BX1193" s="5" t="n"/>
      <c r="BY1193" s="5" t="n"/>
      <c r="BZ1193" s="5" t="n"/>
      <c r="CA1193" s="5" t="n"/>
      <c r="CB1193" s="5" t="n"/>
      <c r="CC1193" s="5" t="n"/>
      <c r="CD1193" s="5" t="n"/>
      <c r="CE1193" s="5" t="n"/>
      <c r="CF1193" s="5" t="n"/>
    </row>
    <row r="1194">
      <c r="D1194" s="172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  <c r="Q1194" s="5" t="n"/>
      <c r="R1194" s="5" t="n"/>
      <c r="S1194" s="5" t="n"/>
      <c r="T1194" s="5" t="n"/>
      <c r="U1194" s="5" t="n"/>
      <c r="V1194" s="5" t="n"/>
      <c r="W1194" s="5" t="n"/>
      <c r="X1194" s="5" t="n"/>
      <c r="Y1194" s="5" t="n"/>
      <c r="Z1194" s="5" t="n"/>
      <c r="AA1194" s="5" t="n"/>
      <c r="AB1194" s="5" t="n"/>
      <c r="AC1194" s="5" t="n"/>
      <c r="AD1194" s="5" t="n"/>
      <c r="AE1194" s="5" t="n"/>
      <c r="AF1194" s="5" t="n"/>
      <c r="AG1194" s="5" t="n"/>
      <c r="AH1194" s="5" t="n"/>
      <c r="AI1194" s="5" t="n"/>
      <c r="AJ1194" s="5" t="n"/>
      <c r="AK1194" s="5" t="n"/>
      <c r="AL1194" s="5" t="n"/>
      <c r="AM1194" s="5" t="n"/>
      <c r="AN1194" s="5" t="n"/>
      <c r="AO1194" s="5" t="n"/>
      <c r="AP1194" s="5" t="n"/>
      <c r="AQ1194" s="5" t="n"/>
      <c r="AR1194" s="5" t="n"/>
      <c r="AS1194" s="5" t="n"/>
      <c r="AT1194" s="5" t="n"/>
      <c r="AU1194" s="5" t="n"/>
      <c r="AV1194" s="5" t="n"/>
      <c r="AW1194" s="5" t="n"/>
      <c r="AX1194" s="5" t="n"/>
      <c r="AY1194" s="5" t="n"/>
      <c r="AZ1194" s="5" t="n"/>
      <c r="BA1194" s="5" t="n"/>
      <c r="BB1194" s="5" t="n"/>
      <c r="BC1194" s="5" t="n"/>
      <c r="BD1194" s="5" t="n"/>
      <c r="BE1194" s="5" t="n"/>
      <c r="BF1194" s="5" t="n"/>
      <c r="BG1194" s="5" t="n"/>
      <c r="BH1194" s="5" t="n"/>
      <c r="BI1194" s="5" t="n"/>
      <c r="BJ1194" s="5" t="n"/>
      <c r="BK1194" s="5" t="n"/>
      <c r="BL1194" s="5" t="n"/>
      <c r="BM1194" s="5" t="n"/>
      <c r="BN1194" s="5" t="n"/>
      <c r="BO1194" s="5" t="n"/>
      <c r="BP1194" s="5" t="n"/>
      <c r="BQ1194" s="5" t="n"/>
      <c r="BR1194" s="5" t="n"/>
      <c r="BS1194" s="5" t="n"/>
      <c r="BT1194" s="5" t="n"/>
      <c r="BU1194" s="5" t="n"/>
      <c r="BV1194" s="5" t="n"/>
      <c r="BW1194" s="5" t="n"/>
      <c r="BX1194" s="5" t="n"/>
      <c r="BY1194" s="5" t="n"/>
      <c r="BZ1194" s="5" t="n"/>
      <c r="CA1194" s="5" t="n"/>
      <c r="CB1194" s="5" t="n"/>
      <c r="CC1194" s="5" t="n"/>
      <c r="CD1194" s="5" t="n"/>
      <c r="CE1194" s="5" t="n"/>
      <c r="CF1194" s="5" t="n"/>
    </row>
    <row r="1195">
      <c r="D1195" s="172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  <c r="Q1195" s="5" t="n"/>
      <c r="R1195" s="5" t="n"/>
      <c r="S1195" s="5" t="n"/>
      <c r="T1195" s="5" t="n"/>
      <c r="U1195" s="5" t="n"/>
      <c r="V1195" s="5" t="n"/>
      <c r="W1195" s="5" t="n"/>
      <c r="X1195" s="5" t="n"/>
      <c r="Y1195" s="5" t="n"/>
      <c r="Z1195" s="5" t="n"/>
      <c r="AA1195" s="5" t="n"/>
      <c r="AB1195" s="5" t="n"/>
      <c r="AC1195" s="5" t="n"/>
      <c r="AD1195" s="5" t="n"/>
      <c r="AE1195" s="5" t="n"/>
      <c r="AF1195" s="5" t="n"/>
      <c r="AG1195" s="5" t="n"/>
      <c r="AH1195" s="5" t="n"/>
      <c r="AI1195" s="5" t="n"/>
      <c r="AJ1195" s="5" t="n"/>
      <c r="AK1195" s="5" t="n"/>
      <c r="AL1195" s="5" t="n"/>
      <c r="AM1195" s="5" t="n"/>
      <c r="AN1195" s="5" t="n"/>
      <c r="AO1195" s="5" t="n"/>
      <c r="AP1195" s="5" t="n"/>
      <c r="AQ1195" s="5" t="n"/>
      <c r="AR1195" s="5" t="n"/>
      <c r="AS1195" s="5" t="n"/>
      <c r="AT1195" s="5" t="n"/>
      <c r="AU1195" s="5" t="n"/>
      <c r="AV1195" s="5" t="n"/>
      <c r="AW1195" s="5" t="n"/>
      <c r="AX1195" s="5" t="n"/>
      <c r="AY1195" s="5" t="n"/>
      <c r="AZ1195" s="5" t="n"/>
      <c r="BA1195" s="5" t="n"/>
      <c r="BB1195" s="5" t="n"/>
      <c r="BC1195" s="5" t="n"/>
      <c r="BD1195" s="5" t="n"/>
      <c r="BE1195" s="5" t="n"/>
      <c r="BF1195" s="5" t="n"/>
      <c r="BG1195" s="5" t="n"/>
      <c r="BH1195" s="5" t="n"/>
      <c r="BI1195" s="5" t="n"/>
      <c r="BJ1195" s="5" t="n"/>
      <c r="BK1195" s="5" t="n"/>
      <c r="BL1195" s="5" t="n"/>
      <c r="BM1195" s="5" t="n"/>
      <c r="BN1195" s="5" t="n"/>
      <c r="BO1195" s="5" t="n"/>
      <c r="BP1195" s="5" t="n"/>
      <c r="BQ1195" s="5" t="n"/>
      <c r="BR1195" s="5" t="n"/>
      <c r="BS1195" s="5" t="n"/>
      <c r="BT1195" s="5" t="n"/>
      <c r="BU1195" s="5" t="n"/>
      <c r="BV1195" s="5" t="n"/>
      <c r="BW1195" s="5" t="n"/>
      <c r="BX1195" s="5" t="n"/>
      <c r="BY1195" s="5" t="n"/>
      <c r="BZ1195" s="5" t="n"/>
      <c r="CA1195" s="5" t="n"/>
      <c r="CB1195" s="5" t="n"/>
      <c r="CC1195" s="5" t="n"/>
      <c r="CD1195" s="5" t="n"/>
      <c r="CE1195" s="5" t="n"/>
      <c r="CF1195" s="5" t="n"/>
    </row>
    <row r="1196">
      <c r="D1196" s="172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  <c r="Q1196" s="5" t="n"/>
      <c r="R1196" s="5" t="n"/>
      <c r="S1196" s="5" t="n"/>
      <c r="T1196" s="5" t="n"/>
      <c r="U1196" s="5" t="n"/>
      <c r="V1196" s="5" t="n"/>
      <c r="W1196" s="5" t="n"/>
      <c r="X1196" s="5" t="n"/>
      <c r="Y1196" s="5" t="n"/>
      <c r="Z1196" s="5" t="n"/>
      <c r="AA1196" s="5" t="n"/>
      <c r="AB1196" s="5" t="n"/>
      <c r="AC1196" s="5" t="n"/>
      <c r="AD1196" s="5" t="n"/>
      <c r="AE1196" s="5" t="n"/>
      <c r="AF1196" s="5" t="n"/>
      <c r="AG1196" s="5" t="n"/>
      <c r="AH1196" s="5" t="n"/>
      <c r="AI1196" s="5" t="n"/>
      <c r="AJ1196" s="5" t="n"/>
      <c r="AK1196" s="5" t="n"/>
      <c r="AL1196" s="5" t="n"/>
      <c r="AM1196" s="5" t="n"/>
      <c r="AN1196" s="5" t="n"/>
      <c r="AO1196" s="5" t="n"/>
      <c r="AP1196" s="5" t="n"/>
      <c r="AQ1196" s="5" t="n"/>
      <c r="AR1196" s="5" t="n"/>
      <c r="AS1196" s="5" t="n"/>
      <c r="AT1196" s="5" t="n"/>
      <c r="AU1196" s="5" t="n"/>
      <c r="AV1196" s="5" t="n"/>
      <c r="AW1196" s="5" t="n"/>
      <c r="AX1196" s="5" t="n"/>
      <c r="AY1196" s="5" t="n"/>
      <c r="AZ1196" s="5" t="n"/>
      <c r="BA1196" s="5" t="n"/>
      <c r="BB1196" s="5" t="n"/>
      <c r="BC1196" s="5" t="n"/>
      <c r="BD1196" s="5" t="n"/>
      <c r="BE1196" s="5" t="n"/>
      <c r="BF1196" s="5" t="n"/>
      <c r="BG1196" s="5" t="n"/>
      <c r="BH1196" s="5" t="n"/>
      <c r="BI1196" s="5" t="n"/>
      <c r="BJ1196" s="5" t="n"/>
      <c r="BK1196" s="5" t="n"/>
      <c r="BL1196" s="5" t="n"/>
      <c r="BM1196" s="5" t="n"/>
      <c r="BN1196" s="5" t="n"/>
      <c r="BO1196" s="5" t="n"/>
      <c r="BP1196" s="5" t="n"/>
      <c r="BQ1196" s="5" t="n"/>
      <c r="BR1196" s="5" t="n"/>
      <c r="BS1196" s="5" t="n"/>
      <c r="BT1196" s="5" t="n"/>
      <c r="BU1196" s="5" t="n"/>
      <c r="BV1196" s="5" t="n"/>
      <c r="BW1196" s="5" t="n"/>
      <c r="BX1196" s="5" t="n"/>
      <c r="BY1196" s="5" t="n"/>
      <c r="BZ1196" s="5" t="n"/>
      <c r="CA1196" s="5" t="n"/>
      <c r="CB1196" s="5" t="n"/>
      <c r="CC1196" s="5" t="n"/>
      <c r="CD1196" s="5" t="n"/>
      <c r="CE1196" s="5" t="n"/>
      <c r="CF1196" s="5" t="n"/>
    </row>
    <row r="1197">
      <c r="D1197" s="172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  <c r="Q1197" s="5" t="n"/>
      <c r="R1197" s="5" t="n"/>
      <c r="S1197" s="5" t="n"/>
      <c r="T1197" s="5" t="n"/>
      <c r="U1197" s="5" t="n"/>
      <c r="V1197" s="5" t="n"/>
      <c r="W1197" s="5" t="n"/>
      <c r="X1197" s="5" t="n"/>
      <c r="Y1197" s="5" t="n"/>
      <c r="Z1197" s="5" t="n"/>
      <c r="AA1197" s="5" t="n"/>
      <c r="AB1197" s="5" t="n"/>
      <c r="AC1197" s="5" t="n"/>
      <c r="AD1197" s="5" t="n"/>
      <c r="AE1197" s="5" t="n"/>
      <c r="AF1197" s="5" t="n"/>
      <c r="AG1197" s="5" t="n"/>
      <c r="AH1197" s="5" t="n"/>
      <c r="AI1197" s="5" t="n"/>
      <c r="AJ1197" s="5" t="n"/>
      <c r="AK1197" s="5" t="n"/>
      <c r="AL1197" s="5" t="n"/>
      <c r="AM1197" s="5" t="n"/>
      <c r="AN1197" s="5" t="n"/>
      <c r="AO1197" s="5" t="n"/>
      <c r="AP1197" s="5" t="n"/>
      <c r="AQ1197" s="5" t="n"/>
      <c r="AR1197" s="5" t="n"/>
      <c r="AS1197" s="5" t="n"/>
      <c r="AT1197" s="5" t="n"/>
      <c r="AU1197" s="5" t="n"/>
      <c r="AV1197" s="5" t="n"/>
      <c r="AW1197" s="5" t="n"/>
      <c r="AX1197" s="5" t="n"/>
      <c r="AY1197" s="5" t="n"/>
      <c r="AZ1197" s="5" t="n"/>
      <c r="BA1197" s="5" t="n"/>
      <c r="BB1197" s="5" t="n"/>
      <c r="BC1197" s="5" t="n"/>
      <c r="BD1197" s="5" t="n"/>
      <c r="BE1197" s="5" t="n"/>
      <c r="BF1197" s="5" t="n"/>
      <c r="BG1197" s="5" t="n"/>
      <c r="BH1197" s="5" t="n"/>
      <c r="BI1197" s="5" t="n"/>
      <c r="BJ1197" s="5" t="n"/>
      <c r="BK1197" s="5" t="n"/>
      <c r="BL1197" s="5" t="n"/>
      <c r="BM1197" s="5" t="n"/>
      <c r="BN1197" s="5" t="n"/>
      <c r="BO1197" s="5" t="n"/>
      <c r="BP1197" s="5" t="n"/>
      <c r="BQ1197" s="5" t="n"/>
      <c r="BR1197" s="5" t="n"/>
      <c r="BS1197" s="5" t="n"/>
      <c r="BT1197" s="5" t="n"/>
      <c r="BU1197" s="5" t="n"/>
      <c r="BV1197" s="5" t="n"/>
      <c r="BW1197" s="5" t="n"/>
      <c r="BX1197" s="5" t="n"/>
      <c r="BY1197" s="5" t="n"/>
      <c r="BZ1197" s="5" t="n"/>
      <c r="CA1197" s="5" t="n"/>
      <c r="CB1197" s="5" t="n"/>
      <c r="CC1197" s="5" t="n"/>
      <c r="CD1197" s="5" t="n"/>
      <c r="CE1197" s="5" t="n"/>
      <c r="CF1197" s="5" t="n"/>
    </row>
    <row r="1198">
      <c r="D1198" s="172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  <c r="Q1198" s="5" t="n"/>
      <c r="R1198" s="5" t="n"/>
      <c r="S1198" s="5" t="n"/>
      <c r="T1198" s="5" t="n"/>
      <c r="U1198" s="5" t="n"/>
      <c r="V1198" s="5" t="n"/>
      <c r="W1198" s="5" t="n"/>
      <c r="X1198" s="5" t="n"/>
      <c r="Y1198" s="5" t="n"/>
      <c r="Z1198" s="5" t="n"/>
      <c r="AA1198" s="5" t="n"/>
      <c r="AB1198" s="5" t="n"/>
      <c r="AC1198" s="5" t="n"/>
      <c r="AD1198" s="5" t="n"/>
      <c r="AE1198" s="5" t="n"/>
      <c r="AF1198" s="5" t="n"/>
      <c r="AG1198" s="5" t="n"/>
      <c r="AH1198" s="5" t="n"/>
      <c r="AI1198" s="5" t="n"/>
      <c r="AJ1198" s="5" t="n"/>
      <c r="AK1198" s="5" t="n"/>
      <c r="AL1198" s="5" t="n"/>
      <c r="AM1198" s="5" t="n"/>
      <c r="AN1198" s="5" t="n"/>
      <c r="AO1198" s="5" t="n"/>
      <c r="AP1198" s="5" t="n"/>
      <c r="AQ1198" s="5" t="n"/>
      <c r="AR1198" s="5" t="n"/>
      <c r="AS1198" s="5" t="n"/>
      <c r="AT1198" s="5" t="n"/>
      <c r="AU1198" s="5" t="n"/>
      <c r="AV1198" s="5" t="n"/>
      <c r="AW1198" s="5" t="n"/>
      <c r="AX1198" s="5" t="n"/>
      <c r="AY1198" s="5" t="n"/>
      <c r="AZ1198" s="5" t="n"/>
      <c r="BA1198" s="5" t="n"/>
      <c r="BB1198" s="5" t="n"/>
      <c r="BC1198" s="5" t="n"/>
      <c r="BD1198" s="5" t="n"/>
      <c r="BE1198" s="5" t="n"/>
      <c r="BF1198" s="5" t="n"/>
      <c r="BG1198" s="5" t="n"/>
      <c r="BH1198" s="5" t="n"/>
      <c r="BI1198" s="5" t="n"/>
      <c r="BJ1198" s="5" t="n"/>
      <c r="BK1198" s="5" t="n"/>
      <c r="BL1198" s="5" t="n"/>
      <c r="BM1198" s="5" t="n"/>
      <c r="BN1198" s="5" t="n"/>
      <c r="BO1198" s="5" t="n"/>
      <c r="BP1198" s="5" t="n"/>
      <c r="BQ1198" s="5" t="n"/>
      <c r="BR1198" s="5" t="n"/>
      <c r="BS1198" s="5" t="n"/>
      <c r="BT1198" s="5" t="n"/>
      <c r="BU1198" s="5" t="n"/>
      <c r="BV1198" s="5" t="n"/>
      <c r="BW1198" s="5" t="n"/>
      <c r="BX1198" s="5" t="n"/>
      <c r="BY1198" s="5" t="n"/>
      <c r="BZ1198" s="5" t="n"/>
      <c r="CA1198" s="5" t="n"/>
      <c r="CB1198" s="5" t="n"/>
      <c r="CC1198" s="5" t="n"/>
      <c r="CD1198" s="5" t="n"/>
      <c r="CE1198" s="5" t="n"/>
      <c r="CF1198" s="5" t="n"/>
    </row>
    <row r="1199">
      <c r="D1199" s="172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  <c r="Q1199" s="5" t="n"/>
      <c r="R1199" s="5" t="n"/>
      <c r="S1199" s="5" t="n"/>
      <c r="T1199" s="5" t="n"/>
      <c r="U1199" s="5" t="n"/>
      <c r="V1199" s="5" t="n"/>
      <c r="W1199" s="5" t="n"/>
      <c r="X1199" s="5" t="n"/>
      <c r="Y1199" s="5" t="n"/>
      <c r="Z1199" s="5" t="n"/>
      <c r="AA1199" s="5" t="n"/>
      <c r="AB1199" s="5" t="n"/>
      <c r="AC1199" s="5" t="n"/>
      <c r="AD1199" s="5" t="n"/>
      <c r="AE1199" s="5" t="n"/>
      <c r="AF1199" s="5" t="n"/>
      <c r="AG1199" s="5" t="n"/>
      <c r="AH1199" s="5" t="n"/>
      <c r="AI1199" s="5" t="n"/>
      <c r="AJ1199" s="5" t="n"/>
      <c r="AK1199" s="5" t="n"/>
      <c r="AL1199" s="5" t="n"/>
      <c r="AM1199" s="5" t="n"/>
      <c r="AN1199" s="5" t="n"/>
      <c r="AO1199" s="5" t="n"/>
      <c r="AP1199" s="5" t="n"/>
      <c r="AQ1199" s="5" t="n"/>
      <c r="AR1199" s="5" t="n"/>
      <c r="AS1199" s="5" t="n"/>
      <c r="AT1199" s="5" t="n"/>
      <c r="AU1199" s="5" t="n"/>
      <c r="AV1199" s="5" t="n"/>
      <c r="AW1199" s="5" t="n"/>
      <c r="AX1199" s="5" t="n"/>
      <c r="AY1199" s="5" t="n"/>
      <c r="AZ1199" s="5" t="n"/>
      <c r="BA1199" s="5" t="n"/>
      <c r="BB1199" s="5" t="n"/>
      <c r="BC1199" s="5" t="n"/>
      <c r="BD1199" s="5" t="n"/>
      <c r="BE1199" s="5" t="n"/>
      <c r="BF1199" s="5" t="n"/>
      <c r="BG1199" s="5" t="n"/>
      <c r="BH1199" s="5" t="n"/>
      <c r="BI1199" s="5" t="n"/>
      <c r="BJ1199" s="5" t="n"/>
      <c r="BK1199" s="5" t="n"/>
      <c r="BL1199" s="5" t="n"/>
      <c r="BM1199" s="5" t="n"/>
      <c r="BN1199" s="5" t="n"/>
      <c r="BO1199" s="5" t="n"/>
      <c r="BP1199" s="5" t="n"/>
      <c r="BQ1199" s="5" t="n"/>
      <c r="BR1199" s="5" t="n"/>
      <c r="BS1199" s="5" t="n"/>
      <c r="BT1199" s="5" t="n"/>
      <c r="BU1199" s="5" t="n"/>
      <c r="BV1199" s="5" t="n"/>
      <c r="BW1199" s="5" t="n"/>
      <c r="BX1199" s="5" t="n"/>
      <c r="BY1199" s="5" t="n"/>
      <c r="BZ1199" s="5" t="n"/>
      <c r="CA1199" s="5" t="n"/>
      <c r="CB1199" s="5" t="n"/>
      <c r="CC1199" s="5" t="n"/>
      <c r="CD1199" s="5" t="n"/>
      <c r="CE1199" s="5" t="n"/>
      <c r="CF1199" s="5" t="n"/>
    </row>
    <row r="1200">
      <c r="D1200" s="172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  <c r="Q1200" s="5" t="n"/>
      <c r="R1200" s="5" t="n"/>
      <c r="S1200" s="5" t="n"/>
      <c r="T1200" s="5" t="n"/>
      <c r="U1200" s="5" t="n"/>
      <c r="V1200" s="5" t="n"/>
      <c r="W1200" s="5" t="n"/>
      <c r="X1200" s="5" t="n"/>
      <c r="Y1200" s="5" t="n"/>
      <c r="Z1200" s="5" t="n"/>
      <c r="AA1200" s="5" t="n"/>
      <c r="AB1200" s="5" t="n"/>
      <c r="AC1200" s="5" t="n"/>
      <c r="AD1200" s="5" t="n"/>
      <c r="AE1200" s="5" t="n"/>
      <c r="AF1200" s="5" t="n"/>
      <c r="AG1200" s="5" t="n"/>
      <c r="AH1200" s="5" t="n"/>
      <c r="AI1200" s="5" t="n"/>
      <c r="AJ1200" s="5" t="n"/>
      <c r="AK1200" s="5" t="n"/>
      <c r="AL1200" s="5" t="n"/>
      <c r="AM1200" s="5" t="n"/>
      <c r="AN1200" s="5" t="n"/>
      <c r="AO1200" s="5" t="n"/>
      <c r="AP1200" s="5" t="n"/>
      <c r="AQ1200" s="5" t="n"/>
      <c r="AR1200" s="5" t="n"/>
      <c r="AS1200" s="5" t="n"/>
      <c r="AT1200" s="5" t="n"/>
      <c r="AU1200" s="5" t="n"/>
      <c r="AV1200" s="5" t="n"/>
      <c r="AW1200" s="5" t="n"/>
      <c r="AX1200" s="5" t="n"/>
      <c r="AY1200" s="5" t="n"/>
      <c r="AZ1200" s="5" t="n"/>
      <c r="BA1200" s="5" t="n"/>
      <c r="BB1200" s="5" t="n"/>
      <c r="BC1200" s="5" t="n"/>
      <c r="BD1200" s="5" t="n"/>
      <c r="BE1200" s="5" t="n"/>
      <c r="BF1200" s="5" t="n"/>
      <c r="BG1200" s="5" t="n"/>
      <c r="BH1200" s="5" t="n"/>
      <c r="BI1200" s="5" t="n"/>
      <c r="BJ1200" s="5" t="n"/>
      <c r="BK1200" s="5" t="n"/>
      <c r="BL1200" s="5" t="n"/>
      <c r="BM1200" s="5" t="n"/>
      <c r="BN1200" s="5" t="n"/>
      <c r="BO1200" s="5" t="n"/>
      <c r="BP1200" s="5" t="n"/>
      <c r="BQ1200" s="5" t="n"/>
      <c r="BR1200" s="5" t="n"/>
      <c r="BS1200" s="5" t="n"/>
      <c r="BT1200" s="5" t="n"/>
      <c r="BU1200" s="5" t="n"/>
      <c r="BV1200" s="5" t="n"/>
      <c r="BW1200" s="5" t="n"/>
      <c r="BX1200" s="5" t="n"/>
      <c r="BY1200" s="5" t="n"/>
      <c r="BZ1200" s="5" t="n"/>
      <c r="CA1200" s="5" t="n"/>
      <c r="CB1200" s="5" t="n"/>
      <c r="CC1200" s="5" t="n"/>
      <c r="CD1200" s="5" t="n"/>
      <c r="CE1200" s="5" t="n"/>
      <c r="CF1200" s="5" t="n"/>
    </row>
    <row r="1201">
      <c r="D1201" s="172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  <c r="Q1201" s="5" t="n"/>
      <c r="R1201" s="5" t="n"/>
      <c r="S1201" s="5" t="n"/>
      <c r="T1201" s="5" t="n"/>
      <c r="U1201" s="5" t="n"/>
      <c r="V1201" s="5" t="n"/>
      <c r="W1201" s="5" t="n"/>
      <c r="X1201" s="5" t="n"/>
      <c r="Y1201" s="5" t="n"/>
      <c r="Z1201" s="5" t="n"/>
      <c r="AA1201" s="5" t="n"/>
      <c r="AB1201" s="5" t="n"/>
      <c r="AC1201" s="5" t="n"/>
      <c r="AD1201" s="5" t="n"/>
      <c r="AE1201" s="5" t="n"/>
      <c r="AF1201" s="5" t="n"/>
      <c r="AG1201" s="5" t="n"/>
      <c r="AH1201" s="5" t="n"/>
      <c r="AI1201" s="5" t="n"/>
      <c r="AJ1201" s="5" t="n"/>
      <c r="AK1201" s="5" t="n"/>
      <c r="AL1201" s="5" t="n"/>
      <c r="AM1201" s="5" t="n"/>
      <c r="AN1201" s="5" t="n"/>
      <c r="AO1201" s="5" t="n"/>
      <c r="AP1201" s="5" t="n"/>
      <c r="AQ1201" s="5" t="n"/>
      <c r="AR1201" s="5" t="n"/>
      <c r="AS1201" s="5" t="n"/>
      <c r="AT1201" s="5" t="n"/>
      <c r="AU1201" s="5" t="n"/>
      <c r="AV1201" s="5" t="n"/>
      <c r="AW1201" s="5" t="n"/>
      <c r="AX1201" s="5" t="n"/>
      <c r="AY1201" s="5" t="n"/>
      <c r="AZ1201" s="5" t="n"/>
      <c r="BA1201" s="5" t="n"/>
      <c r="BB1201" s="5" t="n"/>
      <c r="BC1201" s="5" t="n"/>
      <c r="BD1201" s="5" t="n"/>
      <c r="BE1201" s="5" t="n"/>
      <c r="BF1201" s="5" t="n"/>
      <c r="BG1201" s="5" t="n"/>
      <c r="BH1201" s="5" t="n"/>
      <c r="BI1201" s="5" t="n"/>
      <c r="BJ1201" s="5" t="n"/>
      <c r="BK1201" s="5" t="n"/>
      <c r="BL1201" s="5" t="n"/>
      <c r="BM1201" s="5" t="n"/>
      <c r="BN1201" s="5" t="n"/>
      <c r="BO1201" s="5" t="n"/>
      <c r="BP1201" s="5" t="n"/>
      <c r="BQ1201" s="5" t="n"/>
      <c r="BR1201" s="5" t="n"/>
      <c r="BS1201" s="5" t="n"/>
      <c r="BT1201" s="5" t="n"/>
      <c r="BU1201" s="5" t="n"/>
      <c r="BV1201" s="5" t="n"/>
      <c r="BW1201" s="5" t="n"/>
      <c r="BX1201" s="5" t="n"/>
      <c r="BY1201" s="5" t="n"/>
      <c r="BZ1201" s="5" t="n"/>
      <c r="CA1201" s="5" t="n"/>
      <c r="CB1201" s="5" t="n"/>
      <c r="CC1201" s="5" t="n"/>
      <c r="CD1201" s="5" t="n"/>
      <c r="CE1201" s="5" t="n"/>
      <c r="CF1201" s="5" t="n"/>
    </row>
    <row r="1202">
      <c r="D1202" s="172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  <c r="Q1202" s="5" t="n"/>
      <c r="R1202" s="5" t="n"/>
      <c r="S1202" s="5" t="n"/>
      <c r="T1202" s="5" t="n"/>
      <c r="U1202" s="5" t="n"/>
      <c r="V1202" s="5" t="n"/>
      <c r="W1202" s="5" t="n"/>
      <c r="X1202" s="5" t="n"/>
      <c r="Y1202" s="5" t="n"/>
      <c r="Z1202" s="5" t="n"/>
      <c r="AA1202" s="5" t="n"/>
      <c r="AB1202" s="5" t="n"/>
      <c r="AC1202" s="5" t="n"/>
      <c r="AD1202" s="5" t="n"/>
      <c r="AE1202" s="5" t="n"/>
      <c r="AF1202" s="5" t="n"/>
      <c r="AG1202" s="5" t="n"/>
      <c r="AH1202" s="5" t="n"/>
      <c r="AI1202" s="5" t="n"/>
      <c r="AJ1202" s="5" t="n"/>
      <c r="AK1202" s="5" t="n"/>
      <c r="AL1202" s="5" t="n"/>
      <c r="AM1202" s="5" t="n"/>
      <c r="AN1202" s="5" t="n"/>
      <c r="AO1202" s="5" t="n"/>
      <c r="AP1202" s="5" t="n"/>
      <c r="AQ1202" s="5" t="n"/>
      <c r="AR1202" s="5" t="n"/>
      <c r="AS1202" s="5" t="n"/>
      <c r="AT1202" s="5" t="n"/>
      <c r="AU1202" s="5" t="n"/>
      <c r="AV1202" s="5" t="n"/>
      <c r="AW1202" s="5" t="n"/>
      <c r="AX1202" s="5" t="n"/>
      <c r="AY1202" s="5" t="n"/>
      <c r="AZ1202" s="5" t="n"/>
      <c r="BA1202" s="5" t="n"/>
      <c r="BB1202" s="5" t="n"/>
      <c r="BC1202" s="5" t="n"/>
      <c r="BD1202" s="5" t="n"/>
      <c r="BE1202" s="5" t="n"/>
      <c r="BF1202" s="5" t="n"/>
      <c r="BG1202" s="5" t="n"/>
      <c r="BH1202" s="5" t="n"/>
      <c r="BI1202" s="5" t="n"/>
      <c r="BJ1202" s="5" t="n"/>
      <c r="BK1202" s="5" t="n"/>
      <c r="BL1202" s="5" t="n"/>
      <c r="BM1202" s="5" t="n"/>
      <c r="BN1202" s="5" t="n"/>
      <c r="BO1202" s="5" t="n"/>
      <c r="BP1202" s="5" t="n"/>
      <c r="BQ1202" s="5" t="n"/>
      <c r="BR1202" s="5" t="n"/>
      <c r="BS1202" s="5" t="n"/>
      <c r="BT1202" s="5" t="n"/>
      <c r="BU1202" s="5" t="n"/>
      <c r="BV1202" s="5" t="n"/>
      <c r="BW1202" s="5" t="n"/>
      <c r="BX1202" s="5" t="n"/>
      <c r="BY1202" s="5" t="n"/>
      <c r="BZ1202" s="5" t="n"/>
      <c r="CA1202" s="5" t="n"/>
      <c r="CB1202" s="5" t="n"/>
      <c r="CC1202" s="5" t="n"/>
      <c r="CD1202" s="5" t="n"/>
      <c r="CE1202" s="5" t="n"/>
      <c r="CF1202" s="5" t="n"/>
    </row>
    <row r="1203">
      <c r="D1203" s="172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  <c r="Q1203" s="5" t="n"/>
      <c r="R1203" s="5" t="n"/>
      <c r="S1203" s="5" t="n"/>
      <c r="T1203" s="5" t="n"/>
      <c r="U1203" s="5" t="n"/>
      <c r="V1203" s="5" t="n"/>
      <c r="W1203" s="5" t="n"/>
      <c r="X1203" s="5" t="n"/>
      <c r="Y1203" s="5" t="n"/>
      <c r="Z1203" s="5" t="n"/>
      <c r="AA1203" s="5" t="n"/>
      <c r="AB1203" s="5" t="n"/>
      <c r="AC1203" s="5" t="n"/>
      <c r="AD1203" s="5" t="n"/>
      <c r="AE1203" s="5" t="n"/>
      <c r="AF1203" s="5" t="n"/>
      <c r="AG1203" s="5" t="n"/>
      <c r="AH1203" s="5" t="n"/>
      <c r="AI1203" s="5" t="n"/>
      <c r="AJ1203" s="5" t="n"/>
      <c r="AK1203" s="5" t="n"/>
      <c r="AL1203" s="5" t="n"/>
      <c r="AM1203" s="5" t="n"/>
      <c r="AN1203" s="5" t="n"/>
      <c r="AO1203" s="5" t="n"/>
      <c r="AP1203" s="5" t="n"/>
      <c r="AQ1203" s="5" t="n"/>
      <c r="AR1203" s="5" t="n"/>
      <c r="AS1203" s="5" t="n"/>
      <c r="AT1203" s="5" t="n"/>
      <c r="AU1203" s="5" t="n"/>
      <c r="AV1203" s="5" t="n"/>
      <c r="AW1203" s="5" t="n"/>
      <c r="AX1203" s="5" t="n"/>
      <c r="AY1203" s="5" t="n"/>
      <c r="AZ1203" s="5" t="n"/>
      <c r="BA1203" s="5" t="n"/>
      <c r="BB1203" s="5" t="n"/>
      <c r="BC1203" s="5" t="n"/>
      <c r="BD1203" s="5" t="n"/>
      <c r="BE1203" s="5" t="n"/>
      <c r="BF1203" s="5" t="n"/>
      <c r="BG1203" s="5" t="n"/>
      <c r="BH1203" s="5" t="n"/>
      <c r="BI1203" s="5" t="n"/>
      <c r="BJ1203" s="5" t="n"/>
      <c r="BK1203" s="5" t="n"/>
      <c r="BL1203" s="5" t="n"/>
      <c r="BM1203" s="5" t="n"/>
      <c r="BN1203" s="5" t="n"/>
      <c r="BO1203" s="5" t="n"/>
      <c r="BP1203" s="5" t="n"/>
      <c r="BQ1203" s="5" t="n"/>
      <c r="BR1203" s="5" t="n"/>
      <c r="BS1203" s="5" t="n"/>
      <c r="BT1203" s="5" t="n"/>
      <c r="BU1203" s="5" t="n"/>
      <c r="BV1203" s="5" t="n"/>
      <c r="BW1203" s="5" t="n"/>
      <c r="BX1203" s="5" t="n"/>
      <c r="BY1203" s="5" t="n"/>
      <c r="BZ1203" s="5" t="n"/>
      <c r="CA1203" s="5" t="n"/>
      <c r="CB1203" s="5" t="n"/>
      <c r="CC1203" s="5" t="n"/>
      <c r="CD1203" s="5" t="n"/>
      <c r="CE1203" s="5" t="n"/>
      <c r="CF1203" s="5" t="n"/>
    </row>
    <row r="1204">
      <c r="D1204" s="172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  <c r="Q1204" s="5" t="n"/>
      <c r="R1204" s="5" t="n"/>
      <c r="S1204" s="5" t="n"/>
      <c r="T1204" s="5" t="n"/>
      <c r="U1204" s="5" t="n"/>
      <c r="V1204" s="5" t="n"/>
      <c r="W1204" s="5" t="n"/>
      <c r="X1204" s="5" t="n"/>
      <c r="Y1204" s="5" t="n"/>
      <c r="Z1204" s="5" t="n"/>
      <c r="AA1204" s="5" t="n"/>
      <c r="AB1204" s="5" t="n"/>
      <c r="AC1204" s="5" t="n"/>
      <c r="AD1204" s="5" t="n"/>
      <c r="AE1204" s="5" t="n"/>
      <c r="AF1204" s="5" t="n"/>
      <c r="AG1204" s="5" t="n"/>
      <c r="AH1204" s="5" t="n"/>
      <c r="AI1204" s="5" t="n"/>
      <c r="AJ1204" s="5" t="n"/>
      <c r="AK1204" s="5" t="n"/>
      <c r="AL1204" s="5" t="n"/>
      <c r="AM1204" s="5" t="n"/>
      <c r="AN1204" s="5" t="n"/>
      <c r="AO1204" s="5" t="n"/>
      <c r="AP1204" s="5" t="n"/>
      <c r="AQ1204" s="5" t="n"/>
      <c r="AR1204" s="5" t="n"/>
      <c r="AS1204" s="5" t="n"/>
      <c r="AT1204" s="5" t="n"/>
      <c r="AU1204" s="5" t="n"/>
      <c r="AV1204" s="5" t="n"/>
      <c r="AW1204" s="5" t="n"/>
      <c r="AX1204" s="5" t="n"/>
      <c r="AY1204" s="5" t="n"/>
      <c r="AZ1204" s="5" t="n"/>
      <c r="BA1204" s="5" t="n"/>
      <c r="BB1204" s="5" t="n"/>
      <c r="BC1204" s="5" t="n"/>
      <c r="BD1204" s="5" t="n"/>
      <c r="BE1204" s="5" t="n"/>
      <c r="BF1204" s="5" t="n"/>
      <c r="BG1204" s="5" t="n"/>
      <c r="BH1204" s="5" t="n"/>
      <c r="BI1204" s="5" t="n"/>
      <c r="BJ1204" s="5" t="n"/>
      <c r="BK1204" s="5" t="n"/>
      <c r="BL1204" s="5" t="n"/>
      <c r="BM1204" s="5" t="n"/>
      <c r="BN1204" s="5" t="n"/>
      <c r="BO1204" s="5" t="n"/>
      <c r="BP1204" s="5" t="n"/>
      <c r="BQ1204" s="5" t="n"/>
      <c r="BR1204" s="5" t="n"/>
      <c r="BS1204" s="5" t="n"/>
      <c r="BT1204" s="5" t="n"/>
      <c r="BU1204" s="5" t="n"/>
      <c r="BV1204" s="5" t="n"/>
      <c r="BW1204" s="5" t="n"/>
      <c r="BX1204" s="5" t="n"/>
      <c r="BY1204" s="5" t="n"/>
      <c r="BZ1204" s="5" t="n"/>
      <c r="CA1204" s="5" t="n"/>
      <c r="CB1204" s="5" t="n"/>
      <c r="CC1204" s="5" t="n"/>
      <c r="CD1204" s="5" t="n"/>
      <c r="CE1204" s="5" t="n"/>
      <c r="CF1204" s="5" t="n"/>
    </row>
    <row r="1205">
      <c r="D1205" s="172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  <c r="Q1205" s="5" t="n"/>
      <c r="R1205" s="5" t="n"/>
      <c r="S1205" s="5" t="n"/>
      <c r="T1205" s="5" t="n"/>
      <c r="U1205" s="5" t="n"/>
      <c r="V1205" s="5" t="n"/>
      <c r="W1205" s="5" t="n"/>
      <c r="X1205" s="5" t="n"/>
      <c r="Y1205" s="5" t="n"/>
      <c r="Z1205" s="5" t="n"/>
      <c r="AA1205" s="5" t="n"/>
      <c r="AB1205" s="5" t="n"/>
      <c r="AC1205" s="5" t="n"/>
      <c r="AD1205" s="5" t="n"/>
      <c r="AE1205" s="5" t="n"/>
      <c r="AF1205" s="5" t="n"/>
      <c r="AG1205" s="5" t="n"/>
      <c r="AH1205" s="5" t="n"/>
      <c r="AI1205" s="5" t="n"/>
      <c r="AJ1205" s="5" t="n"/>
      <c r="AK1205" s="5" t="n"/>
      <c r="AL1205" s="5" t="n"/>
      <c r="AM1205" s="5" t="n"/>
      <c r="AN1205" s="5" t="n"/>
      <c r="AO1205" s="5" t="n"/>
      <c r="AP1205" s="5" t="n"/>
      <c r="AQ1205" s="5" t="n"/>
      <c r="AR1205" s="5" t="n"/>
      <c r="AS1205" s="5" t="n"/>
      <c r="AT1205" s="5" t="n"/>
      <c r="AU1205" s="5" t="n"/>
      <c r="AV1205" s="5" t="n"/>
      <c r="AW1205" s="5" t="n"/>
      <c r="AX1205" s="5" t="n"/>
      <c r="AY1205" s="5" t="n"/>
      <c r="AZ1205" s="5" t="n"/>
      <c r="BA1205" s="5" t="n"/>
      <c r="BB1205" s="5" t="n"/>
      <c r="BC1205" s="5" t="n"/>
      <c r="BD1205" s="5" t="n"/>
      <c r="BE1205" s="5" t="n"/>
      <c r="BF1205" s="5" t="n"/>
      <c r="BG1205" s="5" t="n"/>
      <c r="BH1205" s="5" t="n"/>
      <c r="BI1205" s="5" t="n"/>
      <c r="BJ1205" s="5" t="n"/>
      <c r="BK1205" s="5" t="n"/>
      <c r="BL1205" s="5" t="n"/>
      <c r="BM1205" s="5" t="n"/>
      <c r="BN1205" s="5" t="n"/>
      <c r="BO1205" s="5" t="n"/>
      <c r="BP1205" s="5" t="n"/>
      <c r="BQ1205" s="5" t="n"/>
      <c r="BR1205" s="5" t="n"/>
      <c r="BS1205" s="5" t="n"/>
      <c r="BT1205" s="5" t="n"/>
      <c r="BU1205" s="5" t="n"/>
      <c r="BV1205" s="5" t="n"/>
      <c r="BW1205" s="5" t="n"/>
      <c r="BX1205" s="5" t="n"/>
      <c r="BY1205" s="5" t="n"/>
      <c r="BZ1205" s="5" t="n"/>
      <c r="CA1205" s="5" t="n"/>
      <c r="CB1205" s="5" t="n"/>
      <c r="CC1205" s="5" t="n"/>
      <c r="CD1205" s="5" t="n"/>
      <c r="CE1205" s="5" t="n"/>
      <c r="CF1205" s="5" t="n"/>
    </row>
    <row r="1206">
      <c r="D1206" s="172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  <c r="Q1206" s="5" t="n"/>
      <c r="R1206" s="5" t="n"/>
      <c r="S1206" s="5" t="n"/>
      <c r="T1206" s="5" t="n"/>
      <c r="U1206" s="5" t="n"/>
      <c r="V1206" s="5" t="n"/>
      <c r="W1206" s="5" t="n"/>
      <c r="X1206" s="5" t="n"/>
      <c r="Y1206" s="5" t="n"/>
      <c r="Z1206" s="5" t="n"/>
      <c r="AA1206" s="5" t="n"/>
      <c r="AB1206" s="5" t="n"/>
      <c r="AC1206" s="5" t="n"/>
      <c r="AD1206" s="5" t="n"/>
      <c r="AE1206" s="5" t="n"/>
      <c r="AF1206" s="5" t="n"/>
      <c r="AG1206" s="5" t="n"/>
      <c r="AH1206" s="5" t="n"/>
      <c r="AI1206" s="5" t="n"/>
      <c r="AJ1206" s="5" t="n"/>
      <c r="AK1206" s="5" t="n"/>
      <c r="AL1206" s="5" t="n"/>
      <c r="AM1206" s="5" t="n"/>
      <c r="AN1206" s="5" t="n"/>
      <c r="AO1206" s="5" t="n"/>
      <c r="AP1206" s="5" t="n"/>
      <c r="AQ1206" s="5" t="n"/>
      <c r="AR1206" s="5" t="n"/>
      <c r="AS1206" s="5" t="n"/>
      <c r="AT1206" s="5" t="n"/>
      <c r="AU1206" s="5" t="n"/>
      <c r="AV1206" s="5" t="n"/>
      <c r="AW1206" s="5" t="n"/>
      <c r="AX1206" s="5" t="n"/>
      <c r="AY1206" s="5" t="n"/>
      <c r="AZ1206" s="5" t="n"/>
      <c r="BA1206" s="5" t="n"/>
      <c r="BB1206" s="5" t="n"/>
      <c r="BC1206" s="5" t="n"/>
      <c r="BD1206" s="5" t="n"/>
      <c r="BE1206" s="5" t="n"/>
      <c r="BF1206" s="5" t="n"/>
      <c r="BG1206" s="5" t="n"/>
      <c r="BH1206" s="5" t="n"/>
      <c r="BI1206" s="5" t="n"/>
      <c r="BJ1206" s="5" t="n"/>
      <c r="BK1206" s="5" t="n"/>
      <c r="BL1206" s="5" t="n"/>
      <c r="BM1206" s="5" t="n"/>
      <c r="BN1206" s="5" t="n"/>
      <c r="BO1206" s="5" t="n"/>
      <c r="BP1206" s="5" t="n"/>
      <c r="BQ1206" s="5" t="n"/>
      <c r="BR1206" s="5" t="n"/>
      <c r="BS1206" s="5" t="n"/>
      <c r="BT1206" s="5" t="n"/>
      <c r="BU1206" s="5" t="n"/>
      <c r="BV1206" s="5" t="n"/>
      <c r="BW1206" s="5" t="n"/>
      <c r="BX1206" s="5" t="n"/>
      <c r="BY1206" s="5" t="n"/>
      <c r="BZ1206" s="5" t="n"/>
      <c r="CA1206" s="5" t="n"/>
      <c r="CB1206" s="5" t="n"/>
      <c r="CC1206" s="5" t="n"/>
      <c r="CD1206" s="5" t="n"/>
      <c r="CE1206" s="5" t="n"/>
      <c r="CF1206" s="5" t="n"/>
    </row>
    <row r="1207">
      <c r="D1207" s="172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  <c r="Q1207" s="5" t="n"/>
      <c r="R1207" s="5" t="n"/>
      <c r="S1207" s="5" t="n"/>
      <c r="T1207" s="5" t="n"/>
      <c r="U1207" s="5" t="n"/>
      <c r="V1207" s="5" t="n"/>
      <c r="W1207" s="5" t="n"/>
      <c r="X1207" s="5" t="n"/>
      <c r="Y1207" s="5" t="n"/>
      <c r="Z1207" s="5" t="n"/>
      <c r="AA1207" s="5" t="n"/>
      <c r="AB1207" s="5" t="n"/>
      <c r="AC1207" s="5" t="n"/>
      <c r="AD1207" s="5" t="n"/>
      <c r="AE1207" s="5" t="n"/>
      <c r="AF1207" s="5" t="n"/>
      <c r="AG1207" s="5" t="n"/>
      <c r="AH1207" s="5" t="n"/>
      <c r="AI1207" s="5" t="n"/>
      <c r="AJ1207" s="5" t="n"/>
      <c r="AK1207" s="5" t="n"/>
      <c r="AL1207" s="5" t="n"/>
      <c r="AM1207" s="5" t="n"/>
      <c r="AN1207" s="5" t="n"/>
      <c r="AO1207" s="5" t="n"/>
      <c r="AP1207" s="5" t="n"/>
      <c r="AQ1207" s="5" t="n"/>
      <c r="AR1207" s="5" t="n"/>
      <c r="AS1207" s="5" t="n"/>
      <c r="AT1207" s="5" t="n"/>
      <c r="AU1207" s="5" t="n"/>
      <c r="AV1207" s="5" t="n"/>
      <c r="AW1207" s="5" t="n"/>
      <c r="AX1207" s="5" t="n"/>
      <c r="AY1207" s="5" t="n"/>
      <c r="AZ1207" s="5" t="n"/>
      <c r="BA1207" s="5" t="n"/>
      <c r="BB1207" s="5" t="n"/>
      <c r="BC1207" s="5" t="n"/>
      <c r="BD1207" s="5" t="n"/>
      <c r="BE1207" s="5" t="n"/>
      <c r="BF1207" s="5" t="n"/>
      <c r="BG1207" s="5" t="n"/>
      <c r="BH1207" s="5" t="n"/>
      <c r="BI1207" s="5" t="n"/>
      <c r="BJ1207" s="5" t="n"/>
      <c r="BK1207" s="5" t="n"/>
      <c r="BL1207" s="5" t="n"/>
      <c r="BM1207" s="5" t="n"/>
      <c r="BN1207" s="5" t="n"/>
      <c r="BO1207" s="5" t="n"/>
      <c r="BP1207" s="5" t="n"/>
      <c r="BQ1207" s="5" t="n"/>
      <c r="BR1207" s="5" t="n"/>
      <c r="BS1207" s="5" t="n"/>
      <c r="BT1207" s="5" t="n"/>
      <c r="BU1207" s="5" t="n"/>
      <c r="BV1207" s="5" t="n"/>
      <c r="BW1207" s="5" t="n"/>
      <c r="BX1207" s="5" t="n"/>
      <c r="BY1207" s="5" t="n"/>
      <c r="BZ1207" s="5" t="n"/>
      <c r="CA1207" s="5" t="n"/>
      <c r="CB1207" s="5" t="n"/>
      <c r="CC1207" s="5" t="n"/>
      <c r="CD1207" s="5" t="n"/>
      <c r="CE1207" s="5" t="n"/>
      <c r="CF1207" s="5" t="n"/>
    </row>
    <row r="1208">
      <c r="D1208" s="172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  <c r="Q1208" s="5" t="n"/>
      <c r="R1208" s="5" t="n"/>
      <c r="S1208" s="5" t="n"/>
      <c r="T1208" s="5" t="n"/>
      <c r="U1208" s="5" t="n"/>
      <c r="V1208" s="5" t="n"/>
      <c r="W1208" s="5" t="n"/>
      <c r="X1208" s="5" t="n"/>
      <c r="Y1208" s="5" t="n"/>
      <c r="Z1208" s="5" t="n"/>
      <c r="AA1208" s="5" t="n"/>
      <c r="AB1208" s="5" t="n"/>
      <c r="AC1208" s="5" t="n"/>
      <c r="AD1208" s="5" t="n"/>
      <c r="AE1208" s="5" t="n"/>
      <c r="AF1208" s="5" t="n"/>
      <c r="AG1208" s="5" t="n"/>
      <c r="AH1208" s="5" t="n"/>
      <c r="AI1208" s="5" t="n"/>
      <c r="AJ1208" s="5" t="n"/>
      <c r="AK1208" s="5" t="n"/>
      <c r="AL1208" s="5" t="n"/>
      <c r="AM1208" s="5" t="n"/>
      <c r="AN1208" s="5" t="n"/>
      <c r="AO1208" s="5" t="n"/>
      <c r="AP1208" s="5" t="n"/>
      <c r="AQ1208" s="5" t="n"/>
      <c r="AR1208" s="5" t="n"/>
      <c r="AS1208" s="5" t="n"/>
      <c r="AT1208" s="5" t="n"/>
      <c r="AU1208" s="5" t="n"/>
      <c r="AV1208" s="5" t="n"/>
      <c r="AW1208" s="5" t="n"/>
      <c r="AX1208" s="5" t="n"/>
      <c r="AY1208" s="5" t="n"/>
      <c r="AZ1208" s="5" t="n"/>
      <c r="BA1208" s="5" t="n"/>
      <c r="BB1208" s="5" t="n"/>
      <c r="BC1208" s="5" t="n"/>
      <c r="BD1208" s="5" t="n"/>
      <c r="BE1208" s="5" t="n"/>
      <c r="BF1208" s="5" t="n"/>
      <c r="BG1208" s="5" t="n"/>
      <c r="BH1208" s="5" t="n"/>
      <c r="BI1208" s="5" t="n"/>
      <c r="BJ1208" s="5" t="n"/>
      <c r="BK1208" s="5" t="n"/>
      <c r="BL1208" s="5" t="n"/>
      <c r="BM1208" s="5" t="n"/>
      <c r="BN1208" s="5" t="n"/>
      <c r="BO1208" s="5" t="n"/>
      <c r="BP1208" s="5" t="n"/>
      <c r="BQ1208" s="5" t="n"/>
      <c r="BR1208" s="5" t="n"/>
      <c r="BS1208" s="5" t="n"/>
      <c r="BT1208" s="5" t="n"/>
      <c r="BU1208" s="5" t="n"/>
      <c r="BV1208" s="5" t="n"/>
      <c r="BW1208" s="5" t="n"/>
      <c r="BX1208" s="5" t="n"/>
      <c r="BY1208" s="5" t="n"/>
      <c r="BZ1208" s="5" t="n"/>
      <c r="CA1208" s="5" t="n"/>
      <c r="CB1208" s="5" t="n"/>
      <c r="CC1208" s="5" t="n"/>
      <c r="CD1208" s="5" t="n"/>
      <c r="CE1208" s="5" t="n"/>
      <c r="CF1208" s="5" t="n"/>
    </row>
    <row r="1209">
      <c r="D1209" s="172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  <c r="Q1209" s="5" t="n"/>
      <c r="R1209" s="5" t="n"/>
      <c r="S1209" s="5" t="n"/>
      <c r="T1209" s="5" t="n"/>
      <c r="U1209" s="5" t="n"/>
      <c r="V1209" s="5" t="n"/>
      <c r="W1209" s="5" t="n"/>
      <c r="X1209" s="5" t="n"/>
      <c r="Y1209" s="5" t="n"/>
      <c r="Z1209" s="5" t="n"/>
      <c r="AA1209" s="5" t="n"/>
      <c r="AB1209" s="5" t="n"/>
      <c r="AC1209" s="5" t="n"/>
      <c r="AD1209" s="5" t="n"/>
      <c r="AE1209" s="5" t="n"/>
      <c r="AF1209" s="5" t="n"/>
      <c r="AG1209" s="5" t="n"/>
      <c r="AH1209" s="5" t="n"/>
      <c r="AI1209" s="5" t="n"/>
      <c r="AJ1209" s="5" t="n"/>
      <c r="AK1209" s="5" t="n"/>
      <c r="AL1209" s="5" t="n"/>
      <c r="AM1209" s="5" t="n"/>
      <c r="AN1209" s="5" t="n"/>
      <c r="AO1209" s="5" t="n"/>
      <c r="AP1209" s="5" t="n"/>
      <c r="AQ1209" s="5" t="n"/>
      <c r="AR1209" s="5" t="n"/>
      <c r="AS1209" s="5" t="n"/>
      <c r="AT1209" s="5" t="n"/>
      <c r="AU1209" s="5" t="n"/>
      <c r="AV1209" s="5" t="n"/>
      <c r="AW1209" s="5" t="n"/>
      <c r="AX1209" s="5" t="n"/>
      <c r="AY1209" s="5" t="n"/>
      <c r="AZ1209" s="5" t="n"/>
      <c r="BA1209" s="5" t="n"/>
      <c r="BB1209" s="5" t="n"/>
      <c r="BC1209" s="5" t="n"/>
      <c r="BD1209" s="5" t="n"/>
      <c r="BE1209" s="5" t="n"/>
      <c r="BF1209" s="5" t="n"/>
      <c r="BG1209" s="5" t="n"/>
      <c r="BH1209" s="5" t="n"/>
      <c r="BI1209" s="5" t="n"/>
      <c r="BJ1209" s="5" t="n"/>
      <c r="BK1209" s="5" t="n"/>
      <c r="BL1209" s="5" t="n"/>
      <c r="BM1209" s="5" t="n"/>
      <c r="BN1209" s="5" t="n"/>
      <c r="BO1209" s="5" t="n"/>
      <c r="BP1209" s="5" t="n"/>
      <c r="BQ1209" s="5" t="n"/>
      <c r="BR1209" s="5" t="n"/>
      <c r="BS1209" s="5" t="n"/>
      <c r="BT1209" s="5" t="n"/>
      <c r="BU1209" s="5" t="n"/>
      <c r="BV1209" s="5" t="n"/>
      <c r="BW1209" s="5" t="n"/>
      <c r="BX1209" s="5" t="n"/>
      <c r="BY1209" s="5" t="n"/>
      <c r="BZ1209" s="5" t="n"/>
      <c r="CA1209" s="5" t="n"/>
      <c r="CB1209" s="5" t="n"/>
      <c r="CC1209" s="5" t="n"/>
      <c r="CD1209" s="5" t="n"/>
      <c r="CE1209" s="5" t="n"/>
      <c r="CF1209" s="5" t="n"/>
    </row>
  </sheetData>
  <mergeCells count="1">
    <mergeCell ref="CB9:C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0000"/>
    <outlinePr summaryBelow="0" summaryRight="0"/>
    <pageSetUpPr/>
  </sheetPr>
  <dimension ref="A1:I1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3" t="inlineStr">
        <is>
          <t>PROVINCIAS</t>
        </is>
      </c>
      <c r="B1" s="174" t="inlineStr">
        <is>
          <t>CP</t>
        </is>
      </c>
      <c r="C1" s="144" t="inlineStr">
        <is>
          <t>Cod Prov</t>
        </is>
      </c>
      <c r="D1" s="144" t="inlineStr">
        <is>
          <t>Zona 1</t>
        </is>
      </c>
      <c r="F1" s="175" t="inlineStr">
        <is>
          <t>EDAD</t>
        </is>
      </c>
      <c r="G1" s="175" t="inlineStr">
        <is>
          <t>TARIFA HOMBRE</t>
        </is>
      </c>
    </row>
    <row r="2">
      <c r="A2" s="176" t="inlineStr">
        <is>
          <t>Alava</t>
        </is>
      </c>
      <c r="B2" s="177" t="n">
        <v>1</v>
      </c>
      <c r="C2" s="144">
        <f>IF(LEN(B2)=1,"0"&amp;B2,TEXT(B2,0))</f>
        <v/>
      </c>
      <c r="E2" s="144">
        <f>A2</f>
        <v/>
      </c>
      <c r="F2" s="175" t="inlineStr">
        <is>
          <t>x</t>
        </is>
      </c>
      <c r="G2" s="175" t="inlineStr">
        <is>
          <t>PR COMERCIAL</t>
        </is>
      </c>
    </row>
    <row r="3">
      <c r="A3" s="176" t="inlineStr">
        <is>
          <t>Albacete</t>
        </is>
      </c>
      <c r="B3" s="177" t="n">
        <v>2</v>
      </c>
      <c r="C3" s="144">
        <f>IF(LEN(B3)=1,"0"&amp;B3,TEXT(B3,0))</f>
        <v/>
      </c>
      <c r="D3" s="144" t="n">
        <v>4</v>
      </c>
      <c r="E3" s="144">
        <f>A3</f>
        <v/>
      </c>
      <c r="F3" s="175" t="n">
        <v>0</v>
      </c>
      <c r="G3" s="175" t="n">
        <v>6.67</v>
      </c>
    </row>
    <row r="4">
      <c r="A4" s="176" t="inlineStr">
        <is>
          <t>Alicante_Alacant</t>
        </is>
      </c>
      <c r="B4" s="177" t="n">
        <v>3</v>
      </c>
      <c r="C4" s="144">
        <f>IF(LEN(B4)=1,"0"&amp;B4,TEXT(B4,0))</f>
        <v/>
      </c>
      <c r="D4" s="144" t="n">
        <v>2</v>
      </c>
      <c r="E4" s="144">
        <f>A4</f>
        <v/>
      </c>
      <c r="F4" s="175" t="n">
        <v>1</v>
      </c>
      <c r="G4" s="175" t="n">
        <v>0.48</v>
      </c>
    </row>
    <row r="5">
      <c r="A5" s="176" t="inlineStr">
        <is>
          <t>Almeria</t>
        </is>
      </c>
      <c r="B5" s="177" t="n">
        <v>4</v>
      </c>
      <c r="C5" s="144">
        <f>IF(LEN(B5)=1,"0"&amp;B5,TEXT(B5,0))</f>
        <v/>
      </c>
      <c r="D5" s="144" t="n">
        <v>2</v>
      </c>
      <c r="E5" s="144">
        <f>A5</f>
        <v/>
      </c>
      <c r="F5" s="175" t="n">
        <v>2</v>
      </c>
      <c r="G5" s="175" t="n">
        <v>0.4</v>
      </c>
    </row>
    <row r="6">
      <c r="A6" s="176" t="inlineStr">
        <is>
          <t>Avila</t>
        </is>
      </c>
      <c r="B6" s="177" t="n">
        <v>5</v>
      </c>
      <c r="C6" s="144">
        <f>IF(LEN(B6)=1,"0"&amp;B6,TEXT(B6,0))</f>
        <v/>
      </c>
      <c r="D6" s="144" t="n">
        <v>3</v>
      </c>
      <c r="E6" s="144">
        <f>A6</f>
        <v/>
      </c>
      <c r="F6" s="175" t="n">
        <v>3</v>
      </c>
      <c r="G6" s="175" t="n">
        <v>0.32</v>
      </c>
    </row>
    <row r="7">
      <c r="A7" s="176" t="inlineStr">
        <is>
          <t>Badajoz</t>
        </is>
      </c>
      <c r="B7" s="177" t="n">
        <v>6</v>
      </c>
      <c r="C7" s="144">
        <f>IF(LEN(B7)=1,"0"&amp;B7,TEXT(B7,0))</f>
        <v/>
      </c>
      <c r="D7" s="144" t="n">
        <v>1</v>
      </c>
      <c r="E7" s="144">
        <f>A7</f>
        <v/>
      </c>
      <c r="F7" s="175" t="n">
        <v>4</v>
      </c>
      <c r="G7" s="175" t="n">
        <v>0.26</v>
      </c>
    </row>
    <row r="8">
      <c r="A8" s="176" t="inlineStr">
        <is>
          <t>Barcelona</t>
        </is>
      </c>
      <c r="B8" s="177" t="n">
        <v>8</v>
      </c>
      <c r="C8" s="144">
        <f>IF(LEN(B8)=1,"0"&amp;B8,TEXT(B8,0))</f>
        <v/>
      </c>
      <c r="D8" s="144" t="n">
        <v>5</v>
      </c>
      <c r="E8" s="144">
        <f>A8</f>
        <v/>
      </c>
      <c r="F8" s="175" t="n">
        <v>5</v>
      </c>
      <c r="G8" s="175" t="n">
        <v>0.22</v>
      </c>
    </row>
    <row r="9">
      <c r="A9" s="176" t="inlineStr">
        <is>
          <t>Bilbao</t>
        </is>
      </c>
      <c r="B9" s="177" t="n">
        <v>48</v>
      </c>
      <c r="C9" s="144">
        <f>IF(LEN(B9)=1,"0"&amp;B9,TEXT(B9,0))</f>
        <v/>
      </c>
      <c r="E9" s="144">
        <f>A9</f>
        <v/>
      </c>
      <c r="F9" s="175" t="n">
        <v>6</v>
      </c>
      <c r="G9" s="175" t="n">
        <v>0.19</v>
      </c>
    </row>
    <row r="10">
      <c r="A10" s="176" t="inlineStr">
        <is>
          <t>Burgos</t>
        </is>
      </c>
      <c r="B10" s="177" t="n">
        <v>9</v>
      </c>
      <c r="C10" s="144">
        <f>IF(LEN(B10)=1,"0"&amp;B10,TEXT(B10,0))</f>
        <v/>
      </c>
      <c r="D10" s="144" t="n">
        <v>3</v>
      </c>
      <c r="E10" s="144">
        <f>A10</f>
        <v/>
      </c>
      <c r="F10" s="175" t="n">
        <v>7</v>
      </c>
      <c r="G10" s="175" t="n">
        <v>0.18</v>
      </c>
      <c r="I10" s="144" t="n"/>
    </row>
    <row r="11">
      <c r="A11" s="176" t="inlineStr">
        <is>
          <t>Caceres</t>
        </is>
      </c>
      <c r="B11" s="177" t="n">
        <v>10</v>
      </c>
      <c r="C11" s="144">
        <f>IF(LEN(B11)=1,"0"&amp;B11,TEXT(B11,0))</f>
        <v/>
      </c>
      <c r="D11" s="144" t="n">
        <v>1</v>
      </c>
      <c r="E11" s="144">
        <f>A11</f>
        <v/>
      </c>
      <c r="F11" s="175" t="n">
        <v>8</v>
      </c>
      <c r="G11" s="175" t="n">
        <v>0.17</v>
      </c>
    </row>
    <row r="12">
      <c r="A12" s="176" t="inlineStr">
        <is>
          <t>Cadiz</t>
        </is>
      </c>
      <c r="B12" s="177" t="n">
        <v>11</v>
      </c>
      <c r="C12" s="144">
        <f>IF(LEN(B12)=1,"0"&amp;B12,TEXT(B12,0))</f>
        <v/>
      </c>
      <c r="D12" s="144" t="n">
        <v>2</v>
      </c>
      <c r="E12" s="144">
        <f>A12</f>
        <v/>
      </c>
      <c r="F12" s="175" t="n">
        <v>9</v>
      </c>
      <c r="G12" s="175" t="n">
        <v>0.17</v>
      </c>
    </row>
    <row r="13">
      <c r="A13" s="176" t="inlineStr">
        <is>
          <t>Castellon_Castello</t>
        </is>
      </c>
      <c r="B13" s="177" t="n">
        <v>12</v>
      </c>
      <c r="C13" s="144">
        <f>IF(LEN(B13)=1,"0"&amp;B13,TEXT(B13,0))</f>
        <v/>
      </c>
      <c r="D13" s="144" t="n">
        <v>2</v>
      </c>
      <c r="E13" s="144">
        <f>A13</f>
        <v/>
      </c>
      <c r="F13" s="175" t="n">
        <v>10</v>
      </c>
      <c r="G13" s="175" t="n">
        <v>0.18</v>
      </c>
    </row>
    <row r="14">
      <c r="A14" s="176" t="inlineStr">
        <is>
          <t>Ceuta</t>
        </is>
      </c>
      <c r="B14" s="177" t="n">
        <v>51</v>
      </c>
      <c r="C14" s="144">
        <f>IF(LEN(B14)=1,"0"&amp;B14,TEXT(B14,0))</f>
        <v/>
      </c>
      <c r="D14" s="144" t="n">
        <v>1</v>
      </c>
      <c r="E14" s="144">
        <f>A14</f>
        <v/>
      </c>
      <c r="F14" s="175" t="n">
        <v>11</v>
      </c>
      <c r="G14" s="175" t="n">
        <v>0.2</v>
      </c>
    </row>
    <row r="15">
      <c r="A15" s="176" t="inlineStr">
        <is>
          <t>Ciudad_Real</t>
        </is>
      </c>
      <c r="B15" s="177" t="n">
        <v>13</v>
      </c>
      <c r="C15" s="144">
        <f>IF(LEN(B15)=1,"0"&amp;B15,TEXT(B15,0))</f>
        <v/>
      </c>
      <c r="D15" s="144" t="n">
        <v>4</v>
      </c>
      <c r="E15" s="144">
        <f>A15</f>
        <v/>
      </c>
      <c r="F15" s="175" t="n">
        <v>12</v>
      </c>
      <c r="G15" s="175" t="n">
        <v>0.24</v>
      </c>
    </row>
    <row r="16">
      <c r="A16" s="176" t="inlineStr">
        <is>
          <t>Cordoba</t>
        </is>
      </c>
      <c r="B16" s="177" t="n">
        <v>14</v>
      </c>
      <c r="C16" s="144">
        <f>IF(LEN(B16)=1,"0"&amp;B16,TEXT(B16,0))</f>
        <v/>
      </c>
      <c r="D16" s="144" t="n">
        <v>2</v>
      </c>
      <c r="E16" s="144">
        <f>A16</f>
        <v/>
      </c>
      <c r="F16" s="175" t="n">
        <v>13</v>
      </c>
      <c r="G16" s="175" t="n">
        <v>0.3</v>
      </c>
    </row>
    <row r="17">
      <c r="A17" s="176" t="inlineStr">
        <is>
          <t>Coruña__A</t>
        </is>
      </c>
      <c r="B17" s="177" t="n">
        <v>15</v>
      </c>
      <c r="C17" s="144">
        <f>IF(LEN(B17)=1,"0"&amp;B17,TEXT(B17,0))</f>
        <v/>
      </c>
      <c r="D17" s="144" t="n">
        <v>1</v>
      </c>
      <c r="E17" s="144">
        <f>A17</f>
        <v/>
      </c>
      <c r="F17" s="175" t="n">
        <v>14</v>
      </c>
      <c r="G17" s="175" t="n">
        <v>0.37</v>
      </c>
    </row>
    <row r="18">
      <c r="A18" s="176" t="inlineStr">
        <is>
          <t>Cuenca</t>
        </is>
      </c>
      <c r="B18" s="177" t="n">
        <v>16</v>
      </c>
      <c r="C18" s="144">
        <f>IF(LEN(B18)=1,"0"&amp;B18,TEXT(B18,0))</f>
        <v/>
      </c>
      <c r="D18" s="144" t="n">
        <v>4</v>
      </c>
      <c r="E18" s="144">
        <f>A18</f>
        <v/>
      </c>
      <c r="F18" s="175" t="n">
        <v>15</v>
      </c>
      <c r="G18" s="175" t="n">
        <v>0.46</v>
      </c>
    </row>
    <row r="19">
      <c r="A19" s="176" t="inlineStr">
        <is>
          <t>Donostia_San_Sebastian</t>
        </is>
      </c>
      <c r="B19" s="177" t="n">
        <v>20</v>
      </c>
      <c r="C19" s="144">
        <f>IF(LEN(B19)=1,"0"&amp;B19,TEXT(B19,0))</f>
        <v/>
      </c>
      <c r="E19" s="144">
        <f>A19</f>
        <v/>
      </c>
      <c r="F19" s="175" t="n">
        <v>16</v>
      </c>
      <c r="G19" s="175" t="n">
        <v>0.5600000000000001</v>
      </c>
    </row>
    <row r="20">
      <c r="A20" s="176" t="inlineStr">
        <is>
          <t>Girona</t>
        </is>
      </c>
      <c r="B20" s="177" t="n">
        <v>17</v>
      </c>
      <c r="C20" s="144">
        <f>IF(LEN(B20)=1,"0"&amp;B20,TEXT(B20,0))</f>
        <v/>
      </c>
      <c r="D20" s="144" t="n">
        <v>4</v>
      </c>
      <c r="E20" s="144">
        <f>A20</f>
        <v/>
      </c>
      <c r="F20" s="175" t="n">
        <v>17</v>
      </c>
      <c r="G20" s="175" t="n">
        <v>0.65</v>
      </c>
    </row>
    <row r="21">
      <c r="A21" s="176" t="inlineStr">
        <is>
          <t>Granada</t>
        </is>
      </c>
      <c r="B21" s="177" t="n">
        <v>18</v>
      </c>
      <c r="C21" s="144">
        <f>IF(LEN(B21)=1,"0"&amp;B21,TEXT(B21,0))</f>
        <v/>
      </c>
      <c r="D21" s="144" t="n">
        <v>2</v>
      </c>
      <c r="E21" s="144">
        <f>A21</f>
        <v/>
      </c>
      <c r="F21" s="175" t="n">
        <v>18</v>
      </c>
      <c r="G21" s="175" t="n">
        <v>0.64</v>
      </c>
    </row>
    <row r="22">
      <c r="A22" s="176" t="inlineStr">
        <is>
          <t>Guadalajara</t>
        </is>
      </c>
      <c r="B22" s="177" t="n">
        <v>19</v>
      </c>
      <c r="C22" s="144">
        <f>IF(LEN(B22)=1,"0"&amp;B22,TEXT(B22,0))</f>
        <v/>
      </c>
      <c r="D22" s="144" t="n">
        <v>4</v>
      </c>
      <c r="E22" s="144">
        <f>A22</f>
        <v/>
      </c>
      <c r="F22" s="175" t="n">
        <v>19</v>
      </c>
      <c r="G22" s="175" t="n">
        <v>0.65</v>
      </c>
    </row>
    <row r="23">
      <c r="A23" s="176" t="inlineStr">
        <is>
          <t>Huelva</t>
        </is>
      </c>
      <c r="B23" s="177" t="n">
        <v>21</v>
      </c>
      <c r="C23" s="144">
        <f>IF(LEN(B23)=1,"0"&amp;B23,TEXT(B23,0))</f>
        <v/>
      </c>
      <c r="D23" s="144" t="n">
        <v>2</v>
      </c>
      <c r="E23" s="144">
        <f>A23</f>
        <v/>
      </c>
      <c r="F23" s="175" t="n">
        <v>20</v>
      </c>
      <c r="G23" s="175" t="n">
        <v>0.66</v>
      </c>
    </row>
    <row r="24">
      <c r="A24" s="176" t="inlineStr">
        <is>
          <t>Huesca</t>
        </is>
      </c>
      <c r="B24" s="177" t="n">
        <v>22</v>
      </c>
      <c r="C24" s="144">
        <f>IF(LEN(B24)=1,"0"&amp;B24,TEXT(B24,0))</f>
        <v/>
      </c>
      <c r="D24" s="144" t="n">
        <v>4</v>
      </c>
      <c r="E24" s="144">
        <f>A24</f>
        <v/>
      </c>
      <c r="F24" s="175" t="n">
        <v>21</v>
      </c>
      <c r="G24" s="175" t="n">
        <v>0.67</v>
      </c>
    </row>
    <row r="25">
      <c r="A25" s="176" t="inlineStr">
        <is>
          <t>Jaen</t>
        </is>
      </c>
      <c r="B25" s="177" t="n">
        <v>23</v>
      </c>
      <c r="C25" s="144">
        <f>IF(LEN(B25)=1,"0"&amp;B25,TEXT(B25,0))</f>
        <v/>
      </c>
      <c r="D25" s="144" t="n">
        <v>2</v>
      </c>
      <c r="E25" s="144">
        <f>A25</f>
        <v/>
      </c>
      <c r="F25" s="175" t="n">
        <v>22</v>
      </c>
      <c r="G25" s="175" t="n">
        <v>0.68</v>
      </c>
    </row>
    <row r="26">
      <c r="A26" s="176" t="inlineStr">
        <is>
          <t>La_Rioja</t>
        </is>
      </c>
      <c r="B26" s="177" t="n">
        <v>26</v>
      </c>
      <c r="C26" s="144">
        <f>IF(LEN(B26)=1,"0"&amp;B26,TEXT(B26,0))</f>
        <v/>
      </c>
      <c r="D26" s="144" t="n">
        <v>2</v>
      </c>
      <c r="E26" s="144">
        <f>A26</f>
        <v/>
      </c>
      <c r="F26" s="175" t="n">
        <v>23</v>
      </c>
      <c r="G26" s="175" t="n">
        <v>0.7</v>
      </c>
    </row>
    <row r="27">
      <c r="A27" s="176" t="inlineStr">
        <is>
          <t>Leon</t>
        </is>
      </c>
      <c r="B27" s="177" t="n">
        <v>24</v>
      </c>
      <c r="C27" s="144">
        <f>IF(LEN(B27)=1,"0"&amp;B27,TEXT(B27,0))</f>
        <v/>
      </c>
      <c r="D27" s="144" t="n">
        <v>3</v>
      </c>
      <c r="E27" s="144">
        <f>A27</f>
        <v/>
      </c>
      <c r="F27" s="175" t="n">
        <v>24</v>
      </c>
      <c r="G27" s="175" t="n">
        <v>0.71</v>
      </c>
    </row>
    <row r="28">
      <c r="A28" s="176" t="inlineStr">
        <is>
          <t>Lleida</t>
        </is>
      </c>
      <c r="B28" s="177" t="n">
        <v>25</v>
      </c>
      <c r="C28" s="144">
        <f>IF(LEN(B28)=1,"0"&amp;B28,TEXT(B28,0))</f>
        <v/>
      </c>
      <c r="D28" s="144" t="n">
        <v>4</v>
      </c>
      <c r="E28" s="144">
        <f>A28</f>
        <v/>
      </c>
      <c r="F28" s="175" t="n">
        <v>25</v>
      </c>
      <c r="G28" s="175" t="n">
        <v>0.72</v>
      </c>
    </row>
    <row r="29">
      <c r="A29" s="176" t="inlineStr">
        <is>
          <t>Lugo</t>
        </is>
      </c>
      <c r="B29" s="177" t="n">
        <v>27</v>
      </c>
      <c r="C29" s="144">
        <f>IF(LEN(B29)=1,"0"&amp;B29,TEXT(B29,0))</f>
        <v/>
      </c>
      <c r="D29" s="144" t="n">
        <v>1</v>
      </c>
      <c r="E29" s="144">
        <f>A29</f>
        <v/>
      </c>
      <c r="F29" s="175" t="n">
        <v>26</v>
      </c>
      <c r="G29" s="175" t="n">
        <v>0.72</v>
      </c>
    </row>
    <row r="30">
      <c r="A30" s="176" t="inlineStr">
        <is>
          <t>Madrid</t>
        </is>
      </c>
      <c r="B30" s="177" t="n">
        <v>28</v>
      </c>
      <c r="C30" s="144">
        <f>IF(LEN(B30)=1,"0"&amp;B30,TEXT(B30,0))</f>
        <v/>
      </c>
      <c r="D30" s="144" t="n">
        <v>4</v>
      </c>
      <c r="E30" s="144">
        <f>A30</f>
        <v/>
      </c>
      <c r="F30" s="175" t="n">
        <v>27</v>
      </c>
      <c r="G30" s="175" t="n">
        <v>0.72</v>
      </c>
    </row>
    <row r="31">
      <c r="A31" s="176" t="inlineStr">
        <is>
          <t>Malaga</t>
        </is>
      </c>
      <c r="B31" s="177" t="n">
        <v>29</v>
      </c>
      <c r="C31" s="144">
        <f>IF(LEN(B31)=1,"0"&amp;B31,TEXT(B31,0))</f>
        <v/>
      </c>
      <c r="D31" s="144" t="n">
        <v>2</v>
      </c>
      <c r="E31" s="144">
        <f>A31</f>
        <v/>
      </c>
      <c r="F31" s="175" t="n">
        <v>28</v>
      </c>
      <c r="G31" s="175" t="n">
        <v>0.71</v>
      </c>
    </row>
    <row r="32">
      <c r="A32" s="176" t="inlineStr">
        <is>
          <t>Melilla</t>
        </is>
      </c>
      <c r="B32" s="177" t="n">
        <v>52</v>
      </c>
      <c r="C32" s="144">
        <f>IF(LEN(B32)=1,"0"&amp;B32,TEXT(B32,0))</f>
        <v/>
      </c>
      <c r="D32" s="144" t="n">
        <v>1</v>
      </c>
      <c r="E32" s="144">
        <f>A32</f>
        <v/>
      </c>
      <c r="F32" s="175" t="n">
        <v>29</v>
      </c>
      <c r="G32" s="175" t="n">
        <v>0.6899999999999999</v>
      </c>
    </row>
    <row r="33">
      <c r="A33" s="176" t="inlineStr">
        <is>
          <t>Murcia</t>
        </is>
      </c>
      <c r="B33" s="177" t="n">
        <v>30</v>
      </c>
      <c r="C33" s="144">
        <f>IF(LEN(B33)=1,"0"&amp;B33,TEXT(B33,0))</f>
        <v/>
      </c>
      <c r="D33" s="144" t="n">
        <v>1</v>
      </c>
      <c r="E33" s="144">
        <f>A33</f>
        <v/>
      </c>
      <c r="F33" s="175" t="n">
        <v>30</v>
      </c>
      <c r="G33" s="175" t="n">
        <v>0.68</v>
      </c>
    </row>
    <row r="34">
      <c r="A34" s="176" t="inlineStr">
        <is>
          <t>Navarra</t>
        </is>
      </c>
      <c r="B34" s="177" t="n">
        <v>31</v>
      </c>
      <c r="C34" s="144">
        <f>IF(LEN(B34)=1,"0"&amp;B34,TEXT(B34,0))</f>
        <v/>
      </c>
      <c r="E34" s="144">
        <f>A34</f>
        <v/>
      </c>
      <c r="F34" s="175" t="n">
        <v>31</v>
      </c>
      <c r="G34" s="175" t="n">
        <v>0.68</v>
      </c>
    </row>
    <row r="35">
      <c r="A35" s="176" t="inlineStr">
        <is>
          <t>Ourense</t>
        </is>
      </c>
      <c r="B35" s="177" t="n">
        <v>32</v>
      </c>
      <c r="C35" s="144">
        <f>IF(LEN(B35)=1,"0"&amp;B35,TEXT(B35,0))</f>
        <v/>
      </c>
      <c r="D35" s="144" t="n">
        <v>1</v>
      </c>
      <c r="E35" s="144">
        <f>A35</f>
        <v/>
      </c>
      <c r="F35" s="175" t="n">
        <v>32</v>
      </c>
      <c r="G35" s="175" t="n">
        <v>0.6899999999999999</v>
      </c>
    </row>
    <row r="36">
      <c r="A36" s="176" t="inlineStr">
        <is>
          <t>Oviedo</t>
        </is>
      </c>
      <c r="B36" s="177" t="n">
        <v>33</v>
      </c>
      <c r="C36" s="144">
        <f>IF(LEN(B36)=1,"0"&amp;B36,TEXT(B36,0))</f>
        <v/>
      </c>
      <c r="E36" s="144">
        <f>A36</f>
        <v/>
      </c>
      <c r="F36" s="175" t="n">
        <v>33</v>
      </c>
      <c r="G36" s="175" t="n">
        <v>0.71</v>
      </c>
    </row>
    <row r="37">
      <c r="A37" s="176" t="inlineStr">
        <is>
          <t>Palencia</t>
        </is>
      </c>
      <c r="B37" s="177" t="n">
        <v>34</v>
      </c>
      <c r="C37" s="144">
        <f>IF(LEN(B37)=1,"0"&amp;B37,TEXT(B37,0))</f>
        <v/>
      </c>
      <c r="D37" s="144" t="n">
        <v>3</v>
      </c>
      <c r="E37" s="144">
        <f>A37</f>
        <v/>
      </c>
      <c r="F37" s="175" t="n">
        <v>34</v>
      </c>
      <c r="G37" s="175" t="n">
        <v>0.77</v>
      </c>
    </row>
    <row r="38">
      <c r="A38" s="176" t="inlineStr">
        <is>
          <t>Palma</t>
        </is>
      </c>
      <c r="B38" s="177" t="n">
        <v>7</v>
      </c>
      <c r="C38" s="144">
        <f>IF(LEN(B38)=1,"0"&amp;B38,TEXT(B38,0))</f>
        <v/>
      </c>
      <c r="D38" s="144" t="n">
        <v>6</v>
      </c>
      <c r="E38" s="144">
        <f>A38</f>
        <v/>
      </c>
      <c r="F38" s="175" t="n">
        <v>35</v>
      </c>
      <c r="G38" s="175" t="n">
        <v>0.84</v>
      </c>
    </row>
    <row r="39">
      <c r="A39" s="176" t="inlineStr">
        <is>
          <t>Palmas_de_Gran_Canaria__Las</t>
        </is>
      </c>
      <c r="B39" s="177" t="n">
        <v>35</v>
      </c>
      <c r="C39" s="144">
        <f>IF(LEN(B39)=1,"0"&amp;B39,TEXT(B39,0))</f>
        <v/>
      </c>
      <c r="D39" s="144" t="n">
        <v>1</v>
      </c>
      <c r="E39" s="144">
        <f>A39</f>
        <v/>
      </c>
      <c r="F39" s="175" t="n">
        <v>36</v>
      </c>
      <c r="G39" s="175" t="n">
        <v>0.9399999999999999</v>
      </c>
    </row>
    <row r="40">
      <c r="A40" s="176" t="inlineStr">
        <is>
          <t>Pontevedra</t>
        </is>
      </c>
      <c r="B40" s="177" t="n">
        <v>36</v>
      </c>
      <c r="C40" s="144">
        <f>IF(LEN(B40)=1,"0"&amp;B40,TEXT(B40,0))</f>
        <v/>
      </c>
      <c r="D40" s="144" t="n">
        <v>1</v>
      </c>
      <c r="E40" s="144">
        <f>A40</f>
        <v/>
      </c>
      <c r="F40" s="175" t="n">
        <v>37</v>
      </c>
      <c r="G40" s="175" t="n">
        <v>1.05</v>
      </c>
    </row>
    <row r="41">
      <c r="A41" s="176" t="inlineStr">
        <is>
          <t>Salamanca</t>
        </is>
      </c>
      <c r="B41" s="177" t="n">
        <v>37</v>
      </c>
      <c r="C41" s="144">
        <f>IF(LEN(B41)=1,"0"&amp;B41,TEXT(B41,0))</f>
        <v/>
      </c>
      <c r="D41" s="144" t="n">
        <v>3</v>
      </c>
      <c r="E41" s="144">
        <f>A41</f>
        <v/>
      </c>
      <c r="F41" s="175" t="n">
        <v>38</v>
      </c>
      <c r="G41" s="175" t="n">
        <v>1.16</v>
      </c>
    </row>
    <row r="42">
      <c r="A42" s="176" t="inlineStr">
        <is>
          <t>Santa_Cruz_de_Tenerife</t>
        </is>
      </c>
      <c r="B42" s="177" t="n">
        <v>38</v>
      </c>
      <c r="C42" s="144">
        <f>IF(LEN(B42)=1,"0"&amp;B42,TEXT(B42,0))</f>
        <v/>
      </c>
      <c r="D42" s="144" t="n">
        <v>1</v>
      </c>
      <c r="E42" s="144">
        <f>A42</f>
        <v/>
      </c>
      <c r="F42" s="175" t="n">
        <v>39</v>
      </c>
      <c r="G42" s="175" t="n">
        <v>1.28</v>
      </c>
    </row>
    <row r="43">
      <c r="A43" s="176" t="inlineStr">
        <is>
          <t>Santander</t>
        </is>
      </c>
      <c r="B43" s="177" t="n">
        <v>39</v>
      </c>
      <c r="C43" s="144">
        <f>IF(LEN(B43)=1,"0"&amp;B43,TEXT(B43,0))</f>
        <v/>
      </c>
      <c r="D43" s="144" t="n">
        <v>2</v>
      </c>
      <c r="E43" s="144">
        <f>A43</f>
        <v/>
      </c>
      <c r="F43" s="175" t="n">
        <v>40</v>
      </c>
      <c r="G43" s="175" t="n">
        <v>1.4</v>
      </c>
    </row>
    <row r="44">
      <c r="A44" s="176" t="inlineStr">
        <is>
          <t>Segovia</t>
        </is>
      </c>
      <c r="B44" s="177" t="n">
        <v>40</v>
      </c>
      <c r="C44" s="144">
        <f>IF(LEN(B44)=1,"0"&amp;B44,TEXT(B44,0))</f>
        <v/>
      </c>
      <c r="D44" s="144" t="n">
        <v>3</v>
      </c>
      <c r="E44" s="144">
        <f>A44</f>
        <v/>
      </c>
      <c r="F44" s="175" t="n">
        <v>41</v>
      </c>
      <c r="G44" s="175" t="n">
        <v>1.54</v>
      </c>
    </row>
    <row r="45">
      <c r="A45" s="176" t="inlineStr">
        <is>
          <t>Sevilla</t>
        </is>
      </c>
      <c r="B45" s="177" t="n">
        <v>41</v>
      </c>
      <c r="C45" s="144">
        <f>IF(LEN(B45)=1,"0"&amp;B45,TEXT(B45,0))</f>
        <v/>
      </c>
      <c r="D45" s="144" t="n">
        <v>2</v>
      </c>
      <c r="E45" s="144">
        <f>A45</f>
        <v/>
      </c>
      <c r="F45" s="175" t="n">
        <v>42</v>
      </c>
      <c r="G45" s="175" t="n">
        <v>1.79</v>
      </c>
    </row>
    <row r="46">
      <c r="A46" s="176" t="inlineStr">
        <is>
          <t>Soria</t>
        </is>
      </c>
      <c r="B46" s="177" t="n">
        <v>42</v>
      </c>
      <c r="C46" s="144">
        <f>IF(LEN(B46)=1,"0"&amp;B46,TEXT(B46,0))</f>
        <v/>
      </c>
      <c r="D46" s="144" t="n">
        <v>3</v>
      </c>
      <c r="E46" s="144">
        <f>A46</f>
        <v/>
      </c>
      <c r="F46" s="175" t="n">
        <v>43</v>
      </c>
      <c r="G46" s="175" t="n">
        <v>2.09</v>
      </c>
    </row>
    <row r="47">
      <c r="A47" s="176" t="inlineStr">
        <is>
          <t>Tarragona</t>
        </is>
      </c>
      <c r="B47" s="177" t="n">
        <v>43</v>
      </c>
      <c r="C47" s="144">
        <f>IF(LEN(B47)=1,"0"&amp;B47,TEXT(B47,0))</f>
        <v/>
      </c>
      <c r="D47" s="144" t="n">
        <v>4</v>
      </c>
      <c r="E47" s="144">
        <f>A47</f>
        <v/>
      </c>
      <c r="F47" s="175" t="n">
        <v>44</v>
      </c>
      <c r="G47" s="175" t="n">
        <v>2.44</v>
      </c>
    </row>
    <row r="48">
      <c r="A48" s="176" t="inlineStr">
        <is>
          <t>Teruel</t>
        </is>
      </c>
      <c r="B48" s="177" t="n">
        <v>44</v>
      </c>
      <c r="C48" s="144">
        <f>IF(LEN(B48)=1,"0"&amp;B48,TEXT(B48,0))</f>
        <v/>
      </c>
      <c r="D48" s="144" t="n">
        <v>4</v>
      </c>
      <c r="E48" s="144">
        <f>A48</f>
        <v/>
      </c>
      <c r="F48" s="175" t="n">
        <v>45</v>
      </c>
      <c r="G48" s="175" t="n">
        <v>2.85</v>
      </c>
    </row>
    <row r="49">
      <c r="A49" s="176" t="inlineStr">
        <is>
          <t>Toledo</t>
        </is>
      </c>
      <c r="B49" s="177" t="n">
        <v>45</v>
      </c>
      <c r="C49" s="144">
        <f>IF(LEN(B49)=1,"0"&amp;B49,TEXT(B49,0))</f>
        <v/>
      </c>
      <c r="D49" s="144" t="n">
        <v>4</v>
      </c>
      <c r="E49" s="144">
        <f>A49</f>
        <v/>
      </c>
      <c r="F49" s="175" t="n">
        <v>46</v>
      </c>
      <c r="G49" s="175" t="n">
        <v>3.31</v>
      </c>
    </row>
    <row r="50">
      <c r="A50" s="176" t="inlineStr">
        <is>
          <t>Valencia</t>
        </is>
      </c>
      <c r="B50" s="177" t="n">
        <v>46</v>
      </c>
      <c r="C50" s="144">
        <f>IF(LEN(B50)=1,"0"&amp;B50,TEXT(B50,0))</f>
        <v/>
      </c>
      <c r="D50" s="144" t="n">
        <v>2</v>
      </c>
      <c r="E50" s="144">
        <f>A50</f>
        <v/>
      </c>
      <c r="F50" s="175" t="n">
        <v>47</v>
      </c>
      <c r="G50" s="175" t="n">
        <v>3.84</v>
      </c>
    </row>
    <row r="51">
      <c r="A51" s="176" t="inlineStr">
        <is>
          <t>Valladolid</t>
        </is>
      </c>
      <c r="B51" s="177" t="n">
        <v>47</v>
      </c>
      <c r="C51" s="144">
        <f>IF(LEN(B51)=1,"0"&amp;B51,TEXT(B51,0))</f>
        <v/>
      </c>
      <c r="D51" s="144" t="n">
        <v>3</v>
      </c>
      <c r="E51" s="144">
        <f>A51</f>
        <v/>
      </c>
      <c r="F51" s="175" t="n">
        <v>48</v>
      </c>
      <c r="G51" s="175" t="n">
        <v>4.44</v>
      </c>
    </row>
    <row r="52">
      <c r="A52" s="176" t="inlineStr">
        <is>
          <t>Zamora</t>
        </is>
      </c>
      <c r="B52" s="177" t="n">
        <v>49</v>
      </c>
      <c r="C52" s="144">
        <f>IF(LEN(B52)=1,"0"&amp;B52,TEXT(B52,0))</f>
        <v/>
      </c>
      <c r="D52" s="144" t="n">
        <v>3</v>
      </c>
      <c r="E52" s="144">
        <f>A52</f>
        <v/>
      </c>
      <c r="F52" s="175" t="n">
        <v>49</v>
      </c>
      <c r="G52" s="175" t="n">
        <v>5.11</v>
      </c>
    </row>
    <row r="53">
      <c r="A53" s="176" t="inlineStr">
        <is>
          <t>Zaragoza</t>
        </is>
      </c>
      <c r="B53" s="177" t="n">
        <v>50</v>
      </c>
      <c r="C53" s="144">
        <f>IF(LEN(B53)=1,"0"&amp;B53,TEXT(B53,0))</f>
        <v/>
      </c>
      <c r="D53" s="144" t="n">
        <v>4</v>
      </c>
      <c r="E53" s="144">
        <f>A53</f>
        <v/>
      </c>
      <c r="F53" s="175" t="n">
        <v>50</v>
      </c>
      <c r="G53" s="175" t="n">
        <v>5.85</v>
      </c>
    </row>
    <row r="54">
      <c r="F54" s="175" t="n">
        <v>51</v>
      </c>
      <c r="G54" s="175" t="n">
        <v>6.45</v>
      </c>
    </row>
    <row r="55">
      <c r="F55" s="175" t="n">
        <v>52</v>
      </c>
      <c r="G55" s="175" t="n">
        <v>7.08</v>
      </c>
    </row>
    <row r="56">
      <c r="F56" s="175" t="n">
        <v>53</v>
      </c>
      <c r="G56" s="175" t="n">
        <v>7.75</v>
      </c>
    </row>
    <row r="57">
      <c r="F57" s="175" t="n">
        <v>54</v>
      </c>
      <c r="G57" s="175" t="n">
        <v>8.43</v>
      </c>
    </row>
    <row r="58">
      <c r="F58" s="175" t="n">
        <v>55</v>
      </c>
      <c r="G58" s="175" t="n">
        <v>9.17</v>
      </c>
    </row>
    <row r="59">
      <c r="F59" s="175" t="n">
        <v>56</v>
      </c>
      <c r="G59" s="175" t="n">
        <v>9.92</v>
      </c>
    </row>
    <row r="60">
      <c r="F60" s="175" t="n">
        <v>57</v>
      </c>
      <c r="G60" s="175" t="n">
        <v>10.74</v>
      </c>
    </row>
    <row r="61">
      <c r="F61" s="175" t="n">
        <v>58</v>
      </c>
      <c r="G61" s="175" t="n">
        <v>11.6</v>
      </c>
    </row>
    <row r="62">
      <c r="F62" s="175" t="n">
        <v>59</v>
      </c>
      <c r="G62" s="175" t="n">
        <v>12.53</v>
      </c>
    </row>
    <row r="63">
      <c r="F63" s="175" t="n">
        <v>60</v>
      </c>
      <c r="G63" s="175" t="n">
        <v>13.55</v>
      </c>
    </row>
    <row r="64">
      <c r="F64" s="175" t="n">
        <v>61</v>
      </c>
      <c r="G64" s="175" t="n">
        <v>14.63</v>
      </c>
    </row>
    <row r="65">
      <c r="F65" s="175" t="n">
        <v>62</v>
      </c>
      <c r="G65" s="175" t="n">
        <v>15.84</v>
      </c>
    </row>
    <row r="66">
      <c r="F66" s="175" t="n">
        <v>63</v>
      </c>
      <c r="G66" s="175" t="n">
        <v>17.14</v>
      </c>
    </row>
    <row r="67">
      <c r="F67" s="175" t="n">
        <v>64</v>
      </c>
      <c r="G67" s="175" t="n">
        <v>18.57</v>
      </c>
    </row>
    <row r="68">
      <c r="F68" s="175" t="n">
        <v>65</v>
      </c>
      <c r="G68" s="175" t="n">
        <v>20.19</v>
      </c>
    </row>
    <row r="69">
      <c r="F69" s="175" t="n">
        <v>66</v>
      </c>
      <c r="G69" s="175" t="n">
        <v>21.91</v>
      </c>
    </row>
    <row r="70">
      <c r="F70" s="175" t="n">
        <v>67</v>
      </c>
      <c r="G70" s="175" t="n">
        <v>23.89</v>
      </c>
    </row>
    <row r="71">
      <c r="F71" s="175" t="n">
        <v>68</v>
      </c>
      <c r="G71" s="175" t="n">
        <v>26.06</v>
      </c>
    </row>
    <row r="72">
      <c r="F72" s="175" t="n">
        <v>69</v>
      </c>
      <c r="G72" s="175" t="n">
        <v>28.48</v>
      </c>
    </row>
    <row r="73">
      <c r="F73" s="175" t="n">
        <v>70</v>
      </c>
      <c r="G73" s="175" t="n">
        <v>31.24</v>
      </c>
    </row>
    <row r="74">
      <c r="F74" s="175" t="n">
        <v>71</v>
      </c>
      <c r="G74" s="175" t="n">
        <v>34.36</v>
      </c>
    </row>
    <row r="75">
      <c r="F75" s="175" t="n">
        <v>72</v>
      </c>
      <c r="G75" s="175" t="n">
        <v>37.9</v>
      </c>
    </row>
    <row r="76">
      <c r="F76" s="175" t="n">
        <v>73</v>
      </c>
      <c r="G76" s="175" t="n">
        <v>41.9</v>
      </c>
    </row>
    <row r="77">
      <c r="F77" s="175" t="n">
        <v>74</v>
      </c>
      <c r="G77" s="175" t="n">
        <v>46.48</v>
      </c>
    </row>
    <row r="78">
      <c r="F78" s="175" t="n">
        <v>75</v>
      </c>
      <c r="G78" s="175" t="n">
        <v>51.81</v>
      </c>
    </row>
    <row r="79">
      <c r="F79" s="175" t="n">
        <v>76</v>
      </c>
      <c r="G79" s="175" t="n">
        <v>57.81</v>
      </c>
    </row>
    <row r="80">
      <c r="F80" s="175" t="n">
        <v>77</v>
      </c>
      <c r="G80" s="175" t="n">
        <v>64.70999999999999</v>
      </c>
    </row>
    <row r="81">
      <c r="F81" s="175" t="n">
        <v>78</v>
      </c>
      <c r="G81" s="175" t="n">
        <v>72.72</v>
      </c>
    </row>
    <row r="82">
      <c r="F82" s="175" t="n">
        <v>79</v>
      </c>
      <c r="G82" s="175" t="n">
        <v>81.76000000000001</v>
      </c>
    </row>
    <row r="83">
      <c r="F83" s="175" t="n">
        <v>80</v>
      </c>
      <c r="G83" s="175" t="n">
        <v>92.34999999999999</v>
      </c>
    </row>
    <row r="84">
      <c r="F84" s="175" t="n">
        <v>81</v>
      </c>
      <c r="G84" s="175" t="n">
        <v>104.7</v>
      </c>
    </row>
    <row r="85">
      <c r="F85" s="175" t="n">
        <v>82</v>
      </c>
      <c r="G85" s="175" t="n">
        <v>119.04</v>
      </c>
    </row>
    <row r="86">
      <c r="F86" s="175" t="n">
        <v>83</v>
      </c>
      <c r="G86" s="175" t="n">
        <v>135.33</v>
      </c>
    </row>
    <row r="87">
      <c r="F87" s="175" t="n">
        <v>84</v>
      </c>
      <c r="G87" s="175" t="n">
        <v>153.99</v>
      </c>
    </row>
    <row r="88">
      <c r="F88" s="175" t="n">
        <v>85</v>
      </c>
      <c r="G88" s="175" t="n">
        <v>175.53</v>
      </c>
    </row>
    <row r="89">
      <c r="F89" s="175" t="n">
        <v>86</v>
      </c>
      <c r="G89" s="175" t="n">
        <v>199.68</v>
      </c>
    </row>
    <row r="90">
      <c r="F90" s="175" t="n">
        <v>87</v>
      </c>
      <c r="G90" s="175" t="n">
        <v>226.95</v>
      </c>
    </row>
    <row r="91">
      <c r="F91" s="175" t="n">
        <v>88</v>
      </c>
      <c r="G91" s="175" t="n">
        <v>257.39</v>
      </c>
    </row>
    <row r="92">
      <c r="F92" s="175" t="n">
        <v>89</v>
      </c>
      <c r="G92" s="175" t="n">
        <v>291.81</v>
      </c>
    </row>
    <row r="93">
      <c r="F93" s="175" t="n">
        <v>90</v>
      </c>
      <c r="G93" s="175" t="n">
        <v>329.28</v>
      </c>
    </row>
    <row r="94">
      <c r="F94" s="175" t="n">
        <v>91</v>
      </c>
      <c r="G94" s="175" t="n">
        <v>370.9</v>
      </c>
    </row>
    <row r="95">
      <c r="F95" s="175" t="n">
        <v>92</v>
      </c>
      <c r="G95" s="175" t="n">
        <v>416.12</v>
      </c>
    </row>
    <row r="96">
      <c r="F96" s="175" t="n">
        <v>93</v>
      </c>
      <c r="G96" s="175" t="n">
        <v>465.39</v>
      </c>
    </row>
    <row r="97">
      <c r="F97" s="175" t="n">
        <v>94</v>
      </c>
      <c r="G97" s="175" t="n">
        <v>519.22</v>
      </c>
    </row>
    <row r="98">
      <c r="F98" s="175" t="n">
        <v>95</v>
      </c>
      <c r="G98" s="175" t="n">
        <v>577.0599999999999</v>
      </c>
    </row>
    <row r="99">
      <c r="F99" s="175" t="n">
        <v>96</v>
      </c>
      <c r="G99" s="175" t="n">
        <v>640.45</v>
      </c>
    </row>
    <row r="100">
      <c r="F100" s="175" t="n">
        <v>97</v>
      </c>
      <c r="G100" s="175" t="n">
        <v>707.58</v>
      </c>
    </row>
    <row r="101">
      <c r="F101" s="175" t="n">
        <v>98</v>
      </c>
      <c r="G101" s="175" t="n">
        <v>778.79</v>
      </c>
    </row>
    <row r="102">
      <c r="F102" s="175" t="n">
        <v>99</v>
      </c>
      <c r="G102" s="175" t="n">
        <v>852.86</v>
      </c>
    </row>
    <row r="103">
      <c r="F103" s="175" t="n">
        <v>100</v>
      </c>
      <c r="G103" s="175" t="n">
        <v>967.1799999999999</v>
      </c>
    </row>
    <row r="104">
      <c r="F104" s="175" t="n">
        <v>101</v>
      </c>
      <c r="G104" s="178" t="n">
        <v>1097.93</v>
      </c>
    </row>
    <row r="105">
      <c r="F105" s="175" t="n">
        <v>102</v>
      </c>
      <c r="G105" s="178" t="n">
        <v>1248.82</v>
      </c>
    </row>
    <row r="106">
      <c r="F106" s="175" t="n">
        <v>103</v>
      </c>
      <c r="G106" s="178" t="n">
        <v>1415.37</v>
      </c>
    </row>
    <row r="107">
      <c r="F107" s="175" t="n">
        <v>104</v>
      </c>
      <c r="G107" s="178" t="n">
        <v>1590.93</v>
      </c>
    </row>
    <row r="108">
      <c r="F108" s="175" t="n">
        <v>105</v>
      </c>
      <c r="G108" s="178" t="n">
        <v>1767.5</v>
      </c>
    </row>
    <row r="109">
      <c r="F109" s="175" t="n">
        <v>106</v>
      </c>
      <c r="G109" s="178" t="n">
        <v>1936.57</v>
      </c>
    </row>
    <row r="110">
      <c r="F110" s="175" t="n">
        <v>107</v>
      </c>
      <c r="G110" s="178" t="n">
        <v>2089.92</v>
      </c>
    </row>
    <row r="111">
      <c r="F111" s="175" t="n">
        <v>108</v>
      </c>
      <c r="G111" s="178" t="n">
        <v>2217.13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60000"/>
    <outlinePr summaryBelow="0" summaryRight="0"/>
    <pageSetUpPr/>
  </sheetPr>
  <dimension ref="A1:AY1012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38" customWidth="1" style="241" min="1" max="1"/>
    <col width="6.88" customWidth="1" style="241" min="2" max="4"/>
    <col width="2.63" customWidth="1" style="241" min="5" max="5"/>
    <col width="2.38" customWidth="1" style="241" min="7" max="7"/>
    <col width="4.25" customWidth="1" style="241" min="9" max="9"/>
    <col width="11.75" customWidth="1" style="241" min="10" max="10"/>
    <col width="4.13" customWidth="1" style="241" min="11" max="11"/>
    <col width="13.13" customWidth="1" style="241" min="12" max="12"/>
    <col width="10.63" customWidth="1" style="241" min="13" max="14"/>
    <col width="10.5" customWidth="1" style="241" min="15" max="15"/>
    <col width="10.63" customWidth="1" style="241" min="16" max="21"/>
    <col width="10.5" customWidth="1" style="241" min="22" max="22"/>
    <col width="10.63" customWidth="1" style="241" min="23" max="25"/>
    <col width="13.5" customWidth="1" style="241" min="26" max="28"/>
    <col width="20.63" customWidth="1" style="241" min="29" max="29"/>
    <col width="7" customWidth="1" style="241" min="30" max="40"/>
  </cols>
  <sheetData>
    <row r="1" ht="18.75" customHeight="1" s="241">
      <c r="B1" s="2" t="n"/>
      <c r="C1" s="2" t="n"/>
      <c r="D1" s="5" t="n"/>
      <c r="E1" s="10" t="n"/>
      <c r="F1" s="5" t="n"/>
      <c r="G1" s="5" t="n"/>
      <c r="H1" s="5" t="n"/>
      <c r="J1" s="6" t="n"/>
      <c r="K1" s="5" t="n"/>
      <c r="N1" s="179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</row>
    <row r="2" ht="18.75" customHeight="1" s="241">
      <c r="B2" s="2" t="n"/>
      <c r="D2" s="5" t="n"/>
      <c r="E2" s="10" t="n"/>
      <c r="F2" s="5" t="n"/>
      <c r="G2" s="5" t="n"/>
      <c r="H2" s="7">
        <f>IF(LEN(H3)=5,VLOOKUP(LEFT(H3,2),AuxCP!C:E,3,0),VLOOKUP("0"&amp;LEFT(H3,1),AuxCP!C:E,3,0))</f>
        <v/>
      </c>
      <c r="J2" s="6" t="inlineStr">
        <is>
          <t>Zona</t>
        </is>
      </c>
      <c r="K2" s="5" t="n"/>
      <c r="N2" s="179" t="n"/>
      <c r="O2" s="180" t="n"/>
      <c r="P2" s="181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</row>
    <row r="3" ht="27" customHeight="1" s="241">
      <c r="A3" s="58" t="n"/>
      <c r="B3" s="10" t="n"/>
      <c r="C3" s="10" t="n"/>
      <c r="D3" s="10" t="n"/>
      <c r="E3" s="10" t="n"/>
      <c r="F3" s="10" t="inlineStr">
        <is>
          <t>CP</t>
        </is>
      </c>
      <c r="G3" s="10" t="n"/>
      <c r="H3" s="11" t="n">
        <v>28000</v>
      </c>
      <c r="I3" s="10" t="n"/>
      <c r="J3" s="12">
        <f>IF(LEN(H3)=5,VLOOKUP(LEFT(H3,2),AuxCP!C:D,2,0),VLOOKUP("0"&amp;LEFT(H3,1),AuxCP!C:D,2,0))</f>
        <v/>
      </c>
      <c r="K3" s="10" t="n"/>
      <c r="L3" s="264" t="inlineStr">
        <is>
          <t>COTIZACIÓN</t>
        </is>
      </c>
      <c r="M3" s="265" t="n"/>
      <c r="N3" s="265" t="n"/>
      <c r="O3" s="265" t="n"/>
      <c r="P3" s="265" t="n"/>
      <c r="Q3" s="265" t="n"/>
      <c r="R3" s="265" t="n"/>
      <c r="S3" s="265" t="n"/>
      <c r="T3" s="265" t="n"/>
      <c r="U3" s="265" t="n"/>
      <c r="V3" s="265" t="n"/>
      <c r="W3" s="265" t="n"/>
      <c r="X3" s="265" t="n"/>
      <c r="Y3" s="265" t="n"/>
      <c r="Z3" s="265" t="n"/>
      <c r="AA3" s="265" t="n"/>
      <c r="AB3" s="266" t="n"/>
      <c r="AC3" s="58" t="n"/>
      <c r="AD3" s="58" t="n"/>
      <c r="AE3" s="58" t="n"/>
      <c r="AF3" s="58" t="n"/>
      <c r="AG3" s="58" t="n"/>
      <c r="AH3" s="58" t="n"/>
      <c r="AI3" s="58" t="n"/>
      <c r="AJ3" s="58" t="n"/>
      <c r="AK3" s="58" t="n"/>
      <c r="AL3" s="58" t="n"/>
      <c r="AM3" s="58" t="n"/>
      <c r="AN3" s="58" t="n"/>
      <c r="AO3" s="58" t="n"/>
      <c r="AP3" s="58" t="n"/>
      <c r="AQ3" s="58" t="n"/>
      <c r="AR3" s="58" t="n"/>
      <c r="AS3" s="58" t="n"/>
      <c r="AT3" s="58" t="n"/>
      <c r="AU3" s="58" t="n"/>
      <c r="AV3" s="58" t="n"/>
      <c r="AW3" s="58" t="n"/>
      <c r="AX3" s="58" t="n"/>
      <c r="AY3" s="58" t="n"/>
    </row>
    <row r="4" ht="20.25" customHeight="1" s="241">
      <c r="B4" s="5" t="inlineStr">
        <is>
          <t>Fecha nacimiento</t>
        </is>
      </c>
      <c r="E4" s="10" t="n"/>
      <c r="F4" s="5" t="inlineStr">
        <is>
          <t>Edad</t>
        </is>
      </c>
      <c r="G4" s="5" t="n"/>
      <c r="H4" s="5" t="n"/>
      <c r="J4" s="245" t="inlineStr">
        <is>
          <t>DESCUENTOS</t>
        </is>
      </c>
      <c r="K4" s="5" t="n"/>
      <c r="L4" s="185" t="n"/>
      <c r="M4" s="267" t="inlineStr">
        <is>
          <t>Adeslas Go</t>
        </is>
      </c>
      <c r="N4" s="251" t="inlineStr">
        <is>
          <t>Adeslas Plena Vital</t>
        </is>
      </c>
      <c r="O4" s="268" t="inlineStr">
        <is>
          <t>Adeslas Plena Total Vital</t>
        </is>
      </c>
      <c r="P4" s="251" t="inlineStr">
        <is>
          <t>Adeslas Plena</t>
        </is>
      </c>
      <c r="Q4" s="251" t="inlineStr">
        <is>
          <t>Adeslas Plena Plus</t>
        </is>
      </c>
      <c r="R4" s="268" t="inlineStr">
        <is>
          <t>Adeslas Plena Total</t>
        </is>
      </c>
      <c r="S4" s="251" t="inlineStr">
        <is>
          <t>Adeslas Plena Extra 150</t>
        </is>
      </c>
      <c r="T4" s="269" t="inlineStr">
        <is>
          <t>Adeslas Seniors</t>
        </is>
      </c>
      <c r="U4" s="269" t="inlineStr">
        <is>
          <t>Adeslas Plena Total Seniors</t>
        </is>
      </c>
      <c r="V4" s="251" t="inlineStr">
        <is>
          <t>Adeslas NIF</t>
        </is>
      </c>
      <c r="W4" s="270" t="inlineStr">
        <is>
          <t>Adeslas Pymes TOTAL</t>
        </is>
      </c>
      <c r="X4" s="251" t="inlineStr">
        <is>
          <t>Adeslas Extra NIF</t>
        </is>
      </c>
      <c r="Y4" s="251" t="inlineStr">
        <is>
          <t>Adeslas CIF</t>
        </is>
      </c>
      <c r="Z4" s="251" t="inlineStr">
        <is>
          <t>Adeslas Extra CIF</t>
        </is>
      </c>
      <c r="AA4" s="251" t="inlineStr">
        <is>
          <t>Adeslas Empresas</t>
        </is>
      </c>
      <c r="AB4" s="271" t="inlineStr">
        <is>
          <t>Adeslas Extra Empresas</t>
        </is>
      </c>
      <c r="AC4" s="58" t="n"/>
      <c r="AD4" s="58" t="n"/>
      <c r="AE4" s="58" t="n"/>
      <c r="AF4" s="58" t="n"/>
      <c r="AG4" s="58" t="n"/>
      <c r="AH4" s="58" t="n"/>
      <c r="AI4" s="58" t="n"/>
      <c r="AJ4" s="58" t="n"/>
      <c r="AK4" s="58" t="n"/>
      <c r="AL4" s="58" t="n"/>
      <c r="AM4" s="58" t="n"/>
      <c r="AN4" s="58" t="n"/>
      <c r="AO4" s="58" t="n"/>
    </row>
    <row r="5" ht="20.25" customHeight="1" s="241">
      <c r="A5" s="58" t="n"/>
      <c r="B5" s="30" t="inlineStr">
        <is>
          <t>Día</t>
        </is>
      </c>
      <c r="C5" s="30" t="inlineStr">
        <is>
          <t>Mes</t>
        </is>
      </c>
      <c r="D5" s="30" t="inlineStr">
        <is>
          <t>Año</t>
        </is>
      </c>
      <c r="E5" s="10" t="n"/>
      <c r="F5" s="30" t="inlineStr">
        <is>
          <t>Edad</t>
        </is>
      </c>
      <c r="G5" s="31" t="n"/>
      <c r="H5" s="32" t="inlineStr">
        <is>
          <t>Edad</t>
        </is>
      </c>
      <c r="I5" s="58" t="n"/>
      <c r="J5" s="253" t="n"/>
      <c r="K5" s="10" t="n"/>
      <c r="L5" s="185" t="n"/>
      <c r="M5" s="253" t="n"/>
      <c r="N5" s="253" t="n"/>
      <c r="O5" s="253" t="n"/>
      <c r="P5" s="253" t="n"/>
      <c r="Q5" s="253" t="n"/>
      <c r="R5" s="253" t="n"/>
      <c r="S5" s="253" t="n"/>
      <c r="T5" s="253" t="n"/>
      <c r="U5" s="253" t="n"/>
      <c r="V5" s="253" t="n"/>
      <c r="W5" s="253" t="n"/>
      <c r="X5" s="253" t="n"/>
      <c r="Y5" s="253" t="n"/>
      <c r="Z5" s="253" t="n"/>
      <c r="AA5" s="253" t="n"/>
      <c r="AB5" s="272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Q5" s="58" t="n"/>
      <c r="AR5" s="58" t="n"/>
      <c r="AS5" s="58" t="n"/>
      <c r="AT5" s="58" t="n"/>
      <c r="AU5" s="58" t="n"/>
      <c r="AV5" s="58" t="n"/>
      <c r="AW5" s="58" t="n"/>
      <c r="AX5" s="58" t="n"/>
    </row>
    <row r="6" ht="34.5" customHeight="1" s="241">
      <c r="A6" s="38" t="n">
        <v>1</v>
      </c>
      <c r="B6" s="192" t="n"/>
      <c r="C6" s="192" t="n"/>
      <c r="D6" s="192" t="n"/>
      <c r="E6" s="10" t="n"/>
      <c r="F6" s="193" t="n">
        <v>52</v>
      </c>
      <c r="G6" s="10" t="n"/>
      <c r="H6" s="41">
        <f>IF(F6=0,TRUNC((TODAY()-DATE(D6,C6,B6))/365.25,0),F6)</f>
        <v/>
      </c>
      <c r="I6" s="10" t="n"/>
      <c r="J6" s="42">
        <f>IF(J10="Sí",0.06+J8,J8)</f>
        <v/>
      </c>
      <c r="K6" s="5" t="n"/>
      <c r="L6" s="194" t="inlineStr">
        <is>
          <t>SIN DENTAL</t>
        </is>
      </c>
      <c r="M6" s="48">
        <f>IF(H16="No Asegurable","", IF($F15&gt;1, SUM(M19:M26)*0.9,SUM(M19:M26)))</f>
        <v/>
      </c>
      <c r="N6" s="48">
        <f>IF(H19="No Asegurable","", IF($F15&gt;3, SUM(N19:N26)*0.9,SUM(N19:N26)))</f>
        <v/>
      </c>
      <c r="O6" s="10" t="n"/>
      <c r="P6" s="48">
        <f>IF(H20="No Asegurable","", IF($F15&gt;3, SUM(P19:P26)*0.9,SUM(P19:P26)))</f>
        <v/>
      </c>
      <c r="Q6" s="48">
        <f>IF(H20="No Asegurable","", IF($F15&gt;3, SUM(Q19:Q26)*0.9,SUM(Q19:Q26)))</f>
        <v/>
      </c>
      <c r="R6" s="10" t="n"/>
      <c r="S6" s="48">
        <f>IF(H25="No Asegurable","", IF($F15&gt;3, SUM(S19:S26)*0.9,SUM(S19:S26)))</f>
        <v/>
      </c>
      <c r="T6" s="10">
        <f>IF(H17="No Asegurable","", IF($F15&gt;2, SUM(T19:T26)*0.9,SUM(T19:T26)))</f>
        <v/>
      </c>
      <c r="U6" s="10" t="n"/>
      <c r="V6" s="48">
        <f>IF(H21="No Asegurable","", IF($F15&gt;3, SUM(V19:V26)*0.9,SUM(V19:V26)))</f>
        <v/>
      </c>
      <c r="W6" s="10" t="n"/>
      <c r="X6" s="48">
        <f>IF(H21="No Asegurable","", IF($F15&gt;3, SUM(X19:X26)*0.9,SUM(X19:X26)))</f>
        <v/>
      </c>
      <c r="Y6" s="48">
        <f>IF(H28="No Asegurable","", IF($F15&gt;3, SUM(Y19:Y26)*0.9,SUM(Y19:Y26)))</f>
        <v/>
      </c>
      <c r="Z6" s="48">
        <f>IF(H28="No Asegurable","", IF($F15&gt;3, SUM(Z19:Z26)*0.9,SUM(Z19:Z26)))</f>
        <v/>
      </c>
      <c r="AA6" s="10">
        <f>IF($H27="No asegurable","",SUM(AA19:AA26))</f>
        <v/>
      </c>
      <c r="AB6" s="195">
        <f>IF($H27="No asegurable","",SUM(AB19:AB26))</f>
        <v/>
      </c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8" t="n"/>
      <c r="AT6" s="58" t="n"/>
      <c r="AU6" s="10" t="n"/>
      <c r="AV6" s="10" t="n"/>
      <c r="AW6" s="10" t="n"/>
    </row>
    <row r="7" ht="34.5" customHeight="1" s="241">
      <c r="A7" s="38" t="n">
        <v>2</v>
      </c>
      <c r="B7" s="192" t="n"/>
      <c r="C7" s="192" t="n"/>
      <c r="D7" s="192" t="n"/>
      <c r="E7" s="10" t="n"/>
      <c r="F7" s="193" t="n">
        <v>54</v>
      </c>
      <c r="G7" s="10" t="n"/>
      <c r="H7" s="41">
        <f>IF(F7=0,TRUNC((TODAY()-DATE(D7,C7,B7))/365.25,0),F7)</f>
        <v/>
      </c>
      <c r="I7" s="10" t="n"/>
      <c r="J7" s="52" t="inlineStr">
        <is>
          <t>Descuento contra comisión</t>
        </is>
      </c>
      <c r="K7" s="5" t="n"/>
      <c r="L7" s="196" t="inlineStr">
        <is>
          <t>CON DENTAL</t>
        </is>
      </c>
      <c r="M7" s="54">
        <f>IF(OR(M6=0,M6=""),"", IFERROR(M6+VLOOKUP($F$15,'aux antiguo'!$BO:$BQ,3,0),""))</f>
        <v/>
      </c>
      <c r="N7" s="54">
        <f>IF(OR(N6=0,N6=""),"", IFERROR(N6+VLOOKUP($F$15,'aux antiguo'!$BO:$BQ,3,0),""))</f>
        <v/>
      </c>
      <c r="O7" s="54">
        <f>IF(H24="No Asegurable","", IF($F15&gt;3, SUM(O19:O26)*0.9,SUM(O19:O26)))</f>
        <v/>
      </c>
      <c r="P7" s="54">
        <f>IF(OR(P6=0,P6=""),"",IFERROR(P6+VLOOKUP($F$15,'aux antiguo'!$BO:$BQ,3,0),""))</f>
        <v/>
      </c>
      <c r="Q7" s="54">
        <f>IF(OR(Q6=0,Q6=""),"",IFERROR(Q6+VLOOKUP($F$15,'aux antiguo'!$BO:$BQ,3,0),""))</f>
        <v/>
      </c>
      <c r="R7" s="54">
        <f>IF(H24="No Asegurable","", IF($F15&gt;3, SUM(R19:R26)*0.9,SUM(R19:R26)))</f>
        <v/>
      </c>
      <c r="S7" s="54">
        <f>IF(OR(S6=0,S6=""),"",IFERROR(S6+VLOOKUP($F$15,'aux antiguo'!$BO:$BQ,3,0),""))</f>
        <v/>
      </c>
      <c r="T7" s="54">
        <f>IF(OR(T6=0,T6=""),"",IFERROR(T6+VLOOKUP($F$15,'aux antiguo'!$BO:$BQ,3,0),""))</f>
        <v/>
      </c>
      <c r="U7" s="54">
        <f>IF(H23="No Asegurable","", IF($F15&gt;2, SUM(U19:U26)*0.9,SUM(U19:U26)))</f>
        <v/>
      </c>
      <c r="V7" s="54">
        <f>IF(OR(V6=0,V6=""),"",IFERROR(V6+VLOOKUP($F$15,'aux antiguo'!$BO:$BQ,3,0),""))</f>
        <v/>
      </c>
      <c r="W7" s="54">
        <f>IF(H22="No Asegurable","",SUM(W19:W26))</f>
        <v/>
      </c>
      <c r="X7" s="54">
        <f>IF(OR(X6=0,X6=""),"",IFERROR(X6+VLOOKUP($F$15,'aux antiguo'!$BO:$BQ,3,0),""))</f>
        <v/>
      </c>
      <c r="Y7" s="56" t="n"/>
      <c r="Z7" s="56" t="n"/>
      <c r="AA7" s="56" t="n"/>
      <c r="AB7" s="197" t="n"/>
      <c r="AC7" s="58" t="n"/>
      <c r="AD7" s="58" t="n"/>
      <c r="AE7" s="58" t="n"/>
      <c r="AF7" s="58" t="n"/>
      <c r="AG7" s="58" t="n"/>
      <c r="AH7" s="58" t="n"/>
      <c r="AI7" s="58" t="n"/>
      <c r="AJ7" s="58" t="n"/>
      <c r="AK7" s="58" t="n"/>
      <c r="AL7" s="58" t="n"/>
      <c r="AM7" s="58" t="n"/>
      <c r="AN7" s="58" t="n"/>
      <c r="AO7" s="58" t="n"/>
      <c r="AP7" s="58" t="n"/>
      <c r="AQ7" s="58" t="n"/>
      <c r="AR7" s="58" t="n"/>
      <c r="AS7" s="58" t="n"/>
      <c r="AT7" s="58" t="n"/>
      <c r="AU7" s="10" t="n"/>
      <c r="AV7" s="10" t="n"/>
      <c r="AW7" s="10" t="n"/>
    </row>
    <row r="8" ht="34.5" customHeight="1" s="241">
      <c r="A8" s="38" t="n">
        <v>3</v>
      </c>
      <c r="B8" s="192" t="n"/>
      <c r="C8" s="192" t="n"/>
      <c r="D8" s="192" t="n"/>
      <c r="E8" s="10" t="n"/>
      <c r="F8" s="193" t="n">
        <v>22</v>
      </c>
      <c r="G8" s="10" t="n"/>
      <c r="H8" s="41">
        <f>IF(F8=0,TRUNC((TODAY()-DATE(D8,C8,B8))/365.25,0),F8)</f>
        <v/>
      </c>
      <c r="I8" s="10" t="n"/>
      <c r="J8" s="59" t="n">
        <v>0</v>
      </c>
      <c r="K8" s="5" t="n"/>
      <c r="L8" s="198" t="inlineStr">
        <is>
          <t>PRECIO SIN DESCUENTO</t>
        </is>
      </c>
      <c r="M8" s="64" t="n"/>
      <c r="N8" s="64" t="n"/>
      <c r="O8" s="199">
        <f>IF(OR($J$6=0.01, $J$6=0.02, $J$6=0.03, $J$6=0.04, $J$6=0.05),O7/ (1 - ($J$6 * 2)),O7/(1-J6))</f>
        <v/>
      </c>
      <c r="P8" s="64" t="n"/>
      <c r="Q8" s="64" t="n"/>
      <c r="R8" s="199">
        <f>IF(OR($J$6=0.01, $J$6=0.02, $J$6=0.03, $J$6=0.04, $J$6=0.05),R7/ (1 - ($J$6 * 2)),R7/(1-J6))</f>
        <v/>
      </c>
      <c r="S8" s="64" t="n"/>
      <c r="T8" s="64" t="n"/>
      <c r="U8" s="199">
        <f>IF(OR($J$6=0.01, $J$6=0.02, $J$6=0.03, $J$6=0.04, $J$6=0.05),U7/ (1 - ($J$6 * 2)),U7/(1-J6))</f>
        <v/>
      </c>
      <c r="V8" s="64" t="n"/>
      <c r="W8" s="199">
        <f>W7*1.07</f>
        <v/>
      </c>
      <c r="X8" s="64" t="n"/>
      <c r="Y8" s="64" t="n"/>
      <c r="Z8" s="64" t="n"/>
      <c r="AA8" s="64" t="n"/>
      <c r="AB8" s="200" t="n"/>
      <c r="AC8" s="58" t="n"/>
      <c r="AD8" s="58" t="n"/>
      <c r="AE8" s="58" t="n"/>
      <c r="AF8" s="58" t="n"/>
      <c r="AG8" s="58" t="n"/>
      <c r="AH8" s="58" t="n"/>
      <c r="AI8" s="58" t="n"/>
      <c r="AJ8" s="58" t="n"/>
      <c r="AK8" s="58" t="n"/>
      <c r="AL8" s="58" t="n"/>
      <c r="AM8" s="58" t="n"/>
      <c r="AN8" s="58" t="n"/>
      <c r="AO8" s="58" t="n"/>
      <c r="AP8" s="58" t="n"/>
      <c r="AQ8" s="58" t="n"/>
      <c r="AR8" s="58" t="n"/>
      <c r="AS8" s="58" t="n"/>
      <c r="AT8" s="58" t="n"/>
      <c r="AU8" s="10" t="n"/>
      <c r="AV8" s="10" t="n"/>
      <c r="AW8" s="10" t="n"/>
    </row>
    <row r="9" ht="34.5" customHeight="1" s="241">
      <c r="A9" s="38" t="n">
        <v>4</v>
      </c>
      <c r="B9" s="192" t="n"/>
      <c r="C9" s="192" t="n"/>
      <c r="D9" s="192" t="n"/>
      <c r="E9" s="10" t="n"/>
      <c r="F9" s="193" t="n"/>
      <c r="G9" s="10" t="n"/>
      <c r="H9" s="31">
        <f>IF(F9=0,TRUNC((TODAY()-DATE(D9,C9,B9))/365.25,0),F9)</f>
        <v/>
      </c>
      <c r="I9" s="10" t="n"/>
      <c r="J9" s="52" t="inlineStr">
        <is>
          <t>¿Es Anual?</t>
        </is>
      </c>
      <c r="K9" s="5" t="n"/>
      <c r="L9" s="273" t="inlineStr">
        <is>
          <t>Precios medios Año 1</t>
        </is>
      </c>
      <c r="AB9" s="274" t="n"/>
      <c r="AC9" s="58" t="n"/>
      <c r="AD9" s="58" t="n"/>
      <c r="AE9" s="58" t="n"/>
      <c r="AF9" s="58" t="n"/>
      <c r="AG9" s="58" t="n"/>
      <c r="AH9" s="58" t="n"/>
      <c r="AI9" s="58" t="n"/>
      <c r="AJ9" s="58" t="n"/>
      <c r="AK9" s="58" t="n"/>
      <c r="AL9" s="58" t="n"/>
      <c r="AM9" s="58" t="n"/>
      <c r="AN9" s="58" t="n"/>
      <c r="AO9" s="58" t="n"/>
      <c r="AP9" s="58" t="n"/>
      <c r="AQ9" s="58" t="n"/>
      <c r="AR9" s="58" t="n"/>
      <c r="AS9" s="58" t="n"/>
      <c r="AT9" s="58" t="n"/>
      <c r="AU9" s="10" t="n"/>
      <c r="AV9" s="10" t="n"/>
      <c r="AW9" s="10" t="n"/>
    </row>
    <row r="10" ht="34.5" customHeight="1" s="241">
      <c r="A10" s="38" t="n">
        <v>5</v>
      </c>
      <c r="B10" s="192" t="n"/>
      <c r="C10" s="192" t="n"/>
      <c r="D10" s="192" t="n"/>
      <c r="E10" s="10" t="n"/>
      <c r="F10" s="192" t="n"/>
      <c r="G10" s="10" t="n"/>
      <c r="H10" s="31">
        <f>IF(F10=0,TRUNC((TODAY()-DATE(D10,C10,B10))/365.25,0),F10)</f>
        <v/>
      </c>
      <c r="I10" s="10" t="n"/>
      <c r="J10" s="192" t="inlineStr">
        <is>
          <t>No</t>
        </is>
      </c>
      <c r="K10" s="5" t="n"/>
      <c r="L10" s="194" t="inlineStr">
        <is>
          <t>SIN DENTAL</t>
        </is>
      </c>
      <c r="M10" s="48" t="n">
        <v>0</v>
      </c>
      <c r="N10" s="48">
        <f>IF(N6="","",IF($H$2="Madrid",IF(OR($F$15=1,$F$15=2),((((N$6-(N$6/12))*12)-(50*$F$15))/12),IF(OR($F$15=3,$F$15=4,$F$15=5,$F$15=6),((((N$6-(N$6/12))*12)-(100*$F$15))/12))),IFERROR(IF(OR($F$15=1,$F$15=2),(((N$6*12)-(50*$F$15))/12),IF(OR($F$15=3,$F$15=4,$F$15=5,$F$15=6),(((N$6*12)-(100*$F$15))/12))),N$6)))</f>
        <v/>
      </c>
      <c r="O10" s="10">
        <f>IF(O6="","",O6)</f>
        <v/>
      </c>
      <c r="P10" s="48">
        <f>IF(P6="","",P6)</f>
        <v/>
      </c>
      <c r="Q10" s="48">
        <f>IF(Q6="","",Q6)</f>
        <v/>
      </c>
      <c r="R10" s="10">
        <f>IF(R6="","",R6)</f>
        <v/>
      </c>
      <c r="S10" s="48">
        <f>IF(S6="","",S6)</f>
        <v/>
      </c>
      <c r="T10" s="10">
        <f>IF(T6="","",T6)</f>
        <v/>
      </c>
      <c r="U10" s="10">
        <f>IF(U6="","",U6)</f>
        <v/>
      </c>
      <c r="V10" s="48">
        <f>IF(V6="","",V6)</f>
        <v/>
      </c>
      <c r="W10" s="10">
        <f>IF(W6="","",W6)</f>
        <v/>
      </c>
      <c r="X10" s="48">
        <f>IF(X6="","",X6)</f>
        <v/>
      </c>
      <c r="Y10" s="48">
        <f>IF(Y6="","",Y6)</f>
        <v/>
      </c>
      <c r="Z10" s="48">
        <f>IF(Z6="","",Z6)</f>
        <v/>
      </c>
      <c r="AA10" s="10">
        <f>IF(AA6="","",AA6)</f>
        <v/>
      </c>
      <c r="AB10" s="195">
        <f>IF(AB6="","",AB6)</f>
        <v/>
      </c>
      <c r="AC10" s="58" t="n"/>
      <c r="AD10" s="58" t="n"/>
      <c r="AE10" s="58" t="n"/>
      <c r="AF10" s="58" t="n"/>
      <c r="AG10" s="58" t="n"/>
      <c r="AH10" s="58" t="n"/>
      <c r="AI10" s="58" t="n"/>
      <c r="AJ10" s="58" t="n"/>
      <c r="AK10" s="58" t="n"/>
      <c r="AL10" s="58" t="n"/>
      <c r="AM10" s="58" t="n"/>
      <c r="AN10" s="58" t="n"/>
      <c r="AO10" s="58" t="n"/>
      <c r="AP10" s="58" t="n"/>
      <c r="AQ10" s="58" t="n"/>
      <c r="AR10" s="58" t="n"/>
      <c r="AS10" s="58" t="n"/>
      <c r="AT10" s="58" t="n"/>
      <c r="AU10" s="10" t="n"/>
      <c r="AV10" s="10" t="n"/>
      <c r="AW10" s="10" t="n"/>
    </row>
    <row r="11" ht="34.5" customHeight="1" s="241">
      <c r="A11" s="38" t="n">
        <v>6</v>
      </c>
      <c r="B11" s="192" t="n"/>
      <c r="C11" s="192" t="n"/>
      <c r="D11" s="192" t="n"/>
      <c r="E11" s="10" t="n"/>
      <c r="F11" s="192" t="n"/>
      <c r="G11" s="10" t="n"/>
      <c r="H11" s="31">
        <f>IF(F11=0,TRUNC((TODAY()-DATE(D11,C11,B11))/365.25,0),F11)</f>
        <v/>
      </c>
      <c r="I11" s="10" t="n"/>
      <c r="J11" s="75">
        <f>$J$6</f>
        <v/>
      </c>
      <c r="K11" s="5" t="n"/>
      <c r="L11" s="196" t="inlineStr">
        <is>
          <t>CON DENTAL</t>
        </is>
      </c>
      <c r="M11" s="54" t="n">
        <v>0</v>
      </c>
      <c r="N11" s="54">
        <f>IF(N7="","",IF($H$2="Madrid",IF(OR($F$15=1,$F$15=2),((((N$7-(N$7/12))*12)-(50*$F$15))/12),IF(OR($F$15=3,$F$15=4,$F$15=5,$F$15=6),((((N$7-(N$7/12))*12)-(100*$F$15))/12))),IFERROR(IF(OR($F$15=1,$F$15=2),(((N$7*12)-(50*$F$15))/12),IF(OR($F$15=3,$F$15=4,$F$15=5,$F$15=6),(((N$7*12)-(100*$F$15))/12))),N$7)))</f>
        <v/>
      </c>
      <c r="O11" s="54">
        <f>IF(O$7="","", IF(AND($F$15&gt;0,$F$15&lt;=6,$H$2="Madrid"),((((O$7-(O$7/12))*12)-(100*$F$15))/12),IF(AND($F$15&gt;0,$F$15&lt;=6),(((O$7*12)-(100*$F$15))/12),O$7)))</f>
        <v/>
      </c>
      <c r="P11" s="54">
        <f>IF(P7="","",IF($H$2="Madrid",IF(OR($F$15=1,$F$15=2),((((P$7-(P$7/12))*12)-(50*$F$15))/12),IF(OR($F$15=3,$F$15=4,$F$15=5,$F$15=6),((((P$7-(P$7/12))*12)-(100*$F$15))/12))),IFERROR(IF(OR($F$15=1,$F$15=2),(((P$7*12)-(50*$F$15))/12),IF(OR($F$15=3,$F$15=4,$F$15=5,$F$15=6),(((P$7*12)-(100*$F$15))/12))),P$7)))</f>
        <v/>
      </c>
      <c r="Q11" s="54">
        <f>IF(Q7="","",IF($H$2="Madrid",IF(OR($F$15=1,$F$15=2),((((Q$7-(Q$7/12))*12)-(50*$F$15))/12),IF(OR($F$15=3,$F$15=4,$F$15=5,$F$15=6),((((Q$7-(Q$7/12))*12)-(100*$F$15))/12))),IFERROR(IF(OR($F$15=1,$F$15=2),(((Q$7*12)-(50*$F$15))/12),IF(OR($F$15=3,$F$15=4,$F$15=5,$F$15=6),(((Q$7*12)-(100*$F$15))/12))),Q$7)))</f>
        <v/>
      </c>
      <c r="R11" s="54">
        <f>IF(R$7="","", IF(AND($F$15&gt;0,$F$15&lt;=6,$H$2="Madrid"),((((R$7-(R$7/12))*12)-(100*$F$15))/12),IF(AND($F$15&gt;0,$F$15&lt;=6),(((R$7*12)-(100*$F$15))/12),R$7)))</f>
        <v/>
      </c>
      <c r="S11" s="54">
        <f>IF(S7="","",IF($H$2="Madrid",IF(OR($F$15=1,$F$15=2),((((S$7-(S$7/12))*12)-(50*$F$15))/12),IF(OR($F$15=3,$F$15=4,$F$15=5,$F$15=6),((((S$7-(S$7/12))*12)-(100*$F$15))/12))),IFERROR(IF(OR($F$15=1,$F$15=2),(((S$7*12)-(50*$F$15))/12),IF(OR($F$15=3,$F$15=4,$F$15=5,$F$15=6),(((S$7*12)-(100*$F$15))/12))),S$7)))</f>
        <v/>
      </c>
      <c r="T11" s="54">
        <f>IF(T7="","",IF($H$2="Madrid",IF(OR($F$15=1,$F$15=2),((((T$7-(T$7/12))*12)-(50*$F$15))/12),IF(OR($F$15=3,$F$15=4,$F$15=5,$F$15=6),((((T$7-(T$7/12))*12)-(100*$F$15))/12))),IFERROR(IF(OR($F$15=1,$F$15=2),(((T$7*12)-(50*$F$15))/12),IF(OR($F$15=3,$F$15=4,$F$15=5,$F$15=6),(((T$7*12)-(100*$F$15))/12))),T$7)))</f>
        <v/>
      </c>
      <c r="U11" s="54">
        <f>IF(U$7="","", IF(AND($F$15&gt;0,$F$15&lt;=6,$H$2="Madrid"),((((U$7-(U$7/12))*12)-(100*$F$15))/12),IF(AND($F$15&gt;0,$F$15&lt;=6),(((U$7*12)-(100*$F$15))/12),U$7)))</f>
        <v/>
      </c>
      <c r="V11" s="54">
        <f>IF(V7="","",IF($H$2="Madrid",IF(OR($F$15=1,$F$15=2),((((V$7-(V$7/12))*12)-(50*$F$15))/12),IF(OR($F$15=3,$F$15=4,$F$15=5,$F$15=6),((((V$7-(V$7/12))*12)-(100*$F$15))/12))),IFERROR(IF(OR($F$15=1,$F$15=2),(((V$7*12)-(50*$F$15))/12),IF(OR($F$15=3,$F$15=4,$F$15=5,$F$15=6),(((V$7*12)-(100*$F$15))/12))),V$7)))</f>
        <v/>
      </c>
      <c r="W11" s="54">
        <f>W7</f>
        <v/>
      </c>
      <c r="X11" s="54">
        <f>IF(X7="","",IF($H$2="Madrid",IF(OR($F$15=1,$F$15=2),((((X$7-(X$7/12))*12)-(50*$F$15))/12),IF(OR($F$15=3,$F$15=4,$F$15=5,$F$15=6),((((X$7-(X$7/12))*12)-(100*$F$15))/12))),IFERROR(IF(OR($F$15=1,$F$15=2),(((X$7*12)-(50*$F$15))/12),IF(OR($F$15=3,$F$15=4,$F$15=5,$F$15=6),(((X$7*12)-(100*$F$15))/12))),X$7)))</f>
        <v/>
      </c>
      <c r="Y11" s="54">
        <f>IF(Y7="","",IF($H$2="Madrid",IF(OR($F$15=1,$F$15=2),((((Y$7-(Y$7/12))*12)-(50*$F$15))/12),IF(OR($F$15=3,$F$15=4,$F$15=5,$F$15=6),((((Y$7-(Y$7/12))*12)-(100*$F$15))/12))),IFERROR(IF(OR($F$15=1,$F$15=2),(((Y$7*12)-(50*$F$15))/12),IF(OR($F$15=3,$F$15=4,$F$15=5,$F$15=6),(((Y$7*12)-(100*$F$15))/12))),Y$7)))</f>
        <v/>
      </c>
      <c r="Z11" s="54">
        <f>IF(Z7="","",IF($H$2="Madrid",IF(OR($F$15=1,$F$15=2),((((Z$7-(Z$7/12))*12)-(50*$F$15))/12),IF(OR($F$15=3,$F$15=4,$F$15=5,$F$15=6),((((Z$7-(Z$7/12))*12)-(100*$F$15))/12))),IFERROR(IF(OR($F$15=1,$F$15=2),(((Z$7*12)-(50*$F$15))/12),IF(OR($F$15=3,$F$15=4,$F$15=5,$F$15=6),(((Z$7*12)-(100*$F$15))/12))),Z$7)))</f>
        <v/>
      </c>
      <c r="AA11" s="54">
        <f>IF(AA7="","",IF($H$2="Madrid",IF(OR($F$15=1,$F$15=2),((((AA$7-(AA$7/12))*12)-(50*$F$15))/12),IF(OR($F$15=3,$F$15=4,$F$15=5,$F$15=6),((((AA$7-(AA$7/12))*12)-(100*$F$15))/12))),IFERROR(IF(OR($F$15=1,$F$15=2),(((AA$7*12)-(50*$F$15))/12),IF(OR($F$15=3,$F$15=4,$F$15=5,$F$15=6),(((AA$7*12)-(100*$F$15))/12))),AA$7)))</f>
        <v/>
      </c>
      <c r="AB11" s="197">
        <f>IF(AB7="","",IF($H$2="Madrid",IF(OR($F$15=1,$F$15=2),((((AB$7-(AB$7/12))*12)-(50*$F$15))/12),IF(OR($F$15=3,$F$15=4,$F$15=5,$F$15=6),((((AB$7-(AB$7/12))*12)-(100*$F$15))/12))),IFERROR(IF(OR($F$15=1,$F$15=2),(((AB$7*12)-(50*$F$15))/12),IF(OR($F$15=3,$F$15=4,$F$15=5,$F$15=6),(((AB$7*12)-(100*$F$15))/12))),AB$7)))</f>
        <v/>
      </c>
      <c r="AC11" s="58" t="n"/>
      <c r="AD11" s="58" t="n"/>
      <c r="AE11" s="58" t="n"/>
      <c r="AF11" s="58" t="n"/>
      <c r="AG11" s="58" t="n"/>
      <c r="AH11" s="58" t="n"/>
      <c r="AI11" s="58" t="n"/>
      <c r="AJ11" s="58" t="n"/>
      <c r="AK11" s="58" t="n"/>
      <c r="AL11" s="58" t="n"/>
      <c r="AM11" s="58" t="n"/>
      <c r="AN11" s="58" t="n"/>
      <c r="AO11" s="58" t="n"/>
      <c r="AP11" s="58" t="n"/>
      <c r="AQ11" s="58" t="n"/>
      <c r="AR11" s="58" t="n"/>
      <c r="AS11" s="58" t="n"/>
      <c r="AT11" s="58" t="n"/>
      <c r="AU11" s="10" t="n"/>
      <c r="AV11" s="10" t="n"/>
      <c r="AW11" s="10" t="n"/>
    </row>
    <row r="12" ht="34.5" customHeight="1" s="241">
      <c r="A12" s="38" t="n">
        <v>7</v>
      </c>
      <c r="B12" s="192" t="n"/>
      <c r="C12" s="192" t="n"/>
      <c r="D12" s="192" t="n"/>
      <c r="E12" s="10" t="n"/>
      <c r="F12" s="192" t="n"/>
      <c r="G12" s="10" t="n"/>
      <c r="H12" s="31">
        <f>IF(F12=0,TRUNC((TODAY()-DATE(D12,C12,B12))/365.25,0),F12)</f>
        <v/>
      </c>
      <c r="I12" s="10" t="n"/>
      <c r="J12" s="75">
        <f>$J$6</f>
        <v/>
      </c>
      <c r="K12" s="5" t="n"/>
      <c r="L12" s="203" t="n"/>
      <c r="M12" s="10" t="n"/>
      <c r="N12" s="10" t="n"/>
      <c r="O12" s="10" t="n"/>
      <c r="P12" s="10" t="n"/>
      <c r="Q12" s="10" t="n"/>
      <c r="R12" s="103" t="n"/>
      <c r="S12" s="10" t="n"/>
      <c r="T12" s="10" t="n"/>
      <c r="U12" s="10" t="n"/>
      <c r="V12" s="10" t="n"/>
      <c r="W12" s="10" t="n"/>
      <c r="X12" s="10" t="n"/>
      <c r="Y12" s="10" t="n"/>
      <c r="Z12" s="58" t="n"/>
      <c r="AA12" s="58" t="n"/>
      <c r="AB12" s="204" t="n"/>
      <c r="AC12" s="58" t="n"/>
      <c r="AD12" s="58" t="n"/>
      <c r="AE12" s="58" t="n"/>
      <c r="AF12" s="58" t="n"/>
      <c r="AG12" s="58" t="n"/>
      <c r="AH12" s="58" t="n"/>
      <c r="AI12" s="58" t="n"/>
      <c r="AJ12" s="58" t="n"/>
      <c r="AK12" s="58" t="n"/>
      <c r="AL12" s="58" t="n"/>
      <c r="AM12" s="58" t="n"/>
      <c r="AN12" s="58" t="n"/>
      <c r="AO12" s="58" t="n"/>
      <c r="AP12" s="58" t="n"/>
      <c r="AQ12" s="58" t="n"/>
      <c r="AR12" s="10" t="n"/>
      <c r="AS12" s="10" t="n"/>
      <c r="AT12" s="10" t="n"/>
    </row>
    <row r="13" ht="34.5" customHeight="1" s="241">
      <c r="A13" s="38" t="n">
        <v>8</v>
      </c>
      <c r="B13" s="192" t="n"/>
      <c r="C13" s="192" t="n"/>
      <c r="D13" s="192" t="n"/>
      <c r="E13" s="10" t="n"/>
      <c r="F13" s="192" t="n"/>
      <c r="G13" s="10" t="n"/>
      <c r="H13" s="31">
        <f>IF(F13=0,TRUNC((TODAY()-DATE(D13,C13,B13))/365.25,0),F13)</f>
        <v/>
      </c>
      <c r="I13" s="10" t="n"/>
      <c r="J13" s="75">
        <f>$J$6</f>
        <v/>
      </c>
      <c r="K13" s="5" t="n"/>
      <c r="L13" s="275" t="inlineStr">
        <is>
          <t>OFERTA</t>
        </is>
      </c>
      <c r="M13" s="276" t="n"/>
      <c r="N13" s="276" t="n"/>
      <c r="O13" s="276" t="n"/>
      <c r="P13" s="276" t="n"/>
      <c r="Q13" s="276" t="n"/>
      <c r="R13" s="276" t="n"/>
      <c r="S13" s="276" t="n"/>
      <c r="T13" s="276" t="n"/>
      <c r="U13" s="276" t="n"/>
      <c r="V13" s="276" t="n"/>
      <c r="W13" s="276" t="n"/>
      <c r="X13" s="276" t="n"/>
      <c r="Y13" s="276" t="n"/>
      <c r="Z13" s="276" t="n"/>
      <c r="AA13" s="276" t="n"/>
      <c r="AB13" s="277" t="n"/>
      <c r="AC13" s="58" t="n"/>
      <c r="AD13" s="58" t="n"/>
      <c r="AE13" s="58" t="n"/>
      <c r="AF13" s="58" t="n"/>
      <c r="AG13" s="58" t="n"/>
      <c r="AH13" s="58" t="n"/>
      <c r="AI13" s="58" t="n"/>
      <c r="AJ13" s="58" t="n"/>
      <c r="AK13" s="58" t="n"/>
      <c r="AL13" s="58" t="n"/>
      <c r="AM13" s="58" t="n"/>
      <c r="AN13" s="58" t="n"/>
      <c r="AO13" s="58" t="n"/>
      <c r="AP13" s="58" t="n"/>
      <c r="AQ13" s="58" t="n"/>
      <c r="AR13" s="10" t="n"/>
      <c r="AS13" s="10" t="n"/>
      <c r="AT13" s="10" t="n"/>
    </row>
    <row r="14" ht="24.75" customHeight="1" s="241">
      <c r="K14" s="5" t="n"/>
      <c r="L14" s="194" t="inlineStr">
        <is>
          <t>DINERO</t>
        </is>
      </c>
      <c r="M14" s="48" t="n">
        <v>0</v>
      </c>
      <c r="N14" s="208">
        <f>IF(N11="","", IFERROR(IF(OR($F$15=1,$F$15=2),50*$F$15,IF(AND($F$15&gt;2,$F$15&lt;=6),100*$F$15)),0))</f>
        <v/>
      </c>
      <c r="O14" s="208">
        <f>IF(O$11="","",IF(AND($F$15&gt;0,$F$15&lt;=6),100*$F$15,0))</f>
        <v/>
      </c>
      <c r="P14" s="208">
        <f>IF(P11="","", IFERROR(IF(OR($F$15=1,$F$15=2),50*$F$15,IF(AND($F$15&gt;2,$F$15&lt;=6),100*$F$15)),0))</f>
        <v/>
      </c>
      <c r="Q14" s="208">
        <f>IF(Q11="","", IFERROR(IF(OR($F$15=1,$F$15=2),50*$F$15,IF(AND($F$15&gt;2,$F$15&lt;=6),100*$F$15)),0))</f>
        <v/>
      </c>
      <c r="R14" s="208">
        <f>IF(R$11="","",IF(AND($F$15&gt;0,$F$15&lt;=6),100*$F$15,0))</f>
        <v/>
      </c>
      <c r="S14" s="208">
        <f>IF(S11="","", IFERROR(IF(OR($F$15=1,$F$15=2),50*$F$15,IF(AND($F$15&gt;2,$F$15&lt;=6),100*$F$15)),0))</f>
        <v/>
      </c>
      <c r="T14" s="208">
        <f>IF(T11="","", IFERROR(IF(OR($F$15=1,$F$15=2),50*$F$15,IF(AND($F$15&gt;2,$F$15&lt;=6),100*$F$15)),0))</f>
        <v/>
      </c>
      <c r="U14" s="208">
        <f>IF(U$11="","",IF(AND($F$15&gt;0,$F$15&lt;=6),100*$F$15,0))</f>
        <v/>
      </c>
      <c r="V14" s="208">
        <f>IF(V11="","", IFERROR(IF(OR($F$15=1,$F$15=2),50*$F$15,IF(AND($F$15&gt;2,$F$15&lt;=6),100*$F$15)),0))</f>
        <v/>
      </c>
      <c r="W14" s="208" t="n"/>
      <c r="X14" s="208">
        <f>IF(X11="","", IFERROR(IF(OR($F$15=1,$F$15=2),50*$F$15,IF(AND($F$15&gt;2,$F$15&lt;=6),100*$F$15)),0))</f>
        <v/>
      </c>
      <c r="Y14" s="208">
        <f>IF(Y11="","", IFERROR(IF(OR($F$15=1,$F$15=2),50*$F$15,IF(AND($F$15&gt;2,$F$15&lt;=6),100*$F$15)),0))</f>
        <v/>
      </c>
      <c r="Z14" s="208">
        <f>IF(Z11="","", IFERROR(IF(OR($F$15=1,$F$15=2),50*$F$15,IF(AND($F$15&gt;2,$F$15&lt;=6),100*$F$15)),0))</f>
        <v/>
      </c>
      <c r="AA14" s="208">
        <f>IF(AA11="","", IFERROR(IF(OR($F$15=1,$F$15=2),50*$F$15,IF(AND($F$15&gt;2,$F$15&lt;=6),100*$F$15)),0))</f>
        <v/>
      </c>
      <c r="AB14" s="209">
        <f>IF(AB11="","", IFERROR(IF(OR($F$15=1,$F$15=2),50*$F$15,IF(AND($F$15&gt;2,$F$15&lt;=6),100*$F$15)),0))</f>
        <v/>
      </c>
      <c r="AC14" s="58" t="n"/>
      <c r="AD14" s="58" t="n"/>
      <c r="AE14" s="58" t="n"/>
      <c r="AF14" s="58" t="n"/>
      <c r="AG14" s="58" t="n"/>
      <c r="AH14" s="58" t="n"/>
      <c r="AI14" s="58" t="n"/>
      <c r="AJ14" s="58" t="n"/>
      <c r="AK14" s="58" t="n"/>
      <c r="AL14" s="58" t="n"/>
      <c r="AM14" s="58" t="n"/>
      <c r="AN14" s="58" t="n"/>
      <c r="AO14" s="58" t="n"/>
      <c r="AP14" s="58" t="n"/>
      <c r="AQ14" s="58" t="n"/>
      <c r="AR14" s="58" t="n"/>
    </row>
    <row r="15" ht="33.75" customHeight="1" s="241">
      <c r="B15" s="211" t="inlineStr">
        <is>
          <t>Nº Asegurados</t>
        </is>
      </c>
      <c r="E15" s="211" t="n"/>
      <c r="F15" s="212">
        <f>COUNT(H6:H13)</f>
        <v/>
      </c>
      <c r="K15" s="5" t="n"/>
      <c r="L15" s="213" t="inlineStr">
        <is>
          <t>CUANDO</t>
        </is>
      </c>
      <c r="M15" s="214" t="n">
        <v>0</v>
      </c>
      <c r="N15" s="215">
        <f>IF(N14="","", TEXT(EDATE(TODAY(),7),"mmmm"))</f>
        <v/>
      </c>
      <c r="O15" s="215">
        <f>IF(O14="","", TEXT(EDATE(TODAY(),7),"mmmm"))</f>
        <v/>
      </c>
      <c r="P15" s="215">
        <f>IF(P14="","", TEXT(EDATE(TODAY(),7),"mmmm"))</f>
        <v/>
      </c>
      <c r="Q15" s="215">
        <f>IF(Q14="","", TEXT(EDATE(TODAY(),7),"mmmm"))</f>
        <v/>
      </c>
      <c r="R15" s="215">
        <f>IF(R14="","", TEXT(EDATE(TODAY(),7),"mmmm"))</f>
        <v/>
      </c>
      <c r="S15" s="215">
        <f>IF(S14="","", TEXT(EDATE(TODAY(),7),"mmmm"))</f>
        <v/>
      </c>
      <c r="T15" s="214">
        <f>IF(T14="","", TEXT(EDATE(TODAY(),7),"mmmm"))</f>
        <v/>
      </c>
      <c r="U15" s="214">
        <f>IF(U14="","", TEXT(EDATE(TODAY(),7),"mmmm"))</f>
        <v/>
      </c>
      <c r="V15" s="214">
        <f>IF(V14="","", TEXT(EDATE(TODAY(),7),"mmmm"))</f>
        <v/>
      </c>
      <c r="W15" s="214" t="n"/>
      <c r="X15" s="214">
        <f>IF(X14="","", TEXT(EDATE(TODAY(),7),"mmmm"))</f>
        <v/>
      </c>
      <c r="Y15" s="214">
        <f>IF(Y14="","", TEXT(EDATE(TODAY(),7),"mmmm"))</f>
        <v/>
      </c>
      <c r="Z15" s="214">
        <f>IF(Z14="","", TEXT(EDATE(TODAY(),7),"mmmm"))</f>
        <v/>
      </c>
      <c r="AA15" s="214">
        <f>IF(AA14="","", TEXT(EDATE(TODAY(),7),"mmmm"))</f>
        <v/>
      </c>
      <c r="AB15" s="216">
        <f>IF(AB14="","", TEXT(EDATE(TODAY(),7),"mmmm"))</f>
        <v/>
      </c>
      <c r="AC15" s="58" t="n"/>
      <c r="AD15" s="58" t="n"/>
      <c r="AE15" s="58" t="n"/>
      <c r="AF15" s="58" t="n"/>
      <c r="AG15" s="58" t="n"/>
      <c r="AH15" s="58" t="n"/>
      <c r="AI15" s="58" t="n"/>
      <c r="AJ15" s="58" t="n"/>
      <c r="AK15" s="58" t="n"/>
      <c r="AL15" s="58" t="n"/>
      <c r="AM15" s="58" t="n"/>
      <c r="AN15" s="58" t="n"/>
      <c r="AO15" s="58" t="n"/>
      <c r="AP15" s="58" t="n"/>
      <c r="AQ15" s="58" t="n"/>
      <c r="AR15" s="58" t="n"/>
    </row>
    <row r="16" ht="33.75" customHeight="1" s="241">
      <c r="B16" s="217" t="inlineStr">
        <is>
          <t>Excepción Go</t>
        </is>
      </c>
      <c r="D16" s="217" t="n"/>
      <c r="E16" s="217" t="n"/>
      <c r="F16" s="218">
        <f>IFERROR(IF(H6&gt;70,-3,IF(H6&gt;59,0,1)),0)+IFERROR(IF(H7&gt;70,-3,IF(H7&gt;59,0,1)),0)+IFERROR(IF(H8&gt;70,-3,IF(H8&gt;59,0,1)),0)++IFERROR(IF(H9&gt;70,-3,IF(H9&gt;59,0,1)),0)+IFERROR(IF(H10&gt;70,-3,IF(H10&gt;59,0,1)),0)+IFERROR(IF(H11&gt;70,-3,IF(H11&gt;59,0,1)),0)+IFERROR(IF(H12&gt;70,-3,IF(H12&gt;59,0,1)),0)+IFERROR(IF(H13&gt;70,-3,IF(H13&gt;59,0,1)),0)</f>
        <v/>
      </c>
      <c r="G16" s="234" t="n"/>
      <c r="H16" s="217">
        <f>IFERROR(VLOOKUP("No Asegurable",M19:M26,1,0),0)</f>
        <v/>
      </c>
      <c r="J16" s="234">
        <f>IF(COUNTIF($H$6:$H$13,"&gt;70")&gt;0,IF(COUNTIF($H$6:$H$13,"&lt;60")&lt;3*COUNTIF($H$6:$H$13,"&gt;70"),-1,1),1)</f>
        <v/>
      </c>
      <c r="K16" s="5" t="n"/>
      <c r="L16" s="10" t="n"/>
      <c r="M16" s="10" t="n"/>
      <c r="N16" s="48" t="n"/>
      <c r="O16" s="10" t="n"/>
      <c r="P16" s="10" t="n"/>
      <c r="Q16" s="48" t="n"/>
      <c r="R16" s="103" t="n"/>
      <c r="S16" s="48" t="n"/>
      <c r="T16" s="48" t="n"/>
      <c r="U16" s="103" t="n"/>
      <c r="V16" s="10" t="n"/>
      <c r="W16" s="48" t="n"/>
      <c r="X16" s="10" t="n"/>
      <c r="Y16" s="10" t="n"/>
      <c r="Z16" s="58" t="n"/>
      <c r="AA16" s="58" t="n"/>
      <c r="AB16" s="58" t="n"/>
      <c r="AC16" s="58" t="n"/>
      <c r="AD16" s="48" t="n"/>
      <c r="AE16" s="48" t="n"/>
      <c r="AF16" s="48" t="n"/>
      <c r="AG16" s="48" t="n"/>
      <c r="AH16" s="48" t="n"/>
      <c r="AI16" s="48" t="n"/>
      <c r="AJ16" s="109" t="n"/>
      <c r="AK16" s="109" t="n"/>
      <c r="AL16" s="58" t="n"/>
      <c r="AM16" s="58" t="n"/>
      <c r="AN16" s="58" t="n"/>
      <c r="AO16" s="58" t="n"/>
      <c r="AP16" s="58" t="n"/>
      <c r="AQ16" s="58" t="n"/>
      <c r="AR16" s="58" t="n"/>
      <c r="AS16" s="58" t="n"/>
      <c r="AT16" s="58" t="n"/>
      <c r="AU16" s="58" t="n"/>
      <c r="AV16" s="58" t="n"/>
      <c r="AW16" s="58" t="n"/>
      <c r="AX16" s="58" t="n"/>
      <c r="AY16" s="58" t="n"/>
    </row>
    <row r="17" ht="33.75" customHeight="1" s="241">
      <c r="B17" s="227" t="inlineStr">
        <is>
          <t>Excepción Senior</t>
        </is>
      </c>
      <c r="C17" s="217" t="n"/>
      <c r="D17" s="217" t="n"/>
      <c r="E17" s="217" t="n"/>
      <c r="F17" s="218">
        <f>IF(AND(COUNTIF($H$6:$H$13,"&gt;=50")-COUNTIF($H$6:$H$13,"&gt;54")&gt;0, COUNTIF($H$6:$H$13,"&gt;=55")&gt;0), 1, IF(COUNTIF($H$6:$H$13,"&lt;55")&gt;0, -1, 1))</f>
        <v/>
      </c>
      <c r="G17" s="234" t="n"/>
      <c r="H17" s="217">
        <f>IFERROR(VLOOKUP("No Asegurable",T19:T26,1,0),0)</f>
        <v/>
      </c>
      <c r="J17" s="234">
        <f>IF(AND(COUNTIF($H$6:$H$13,"&gt;=50")-COUNTIF($H$6:$H$13,"&gt;54")&gt;0, COUNTIF($H$6:$H$13,"&gt;=55")-COUNTIF($H$6:$H$13,"&gt;59")&gt;0), 1, IF(COUNTIF($H$6:$H$13,"&lt;55")&gt;0, -1, 1))</f>
        <v/>
      </c>
      <c r="K17" s="220" t="n"/>
      <c r="L17" s="221" t="n"/>
      <c r="M17" s="278">
        <f>"Adeslas Go"&amp;" "&amp;J3</f>
        <v/>
      </c>
      <c r="N17" s="278">
        <f>"Adeslas Plena Vital"&amp;" "&amp;$J$3</f>
        <v/>
      </c>
      <c r="O17" s="278">
        <f>"Adeslas Plena Total vital"&amp;" "&amp;$J$3</f>
        <v/>
      </c>
      <c r="P17" s="278">
        <f>"Adeslas Plena"&amp;" "&amp;$J$3</f>
        <v/>
      </c>
      <c r="Q17" s="278">
        <f>"Adeslas Plena Plus"&amp;" "&amp;$J$3</f>
        <v/>
      </c>
      <c r="R17" s="260">
        <f>"Adeslas Plena Total"&amp;" "&amp;$J$3</f>
        <v/>
      </c>
      <c r="S17" s="278">
        <f>"Adeslas Plena Extra 150"&amp;" "&amp;$J$3</f>
        <v/>
      </c>
      <c r="T17" s="278">
        <f>"Adeslas Seniors"&amp;" "&amp;$J$3</f>
        <v/>
      </c>
      <c r="U17" s="260">
        <f>"Adeslas Plena Total Seniors"&amp;" "&amp;$J$3</f>
        <v/>
      </c>
      <c r="V17" s="278">
        <f>"Adeslas Negocios NIF"&amp;" "&amp;$J$3</f>
        <v/>
      </c>
      <c r="W17" s="260">
        <f>"Adeslas Pymes TOTAL"&amp;" "&amp;$J$3</f>
        <v/>
      </c>
      <c r="X17" s="278">
        <f>"Adeslas Extra Negocios NIF"&amp;" "&amp;$J$3</f>
        <v/>
      </c>
      <c r="Y17" s="278">
        <f>"Adeslas Negocios CIF"&amp;" "&amp;$J$3</f>
        <v/>
      </c>
      <c r="Z17" s="278">
        <f>"Adeslas Extra Negocios CIF"&amp;" "&amp;$J$3</f>
        <v/>
      </c>
      <c r="AA17" s="278">
        <f>"Adeslas Empresas"&amp;" "&amp;$J$3</f>
        <v/>
      </c>
      <c r="AB17" s="279">
        <f>"Adeslas Extra Empresas"&amp;" "&amp;$J$3</f>
        <v/>
      </c>
      <c r="AC17" s="58" t="n"/>
      <c r="AD17" s="58" t="n"/>
      <c r="AE17" s="58" t="n"/>
      <c r="AF17" s="58" t="n"/>
      <c r="AG17" s="58" t="n"/>
      <c r="AH17" s="58" t="n"/>
      <c r="AI17" s="58" t="n"/>
      <c r="AJ17" s="58" t="n"/>
      <c r="AK17" s="58" t="n"/>
      <c r="AL17" s="58" t="n"/>
      <c r="AM17" s="58" t="n"/>
      <c r="AN17" s="58" t="n"/>
      <c r="AO17" s="58" t="n"/>
      <c r="AP17" s="58" t="n"/>
      <c r="AQ17" s="58" t="n"/>
      <c r="AR17" s="58" t="n"/>
      <c r="AS17" s="58" t="n"/>
      <c r="AT17" s="58" t="n"/>
      <c r="AU17" s="58" t="n"/>
    </row>
    <row r="18" ht="33.75" customHeight="1" s="241">
      <c r="B18" s="227" t="inlineStr">
        <is>
          <t>Excepción Total</t>
        </is>
      </c>
      <c r="C18" s="217" t="n"/>
      <c r="D18" s="217" t="n"/>
      <c r="E18" s="217" t="n"/>
      <c r="F18" s="217">
        <f>IFERROR(IF(H6&gt;62,-3,IF(H6&gt;59,0,1)),0)+IFERROR(IF(H7&gt;62,-3,IF(H7&gt;59,0,1)),0)+IFERROR(IF(H8&gt;62,-3,IF(H8&gt;59,0,1)),0)++IFERROR(IF(H9&gt;62,-3,IF(H9&gt;59,0,1)),0)+IFERROR(IF(H10&gt;62,-3,IF(H10&gt;59,0,1)),0)+IFERROR(IF(H11&gt;62,-3,IF(H11&gt;59,0,1)),0)+IFERROR(IF(H12&gt;62,-3,IF(H12&gt;59,0,1)),0)+IFERROR(IF(H13&gt;62,-3,IF(H13&gt;59,0,1)),0)</f>
        <v/>
      </c>
      <c r="G18" s="234" t="n"/>
      <c r="H18" s="217">
        <f>IFERROR(VLOOKUP("No Asegurable",R19:R26,1,0),0)</f>
        <v/>
      </c>
      <c r="J18" s="224" t="n"/>
      <c r="K18" s="225" t="n"/>
      <c r="L18" s="226" t="n"/>
      <c r="M18" s="253" t="n"/>
      <c r="N18" s="253" t="n"/>
      <c r="O18" s="253" t="n"/>
      <c r="P18" s="253" t="n"/>
      <c r="Q18" s="253" t="n"/>
      <c r="R18" s="253" t="n"/>
      <c r="S18" s="253" t="n"/>
      <c r="T18" s="253" t="n"/>
      <c r="U18" s="253" t="n"/>
      <c r="V18" s="253" t="n"/>
      <c r="W18" s="253" t="n"/>
      <c r="X18" s="253" t="n"/>
      <c r="Y18" s="253" t="n"/>
      <c r="Z18" s="253" t="n"/>
      <c r="AA18" s="253" t="n"/>
      <c r="AB18" s="256" t="n"/>
      <c r="AC18" s="58" t="n"/>
      <c r="AD18" s="48" t="n"/>
      <c r="AE18" s="48" t="n"/>
      <c r="AF18" s="48" t="n"/>
      <c r="AG18" s="48" t="n"/>
      <c r="AH18" s="48" t="n"/>
      <c r="AI18" s="109" t="n"/>
      <c r="AJ18" s="109" t="n"/>
      <c r="AK18" s="58" t="n"/>
      <c r="AL18" s="58" t="n"/>
      <c r="AM18" s="58" t="n"/>
      <c r="AN18" s="58" t="n"/>
      <c r="AO18" s="58" t="n"/>
      <c r="AP18" s="58" t="n"/>
      <c r="AQ18" s="58" t="n"/>
      <c r="AR18" s="58" t="n"/>
      <c r="AS18" s="58" t="n"/>
      <c r="AT18" s="58" t="n"/>
      <c r="AU18" s="58" t="n"/>
    </row>
    <row r="19" ht="33.75" customHeight="1" s="241">
      <c r="B19" s="227" t="inlineStr">
        <is>
          <t>Excepción Plena VITAL</t>
        </is>
      </c>
      <c r="C19" s="217" t="n"/>
      <c r="D19" s="234" t="n"/>
      <c r="E19" s="234" t="n"/>
      <c r="F19" s="234">
        <f>IF(COUNTIF($H$6:$H$13,"&gt;70")&gt;0,IF(COUNTIF($H$6:$H$13,"&lt;60")&lt;3*COUNTIF($H$6:$H$13,"&gt;70"),-1,1),1)</f>
        <v/>
      </c>
      <c r="G19" s="234" t="n"/>
      <c r="H19" s="217">
        <f>IFERROR(VLOOKUP("No Asegurable",N19:N26,1,0),0)</f>
        <v/>
      </c>
      <c r="J19" s="234">
        <f>IF(COUNTIF($H$6:$H$13,"&gt;70")&gt;0,IF(COUNTIF($H$6:$H$13,"&lt;60")&lt;3*COUNTIF($H$6:$H$13,"&gt;70"),-1,1),1)</f>
        <v/>
      </c>
      <c r="K19" s="116" t="n">
        <v>1</v>
      </c>
      <c r="L19" s="48" t="n"/>
      <c r="M19" s="228">
        <f t="array" ref="M19">IFERROR(IF($H6="","",IF($F$16&gt;=0,IFERROR(INDEX('aux antiguo'!$B$2:$E$4,MATCH($H6,'aux antiguo'!$A$2:$A$4,1),MATCH(M$17,'aux antiguo'!$B$1:$E$1,0)),"No asegurable"),"No asegurable")),"")</f>
        <v/>
      </c>
      <c r="N19" s="228">
        <f t="array" ref="N19">IFERROR(IF($H6="","",IF($F$19&gt;=0,IFERROR(INDEX('aux antiguo'!$H$2:$K$8,MATCH($H6,'aux antiguo'!$G$2:$G$8,1),MATCH(N$17,'aux antiguo'!$H$1:$K$1,0))*(1-$J$6),"No asegurable"),"No asegurable")),"")</f>
        <v/>
      </c>
      <c r="O19" s="228">
        <f t="array" ref="O19">IFERROR(IF($H6="", "", 
    IF(AND($F$24&gt;=0, OR($J$6=0.01, $J$6=0.02, $J$6=0.03, $J$6=0.04, $J$6=0.05)),
        INDEX('aux antiguo'!$DA$2:$DD$7, 
               MATCH($H6, 'aux antiguo'!$CZ$2:$CZ$7, 1), 
               MATCH(O$17, 'aux antiguo'!$DA$1:$DD$1, 0)
        ) * (1 - ($J$6 * 2)),
        IF(AND($F$24&gt;=0, OR($J$6=0, $J$6&gt;=0.05)),
            INDEX('aux antiguo'!$DA$2:$DD$7, 
                   MATCH($H6, 'aux antiguo'!$CZ$2:$CZ$7, 1), 
                   MATCH(O$17, 'aux antiguo'!$DA$1:$DD$1, 0)
            ) * (1 - $J$6),
            "No asegurable"
        )
    )
),"")
</f>
        <v/>
      </c>
      <c r="P19" s="228">
        <f t="array" ref="P19">IFERROR(IF($H6="","",IF($F$20&gt;=0,IFERROR(INDEX('aux antiguo'!$N$2:$Q$8,MATCH($H6,'aux antiguo'!$M$2:$M$8,1),MATCH(P$17,'aux antiguo'!$N$1:$Q$1,0))*(1-$J$6),"No asegurable"),"No asegurable")),"")</f>
        <v/>
      </c>
      <c r="Q19" s="228">
        <f t="array" ref="Q19">IFERROR(IF($H6="","",IF($F$20&gt;=0,IFERROR(INDEX('aux antiguo'!$T$2:$W$8,MATCH($H6,'aux antiguo'!$S$2:$S$8,1),MATCH(Q$17,'aux antiguo'!$T$1:$W$1,0))*(1-$J$6),"No asegurable"),"No asegurable")),"")</f>
        <v/>
      </c>
      <c r="R19" s="228">
        <f t="array" ref="R19">IFERROR(IF($H6="", "", 
    IF(AND($F$24&gt;=0, OR($J$6=0.01, $J$6=0.02, $J$6=0.03, $J$6=0.04, $J$6=0.05)),
        INDEX('aux antiguo'!$Z$2:$AC$8, 
               MATCH($H6, 'aux antiguo'!$Y$2:$Y$8, 1), 
               MATCH(R$17, 'aux antiguo'!$Z$1:$AC$1, 0)
        ) * (1 - ($J$6 * 2)),
        IF(AND($F$24&gt;=0, OR($J$6=0, $J$6&gt;=0.05)),
            INDEX('aux antiguo'!$Z$2:$AC$8, 
                   MATCH($H6, 'aux antiguo'!$Y$2:$Y$8, 1), 
                   MATCH(R$17, 'aux antiguo'!$Z$1:$AC$1, 0)
            ) * (1 - $J$6),
            "No asegurable"
        )
    )
),"")
</f>
        <v/>
      </c>
      <c r="S19" s="228">
        <f t="array" ref="S19">IFERROR(IF($H6="","",IF($F$25&gt;=0,IFERROR(INDEX('aux antiguo'!$CU$2:$CX$8,MATCH($H6,'aux antiguo'!$CT$2:$CT$8,1),MATCH(S$17,'aux antiguo'!$CU$1:$CX$1,0))*(1-$J$6),"No asegurable"),"No asegurable")),"")</f>
        <v/>
      </c>
      <c r="T19" s="228">
        <f t="array" ref="T19">IFERROR(IF($H6="","",IF($F$17&gt;=0,IFERROR(INDEX('aux antiguo'!$BD$2:$BG$10,MATCH($H6,'aux antiguo'!$BC$2:$BC$10,1),MATCH(T$17,'aux antiguo'!$BD$1:$BG$1,0))*(1-$J$6),"No asegurable"),"No asegurable")),"")</f>
        <v/>
      </c>
      <c r="U19" s="228">
        <f t="array" ref="U19">IFERROR(IF($H6="", "", 
    IF(AND($F$23&gt;=0, OR($J$6=0.01, $J$6=0.02, $J$6=0.03, $J$6=0.04, $J$6=0.05)),
        INDEX('aux antiguo'!$BJ$2:$BM$8, 
               MATCH($H6, 'aux antiguo'!$BI$2:$BI$8, 1), 
               MATCH(U$17, 'aux antiguo'!$BJ$1:$BM$1, 0)
        ) * (1 - ($J$6 * 2)),
        IF(AND($F$23&gt;=0, OR($J$6=0, $J$6&gt;=0.05)),
            INDEX('aux antiguo'!$BJ$2:$BM$8, 
                   MATCH($H6, 'aux antiguo'!$BI$2:$BI$8, 1), 
                   MATCH(U$17, 'aux antiguo'!$BJ$1:$BM$1, 0)
            ) * (1 - $J$6),
            "No asegurable"
        )
    )
),"")
</f>
        <v/>
      </c>
      <c r="V19" s="228">
        <f t="array" ref="V19">IFERROR(IF($H6="","",IF($F$26&gt;=0,IFERROR(INDEX('aux antiguo'!$BZ$2:$CC$8,MATCH($H6,'aux antiguo'!$BY$2:$BY$8,1),MATCH(V$17,'aux antiguo'!$BZ$1:$CC$1,0))*(1-$J$6),"No asegurable"),"No asegurable")),"")</f>
        <v/>
      </c>
      <c r="W19" s="228">
        <f t="array" ref="W19">IFERROR(IF($H6="", "", 
    IF(AND($F$22&gt;=0, OR($J$6=0.01, $J$6=0.02, $J$6=0.03, $J$6=0.04, $J$6=0.05)),
        INDEX('aux antiguo'!$BT$11:$BW$15, 
               MATCH($H6, 'aux antiguo'!$BS$11:$BS$15, 1), 
               MATCH(W$17, 'aux antiguo'!$BT$10:$BW$10, 0)
        ) * (1 - ($J$6 * 2)),
        IF(AND($F$22&gt;=0, OR($J$6=0, $J$6&gt;=0.05)),
            INDEX('aux antiguo'!$BT$11:$BW$15, 
                   MATCH($H6, 'aux antiguo'!$BS$11:$BS$15, 1), 
                   MATCH(W$17, 'aux antiguo'!$BT$10:$BW$10, 0)
            ) * (1 - $J$6),
            "No asegurable"
        )
    )
),"")
</f>
        <v/>
      </c>
      <c r="X19" s="233">
        <f t="array" ref="X19">IFERROR(IF($H6="","",IF(OR($F$15=1,$F$15=2),IFERROR(IF($F$26&gt;=0,INDEX('aux antiguo'!$CF$2:$CI$8,MATCH($H6,'aux antiguo'!$CE$2:$CE$8,1),MATCH(X$17,'aux antiguo'!$CF$1:$CI$1,0))*(1-$J$6),"No asegurable"),""),IF($F$15&gt;=3,IFERROR(IF($F$26&gt;=0,INDEX('aux antiguo'!$CL$2:$CO$8, MATCH($H6, 'aux antiguo'!$CK$2:$CK$8, 1), MATCH(X$17, 'aux antiguo'!$CL$1:$CO$1, 0))*(1-$J$6),"No asegurable"),"")))),"")</f>
        <v/>
      </c>
      <c r="Y19" s="228">
        <f t="array" ref="Y19">IF($F$15&gt;4,"No asegurable",IFERROR(IF($H6="","",IF($F$28&gt;=0,IFERROR(INDEX('aux antiguo'!$AF$2:$AI$8,MATCH($H6,'aux antiguo'!$AE$2:$AE$8,1),MATCH(Y$17,'aux antiguo'!$AF$1:$AI$1,0))*(1-$J$6),"No asegurable"),"No asegurable")),""))</f>
        <v/>
      </c>
      <c r="Z19" s="228">
        <f t="array" ref="Z19">IF($F$15&gt;4,"No asegurable",IFERROR(IF($H6="","",IF($F$28&gt;=0,IFERROR(INDEX('aux antiguo'!$AL$2:$AO$8,MATCH($H6,'aux antiguo'!$AK$2:$AK$8,1),MATCH(Z$17,'aux antiguo'!$AL$1:$AO$1,0))*(1-$J$6),"No asegurable"),"No asegurable")),""))</f>
        <v/>
      </c>
      <c r="AA19" s="228">
        <f t="array" ref="AA19">IF(F6="","",IF($F$15&lt;5,"No asegurable",IFERROR(IF($H6="","",IF($F$27&gt;=0,IFERROR(INDEX('aux antiguo'!$AR$2:$AU$8,MATCH($H6,'aux antiguo'!$AQ$2:$AQ$8,1),MATCH(AA$17,'aux antiguo'!$AR$1:$AU$1,0))*(1-$J$6),"No asegurable"),"No asegurable")),"")))</f>
        <v/>
      </c>
      <c r="AB19" s="119">
        <f t="array" ref="AB19">IFERROR(IF(H6="","",IF($F$15&lt;5,"No asegurable",IFERROR(IF($H6="","",IF($F$27&gt;=0,IFERROR(INDEX('aux antiguo'!$AX$2:$BA$8,MATCH($H6,'aux antiguo'!$AW$2:$AW$8,1),MATCH(AB$17,'aux antiguo'!$AX$1:$BA$1,0))*(1-$J$6),"No asegurable"),"No asegurable")),""))),"")</f>
        <v/>
      </c>
      <c r="AC19" s="58" t="n"/>
      <c r="AI19" s="109" t="n"/>
      <c r="AJ19" s="109" t="n"/>
      <c r="AK19" s="58" t="n"/>
      <c r="AL19" s="58" t="n"/>
      <c r="AM19" s="58" t="n"/>
      <c r="AN19" s="58" t="n"/>
      <c r="AO19" s="58" t="n"/>
      <c r="AP19" s="58" t="n"/>
      <c r="AQ19" s="58" t="n"/>
      <c r="AR19" s="58" t="n"/>
      <c r="AS19" s="58" t="n"/>
      <c r="AT19" s="58" t="n"/>
      <c r="AU19" s="58" t="n"/>
    </row>
    <row r="20" ht="33.75" customHeight="1" s="241">
      <c r="B20" s="227" t="inlineStr">
        <is>
          <t>Excepción Plena y Plena PLUS</t>
        </is>
      </c>
      <c r="C20" s="234" t="n"/>
      <c r="D20" s="234" t="n"/>
      <c r="E20" s="234" t="n"/>
      <c r="F20" s="234">
        <f>IFERROR(IF(H6&gt;70,-3,IF(H6&gt;59,0,1)),0)+IFERROR(IF(H7&gt;70,-3,IF(H7&gt;59,0,1)),0)+IFERROR(IF(H8&gt;70,-3,IF(H8&gt;59,0,1)),0)+IFERROR(IF(H9&gt;70,-3,IF(H9&gt;59,0,1)),0)+IFERROR(IF(H10&gt;70,-3,IF(H10&gt;59,0,1)),0)+IFERROR(IF(H11&gt;70,-3,IF(H11&gt;59,0,1)),0)+IFERROR(IF(H12&gt;70,-3,IF(H12&gt;59,0,1)),0)+IFERROR(IF(H13&gt;70,-3,IF(H13&gt;59,0,1)),0)</f>
        <v/>
      </c>
      <c r="G20" s="234" t="n"/>
      <c r="H20" s="217">
        <f>IFERROR(VLOOKUP("No Asegurable",P19:Q26,1,0),0)</f>
        <v/>
      </c>
      <c r="J20" s="234">
        <f>IF(COUNTIF($H$6:$H$13,"&gt;70")&gt;0,IF(COUNTIF($H$6:$H$13,"&lt;60")&lt;3*COUNTIF($H$6:$H$13,"&gt;70"),-1,1),1)</f>
        <v/>
      </c>
      <c r="K20" s="116" t="n">
        <v>2</v>
      </c>
      <c r="L20" s="48" t="n"/>
      <c r="M20" s="228">
        <f t="array" ref="M20">IFERROR(IF($H7="","",IF($F$16&gt;=0,IFERROR(INDEX('aux antiguo'!$B$2:$E$4,MATCH($H7,'aux antiguo'!$A$2:$A$4,1),MATCH(M$17,'aux antiguo'!$B$1:$E$1,0)),"No asegurable"),"No asegurable")),"")</f>
        <v/>
      </c>
      <c r="N20" s="228">
        <f t="array" ref="N20">IFERROR(IF($H7="","",IF($F$19&gt;=0,IFERROR(INDEX('aux antiguo'!$H$2:$K$8,MATCH($H7,'aux antiguo'!$G$2:$G$8,1),MATCH(N$17,'aux antiguo'!$H$1:$K$1,0))*(1-$J$6),"No asegurable"),"No asegurable")),"")</f>
        <v/>
      </c>
      <c r="O20" s="228">
        <f t="array" ref="O20">IFERROR(IF($H7="", "", 
    IF(AND($F$24&gt;=0, OR($J$6=0.01, $J$6=0.02, $J$6=0.03, $J$6=0.04, $J$6=0.05)),
        INDEX('aux antiguo'!$DA$2:$DD$7, 
               MATCH($H7, 'aux antiguo'!$CZ$2:$CZ$7, 1), 
               MATCH(O$17, 'aux antiguo'!$DA$1:$DD$1, 0)
        ) * (1 - ($J$6 * 2)),
        IF(AND($F$24&gt;=0, OR($J$6=0, $J$6&gt;=0.05)),
            INDEX('aux antiguo'!$DA$2:$DD$7, 
                   MATCH($H7, 'aux antiguo'!$CZ$2:$CZ$7, 1), 
                   MATCH(O$17, 'aux antiguo'!$DA$1:$DD$1, 0)
            ) * (1 - $J$6),
            "No asegurable"
        )
    )
),"")
</f>
        <v/>
      </c>
      <c r="P20" s="228">
        <f t="array" ref="P20">IFERROR(IF($H7="","",IF($F$20&gt;=0,IFERROR(INDEX('aux antiguo'!$N$2:$Q$8,MATCH($H7,'aux antiguo'!$M$2:$M$8,1),MATCH(P$17,'aux antiguo'!$N$1:$Q$1,0))*(1-$J$6),"No asegurable"),"No asegurable")),"")</f>
        <v/>
      </c>
      <c r="Q20" s="228">
        <f t="array" ref="Q20">IFERROR(IF($H7="","",IF($F$20&gt;=0,IFERROR(INDEX('aux antiguo'!$T$2:$W$8,MATCH($H7,'aux antiguo'!$S$2:$S$8,1),MATCH(Q$17,'aux antiguo'!$T$1:$W$1,0))*(1-$J$6),"No asegurable"),"No asegurable")),"")</f>
        <v/>
      </c>
      <c r="R20" s="228">
        <f t="array" ref="R20">IFERROR(IF($H7="", "", 
    IF(AND($F$24&gt;=0, OR($J$6=0.01, $J$6=0.02, $J$6=0.03, $J$6=0.04, $J$6=0.05)),
        INDEX('aux antiguo'!$Z$2:$AC$8, 
               MATCH($H7, 'aux antiguo'!$Y$2:$Y$8, 1), 
               MATCH(R$17, 'aux antiguo'!$Z$1:$AC$1, 0)
        ) * (1 - ($J$6 * 2)),
        IF(AND($F$24&gt;=0, OR($J$6=0, $J$6&gt;=0.05)),
            INDEX('aux antiguo'!$Z$2:$AC$8, 
                   MATCH($H7, 'aux antiguo'!$Y$2:$Y$8, 1), 
                   MATCH(R$17, 'aux antiguo'!$Z$1:$AC$1, 0)
            ) * (1 - $J$6),
            "No asegurable"
        )
    )
),"")
</f>
        <v/>
      </c>
      <c r="S20" s="228">
        <f t="array" ref="S20">IFERROR(IF($H7="","",IF($F$25&gt;=0,IFERROR(INDEX('aux antiguo'!$CU$2:$CX$8,MATCH($H7,'aux antiguo'!$CT$2:$CT$8,1),MATCH(S$17,'aux antiguo'!$CU$1:$CX$1,0))*(1-$J$6),"No asegurable"),"No asegurable")),"")</f>
        <v/>
      </c>
      <c r="T20" s="228">
        <f t="array" ref="T20">IFERROR(IF($H7="","",IF($F$17&gt;=0,IFERROR(INDEX('aux antiguo'!$BD$2:$BG$10,MATCH($H7,'aux antiguo'!$BC$2:$BC$10,1),MATCH(T$17,'aux antiguo'!$BD$1:$BG$1,0))*(1-$J$6),"No asegurable"),"No asegurable")),"")</f>
        <v/>
      </c>
      <c r="U20" s="228">
        <f t="array" ref="U20">IFERROR(IF($H7="", "", 
    IF(AND($F$23&gt;=0, OR($J$6=0.01, $J$6=0.02, $J$6=0.03, $J$6=0.04, $J$6=0.05)),
        INDEX('aux antiguo'!$BJ$2:$BM$8, 
               MATCH($H7, 'aux antiguo'!$BI$2:$BI$8, 1), 
               MATCH(U$17, 'aux antiguo'!$BJ$1:$BM$1, 0)
        ) * (1 - ($J$6 * 2)),
        IF(AND($F$23&gt;=0, OR($J$6=0, $J$6&gt;=0.05)),
            INDEX('aux antiguo'!$BJ$2:$BM$8, 
                   MATCH($H7, 'aux antiguo'!$BI$2:$BI$8, 1), 
                   MATCH(U$17, 'aux antiguo'!$BJ$1:$BM$1, 0)
            ) * (1 - $J$6),
            "No asegurable"
        )
    )
),"")
</f>
        <v/>
      </c>
      <c r="V20" s="228">
        <f t="array" ref="V20">IFERROR(IF($H7="","",IF($F$26&gt;=0,IFERROR(INDEX('aux antiguo'!$BZ$2:$CC$8,MATCH($H7,'aux antiguo'!$BY$2:$BY$8,1),MATCH(V$17,'aux antiguo'!$BZ$1:$CC$1,0))*(1-$J$6),"No asegurable"),"No asegurable")),"")</f>
        <v/>
      </c>
      <c r="W20" s="228">
        <f t="array" ref="W20">IFERROR(IF($H7="", "", 
    IF(AND($F$22&gt;=0, OR($J$6=0.01, $J$6=0.02, $J$6=0.03, $J$6=0.04, $J$6=0.05)),
        INDEX('aux antiguo'!$BT$11:$BW$15, 
               MATCH($H7, 'aux antiguo'!$BS$11:$BS$15, 1), 
               MATCH(W$17, 'aux antiguo'!$BT$10:$BW$10, 0)
        ) * (1 - ($J$6 * 2)),
        IF(AND($F$22&gt;=0, OR($J$6=0, $J$6&gt;=0.05)),
            INDEX('aux antiguo'!$BT$11:$BW$15, 
                   MATCH($H7, 'aux antiguo'!$BS$11:$BS$15, 1), 
                   MATCH(W$17, 'aux antiguo'!$BT$10:$BW$10, 0)
            ) * (1 - $J$6),
            "No asegurable"
        )
    )
),"")
</f>
        <v/>
      </c>
      <c r="X20" s="233">
        <f t="array" ref="X20">IFERROR(IF($H7="","",IF(OR($F$15=1,$F$15=2),IFERROR(IF($F$21&gt;=0,INDEX('aux antiguo'!$CF$2:$CI$8,MATCH($H7,'aux antiguo'!$CE$2:$CE$8,1),MATCH(X$17,'aux antiguo'!$CF$1:$CI$1,0))*(1-$J$6),"No asegurable"),""),IF($F$15&gt;=3,IFERROR(IF($F$21&gt;=0,INDEX('aux antiguo'!$CL$2:$CO$8, MATCH($H7, 'aux antiguo'!$CK$2:$CK$8, 1), MATCH(X$17, 'aux antiguo'!$CL$1:$CO$1, 0))*(1-$J$6),"No asegurable"),"")))),"")</f>
        <v/>
      </c>
      <c r="Y20" s="233">
        <f t="array" ref="Y20">IF($F$15&gt;4,"No asegurable",IFERROR(IF($H7="","",IF($F$26&gt;=0,IFERROR(INDEX('aux antiguo'!$AF$2:$AI$8,MATCH($H7,'aux antiguo'!$AE$2:$AE$8,1),MATCH(Y$17,'aux antiguo'!$AF$1:$AI$1,0))*(1-$J$6),"No asegurable"),"No asegurable")),""))</f>
        <v/>
      </c>
      <c r="Z20" s="233">
        <f t="array" ref="Z20">IF($F$15&gt;4,"No asegurable",IFERROR(IF($H7="","",IF($F$26&gt;=0,IFERROR(INDEX('aux antiguo'!$AL$2:$AO$8,MATCH($H7,'aux antiguo'!$AK$2:$AK$8,1),MATCH(Z$17,'aux antiguo'!$AL$1:$AO$1,0))*(1-$J$6),"No asegurable"),"No asegurable")),""))</f>
        <v/>
      </c>
      <c r="AA20" s="74">
        <f t="array" ref="AA20">IF(F7="","",IF($F$15&lt;5,"No asegurable",IFERROR(IF($H7="","",IF($F$26&gt;=0,IFERROR(INDEX('aux antiguo'!$AR$2:$AU$8,MATCH($H7,'aux antiguo'!$AQ$2:$AQ$8,1),MATCH(AA$17,'aux antiguo'!$AR$1:$AU$1,0))*(1-$J$6),"No asegurable"),"No asegurable")),"")))</f>
        <v/>
      </c>
      <c r="AB20" s="49">
        <f t="array" ref="AB20">IFERROR(IF(H7="","",IF($F$15&lt;5,"No asegurable",IFERROR(IF($H7="","",IF($F$26&gt;=0,IFERROR(INDEX('aux antiguo'!$AX$2:$BA$8,MATCH($H7,'aux antiguo'!$AW$2:$AW$8,1),MATCH(AB$17,'aux antiguo'!$AX$1:$BA$1,0))*(1-$J$6),"No asegurable"),"No asegurable")),""))),"")</f>
        <v/>
      </c>
      <c r="AC20" s="48" t="n"/>
      <c r="AI20" s="109" t="n"/>
      <c r="AJ20" s="109" t="n"/>
      <c r="AK20" s="58" t="n"/>
      <c r="AL20" s="58" t="n"/>
      <c r="AM20" s="58" t="n"/>
      <c r="AN20" s="58" t="n"/>
      <c r="AO20" s="58" t="n"/>
      <c r="AP20" s="58" t="n"/>
      <c r="AQ20" s="58" t="n"/>
      <c r="AR20" s="58" t="n"/>
      <c r="AS20" s="58" t="n"/>
      <c r="AT20" s="58" t="n"/>
      <c r="AU20" s="58" t="n"/>
    </row>
    <row r="21" ht="33.75" customHeight="1" s="241">
      <c r="B21" s="230" t="inlineStr">
        <is>
          <t>Excepción NIF</t>
        </is>
      </c>
      <c r="C21" s="231" t="n"/>
      <c r="D21" s="231" t="n"/>
      <c r="E21" s="231" t="n"/>
      <c r="F21" s="231">
        <f>IF(COUNTIF($H$6:$H$13,"&gt;69")&gt;0,IF(COUNTIF($H$6:$H$13,"&lt;60")&lt;3*COUNTIF($H$6:$H$13,"&gt;69"),-1,1),1)</f>
        <v/>
      </c>
      <c r="G21" s="231" t="n"/>
      <c r="H21" s="232">
        <f>IFERROR(VLOOKUP("No Asegurable",V19:V26,1,0),0)</f>
        <v/>
      </c>
      <c r="J21" s="231">
        <f>IF(COUNTIF($H$6:$H$13,"&gt;70")&gt;0,IF(COUNTIF($H$6:$H$13,"&lt;60")&lt;3*COUNTIF($H$6:$H$13,"&gt;70"),-1,1),1)</f>
        <v/>
      </c>
      <c r="K21" s="116" t="n">
        <v>3</v>
      </c>
      <c r="L21" s="48" t="n"/>
      <c r="M21" s="228">
        <f t="array" ref="M21">IFERROR(IF($H8="","",IF($F$16&gt;=0,IFERROR(INDEX('aux antiguo'!$B$2:$E$4,MATCH($H8,'aux antiguo'!$A$2:$A$4,1),MATCH(M$17,'aux antiguo'!$B$1:$E$1,0)),"No asegurable"),"No asegurable")),"")</f>
        <v/>
      </c>
      <c r="N21" s="228">
        <f t="array" ref="N21">IFERROR(IF($H8="","",IF($F$19&gt;=0,IFERROR(INDEX('aux antiguo'!$H$2:$K$8,MATCH($H8,'aux antiguo'!$G$2:$G$8,1),MATCH(N$17,'aux antiguo'!$H$1:$K$1,0))*(1-$J$6),"No asegurable"),"No asegurable")),"")</f>
        <v/>
      </c>
      <c r="O21" s="228">
        <f t="array" ref="O21">IFERROR(IF($H8="", "", 
    IF(AND($F$24&gt;=0, OR($J$6=0.01, $J$6=0.02, $J$6=0.03, $J$6=0.04, $J$6=0.05)),
        INDEX('aux antiguo'!$DA$2:$DD$7, 
               MATCH($H8, 'aux antiguo'!$CZ$2:$CZ$7, 1), 
               MATCH(O$17, 'aux antiguo'!$DA$1:$DD$1, 0)
        ) * (1 - ($J$6 * 2)),
        IF(AND($F$24&gt;=0, OR($J$6=0, $J$6&gt;=0.05)),
            INDEX('aux antiguo'!$DA$2:$DD$7, 
                   MATCH($H8, 'aux antiguo'!$CZ$2:$CZ$7, 1), 
                   MATCH(O$17, 'aux antiguo'!$DA$1:$DD$1, 0)
            ) * (1 - $J$6),
            "No asegurable"
        )
    )
),"")
</f>
        <v/>
      </c>
      <c r="P21" s="228">
        <f t="array" ref="P21">IFERROR(IF($H8="","",IF($F$20&gt;=0,IFERROR(INDEX('aux antiguo'!$N$2:$Q$8,MATCH($H8,'aux antiguo'!$M$2:$M$8,1),MATCH(P$17,'aux antiguo'!$N$1:$Q$1,0))*(1-$J$6),"No asegurable"),"No asegurable")),"")</f>
        <v/>
      </c>
      <c r="Q21" s="228">
        <f t="array" ref="Q21">IFERROR(IF($H8="","",IF($F$20&gt;=0,IFERROR(INDEX('aux antiguo'!$T$2:$W$8,MATCH($H8,'aux antiguo'!$S$2:$S$8,1),MATCH(Q$17,'aux antiguo'!$T$1:$W$1,0))*(1-$J$6),"No asegurable"),"No asegurable")),"")</f>
        <v/>
      </c>
      <c r="R21" s="228">
        <f t="array" ref="R21">IFERROR(IF($H8="", "", 
    IF(AND($F$24&gt;=0, OR($J$6=0.01, $J$6=0.02, $J$6=0.03, $J$6=0.04, $J$6=0.05)),
        INDEX('aux antiguo'!$Z$2:$AC$8, 
               MATCH($H8, 'aux antiguo'!$Y$2:$Y$8, 1), 
               MATCH(R$17, 'aux antiguo'!$Z$1:$AC$1, 0)
        ) * (1 - ($J$6 * 2)),
        IF(AND($F$24&gt;=0, OR($J$6=0, $J$6&gt;=0.05)),
            INDEX('aux antiguo'!$Z$2:$AC$8, 
                   MATCH($H8, 'aux antiguo'!$Y$2:$Y$8, 1), 
                   MATCH(R$17, 'aux antiguo'!$Z$1:$AC$1, 0)
            ) * (1 - $J$6),
            "No asegurable"
        )
    )
),"")
</f>
        <v/>
      </c>
      <c r="S21" s="228">
        <f t="array" ref="S21">IFERROR(IF($H8="","",IF($F$25&gt;=0,IFERROR(INDEX('aux antiguo'!$CU$2:$CX$8,MATCH($H8,'aux antiguo'!$CT$2:$CT$8,1),MATCH(S$17,'aux antiguo'!$CU$1:$CX$1,0))*(1-$J$6),"No asegurable"),"No asegurable")),"")</f>
        <v/>
      </c>
      <c r="T21" s="228">
        <f t="array" ref="T21">IFERROR(IF($H8="","",IF($F$17&gt;=0,IFERROR(INDEX('aux antiguo'!$BD$2:$BG$10,MATCH($H8,'aux antiguo'!$BC$2:$BC$10,1),MATCH(T$17,'aux antiguo'!$BD$1:$BG$1,0))*(1-$J$6),"No asegurable"),"No asegurable")),"")</f>
        <v/>
      </c>
      <c r="U21" s="228">
        <f t="array" ref="U21">IFERROR(IF($H8="", "", 
    IF(AND($F$23&gt;=0, OR($J$6=0.01, $J$6=0.02, $J$6=0.03, $J$6=0.04, $J$6=0.05)),
        INDEX('aux antiguo'!$BJ$2:$BM$8, 
               MATCH($H8, 'aux antiguo'!$BI$2:$BI$8, 1), 
               MATCH(U$17, 'aux antiguo'!$BJ$1:$BM$1, 0)
        ) * (1 - ($J$6 * 2)),
        IF(AND($F$23&gt;=0, OR($J$6=0, $J$6&gt;=0.05)),
            INDEX('aux antiguo'!$BJ$2:$BM$8, 
                   MATCH($H8, 'aux antiguo'!$BI$2:$BI$8, 1), 
                   MATCH(U$17, 'aux antiguo'!$BJ$1:$BM$1, 0)
            ) * (1 - $J$6),
            "No asegurable"
        )
    )
),"")
</f>
        <v/>
      </c>
      <c r="V21" s="228">
        <f t="array" ref="V21">IFERROR(IF($H8="","",IF($F$26&gt;=0,IFERROR(INDEX('aux antiguo'!$BZ$2:$CC$8,MATCH($H8,'aux antiguo'!$BY$2:$BY$8,1),MATCH(V$17,'aux antiguo'!$BZ$1:$CC$1,0))*(1-$J$6),"No asegurable"),"No asegurable")),"")</f>
        <v/>
      </c>
      <c r="W21" s="228">
        <f t="array" ref="W21">IFERROR(IF($H8="", "", 
    IF(AND($F$22&gt;=0, OR($J$6=0.01, $J$6=0.02, $J$6=0.03, $J$6=0.04, $J$6=0.05)),
        INDEX('aux antiguo'!$BT$11:$BW$15, 
               MATCH($H8, 'aux antiguo'!$BS$11:$BS$15, 1), 
               MATCH(W$17, 'aux antiguo'!$BT$10:$BW$10, 0)
        ) * (1 - ($J$6 * 2)),
        IF(AND($F$22&gt;=0, OR($J$6=0, $J$6&gt;=0.05)),
            INDEX('aux antiguo'!$BT$11:$BW$15, 
                   MATCH($H8, 'aux antiguo'!$BS$11:$BS$15, 1), 
                   MATCH(W$17, 'aux antiguo'!$BT$10:$BW$10, 0)
            ) * (1 - $J$6),
            "No asegurable"
        )
    )
),"")
</f>
        <v/>
      </c>
      <c r="X21" s="233">
        <f t="array" ref="X21">IFERROR(IF($H8="","",IF(OR($F$15=1,$F$15=2),IFERROR(IF($F$21&gt;=0,INDEX('aux antiguo'!$CF$2:$CI$8,MATCH($H8,'aux antiguo'!$CE$2:$CE$8,1),MATCH(X$17,'aux antiguo'!$CF$1:$CI$1,0))*(1-$J$6),"No asegurable"),""),IF($F$15&gt;=3,IFERROR(IF($F$21&gt;=0,INDEX('aux antiguo'!$CL$2:$CO$8, MATCH($H8, 'aux antiguo'!$CK$2:$CK$8, 1), MATCH(X$17, 'aux antiguo'!$CL$1:$CO$1, 0))*(1-$J$6),"No asegurable"),"")))),"")</f>
        <v/>
      </c>
      <c r="Y21" s="233">
        <f t="array" ref="Y21">IF($F$15&gt;4,"No asegurable",IFERROR(IF($H8="","",IF($F$26&gt;=0,IFERROR(INDEX('aux antiguo'!$AF$2:$AI$8,MATCH($H8,'aux antiguo'!$AE$2:$AE$8,1),MATCH(Y$17,'aux antiguo'!$AF$1:$AI$1,0))*(1-$J$6),"No asegurable"),"No asegurable")),""))</f>
        <v/>
      </c>
      <c r="Z21" s="233">
        <f t="array" ref="Z21">IF($F$15&gt;4,"No asegurable",IFERROR(IF($H8="","",IF($F$26&gt;=0,IFERROR(INDEX('aux antiguo'!$AL$2:$AO$8,MATCH($H8,'aux antiguo'!$AK$2:$AK$8,1),MATCH(Z$17,'aux antiguo'!$AL$1:$AO$1,0))*(1-$J$6),"No asegurable"),"No asegurable")),""))</f>
        <v/>
      </c>
      <c r="AA21" s="74">
        <f t="array" ref="AA21">IF(F8="","",IF($F$15&lt;5,"No asegurable",IFERROR(IF($H8="","",IF($F$26&gt;=0,IFERROR(INDEX('aux antiguo'!$AR$2:$AU$8,MATCH($H8,'aux antiguo'!$AQ$2:$AQ$8,1),MATCH(AA$17,'aux antiguo'!$AR$1:$AU$1,0))*(1-$J$6),"No asegurable"),"No asegurable")),"")))</f>
        <v/>
      </c>
      <c r="AB21" s="49">
        <f t="array" ref="AB21">IFERROR(IF(H8="","",IF($F$15&lt;5,"No asegurable",IFERROR(IF($H8="","",IF($F$26&gt;=0,IFERROR(INDEX('aux antiguo'!$AX$2:$BA$8,MATCH($H8,'aux antiguo'!$AW$2:$AW$8,1),MATCH(AB$17,'aux antiguo'!$AX$1:$BA$1,0))*(1-$J$6),"No asegurable"),"No asegurable")),""))),"")</f>
        <v/>
      </c>
      <c r="AC21" s="58" t="n"/>
      <c r="AI21" s="109" t="n"/>
      <c r="AJ21" s="109" t="n"/>
      <c r="AK21" s="58" t="n"/>
      <c r="AL21" s="58" t="n"/>
      <c r="AM21" s="58" t="n"/>
      <c r="AN21" s="58" t="n"/>
      <c r="AO21" s="58" t="n"/>
      <c r="AP21" s="58" t="n"/>
      <c r="AQ21" s="58" t="n"/>
      <c r="AR21" s="58" t="n"/>
      <c r="AS21" s="58" t="n"/>
      <c r="AT21" s="58" t="n"/>
      <c r="AU21" s="58" t="n"/>
    </row>
    <row r="22" ht="33.75" customHeight="1" s="241">
      <c r="B22" s="234" t="inlineStr">
        <is>
          <t>Excepción Pymes Total</t>
        </is>
      </c>
      <c r="C22" s="234" t="n"/>
      <c r="D22" s="234" t="n"/>
      <c r="E22" s="234" t="n"/>
      <c r="F22" s="234">
        <f>IFERROR(IF(H6&gt;67,-3,IF(H6&gt;59,0,1)),0)+IFERROR(IF(H7&gt;67,-3,IF(H7&gt;59,0,1)),0)+IFERROR(IF(H8&gt;67,-3,IF(H8&gt;59,0,1)),0)++IFERROR(IF(H9&gt;67,-3,IF(H9&gt;59,0,1)),0)+IFERROR(IF(H10&gt;67,-3,IF(H10&gt;59,0,1)),0)+IFERROR(IF(H11&gt;67,-3,IF(H11&gt;59,0,1)),0)+IFERROR(IF(H12&gt;67,-3,IF(H12&gt;59,0,1)),0)+IFERROR(IF(H13&gt;67,-3,IF(H13&gt;59,0,1)),0)</f>
        <v/>
      </c>
      <c r="G22" s="234" t="n"/>
      <c r="H22" s="217">
        <f>IFERROR(VLOOKUP("No Asegurable",$W$19:$W$26,1,0),0)</f>
        <v/>
      </c>
      <c r="J22" s="234">
        <f>IF(COUNTIF($H$6:$H$13,"&gt;67")&gt;0,IF(COUNTIF($H$6:$H$13,"&lt;60")&lt;3*COUNTIF($H$6:$H$13,"&gt;67"),-1,1),1)</f>
        <v/>
      </c>
      <c r="K22" s="116" t="n">
        <v>4</v>
      </c>
      <c r="L22" s="48" t="n"/>
      <c r="M22" s="228">
        <f t="array" ref="M22">IFERROR(IF($H9="","",IF($F$16&gt;=0,IFERROR(INDEX('aux antiguo'!$B$2:$E$4,MATCH($H9,'aux antiguo'!$A$2:$A$4,1),MATCH(M$17,'aux antiguo'!$B$1:$E$1,0)),"No asegurable"),"No asegurable")),"")</f>
        <v/>
      </c>
      <c r="N22" s="228">
        <f t="array" ref="N22">IFERROR(IF($H9="","",IF($F$19&gt;=0,IFERROR(INDEX('aux antiguo'!$H$2:$K$8,MATCH($H9,'aux antiguo'!$G$2:$G$8,1),MATCH(N$17,'aux antiguo'!$H$1:$K$1,0))*(1-$J$6),"No asegurable"),"No asegurable")),"")</f>
        <v/>
      </c>
      <c r="O22" s="228">
        <f t="array" ref="O22">IFERROR(IF($H9="", "", 
    IF(AND($F$24&gt;=0, OR($J$6=0.01, $J$6=0.02, $J$6=0.03, $J$6=0.04, $J$6=0.05)),
        INDEX('aux antiguo'!$DA$2:$DD$7, 
               MATCH($H9, 'aux antiguo'!$CZ$2:$CZ$7, 1), 
               MATCH(O$17, 'aux antiguo'!$DA$1:$DD$1, 0)
        ) * (1 - ($J$6 * 2)),
        IF(AND($F$24&gt;=0, OR($J$6=0, $J$6&gt;=0.05)),
            INDEX('aux antiguo'!$DA$2:$DD$7, 
                   MATCH($H9, 'aux antiguo'!$CZ$2:$CZ$7, 1), 
                   MATCH(O$17, 'aux antiguo'!$DA$1:$DD$1, 0)
            ) * (1 - $J$6),
            "No asegurable"
        )
    )
),"")
</f>
        <v/>
      </c>
      <c r="P22" s="228">
        <f t="array" ref="P22">IFERROR(IF($H9="","",IF($F$20&gt;=0,IFERROR(INDEX('aux antiguo'!$N$2:$Q$8,MATCH($H9,'aux antiguo'!$M$2:$M$8,1),MATCH(P$17,'aux antiguo'!$N$1:$Q$1,0))*(1-$J$6),"No asegurable"),"No asegurable")),"")</f>
        <v/>
      </c>
      <c r="Q22" s="228">
        <f t="array" ref="Q22">IFERROR(IF($H9="","",IF($F$20&gt;=0,IFERROR(INDEX('aux antiguo'!$T$2:$W$8,MATCH($H9,'aux antiguo'!$S$2:$S$8,1),MATCH(Q$17,'aux antiguo'!$T$1:$W$1,0))*(1-$J$6),"No asegurable"),"No asegurable")),"")</f>
        <v/>
      </c>
      <c r="R22" s="228">
        <f t="array" ref="R22">IFERROR(IF($H9="", "", 
    IF(AND($F$24&gt;=0, OR($J$6=0.01, $J$6=0.02, $J$6=0.03, $J$6=0.04, $J$6=0.05)),
        INDEX('aux antiguo'!$Z$2:$AC$8, 
               MATCH($H9, 'aux antiguo'!$Y$2:$Y$8, 1), 
               MATCH(R$17, 'aux antiguo'!$Z$1:$AC$1, 0)
        ) * (1 - ($J$6 * 2)),
        IF(AND($F$24&gt;=0, OR($J$6=0, $J$6&gt;=0.05)),
            INDEX('aux antiguo'!$Z$2:$AC$8, 
                   MATCH($H9, 'aux antiguo'!$Y$2:$Y$8, 1), 
                   MATCH(R$17, 'aux antiguo'!$Z$1:$AC$1, 0)
            ) * (1 - $J$6),
            "No asegurable"
        )
    )
),"")
</f>
        <v/>
      </c>
      <c r="S22" s="228">
        <f t="array" ref="S22">IFERROR(IF($H9="","",IF($F$25&gt;=0,IFERROR(INDEX('aux antiguo'!$CU$2:$CX$8,MATCH($H9,'aux antiguo'!$CT$2:$CT$8,1),MATCH(S$17,'aux antiguo'!$CU$1:$CX$1,0))*(1-$J$6),"No asegurable"),"No asegurable")),"")</f>
        <v/>
      </c>
      <c r="T22" s="228">
        <f t="array" ref="T22">IFERROR(IF($H9="","",IF($F$17&gt;=0,IFERROR(INDEX('aux antiguo'!$BD$2:$BG$10,MATCH($H9,'aux antiguo'!$BC$2:$BC$10,1),MATCH(T$17,'aux antiguo'!$BD$1:$BG$1,0))*(1-$J$6),"No asegurable"),"No asegurable")),"")</f>
        <v/>
      </c>
      <c r="U22" s="228">
        <f t="array" ref="U22">IFERROR(IF($H9="", "", 
    IF(AND($F$23&gt;=0, OR($J$6=0.01, $J$6=0.02, $J$6=0.03, $J$6=0.04, $J$6=0.05)),
        INDEX('aux antiguo'!$BJ$2:$BM$8, 
               MATCH($H9, 'aux antiguo'!$BI$2:$BI$8, 1), 
               MATCH(U$17, 'aux antiguo'!$BJ$1:$BM$1, 0)
        ) * (1 - ($J$6 * 2)),
        IF(AND($F$23&gt;=0, OR($J$6=0, $J$6&gt;=0.05)),
            INDEX('aux antiguo'!$BJ$2:$BM$8, 
                   MATCH($H9, 'aux antiguo'!$BI$2:$BI$8, 1), 
                   MATCH(U$17, 'aux antiguo'!$BJ$1:$BM$1, 0)
            ) * (1 - $J$6),
            "No asegurable"
        )
    )
),"")
</f>
        <v/>
      </c>
      <c r="V22" s="228">
        <f t="array" ref="V22">IFERROR(IF($H9="","",IF($F$26&gt;=0,IFERROR(INDEX('aux antiguo'!$BZ$2:$CC$8,MATCH($H9,'aux antiguo'!$BY$2:$BY$8,1),MATCH(V$17,'aux antiguo'!$BZ$1:$CC$1,0))*(1-$J$6),"No asegurable"),"No asegurable")),"")</f>
        <v/>
      </c>
      <c r="W22" s="228">
        <f t="array" ref="W22">IFERROR(IF($H9="", "", 
    IF(AND($F$22&gt;=0, OR($J$6=0.01, $J$6=0.02, $J$6=0.03, $J$6=0.04, $J$6=0.05)),
        INDEX('aux antiguo'!$BT$11:$BW$15, 
               MATCH($H9, 'aux antiguo'!$BS$11:$BS$15, 1), 
               MATCH(W$17, 'aux antiguo'!$BT$10:$BW$10, 0)
        ) * (1 - ($J$6 * 2)),
        IF(AND($F$22&gt;=0, OR($J$6=0, $J$6&gt;=0.05)),
            INDEX('aux antiguo'!$BT$11:$BW$15, 
                   MATCH($H9, 'aux antiguo'!$BS$11:$BS$15, 1), 
                   MATCH(W$17, 'aux antiguo'!$BT$10:$BW$10, 0)
            ) * (1 - $J$6),
            "No asegurable"
        )
    )
),"")
</f>
        <v/>
      </c>
      <c r="X22" s="233">
        <f t="array" ref="X22">IFERROR(IF($H9="","",IF(OR($F$15=1,$F$15=2),IFERROR(IF($F$21&gt;=0,INDEX('aux antiguo'!$CF$2:$CI$8,MATCH($H9,'aux antiguo'!$CE$2:$CE$8,1),MATCH(X$17,'aux antiguo'!$CF$1:$CI$1,0))*(1-$J$6),"No asegurable"),""),IF($F$15&gt;=3,IFERROR(IF($F$21&gt;=0,INDEX('aux antiguo'!$CL$2:$CO$8, MATCH($H9, 'aux antiguo'!$CK$2:$CK$8, 1), MATCH(X$17, 'aux antiguo'!$CL$1:$CO$1, 0))*(1-$J$6),"No asegurable"),"")))),"")</f>
        <v/>
      </c>
      <c r="Y22" s="233">
        <f t="array" ref="Y22">IF($F$15&gt;4,"No asegurable",IFERROR(IF($H9="","",IF($F$26&gt;=0,IFERROR(INDEX('aux antiguo'!$AF$2:$AI$8,MATCH($H9,'aux antiguo'!$AE$2:$AE$8,1),MATCH(Y$17,'aux antiguo'!$AF$1:$AI$1,0))*(1-$J$6),"No asegurable"),"No asegurable")),""))</f>
        <v/>
      </c>
      <c r="Z22" s="233">
        <f t="array" ref="Z22">IF($F$15&gt;4,"No asegurable",IFERROR(IF($H9="","",IF($F$26&gt;=0,IFERROR(INDEX('aux antiguo'!$AL$2:$AO$8,MATCH($H9,'aux antiguo'!$AK$2:$AK$8,1),MATCH(Z$17,'aux antiguo'!$AL$1:$AO$1,0))*(1-$J$6),"No asegurable"),"No asegurable")),""))</f>
        <v/>
      </c>
      <c r="AA22" s="74">
        <f t="array" ref="AA22">IF(F9="","",IF($F$15&lt;5,"No asegurable",IFERROR(IF($H9="","",IF($F$26&gt;=0,IFERROR(INDEX('aux antiguo'!$AR$2:$AU$8,MATCH($H9,'aux antiguo'!$AQ$2:$AQ$8,1),MATCH(AA$17,'aux antiguo'!$AR$1:$AU$1,0))*(1-$J$6),"No asegurable"),"No asegurable")),"")))</f>
        <v/>
      </c>
      <c r="AB22" s="49">
        <f t="array" ref="AB22">IFERROR(IF(H9="","",IF($F$15&lt;5,"No asegurable",IFERROR(IF($H9="","",IF($F$26&gt;=0,IFERROR(INDEX('aux antiguo'!$AX$2:$BA$8,MATCH($H9,'aux antiguo'!$AW$2:$AW$8,1),MATCH(AB$17,'aux antiguo'!$AX$1:$BA$1,0))*(1-$J$6),"No asegurable"),"No asegurable")),""))),"")</f>
        <v/>
      </c>
      <c r="AC22" s="48" t="n"/>
      <c r="AI22" s="109" t="n"/>
      <c r="AJ22" s="109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8" t="n"/>
      <c r="AT22" s="58" t="n"/>
      <c r="AU22" s="58" t="n"/>
    </row>
    <row r="23" ht="33.75" customHeight="1" s="241">
      <c r="B23" s="234" t="inlineStr">
        <is>
          <t>Excepción Senior Total</t>
        </is>
      </c>
      <c r="C23" s="234" t="n"/>
      <c r="D23" s="234" t="n"/>
      <c r="E23" s="234" t="n"/>
      <c r="F23" s="234">
        <f>IF(COUNTIF($H$6:$H$13,"&gt;84")&gt;0,-1,  
    IF(AND(AND(COUNTIF($H$6:$H$13,"&gt;=60"),COUNTIF($H$6:$H$13,"&lt;=62"))&gt;0,COUNTIF($H$6:$H$13,"&gt;=63")&gt;0,COUNTIF($H$6:$H$13,"&lt;60")=0),1,  
        -1))
</f>
        <v/>
      </c>
      <c r="G23" s="234" t="n"/>
      <c r="H23" s="217">
        <f>IFERROR(VLOOKUP("No Asegurable",$U$19:$U$26,1,0),0)</f>
        <v/>
      </c>
      <c r="J23" s="234" t="n"/>
      <c r="K23" s="116" t="n">
        <v>5</v>
      </c>
      <c r="L23" s="48" t="n"/>
      <c r="M23" s="228">
        <f t="array" ref="M23">IFERROR(IF($H10="","",IF($F$16&gt;=0,IFERROR(INDEX('aux antiguo'!$B$2:$E$4,MATCH($H10,'aux antiguo'!$A$2:$A$4,1),MATCH(M$17,'aux antiguo'!$B$1:$E$1,0)),"No asegurable"),"No asegurable")),"")</f>
        <v/>
      </c>
      <c r="N23" s="228">
        <f t="array" ref="N23">IFERROR(IF($H10="","",IF($F$19&gt;=0,IFERROR(INDEX('aux antiguo'!$H$2:$K$8,MATCH($H10,'aux antiguo'!$G$2:$G$8,1),MATCH(N$17,'aux antiguo'!$H$1:$K$1,0))*(1-$J$6),"No asegurable"),"No asegurable")),"")</f>
        <v/>
      </c>
      <c r="O23" s="228">
        <f t="array" ref="O23">IFERROR(IF($H10="", "", 
    IF(AND($F$24&gt;=0, OR($J$6=0.01, $J$6=0.02, $J$6=0.03, $J$6=0.04, $J$6=0.05)),
        INDEX('aux antiguo'!$DA$2:$DD$7, 
               MATCH($H10, 'aux antiguo'!$CZ$2:$CZ$7, 1), 
               MATCH(O$17, 'aux antiguo'!$DA$1:$DD$1, 0)
        ) * (1 - ($J$6 * 2)),
        IF(AND($F$24&gt;=0, OR($J$6=0, $J$6&gt;=0.05)),
            INDEX('aux antiguo'!$DA$2:$DD$7, 
                   MATCH($H10, 'aux antiguo'!$CZ$2:$CZ$7, 1), 
                   MATCH(O$17, 'aux antiguo'!$DA$1:$DD$1, 0)
            ) * (1 - $J$6),
            "No asegurable"
        )
    )
),"")
</f>
        <v/>
      </c>
      <c r="P23" s="228">
        <f t="array" ref="P23">IFERROR(IF($H10="","",IF($F$20&gt;=0,IFERROR(INDEX('aux antiguo'!$N$2:$Q$8,MATCH($H10,'aux antiguo'!$M$2:$M$8,1),MATCH(P$17,'aux antiguo'!$N$1:$Q$1,0))*(1-$J$6),"No asegurable"),"No asegurable")),"")</f>
        <v/>
      </c>
      <c r="Q23" s="228">
        <f t="array" ref="Q23">IFERROR(IF($H10="","",IF($F$20&gt;=0,IFERROR(INDEX('aux antiguo'!$T$2:$W$8,MATCH($H10,'aux antiguo'!$S$2:$S$8,1),MATCH(Q$17,'aux antiguo'!$T$1:$W$1,0))*(1-$J$6),"No asegurable"),"No asegurable")),"")</f>
        <v/>
      </c>
      <c r="R23" s="228">
        <f t="array" ref="R23">IFERROR(IF($H10="", "", 
    IF(AND($F$24&gt;=0, OR($J$6=0.01, $J$6=0.02, $J$6=0.03, $J$6=0.04, $J$6=0.05)),
        INDEX('aux antiguo'!$Z$2:$AC$8, 
               MATCH($H10, 'aux antiguo'!$Y$2:$Y$8, 1), 
               MATCH(R$17, 'aux antiguo'!$Z$1:$AC$1, 0)
        ) * (1 - ($J$6 * 2)),
        IF(AND($F$24&gt;=0, OR($J$6=0, $J$6&gt;=0.05)),
            INDEX('aux antiguo'!$Z$2:$AC$8, 
                   MATCH($H10, 'aux antiguo'!$Y$2:$Y$8, 1), 
                   MATCH(R$17, 'aux antiguo'!$Z$1:$AC$1, 0)
            ) * (1 - $J$6),
            "No asegurable"
        )
    )
),"")
</f>
        <v/>
      </c>
      <c r="S23" s="228">
        <f t="array" ref="S23">IFERROR(IF($H10="","",IF($F$25&gt;=0,IFERROR(INDEX('aux antiguo'!$CU$2:$CX$8,MATCH($H10,'aux antiguo'!$CT$2:$CT$8,1),MATCH(S$17,'aux antiguo'!$CU$1:$CX$1,0))*(1-$J$6),"No asegurable"),"No asegurable")),"")</f>
        <v/>
      </c>
      <c r="T23" s="228">
        <f t="array" ref="T23">IFERROR(IF($H10="","",IF($F$17&gt;=0,IFERROR(INDEX('aux antiguo'!$BD$2:$BG$10,MATCH($H10,'aux antiguo'!$BC$2:$BC$10,1),MATCH(T$17,'aux antiguo'!$BD$1:$BG$1,0))*(1-$J$6),"No asegurable"),"No asegurable")),"")</f>
        <v/>
      </c>
      <c r="U23" s="228">
        <f t="array" ref="U23">IFERROR(IF($H10="", "", 
    IF(AND($F$23&gt;=0, OR($J$6=0.01, $J$6=0.02, $J$6=0.03, $J$6=0.04, $J$6=0.05)),
        INDEX('aux antiguo'!$BJ$2:$BM$8, 
               MATCH($H10, 'aux antiguo'!$BI$2:$BI$8, 1), 
               MATCH(U$17, 'aux antiguo'!$BJ$1:$BM$1, 0)
        ) * (1 - ($J$6 * 2)),
        IF(AND($F$23&gt;=0, OR($J$6=0, $J$6&gt;=0.05)),
            INDEX('aux antiguo'!$BJ$2:$BM$8, 
                   MATCH($H10, 'aux antiguo'!$BI$2:$BI$8, 1), 
                   MATCH(U$17, 'aux antiguo'!$BJ$1:$BM$1, 0)
            ) * (1 - $J$6),
            "No asegurable"
        )
    )
),"")
</f>
        <v/>
      </c>
      <c r="V23" s="228">
        <f t="array" ref="V23">IFERROR(IF($H10="","",IF($F$26&gt;=0,IFERROR(INDEX('aux antiguo'!$BZ$2:$CC$8,MATCH($H10,'aux antiguo'!$BY$2:$BY$8,1),MATCH(V$17,'aux antiguo'!$BZ$1:$CC$1,0))*(1-$J$6),"No asegurable"),"No asegurable")),"")</f>
        <v/>
      </c>
      <c r="W23" s="228">
        <f t="array" ref="W23">IFERROR(IF($H10="", "", 
    IF(AND($F$22&gt;=0, OR($J$6=0.01, $J$6=0.02, $J$6=0.03, $J$6=0.04, $J$6=0.05)),
        INDEX('aux antiguo'!$BT$11:$BW$15, 
               MATCH($H10, 'aux antiguo'!$BS$11:$BS$15, 1), 
               MATCH(W$17, 'aux antiguo'!$BT$10:$BW$10, 0)
        ) * (1 - ($J$6 * 2)),
        IF(AND($F$22&gt;=0, OR($J$6=0, $J$6&gt;=0.05)),
            INDEX('aux antiguo'!$BT$11:$BW$15, 
                   MATCH($H10, 'aux antiguo'!$BS$11:$BS$15, 1), 
                   MATCH(W$17, 'aux antiguo'!$BT$10:$BW$10, 0)
            ) * (1 - $J$6),
            "No asegurable"
        )
    )
),"")
</f>
        <v/>
      </c>
      <c r="X23" s="233">
        <f t="array" ref="X23">IFERROR(IF($H10="","",IF(OR($F$15=1,$F$15=2),IFERROR(IF($F$21&gt;=0,INDEX('aux antiguo'!$CF$2:$CI$8,MATCH($H10,'aux antiguo'!$CE$2:$CE$8,1),MATCH(X$17,'aux antiguo'!$CF$1:$CI$1,0))*(1-$J$6),"No asegurable"),""),IF($F$15&gt;=3,IFERROR(IF($F$21&gt;=0,INDEX('aux antiguo'!$CL$2:$CO$8, MATCH($H10, 'aux antiguo'!$CK$2:$CK$8, 1), MATCH(X$17, 'aux antiguo'!$CL$1:$CO$1, 0))*(1-$J$6),"No asegurable"),"")))),"")</f>
        <v/>
      </c>
      <c r="Y23" s="233">
        <f t="array" ref="Y23">IF($F$15&gt;4,"No asegurable",IFERROR(IF($H10="","",IF($F$26&gt;=0,IFERROR(INDEX('aux antiguo'!$AF$2:$AI$8,MATCH($H10,'aux antiguo'!$AE$2:$AE$8,1),MATCH(Y$17,'aux antiguo'!$AF$1:$AI$1,0))*(1-$J$6),"No asegurable"),"No asegurable")),""))</f>
        <v/>
      </c>
      <c r="Z23" s="233">
        <f t="array" ref="Z23">IF($F$15&gt;4,"No asegurable",IFERROR(IF($H10="","",IF($F$26&gt;=0,IFERROR(INDEX('aux antiguo'!$AL$2:$AO$8,MATCH($H10,'aux antiguo'!$AK$2:$AK$8,1),MATCH(Z$17,'aux antiguo'!$AL$1:$AO$1,0))*(1-$J$6),"No asegurable"),"No asegurable")),""))</f>
        <v/>
      </c>
      <c r="AA23" s="74">
        <f t="array" ref="AA23">IF(F10="","",IF($F$15&lt;5,"No asegurable",IFERROR(IF($H10="","",IF($F$26&gt;=0,IFERROR(INDEX('aux antiguo'!$AR$2:$AU$8,MATCH($H10,'aux antiguo'!$AQ$2:$AQ$8,1),MATCH(AA$17,'aux antiguo'!$AR$1:$AU$1,0))*(1-$J$6),"No asegurable"),"No asegurable")),"")))</f>
        <v/>
      </c>
      <c r="AB23" s="49">
        <f t="array" ref="AB23">IFERROR(IF(H10="","",IF($F$15&lt;5,"No asegurable",IFERROR(IF($H10="","",IF($F$26&gt;=0,IFERROR(INDEX('aux antiguo'!$AX$2:$BA$8,MATCH($H10,'aux antiguo'!$AW$2:$AW$8,1),MATCH(AB$17,'aux antiguo'!$AX$1:$BA$1,0))*(1-$J$6),"No asegurable"),"No asegurable")),""))),"")</f>
        <v/>
      </c>
      <c r="AI23" s="109" t="n"/>
      <c r="AJ23" s="109" t="n"/>
      <c r="AK23" s="58" t="n"/>
      <c r="AL23" s="58" t="n"/>
      <c r="AM23" s="58" t="n"/>
      <c r="AN23" s="58" t="n"/>
      <c r="AO23" s="58" t="n"/>
      <c r="AP23" s="58" t="n"/>
      <c r="AQ23" s="58" t="n"/>
      <c r="AR23" s="58" t="n"/>
      <c r="AS23" s="58" t="n"/>
      <c r="AT23" s="58" t="n"/>
      <c r="AU23" s="58" t="n"/>
    </row>
    <row r="24" ht="32.25" customHeight="1" s="241">
      <c r="B24" s="234" t="inlineStr">
        <is>
          <t>Excepción Plena Total</t>
        </is>
      </c>
      <c r="C24" s="234" t="n"/>
      <c r="D24" s="234" t="n"/>
      <c r="E24" s="234" t="n"/>
      <c r="F24" s="234">
        <f>IF(COUNTIF($H$6:$H$13,"&gt;62")&gt;0,IF(COUNTIF($H$6:$H$13,"&lt;60")&lt;3*COUNTIF($H$6:$H$13,"&gt;62"),-1,1),1)</f>
        <v/>
      </c>
      <c r="G24" s="234" t="n"/>
      <c r="H24" s="217">
        <f>IFERROR(VLOOKUP("No Asegurable",$R$19:$R$26,1,0),0)</f>
        <v/>
      </c>
      <c r="J24" s="234">
        <f>IF(COUNTIF($H$6:$H$13,"&gt;62")&gt;0,IF(COUNTIF($H$6:$H$13,"&lt;60")&lt;3*COUNTIF($H$6:$H$13,"&gt;62"),-1,1),1)</f>
        <v/>
      </c>
      <c r="K24" s="116" t="n">
        <v>6</v>
      </c>
      <c r="L24" s="48" t="n"/>
      <c r="M24" s="228">
        <f t="array" ref="M24">IFERROR(IF($H11="","",IF($F$16&gt;=0,IFERROR(INDEX('aux antiguo'!$B$2:$E$4,MATCH($H11,'aux antiguo'!$A$2:$A$4,1),MATCH(M$17,'aux antiguo'!$B$1:$E$1,0)),"No asegurable"),"No asegurable")),"")</f>
        <v/>
      </c>
      <c r="N24" s="228">
        <f t="array" ref="N24">IFERROR(IF($H11="","",IF($F$19&gt;=0,IFERROR(INDEX('aux antiguo'!$H$2:$K$8,MATCH($H11,'aux antiguo'!$G$2:$G$8,1),MATCH(N$17,'aux antiguo'!$H$1:$K$1,0))*(1-$J$6),"No asegurable"),"No asegurable")),"")</f>
        <v/>
      </c>
      <c r="O24" s="228">
        <f t="array" ref="O24">IFERROR(IF($H11="", "", 
    IF(AND($F$24&gt;=0, OR($J$6=0.01, $J$6=0.02, $J$6=0.03, $J$6=0.04, $J$6=0.05)),
        INDEX('aux antiguo'!$DA$2:$DD$7, 
               MATCH($H11, 'aux antiguo'!$CZ$2:$CZ$7, 1), 
               MATCH(O$17, 'aux antiguo'!$DA$1:$DD$1, 0)
        ) * (1 - ($J$6 * 2)),
        IF(AND($F$24&gt;=0, OR($J$6=0, $J$6&gt;=0.05)),
            INDEX('aux antiguo'!$DA$2:$DD$7, 
                   MATCH($H11, 'aux antiguo'!$CZ$2:$CZ$7, 1), 
                   MATCH(O$17, 'aux antiguo'!$DA$1:$DD$1, 0)
            ) * (1 - $J$6),
            "No asegurable"
        )
    )
),"")
</f>
        <v/>
      </c>
      <c r="P24" s="228">
        <f t="array" ref="P24">IFERROR(IF($H11="","",IF($F$20&gt;=0,IFERROR(INDEX('aux antiguo'!$N$2:$Q$8,MATCH($H11,'aux antiguo'!$M$2:$M$8,1),MATCH(P$17,'aux antiguo'!$N$1:$Q$1,0))*(1-$J$6),"No asegurable"),"No asegurable")),"")</f>
        <v/>
      </c>
      <c r="Q24" s="228">
        <f t="array" ref="Q24">IFERROR(IF($H11="","",IF($F$20&gt;=0,IFERROR(INDEX('aux antiguo'!$T$2:$W$8,MATCH($H11,'aux antiguo'!$S$2:$S$8,1),MATCH(Q$17,'aux antiguo'!$T$1:$W$1,0))*(1-$J$6),"No asegurable"),"No asegurable")),"")</f>
        <v/>
      </c>
      <c r="R24" s="228">
        <f t="array" ref="R24">IFERROR(IF($H11="", "", 
    IF(AND($F$24&gt;=0, OR($J$6=0.01, $J$6=0.02, $J$6=0.03, $J$6=0.04, $J$6=0.05)),
        INDEX('aux antiguo'!$Z$2:$AC$8, 
               MATCH($H11, 'aux antiguo'!$Y$2:$Y$8, 1), 
               MATCH(R$17, 'aux antiguo'!$Z$1:$AC$1, 0)
        ) * (1 - ($J$6 * 2)),
        IF(AND($F$24&gt;=0, OR($J$6=0, $J$6&gt;=0.05)),
            INDEX('aux antiguo'!$Z$2:$AC$8, 
                   MATCH($H11, 'aux antiguo'!$Y$2:$Y$8, 1), 
                   MATCH(R$17, 'aux antiguo'!$Z$1:$AC$1, 0)
            ) * (1 - $J$6),
            "No asegurable"
        )
    )
),"")
</f>
        <v/>
      </c>
      <c r="S24" s="228">
        <f t="array" ref="S24">IFERROR(IF($H11="","",IF($F$25&gt;=0,IFERROR(INDEX('aux antiguo'!$CU$2:$CX$8,MATCH($H11,'aux antiguo'!$CT$2:$CT$8,1),MATCH(S$17,'aux antiguo'!$CU$1:$CX$1,0))*(1-$J$6),"No asegurable"),"No asegurable")),"")</f>
        <v/>
      </c>
      <c r="T24" s="228">
        <f t="array" ref="T24">IFERROR(IF($H11="","",IF($F$17&gt;=0,IFERROR(INDEX('aux antiguo'!$BD$2:$BG$10,MATCH($H11,'aux antiguo'!$BC$2:$BC$10,1),MATCH(T$17,'aux antiguo'!$BD$1:$BG$1,0))*(1-$J$6),"No asegurable"),"No asegurable")),"")</f>
        <v/>
      </c>
      <c r="U24" s="228">
        <f t="array" ref="U24">IFERROR(IF($H11="", "", 
    IF(AND($F$23&gt;=0, OR($J$6=0.01, $J$6=0.02, $J$6=0.03, $J$6=0.04, $J$6=0.05)),
        INDEX('aux antiguo'!$BJ$2:$BM$8, 
               MATCH($H11, 'aux antiguo'!$BI$2:$BI$8, 1), 
               MATCH(U$17, 'aux antiguo'!$BJ$1:$BM$1, 0)
        ) * (1 - ($J$6 * 2)),
        IF(AND($F$23&gt;=0, OR($J$6=0, $J$6&gt;=0.05)),
            INDEX('aux antiguo'!$BJ$2:$BM$8, 
                   MATCH($H11, 'aux antiguo'!$BI$2:$BI$8, 1), 
                   MATCH(U$17, 'aux antiguo'!$BJ$1:$BM$1, 0)
            ) * (1 - $J$6),
            "No asegurable"
        )
    )
),"")
</f>
        <v/>
      </c>
      <c r="V24" s="228">
        <f t="array" ref="V24">IFERROR(IF($H11="","",IF($F$26&gt;=0,IFERROR(INDEX('aux antiguo'!$BZ$2:$CC$8,MATCH($H11,'aux antiguo'!$BY$2:$BY$8,1),MATCH(V$17,'aux antiguo'!$BZ$1:$CC$1,0))*(1-$J$6),"No asegurable"),"No asegurable")),"")</f>
        <v/>
      </c>
      <c r="W24" s="228">
        <f t="array" ref="W24">IFERROR(IF($H11="", "", 
    IF(AND($F$22&gt;=0, OR($J$6=0.01, $J$6=0.02, $J$6=0.03, $J$6=0.04, $J$6=0.05)),
        INDEX('aux antiguo'!$BT$11:$BW$15, 
               MATCH($H11, 'aux antiguo'!$BS$11:$BS$15, 1), 
               MATCH(W$17, 'aux antiguo'!$BT$10:$BW$10, 0)
        ) * (1 - ($J$6 * 2)),
        IF(AND($F$22&gt;=0, OR($J$6=0, $J$6&gt;=0.05)),
            INDEX('aux antiguo'!$BT$11:$BW$15, 
                   MATCH($H11, 'aux antiguo'!$BS$11:$BS$15, 1), 
                   MATCH(W$17, 'aux antiguo'!$BT$10:$BW$10, 0)
            ) * (1 - $J$6),
            "No asegurable"
        )
    )
),"")
</f>
        <v/>
      </c>
      <c r="X24" s="233">
        <f t="array" ref="X24">IFERROR(IF($H11="","",IF(OR($F$15=1,$F$15=2),IFERROR(IF($F$21&gt;=0,INDEX('aux antiguo'!$CF$2:$CI$8,MATCH($H11,'aux antiguo'!$CE$2:$CE$8,1),MATCH(X$17,'aux antiguo'!$CF$1:$CI$1,0))*(1-$J$6),"No asegurable"),""),IF($F$15&gt;=3,IFERROR(IF($F$21&gt;=0,INDEX('aux antiguo'!$CL$2:$CO$8, MATCH($H11, 'aux antiguo'!$CK$2:$CK$8, 1), MATCH(X$17, 'aux antiguo'!$CL$1:$CO$1, 0))*(1-$J$6),"No asegurable"),"")))),"")</f>
        <v/>
      </c>
      <c r="Y24" s="233">
        <f t="array" ref="Y24">IF($F$15&gt;4,"No asegurable",IFERROR(IF($H11="","",IF($F$26&gt;=0,IFERROR(INDEX('aux antiguo'!$AF$2:$AI$8,MATCH($H11,'aux antiguo'!$AE$2:$AE$8,1),MATCH(Y$17,'aux antiguo'!$AF$1:$AI$1,0))*(1-$J$6),"No asegurable"),"No asegurable")),""))</f>
        <v/>
      </c>
      <c r="Z24" s="233">
        <f t="array" ref="Z24">IF($F$15&gt;4,"No asegurable",IFERROR(IF($H11="","",IF($F$26&gt;=0,IFERROR(INDEX('aux antiguo'!$AL$2:$AO$8,MATCH($H11,'aux antiguo'!$AK$2:$AK$8,1),MATCH(Z$17,'aux antiguo'!$AL$1:$AO$1,0))*(1-$J$6),"No asegurable"),"No asegurable")),""))</f>
        <v/>
      </c>
      <c r="AA24" s="74">
        <f t="array" ref="AA24">IF(F11="","",IF($F$15&lt;5,"No asegurable",IFERROR(IF($H11="","",IF($F$26&gt;=0,IFERROR(INDEX('aux antiguo'!$AR$2:$AU$8,MATCH($H11,'aux antiguo'!$AQ$2:$AQ$8,1),MATCH(AA$17,'aux antiguo'!$AR$1:$AU$1,0))*(1-$J$6),"No asegurable"),"No asegurable")),"")))</f>
        <v/>
      </c>
      <c r="AB24" s="49">
        <f t="array" ref="AB24">IFERROR(IF(H11="","",IF($F$15&lt;5,"No asegurable",IFERROR(IF($H11="","",IF($F$26&gt;=0,IFERROR(INDEX('aux antiguo'!$AX$2:$BA$8,MATCH($H11,'aux antiguo'!$AW$2:$AW$8,1),MATCH(AB$17,'aux antiguo'!$AX$1:$BA$1,0))*(1-$J$6),"No asegurable"),"No asegurable")),""))),"")</f>
        <v/>
      </c>
      <c r="AI24" s="109" t="n"/>
      <c r="AJ24" s="109" t="n"/>
      <c r="AK24" s="58" t="n"/>
      <c r="AL24" s="58" t="n"/>
      <c r="AM24" s="58" t="n"/>
      <c r="AN24" s="58" t="n"/>
      <c r="AO24" s="58" t="n"/>
      <c r="AP24" s="58" t="n"/>
      <c r="AQ24" s="58" t="n"/>
      <c r="AR24" s="58" t="n"/>
      <c r="AS24" s="58" t="n"/>
      <c r="AT24" s="58" t="n"/>
      <c r="AU24" s="58" t="n"/>
    </row>
    <row r="25" ht="32.25" customHeight="1" s="241">
      <c r="B25" s="234" t="inlineStr">
        <is>
          <t>Excepción Plena Extra</t>
        </is>
      </c>
      <c r="C25" s="234" t="n"/>
      <c r="D25" s="234" t="n"/>
      <c r="E25" s="234" t="n"/>
      <c r="F25" s="234">
        <f>IF(COUNTIF($H$6:$H$13,"&gt;64")&gt;0,IF(COUNTIF($H$6:$H$13,"&lt;60")&lt;3*COUNTIF($H$6:$H$13,"&gt;64"),-1,1),1)</f>
        <v/>
      </c>
      <c r="G25" s="234" t="n"/>
      <c r="H25" s="217">
        <f>IFERROR(VLOOKUP("No Asegurable",$S$19:$S$26,1,0),0)</f>
        <v/>
      </c>
      <c r="J25" s="234" t="n"/>
      <c r="K25" s="116" t="n">
        <v>7</v>
      </c>
      <c r="L25" s="48" t="n"/>
      <c r="M25" s="228">
        <f t="array" ref="M25">IFERROR(IF($H12="","",IF($F$16&gt;=0,IFERROR(INDEX('aux antiguo'!$B$2:$E$4,MATCH($H12,'aux antiguo'!$A$2:$A$4,1),MATCH(M$17,'aux antiguo'!$B$1:$E$1,0)),"No asegurable"),"No asegurable")),"")</f>
        <v/>
      </c>
      <c r="N25" s="228">
        <f t="array" ref="N25">IFERROR(IF($H12="","",IF($F$19&gt;=0,IFERROR(INDEX('aux antiguo'!$H$2:$K$8,MATCH($H12,'aux antiguo'!$G$2:$G$8,1),MATCH(N$17,'aux antiguo'!$H$1:$K$1,0))*(1-$J$6),"No asegurable"),"No asegurable")),"")</f>
        <v/>
      </c>
      <c r="O25" s="228">
        <f t="array" ref="O25">IFERROR(IF($H12="", "", 
    IF(AND($F$24&gt;=0, OR($J$6=0.01, $J$6=0.02, $J$6=0.03, $J$6=0.04, $J$6=0.05)),
        INDEX('aux antiguo'!$DA$2:$DD$7, 
               MATCH($H12, 'aux antiguo'!$CZ$2:$CZ$7, 1), 
               MATCH(O$17, 'aux antiguo'!$DA$1:$DD$1, 0)
        ) * (1 - ($J$6 * 2)),
        IF(AND($F$24&gt;=0, OR($J$6=0, $J$6&gt;=0.05)),
            INDEX('aux antiguo'!$DA$2:$DD$7, 
                   MATCH($H12, 'aux antiguo'!$CZ$2:$CZ$7, 1), 
                   MATCH(O$17, 'aux antiguo'!$DA$1:$DD$1, 0)
            ) * (1 - $J$6),
            "No asegurable"
        )
    )
),"")
</f>
        <v/>
      </c>
      <c r="P25" s="228">
        <f t="array" ref="P25">IFERROR(IF($H12="","",IF($F$20&gt;=0,IFERROR(INDEX('aux antiguo'!$N$2:$Q$8,MATCH($H12,'aux antiguo'!$M$2:$M$8,1),MATCH(P$17,'aux antiguo'!$N$1:$Q$1,0))*(1-$J$6),"No asegurable"),"No asegurable")),"")</f>
        <v/>
      </c>
      <c r="Q25" s="228">
        <f t="array" ref="Q25">IFERROR(IF($H12="","",IF($F$20&gt;=0,IFERROR(INDEX('aux antiguo'!$T$2:$W$8,MATCH($H12,'aux antiguo'!$S$2:$S$8,1),MATCH(Q$17,'aux antiguo'!$T$1:$W$1,0))*(1-$J$6),"No asegurable"),"No asegurable")),"")</f>
        <v/>
      </c>
      <c r="R25" s="228">
        <f t="array" ref="R25">IFERROR(IF($H12="", "", 
    IF(AND($F$24&gt;=0, OR($J$6=0.01, $J$6=0.02, $J$6=0.03, $J$6=0.04, $J$6=0.05)),
        INDEX('aux antiguo'!$Z$2:$AC$8, 
               MATCH($H12, 'aux antiguo'!$Y$2:$Y$8, 1), 
               MATCH(R$17, 'aux antiguo'!$Z$1:$AC$1, 0)
        ) * (1 - ($J$6 * 2)),
        IF(AND($F$24&gt;=0, OR($J$6=0, $J$6&gt;=0.05)),
            INDEX('aux antiguo'!$Z$2:$AC$8, 
                   MATCH($H12, 'aux antiguo'!$Y$2:$Y$8, 1), 
                   MATCH(R$17, 'aux antiguo'!$Z$1:$AC$1, 0)
            ) * (1 - $J$6),
            "No asegurable"
        )
    )
),"")
</f>
        <v/>
      </c>
      <c r="S25" s="228">
        <f t="array" ref="S25">IFERROR(IF($H12="","",IF($F$25&gt;=0,IFERROR(INDEX('aux antiguo'!$CU$2:$CX$8,MATCH($H12,'aux antiguo'!$CT$2:$CT$8,1),MATCH(S$17,'aux antiguo'!$CU$1:$CX$1,0))*(1-$J$6),"No asegurable"),"No asegurable")),"")</f>
        <v/>
      </c>
      <c r="T25" s="228">
        <f t="array" ref="T25">IFERROR(IF($H12="","",IF($F$17&gt;=0,IFERROR(INDEX('aux antiguo'!$BD$2:$BG$10,MATCH($H12,'aux antiguo'!$BC$2:$BC$10,1),MATCH(T$17,'aux antiguo'!$BD$1:$BG$1,0))*(1-$J$6),"No asegurable"),"No asegurable")),"")</f>
        <v/>
      </c>
      <c r="U25" s="228">
        <f t="array" ref="U25">IFERROR(IF($H12="", "", 
    IF(AND($F$23&gt;=0, OR($J$6=0.01, $J$6=0.02, $J$6=0.03, $J$6=0.04, $J$6=0.05)),
        INDEX('aux antiguo'!$BJ$2:$BM$8, 
               MATCH($H12, 'aux antiguo'!$BI$2:$BI$8, 1), 
               MATCH(U$17, 'aux antiguo'!$BJ$1:$BM$1, 0)
        ) * (1 - ($J$6 * 2)),
        IF(AND($F$23&gt;=0, OR($J$6=0, $J$6&gt;=0.05)),
            INDEX('aux antiguo'!$BJ$2:$BM$8, 
                   MATCH($H12, 'aux antiguo'!$BI$2:$BI$8, 1), 
                   MATCH(U$17, 'aux antiguo'!$BJ$1:$BM$1, 0)
            ) * (1 - $J$6),
            "No asegurable"
        )
    )
),"")
</f>
        <v/>
      </c>
      <c r="V25" s="228">
        <f t="array" ref="V25">IFERROR(IF($H12="","",IF($F$26&gt;=0,IFERROR(INDEX('aux antiguo'!$BZ$2:$CC$8,MATCH($H12,'aux antiguo'!$BY$2:$BY$8,1),MATCH(V$17,'aux antiguo'!$BZ$1:$CC$1,0))*(1-$J$6),"No asegurable"),"No asegurable")),"")</f>
        <v/>
      </c>
      <c r="W25" s="228">
        <f t="array" ref="W25">IFERROR(IF($H12="", "", 
    IF(AND($F$22&gt;=0, OR($J$6=0.01, $J$6=0.02, $J$6=0.03, $J$6=0.04, $J$6=0.05)),
        INDEX('aux antiguo'!$BT$11:$BW$15, 
               MATCH($H12, 'aux antiguo'!$BS$11:$BS$15, 1), 
               MATCH(W$17, 'aux antiguo'!$BT$10:$BW$10, 0)
        ) * (1 - ($J$6 * 2)),
        IF(AND($F$22&gt;=0, OR($J$6=0, $J$6&gt;=0.05)),
            INDEX('aux antiguo'!$BT$11:$BW$15, 
                   MATCH($H12, 'aux antiguo'!$BS$11:$BS$15, 1), 
                   MATCH(W$17, 'aux antiguo'!$BT$10:$BW$10, 0)
            ) * (1 - $J$6),
            "No asegurable"
        )
    )
),"")
</f>
        <v/>
      </c>
      <c r="X25" s="233">
        <f t="array" ref="X25">IFERROR(IF($H12="","",IF(OR($F$15=1,$F$15=2),IFERROR(IF($F$21&gt;=0,INDEX('aux antiguo'!$CF$2:$CI$8,MATCH($H12,'aux antiguo'!$CE$2:$CE$8,1),MATCH(X$17,'aux antiguo'!$CF$1:$CI$1,0))*(1-$J$6),"No asegurable"),""),IF($F$15&gt;=3,IFERROR(IF($F$21&gt;=0,INDEX('aux antiguo'!$CL$2:$CO$8, MATCH($H12, 'aux antiguo'!$CK$2:$CK$8, 1), MATCH(X$17, 'aux antiguo'!$CL$1:$CO$1, 0))*(1-$J$6),"No asegurable"),"")))),"")</f>
        <v/>
      </c>
      <c r="Y25" s="233">
        <f t="array" ref="Y25">IF($F$15&gt;4,"No asegurable",IFERROR(IF($H12="","",IF($F$26&gt;=0,IFERROR(INDEX('aux antiguo'!$AF$2:$AI$8,MATCH($H12,'aux antiguo'!$AE$2:$AE$8,1),MATCH(Y$17,'aux antiguo'!$AF$1:$AI$1,0))*(1-$J$6),"No asegurable"),"No asegurable")),""))</f>
        <v/>
      </c>
      <c r="Z25" s="233">
        <f t="array" ref="Z25">IF($F$15&gt;4,"No asegurable",IFERROR(IF($H12="","",IF($F$26&gt;=0,IFERROR(INDEX('aux antiguo'!$AL$2:$AO$8,MATCH($H12,'aux antiguo'!$AK$2:$AK$8,1),MATCH(Z$17,'aux antiguo'!$AL$1:$AO$1,0))*(1-$J$6),"No asegurable"),"No asegurable")),""))</f>
        <v/>
      </c>
      <c r="AA25" s="74">
        <f t="array" ref="AA25">IF(F12="","",IF($F$15&lt;5,"No asegurable",IFERROR(IF($H12="","",IF($F$26&gt;=0,IFERROR(INDEX('aux antiguo'!$AR$2:$AU$8,MATCH($H12,'aux antiguo'!$AQ$2:$AQ$8,1),MATCH(AA$17,'aux antiguo'!$AR$1:$AU$1,0))*(1-$J$6),"No asegurable"),"No asegurable")),"")))</f>
        <v/>
      </c>
      <c r="AB25" s="49">
        <f t="array" ref="AB25">IFERROR(IF(H12="","",IF($F$15&lt;5,"No asegurable",IFERROR(IF($H12="","",IF($F$26&gt;=0,IFERROR(INDEX('aux antiguo'!$AX$2:$BA$8,MATCH($H12,'aux antiguo'!$AW$2:$AW$8,1),MATCH(AB$17,'aux antiguo'!$AX$1:$BA$1,0))*(1-$J$6),"No asegurable"),"No asegurable")),""))),"")</f>
        <v/>
      </c>
      <c r="AI25" s="109" t="n"/>
      <c r="AJ25" s="109" t="n"/>
      <c r="AK25" s="58" t="n"/>
      <c r="AL25" s="58" t="n"/>
      <c r="AM25" s="58" t="n"/>
      <c r="AN25" s="58" t="n"/>
      <c r="AO25" s="58" t="n"/>
      <c r="AP25" s="58" t="n"/>
      <c r="AQ25" s="58" t="n"/>
      <c r="AR25" s="58" t="n"/>
      <c r="AS25" s="58" t="n"/>
      <c r="AT25" s="58" t="n"/>
      <c r="AU25" s="58" t="n"/>
    </row>
    <row r="26" ht="32.25" customHeight="1" s="241">
      <c r="B26" s="227" t="inlineStr">
        <is>
          <t>Excepción NIF</t>
        </is>
      </c>
      <c r="C26" s="234" t="n"/>
      <c r="D26" s="234" t="n"/>
      <c r="E26" s="234" t="n"/>
      <c r="F26" s="234">
        <f>IF(COUNTIF($H$6:$H$13,"&gt;69")&gt;0,IF(COUNTIF($H$6:$H$13,"&lt;60")&lt;3*COUNTIF($H$6:$H$13,"&gt;69"),-1,1),1)</f>
        <v/>
      </c>
      <c r="G26" s="234" t="n"/>
      <c r="H26" s="217">
        <f>IFERROR(VLOOKUP("No Asegurable",$V$19:$V$26,1,0),0)</f>
        <v/>
      </c>
      <c r="J26" s="234">
        <f>IF(COUNTIF($H$6:$H$13,"&gt;67")&gt;0,IF(COUNTIF($H$6:$H$13,"&lt;60")&lt;3*COUNTIF($H$6:$H$13,"&gt;67"),-1,1),1)</f>
        <v/>
      </c>
      <c r="K26" s="126" t="n">
        <v>8</v>
      </c>
      <c r="L26" s="128" t="n"/>
      <c r="M26" s="235">
        <f t="array" ref="M26">IFERROR(IF($H13="","",IF($F$16&gt;=0,IFERROR(INDEX('aux antiguo'!$B$2:$E$4,MATCH($H13,'aux antiguo'!$A$2:$A$4,1),MATCH(M$17,'aux antiguo'!$B$1:$E$1,0)),"No asegurable"),"No asegurable")),"")</f>
        <v/>
      </c>
      <c r="N26" s="235">
        <f t="array" ref="N26">IFERROR(IF($H13="","",IF($F$19&gt;=0,IFERROR(INDEX('aux antiguo'!$H$2:$K$8,MATCH($H13,'aux antiguo'!$G$2:$G$8,1),MATCH(N$17,'aux antiguo'!$H$1:$K$1,0))*(1-$J$6),"No asegurable"),"No asegurable")),"")</f>
        <v/>
      </c>
      <c r="O26" s="235">
        <f t="array" ref="O26">IFERROR(IF($H13="", "", 
    IF(AND($F$24&gt;=0, OR($J$6=0.01, $J$6=0.02, $J$6=0.03, $J$6=0.04, $J$6=0.05)),
        INDEX('aux antiguo'!$DA$2:$DD$7, 
               MATCH($H13, 'aux antiguo'!$CZ$2:$CZ$7, 1), 
               MATCH(O$17, 'aux antiguo'!$DA$1:$DD$1, 0)
        ) * (1 - ($J$6 * 2)),
        IF(AND($F$24&gt;=0, OR($J$6=0, $J$6&gt;=0.05)),
            INDEX('aux antiguo'!$DA$2:$DD$7, 
                   MATCH($H13, 'aux antiguo'!$CZ$2:$CZ$7, 1), 
                   MATCH(O$17, 'aux antiguo'!$DA$1:$DD$1, 0)
            ) * (1 - $J$6),
            "No asegurable"
        )
    )
),"")
</f>
        <v/>
      </c>
      <c r="P26" s="235">
        <f t="array" ref="P26">IFERROR(IF($H13="","",IF($F$20&gt;=0,IFERROR(INDEX('aux antiguo'!$N$2:$Q$8,MATCH($H13,'aux antiguo'!$M$2:$M$8,1),MATCH(P$17,'aux antiguo'!$N$1:$Q$1,0))*(1-$J$6),"No asegurable"),"No asegurable")),"")</f>
        <v/>
      </c>
      <c r="Q26" s="235">
        <f t="array" ref="Q26">IFERROR(IF($H13="","",IF($F$20&gt;=0,IFERROR(INDEX('aux antiguo'!$T$2:$W$8,MATCH($H13,'aux antiguo'!$S$2:$S$8,1),MATCH(Q$17,'aux antiguo'!$T$1:$W$1,0))*(1-$J$6),"No asegurable"),"No asegurable")),"")</f>
        <v/>
      </c>
      <c r="R26" s="235">
        <f t="array" ref="R26">IFERROR(IF($H13="", "", 
    IF(AND($F$24&gt;=0, OR($J$6=0.01, $J$6=0.02, $J$6=0.03, $J$6=0.04, $J$6=0.05)),
        INDEX('aux antiguo'!$Z$2:$AC$8, 
               MATCH($H13, 'aux antiguo'!$Y$2:$Y$8, 1), 
               MATCH(R$17, 'aux antiguo'!$Z$1:$AC$1, 0)
        ) * (1 - ($J$6 * 2)),
        IF(AND($F$24&gt;=0, OR($J$6=0, $J$6&gt;=0.05)),
            INDEX('aux antiguo'!$Z$2:$AC$8, 
                   MATCH($H13, 'aux antiguo'!$Y$2:$Y$8, 1), 
                   MATCH(R$17, 'aux antiguo'!$Z$1:$AC$1, 0)
            ) * (1 - $J$6),
            "No asegurable"
        )
    )
),"")
</f>
        <v/>
      </c>
      <c r="S26" s="235">
        <f t="array" ref="S26">IFERROR(IF($H13="","",IF($F$25&gt;=0,IFERROR(INDEX('aux antiguo'!$CU$2:$CX$8,MATCH($H13,'aux antiguo'!$CT$2:$CT$8,1),MATCH(S$17,'aux antiguo'!$CU$1:$CX$1,0))*(1-$J$6),"No asegurable"),"No asegurable")),"")</f>
        <v/>
      </c>
      <c r="T26" s="235">
        <f t="array" ref="T26">IFERROR(IF($H13="","",IF($F$17&gt;=0,IFERROR(INDEX('aux antiguo'!$BD$2:$BG$10,MATCH($H13,'aux antiguo'!$BC$2:$BC$10,1),MATCH(T$17,'aux antiguo'!$BD$1:$BG$1,0))*(1-$J$6),"No asegurable"),"No asegurable")),"")</f>
        <v/>
      </c>
      <c r="U26" s="235">
        <f t="array" ref="U26">IFERROR(IF($H13="", "", 
    IF(AND($F$23&gt;=0, OR($J$6=0.01, $J$6=0.02, $J$6=0.03, $J$6=0.04, $J$6=0.05)),
        INDEX('aux antiguo'!$BJ$2:$BM$8, 
               MATCH($H13, 'aux antiguo'!$BI$2:$BI$8, 1), 
               MATCH(U$17, 'aux antiguo'!$BJ$1:$BM$1, 0)
        ) * (1 - ($J$6 * 2)),
        IF(AND($F$23&gt;=0, OR($J$6=0, $J$6&gt;=0.05)),
            INDEX('aux antiguo'!$BJ$2:$BM$8, 
                   MATCH($H13, 'aux antiguo'!$BI$2:$BI$8, 1), 
                   MATCH(U$17, 'aux antiguo'!$BJ$1:$BM$1, 0)
            ) * (1 - $J$6),
            "No asegurable"
        )
    )
),"")
</f>
        <v/>
      </c>
      <c r="V26" s="235">
        <f t="array" ref="V26">IFERROR(IF($H13="","",IF($F$26&gt;=0,IFERROR(INDEX('aux antiguo'!$BZ$2:$CC$8,MATCH($H13,'aux antiguo'!$BY$2:$BY$8,1),MATCH(V$17,'aux antiguo'!$BZ$1:$CC$1,0))*(1-$J$6),"No asegurable"),"No asegurable")),"")</f>
        <v/>
      </c>
      <c r="W26" s="235">
        <f t="array" ref="W26">IFERROR(IF($H13="", "", 
    IF(AND($F$22&gt;=0, OR($J$6=0.01, $J$6=0.02, $J$6=0.03, $J$6=0.04, $J$6=0.05)),
        INDEX('aux antiguo'!$BT$11:$BW$15, 
               MATCH($H13, 'aux antiguo'!$BS$11:$BS$15, 1), 
               MATCH(W$17, 'aux antiguo'!$BT$10:$BW$10, 0)
        ) * (1 - ($J$6 * 2)),
        IF(AND($F$22&gt;=0, OR($J$6=0, $J$6&gt;=0.05)),
            INDEX('aux antiguo'!$BT$11:$BW$15, 
                   MATCH($H13, 'aux antiguo'!$BS$11:$BS$15, 1), 
                   MATCH(W$17, 'aux antiguo'!$BT$10:$BW$10, 0)
            ) * (1 - $J$6),
            "No asegurable"
        )
    )
),"")
</f>
        <v/>
      </c>
      <c r="X26" s="236">
        <f t="array" ref="X26">IFERROR(IF($H13="","",IF(OR($F$15=1,$F$15=2),IFERROR(IF($F$21&gt;=0,INDEX('aux antiguo'!$CF$2:$CI$8,MATCH($H13,'aux antiguo'!$CE$2:$CE$8,1),MATCH(X$17,'aux antiguo'!$CF$1:$CI$1,0))*(1-$J$6),"No asegurable"),""),IF($F$15&gt;=3,IFERROR(IF($F$21&gt;=0,INDEX('aux antiguo'!$CL$2:$CO$8, MATCH($H13, 'aux antiguo'!$CK$2:$CK$8, 1), MATCH(X$17, 'aux antiguo'!$CL$1:$CO$1, 0))*(1-$J$6),"No asegurable"),"")))),"")</f>
        <v/>
      </c>
      <c r="Y26" s="236">
        <f t="array" ref="Y26">IF($F$15&gt;4,"No asegurable",IFERROR(IF($H13="","",IF($F$26&gt;=0,IFERROR(INDEX('aux antiguo'!$AF$2:$AI$8,MATCH($H13,'aux antiguo'!$AE$2:$AE$8,1),MATCH(Y$17,'aux antiguo'!$AF$1:$AI$1,0))*(1-$J$6),"No asegurable"),"No asegurable")),""))</f>
        <v/>
      </c>
      <c r="Z26" s="236">
        <f t="array" ref="Z26">IF($F$15&gt;4,"No asegurable",IFERROR(IF($H13="","",IF($F$26&gt;=0,IFERROR(INDEX('aux antiguo'!$AL$2:$AO$8,MATCH($H13,'aux antiguo'!$AK$2:$AK$8,1),MATCH(Z$17,'aux antiguo'!$AL$1:$AO$1,0))*(1-$J$6),"No asegurable"),"No asegurable")),""))</f>
        <v/>
      </c>
      <c r="AA26" s="237">
        <f t="array" ref="AA26">IF(F13="","",IF($F$15&lt;5,"No asegurable",IFERROR(IF($H13="","",IF($F$26&gt;=0,IFERROR(INDEX('aux antiguo'!$AR$2:$AU$8,MATCH($H13,'aux antiguo'!$AQ$2:$AQ$8,1),MATCH(AA$17,'aux antiguo'!$AR$1:$AU$1,0))*(1-$J$6),"No asegurable"),"No asegurable")),"")))</f>
        <v/>
      </c>
      <c r="AB26" s="143">
        <f t="array" ref="AB26">IFERROR(IF(H13="","",IF($F$15&lt;5,"No asegurable",IFERROR(IF($H13="","",IF($F$26&gt;=0,IFERROR(INDEX('aux antiguo'!$AX$2:$BA$8,MATCH($H13,'aux antiguo'!$AW$2:$AW$8,1),MATCH(AB$17,'aux antiguo'!$AX$1:$BA$1,0))*(1-$J$6),"No asegurable"),"No asegurable")),""))),"")</f>
        <v/>
      </c>
      <c r="AI26" s="109" t="n"/>
      <c r="AJ26" s="109" t="n"/>
      <c r="AK26" s="58" t="n"/>
      <c r="AL26" s="58" t="n"/>
      <c r="AM26" s="58" t="n"/>
      <c r="AN26" s="58" t="n"/>
      <c r="AO26" s="58" t="n"/>
      <c r="AP26" s="58" t="n"/>
      <c r="AQ26" s="58" t="n"/>
      <c r="AR26" s="58" t="n"/>
      <c r="AS26" s="58" t="n"/>
      <c r="AT26" s="58" t="n"/>
      <c r="AU26" s="58" t="n"/>
    </row>
    <row r="27" ht="32.25" customHeight="1" s="241">
      <c r="B27" s="227" t="inlineStr">
        <is>
          <t>Excepción Empresas</t>
        </is>
      </c>
      <c r="C27" s="234" t="n"/>
      <c r="D27" s="234" t="n"/>
      <c r="E27" s="234" t="n"/>
      <c r="F27" s="234">
        <f>IF(COUNTIF($H$6:$H$13,"&gt;67")&gt;0,IF(COUNTIF($H$6:$H$13,"&lt;60")&lt;3*COUNTIF($H$6:$H$13,"&gt;67"),-1,1),1)</f>
        <v/>
      </c>
      <c r="G27" s="234" t="n"/>
      <c r="H27" s="217">
        <f>IFERROR(VLOOKUP("No Asegurable",$AA$19:$AA$26,1,0),0)</f>
        <v/>
      </c>
      <c r="J27" s="234">
        <f>IF(COUNTIF($H$6:$H$13,"&gt;67")&gt;0,IF(COUNTIF($H$6:$H$13,"&lt;60")&lt;3*COUNTIF($H$6:$H$13,"&gt;67"),-1,1),1)</f>
        <v/>
      </c>
      <c r="Z27" s="5" t="n"/>
      <c r="AA27" s="5" t="n"/>
      <c r="AB27" s="5" t="n"/>
      <c r="AI27" s="109" t="n"/>
      <c r="AJ27" s="109" t="n"/>
      <c r="AK27" s="58" t="n"/>
      <c r="AL27" s="58" t="n"/>
      <c r="AM27" s="58" t="n"/>
      <c r="AN27" s="58" t="n"/>
      <c r="AO27" s="58" t="n"/>
      <c r="AP27" s="58" t="n"/>
      <c r="AQ27" s="58" t="n"/>
      <c r="AR27" s="58" t="n"/>
      <c r="AS27" s="58" t="n"/>
      <c r="AT27" s="58" t="n"/>
      <c r="AU27" s="58" t="n"/>
    </row>
    <row r="28" ht="32.25" customHeight="1" s="241">
      <c r="B28" s="227" t="inlineStr">
        <is>
          <t>Excepción CIF</t>
        </is>
      </c>
      <c r="C28" s="234" t="n"/>
      <c r="D28" s="234" t="n"/>
      <c r="E28" s="234" t="n"/>
      <c r="F28" s="234">
        <f>IF(COUNTIF($H$6:$H$13,"&gt;67")&gt;0,IF(COUNTIF($H$6:$H$13,"&lt;60")&lt;3*COUNTIF($H$6:$H$13,"&gt;67"),-1,1),1)</f>
        <v/>
      </c>
      <c r="G28" s="234" t="n"/>
      <c r="H28" s="217">
        <f>IFERROR(VLOOKUP("No Asegurable",$Y$19:$Y$26,1,0),0)</f>
        <v/>
      </c>
      <c r="J28" s="234" t="n"/>
      <c r="Z28" s="5" t="n"/>
      <c r="AA28" s="5" t="n"/>
      <c r="AB28" s="5" t="n"/>
      <c r="AI28" s="109" t="n"/>
      <c r="AJ28" s="109" t="n"/>
      <c r="AK28" s="58" t="n"/>
      <c r="AL28" s="58" t="n"/>
      <c r="AM28" s="58" t="n"/>
      <c r="AN28" s="58" t="n"/>
      <c r="AO28" s="58" t="n"/>
      <c r="AP28" s="58" t="n"/>
      <c r="AQ28" s="58" t="n"/>
      <c r="AR28" s="58" t="n"/>
      <c r="AS28" s="58" t="n"/>
      <c r="AT28" s="58" t="n"/>
      <c r="AU28" s="58" t="n"/>
    </row>
    <row r="29" ht="34.5" customHeight="1" s="241">
      <c r="B29" s="227" t="inlineStr">
        <is>
          <t>Excepción Plena total vital</t>
        </is>
      </c>
      <c r="C29" s="217" t="n"/>
      <c r="D29" s="234" t="n"/>
      <c r="E29" s="234" t="n"/>
      <c r="F29" s="234">
        <f>IF(COUNTIF($H$6:$H$13,"&gt;62")&gt;0,IF(COUNTIF($H$6:$H$13,"&lt;60")&lt;3*COUNTIF($H$6:$H$13,"&gt;62"),-1,1),1)</f>
        <v/>
      </c>
      <c r="G29" s="234" t="n"/>
      <c r="H29" s="217">
        <f>IFERROR(VLOOKUP("No Asegurable",$O$19:$O$26,1,0),0)</f>
        <v/>
      </c>
      <c r="J29" s="234">
        <f>IF(COUNTIF($H$6:$H$13,"&gt;62")&gt;0,IF(COUNTIF($H$6:$H$13,"&lt;60")&lt;3*COUNTIF($H$6:$H$13,"&gt;62"),-1,1),1)</f>
        <v/>
      </c>
      <c r="T29" s="5" t="n"/>
      <c r="U29" s="5" t="n"/>
      <c r="W29" s="5" t="n"/>
      <c r="X29" s="5" t="n"/>
      <c r="Y29" s="5" t="n"/>
      <c r="Z29" s="5" t="n"/>
      <c r="AA29" s="5" t="n"/>
      <c r="AB29" s="5" t="n"/>
      <c r="AD29" s="5" t="n"/>
      <c r="AE29" s="5" t="n"/>
      <c r="AF29" s="5" t="n"/>
      <c r="AG29" s="125" t="n"/>
      <c r="AH29" s="125" t="n"/>
      <c r="AI29" s="5" t="n"/>
      <c r="AJ29" s="125" t="n"/>
      <c r="AK29" s="125" t="n"/>
    </row>
    <row r="30">
      <c r="B30" s="234" t="n"/>
      <c r="C30" s="234" t="n"/>
      <c r="D30" s="234" t="n"/>
      <c r="E30" s="234" t="n"/>
      <c r="F30" s="234" t="n"/>
      <c r="G30" s="234" t="n"/>
      <c r="H30" s="234" t="n"/>
      <c r="I30" s="234" t="n"/>
      <c r="J30" s="234" t="n"/>
      <c r="T30" s="5" t="n"/>
      <c r="U30" s="5" t="n"/>
      <c r="W30" s="5" t="n"/>
      <c r="X30" s="5" t="n"/>
      <c r="Y30" s="5" t="n"/>
      <c r="Z30" s="5" t="n"/>
      <c r="AA30" s="5" t="n"/>
      <c r="AB30" s="5" t="n"/>
      <c r="AD30" s="5" t="n"/>
      <c r="AE30" s="5" t="n"/>
      <c r="AF30" s="5" t="n"/>
      <c r="AG30" s="125" t="n"/>
      <c r="AH30" s="125" t="n"/>
      <c r="AI30" s="5" t="n"/>
      <c r="AJ30" s="125" t="n"/>
      <c r="AK30" s="125" t="n"/>
    </row>
    <row r="31">
      <c r="B31" s="234" t="n"/>
      <c r="C31" s="234" t="n"/>
      <c r="D31" s="234" t="n"/>
      <c r="E31" s="234" t="n"/>
      <c r="F31" s="234" t="n"/>
      <c r="G31" s="234" t="n"/>
      <c r="H31" s="234" t="n"/>
      <c r="I31" s="234" t="n"/>
      <c r="J31" s="234" t="n"/>
      <c r="T31" s="5" t="n"/>
      <c r="U31" s="5" t="n"/>
      <c r="W31" s="5" t="n"/>
      <c r="X31" s="5" t="n"/>
      <c r="Y31" s="5" t="n"/>
      <c r="Z31" s="5" t="n"/>
      <c r="AA31" s="5" t="n"/>
      <c r="AB31" s="5" t="n"/>
      <c r="AD31" s="5" t="n"/>
      <c r="AE31" s="5" t="n"/>
      <c r="AF31" s="5" t="n"/>
      <c r="AG31" s="125" t="n"/>
      <c r="AH31" s="125" t="n"/>
      <c r="AI31" s="5" t="n"/>
      <c r="AJ31" s="125" t="n"/>
      <c r="AK31" s="125" t="n"/>
    </row>
    <row r="32">
      <c r="B32" s="234" t="n"/>
      <c r="C32" s="234" t="n"/>
      <c r="D32" s="234" t="n"/>
      <c r="E32" s="234" t="n"/>
      <c r="F32" s="234" t="n"/>
      <c r="G32" s="234" t="n"/>
      <c r="H32" s="234" t="n"/>
      <c r="I32" s="234" t="n"/>
      <c r="J32" s="234" t="n"/>
      <c r="T32" s="5" t="n"/>
      <c r="U32" s="5" t="n"/>
      <c r="W32" s="5" t="n"/>
      <c r="X32" s="5" t="n"/>
      <c r="Y32" s="5" t="n"/>
      <c r="Z32" s="5" t="n"/>
      <c r="AA32" s="5" t="n"/>
      <c r="AB32" s="5" t="n"/>
      <c r="AD32" s="5" t="n"/>
      <c r="AE32" s="5" t="n"/>
      <c r="AF32" s="5" t="n"/>
      <c r="AG32" s="125" t="n"/>
      <c r="AH32" s="125" t="n"/>
      <c r="AI32" s="5" t="n"/>
      <c r="AJ32" s="125" t="n"/>
      <c r="AK32" s="125" t="n"/>
    </row>
    <row r="33">
      <c r="B33" s="234" t="n"/>
      <c r="C33" s="234" t="n"/>
      <c r="D33" s="234" t="n"/>
      <c r="E33" s="234" t="n"/>
      <c r="F33" s="234" t="n"/>
      <c r="G33" s="234" t="n"/>
      <c r="H33" s="234" t="n"/>
      <c r="I33" s="234" t="n"/>
      <c r="J33" s="234" t="n"/>
      <c r="T33" s="5" t="n"/>
      <c r="U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125" t="n"/>
      <c r="AH33" s="125" t="n"/>
      <c r="AI33" s="5" t="n"/>
      <c r="AJ33" s="125" t="n"/>
      <c r="AK33" s="125" t="n"/>
    </row>
    <row r="34">
      <c r="T34" s="5" t="n"/>
      <c r="U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125" t="n"/>
      <c r="AH34" s="125" t="n"/>
      <c r="AI34" s="5" t="n"/>
      <c r="AJ34" s="125" t="n"/>
      <c r="AK34" s="125" t="n"/>
    </row>
    <row r="35">
      <c r="T35" s="5" t="n"/>
      <c r="U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125" t="n"/>
      <c r="AH35" s="125" t="n"/>
      <c r="AI35" s="5" t="n"/>
      <c r="AJ35" s="125" t="n"/>
      <c r="AK35" s="125" t="n"/>
    </row>
    <row r="36"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125" t="n"/>
      <c r="AH36" s="125" t="n"/>
      <c r="AI36" s="5" t="n"/>
      <c r="AJ36" s="125" t="n"/>
      <c r="AK36" s="125" t="n"/>
    </row>
    <row r="37"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125" t="n"/>
      <c r="AH37" s="125" t="n"/>
      <c r="AI37" s="5" t="n"/>
      <c r="AJ37" s="125" t="n"/>
      <c r="AK37" s="125" t="n"/>
    </row>
    <row r="38"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125" t="n"/>
      <c r="AH38" s="125" t="n"/>
      <c r="AI38" s="5" t="n"/>
      <c r="AJ38" s="125" t="n"/>
      <c r="AK38" s="125" t="n"/>
    </row>
    <row r="39"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125" t="n"/>
      <c r="AH39" s="125" t="n"/>
      <c r="AI39" s="5" t="n"/>
      <c r="AJ39" s="125" t="n"/>
      <c r="AK39" s="125" t="n"/>
    </row>
    <row r="40"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125" t="n"/>
      <c r="AH40" s="125" t="n"/>
      <c r="AI40" s="5" t="n"/>
      <c r="AJ40" s="125" t="n"/>
      <c r="AK40" s="125" t="n"/>
    </row>
    <row r="41"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125" t="n"/>
      <c r="AH41" s="125" t="n"/>
      <c r="AI41" s="5" t="n"/>
      <c r="AJ41" s="125" t="n"/>
      <c r="AK41" s="125" t="n"/>
    </row>
    <row r="42"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125" t="n"/>
      <c r="AH42" s="125" t="n"/>
      <c r="AI42" s="5" t="n"/>
      <c r="AJ42" s="125" t="n"/>
      <c r="AK42" s="125" t="n"/>
    </row>
    <row r="43"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125" t="n"/>
      <c r="AH43" s="125" t="n"/>
      <c r="AI43" s="5" t="n"/>
      <c r="AJ43" s="125" t="n"/>
      <c r="AK43" s="125" t="n"/>
    </row>
    <row r="44"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125" t="n"/>
      <c r="AH44" s="125" t="n"/>
      <c r="AI44" s="5" t="n"/>
      <c r="AJ44" s="125" t="n"/>
      <c r="AK44" s="125" t="n"/>
    </row>
    <row r="45"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125" t="n"/>
      <c r="AH45" s="125" t="n"/>
      <c r="AI45" s="5" t="n"/>
      <c r="AJ45" s="125" t="n"/>
      <c r="AK45" s="125" t="n"/>
    </row>
    <row r="46"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125" t="n"/>
      <c r="AH46" s="125" t="n"/>
      <c r="AI46" s="5" t="n"/>
      <c r="AJ46" s="125" t="n"/>
      <c r="AK46" s="125" t="n"/>
    </row>
    <row r="47"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125" t="n"/>
      <c r="AH47" s="125" t="n"/>
      <c r="AI47" s="5" t="n"/>
      <c r="AJ47" s="125" t="n"/>
      <c r="AK47" s="125" t="n"/>
    </row>
    <row r="48"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125" t="n"/>
      <c r="AH48" s="125" t="n"/>
      <c r="AI48" s="5" t="n"/>
      <c r="AJ48" s="125" t="n"/>
      <c r="AK48" s="125" t="n"/>
    </row>
    <row r="49"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125" t="n"/>
      <c r="AH49" s="125" t="n"/>
      <c r="AI49" s="5" t="n"/>
      <c r="AJ49" s="125" t="n"/>
      <c r="AK49" s="125" t="n"/>
    </row>
    <row r="50"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125" t="n"/>
      <c r="AH50" s="125" t="n"/>
      <c r="AI50" s="5" t="n"/>
      <c r="AJ50" s="125" t="n"/>
      <c r="AK50" s="125" t="n"/>
    </row>
    <row r="51"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125" t="n"/>
      <c r="AH51" s="125" t="n"/>
      <c r="AI51" s="5" t="n"/>
      <c r="AJ51" s="125" t="n"/>
      <c r="AK51" s="125" t="n"/>
    </row>
    <row r="52"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125" t="n"/>
      <c r="AH52" s="125" t="n"/>
      <c r="AI52" s="5" t="n"/>
      <c r="AJ52" s="125" t="n"/>
      <c r="AK52" s="125" t="n"/>
    </row>
    <row r="53"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125" t="n"/>
      <c r="AH53" s="125" t="n"/>
      <c r="AI53" s="5" t="n"/>
      <c r="AJ53" s="125" t="n"/>
      <c r="AK53" s="125" t="n"/>
    </row>
    <row r="54"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125" t="n"/>
      <c r="AH54" s="125" t="n"/>
      <c r="AI54" s="5" t="n"/>
      <c r="AJ54" s="125" t="n"/>
      <c r="AK54" s="125" t="n"/>
    </row>
    <row r="55"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125" t="n"/>
      <c r="AH55" s="125" t="n"/>
      <c r="AI55" s="5" t="n"/>
      <c r="AJ55" s="125" t="n"/>
      <c r="AK55" s="125" t="n"/>
    </row>
    <row r="56"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125" t="n"/>
      <c r="AH56" s="125" t="n"/>
      <c r="AI56" s="5" t="n"/>
      <c r="AJ56" s="125" t="n"/>
      <c r="AK56" s="125" t="n"/>
    </row>
    <row r="57"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125" t="n"/>
      <c r="AH57" s="125" t="n"/>
      <c r="AI57" s="5" t="n"/>
      <c r="AJ57" s="125" t="n"/>
      <c r="AK57" s="125" t="n"/>
    </row>
    <row r="58"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125" t="n"/>
      <c r="AH58" s="125" t="n"/>
      <c r="AI58" s="5" t="n"/>
      <c r="AJ58" s="125" t="n"/>
      <c r="AK58" s="125" t="n"/>
    </row>
    <row r="59"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125" t="n"/>
      <c r="AH59" s="125" t="n"/>
      <c r="AI59" s="5" t="n"/>
      <c r="AJ59" s="125" t="n"/>
      <c r="AK59" s="125" t="n"/>
    </row>
    <row r="60"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125" t="n"/>
      <c r="AH60" s="125" t="n"/>
      <c r="AI60" s="5" t="n"/>
      <c r="AJ60" s="125" t="n"/>
      <c r="AK60" s="125" t="n"/>
    </row>
    <row r="61"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125" t="n"/>
      <c r="AH61" s="125" t="n"/>
      <c r="AI61" s="5" t="n"/>
      <c r="AJ61" s="125" t="n"/>
      <c r="AK61" s="125" t="n"/>
    </row>
    <row r="62"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125" t="n"/>
      <c r="AH62" s="125" t="n"/>
      <c r="AI62" s="5" t="n"/>
      <c r="AJ62" s="125" t="n"/>
      <c r="AK62" s="125" t="n"/>
    </row>
    <row r="63"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125" t="n"/>
      <c r="AH63" s="125" t="n"/>
      <c r="AI63" s="5" t="n"/>
      <c r="AJ63" s="125" t="n"/>
      <c r="AK63" s="125" t="n"/>
    </row>
    <row r="64"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125" t="n"/>
      <c r="AH64" s="125" t="n"/>
      <c r="AI64" s="5" t="n"/>
      <c r="AJ64" s="125" t="n"/>
      <c r="AK64" s="125" t="n"/>
    </row>
    <row r="65"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125" t="n"/>
      <c r="AH65" s="125" t="n"/>
      <c r="AI65" s="5" t="n"/>
      <c r="AJ65" s="125" t="n"/>
      <c r="AK65" s="125" t="n"/>
    </row>
    <row r="66"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125" t="n"/>
      <c r="AH66" s="125" t="n"/>
      <c r="AI66" s="5" t="n"/>
      <c r="AJ66" s="125" t="n"/>
      <c r="AK66" s="125" t="n"/>
    </row>
    <row r="67"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125" t="n"/>
      <c r="AH67" s="125" t="n"/>
      <c r="AI67" s="5" t="n"/>
      <c r="AJ67" s="125" t="n"/>
      <c r="AK67" s="125" t="n"/>
    </row>
    <row r="68"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125" t="n"/>
      <c r="AH68" s="125" t="n"/>
      <c r="AI68" s="5" t="n"/>
      <c r="AJ68" s="125" t="n"/>
      <c r="AK68" s="125" t="n"/>
    </row>
    <row r="69"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125" t="n"/>
      <c r="AH69" s="125" t="n"/>
      <c r="AI69" s="5" t="n"/>
      <c r="AJ69" s="125" t="n"/>
      <c r="AK69" s="125" t="n"/>
    </row>
    <row r="70"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125" t="n"/>
      <c r="AH70" s="125" t="n"/>
      <c r="AI70" s="5" t="n"/>
      <c r="AJ70" s="125" t="n"/>
      <c r="AK70" s="125" t="n"/>
    </row>
    <row r="71"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125" t="n"/>
      <c r="AH71" s="125" t="n"/>
      <c r="AI71" s="5" t="n"/>
      <c r="AJ71" s="125" t="n"/>
      <c r="AK71" s="125" t="n"/>
    </row>
    <row r="72"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125" t="n"/>
      <c r="AH72" s="125" t="n"/>
      <c r="AI72" s="5" t="n"/>
      <c r="AJ72" s="125" t="n"/>
      <c r="AK72" s="125" t="n"/>
    </row>
    <row r="73"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125" t="n"/>
      <c r="AH73" s="125" t="n"/>
      <c r="AI73" s="5" t="n"/>
      <c r="AJ73" s="125" t="n"/>
      <c r="AK73" s="125" t="n"/>
    </row>
    <row r="74"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125" t="n"/>
      <c r="AH74" s="125" t="n"/>
      <c r="AI74" s="5" t="n"/>
      <c r="AJ74" s="125" t="n"/>
      <c r="AK74" s="125" t="n"/>
    </row>
    <row r="75"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125" t="n"/>
      <c r="AH75" s="125" t="n"/>
      <c r="AI75" s="5" t="n"/>
      <c r="AJ75" s="125" t="n"/>
      <c r="AK75" s="125" t="n"/>
    </row>
    <row r="76"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125" t="n"/>
      <c r="AH76" s="125" t="n"/>
      <c r="AI76" s="5" t="n"/>
      <c r="AJ76" s="125" t="n"/>
      <c r="AK76" s="125" t="n"/>
    </row>
    <row r="77"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125" t="n"/>
      <c r="AH77" s="125" t="n"/>
      <c r="AI77" s="5" t="n"/>
      <c r="AJ77" s="125" t="n"/>
      <c r="AK77" s="125" t="n"/>
    </row>
    <row r="78"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125" t="n"/>
      <c r="AH78" s="125" t="n"/>
      <c r="AI78" s="5" t="n"/>
      <c r="AJ78" s="125" t="n"/>
      <c r="AK78" s="125" t="n"/>
    </row>
    <row r="79"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125" t="n"/>
      <c r="AH79" s="125" t="n"/>
      <c r="AI79" s="5" t="n"/>
      <c r="AJ79" s="125" t="n"/>
      <c r="AK79" s="125" t="n"/>
    </row>
    <row r="80"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125" t="n"/>
      <c r="AH80" s="125" t="n"/>
      <c r="AI80" s="5" t="n"/>
      <c r="AJ80" s="125" t="n"/>
      <c r="AK80" s="125" t="n"/>
    </row>
    <row r="81"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125" t="n"/>
      <c r="AH81" s="125" t="n"/>
      <c r="AI81" s="5" t="n"/>
      <c r="AJ81" s="125" t="n"/>
      <c r="AK81" s="125" t="n"/>
    </row>
    <row r="82"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125" t="n"/>
      <c r="AH82" s="125" t="n"/>
      <c r="AI82" s="5" t="n"/>
      <c r="AJ82" s="125" t="n"/>
      <c r="AK82" s="125" t="n"/>
    </row>
    <row r="83"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125" t="n"/>
      <c r="AH83" s="125" t="n"/>
      <c r="AI83" s="5" t="n"/>
      <c r="AJ83" s="125" t="n"/>
      <c r="AK83" s="125" t="n"/>
    </row>
    <row r="84"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125" t="n"/>
      <c r="AH84" s="125" t="n"/>
      <c r="AI84" s="5" t="n"/>
      <c r="AJ84" s="125" t="n"/>
      <c r="AK84" s="125" t="n"/>
    </row>
    <row r="85"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125" t="n"/>
      <c r="AH85" s="125" t="n"/>
      <c r="AI85" s="5" t="n"/>
      <c r="AJ85" s="125" t="n"/>
      <c r="AK85" s="125" t="n"/>
    </row>
    <row r="86"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125" t="n"/>
      <c r="AH86" s="125" t="n"/>
      <c r="AI86" s="5" t="n"/>
      <c r="AJ86" s="125" t="n"/>
      <c r="AK86" s="125" t="n"/>
    </row>
    <row r="87"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125" t="n"/>
      <c r="AH87" s="125" t="n"/>
      <c r="AI87" s="5" t="n"/>
      <c r="AJ87" s="125" t="n"/>
      <c r="AK87" s="125" t="n"/>
    </row>
    <row r="88"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125" t="n"/>
      <c r="AH88" s="125" t="n"/>
      <c r="AI88" s="5" t="n"/>
      <c r="AJ88" s="125" t="n"/>
      <c r="AK88" s="125" t="n"/>
    </row>
    <row r="89"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125" t="n"/>
      <c r="AH89" s="125" t="n"/>
      <c r="AI89" s="5" t="n"/>
      <c r="AJ89" s="125" t="n"/>
      <c r="AK89" s="125" t="n"/>
    </row>
    <row r="90"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125" t="n"/>
      <c r="AH90" s="125" t="n"/>
      <c r="AI90" s="5" t="n"/>
      <c r="AJ90" s="125" t="n"/>
      <c r="AK90" s="125" t="n"/>
    </row>
    <row r="91"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125" t="n"/>
      <c r="AH91" s="125" t="n"/>
      <c r="AI91" s="5" t="n"/>
      <c r="AJ91" s="125" t="n"/>
      <c r="AK91" s="125" t="n"/>
    </row>
    <row r="92"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125" t="n"/>
      <c r="AH92" s="125" t="n"/>
      <c r="AI92" s="5" t="n"/>
      <c r="AJ92" s="125" t="n"/>
      <c r="AK92" s="125" t="n"/>
    </row>
    <row r="93"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125" t="n"/>
      <c r="AH93" s="125" t="n"/>
      <c r="AI93" s="5" t="n"/>
      <c r="AJ93" s="125" t="n"/>
      <c r="AK93" s="125" t="n"/>
    </row>
    <row r="94"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125" t="n"/>
      <c r="AH94" s="125" t="n"/>
      <c r="AI94" s="5" t="n"/>
      <c r="AJ94" s="125" t="n"/>
      <c r="AK94" s="125" t="n"/>
    </row>
    <row r="95"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125" t="n"/>
      <c r="AH95" s="125" t="n"/>
      <c r="AI95" s="5" t="n"/>
      <c r="AJ95" s="125" t="n"/>
      <c r="AK95" s="125" t="n"/>
    </row>
    <row r="96"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125" t="n"/>
      <c r="AH96" s="125" t="n"/>
      <c r="AI96" s="5" t="n"/>
      <c r="AJ96" s="125" t="n"/>
      <c r="AK96" s="125" t="n"/>
    </row>
    <row r="97"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125" t="n"/>
      <c r="AH97" s="125" t="n"/>
      <c r="AI97" s="5" t="n"/>
      <c r="AJ97" s="125" t="n"/>
      <c r="AK97" s="125" t="n"/>
    </row>
    <row r="98"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125" t="n"/>
      <c r="AH98" s="125" t="n"/>
      <c r="AI98" s="5" t="n"/>
      <c r="AJ98" s="125" t="n"/>
      <c r="AK98" s="125" t="n"/>
    </row>
    <row r="99"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125" t="n"/>
      <c r="AH99" s="125" t="n"/>
      <c r="AI99" s="5" t="n"/>
      <c r="AJ99" s="125" t="n"/>
      <c r="AK99" s="125" t="n"/>
    </row>
    <row r="100"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125" t="n"/>
      <c r="AH100" s="125" t="n"/>
      <c r="AI100" s="5" t="n"/>
      <c r="AJ100" s="125" t="n"/>
      <c r="AK100" s="125" t="n"/>
    </row>
    <row r="101"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125" t="n"/>
      <c r="AH101" s="125" t="n"/>
      <c r="AI101" s="5" t="n"/>
      <c r="AJ101" s="125" t="n"/>
      <c r="AK101" s="125" t="n"/>
    </row>
    <row r="102"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125" t="n"/>
      <c r="AH102" s="125" t="n"/>
      <c r="AI102" s="5" t="n"/>
      <c r="AJ102" s="125" t="n"/>
      <c r="AK102" s="125" t="n"/>
    </row>
    <row r="103"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125" t="n"/>
      <c r="AH103" s="125" t="n"/>
      <c r="AI103" s="5" t="n"/>
      <c r="AJ103" s="125" t="n"/>
      <c r="AK103" s="125" t="n"/>
    </row>
    <row r="104"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125" t="n"/>
      <c r="AH104" s="125" t="n"/>
      <c r="AI104" s="5" t="n"/>
      <c r="AJ104" s="125" t="n"/>
      <c r="AK104" s="125" t="n"/>
    </row>
    <row r="105"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125" t="n"/>
      <c r="AH105" s="125" t="n"/>
      <c r="AI105" s="5" t="n"/>
      <c r="AJ105" s="125" t="n"/>
      <c r="AK105" s="125" t="n"/>
    </row>
    <row r="106"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125" t="n"/>
      <c r="AH106" s="125" t="n"/>
      <c r="AI106" s="5" t="n"/>
      <c r="AJ106" s="125" t="n"/>
      <c r="AK106" s="125" t="n"/>
    </row>
    <row r="107"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125" t="n"/>
      <c r="AH107" s="125" t="n"/>
      <c r="AI107" s="5" t="n"/>
      <c r="AJ107" s="125" t="n"/>
      <c r="AK107" s="125" t="n"/>
    </row>
    <row r="108"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125" t="n"/>
      <c r="AH108" s="125" t="n"/>
      <c r="AI108" s="5" t="n"/>
      <c r="AJ108" s="125" t="n"/>
      <c r="AK108" s="125" t="n"/>
    </row>
    <row r="109"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125" t="n"/>
      <c r="AH109" s="125" t="n"/>
      <c r="AI109" s="5" t="n"/>
      <c r="AJ109" s="125" t="n"/>
      <c r="AK109" s="125" t="n"/>
    </row>
    <row r="110"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125" t="n"/>
      <c r="AH110" s="125" t="n"/>
      <c r="AI110" s="5" t="n"/>
      <c r="AJ110" s="125" t="n"/>
      <c r="AK110" s="125" t="n"/>
    </row>
    <row r="111"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125" t="n"/>
      <c r="AH111" s="125" t="n"/>
      <c r="AI111" s="5" t="n"/>
      <c r="AJ111" s="125" t="n"/>
      <c r="AK111" s="125" t="n"/>
    </row>
    <row r="112"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125" t="n"/>
      <c r="AH112" s="125" t="n"/>
      <c r="AI112" s="5" t="n"/>
      <c r="AJ112" s="125" t="n"/>
      <c r="AK112" s="125" t="n"/>
    </row>
    <row r="113"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125" t="n"/>
      <c r="AH113" s="125" t="n"/>
      <c r="AI113" s="5" t="n"/>
      <c r="AJ113" s="125" t="n"/>
      <c r="AK113" s="125" t="n"/>
    </row>
    <row r="114"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125" t="n"/>
      <c r="AH114" s="125" t="n"/>
      <c r="AI114" s="5" t="n"/>
      <c r="AJ114" s="125" t="n"/>
      <c r="AK114" s="125" t="n"/>
    </row>
    <row r="115"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125" t="n"/>
      <c r="AH115" s="125" t="n"/>
      <c r="AI115" s="5" t="n"/>
      <c r="AJ115" s="125" t="n"/>
      <c r="AK115" s="125" t="n"/>
    </row>
    <row r="116"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125" t="n"/>
      <c r="AH116" s="125" t="n"/>
      <c r="AI116" s="5" t="n"/>
      <c r="AJ116" s="125" t="n"/>
      <c r="AK116" s="125" t="n"/>
    </row>
    <row r="117"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125" t="n"/>
      <c r="AH117" s="125" t="n"/>
      <c r="AI117" s="5" t="n"/>
      <c r="AJ117" s="125" t="n"/>
      <c r="AK117" s="125" t="n"/>
    </row>
    <row r="118"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125" t="n"/>
      <c r="AH118" s="125" t="n"/>
      <c r="AI118" s="5" t="n"/>
      <c r="AJ118" s="125" t="n"/>
      <c r="AK118" s="125" t="n"/>
    </row>
    <row r="119"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125" t="n"/>
      <c r="AH119" s="125" t="n"/>
      <c r="AI119" s="5" t="n"/>
      <c r="AJ119" s="125" t="n"/>
      <c r="AK119" s="125" t="n"/>
    </row>
    <row r="120"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125" t="n"/>
      <c r="AH120" s="125" t="n"/>
      <c r="AI120" s="5" t="n"/>
      <c r="AJ120" s="125" t="n"/>
      <c r="AK120" s="125" t="n"/>
    </row>
    <row r="121"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125" t="n"/>
      <c r="AH121" s="125" t="n"/>
      <c r="AI121" s="5" t="n"/>
      <c r="AJ121" s="125" t="n"/>
      <c r="AK121" s="125" t="n"/>
    </row>
    <row r="122"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125" t="n"/>
      <c r="AH122" s="125" t="n"/>
      <c r="AI122" s="5" t="n"/>
      <c r="AJ122" s="125" t="n"/>
      <c r="AK122" s="125" t="n"/>
    </row>
    <row r="123"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125" t="n"/>
      <c r="AH123" s="125" t="n"/>
      <c r="AI123" s="5" t="n"/>
      <c r="AJ123" s="125" t="n"/>
      <c r="AK123" s="125" t="n"/>
    </row>
    <row r="124"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125" t="n"/>
      <c r="AH124" s="125" t="n"/>
      <c r="AI124" s="5" t="n"/>
      <c r="AJ124" s="125" t="n"/>
      <c r="AK124" s="125" t="n"/>
    </row>
    <row r="125"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125" t="n"/>
      <c r="AH125" s="125" t="n"/>
      <c r="AI125" s="5" t="n"/>
      <c r="AJ125" s="125" t="n"/>
      <c r="AK125" s="125" t="n"/>
    </row>
    <row r="126"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125" t="n"/>
      <c r="AH126" s="125" t="n"/>
      <c r="AI126" s="5" t="n"/>
      <c r="AJ126" s="125" t="n"/>
      <c r="AK126" s="125" t="n"/>
    </row>
    <row r="127"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125" t="n"/>
      <c r="AH127" s="125" t="n"/>
      <c r="AI127" s="5" t="n"/>
      <c r="AJ127" s="125" t="n"/>
      <c r="AK127" s="125" t="n"/>
    </row>
    <row r="128"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125" t="n"/>
      <c r="AH128" s="125" t="n"/>
      <c r="AI128" s="5" t="n"/>
      <c r="AJ128" s="125" t="n"/>
      <c r="AK128" s="125" t="n"/>
    </row>
    <row r="129"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125" t="n"/>
      <c r="AH129" s="125" t="n"/>
      <c r="AI129" s="5" t="n"/>
      <c r="AJ129" s="125" t="n"/>
      <c r="AK129" s="125" t="n"/>
    </row>
    <row r="130"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125" t="n"/>
      <c r="AH130" s="125" t="n"/>
      <c r="AI130" s="5" t="n"/>
      <c r="AJ130" s="125" t="n"/>
      <c r="AK130" s="125" t="n"/>
    </row>
    <row r="131"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125" t="n"/>
      <c r="AH131" s="125" t="n"/>
      <c r="AI131" s="5" t="n"/>
      <c r="AJ131" s="125" t="n"/>
      <c r="AK131" s="125" t="n"/>
    </row>
    <row r="132"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125" t="n"/>
      <c r="AH132" s="125" t="n"/>
      <c r="AI132" s="5" t="n"/>
      <c r="AJ132" s="125" t="n"/>
      <c r="AK132" s="125" t="n"/>
    </row>
    <row r="133"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125" t="n"/>
      <c r="AH133" s="125" t="n"/>
      <c r="AI133" s="5" t="n"/>
      <c r="AJ133" s="125" t="n"/>
      <c r="AK133" s="125" t="n"/>
    </row>
    <row r="134"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125" t="n"/>
      <c r="AH134" s="125" t="n"/>
      <c r="AI134" s="5" t="n"/>
      <c r="AJ134" s="125" t="n"/>
      <c r="AK134" s="125" t="n"/>
    </row>
    <row r="135"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125" t="n"/>
      <c r="AH135" s="125" t="n"/>
      <c r="AI135" s="5" t="n"/>
      <c r="AJ135" s="125" t="n"/>
      <c r="AK135" s="125" t="n"/>
    </row>
    <row r="136"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125" t="n"/>
      <c r="AH136" s="125" t="n"/>
      <c r="AI136" s="5" t="n"/>
      <c r="AJ136" s="125" t="n"/>
      <c r="AK136" s="125" t="n"/>
    </row>
    <row r="137"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125" t="n"/>
      <c r="AH137" s="125" t="n"/>
      <c r="AI137" s="5" t="n"/>
      <c r="AJ137" s="125" t="n"/>
      <c r="AK137" s="125" t="n"/>
    </row>
    <row r="138"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125" t="n"/>
      <c r="AH138" s="125" t="n"/>
      <c r="AI138" s="5" t="n"/>
      <c r="AJ138" s="125" t="n"/>
      <c r="AK138" s="125" t="n"/>
    </row>
    <row r="139"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125" t="n"/>
      <c r="AH139" s="125" t="n"/>
      <c r="AI139" s="5" t="n"/>
      <c r="AJ139" s="125" t="n"/>
      <c r="AK139" s="125" t="n"/>
    </row>
    <row r="140"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125" t="n"/>
      <c r="AH140" s="125" t="n"/>
      <c r="AI140" s="5" t="n"/>
      <c r="AJ140" s="125" t="n"/>
      <c r="AK140" s="125" t="n"/>
    </row>
    <row r="141"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125" t="n"/>
      <c r="AH141" s="125" t="n"/>
      <c r="AI141" s="5" t="n"/>
      <c r="AJ141" s="125" t="n"/>
      <c r="AK141" s="125" t="n"/>
    </row>
    <row r="142"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125" t="n"/>
      <c r="AH142" s="125" t="n"/>
      <c r="AI142" s="5" t="n"/>
      <c r="AJ142" s="125" t="n"/>
      <c r="AK142" s="125" t="n"/>
    </row>
    <row r="143"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125" t="n"/>
      <c r="AH143" s="125" t="n"/>
      <c r="AI143" s="5" t="n"/>
      <c r="AJ143" s="125" t="n"/>
      <c r="AK143" s="125" t="n"/>
    </row>
    <row r="144"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125" t="n"/>
      <c r="AH144" s="125" t="n"/>
      <c r="AI144" s="5" t="n"/>
      <c r="AJ144" s="125" t="n"/>
      <c r="AK144" s="125" t="n"/>
    </row>
    <row r="145"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125" t="n"/>
      <c r="AH145" s="125" t="n"/>
      <c r="AI145" s="5" t="n"/>
      <c r="AJ145" s="125" t="n"/>
      <c r="AK145" s="125" t="n"/>
    </row>
    <row r="146"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125" t="n"/>
      <c r="AH146" s="125" t="n"/>
      <c r="AI146" s="5" t="n"/>
      <c r="AJ146" s="125" t="n"/>
      <c r="AK146" s="125" t="n"/>
    </row>
    <row r="147"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125" t="n"/>
      <c r="AH147" s="125" t="n"/>
      <c r="AI147" s="5" t="n"/>
      <c r="AJ147" s="125" t="n"/>
      <c r="AK147" s="125" t="n"/>
    </row>
    <row r="148"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125" t="n"/>
      <c r="AH148" s="125" t="n"/>
      <c r="AI148" s="5" t="n"/>
      <c r="AJ148" s="125" t="n"/>
      <c r="AK148" s="125" t="n"/>
    </row>
    <row r="149"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125" t="n"/>
      <c r="AH149" s="125" t="n"/>
      <c r="AI149" s="5" t="n"/>
      <c r="AJ149" s="125" t="n"/>
      <c r="AK149" s="125" t="n"/>
    </row>
    <row r="150"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125" t="n"/>
      <c r="AH150" s="125" t="n"/>
      <c r="AI150" s="5" t="n"/>
      <c r="AJ150" s="125" t="n"/>
      <c r="AK150" s="125" t="n"/>
    </row>
    <row r="151"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125" t="n"/>
      <c r="AH151" s="125" t="n"/>
      <c r="AI151" s="5" t="n"/>
      <c r="AJ151" s="125" t="n"/>
      <c r="AK151" s="125" t="n"/>
    </row>
    <row r="152"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125" t="n"/>
      <c r="AH152" s="125" t="n"/>
      <c r="AI152" s="5" t="n"/>
      <c r="AJ152" s="125" t="n"/>
      <c r="AK152" s="125" t="n"/>
    </row>
    <row r="153"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125" t="n"/>
      <c r="AH153" s="125" t="n"/>
      <c r="AI153" s="5" t="n"/>
      <c r="AJ153" s="125" t="n"/>
      <c r="AK153" s="125" t="n"/>
    </row>
    <row r="154"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125" t="n"/>
      <c r="AH154" s="125" t="n"/>
      <c r="AI154" s="5" t="n"/>
      <c r="AJ154" s="125" t="n"/>
      <c r="AK154" s="125" t="n"/>
    </row>
    <row r="155"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125" t="n"/>
      <c r="AH155" s="125" t="n"/>
      <c r="AI155" s="5" t="n"/>
      <c r="AJ155" s="125" t="n"/>
      <c r="AK155" s="125" t="n"/>
    </row>
    <row r="156"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125" t="n"/>
      <c r="AH156" s="125" t="n"/>
      <c r="AI156" s="5" t="n"/>
      <c r="AJ156" s="125" t="n"/>
      <c r="AK156" s="125" t="n"/>
    </row>
    <row r="157"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125" t="n"/>
      <c r="AH157" s="125" t="n"/>
      <c r="AI157" s="5" t="n"/>
      <c r="AJ157" s="125" t="n"/>
      <c r="AK157" s="125" t="n"/>
    </row>
    <row r="158"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125" t="n"/>
      <c r="AH158" s="125" t="n"/>
      <c r="AI158" s="5" t="n"/>
      <c r="AJ158" s="125" t="n"/>
      <c r="AK158" s="125" t="n"/>
    </row>
    <row r="159"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125" t="n"/>
      <c r="AH159" s="125" t="n"/>
      <c r="AI159" s="5" t="n"/>
      <c r="AJ159" s="125" t="n"/>
      <c r="AK159" s="125" t="n"/>
    </row>
    <row r="160"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125" t="n"/>
      <c r="AH160" s="125" t="n"/>
      <c r="AI160" s="5" t="n"/>
      <c r="AJ160" s="125" t="n"/>
      <c r="AK160" s="125" t="n"/>
    </row>
    <row r="161"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125" t="n"/>
      <c r="AH161" s="125" t="n"/>
      <c r="AI161" s="5" t="n"/>
      <c r="AJ161" s="125" t="n"/>
      <c r="AK161" s="125" t="n"/>
    </row>
    <row r="162"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125" t="n"/>
      <c r="AH162" s="125" t="n"/>
      <c r="AI162" s="5" t="n"/>
      <c r="AJ162" s="125" t="n"/>
      <c r="AK162" s="125" t="n"/>
    </row>
    <row r="163"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125" t="n"/>
      <c r="AH163" s="125" t="n"/>
      <c r="AI163" s="5" t="n"/>
      <c r="AJ163" s="125" t="n"/>
      <c r="AK163" s="125" t="n"/>
    </row>
    <row r="164"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125" t="n"/>
      <c r="AH164" s="125" t="n"/>
      <c r="AI164" s="5" t="n"/>
      <c r="AJ164" s="125" t="n"/>
      <c r="AK164" s="125" t="n"/>
    </row>
    <row r="165"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125" t="n"/>
      <c r="AH165" s="125" t="n"/>
      <c r="AI165" s="5" t="n"/>
      <c r="AJ165" s="125" t="n"/>
      <c r="AK165" s="125" t="n"/>
    </row>
    <row r="166"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125" t="n"/>
      <c r="AH166" s="125" t="n"/>
      <c r="AI166" s="5" t="n"/>
      <c r="AJ166" s="125" t="n"/>
      <c r="AK166" s="125" t="n"/>
    </row>
    <row r="167"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125" t="n"/>
      <c r="AH167" s="125" t="n"/>
      <c r="AI167" s="5" t="n"/>
      <c r="AJ167" s="125" t="n"/>
      <c r="AK167" s="125" t="n"/>
    </row>
    <row r="168"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125" t="n"/>
      <c r="AH168" s="125" t="n"/>
      <c r="AI168" s="5" t="n"/>
      <c r="AJ168" s="125" t="n"/>
      <c r="AK168" s="125" t="n"/>
    </row>
    <row r="169"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125" t="n"/>
      <c r="AH169" s="125" t="n"/>
      <c r="AI169" s="5" t="n"/>
      <c r="AJ169" s="125" t="n"/>
      <c r="AK169" s="125" t="n"/>
    </row>
    <row r="170"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125" t="n"/>
      <c r="AH170" s="125" t="n"/>
      <c r="AI170" s="5" t="n"/>
      <c r="AJ170" s="125" t="n"/>
      <c r="AK170" s="125" t="n"/>
    </row>
    <row r="171"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125" t="n"/>
      <c r="AH171" s="125" t="n"/>
      <c r="AI171" s="5" t="n"/>
      <c r="AJ171" s="125" t="n"/>
      <c r="AK171" s="125" t="n"/>
    </row>
    <row r="172"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125" t="n"/>
      <c r="AH172" s="125" t="n"/>
      <c r="AI172" s="5" t="n"/>
      <c r="AJ172" s="125" t="n"/>
      <c r="AK172" s="125" t="n"/>
    </row>
    <row r="173"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125" t="n"/>
      <c r="AH173" s="125" t="n"/>
      <c r="AI173" s="5" t="n"/>
      <c r="AJ173" s="125" t="n"/>
      <c r="AK173" s="125" t="n"/>
    </row>
    <row r="174"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125" t="n"/>
      <c r="AH174" s="125" t="n"/>
      <c r="AI174" s="5" t="n"/>
      <c r="AJ174" s="125" t="n"/>
      <c r="AK174" s="125" t="n"/>
    </row>
    <row r="175"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125" t="n"/>
      <c r="AH175" s="125" t="n"/>
      <c r="AI175" s="5" t="n"/>
      <c r="AJ175" s="125" t="n"/>
      <c r="AK175" s="125" t="n"/>
    </row>
    <row r="176"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125" t="n"/>
      <c r="AH176" s="125" t="n"/>
      <c r="AI176" s="5" t="n"/>
      <c r="AJ176" s="125" t="n"/>
      <c r="AK176" s="125" t="n"/>
    </row>
    <row r="177"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125" t="n"/>
      <c r="AH177" s="125" t="n"/>
      <c r="AI177" s="5" t="n"/>
      <c r="AJ177" s="125" t="n"/>
      <c r="AK177" s="125" t="n"/>
    </row>
    <row r="178"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125" t="n"/>
      <c r="AH178" s="125" t="n"/>
      <c r="AI178" s="5" t="n"/>
      <c r="AJ178" s="125" t="n"/>
      <c r="AK178" s="125" t="n"/>
    </row>
    <row r="179"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125" t="n"/>
      <c r="AH179" s="125" t="n"/>
      <c r="AI179" s="5" t="n"/>
      <c r="AJ179" s="125" t="n"/>
      <c r="AK179" s="125" t="n"/>
    </row>
    <row r="180"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125" t="n"/>
      <c r="AH180" s="125" t="n"/>
      <c r="AI180" s="5" t="n"/>
      <c r="AJ180" s="125" t="n"/>
      <c r="AK180" s="125" t="n"/>
    </row>
    <row r="181"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125" t="n"/>
      <c r="AH181" s="125" t="n"/>
      <c r="AI181" s="5" t="n"/>
      <c r="AJ181" s="125" t="n"/>
      <c r="AK181" s="125" t="n"/>
    </row>
    <row r="182"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125" t="n"/>
      <c r="AH182" s="125" t="n"/>
      <c r="AI182" s="5" t="n"/>
      <c r="AJ182" s="125" t="n"/>
      <c r="AK182" s="125" t="n"/>
    </row>
    <row r="183"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125" t="n"/>
      <c r="AH183" s="125" t="n"/>
      <c r="AI183" s="5" t="n"/>
      <c r="AJ183" s="125" t="n"/>
      <c r="AK183" s="125" t="n"/>
    </row>
    <row r="184"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125" t="n"/>
      <c r="AH184" s="125" t="n"/>
      <c r="AI184" s="5" t="n"/>
      <c r="AJ184" s="125" t="n"/>
      <c r="AK184" s="125" t="n"/>
    </row>
    <row r="185"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125" t="n"/>
      <c r="AH185" s="125" t="n"/>
      <c r="AI185" s="5" t="n"/>
      <c r="AJ185" s="125" t="n"/>
      <c r="AK185" s="125" t="n"/>
    </row>
    <row r="186"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125" t="n"/>
      <c r="AH186" s="125" t="n"/>
      <c r="AI186" s="5" t="n"/>
      <c r="AJ186" s="125" t="n"/>
      <c r="AK186" s="125" t="n"/>
    </row>
    <row r="187"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125" t="n"/>
      <c r="AH187" s="125" t="n"/>
      <c r="AI187" s="5" t="n"/>
      <c r="AJ187" s="125" t="n"/>
      <c r="AK187" s="125" t="n"/>
    </row>
    <row r="188"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125" t="n"/>
      <c r="AH188" s="125" t="n"/>
      <c r="AI188" s="5" t="n"/>
      <c r="AJ188" s="125" t="n"/>
      <c r="AK188" s="125" t="n"/>
    </row>
    <row r="189"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125" t="n"/>
      <c r="AH189" s="125" t="n"/>
      <c r="AI189" s="5" t="n"/>
      <c r="AJ189" s="125" t="n"/>
      <c r="AK189" s="125" t="n"/>
    </row>
    <row r="190"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125" t="n"/>
      <c r="AH190" s="125" t="n"/>
      <c r="AI190" s="5" t="n"/>
      <c r="AJ190" s="125" t="n"/>
      <c r="AK190" s="125" t="n"/>
    </row>
    <row r="191"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125" t="n"/>
      <c r="AH191" s="125" t="n"/>
      <c r="AI191" s="5" t="n"/>
      <c r="AJ191" s="125" t="n"/>
      <c r="AK191" s="125" t="n"/>
    </row>
    <row r="192"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125" t="n"/>
      <c r="AH192" s="125" t="n"/>
      <c r="AI192" s="5" t="n"/>
      <c r="AJ192" s="125" t="n"/>
      <c r="AK192" s="125" t="n"/>
    </row>
    <row r="193"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125" t="n"/>
      <c r="AH193" s="125" t="n"/>
      <c r="AI193" s="5" t="n"/>
      <c r="AJ193" s="125" t="n"/>
      <c r="AK193" s="125" t="n"/>
    </row>
    <row r="194"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125" t="n"/>
      <c r="AH194" s="125" t="n"/>
      <c r="AI194" s="5" t="n"/>
      <c r="AJ194" s="125" t="n"/>
      <c r="AK194" s="125" t="n"/>
    </row>
    <row r="195"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125" t="n"/>
      <c r="AH195" s="125" t="n"/>
      <c r="AI195" s="5" t="n"/>
      <c r="AJ195" s="125" t="n"/>
      <c r="AK195" s="125" t="n"/>
    </row>
    <row r="196"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125" t="n"/>
      <c r="AH196" s="125" t="n"/>
      <c r="AI196" s="5" t="n"/>
      <c r="AJ196" s="125" t="n"/>
      <c r="AK196" s="125" t="n"/>
    </row>
    <row r="197"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125" t="n"/>
      <c r="AH197" s="125" t="n"/>
      <c r="AI197" s="5" t="n"/>
      <c r="AJ197" s="125" t="n"/>
      <c r="AK197" s="125" t="n"/>
    </row>
    <row r="198"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125" t="n"/>
      <c r="AH198" s="125" t="n"/>
      <c r="AI198" s="5" t="n"/>
      <c r="AJ198" s="125" t="n"/>
      <c r="AK198" s="125" t="n"/>
    </row>
    <row r="199"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125" t="n"/>
      <c r="AH199" s="125" t="n"/>
      <c r="AI199" s="5" t="n"/>
      <c r="AJ199" s="125" t="n"/>
      <c r="AK199" s="125" t="n"/>
    </row>
    <row r="200"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125" t="n"/>
      <c r="AH200" s="125" t="n"/>
      <c r="AI200" s="5" t="n"/>
      <c r="AJ200" s="125" t="n"/>
      <c r="AK200" s="125" t="n"/>
    </row>
    <row r="201"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125" t="n"/>
      <c r="AH201" s="125" t="n"/>
      <c r="AI201" s="5" t="n"/>
      <c r="AJ201" s="125" t="n"/>
      <c r="AK201" s="125" t="n"/>
    </row>
    <row r="202"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125" t="n"/>
      <c r="AH202" s="125" t="n"/>
      <c r="AI202" s="5" t="n"/>
      <c r="AJ202" s="125" t="n"/>
      <c r="AK202" s="125" t="n"/>
    </row>
    <row r="203"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125" t="n"/>
      <c r="AH203" s="125" t="n"/>
      <c r="AI203" s="5" t="n"/>
      <c r="AJ203" s="125" t="n"/>
      <c r="AK203" s="125" t="n"/>
    </row>
    <row r="204"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125" t="n"/>
      <c r="AH204" s="125" t="n"/>
      <c r="AI204" s="5" t="n"/>
      <c r="AJ204" s="125" t="n"/>
      <c r="AK204" s="125" t="n"/>
    </row>
    <row r="205"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125" t="n"/>
      <c r="AH205" s="125" t="n"/>
      <c r="AI205" s="5" t="n"/>
      <c r="AJ205" s="125" t="n"/>
      <c r="AK205" s="125" t="n"/>
    </row>
    <row r="206"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125" t="n"/>
      <c r="AH206" s="125" t="n"/>
      <c r="AI206" s="5" t="n"/>
      <c r="AJ206" s="125" t="n"/>
      <c r="AK206" s="125" t="n"/>
    </row>
    <row r="207"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125" t="n"/>
      <c r="AH207" s="125" t="n"/>
      <c r="AI207" s="5" t="n"/>
      <c r="AJ207" s="125" t="n"/>
      <c r="AK207" s="125" t="n"/>
    </row>
    <row r="208"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125" t="n"/>
      <c r="AH208" s="125" t="n"/>
      <c r="AI208" s="5" t="n"/>
      <c r="AJ208" s="125" t="n"/>
      <c r="AK208" s="125" t="n"/>
    </row>
    <row r="209"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125" t="n"/>
      <c r="AH209" s="125" t="n"/>
      <c r="AI209" s="5" t="n"/>
      <c r="AJ209" s="125" t="n"/>
      <c r="AK209" s="125" t="n"/>
    </row>
    <row r="210"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125" t="n"/>
      <c r="AH210" s="125" t="n"/>
      <c r="AI210" s="5" t="n"/>
      <c r="AJ210" s="125" t="n"/>
      <c r="AK210" s="125" t="n"/>
    </row>
    <row r="211"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125" t="n"/>
      <c r="AH211" s="125" t="n"/>
      <c r="AI211" s="5" t="n"/>
      <c r="AJ211" s="125" t="n"/>
      <c r="AK211" s="125" t="n"/>
    </row>
    <row r="212"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125" t="n"/>
      <c r="AH212" s="125" t="n"/>
      <c r="AI212" s="5" t="n"/>
      <c r="AJ212" s="125" t="n"/>
      <c r="AK212" s="125" t="n"/>
    </row>
    <row r="213"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125" t="n"/>
      <c r="AH213" s="125" t="n"/>
      <c r="AI213" s="5" t="n"/>
      <c r="AJ213" s="125" t="n"/>
      <c r="AK213" s="125" t="n"/>
    </row>
    <row r="214"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125" t="n"/>
      <c r="AH214" s="125" t="n"/>
      <c r="AI214" s="5" t="n"/>
      <c r="AJ214" s="125" t="n"/>
      <c r="AK214" s="125" t="n"/>
    </row>
    <row r="215"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125" t="n"/>
      <c r="AH215" s="125" t="n"/>
      <c r="AI215" s="5" t="n"/>
      <c r="AJ215" s="125" t="n"/>
      <c r="AK215" s="125" t="n"/>
    </row>
    <row r="216"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125" t="n"/>
      <c r="AH216" s="125" t="n"/>
      <c r="AI216" s="5" t="n"/>
      <c r="AJ216" s="125" t="n"/>
      <c r="AK216" s="125" t="n"/>
    </row>
    <row r="217"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125" t="n"/>
      <c r="AH217" s="125" t="n"/>
      <c r="AI217" s="5" t="n"/>
      <c r="AJ217" s="125" t="n"/>
      <c r="AK217" s="125" t="n"/>
    </row>
    <row r="218"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125" t="n"/>
      <c r="AH218" s="125" t="n"/>
      <c r="AI218" s="5" t="n"/>
      <c r="AJ218" s="125" t="n"/>
      <c r="AK218" s="125" t="n"/>
    </row>
    <row r="219"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125" t="n"/>
      <c r="AH219" s="125" t="n"/>
      <c r="AI219" s="5" t="n"/>
      <c r="AJ219" s="125" t="n"/>
      <c r="AK219" s="125" t="n"/>
    </row>
    <row r="220"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125" t="n"/>
      <c r="AH220" s="125" t="n"/>
      <c r="AI220" s="5" t="n"/>
      <c r="AJ220" s="125" t="n"/>
      <c r="AK220" s="125" t="n"/>
    </row>
    <row r="221"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125" t="n"/>
      <c r="AH221" s="125" t="n"/>
      <c r="AI221" s="5" t="n"/>
      <c r="AJ221" s="125" t="n"/>
      <c r="AK221" s="125" t="n"/>
    </row>
    <row r="222"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125" t="n"/>
      <c r="AH222" s="125" t="n"/>
      <c r="AI222" s="5" t="n"/>
      <c r="AJ222" s="125" t="n"/>
      <c r="AK222" s="125" t="n"/>
    </row>
    <row r="223"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125" t="n"/>
      <c r="AH223" s="125" t="n"/>
      <c r="AI223" s="5" t="n"/>
      <c r="AJ223" s="125" t="n"/>
      <c r="AK223" s="125" t="n"/>
    </row>
    <row r="224"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125" t="n"/>
      <c r="AH224" s="125" t="n"/>
      <c r="AI224" s="5" t="n"/>
      <c r="AJ224" s="125" t="n"/>
      <c r="AK224" s="125" t="n"/>
    </row>
    <row r="225"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125" t="n"/>
      <c r="AH225" s="125" t="n"/>
      <c r="AI225" s="5" t="n"/>
      <c r="AJ225" s="125" t="n"/>
      <c r="AK225" s="125" t="n"/>
    </row>
    <row r="226"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125" t="n"/>
      <c r="AH226" s="125" t="n"/>
      <c r="AI226" s="5" t="n"/>
      <c r="AJ226" s="125" t="n"/>
      <c r="AK226" s="125" t="n"/>
    </row>
    <row r="227"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125" t="n"/>
      <c r="AH227" s="125" t="n"/>
      <c r="AI227" s="5" t="n"/>
      <c r="AJ227" s="125" t="n"/>
      <c r="AK227" s="125" t="n"/>
    </row>
    <row r="228"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125" t="n"/>
      <c r="AH228" s="125" t="n"/>
      <c r="AI228" s="5" t="n"/>
      <c r="AJ228" s="125" t="n"/>
      <c r="AK228" s="125" t="n"/>
    </row>
    <row r="229"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125" t="n"/>
      <c r="AH229" s="125" t="n"/>
      <c r="AI229" s="5" t="n"/>
      <c r="AJ229" s="125" t="n"/>
      <c r="AK229" s="125" t="n"/>
    </row>
    <row r="230"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125" t="n"/>
      <c r="AH230" s="125" t="n"/>
      <c r="AI230" s="5" t="n"/>
      <c r="AJ230" s="125" t="n"/>
      <c r="AK230" s="125" t="n"/>
    </row>
    <row r="231"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125" t="n"/>
      <c r="AH231" s="125" t="n"/>
      <c r="AI231" s="5" t="n"/>
      <c r="AJ231" s="125" t="n"/>
      <c r="AK231" s="125" t="n"/>
    </row>
    <row r="232"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125" t="n"/>
      <c r="AH232" s="125" t="n"/>
      <c r="AI232" s="5" t="n"/>
      <c r="AJ232" s="125" t="n"/>
      <c r="AK232" s="125" t="n"/>
    </row>
    <row r="233"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125" t="n"/>
      <c r="AH233" s="125" t="n"/>
      <c r="AI233" s="5" t="n"/>
      <c r="AJ233" s="125" t="n"/>
      <c r="AK233" s="125" t="n"/>
    </row>
    <row r="234"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125" t="n"/>
      <c r="AH234" s="125" t="n"/>
      <c r="AI234" s="5" t="n"/>
      <c r="AJ234" s="125" t="n"/>
      <c r="AK234" s="125" t="n"/>
    </row>
    <row r="235"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125" t="n"/>
      <c r="AH235" s="125" t="n"/>
      <c r="AI235" s="5" t="n"/>
      <c r="AJ235" s="125" t="n"/>
      <c r="AK235" s="125" t="n"/>
    </row>
    <row r="236"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125" t="n"/>
      <c r="AH236" s="125" t="n"/>
      <c r="AI236" s="5" t="n"/>
      <c r="AJ236" s="125" t="n"/>
      <c r="AK236" s="125" t="n"/>
    </row>
    <row r="237"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125" t="n"/>
      <c r="AH237" s="125" t="n"/>
      <c r="AI237" s="5" t="n"/>
      <c r="AJ237" s="125" t="n"/>
      <c r="AK237" s="125" t="n"/>
    </row>
    <row r="238"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125" t="n"/>
      <c r="AH238" s="125" t="n"/>
      <c r="AI238" s="5" t="n"/>
      <c r="AJ238" s="125" t="n"/>
      <c r="AK238" s="125" t="n"/>
    </row>
    <row r="239"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125" t="n"/>
      <c r="AH239" s="125" t="n"/>
      <c r="AI239" s="5" t="n"/>
      <c r="AJ239" s="125" t="n"/>
      <c r="AK239" s="125" t="n"/>
    </row>
    <row r="240"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125" t="n"/>
      <c r="AH240" s="125" t="n"/>
      <c r="AI240" s="5" t="n"/>
      <c r="AJ240" s="125" t="n"/>
      <c r="AK240" s="125" t="n"/>
    </row>
    <row r="241"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125" t="n"/>
      <c r="AH241" s="125" t="n"/>
      <c r="AI241" s="5" t="n"/>
      <c r="AJ241" s="125" t="n"/>
      <c r="AK241" s="125" t="n"/>
    </row>
    <row r="242"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125" t="n"/>
      <c r="AH242" s="125" t="n"/>
      <c r="AI242" s="5" t="n"/>
      <c r="AJ242" s="125" t="n"/>
      <c r="AK242" s="125" t="n"/>
    </row>
    <row r="243"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125" t="n"/>
      <c r="AH243" s="125" t="n"/>
      <c r="AI243" s="5" t="n"/>
      <c r="AJ243" s="125" t="n"/>
      <c r="AK243" s="125" t="n"/>
    </row>
    <row r="244"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125" t="n"/>
      <c r="AH244" s="125" t="n"/>
      <c r="AI244" s="5" t="n"/>
      <c r="AJ244" s="125" t="n"/>
      <c r="AK244" s="125" t="n"/>
    </row>
    <row r="245"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125" t="n"/>
      <c r="AH245" s="125" t="n"/>
      <c r="AI245" s="5" t="n"/>
      <c r="AJ245" s="125" t="n"/>
      <c r="AK245" s="125" t="n"/>
    </row>
    <row r="246"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125" t="n"/>
      <c r="AH246" s="125" t="n"/>
      <c r="AI246" s="5" t="n"/>
      <c r="AJ246" s="125" t="n"/>
      <c r="AK246" s="125" t="n"/>
    </row>
    <row r="247"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125" t="n"/>
      <c r="AH247" s="125" t="n"/>
      <c r="AI247" s="5" t="n"/>
      <c r="AJ247" s="125" t="n"/>
      <c r="AK247" s="125" t="n"/>
    </row>
    <row r="248"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125" t="n"/>
      <c r="AH248" s="125" t="n"/>
      <c r="AI248" s="5" t="n"/>
      <c r="AJ248" s="125" t="n"/>
      <c r="AK248" s="125" t="n"/>
    </row>
    <row r="249"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125" t="n"/>
      <c r="AH249" s="125" t="n"/>
      <c r="AI249" s="5" t="n"/>
      <c r="AJ249" s="125" t="n"/>
      <c r="AK249" s="125" t="n"/>
    </row>
    <row r="250"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125" t="n"/>
      <c r="AH250" s="125" t="n"/>
      <c r="AI250" s="5" t="n"/>
      <c r="AJ250" s="125" t="n"/>
      <c r="AK250" s="125" t="n"/>
    </row>
    <row r="251"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125" t="n"/>
      <c r="AH251" s="125" t="n"/>
      <c r="AI251" s="5" t="n"/>
      <c r="AJ251" s="125" t="n"/>
      <c r="AK251" s="125" t="n"/>
    </row>
    <row r="252"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125" t="n"/>
      <c r="AH252" s="125" t="n"/>
      <c r="AI252" s="5" t="n"/>
      <c r="AJ252" s="125" t="n"/>
      <c r="AK252" s="125" t="n"/>
    </row>
    <row r="253"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125" t="n"/>
      <c r="AH253" s="125" t="n"/>
      <c r="AI253" s="5" t="n"/>
      <c r="AJ253" s="125" t="n"/>
      <c r="AK253" s="125" t="n"/>
    </row>
    <row r="254"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125" t="n"/>
      <c r="AH254" s="125" t="n"/>
      <c r="AI254" s="5" t="n"/>
      <c r="AJ254" s="125" t="n"/>
      <c r="AK254" s="125" t="n"/>
    </row>
    <row r="255"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125" t="n"/>
      <c r="AH255" s="125" t="n"/>
      <c r="AI255" s="5" t="n"/>
      <c r="AJ255" s="125" t="n"/>
      <c r="AK255" s="125" t="n"/>
    </row>
    <row r="256"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125" t="n"/>
      <c r="AH256" s="125" t="n"/>
      <c r="AI256" s="5" t="n"/>
      <c r="AJ256" s="125" t="n"/>
      <c r="AK256" s="125" t="n"/>
    </row>
    <row r="257"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125" t="n"/>
      <c r="AH257" s="125" t="n"/>
      <c r="AI257" s="5" t="n"/>
      <c r="AJ257" s="125" t="n"/>
      <c r="AK257" s="125" t="n"/>
    </row>
    <row r="258"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125" t="n"/>
      <c r="AH258" s="125" t="n"/>
      <c r="AI258" s="5" t="n"/>
      <c r="AJ258" s="125" t="n"/>
      <c r="AK258" s="125" t="n"/>
    </row>
    <row r="259"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125" t="n"/>
      <c r="AH259" s="125" t="n"/>
      <c r="AI259" s="5" t="n"/>
      <c r="AJ259" s="125" t="n"/>
      <c r="AK259" s="125" t="n"/>
    </row>
    <row r="260"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125" t="n"/>
      <c r="AH260" s="125" t="n"/>
      <c r="AI260" s="5" t="n"/>
      <c r="AJ260" s="125" t="n"/>
      <c r="AK260" s="125" t="n"/>
    </row>
    <row r="261"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125" t="n"/>
      <c r="AH261" s="125" t="n"/>
      <c r="AI261" s="5" t="n"/>
      <c r="AJ261" s="125" t="n"/>
      <c r="AK261" s="125" t="n"/>
    </row>
    <row r="262"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125" t="n"/>
      <c r="AH262" s="125" t="n"/>
      <c r="AI262" s="5" t="n"/>
      <c r="AJ262" s="125" t="n"/>
      <c r="AK262" s="125" t="n"/>
    </row>
    <row r="263"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125" t="n"/>
      <c r="AH263" s="125" t="n"/>
      <c r="AI263" s="5" t="n"/>
      <c r="AJ263" s="125" t="n"/>
      <c r="AK263" s="125" t="n"/>
    </row>
    <row r="264"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125" t="n"/>
      <c r="AH264" s="125" t="n"/>
      <c r="AI264" s="5" t="n"/>
      <c r="AJ264" s="125" t="n"/>
      <c r="AK264" s="125" t="n"/>
    </row>
    <row r="265"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125" t="n"/>
      <c r="AH265" s="125" t="n"/>
      <c r="AI265" s="5" t="n"/>
      <c r="AJ265" s="125" t="n"/>
      <c r="AK265" s="125" t="n"/>
    </row>
    <row r="266"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125" t="n"/>
      <c r="AH266" s="125" t="n"/>
      <c r="AI266" s="5" t="n"/>
      <c r="AJ266" s="125" t="n"/>
      <c r="AK266" s="125" t="n"/>
    </row>
    <row r="267"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125" t="n"/>
      <c r="AH267" s="125" t="n"/>
      <c r="AI267" s="5" t="n"/>
      <c r="AJ267" s="125" t="n"/>
      <c r="AK267" s="125" t="n"/>
    </row>
    <row r="268"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125" t="n"/>
      <c r="AH268" s="125" t="n"/>
      <c r="AI268" s="5" t="n"/>
      <c r="AJ268" s="125" t="n"/>
      <c r="AK268" s="125" t="n"/>
    </row>
    <row r="269"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125" t="n"/>
      <c r="AH269" s="125" t="n"/>
      <c r="AI269" s="5" t="n"/>
      <c r="AJ269" s="125" t="n"/>
      <c r="AK269" s="125" t="n"/>
    </row>
    <row r="270"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125" t="n"/>
      <c r="AH270" s="125" t="n"/>
      <c r="AI270" s="5" t="n"/>
      <c r="AJ270" s="125" t="n"/>
      <c r="AK270" s="125" t="n"/>
    </row>
    <row r="271"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125" t="n"/>
      <c r="AH271" s="125" t="n"/>
      <c r="AI271" s="5" t="n"/>
      <c r="AJ271" s="125" t="n"/>
      <c r="AK271" s="125" t="n"/>
    </row>
    <row r="272"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125" t="n"/>
      <c r="AH272" s="125" t="n"/>
      <c r="AI272" s="5" t="n"/>
      <c r="AJ272" s="125" t="n"/>
      <c r="AK272" s="125" t="n"/>
    </row>
    <row r="273"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125" t="n"/>
      <c r="AH273" s="125" t="n"/>
      <c r="AI273" s="5" t="n"/>
      <c r="AJ273" s="125" t="n"/>
      <c r="AK273" s="125" t="n"/>
    </row>
    <row r="274"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125" t="n"/>
      <c r="AH274" s="125" t="n"/>
      <c r="AI274" s="5" t="n"/>
      <c r="AJ274" s="125" t="n"/>
      <c r="AK274" s="125" t="n"/>
    </row>
    <row r="275"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125" t="n"/>
      <c r="AH275" s="125" t="n"/>
      <c r="AI275" s="5" t="n"/>
      <c r="AJ275" s="125" t="n"/>
      <c r="AK275" s="125" t="n"/>
    </row>
    <row r="276"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125" t="n"/>
      <c r="AH276" s="125" t="n"/>
      <c r="AI276" s="5" t="n"/>
      <c r="AJ276" s="125" t="n"/>
      <c r="AK276" s="125" t="n"/>
    </row>
    <row r="277"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125" t="n"/>
      <c r="AH277" s="125" t="n"/>
      <c r="AI277" s="5" t="n"/>
      <c r="AJ277" s="125" t="n"/>
      <c r="AK277" s="125" t="n"/>
    </row>
    <row r="278"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125" t="n"/>
      <c r="AH278" s="125" t="n"/>
      <c r="AI278" s="5" t="n"/>
      <c r="AJ278" s="125" t="n"/>
      <c r="AK278" s="125" t="n"/>
    </row>
    <row r="279"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125" t="n"/>
      <c r="AH279" s="125" t="n"/>
      <c r="AI279" s="5" t="n"/>
      <c r="AJ279" s="125" t="n"/>
      <c r="AK279" s="125" t="n"/>
    </row>
    <row r="280"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125" t="n"/>
      <c r="AH280" s="125" t="n"/>
      <c r="AI280" s="5" t="n"/>
      <c r="AJ280" s="125" t="n"/>
      <c r="AK280" s="125" t="n"/>
    </row>
    <row r="281"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125" t="n"/>
      <c r="AH281" s="125" t="n"/>
      <c r="AI281" s="5" t="n"/>
      <c r="AJ281" s="125" t="n"/>
      <c r="AK281" s="125" t="n"/>
    </row>
    <row r="282"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125" t="n"/>
      <c r="AH282" s="125" t="n"/>
      <c r="AI282" s="5" t="n"/>
      <c r="AJ282" s="125" t="n"/>
      <c r="AK282" s="125" t="n"/>
    </row>
    <row r="283"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125" t="n"/>
      <c r="AH283" s="125" t="n"/>
      <c r="AI283" s="5" t="n"/>
      <c r="AJ283" s="125" t="n"/>
      <c r="AK283" s="125" t="n"/>
    </row>
    <row r="284"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125" t="n"/>
      <c r="AH284" s="125" t="n"/>
      <c r="AI284" s="5" t="n"/>
      <c r="AJ284" s="125" t="n"/>
      <c r="AK284" s="125" t="n"/>
    </row>
    <row r="285"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125" t="n"/>
      <c r="AH285" s="125" t="n"/>
      <c r="AI285" s="5" t="n"/>
      <c r="AJ285" s="125" t="n"/>
      <c r="AK285" s="125" t="n"/>
    </row>
    <row r="286"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125" t="n"/>
      <c r="AH286" s="125" t="n"/>
      <c r="AI286" s="5" t="n"/>
      <c r="AJ286" s="125" t="n"/>
      <c r="AK286" s="125" t="n"/>
    </row>
    <row r="287"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125" t="n"/>
      <c r="AH287" s="125" t="n"/>
      <c r="AI287" s="5" t="n"/>
      <c r="AJ287" s="125" t="n"/>
      <c r="AK287" s="125" t="n"/>
    </row>
    <row r="288"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125" t="n"/>
      <c r="AH288" s="125" t="n"/>
      <c r="AI288" s="5" t="n"/>
      <c r="AJ288" s="125" t="n"/>
      <c r="AK288" s="125" t="n"/>
    </row>
    <row r="289"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125" t="n"/>
      <c r="AH289" s="125" t="n"/>
      <c r="AI289" s="5" t="n"/>
      <c r="AJ289" s="125" t="n"/>
      <c r="AK289" s="125" t="n"/>
    </row>
    <row r="290"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125" t="n"/>
      <c r="AH290" s="125" t="n"/>
      <c r="AI290" s="5" t="n"/>
      <c r="AJ290" s="125" t="n"/>
      <c r="AK290" s="125" t="n"/>
    </row>
    <row r="291"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125" t="n"/>
      <c r="AH291" s="125" t="n"/>
      <c r="AI291" s="5" t="n"/>
      <c r="AJ291" s="125" t="n"/>
      <c r="AK291" s="125" t="n"/>
    </row>
    <row r="292"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125" t="n"/>
      <c r="AH292" s="125" t="n"/>
      <c r="AI292" s="5" t="n"/>
      <c r="AJ292" s="125" t="n"/>
      <c r="AK292" s="125" t="n"/>
    </row>
    <row r="293"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125" t="n"/>
      <c r="AH293" s="125" t="n"/>
      <c r="AI293" s="5" t="n"/>
      <c r="AJ293" s="125" t="n"/>
      <c r="AK293" s="125" t="n"/>
    </row>
    <row r="294"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125" t="n"/>
      <c r="AH294" s="125" t="n"/>
      <c r="AI294" s="5" t="n"/>
      <c r="AJ294" s="125" t="n"/>
      <c r="AK294" s="125" t="n"/>
    </row>
    <row r="295"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125" t="n"/>
      <c r="AH295" s="125" t="n"/>
      <c r="AI295" s="5" t="n"/>
      <c r="AJ295" s="125" t="n"/>
      <c r="AK295" s="125" t="n"/>
    </row>
    <row r="296"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125" t="n"/>
      <c r="AH296" s="125" t="n"/>
      <c r="AI296" s="5" t="n"/>
      <c r="AJ296" s="125" t="n"/>
      <c r="AK296" s="125" t="n"/>
    </row>
    <row r="297"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125" t="n"/>
      <c r="AH297" s="125" t="n"/>
      <c r="AI297" s="5" t="n"/>
      <c r="AJ297" s="125" t="n"/>
      <c r="AK297" s="125" t="n"/>
    </row>
    <row r="298"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125" t="n"/>
      <c r="AH298" s="125" t="n"/>
      <c r="AI298" s="5" t="n"/>
      <c r="AJ298" s="125" t="n"/>
      <c r="AK298" s="125" t="n"/>
    </row>
    <row r="299"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125" t="n"/>
      <c r="AH299" s="125" t="n"/>
      <c r="AI299" s="5" t="n"/>
      <c r="AJ299" s="125" t="n"/>
      <c r="AK299" s="125" t="n"/>
    </row>
    <row r="300"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125" t="n"/>
      <c r="AH300" s="125" t="n"/>
      <c r="AI300" s="5" t="n"/>
      <c r="AJ300" s="125" t="n"/>
      <c r="AK300" s="125" t="n"/>
    </row>
    <row r="301"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125" t="n"/>
      <c r="AH301" s="125" t="n"/>
      <c r="AI301" s="5" t="n"/>
      <c r="AJ301" s="125" t="n"/>
      <c r="AK301" s="125" t="n"/>
    </row>
    <row r="302"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125" t="n"/>
      <c r="AH302" s="125" t="n"/>
      <c r="AI302" s="5" t="n"/>
      <c r="AJ302" s="125" t="n"/>
      <c r="AK302" s="125" t="n"/>
    </row>
    <row r="303"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125" t="n"/>
      <c r="AH303" s="125" t="n"/>
      <c r="AI303" s="5" t="n"/>
      <c r="AJ303" s="125" t="n"/>
      <c r="AK303" s="125" t="n"/>
    </row>
    <row r="304"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125" t="n"/>
      <c r="AH304" s="125" t="n"/>
      <c r="AI304" s="5" t="n"/>
      <c r="AJ304" s="125" t="n"/>
      <c r="AK304" s="125" t="n"/>
    </row>
    <row r="305"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125" t="n"/>
      <c r="AH305" s="125" t="n"/>
      <c r="AI305" s="5" t="n"/>
      <c r="AJ305" s="125" t="n"/>
      <c r="AK305" s="125" t="n"/>
    </row>
    <row r="306"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125" t="n"/>
      <c r="AH306" s="125" t="n"/>
      <c r="AI306" s="5" t="n"/>
      <c r="AJ306" s="125" t="n"/>
      <c r="AK306" s="125" t="n"/>
    </row>
    <row r="307"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125" t="n"/>
      <c r="AH307" s="125" t="n"/>
      <c r="AI307" s="5" t="n"/>
      <c r="AJ307" s="125" t="n"/>
      <c r="AK307" s="125" t="n"/>
    </row>
    <row r="308"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125" t="n"/>
      <c r="AH308" s="125" t="n"/>
      <c r="AI308" s="5" t="n"/>
      <c r="AJ308" s="125" t="n"/>
      <c r="AK308" s="125" t="n"/>
    </row>
    <row r="309"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125" t="n"/>
      <c r="AH309" s="125" t="n"/>
      <c r="AI309" s="5" t="n"/>
      <c r="AJ309" s="125" t="n"/>
      <c r="AK309" s="125" t="n"/>
    </row>
    <row r="310"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125" t="n"/>
      <c r="AH310" s="125" t="n"/>
      <c r="AI310" s="5" t="n"/>
      <c r="AJ310" s="125" t="n"/>
      <c r="AK310" s="125" t="n"/>
    </row>
    <row r="311"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125" t="n"/>
      <c r="AH311" s="125" t="n"/>
      <c r="AI311" s="5" t="n"/>
      <c r="AJ311" s="125" t="n"/>
      <c r="AK311" s="125" t="n"/>
    </row>
    <row r="312"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125" t="n"/>
      <c r="AH312" s="125" t="n"/>
      <c r="AI312" s="5" t="n"/>
      <c r="AJ312" s="125" t="n"/>
      <c r="AK312" s="125" t="n"/>
    </row>
    <row r="313"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125" t="n"/>
      <c r="AH313" s="125" t="n"/>
      <c r="AI313" s="5" t="n"/>
      <c r="AJ313" s="125" t="n"/>
      <c r="AK313" s="125" t="n"/>
    </row>
    <row r="314"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125" t="n"/>
      <c r="AH314" s="125" t="n"/>
      <c r="AI314" s="5" t="n"/>
      <c r="AJ314" s="125" t="n"/>
      <c r="AK314" s="125" t="n"/>
    </row>
    <row r="315"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125" t="n"/>
      <c r="AH315" s="125" t="n"/>
      <c r="AI315" s="5" t="n"/>
      <c r="AJ315" s="125" t="n"/>
      <c r="AK315" s="125" t="n"/>
    </row>
    <row r="316"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125" t="n"/>
      <c r="AH316" s="125" t="n"/>
      <c r="AI316" s="5" t="n"/>
      <c r="AJ316" s="125" t="n"/>
      <c r="AK316" s="125" t="n"/>
    </row>
    <row r="317"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125" t="n"/>
      <c r="AH317" s="125" t="n"/>
      <c r="AI317" s="5" t="n"/>
      <c r="AJ317" s="125" t="n"/>
      <c r="AK317" s="125" t="n"/>
    </row>
    <row r="318"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125" t="n"/>
      <c r="AH318" s="125" t="n"/>
      <c r="AI318" s="5" t="n"/>
      <c r="AJ318" s="125" t="n"/>
      <c r="AK318" s="125" t="n"/>
    </row>
    <row r="319"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125" t="n"/>
      <c r="AH319" s="125" t="n"/>
      <c r="AI319" s="5" t="n"/>
      <c r="AJ319" s="125" t="n"/>
      <c r="AK319" s="125" t="n"/>
    </row>
    <row r="320"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125" t="n"/>
      <c r="AH320" s="125" t="n"/>
      <c r="AI320" s="5" t="n"/>
      <c r="AJ320" s="125" t="n"/>
      <c r="AK320" s="125" t="n"/>
    </row>
    <row r="321"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125" t="n"/>
      <c r="AH321" s="125" t="n"/>
      <c r="AI321" s="5" t="n"/>
      <c r="AJ321" s="125" t="n"/>
      <c r="AK321" s="125" t="n"/>
    </row>
    <row r="322"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125" t="n"/>
      <c r="AH322" s="125" t="n"/>
      <c r="AI322" s="5" t="n"/>
      <c r="AJ322" s="125" t="n"/>
      <c r="AK322" s="125" t="n"/>
    </row>
    <row r="323"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125" t="n"/>
      <c r="AH323" s="125" t="n"/>
      <c r="AI323" s="5" t="n"/>
      <c r="AJ323" s="125" t="n"/>
      <c r="AK323" s="125" t="n"/>
    </row>
    <row r="324"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125" t="n"/>
      <c r="AH324" s="125" t="n"/>
      <c r="AI324" s="5" t="n"/>
      <c r="AJ324" s="125" t="n"/>
      <c r="AK324" s="125" t="n"/>
    </row>
    <row r="325"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125" t="n"/>
      <c r="AH325" s="125" t="n"/>
      <c r="AI325" s="5" t="n"/>
      <c r="AJ325" s="125" t="n"/>
      <c r="AK325" s="125" t="n"/>
    </row>
    <row r="326"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125" t="n"/>
      <c r="AH326" s="125" t="n"/>
      <c r="AI326" s="5" t="n"/>
      <c r="AJ326" s="125" t="n"/>
      <c r="AK326" s="125" t="n"/>
    </row>
    <row r="327"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125" t="n"/>
      <c r="AH327" s="125" t="n"/>
      <c r="AI327" s="5" t="n"/>
      <c r="AJ327" s="125" t="n"/>
      <c r="AK327" s="125" t="n"/>
    </row>
    <row r="328"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125" t="n"/>
      <c r="AH328" s="125" t="n"/>
      <c r="AI328" s="5" t="n"/>
      <c r="AJ328" s="125" t="n"/>
      <c r="AK328" s="125" t="n"/>
    </row>
    <row r="329"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125" t="n"/>
      <c r="AH329" s="125" t="n"/>
      <c r="AI329" s="5" t="n"/>
      <c r="AJ329" s="125" t="n"/>
      <c r="AK329" s="125" t="n"/>
    </row>
    <row r="330"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125" t="n"/>
      <c r="AH330" s="125" t="n"/>
      <c r="AI330" s="5" t="n"/>
      <c r="AJ330" s="125" t="n"/>
      <c r="AK330" s="125" t="n"/>
    </row>
    <row r="331"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125" t="n"/>
      <c r="AH331" s="125" t="n"/>
      <c r="AI331" s="5" t="n"/>
      <c r="AJ331" s="125" t="n"/>
      <c r="AK331" s="125" t="n"/>
    </row>
    <row r="332"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125" t="n"/>
      <c r="AH332" s="125" t="n"/>
      <c r="AI332" s="5" t="n"/>
      <c r="AJ332" s="125" t="n"/>
      <c r="AK332" s="125" t="n"/>
    </row>
    <row r="333"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125" t="n"/>
      <c r="AH333" s="125" t="n"/>
      <c r="AI333" s="5" t="n"/>
      <c r="AJ333" s="125" t="n"/>
      <c r="AK333" s="125" t="n"/>
    </row>
    <row r="334"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125" t="n"/>
      <c r="AH334" s="125" t="n"/>
      <c r="AI334" s="5" t="n"/>
      <c r="AJ334" s="125" t="n"/>
      <c r="AK334" s="125" t="n"/>
    </row>
    <row r="335"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125" t="n"/>
      <c r="AH335" s="125" t="n"/>
      <c r="AI335" s="5" t="n"/>
      <c r="AJ335" s="125" t="n"/>
      <c r="AK335" s="125" t="n"/>
    </row>
    <row r="336"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125" t="n"/>
      <c r="AH336" s="125" t="n"/>
      <c r="AI336" s="5" t="n"/>
      <c r="AJ336" s="125" t="n"/>
      <c r="AK336" s="125" t="n"/>
    </row>
    <row r="337"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125" t="n"/>
      <c r="AH337" s="125" t="n"/>
      <c r="AI337" s="5" t="n"/>
      <c r="AJ337" s="125" t="n"/>
      <c r="AK337" s="125" t="n"/>
    </row>
    <row r="338"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125" t="n"/>
      <c r="AH338" s="125" t="n"/>
      <c r="AI338" s="5" t="n"/>
      <c r="AJ338" s="125" t="n"/>
      <c r="AK338" s="125" t="n"/>
    </row>
    <row r="339"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125" t="n"/>
      <c r="AH339" s="125" t="n"/>
      <c r="AI339" s="5" t="n"/>
      <c r="AJ339" s="125" t="n"/>
      <c r="AK339" s="125" t="n"/>
    </row>
    <row r="340"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125" t="n"/>
      <c r="AH340" s="125" t="n"/>
      <c r="AI340" s="5" t="n"/>
      <c r="AJ340" s="125" t="n"/>
      <c r="AK340" s="125" t="n"/>
    </row>
    <row r="341"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125" t="n"/>
      <c r="AH341" s="125" t="n"/>
      <c r="AI341" s="5" t="n"/>
      <c r="AJ341" s="125" t="n"/>
      <c r="AK341" s="125" t="n"/>
    </row>
    <row r="342"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125" t="n"/>
      <c r="AH342" s="125" t="n"/>
      <c r="AI342" s="5" t="n"/>
      <c r="AJ342" s="125" t="n"/>
      <c r="AK342" s="125" t="n"/>
    </row>
    <row r="343"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125" t="n"/>
      <c r="AH343" s="125" t="n"/>
      <c r="AI343" s="5" t="n"/>
      <c r="AJ343" s="125" t="n"/>
      <c r="AK343" s="125" t="n"/>
    </row>
    <row r="344"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125" t="n"/>
      <c r="AH344" s="125" t="n"/>
      <c r="AI344" s="5" t="n"/>
      <c r="AJ344" s="125" t="n"/>
      <c r="AK344" s="125" t="n"/>
    </row>
    <row r="345"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125" t="n"/>
      <c r="AH345" s="125" t="n"/>
      <c r="AI345" s="5" t="n"/>
      <c r="AJ345" s="125" t="n"/>
      <c r="AK345" s="125" t="n"/>
    </row>
    <row r="346"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125" t="n"/>
      <c r="AH346" s="125" t="n"/>
      <c r="AI346" s="5" t="n"/>
      <c r="AJ346" s="125" t="n"/>
      <c r="AK346" s="125" t="n"/>
    </row>
    <row r="347"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125" t="n"/>
      <c r="AH347" s="125" t="n"/>
      <c r="AI347" s="5" t="n"/>
      <c r="AJ347" s="125" t="n"/>
      <c r="AK347" s="125" t="n"/>
    </row>
    <row r="348"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125" t="n"/>
      <c r="AH348" s="125" t="n"/>
      <c r="AI348" s="5" t="n"/>
      <c r="AJ348" s="125" t="n"/>
      <c r="AK348" s="125" t="n"/>
    </row>
    <row r="349"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125" t="n"/>
      <c r="AH349" s="125" t="n"/>
      <c r="AI349" s="5" t="n"/>
      <c r="AJ349" s="125" t="n"/>
      <c r="AK349" s="125" t="n"/>
    </row>
    <row r="350"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125" t="n"/>
      <c r="AH350" s="125" t="n"/>
      <c r="AI350" s="5" t="n"/>
      <c r="AJ350" s="125" t="n"/>
      <c r="AK350" s="125" t="n"/>
    </row>
    <row r="351"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125" t="n"/>
      <c r="AH351" s="125" t="n"/>
      <c r="AI351" s="5" t="n"/>
      <c r="AJ351" s="125" t="n"/>
      <c r="AK351" s="125" t="n"/>
    </row>
    <row r="352"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125" t="n"/>
      <c r="AH352" s="125" t="n"/>
      <c r="AI352" s="5" t="n"/>
      <c r="AJ352" s="125" t="n"/>
      <c r="AK352" s="125" t="n"/>
    </row>
    <row r="353"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125" t="n"/>
      <c r="AH353" s="125" t="n"/>
      <c r="AI353" s="5" t="n"/>
      <c r="AJ353" s="125" t="n"/>
      <c r="AK353" s="125" t="n"/>
    </row>
    <row r="354"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125" t="n"/>
      <c r="AH354" s="125" t="n"/>
      <c r="AI354" s="5" t="n"/>
      <c r="AJ354" s="125" t="n"/>
      <c r="AK354" s="125" t="n"/>
    </row>
    <row r="355"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125" t="n"/>
      <c r="AH355" s="125" t="n"/>
      <c r="AI355" s="5" t="n"/>
      <c r="AJ355" s="125" t="n"/>
      <c r="AK355" s="125" t="n"/>
    </row>
    <row r="356"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125" t="n"/>
      <c r="AH356" s="125" t="n"/>
      <c r="AI356" s="5" t="n"/>
      <c r="AJ356" s="125" t="n"/>
      <c r="AK356" s="125" t="n"/>
    </row>
    <row r="357"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125" t="n"/>
      <c r="AH357" s="125" t="n"/>
      <c r="AI357" s="5" t="n"/>
      <c r="AJ357" s="125" t="n"/>
      <c r="AK357" s="125" t="n"/>
    </row>
    <row r="358"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125" t="n"/>
      <c r="AH358" s="125" t="n"/>
      <c r="AI358" s="5" t="n"/>
      <c r="AJ358" s="125" t="n"/>
      <c r="AK358" s="125" t="n"/>
    </row>
    <row r="359"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125" t="n"/>
      <c r="AH359" s="125" t="n"/>
      <c r="AI359" s="5" t="n"/>
      <c r="AJ359" s="125" t="n"/>
      <c r="AK359" s="125" t="n"/>
    </row>
    <row r="360"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125" t="n"/>
      <c r="AH360" s="125" t="n"/>
      <c r="AI360" s="5" t="n"/>
      <c r="AJ360" s="125" t="n"/>
      <c r="AK360" s="125" t="n"/>
    </row>
    <row r="361"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125" t="n"/>
      <c r="AH361" s="125" t="n"/>
      <c r="AI361" s="5" t="n"/>
      <c r="AJ361" s="125" t="n"/>
      <c r="AK361" s="125" t="n"/>
    </row>
    <row r="362"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125" t="n"/>
      <c r="AH362" s="125" t="n"/>
      <c r="AI362" s="5" t="n"/>
      <c r="AJ362" s="125" t="n"/>
      <c r="AK362" s="125" t="n"/>
    </row>
    <row r="363"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125" t="n"/>
      <c r="AH363" s="125" t="n"/>
      <c r="AI363" s="5" t="n"/>
      <c r="AJ363" s="125" t="n"/>
      <c r="AK363" s="125" t="n"/>
    </row>
    <row r="364"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125" t="n"/>
      <c r="AH364" s="125" t="n"/>
      <c r="AI364" s="5" t="n"/>
      <c r="AJ364" s="125" t="n"/>
      <c r="AK364" s="125" t="n"/>
    </row>
    <row r="365"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125" t="n"/>
      <c r="AH365" s="125" t="n"/>
      <c r="AI365" s="5" t="n"/>
      <c r="AJ365" s="125" t="n"/>
      <c r="AK365" s="125" t="n"/>
    </row>
    <row r="366"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125" t="n"/>
      <c r="AH366" s="125" t="n"/>
      <c r="AI366" s="5" t="n"/>
      <c r="AJ366" s="125" t="n"/>
      <c r="AK366" s="125" t="n"/>
    </row>
    <row r="367"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125" t="n"/>
      <c r="AH367" s="125" t="n"/>
      <c r="AI367" s="5" t="n"/>
      <c r="AJ367" s="125" t="n"/>
      <c r="AK367" s="125" t="n"/>
    </row>
    <row r="368"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125" t="n"/>
      <c r="AH368" s="125" t="n"/>
      <c r="AI368" s="5" t="n"/>
      <c r="AJ368" s="125" t="n"/>
      <c r="AK368" s="125" t="n"/>
    </row>
    <row r="369"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125" t="n"/>
      <c r="AH369" s="125" t="n"/>
      <c r="AI369" s="5" t="n"/>
      <c r="AJ369" s="125" t="n"/>
      <c r="AK369" s="125" t="n"/>
    </row>
    <row r="370"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125" t="n"/>
      <c r="AH370" s="125" t="n"/>
      <c r="AI370" s="5" t="n"/>
      <c r="AJ370" s="125" t="n"/>
      <c r="AK370" s="125" t="n"/>
    </row>
    <row r="371"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125" t="n"/>
      <c r="AH371" s="125" t="n"/>
      <c r="AI371" s="5" t="n"/>
      <c r="AJ371" s="125" t="n"/>
      <c r="AK371" s="125" t="n"/>
    </row>
    <row r="372"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125" t="n"/>
      <c r="AH372" s="125" t="n"/>
      <c r="AI372" s="5" t="n"/>
      <c r="AJ372" s="125" t="n"/>
      <c r="AK372" s="125" t="n"/>
    </row>
    <row r="373"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125" t="n"/>
      <c r="AH373" s="125" t="n"/>
      <c r="AI373" s="5" t="n"/>
      <c r="AJ373" s="125" t="n"/>
      <c r="AK373" s="125" t="n"/>
    </row>
    <row r="374"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125" t="n"/>
      <c r="AH374" s="125" t="n"/>
      <c r="AI374" s="5" t="n"/>
      <c r="AJ374" s="125" t="n"/>
      <c r="AK374" s="125" t="n"/>
    </row>
    <row r="375"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125" t="n"/>
      <c r="AH375" s="125" t="n"/>
      <c r="AI375" s="5" t="n"/>
      <c r="AJ375" s="125" t="n"/>
      <c r="AK375" s="125" t="n"/>
    </row>
    <row r="376"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125" t="n"/>
      <c r="AH376" s="125" t="n"/>
      <c r="AI376" s="5" t="n"/>
      <c r="AJ376" s="125" t="n"/>
      <c r="AK376" s="125" t="n"/>
    </row>
    <row r="377"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125" t="n"/>
      <c r="AH377" s="125" t="n"/>
      <c r="AI377" s="5" t="n"/>
      <c r="AJ377" s="125" t="n"/>
      <c r="AK377" s="125" t="n"/>
    </row>
    <row r="378"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125" t="n"/>
      <c r="AH378" s="125" t="n"/>
      <c r="AI378" s="5" t="n"/>
      <c r="AJ378" s="125" t="n"/>
      <c r="AK378" s="125" t="n"/>
    </row>
    <row r="379"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125" t="n"/>
      <c r="AH379" s="125" t="n"/>
      <c r="AI379" s="5" t="n"/>
      <c r="AJ379" s="125" t="n"/>
      <c r="AK379" s="125" t="n"/>
    </row>
    <row r="380"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125" t="n"/>
      <c r="AH380" s="125" t="n"/>
      <c r="AI380" s="5" t="n"/>
      <c r="AJ380" s="125" t="n"/>
      <c r="AK380" s="125" t="n"/>
    </row>
    <row r="381"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125" t="n"/>
      <c r="AH381" s="125" t="n"/>
      <c r="AI381" s="5" t="n"/>
      <c r="AJ381" s="125" t="n"/>
      <c r="AK381" s="125" t="n"/>
    </row>
    <row r="382"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125" t="n"/>
      <c r="AH382" s="125" t="n"/>
      <c r="AI382" s="5" t="n"/>
      <c r="AJ382" s="125" t="n"/>
      <c r="AK382" s="125" t="n"/>
    </row>
    <row r="383"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125" t="n"/>
      <c r="AH383" s="125" t="n"/>
      <c r="AI383" s="5" t="n"/>
      <c r="AJ383" s="125" t="n"/>
      <c r="AK383" s="125" t="n"/>
    </row>
    <row r="384"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125" t="n"/>
      <c r="AH384" s="125" t="n"/>
      <c r="AI384" s="5" t="n"/>
      <c r="AJ384" s="125" t="n"/>
      <c r="AK384" s="125" t="n"/>
    </row>
    <row r="385"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125" t="n"/>
      <c r="AH385" s="125" t="n"/>
      <c r="AI385" s="5" t="n"/>
      <c r="AJ385" s="125" t="n"/>
      <c r="AK385" s="125" t="n"/>
    </row>
    <row r="386"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125" t="n"/>
      <c r="AH386" s="125" t="n"/>
      <c r="AI386" s="5" t="n"/>
      <c r="AJ386" s="125" t="n"/>
      <c r="AK386" s="125" t="n"/>
    </row>
    <row r="387"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125" t="n"/>
      <c r="AH387" s="125" t="n"/>
      <c r="AI387" s="5" t="n"/>
      <c r="AJ387" s="125" t="n"/>
      <c r="AK387" s="125" t="n"/>
    </row>
    <row r="388"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125" t="n"/>
      <c r="AH388" s="125" t="n"/>
      <c r="AI388" s="5" t="n"/>
      <c r="AJ388" s="125" t="n"/>
      <c r="AK388" s="125" t="n"/>
    </row>
    <row r="389"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125" t="n"/>
      <c r="AH389" s="125" t="n"/>
      <c r="AI389" s="5" t="n"/>
      <c r="AJ389" s="125" t="n"/>
      <c r="AK389" s="125" t="n"/>
    </row>
    <row r="390"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125" t="n"/>
      <c r="AH390" s="125" t="n"/>
      <c r="AI390" s="5" t="n"/>
      <c r="AJ390" s="125" t="n"/>
      <c r="AK390" s="125" t="n"/>
    </row>
    <row r="391"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125" t="n"/>
      <c r="AH391" s="125" t="n"/>
      <c r="AI391" s="5" t="n"/>
      <c r="AJ391" s="125" t="n"/>
      <c r="AK391" s="125" t="n"/>
    </row>
    <row r="392"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125" t="n"/>
      <c r="AH392" s="125" t="n"/>
      <c r="AI392" s="5" t="n"/>
      <c r="AJ392" s="125" t="n"/>
      <c r="AK392" s="125" t="n"/>
    </row>
    <row r="393"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125" t="n"/>
      <c r="AH393" s="125" t="n"/>
      <c r="AI393" s="5" t="n"/>
      <c r="AJ393" s="125" t="n"/>
      <c r="AK393" s="125" t="n"/>
    </row>
    <row r="394"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125" t="n"/>
      <c r="AH394" s="125" t="n"/>
      <c r="AI394" s="5" t="n"/>
      <c r="AJ394" s="125" t="n"/>
      <c r="AK394" s="125" t="n"/>
    </row>
    <row r="395"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125" t="n"/>
      <c r="AH395" s="125" t="n"/>
      <c r="AI395" s="5" t="n"/>
      <c r="AJ395" s="125" t="n"/>
      <c r="AK395" s="125" t="n"/>
    </row>
    <row r="396"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125" t="n"/>
      <c r="AH396" s="125" t="n"/>
      <c r="AI396" s="5" t="n"/>
      <c r="AJ396" s="125" t="n"/>
      <c r="AK396" s="125" t="n"/>
    </row>
    <row r="397"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125" t="n"/>
      <c r="AH397" s="125" t="n"/>
      <c r="AI397" s="5" t="n"/>
      <c r="AJ397" s="125" t="n"/>
      <c r="AK397" s="125" t="n"/>
    </row>
    <row r="398"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125" t="n"/>
      <c r="AH398" s="125" t="n"/>
      <c r="AI398" s="5" t="n"/>
      <c r="AJ398" s="125" t="n"/>
      <c r="AK398" s="125" t="n"/>
    </row>
    <row r="399"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125" t="n"/>
      <c r="AH399" s="125" t="n"/>
      <c r="AI399" s="5" t="n"/>
      <c r="AJ399" s="125" t="n"/>
      <c r="AK399" s="125" t="n"/>
    </row>
    <row r="400"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125" t="n"/>
      <c r="AH400" s="125" t="n"/>
      <c r="AI400" s="5" t="n"/>
      <c r="AJ400" s="125" t="n"/>
      <c r="AK400" s="125" t="n"/>
    </row>
    <row r="401"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125" t="n"/>
      <c r="AH401" s="125" t="n"/>
      <c r="AI401" s="5" t="n"/>
      <c r="AJ401" s="125" t="n"/>
      <c r="AK401" s="125" t="n"/>
    </row>
    <row r="402"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125" t="n"/>
      <c r="AH402" s="125" t="n"/>
      <c r="AI402" s="5" t="n"/>
      <c r="AJ402" s="125" t="n"/>
      <c r="AK402" s="125" t="n"/>
    </row>
    <row r="403"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125" t="n"/>
      <c r="AH403" s="125" t="n"/>
      <c r="AI403" s="5" t="n"/>
      <c r="AJ403" s="125" t="n"/>
      <c r="AK403" s="125" t="n"/>
    </row>
    <row r="404"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125" t="n"/>
      <c r="AH404" s="125" t="n"/>
      <c r="AI404" s="5" t="n"/>
      <c r="AJ404" s="125" t="n"/>
      <c r="AK404" s="125" t="n"/>
    </row>
    <row r="405"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125" t="n"/>
      <c r="AH405" s="125" t="n"/>
      <c r="AI405" s="5" t="n"/>
      <c r="AJ405" s="125" t="n"/>
      <c r="AK405" s="125" t="n"/>
    </row>
    <row r="406"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125" t="n"/>
      <c r="AH406" s="125" t="n"/>
      <c r="AI406" s="5" t="n"/>
      <c r="AJ406" s="125" t="n"/>
      <c r="AK406" s="125" t="n"/>
    </row>
    <row r="407"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125" t="n"/>
      <c r="AH407" s="125" t="n"/>
      <c r="AI407" s="5" t="n"/>
      <c r="AJ407" s="125" t="n"/>
      <c r="AK407" s="125" t="n"/>
    </row>
    <row r="408"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125" t="n"/>
      <c r="AH408" s="125" t="n"/>
      <c r="AI408" s="5" t="n"/>
      <c r="AJ408" s="125" t="n"/>
      <c r="AK408" s="125" t="n"/>
    </row>
    <row r="409"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125" t="n"/>
      <c r="AH409" s="125" t="n"/>
      <c r="AI409" s="5" t="n"/>
      <c r="AJ409" s="125" t="n"/>
      <c r="AK409" s="125" t="n"/>
    </row>
    <row r="410"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125" t="n"/>
      <c r="AH410" s="125" t="n"/>
      <c r="AI410" s="5" t="n"/>
      <c r="AJ410" s="125" t="n"/>
      <c r="AK410" s="125" t="n"/>
    </row>
    <row r="411"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125" t="n"/>
      <c r="AH411" s="125" t="n"/>
      <c r="AI411" s="5" t="n"/>
      <c r="AJ411" s="125" t="n"/>
      <c r="AK411" s="125" t="n"/>
    </row>
    <row r="412"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125" t="n"/>
      <c r="AH412" s="125" t="n"/>
      <c r="AI412" s="5" t="n"/>
      <c r="AJ412" s="125" t="n"/>
      <c r="AK412" s="125" t="n"/>
    </row>
    <row r="413"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125" t="n"/>
      <c r="AH413" s="125" t="n"/>
      <c r="AI413" s="5" t="n"/>
      <c r="AJ413" s="125" t="n"/>
      <c r="AK413" s="125" t="n"/>
    </row>
    <row r="414"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125" t="n"/>
      <c r="AH414" s="125" t="n"/>
      <c r="AI414" s="5" t="n"/>
      <c r="AJ414" s="125" t="n"/>
      <c r="AK414" s="125" t="n"/>
    </row>
    <row r="415"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125" t="n"/>
      <c r="AH415" s="125" t="n"/>
      <c r="AI415" s="5" t="n"/>
      <c r="AJ415" s="125" t="n"/>
      <c r="AK415" s="125" t="n"/>
    </row>
    <row r="416"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125" t="n"/>
      <c r="AH416" s="125" t="n"/>
      <c r="AI416" s="5" t="n"/>
      <c r="AJ416" s="125" t="n"/>
      <c r="AK416" s="125" t="n"/>
    </row>
    <row r="417"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125" t="n"/>
      <c r="AH417" s="125" t="n"/>
      <c r="AI417" s="5" t="n"/>
      <c r="AJ417" s="125" t="n"/>
      <c r="AK417" s="125" t="n"/>
    </row>
    <row r="418"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125" t="n"/>
      <c r="AH418" s="125" t="n"/>
      <c r="AI418" s="5" t="n"/>
      <c r="AJ418" s="125" t="n"/>
      <c r="AK418" s="125" t="n"/>
    </row>
    <row r="419"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125" t="n"/>
      <c r="AH419" s="125" t="n"/>
      <c r="AI419" s="5" t="n"/>
      <c r="AJ419" s="125" t="n"/>
      <c r="AK419" s="125" t="n"/>
    </row>
    <row r="420"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125" t="n"/>
      <c r="AH420" s="125" t="n"/>
      <c r="AI420" s="5" t="n"/>
      <c r="AJ420" s="125" t="n"/>
      <c r="AK420" s="125" t="n"/>
    </row>
    <row r="421"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125" t="n"/>
      <c r="AH421" s="125" t="n"/>
      <c r="AI421" s="5" t="n"/>
      <c r="AJ421" s="125" t="n"/>
      <c r="AK421" s="125" t="n"/>
    </row>
    <row r="422"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125" t="n"/>
      <c r="AH422" s="125" t="n"/>
      <c r="AI422" s="5" t="n"/>
      <c r="AJ422" s="125" t="n"/>
      <c r="AK422" s="125" t="n"/>
    </row>
    <row r="423"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125" t="n"/>
      <c r="AH423" s="125" t="n"/>
      <c r="AI423" s="5" t="n"/>
      <c r="AJ423" s="125" t="n"/>
      <c r="AK423" s="125" t="n"/>
    </row>
    <row r="424"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125" t="n"/>
      <c r="AH424" s="125" t="n"/>
      <c r="AI424" s="5" t="n"/>
      <c r="AJ424" s="125" t="n"/>
      <c r="AK424" s="125" t="n"/>
    </row>
    <row r="425"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125" t="n"/>
      <c r="AH425" s="125" t="n"/>
      <c r="AI425" s="5" t="n"/>
      <c r="AJ425" s="125" t="n"/>
      <c r="AK425" s="125" t="n"/>
    </row>
    <row r="426"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125" t="n"/>
      <c r="AH426" s="125" t="n"/>
      <c r="AI426" s="5" t="n"/>
      <c r="AJ426" s="125" t="n"/>
      <c r="AK426" s="125" t="n"/>
    </row>
    <row r="427"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125" t="n"/>
      <c r="AH427" s="125" t="n"/>
      <c r="AI427" s="5" t="n"/>
      <c r="AJ427" s="125" t="n"/>
      <c r="AK427" s="125" t="n"/>
    </row>
    <row r="428"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125" t="n"/>
      <c r="AH428" s="125" t="n"/>
      <c r="AI428" s="5" t="n"/>
      <c r="AJ428" s="125" t="n"/>
      <c r="AK428" s="125" t="n"/>
    </row>
    <row r="429"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125" t="n"/>
      <c r="AH429" s="125" t="n"/>
      <c r="AI429" s="5" t="n"/>
      <c r="AJ429" s="125" t="n"/>
      <c r="AK429" s="125" t="n"/>
    </row>
    <row r="430"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125" t="n"/>
      <c r="AH430" s="125" t="n"/>
      <c r="AI430" s="5" t="n"/>
      <c r="AJ430" s="125" t="n"/>
      <c r="AK430" s="125" t="n"/>
    </row>
    <row r="431"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125" t="n"/>
      <c r="AH431" s="125" t="n"/>
      <c r="AI431" s="5" t="n"/>
      <c r="AJ431" s="125" t="n"/>
      <c r="AK431" s="125" t="n"/>
    </row>
    <row r="432"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125" t="n"/>
      <c r="AH432" s="125" t="n"/>
      <c r="AI432" s="5" t="n"/>
      <c r="AJ432" s="125" t="n"/>
      <c r="AK432" s="125" t="n"/>
    </row>
    <row r="433"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125" t="n"/>
      <c r="AH433" s="125" t="n"/>
      <c r="AI433" s="5" t="n"/>
      <c r="AJ433" s="125" t="n"/>
      <c r="AK433" s="125" t="n"/>
    </row>
    <row r="434"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125" t="n"/>
      <c r="AH434" s="125" t="n"/>
      <c r="AI434" s="5" t="n"/>
      <c r="AJ434" s="125" t="n"/>
      <c r="AK434" s="125" t="n"/>
    </row>
    <row r="435"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125" t="n"/>
      <c r="AH435" s="125" t="n"/>
      <c r="AI435" s="5" t="n"/>
      <c r="AJ435" s="125" t="n"/>
      <c r="AK435" s="125" t="n"/>
    </row>
    <row r="436"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125" t="n"/>
      <c r="AH436" s="125" t="n"/>
      <c r="AI436" s="5" t="n"/>
      <c r="AJ436" s="125" t="n"/>
      <c r="AK436" s="125" t="n"/>
    </row>
    <row r="437"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125" t="n"/>
      <c r="AH437" s="125" t="n"/>
      <c r="AI437" s="5" t="n"/>
      <c r="AJ437" s="125" t="n"/>
      <c r="AK437" s="125" t="n"/>
    </row>
    <row r="438"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125" t="n"/>
      <c r="AH438" s="125" t="n"/>
      <c r="AI438" s="5" t="n"/>
      <c r="AJ438" s="125" t="n"/>
      <c r="AK438" s="125" t="n"/>
    </row>
    <row r="439"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125" t="n"/>
      <c r="AH439" s="125" t="n"/>
      <c r="AI439" s="5" t="n"/>
      <c r="AJ439" s="125" t="n"/>
      <c r="AK439" s="125" t="n"/>
    </row>
    <row r="440"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125" t="n"/>
      <c r="AH440" s="125" t="n"/>
      <c r="AI440" s="5" t="n"/>
      <c r="AJ440" s="125" t="n"/>
      <c r="AK440" s="125" t="n"/>
    </row>
    <row r="441"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125" t="n"/>
      <c r="AH441" s="125" t="n"/>
      <c r="AI441" s="5" t="n"/>
      <c r="AJ441" s="125" t="n"/>
      <c r="AK441" s="125" t="n"/>
    </row>
    <row r="442"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125" t="n"/>
      <c r="AH442" s="125" t="n"/>
      <c r="AI442" s="5" t="n"/>
      <c r="AJ442" s="125" t="n"/>
      <c r="AK442" s="125" t="n"/>
    </row>
    <row r="443"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125" t="n"/>
      <c r="AH443" s="125" t="n"/>
      <c r="AI443" s="5" t="n"/>
      <c r="AJ443" s="125" t="n"/>
      <c r="AK443" s="125" t="n"/>
    </row>
    <row r="444"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125" t="n"/>
      <c r="AH444" s="125" t="n"/>
      <c r="AI444" s="5" t="n"/>
      <c r="AJ444" s="125" t="n"/>
      <c r="AK444" s="125" t="n"/>
    </row>
    <row r="445"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125" t="n"/>
      <c r="AH445" s="125" t="n"/>
      <c r="AI445" s="5" t="n"/>
      <c r="AJ445" s="125" t="n"/>
      <c r="AK445" s="125" t="n"/>
    </row>
    <row r="446"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125" t="n"/>
      <c r="AH446" s="125" t="n"/>
      <c r="AI446" s="5" t="n"/>
      <c r="AJ446" s="125" t="n"/>
      <c r="AK446" s="125" t="n"/>
    </row>
    <row r="447"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125" t="n"/>
      <c r="AH447" s="125" t="n"/>
      <c r="AI447" s="5" t="n"/>
      <c r="AJ447" s="125" t="n"/>
      <c r="AK447" s="125" t="n"/>
    </row>
    <row r="448"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125" t="n"/>
      <c r="AH448" s="125" t="n"/>
      <c r="AI448" s="5" t="n"/>
      <c r="AJ448" s="125" t="n"/>
      <c r="AK448" s="125" t="n"/>
    </row>
    <row r="449"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125" t="n"/>
      <c r="AH449" s="125" t="n"/>
      <c r="AI449" s="5" t="n"/>
      <c r="AJ449" s="125" t="n"/>
      <c r="AK449" s="125" t="n"/>
    </row>
    <row r="450"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125" t="n"/>
      <c r="AH450" s="125" t="n"/>
      <c r="AI450" s="5" t="n"/>
      <c r="AJ450" s="125" t="n"/>
      <c r="AK450" s="125" t="n"/>
    </row>
    <row r="451"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125" t="n"/>
      <c r="AH451" s="125" t="n"/>
      <c r="AI451" s="5" t="n"/>
      <c r="AJ451" s="125" t="n"/>
      <c r="AK451" s="125" t="n"/>
    </row>
    <row r="452"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125" t="n"/>
      <c r="AH452" s="125" t="n"/>
      <c r="AI452" s="5" t="n"/>
      <c r="AJ452" s="125" t="n"/>
      <c r="AK452" s="125" t="n"/>
    </row>
    <row r="453"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125" t="n"/>
      <c r="AH453" s="125" t="n"/>
      <c r="AI453" s="5" t="n"/>
      <c r="AJ453" s="125" t="n"/>
      <c r="AK453" s="125" t="n"/>
    </row>
    <row r="454"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125" t="n"/>
      <c r="AH454" s="125" t="n"/>
      <c r="AI454" s="5" t="n"/>
      <c r="AJ454" s="125" t="n"/>
      <c r="AK454" s="125" t="n"/>
    </row>
    <row r="455"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125" t="n"/>
      <c r="AH455" s="125" t="n"/>
      <c r="AI455" s="5" t="n"/>
      <c r="AJ455" s="125" t="n"/>
      <c r="AK455" s="125" t="n"/>
    </row>
    <row r="456"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125" t="n"/>
      <c r="AH456" s="125" t="n"/>
      <c r="AI456" s="5" t="n"/>
      <c r="AJ456" s="125" t="n"/>
      <c r="AK456" s="125" t="n"/>
    </row>
    <row r="457"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125" t="n"/>
      <c r="AH457" s="125" t="n"/>
      <c r="AI457" s="5" t="n"/>
      <c r="AJ457" s="125" t="n"/>
      <c r="AK457" s="125" t="n"/>
    </row>
    <row r="458"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125" t="n"/>
      <c r="AH458" s="125" t="n"/>
      <c r="AI458" s="5" t="n"/>
      <c r="AJ458" s="125" t="n"/>
      <c r="AK458" s="125" t="n"/>
    </row>
    <row r="459"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125" t="n"/>
      <c r="AH459" s="125" t="n"/>
      <c r="AI459" s="5" t="n"/>
      <c r="AJ459" s="125" t="n"/>
      <c r="AK459" s="125" t="n"/>
    </row>
    <row r="460"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125" t="n"/>
      <c r="AH460" s="125" t="n"/>
      <c r="AI460" s="5" t="n"/>
      <c r="AJ460" s="125" t="n"/>
      <c r="AK460" s="125" t="n"/>
    </row>
    <row r="461"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125" t="n"/>
      <c r="AH461" s="125" t="n"/>
      <c r="AI461" s="5" t="n"/>
      <c r="AJ461" s="125" t="n"/>
      <c r="AK461" s="125" t="n"/>
    </row>
    <row r="462"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125" t="n"/>
      <c r="AH462" s="125" t="n"/>
      <c r="AI462" s="5" t="n"/>
      <c r="AJ462" s="125" t="n"/>
      <c r="AK462" s="125" t="n"/>
    </row>
    <row r="463"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125" t="n"/>
      <c r="AH463" s="125" t="n"/>
      <c r="AI463" s="5" t="n"/>
      <c r="AJ463" s="125" t="n"/>
      <c r="AK463" s="125" t="n"/>
    </row>
    <row r="464"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125" t="n"/>
      <c r="AH464" s="125" t="n"/>
      <c r="AI464" s="5" t="n"/>
      <c r="AJ464" s="125" t="n"/>
      <c r="AK464" s="125" t="n"/>
    </row>
    <row r="465"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125" t="n"/>
      <c r="AH465" s="125" t="n"/>
      <c r="AI465" s="5" t="n"/>
      <c r="AJ465" s="125" t="n"/>
      <c r="AK465" s="125" t="n"/>
    </row>
    <row r="466"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125" t="n"/>
      <c r="AH466" s="125" t="n"/>
      <c r="AI466" s="5" t="n"/>
      <c r="AJ466" s="125" t="n"/>
      <c r="AK466" s="125" t="n"/>
    </row>
    <row r="467"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125" t="n"/>
      <c r="AH467" s="125" t="n"/>
      <c r="AI467" s="5" t="n"/>
      <c r="AJ467" s="125" t="n"/>
      <c r="AK467" s="125" t="n"/>
    </row>
    <row r="468"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125" t="n"/>
      <c r="AH468" s="125" t="n"/>
      <c r="AI468" s="5" t="n"/>
      <c r="AJ468" s="125" t="n"/>
      <c r="AK468" s="125" t="n"/>
    </row>
    <row r="469"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125" t="n"/>
      <c r="AH469" s="125" t="n"/>
      <c r="AI469" s="5" t="n"/>
      <c r="AJ469" s="125" t="n"/>
      <c r="AK469" s="125" t="n"/>
    </row>
    <row r="470"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125" t="n"/>
      <c r="AH470" s="125" t="n"/>
      <c r="AI470" s="5" t="n"/>
      <c r="AJ470" s="125" t="n"/>
      <c r="AK470" s="125" t="n"/>
    </row>
    <row r="471"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125" t="n"/>
      <c r="AH471" s="125" t="n"/>
      <c r="AI471" s="5" t="n"/>
      <c r="AJ471" s="125" t="n"/>
      <c r="AK471" s="125" t="n"/>
    </row>
    <row r="472"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125" t="n"/>
      <c r="AH472" s="125" t="n"/>
      <c r="AI472" s="5" t="n"/>
      <c r="AJ472" s="125" t="n"/>
      <c r="AK472" s="125" t="n"/>
    </row>
    <row r="473"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125" t="n"/>
      <c r="AH473" s="125" t="n"/>
      <c r="AI473" s="5" t="n"/>
      <c r="AJ473" s="125" t="n"/>
      <c r="AK473" s="125" t="n"/>
    </row>
    <row r="474"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125" t="n"/>
      <c r="AH474" s="125" t="n"/>
      <c r="AI474" s="5" t="n"/>
      <c r="AJ474" s="125" t="n"/>
      <c r="AK474" s="125" t="n"/>
    </row>
    <row r="475"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125" t="n"/>
      <c r="AH475" s="125" t="n"/>
      <c r="AI475" s="5" t="n"/>
      <c r="AJ475" s="125" t="n"/>
      <c r="AK475" s="125" t="n"/>
    </row>
    <row r="476"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125" t="n"/>
      <c r="AH476" s="125" t="n"/>
      <c r="AI476" s="5" t="n"/>
      <c r="AJ476" s="125" t="n"/>
      <c r="AK476" s="125" t="n"/>
    </row>
    <row r="477"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125" t="n"/>
      <c r="AH477" s="125" t="n"/>
      <c r="AI477" s="5" t="n"/>
      <c r="AJ477" s="125" t="n"/>
      <c r="AK477" s="125" t="n"/>
    </row>
    <row r="478"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125" t="n"/>
      <c r="AH478" s="125" t="n"/>
      <c r="AI478" s="5" t="n"/>
      <c r="AJ478" s="125" t="n"/>
      <c r="AK478" s="125" t="n"/>
    </row>
    <row r="479"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125" t="n"/>
      <c r="AH479" s="125" t="n"/>
      <c r="AI479" s="5" t="n"/>
      <c r="AJ479" s="125" t="n"/>
      <c r="AK479" s="125" t="n"/>
    </row>
    <row r="480"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125" t="n"/>
      <c r="AH480" s="125" t="n"/>
      <c r="AI480" s="5" t="n"/>
      <c r="AJ480" s="125" t="n"/>
      <c r="AK480" s="125" t="n"/>
    </row>
    <row r="481"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125" t="n"/>
      <c r="AH481" s="125" t="n"/>
      <c r="AI481" s="5" t="n"/>
      <c r="AJ481" s="125" t="n"/>
      <c r="AK481" s="125" t="n"/>
    </row>
    <row r="482"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125" t="n"/>
      <c r="AH482" s="125" t="n"/>
      <c r="AI482" s="5" t="n"/>
      <c r="AJ482" s="125" t="n"/>
      <c r="AK482" s="125" t="n"/>
    </row>
    <row r="483"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125" t="n"/>
      <c r="AH483" s="125" t="n"/>
      <c r="AI483" s="5" t="n"/>
      <c r="AJ483" s="125" t="n"/>
      <c r="AK483" s="125" t="n"/>
    </row>
    <row r="484"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125" t="n"/>
      <c r="AH484" s="125" t="n"/>
      <c r="AI484" s="5" t="n"/>
      <c r="AJ484" s="125" t="n"/>
      <c r="AK484" s="125" t="n"/>
    </row>
    <row r="485"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125" t="n"/>
      <c r="AH485" s="125" t="n"/>
      <c r="AI485" s="5" t="n"/>
      <c r="AJ485" s="125" t="n"/>
      <c r="AK485" s="125" t="n"/>
    </row>
    <row r="486"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125" t="n"/>
      <c r="AH486" s="125" t="n"/>
      <c r="AI486" s="5" t="n"/>
      <c r="AJ486" s="125" t="n"/>
      <c r="AK486" s="125" t="n"/>
    </row>
    <row r="487"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125" t="n"/>
      <c r="AH487" s="125" t="n"/>
      <c r="AI487" s="5" t="n"/>
      <c r="AJ487" s="125" t="n"/>
      <c r="AK487" s="125" t="n"/>
    </row>
    <row r="488"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125" t="n"/>
      <c r="AH488" s="125" t="n"/>
      <c r="AI488" s="5" t="n"/>
      <c r="AJ488" s="125" t="n"/>
      <c r="AK488" s="125" t="n"/>
    </row>
    <row r="489"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125" t="n"/>
      <c r="AH489" s="125" t="n"/>
      <c r="AI489" s="5" t="n"/>
      <c r="AJ489" s="125" t="n"/>
      <c r="AK489" s="125" t="n"/>
    </row>
    <row r="490"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125" t="n"/>
      <c r="AH490" s="125" t="n"/>
      <c r="AI490" s="5" t="n"/>
      <c r="AJ490" s="125" t="n"/>
      <c r="AK490" s="125" t="n"/>
    </row>
    <row r="491"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125" t="n"/>
      <c r="AH491" s="125" t="n"/>
      <c r="AI491" s="5" t="n"/>
      <c r="AJ491" s="125" t="n"/>
      <c r="AK491" s="125" t="n"/>
    </row>
    <row r="492"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125" t="n"/>
      <c r="AH492" s="125" t="n"/>
      <c r="AI492" s="5" t="n"/>
      <c r="AJ492" s="125" t="n"/>
      <c r="AK492" s="125" t="n"/>
    </row>
    <row r="493"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125" t="n"/>
      <c r="AH493" s="125" t="n"/>
      <c r="AI493" s="5" t="n"/>
      <c r="AJ493" s="125" t="n"/>
      <c r="AK493" s="125" t="n"/>
    </row>
    <row r="494"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125" t="n"/>
      <c r="AH494" s="125" t="n"/>
      <c r="AI494" s="5" t="n"/>
      <c r="AJ494" s="125" t="n"/>
      <c r="AK494" s="125" t="n"/>
    </row>
    <row r="495"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125" t="n"/>
      <c r="AH495" s="125" t="n"/>
      <c r="AI495" s="5" t="n"/>
      <c r="AJ495" s="125" t="n"/>
      <c r="AK495" s="125" t="n"/>
    </row>
    <row r="496"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125" t="n"/>
      <c r="AH496" s="125" t="n"/>
      <c r="AI496" s="5" t="n"/>
      <c r="AJ496" s="125" t="n"/>
      <c r="AK496" s="125" t="n"/>
    </row>
    <row r="497"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125" t="n"/>
      <c r="AH497" s="125" t="n"/>
      <c r="AI497" s="5" t="n"/>
      <c r="AJ497" s="125" t="n"/>
      <c r="AK497" s="125" t="n"/>
    </row>
    <row r="498"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125" t="n"/>
      <c r="AH498" s="125" t="n"/>
      <c r="AI498" s="5" t="n"/>
      <c r="AJ498" s="125" t="n"/>
      <c r="AK498" s="125" t="n"/>
    </row>
    <row r="499"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125" t="n"/>
      <c r="AH499" s="125" t="n"/>
      <c r="AI499" s="5" t="n"/>
      <c r="AJ499" s="125" t="n"/>
      <c r="AK499" s="125" t="n"/>
    </row>
    <row r="500"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125" t="n"/>
      <c r="AH500" s="125" t="n"/>
      <c r="AI500" s="5" t="n"/>
      <c r="AJ500" s="125" t="n"/>
      <c r="AK500" s="125" t="n"/>
    </row>
    <row r="501"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125" t="n"/>
      <c r="AH501" s="125" t="n"/>
      <c r="AI501" s="5" t="n"/>
      <c r="AJ501" s="125" t="n"/>
      <c r="AK501" s="125" t="n"/>
    </row>
    <row r="502"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125" t="n"/>
      <c r="AH502" s="125" t="n"/>
      <c r="AI502" s="5" t="n"/>
      <c r="AJ502" s="125" t="n"/>
      <c r="AK502" s="125" t="n"/>
    </row>
    <row r="503"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125" t="n"/>
      <c r="AH503" s="125" t="n"/>
      <c r="AI503" s="5" t="n"/>
      <c r="AJ503" s="125" t="n"/>
      <c r="AK503" s="125" t="n"/>
    </row>
    <row r="504"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125" t="n"/>
      <c r="AH504" s="125" t="n"/>
      <c r="AI504" s="5" t="n"/>
      <c r="AJ504" s="125" t="n"/>
      <c r="AK504" s="125" t="n"/>
    </row>
    <row r="505"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125" t="n"/>
      <c r="AH505" s="125" t="n"/>
      <c r="AI505" s="5" t="n"/>
      <c r="AJ505" s="125" t="n"/>
      <c r="AK505" s="125" t="n"/>
    </row>
    <row r="506"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125" t="n"/>
      <c r="AH506" s="125" t="n"/>
      <c r="AI506" s="5" t="n"/>
      <c r="AJ506" s="125" t="n"/>
      <c r="AK506" s="125" t="n"/>
    </row>
    <row r="507"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125" t="n"/>
      <c r="AH507" s="125" t="n"/>
      <c r="AI507" s="5" t="n"/>
      <c r="AJ507" s="125" t="n"/>
      <c r="AK507" s="125" t="n"/>
    </row>
    <row r="508"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125" t="n"/>
      <c r="AH508" s="125" t="n"/>
      <c r="AI508" s="5" t="n"/>
      <c r="AJ508" s="125" t="n"/>
      <c r="AK508" s="125" t="n"/>
    </row>
    <row r="509"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125" t="n"/>
      <c r="AH509" s="125" t="n"/>
      <c r="AI509" s="5" t="n"/>
      <c r="AJ509" s="125" t="n"/>
      <c r="AK509" s="125" t="n"/>
    </row>
    <row r="510"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125" t="n"/>
      <c r="AH510" s="125" t="n"/>
      <c r="AI510" s="5" t="n"/>
      <c r="AJ510" s="125" t="n"/>
      <c r="AK510" s="125" t="n"/>
    </row>
    <row r="511"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125" t="n"/>
      <c r="AH511" s="125" t="n"/>
      <c r="AI511" s="5" t="n"/>
      <c r="AJ511" s="125" t="n"/>
      <c r="AK511" s="125" t="n"/>
    </row>
    <row r="512"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125" t="n"/>
      <c r="AH512" s="125" t="n"/>
      <c r="AI512" s="5" t="n"/>
      <c r="AJ512" s="125" t="n"/>
      <c r="AK512" s="125" t="n"/>
    </row>
    <row r="513"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125" t="n"/>
      <c r="AH513" s="125" t="n"/>
      <c r="AI513" s="5" t="n"/>
      <c r="AJ513" s="125" t="n"/>
      <c r="AK513" s="125" t="n"/>
    </row>
    <row r="514"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125" t="n"/>
      <c r="AH514" s="125" t="n"/>
      <c r="AI514" s="5" t="n"/>
      <c r="AJ514" s="125" t="n"/>
      <c r="AK514" s="125" t="n"/>
    </row>
    <row r="515"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125" t="n"/>
      <c r="AH515" s="125" t="n"/>
      <c r="AI515" s="5" t="n"/>
      <c r="AJ515" s="125" t="n"/>
      <c r="AK515" s="125" t="n"/>
    </row>
    <row r="516"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125" t="n"/>
      <c r="AH516" s="125" t="n"/>
      <c r="AI516" s="5" t="n"/>
      <c r="AJ516" s="125" t="n"/>
      <c r="AK516" s="125" t="n"/>
    </row>
    <row r="517"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125" t="n"/>
      <c r="AH517" s="125" t="n"/>
      <c r="AI517" s="5" t="n"/>
      <c r="AJ517" s="125" t="n"/>
      <c r="AK517" s="125" t="n"/>
    </row>
    <row r="518"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125" t="n"/>
      <c r="AH518" s="125" t="n"/>
      <c r="AI518" s="5" t="n"/>
      <c r="AJ518" s="125" t="n"/>
      <c r="AK518" s="125" t="n"/>
    </row>
    <row r="519"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125" t="n"/>
      <c r="AH519" s="125" t="n"/>
      <c r="AI519" s="5" t="n"/>
      <c r="AJ519" s="125" t="n"/>
      <c r="AK519" s="125" t="n"/>
    </row>
    <row r="520"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125" t="n"/>
      <c r="AH520" s="125" t="n"/>
      <c r="AI520" s="5" t="n"/>
      <c r="AJ520" s="125" t="n"/>
      <c r="AK520" s="125" t="n"/>
    </row>
    <row r="521"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125" t="n"/>
      <c r="AH521" s="125" t="n"/>
      <c r="AI521" s="5" t="n"/>
      <c r="AJ521" s="125" t="n"/>
      <c r="AK521" s="125" t="n"/>
    </row>
    <row r="522"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125" t="n"/>
      <c r="AH522" s="125" t="n"/>
      <c r="AI522" s="5" t="n"/>
      <c r="AJ522" s="125" t="n"/>
      <c r="AK522" s="125" t="n"/>
    </row>
    <row r="523"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125" t="n"/>
      <c r="AH523" s="125" t="n"/>
      <c r="AI523" s="5" t="n"/>
      <c r="AJ523" s="125" t="n"/>
      <c r="AK523" s="125" t="n"/>
    </row>
    <row r="524"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125" t="n"/>
      <c r="AH524" s="125" t="n"/>
      <c r="AI524" s="5" t="n"/>
      <c r="AJ524" s="125" t="n"/>
      <c r="AK524" s="125" t="n"/>
    </row>
    <row r="525"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125" t="n"/>
      <c r="AH525" s="125" t="n"/>
      <c r="AI525" s="5" t="n"/>
      <c r="AJ525" s="125" t="n"/>
      <c r="AK525" s="125" t="n"/>
    </row>
    <row r="526"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125" t="n"/>
      <c r="AH526" s="125" t="n"/>
      <c r="AI526" s="5" t="n"/>
      <c r="AJ526" s="125" t="n"/>
      <c r="AK526" s="125" t="n"/>
    </row>
    <row r="527"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125" t="n"/>
      <c r="AH527" s="125" t="n"/>
      <c r="AI527" s="5" t="n"/>
      <c r="AJ527" s="125" t="n"/>
      <c r="AK527" s="125" t="n"/>
    </row>
    <row r="528"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125" t="n"/>
      <c r="AH528" s="125" t="n"/>
      <c r="AI528" s="5" t="n"/>
      <c r="AJ528" s="125" t="n"/>
      <c r="AK528" s="125" t="n"/>
    </row>
    <row r="529"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125" t="n"/>
      <c r="AH529" s="125" t="n"/>
      <c r="AI529" s="5" t="n"/>
      <c r="AJ529" s="125" t="n"/>
      <c r="AK529" s="125" t="n"/>
    </row>
    <row r="530"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125" t="n"/>
      <c r="AH530" s="125" t="n"/>
      <c r="AI530" s="5" t="n"/>
      <c r="AJ530" s="125" t="n"/>
      <c r="AK530" s="125" t="n"/>
    </row>
    <row r="531"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125" t="n"/>
      <c r="AH531" s="125" t="n"/>
      <c r="AI531" s="5" t="n"/>
      <c r="AJ531" s="125" t="n"/>
      <c r="AK531" s="125" t="n"/>
    </row>
    <row r="532"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125" t="n"/>
      <c r="AH532" s="125" t="n"/>
      <c r="AI532" s="5" t="n"/>
      <c r="AJ532" s="125" t="n"/>
      <c r="AK532" s="125" t="n"/>
    </row>
    <row r="533"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125" t="n"/>
      <c r="AH533" s="125" t="n"/>
      <c r="AI533" s="5" t="n"/>
      <c r="AJ533" s="125" t="n"/>
      <c r="AK533" s="125" t="n"/>
    </row>
    <row r="534"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125" t="n"/>
      <c r="AH534" s="125" t="n"/>
      <c r="AI534" s="5" t="n"/>
      <c r="AJ534" s="125" t="n"/>
      <c r="AK534" s="125" t="n"/>
    </row>
    <row r="535"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125" t="n"/>
      <c r="AH535" s="125" t="n"/>
      <c r="AI535" s="5" t="n"/>
      <c r="AJ535" s="125" t="n"/>
      <c r="AK535" s="125" t="n"/>
    </row>
    <row r="536"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125" t="n"/>
      <c r="AH536" s="125" t="n"/>
      <c r="AI536" s="5" t="n"/>
      <c r="AJ536" s="125" t="n"/>
      <c r="AK536" s="125" t="n"/>
    </row>
    <row r="537"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125" t="n"/>
      <c r="AH537" s="125" t="n"/>
      <c r="AI537" s="5" t="n"/>
      <c r="AJ537" s="125" t="n"/>
      <c r="AK537" s="125" t="n"/>
    </row>
    <row r="538"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125" t="n"/>
      <c r="AH538" s="125" t="n"/>
      <c r="AI538" s="5" t="n"/>
      <c r="AJ538" s="125" t="n"/>
      <c r="AK538" s="125" t="n"/>
    </row>
    <row r="539"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125" t="n"/>
      <c r="AH539" s="125" t="n"/>
      <c r="AI539" s="5" t="n"/>
      <c r="AJ539" s="125" t="n"/>
      <c r="AK539" s="125" t="n"/>
    </row>
    <row r="540"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125" t="n"/>
      <c r="AH540" s="125" t="n"/>
      <c r="AI540" s="5" t="n"/>
      <c r="AJ540" s="125" t="n"/>
      <c r="AK540" s="125" t="n"/>
    </row>
    <row r="541"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125" t="n"/>
      <c r="AH541" s="125" t="n"/>
      <c r="AI541" s="5" t="n"/>
      <c r="AJ541" s="125" t="n"/>
      <c r="AK541" s="125" t="n"/>
    </row>
    <row r="542"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125" t="n"/>
      <c r="AH542" s="125" t="n"/>
      <c r="AI542" s="5" t="n"/>
      <c r="AJ542" s="125" t="n"/>
      <c r="AK542" s="125" t="n"/>
    </row>
    <row r="543"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125" t="n"/>
      <c r="AH543" s="125" t="n"/>
      <c r="AI543" s="5" t="n"/>
      <c r="AJ543" s="125" t="n"/>
      <c r="AK543" s="125" t="n"/>
    </row>
    <row r="544"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125" t="n"/>
      <c r="AH544" s="125" t="n"/>
      <c r="AI544" s="5" t="n"/>
      <c r="AJ544" s="125" t="n"/>
      <c r="AK544" s="125" t="n"/>
    </row>
    <row r="545"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125" t="n"/>
      <c r="AH545" s="125" t="n"/>
      <c r="AI545" s="5" t="n"/>
      <c r="AJ545" s="125" t="n"/>
      <c r="AK545" s="125" t="n"/>
    </row>
    <row r="546"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125" t="n"/>
      <c r="AH546" s="125" t="n"/>
      <c r="AI546" s="5" t="n"/>
      <c r="AJ546" s="125" t="n"/>
      <c r="AK546" s="125" t="n"/>
    </row>
    <row r="547"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125" t="n"/>
      <c r="AH547" s="125" t="n"/>
      <c r="AI547" s="5" t="n"/>
      <c r="AJ547" s="125" t="n"/>
      <c r="AK547" s="125" t="n"/>
    </row>
    <row r="548"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125" t="n"/>
      <c r="AH548" s="125" t="n"/>
      <c r="AI548" s="5" t="n"/>
      <c r="AJ548" s="125" t="n"/>
      <c r="AK548" s="125" t="n"/>
    </row>
    <row r="549"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125" t="n"/>
      <c r="AH549" s="125" t="n"/>
      <c r="AI549" s="5" t="n"/>
      <c r="AJ549" s="125" t="n"/>
      <c r="AK549" s="125" t="n"/>
    </row>
    <row r="550"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125" t="n"/>
      <c r="AH550" s="125" t="n"/>
      <c r="AI550" s="5" t="n"/>
      <c r="AJ550" s="125" t="n"/>
      <c r="AK550" s="125" t="n"/>
    </row>
    <row r="551"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125" t="n"/>
      <c r="AH551" s="125" t="n"/>
      <c r="AI551" s="5" t="n"/>
      <c r="AJ551" s="125" t="n"/>
      <c r="AK551" s="125" t="n"/>
    </row>
    <row r="552"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125" t="n"/>
      <c r="AH552" s="125" t="n"/>
      <c r="AI552" s="5" t="n"/>
      <c r="AJ552" s="125" t="n"/>
      <c r="AK552" s="125" t="n"/>
    </row>
    <row r="553"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125" t="n"/>
      <c r="AH553" s="125" t="n"/>
      <c r="AI553" s="5" t="n"/>
      <c r="AJ553" s="125" t="n"/>
      <c r="AK553" s="125" t="n"/>
    </row>
    <row r="554"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125" t="n"/>
      <c r="AH554" s="125" t="n"/>
      <c r="AI554" s="5" t="n"/>
      <c r="AJ554" s="125" t="n"/>
      <c r="AK554" s="125" t="n"/>
    </row>
    <row r="555"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125" t="n"/>
      <c r="AH555" s="125" t="n"/>
      <c r="AI555" s="5" t="n"/>
      <c r="AJ555" s="125" t="n"/>
      <c r="AK555" s="125" t="n"/>
    </row>
    <row r="556"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125" t="n"/>
      <c r="AH556" s="125" t="n"/>
      <c r="AI556" s="5" t="n"/>
      <c r="AJ556" s="125" t="n"/>
      <c r="AK556" s="125" t="n"/>
    </row>
    <row r="557"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125" t="n"/>
      <c r="AH557" s="125" t="n"/>
      <c r="AI557" s="5" t="n"/>
      <c r="AJ557" s="125" t="n"/>
      <c r="AK557" s="125" t="n"/>
    </row>
    <row r="558"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125" t="n"/>
      <c r="AH558" s="125" t="n"/>
      <c r="AI558" s="5" t="n"/>
      <c r="AJ558" s="125" t="n"/>
      <c r="AK558" s="125" t="n"/>
    </row>
    <row r="559"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125" t="n"/>
      <c r="AH559" s="125" t="n"/>
      <c r="AI559" s="5" t="n"/>
      <c r="AJ559" s="125" t="n"/>
      <c r="AK559" s="125" t="n"/>
    </row>
    <row r="560"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125" t="n"/>
      <c r="AH560" s="125" t="n"/>
      <c r="AI560" s="5" t="n"/>
      <c r="AJ560" s="125" t="n"/>
      <c r="AK560" s="125" t="n"/>
    </row>
    <row r="561"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125" t="n"/>
      <c r="AH561" s="125" t="n"/>
      <c r="AI561" s="5" t="n"/>
      <c r="AJ561" s="125" t="n"/>
      <c r="AK561" s="125" t="n"/>
    </row>
    <row r="562"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125" t="n"/>
      <c r="AH562" s="125" t="n"/>
      <c r="AI562" s="5" t="n"/>
      <c r="AJ562" s="125" t="n"/>
      <c r="AK562" s="125" t="n"/>
    </row>
    <row r="563"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125" t="n"/>
      <c r="AH563" s="125" t="n"/>
      <c r="AI563" s="5" t="n"/>
      <c r="AJ563" s="125" t="n"/>
      <c r="AK563" s="125" t="n"/>
    </row>
    <row r="564"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125" t="n"/>
      <c r="AH564" s="125" t="n"/>
      <c r="AI564" s="5" t="n"/>
      <c r="AJ564" s="125" t="n"/>
      <c r="AK564" s="125" t="n"/>
    </row>
    <row r="565"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125" t="n"/>
      <c r="AH565" s="125" t="n"/>
      <c r="AI565" s="5" t="n"/>
      <c r="AJ565" s="125" t="n"/>
      <c r="AK565" s="125" t="n"/>
    </row>
    <row r="566"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125" t="n"/>
      <c r="AH566" s="125" t="n"/>
      <c r="AI566" s="5" t="n"/>
      <c r="AJ566" s="125" t="n"/>
      <c r="AK566" s="125" t="n"/>
    </row>
    <row r="567"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125" t="n"/>
      <c r="AH567" s="125" t="n"/>
      <c r="AI567" s="5" t="n"/>
      <c r="AJ567" s="125" t="n"/>
      <c r="AK567" s="125" t="n"/>
    </row>
    <row r="568"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125" t="n"/>
      <c r="AH568" s="125" t="n"/>
      <c r="AI568" s="5" t="n"/>
      <c r="AJ568" s="125" t="n"/>
      <c r="AK568" s="125" t="n"/>
    </row>
    <row r="569"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125" t="n"/>
      <c r="AH569" s="125" t="n"/>
      <c r="AI569" s="5" t="n"/>
      <c r="AJ569" s="125" t="n"/>
      <c r="AK569" s="125" t="n"/>
    </row>
    <row r="570"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125" t="n"/>
      <c r="AH570" s="125" t="n"/>
      <c r="AI570" s="5" t="n"/>
      <c r="AJ570" s="125" t="n"/>
      <c r="AK570" s="125" t="n"/>
    </row>
    <row r="571"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125" t="n"/>
      <c r="AH571" s="125" t="n"/>
      <c r="AI571" s="5" t="n"/>
      <c r="AJ571" s="125" t="n"/>
      <c r="AK571" s="125" t="n"/>
    </row>
    <row r="572"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125" t="n"/>
      <c r="AH572" s="125" t="n"/>
      <c r="AI572" s="5" t="n"/>
      <c r="AJ572" s="125" t="n"/>
      <c r="AK572" s="125" t="n"/>
    </row>
    <row r="573"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125" t="n"/>
      <c r="AH573" s="125" t="n"/>
      <c r="AI573" s="5" t="n"/>
      <c r="AJ573" s="125" t="n"/>
      <c r="AK573" s="125" t="n"/>
    </row>
    <row r="574"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125" t="n"/>
      <c r="AH574" s="125" t="n"/>
      <c r="AI574" s="5" t="n"/>
      <c r="AJ574" s="125" t="n"/>
      <c r="AK574" s="125" t="n"/>
    </row>
    <row r="575"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125" t="n"/>
      <c r="AH575" s="125" t="n"/>
      <c r="AI575" s="5" t="n"/>
      <c r="AJ575" s="125" t="n"/>
      <c r="AK575" s="125" t="n"/>
    </row>
    <row r="576"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125" t="n"/>
      <c r="AH576" s="125" t="n"/>
      <c r="AI576" s="5" t="n"/>
      <c r="AJ576" s="125" t="n"/>
      <c r="AK576" s="125" t="n"/>
    </row>
    <row r="577"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125" t="n"/>
      <c r="AH577" s="125" t="n"/>
      <c r="AI577" s="5" t="n"/>
      <c r="AJ577" s="125" t="n"/>
      <c r="AK577" s="125" t="n"/>
    </row>
    <row r="578"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125" t="n"/>
      <c r="AH578" s="125" t="n"/>
      <c r="AI578" s="5" t="n"/>
      <c r="AJ578" s="125" t="n"/>
      <c r="AK578" s="125" t="n"/>
    </row>
    <row r="579"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125" t="n"/>
      <c r="AH579" s="125" t="n"/>
      <c r="AI579" s="5" t="n"/>
      <c r="AJ579" s="125" t="n"/>
      <c r="AK579" s="125" t="n"/>
    </row>
    <row r="580"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125" t="n"/>
      <c r="AH580" s="125" t="n"/>
      <c r="AI580" s="5" t="n"/>
      <c r="AJ580" s="125" t="n"/>
      <c r="AK580" s="125" t="n"/>
    </row>
    <row r="581"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125" t="n"/>
      <c r="AH581" s="125" t="n"/>
      <c r="AI581" s="5" t="n"/>
      <c r="AJ581" s="125" t="n"/>
      <c r="AK581" s="125" t="n"/>
    </row>
    <row r="582"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125" t="n"/>
      <c r="AH582" s="125" t="n"/>
      <c r="AI582" s="5" t="n"/>
      <c r="AJ582" s="125" t="n"/>
      <c r="AK582" s="125" t="n"/>
    </row>
    <row r="583"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125" t="n"/>
      <c r="AH583" s="125" t="n"/>
      <c r="AI583" s="5" t="n"/>
      <c r="AJ583" s="125" t="n"/>
      <c r="AK583" s="125" t="n"/>
    </row>
    <row r="584"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125" t="n"/>
      <c r="AH584" s="125" t="n"/>
      <c r="AI584" s="5" t="n"/>
      <c r="AJ584" s="125" t="n"/>
      <c r="AK584" s="125" t="n"/>
    </row>
    <row r="585"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125" t="n"/>
      <c r="AH585" s="125" t="n"/>
      <c r="AI585" s="5" t="n"/>
      <c r="AJ585" s="125" t="n"/>
      <c r="AK585" s="125" t="n"/>
    </row>
    <row r="586"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125" t="n"/>
      <c r="AH586" s="125" t="n"/>
      <c r="AI586" s="5" t="n"/>
      <c r="AJ586" s="125" t="n"/>
      <c r="AK586" s="125" t="n"/>
    </row>
    <row r="587"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125" t="n"/>
      <c r="AH587" s="125" t="n"/>
      <c r="AI587" s="5" t="n"/>
      <c r="AJ587" s="125" t="n"/>
      <c r="AK587" s="125" t="n"/>
    </row>
    <row r="588"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125" t="n"/>
      <c r="AH588" s="125" t="n"/>
      <c r="AI588" s="5" t="n"/>
      <c r="AJ588" s="125" t="n"/>
      <c r="AK588" s="125" t="n"/>
    </row>
    <row r="589"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125" t="n"/>
      <c r="AH589" s="125" t="n"/>
      <c r="AI589" s="5" t="n"/>
      <c r="AJ589" s="125" t="n"/>
      <c r="AK589" s="125" t="n"/>
    </row>
    <row r="590"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125" t="n"/>
      <c r="AH590" s="125" t="n"/>
      <c r="AI590" s="5" t="n"/>
      <c r="AJ590" s="125" t="n"/>
      <c r="AK590" s="125" t="n"/>
    </row>
    <row r="591"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125" t="n"/>
      <c r="AH591" s="125" t="n"/>
      <c r="AI591" s="5" t="n"/>
      <c r="AJ591" s="125" t="n"/>
      <c r="AK591" s="125" t="n"/>
    </row>
    <row r="592"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125" t="n"/>
      <c r="AH592" s="125" t="n"/>
      <c r="AI592" s="5" t="n"/>
      <c r="AJ592" s="125" t="n"/>
      <c r="AK592" s="125" t="n"/>
    </row>
    <row r="593"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125" t="n"/>
      <c r="AH593" s="125" t="n"/>
      <c r="AI593" s="5" t="n"/>
      <c r="AJ593" s="125" t="n"/>
      <c r="AK593" s="125" t="n"/>
    </row>
    <row r="594"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125" t="n"/>
      <c r="AH594" s="125" t="n"/>
      <c r="AI594" s="5" t="n"/>
      <c r="AJ594" s="125" t="n"/>
      <c r="AK594" s="125" t="n"/>
    </row>
    <row r="595"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125" t="n"/>
      <c r="AH595" s="125" t="n"/>
      <c r="AI595" s="5" t="n"/>
      <c r="AJ595" s="125" t="n"/>
      <c r="AK595" s="125" t="n"/>
    </row>
    <row r="596"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125" t="n"/>
      <c r="AH596" s="125" t="n"/>
      <c r="AI596" s="5" t="n"/>
      <c r="AJ596" s="125" t="n"/>
      <c r="AK596" s="125" t="n"/>
    </row>
    <row r="597"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125" t="n"/>
      <c r="AH597" s="125" t="n"/>
      <c r="AI597" s="5" t="n"/>
      <c r="AJ597" s="125" t="n"/>
      <c r="AK597" s="125" t="n"/>
    </row>
    <row r="598"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125" t="n"/>
      <c r="AH598" s="125" t="n"/>
      <c r="AI598" s="5" t="n"/>
      <c r="AJ598" s="125" t="n"/>
      <c r="AK598" s="125" t="n"/>
    </row>
    <row r="599"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125" t="n"/>
      <c r="AH599" s="125" t="n"/>
      <c r="AI599" s="5" t="n"/>
      <c r="AJ599" s="125" t="n"/>
      <c r="AK599" s="125" t="n"/>
    </row>
    <row r="600"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125" t="n"/>
      <c r="AH600" s="125" t="n"/>
      <c r="AI600" s="5" t="n"/>
      <c r="AJ600" s="125" t="n"/>
      <c r="AK600" s="125" t="n"/>
    </row>
    <row r="601"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125" t="n"/>
      <c r="AH601" s="125" t="n"/>
      <c r="AI601" s="5" t="n"/>
      <c r="AJ601" s="125" t="n"/>
      <c r="AK601" s="125" t="n"/>
    </row>
    <row r="602"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125" t="n"/>
      <c r="AH602" s="125" t="n"/>
      <c r="AI602" s="5" t="n"/>
      <c r="AJ602" s="125" t="n"/>
      <c r="AK602" s="125" t="n"/>
    </row>
    <row r="603"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125" t="n"/>
      <c r="AH603" s="125" t="n"/>
      <c r="AI603" s="5" t="n"/>
      <c r="AJ603" s="125" t="n"/>
      <c r="AK603" s="125" t="n"/>
    </row>
    <row r="604"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125" t="n"/>
      <c r="AH604" s="125" t="n"/>
      <c r="AI604" s="5" t="n"/>
      <c r="AJ604" s="125" t="n"/>
      <c r="AK604" s="125" t="n"/>
    </row>
    <row r="605"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125" t="n"/>
      <c r="AH605" s="125" t="n"/>
      <c r="AI605" s="5" t="n"/>
      <c r="AJ605" s="125" t="n"/>
      <c r="AK605" s="125" t="n"/>
    </row>
    <row r="606"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125" t="n"/>
      <c r="AH606" s="125" t="n"/>
      <c r="AI606" s="5" t="n"/>
      <c r="AJ606" s="125" t="n"/>
      <c r="AK606" s="125" t="n"/>
    </row>
    <row r="607"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125" t="n"/>
      <c r="AH607" s="125" t="n"/>
      <c r="AI607" s="5" t="n"/>
      <c r="AJ607" s="125" t="n"/>
      <c r="AK607" s="125" t="n"/>
    </row>
    <row r="608"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125" t="n"/>
      <c r="AH608" s="125" t="n"/>
      <c r="AI608" s="5" t="n"/>
      <c r="AJ608" s="125" t="n"/>
      <c r="AK608" s="125" t="n"/>
    </row>
    <row r="609"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125" t="n"/>
      <c r="AH609" s="125" t="n"/>
      <c r="AI609" s="5" t="n"/>
      <c r="AJ609" s="125" t="n"/>
      <c r="AK609" s="125" t="n"/>
    </row>
    <row r="610"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125" t="n"/>
      <c r="AH610" s="125" t="n"/>
      <c r="AI610" s="5" t="n"/>
      <c r="AJ610" s="125" t="n"/>
      <c r="AK610" s="125" t="n"/>
    </row>
    <row r="611"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125" t="n"/>
      <c r="AH611" s="125" t="n"/>
      <c r="AI611" s="5" t="n"/>
      <c r="AJ611" s="125" t="n"/>
      <c r="AK611" s="125" t="n"/>
    </row>
    <row r="612"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125" t="n"/>
      <c r="AH612" s="125" t="n"/>
      <c r="AI612" s="5" t="n"/>
      <c r="AJ612" s="125" t="n"/>
      <c r="AK612" s="125" t="n"/>
    </row>
    <row r="613"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125" t="n"/>
      <c r="AH613" s="125" t="n"/>
      <c r="AI613" s="5" t="n"/>
      <c r="AJ613" s="125" t="n"/>
      <c r="AK613" s="125" t="n"/>
    </row>
    <row r="614"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125" t="n"/>
      <c r="AH614" s="125" t="n"/>
      <c r="AI614" s="5" t="n"/>
      <c r="AJ614" s="125" t="n"/>
      <c r="AK614" s="125" t="n"/>
    </row>
    <row r="615"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125" t="n"/>
      <c r="AH615" s="125" t="n"/>
      <c r="AI615" s="5" t="n"/>
      <c r="AJ615" s="125" t="n"/>
      <c r="AK615" s="125" t="n"/>
    </row>
    <row r="616"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125" t="n"/>
      <c r="AH616" s="125" t="n"/>
      <c r="AI616" s="5" t="n"/>
      <c r="AJ616" s="125" t="n"/>
      <c r="AK616" s="125" t="n"/>
    </row>
    <row r="617"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125" t="n"/>
      <c r="AH617" s="125" t="n"/>
      <c r="AI617" s="5" t="n"/>
      <c r="AJ617" s="125" t="n"/>
      <c r="AK617" s="125" t="n"/>
    </row>
    <row r="618"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125" t="n"/>
      <c r="AH618" s="125" t="n"/>
      <c r="AI618" s="5" t="n"/>
      <c r="AJ618" s="125" t="n"/>
      <c r="AK618" s="125" t="n"/>
    </row>
    <row r="619"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125" t="n"/>
      <c r="AH619" s="125" t="n"/>
      <c r="AI619" s="5" t="n"/>
      <c r="AJ619" s="125" t="n"/>
      <c r="AK619" s="125" t="n"/>
    </row>
    <row r="620"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125" t="n"/>
      <c r="AH620" s="125" t="n"/>
      <c r="AI620" s="5" t="n"/>
      <c r="AJ620" s="125" t="n"/>
      <c r="AK620" s="125" t="n"/>
    </row>
    <row r="621"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125" t="n"/>
      <c r="AH621" s="125" t="n"/>
      <c r="AI621" s="5" t="n"/>
      <c r="AJ621" s="125" t="n"/>
      <c r="AK621" s="125" t="n"/>
    </row>
    <row r="622"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125" t="n"/>
      <c r="AH622" s="125" t="n"/>
      <c r="AI622" s="5" t="n"/>
      <c r="AJ622" s="125" t="n"/>
      <c r="AK622" s="125" t="n"/>
    </row>
    <row r="623"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125" t="n"/>
      <c r="AH623" s="125" t="n"/>
      <c r="AI623" s="5" t="n"/>
      <c r="AJ623" s="125" t="n"/>
      <c r="AK623" s="125" t="n"/>
    </row>
    <row r="624"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125" t="n"/>
      <c r="AH624" s="125" t="n"/>
      <c r="AI624" s="5" t="n"/>
      <c r="AJ624" s="125" t="n"/>
      <c r="AK624" s="125" t="n"/>
    </row>
    <row r="625"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125" t="n"/>
      <c r="AH625" s="125" t="n"/>
      <c r="AI625" s="5" t="n"/>
      <c r="AJ625" s="125" t="n"/>
      <c r="AK625" s="125" t="n"/>
    </row>
    <row r="626"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125" t="n"/>
      <c r="AH626" s="125" t="n"/>
      <c r="AI626" s="5" t="n"/>
      <c r="AJ626" s="125" t="n"/>
      <c r="AK626" s="125" t="n"/>
    </row>
    <row r="627"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125" t="n"/>
      <c r="AH627" s="125" t="n"/>
      <c r="AI627" s="5" t="n"/>
      <c r="AJ627" s="125" t="n"/>
      <c r="AK627" s="125" t="n"/>
    </row>
    <row r="628"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125" t="n"/>
      <c r="AH628" s="125" t="n"/>
      <c r="AI628" s="5" t="n"/>
      <c r="AJ628" s="125" t="n"/>
      <c r="AK628" s="125" t="n"/>
    </row>
    <row r="629"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125" t="n"/>
      <c r="AH629" s="125" t="n"/>
      <c r="AI629" s="5" t="n"/>
      <c r="AJ629" s="125" t="n"/>
      <c r="AK629" s="125" t="n"/>
    </row>
    <row r="630"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125" t="n"/>
      <c r="AH630" s="125" t="n"/>
      <c r="AI630" s="5" t="n"/>
      <c r="AJ630" s="125" t="n"/>
      <c r="AK630" s="125" t="n"/>
    </row>
    <row r="631"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125" t="n"/>
      <c r="AH631" s="125" t="n"/>
      <c r="AI631" s="5" t="n"/>
      <c r="AJ631" s="125" t="n"/>
      <c r="AK631" s="125" t="n"/>
    </row>
    <row r="632"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125" t="n"/>
      <c r="AH632" s="125" t="n"/>
      <c r="AI632" s="5" t="n"/>
      <c r="AJ632" s="125" t="n"/>
      <c r="AK632" s="125" t="n"/>
    </row>
    <row r="633"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125" t="n"/>
      <c r="AH633" s="125" t="n"/>
      <c r="AI633" s="5" t="n"/>
      <c r="AJ633" s="125" t="n"/>
      <c r="AK633" s="125" t="n"/>
    </row>
    <row r="634"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125" t="n"/>
      <c r="AH634" s="125" t="n"/>
      <c r="AI634" s="5" t="n"/>
      <c r="AJ634" s="125" t="n"/>
      <c r="AK634" s="125" t="n"/>
    </row>
    <row r="635"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125" t="n"/>
      <c r="AH635" s="125" t="n"/>
      <c r="AI635" s="5" t="n"/>
      <c r="AJ635" s="125" t="n"/>
      <c r="AK635" s="125" t="n"/>
    </row>
    <row r="636"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125" t="n"/>
      <c r="AH636" s="125" t="n"/>
      <c r="AI636" s="5" t="n"/>
      <c r="AJ636" s="125" t="n"/>
      <c r="AK636" s="125" t="n"/>
    </row>
    <row r="637"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125" t="n"/>
      <c r="AH637" s="125" t="n"/>
      <c r="AI637" s="5" t="n"/>
      <c r="AJ637" s="125" t="n"/>
      <c r="AK637" s="125" t="n"/>
    </row>
    <row r="638"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125" t="n"/>
      <c r="AH638" s="125" t="n"/>
      <c r="AI638" s="5" t="n"/>
      <c r="AJ638" s="125" t="n"/>
      <c r="AK638" s="125" t="n"/>
    </row>
    <row r="639"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125" t="n"/>
      <c r="AH639" s="125" t="n"/>
      <c r="AI639" s="5" t="n"/>
      <c r="AJ639" s="125" t="n"/>
      <c r="AK639" s="125" t="n"/>
    </row>
    <row r="640"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125" t="n"/>
      <c r="AH640" s="125" t="n"/>
      <c r="AI640" s="5" t="n"/>
      <c r="AJ640" s="125" t="n"/>
      <c r="AK640" s="125" t="n"/>
    </row>
    <row r="641"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125" t="n"/>
      <c r="AH641" s="125" t="n"/>
      <c r="AI641" s="5" t="n"/>
      <c r="AJ641" s="125" t="n"/>
      <c r="AK641" s="125" t="n"/>
    </row>
    <row r="642"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125" t="n"/>
      <c r="AH642" s="125" t="n"/>
      <c r="AI642" s="5" t="n"/>
      <c r="AJ642" s="125" t="n"/>
      <c r="AK642" s="125" t="n"/>
    </row>
    <row r="643"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125" t="n"/>
      <c r="AH643" s="125" t="n"/>
      <c r="AI643" s="5" t="n"/>
      <c r="AJ643" s="125" t="n"/>
      <c r="AK643" s="125" t="n"/>
    </row>
    <row r="644"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125" t="n"/>
      <c r="AH644" s="125" t="n"/>
      <c r="AI644" s="5" t="n"/>
      <c r="AJ644" s="125" t="n"/>
      <c r="AK644" s="125" t="n"/>
    </row>
    <row r="645"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125" t="n"/>
      <c r="AH645" s="125" t="n"/>
      <c r="AI645" s="5" t="n"/>
      <c r="AJ645" s="125" t="n"/>
      <c r="AK645" s="125" t="n"/>
    </row>
    <row r="646"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125" t="n"/>
      <c r="AH646" s="125" t="n"/>
      <c r="AI646" s="5" t="n"/>
      <c r="AJ646" s="125" t="n"/>
      <c r="AK646" s="125" t="n"/>
    </row>
    <row r="647"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125" t="n"/>
      <c r="AH647" s="125" t="n"/>
      <c r="AI647" s="5" t="n"/>
      <c r="AJ647" s="125" t="n"/>
      <c r="AK647" s="125" t="n"/>
    </row>
    <row r="648"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125" t="n"/>
      <c r="AH648" s="125" t="n"/>
      <c r="AI648" s="5" t="n"/>
      <c r="AJ648" s="125" t="n"/>
      <c r="AK648" s="125" t="n"/>
    </row>
    <row r="649"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125" t="n"/>
      <c r="AH649" s="125" t="n"/>
      <c r="AI649" s="5" t="n"/>
      <c r="AJ649" s="125" t="n"/>
      <c r="AK649" s="125" t="n"/>
    </row>
    <row r="650"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125" t="n"/>
      <c r="AH650" s="125" t="n"/>
      <c r="AI650" s="5" t="n"/>
      <c r="AJ650" s="125" t="n"/>
      <c r="AK650" s="125" t="n"/>
    </row>
    <row r="651"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125" t="n"/>
      <c r="AH651" s="125" t="n"/>
      <c r="AI651" s="5" t="n"/>
      <c r="AJ651" s="125" t="n"/>
      <c r="AK651" s="125" t="n"/>
    </row>
    <row r="652"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125" t="n"/>
      <c r="AH652" s="125" t="n"/>
      <c r="AI652" s="5" t="n"/>
      <c r="AJ652" s="125" t="n"/>
      <c r="AK652" s="125" t="n"/>
    </row>
    <row r="653"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125" t="n"/>
      <c r="AH653" s="125" t="n"/>
      <c r="AI653" s="5" t="n"/>
      <c r="AJ653" s="125" t="n"/>
      <c r="AK653" s="125" t="n"/>
    </row>
    <row r="654"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125" t="n"/>
      <c r="AH654" s="125" t="n"/>
      <c r="AI654" s="5" t="n"/>
      <c r="AJ654" s="125" t="n"/>
      <c r="AK654" s="125" t="n"/>
    </row>
    <row r="655"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125" t="n"/>
      <c r="AH655" s="125" t="n"/>
      <c r="AI655" s="5" t="n"/>
      <c r="AJ655" s="125" t="n"/>
      <c r="AK655" s="125" t="n"/>
    </row>
    <row r="656"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125" t="n"/>
      <c r="AH656" s="125" t="n"/>
      <c r="AI656" s="5" t="n"/>
      <c r="AJ656" s="125" t="n"/>
      <c r="AK656" s="125" t="n"/>
    </row>
    <row r="657"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125" t="n"/>
      <c r="AH657" s="125" t="n"/>
      <c r="AI657" s="5" t="n"/>
      <c r="AJ657" s="125" t="n"/>
      <c r="AK657" s="125" t="n"/>
    </row>
    <row r="658"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125" t="n"/>
      <c r="AH658" s="125" t="n"/>
      <c r="AI658" s="5" t="n"/>
      <c r="AJ658" s="125" t="n"/>
      <c r="AK658" s="125" t="n"/>
    </row>
    <row r="659"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125" t="n"/>
      <c r="AH659" s="125" t="n"/>
      <c r="AI659" s="5" t="n"/>
      <c r="AJ659" s="125" t="n"/>
      <c r="AK659" s="125" t="n"/>
    </row>
    <row r="660"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125" t="n"/>
      <c r="AH660" s="125" t="n"/>
      <c r="AI660" s="5" t="n"/>
      <c r="AJ660" s="125" t="n"/>
      <c r="AK660" s="125" t="n"/>
    </row>
    <row r="661"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125" t="n"/>
      <c r="AH661" s="125" t="n"/>
      <c r="AI661" s="5" t="n"/>
      <c r="AJ661" s="125" t="n"/>
      <c r="AK661" s="125" t="n"/>
    </row>
    <row r="662"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125" t="n"/>
      <c r="AH662" s="125" t="n"/>
      <c r="AI662" s="5" t="n"/>
      <c r="AJ662" s="125" t="n"/>
      <c r="AK662" s="125" t="n"/>
    </row>
    <row r="663"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125" t="n"/>
      <c r="AH663" s="125" t="n"/>
      <c r="AI663" s="5" t="n"/>
      <c r="AJ663" s="125" t="n"/>
      <c r="AK663" s="125" t="n"/>
    </row>
    <row r="664"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125" t="n"/>
      <c r="AH664" s="125" t="n"/>
      <c r="AI664" s="5" t="n"/>
      <c r="AJ664" s="125" t="n"/>
      <c r="AK664" s="125" t="n"/>
    </row>
    <row r="665"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125" t="n"/>
      <c r="AH665" s="125" t="n"/>
      <c r="AI665" s="5" t="n"/>
      <c r="AJ665" s="125" t="n"/>
      <c r="AK665" s="125" t="n"/>
    </row>
    <row r="666"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125" t="n"/>
      <c r="AH666" s="125" t="n"/>
      <c r="AI666" s="5" t="n"/>
      <c r="AJ666" s="125" t="n"/>
      <c r="AK666" s="125" t="n"/>
    </row>
    <row r="667"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125" t="n"/>
      <c r="AH667" s="125" t="n"/>
      <c r="AI667" s="5" t="n"/>
      <c r="AJ667" s="125" t="n"/>
      <c r="AK667" s="125" t="n"/>
    </row>
    <row r="668"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125" t="n"/>
      <c r="AH668" s="125" t="n"/>
      <c r="AI668" s="5" t="n"/>
      <c r="AJ668" s="125" t="n"/>
      <c r="AK668" s="125" t="n"/>
    </row>
    <row r="669"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125" t="n"/>
      <c r="AH669" s="125" t="n"/>
      <c r="AI669" s="5" t="n"/>
      <c r="AJ669" s="125" t="n"/>
      <c r="AK669" s="125" t="n"/>
    </row>
    <row r="670"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125" t="n"/>
      <c r="AH670" s="125" t="n"/>
      <c r="AI670" s="5" t="n"/>
      <c r="AJ670" s="125" t="n"/>
      <c r="AK670" s="125" t="n"/>
    </row>
    <row r="671"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125" t="n"/>
      <c r="AH671" s="125" t="n"/>
      <c r="AI671" s="5" t="n"/>
      <c r="AJ671" s="125" t="n"/>
      <c r="AK671" s="125" t="n"/>
    </row>
    <row r="672"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125" t="n"/>
      <c r="AH672" s="125" t="n"/>
      <c r="AI672" s="5" t="n"/>
      <c r="AJ672" s="125" t="n"/>
      <c r="AK672" s="125" t="n"/>
    </row>
    <row r="673"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125" t="n"/>
      <c r="AH673" s="125" t="n"/>
      <c r="AI673" s="5" t="n"/>
      <c r="AJ673" s="125" t="n"/>
      <c r="AK673" s="125" t="n"/>
    </row>
    <row r="674"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125" t="n"/>
      <c r="AH674" s="125" t="n"/>
      <c r="AI674" s="5" t="n"/>
      <c r="AJ674" s="125" t="n"/>
      <c r="AK674" s="125" t="n"/>
    </row>
    <row r="675"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125" t="n"/>
      <c r="AH675" s="125" t="n"/>
      <c r="AI675" s="5" t="n"/>
      <c r="AJ675" s="125" t="n"/>
      <c r="AK675" s="125" t="n"/>
    </row>
    <row r="676"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125" t="n"/>
      <c r="AH676" s="125" t="n"/>
      <c r="AI676" s="5" t="n"/>
      <c r="AJ676" s="125" t="n"/>
      <c r="AK676" s="125" t="n"/>
    </row>
    <row r="677"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125" t="n"/>
      <c r="AH677" s="125" t="n"/>
      <c r="AI677" s="5" t="n"/>
      <c r="AJ677" s="125" t="n"/>
      <c r="AK677" s="125" t="n"/>
    </row>
    <row r="678"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125" t="n"/>
      <c r="AH678" s="125" t="n"/>
      <c r="AI678" s="5" t="n"/>
      <c r="AJ678" s="125" t="n"/>
      <c r="AK678" s="125" t="n"/>
    </row>
    <row r="679"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125" t="n"/>
      <c r="AH679" s="125" t="n"/>
      <c r="AI679" s="5" t="n"/>
      <c r="AJ679" s="125" t="n"/>
      <c r="AK679" s="125" t="n"/>
    </row>
    <row r="680"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125" t="n"/>
      <c r="AH680" s="125" t="n"/>
      <c r="AI680" s="5" t="n"/>
      <c r="AJ680" s="125" t="n"/>
      <c r="AK680" s="125" t="n"/>
    </row>
    <row r="681"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125" t="n"/>
      <c r="AH681" s="125" t="n"/>
      <c r="AI681" s="5" t="n"/>
      <c r="AJ681" s="125" t="n"/>
      <c r="AK681" s="125" t="n"/>
    </row>
    <row r="682"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125" t="n"/>
      <c r="AH682" s="125" t="n"/>
      <c r="AI682" s="5" t="n"/>
      <c r="AJ682" s="125" t="n"/>
      <c r="AK682" s="125" t="n"/>
    </row>
    <row r="683"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125" t="n"/>
      <c r="AH683" s="125" t="n"/>
      <c r="AI683" s="5" t="n"/>
      <c r="AJ683" s="125" t="n"/>
      <c r="AK683" s="125" t="n"/>
    </row>
    <row r="684"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125" t="n"/>
      <c r="AH684" s="125" t="n"/>
      <c r="AI684" s="5" t="n"/>
      <c r="AJ684" s="125" t="n"/>
      <c r="AK684" s="125" t="n"/>
    </row>
    <row r="685"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125" t="n"/>
      <c r="AH685" s="125" t="n"/>
      <c r="AI685" s="5" t="n"/>
      <c r="AJ685" s="125" t="n"/>
      <c r="AK685" s="125" t="n"/>
    </row>
    <row r="686"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125" t="n"/>
      <c r="AH686" s="125" t="n"/>
      <c r="AI686" s="5" t="n"/>
      <c r="AJ686" s="125" t="n"/>
      <c r="AK686" s="125" t="n"/>
    </row>
    <row r="687"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125" t="n"/>
      <c r="AH687" s="125" t="n"/>
      <c r="AI687" s="5" t="n"/>
      <c r="AJ687" s="125" t="n"/>
      <c r="AK687" s="125" t="n"/>
    </row>
    <row r="688"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125" t="n"/>
      <c r="AH688" s="125" t="n"/>
      <c r="AI688" s="5" t="n"/>
      <c r="AJ688" s="125" t="n"/>
      <c r="AK688" s="125" t="n"/>
    </row>
    <row r="689"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125" t="n"/>
      <c r="AH689" s="125" t="n"/>
      <c r="AI689" s="5" t="n"/>
      <c r="AJ689" s="125" t="n"/>
      <c r="AK689" s="125" t="n"/>
    </row>
    <row r="690"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125" t="n"/>
      <c r="AH690" s="125" t="n"/>
      <c r="AI690" s="5" t="n"/>
      <c r="AJ690" s="125" t="n"/>
      <c r="AK690" s="125" t="n"/>
    </row>
    <row r="691"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125" t="n"/>
      <c r="AH691" s="125" t="n"/>
      <c r="AI691" s="5" t="n"/>
      <c r="AJ691" s="125" t="n"/>
      <c r="AK691" s="125" t="n"/>
    </row>
    <row r="692"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125" t="n"/>
      <c r="AH692" s="125" t="n"/>
      <c r="AI692" s="5" t="n"/>
      <c r="AJ692" s="125" t="n"/>
      <c r="AK692" s="125" t="n"/>
    </row>
    <row r="693"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125" t="n"/>
      <c r="AH693" s="125" t="n"/>
      <c r="AI693" s="5" t="n"/>
      <c r="AJ693" s="125" t="n"/>
      <c r="AK693" s="125" t="n"/>
    </row>
    <row r="694"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125" t="n"/>
      <c r="AH694" s="125" t="n"/>
      <c r="AI694" s="5" t="n"/>
      <c r="AJ694" s="125" t="n"/>
      <c r="AK694" s="125" t="n"/>
    </row>
    <row r="695"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125" t="n"/>
      <c r="AH695" s="125" t="n"/>
      <c r="AI695" s="5" t="n"/>
      <c r="AJ695" s="125" t="n"/>
      <c r="AK695" s="125" t="n"/>
    </row>
    <row r="696"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125" t="n"/>
      <c r="AH696" s="125" t="n"/>
      <c r="AI696" s="5" t="n"/>
      <c r="AJ696" s="125" t="n"/>
      <c r="AK696" s="125" t="n"/>
    </row>
    <row r="697"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125" t="n"/>
      <c r="AH697" s="125" t="n"/>
      <c r="AI697" s="5" t="n"/>
      <c r="AJ697" s="125" t="n"/>
      <c r="AK697" s="125" t="n"/>
    </row>
    <row r="698"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125" t="n"/>
      <c r="AH698" s="125" t="n"/>
      <c r="AI698" s="5" t="n"/>
      <c r="AJ698" s="125" t="n"/>
      <c r="AK698" s="125" t="n"/>
    </row>
    <row r="699"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125" t="n"/>
      <c r="AH699" s="125" t="n"/>
      <c r="AI699" s="5" t="n"/>
      <c r="AJ699" s="125" t="n"/>
      <c r="AK699" s="125" t="n"/>
    </row>
    <row r="700"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125" t="n"/>
      <c r="AH700" s="125" t="n"/>
      <c r="AI700" s="5" t="n"/>
      <c r="AJ700" s="125" t="n"/>
      <c r="AK700" s="125" t="n"/>
    </row>
    <row r="701"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125" t="n"/>
      <c r="AH701" s="125" t="n"/>
      <c r="AI701" s="5" t="n"/>
      <c r="AJ701" s="125" t="n"/>
      <c r="AK701" s="125" t="n"/>
    </row>
    <row r="702"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125" t="n"/>
      <c r="AH702" s="125" t="n"/>
      <c r="AI702" s="5" t="n"/>
      <c r="AJ702" s="125" t="n"/>
      <c r="AK702" s="125" t="n"/>
    </row>
    <row r="703"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125" t="n"/>
      <c r="AH703" s="125" t="n"/>
      <c r="AI703" s="5" t="n"/>
      <c r="AJ703" s="125" t="n"/>
      <c r="AK703" s="125" t="n"/>
    </row>
    <row r="704"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125" t="n"/>
      <c r="AH704" s="125" t="n"/>
      <c r="AI704" s="5" t="n"/>
      <c r="AJ704" s="125" t="n"/>
      <c r="AK704" s="125" t="n"/>
    </row>
    <row r="705"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125" t="n"/>
      <c r="AH705" s="125" t="n"/>
      <c r="AI705" s="5" t="n"/>
      <c r="AJ705" s="125" t="n"/>
      <c r="AK705" s="125" t="n"/>
    </row>
    <row r="706"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125" t="n"/>
      <c r="AH706" s="125" t="n"/>
      <c r="AI706" s="5" t="n"/>
      <c r="AJ706" s="125" t="n"/>
      <c r="AK706" s="125" t="n"/>
    </row>
    <row r="707"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125" t="n"/>
      <c r="AH707" s="125" t="n"/>
      <c r="AI707" s="5" t="n"/>
      <c r="AJ707" s="125" t="n"/>
      <c r="AK707" s="125" t="n"/>
    </row>
    <row r="708"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125" t="n"/>
      <c r="AH708" s="125" t="n"/>
      <c r="AI708" s="5" t="n"/>
      <c r="AJ708" s="125" t="n"/>
      <c r="AK708" s="125" t="n"/>
    </row>
    <row r="709"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125" t="n"/>
      <c r="AH709" s="125" t="n"/>
      <c r="AI709" s="5" t="n"/>
      <c r="AJ709" s="125" t="n"/>
      <c r="AK709" s="125" t="n"/>
    </row>
    <row r="710"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125" t="n"/>
      <c r="AH710" s="125" t="n"/>
      <c r="AI710" s="5" t="n"/>
      <c r="AJ710" s="125" t="n"/>
      <c r="AK710" s="125" t="n"/>
    </row>
    <row r="711"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125" t="n"/>
      <c r="AH711" s="125" t="n"/>
      <c r="AI711" s="5" t="n"/>
      <c r="AJ711" s="125" t="n"/>
      <c r="AK711" s="125" t="n"/>
    </row>
    <row r="712"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125" t="n"/>
      <c r="AH712" s="125" t="n"/>
      <c r="AI712" s="5" t="n"/>
      <c r="AJ712" s="125" t="n"/>
      <c r="AK712" s="125" t="n"/>
    </row>
    <row r="713"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125" t="n"/>
      <c r="AH713" s="125" t="n"/>
      <c r="AI713" s="5" t="n"/>
      <c r="AJ713" s="125" t="n"/>
      <c r="AK713" s="125" t="n"/>
    </row>
    <row r="714"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125" t="n"/>
      <c r="AH714" s="125" t="n"/>
      <c r="AI714" s="5" t="n"/>
      <c r="AJ714" s="125" t="n"/>
      <c r="AK714" s="125" t="n"/>
    </row>
    <row r="715"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125" t="n"/>
      <c r="AH715" s="125" t="n"/>
      <c r="AI715" s="5" t="n"/>
      <c r="AJ715" s="125" t="n"/>
      <c r="AK715" s="125" t="n"/>
    </row>
    <row r="716"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125" t="n"/>
      <c r="AH716" s="125" t="n"/>
      <c r="AI716" s="5" t="n"/>
      <c r="AJ716" s="125" t="n"/>
      <c r="AK716" s="125" t="n"/>
    </row>
    <row r="717"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125" t="n"/>
      <c r="AH717" s="125" t="n"/>
      <c r="AI717" s="5" t="n"/>
      <c r="AJ717" s="125" t="n"/>
      <c r="AK717" s="125" t="n"/>
    </row>
    <row r="718"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125" t="n"/>
      <c r="AH718" s="125" t="n"/>
      <c r="AI718" s="5" t="n"/>
      <c r="AJ718" s="125" t="n"/>
      <c r="AK718" s="125" t="n"/>
    </row>
    <row r="719"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125" t="n"/>
      <c r="AH719" s="125" t="n"/>
      <c r="AI719" s="5" t="n"/>
      <c r="AJ719" s="125" t="n"/>
      <c r="AK719" s="125" t="n"/>
    </row>
    <row r="720"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125" t="n"/>
      <c r="AH720" s="125" t="n"/>
      <c r="AI720" s="5" t="n"/>
      <c r="AJ720" s="125" t="n"/>
      <c r="AK720" s="125" t="n"/>
    </row>
    <row r="721"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125" t="n"/>
      <c r="AH721" s="125" t="n"/>
      <c r="AI721" s="5" t="n"/>
      <c r="AJ721" s="125" t="n"/>
      <c r="AK721" s="125" t="n"/>
    </row>
    <row r="722"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125" t="n"/>
      <c r="AH722" s="125" t="n"/>
      <c r="AI722" s="5" t="n"/>
      <c r="AJ722" s="125" t="n"/>
      <c r="AK722" s="125" t="n"/>
    </row>
    <row r="723"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125" t="n"/>
      <c r="AH723" s="125" t="n"/>
      <c r="AI723" s="5" t="n"/>
      <c r="AJ723" s="125" t="n"/>
      <c r="AK723" s="125" t="n"/>
    </row>
    <row r="724"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125" t="n"/>
      <c r="AH724" s="125" t="n"/>
      <c r="AI724" s="5" t="n"/>
      <c r="AJ724" s="125" t="n"/>
      <c r="AK724" s="125" t="n"/>
    </row>
    <row r="725"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125" t="n"/>
      <c r="AH725" s="125" t="n"/>
      <c r="AI725" s="5" t="n"/>
      <c r="AJ725" s="125" t="n"/>
      <c r="AK725" s="125" t="n"/>
    </row>
    <row r="726"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125" t="n"/>
      <c r="AH726" s="125" t="n"/>
      <c r="AI726" s="5" t="n"/>
      <c r="AJ726" s="125" t="n"/>
      <c r="AK726" s="125" t="n"/>
    </row>
    <row r="727"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125" t="n"/>
      <c r="AH727" s="125" t="n"/>
      <c r="AI727" s="5" t="n"/>
      <c r="AJ727" s="125" t="n"/>
      <c r="AK727" s="125" t="n"/>
    </row>
    <row r="728"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125" t="n"/>
      <c r="AH728" s="125" t="n"/>
      <c r="AI728" s="5" t="n"/>
      <c r="AJ728" s="125" t="n"/>
      <c r="AK728" s="125" t="n"/>
    </row>
    <row r="729"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125" t="n"/>
      <c r="AH729" s="125" t="n"/>
      <c r="AI729" s="5" t="n"/>
      <c r="AJ729" s="125" t="n"/>
      <c r="AK729" s="125" t="n"/>
    </row>
    <row r="730"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125" t="n"/>
      <c r="AH730" s="125" t="n"/>
      <c r="AI730" s="5" t="n"/>
      <c r="AJ730" s="125" t="n"/>
      <c r="AK730" s="125" t="n"/>
    </row>
    <row r="731"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125" t="n"/>
      <c r="AH731" s="125" t="n"/>
      <c r="AI731" s="5" t="n"/>
      <c r="AJ731" s="125" t="n"/>
      <c r="AK731" s="125" t="n"/>
    </row>
    <row r="732"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125" t="n"/>
      <c r="AH732" s="125" t="n"/>
      <c r="AI732" s="5" t="n"/>
      <c r="AJ732" s="125" t="n"/>
      <c r="AK732" s="125" t="n"/>
    </row>
    <row r="733"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125" t="n"/>
      <c r="AH733" s="125" t="n"/>
      <c r="AI733" s="5" t="n"/>
      <c r="AJ733" s="125" t="n"/>
      <c r="AK733" s="125" t="n"/>
    </row>
    <row r="734"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125" t="n"/>
      <c r="AH734" s="125" t="n"/>
      <c r="AI734" s="5" t="n"/>
      <c r="AJ734" s="125" t="n"/>
      <c r="AK734" s="125" t="n"/>
    </row>
    <row r="735"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125" t="n"/>
      <c r="AH735" s="125" t="n"/>
      <c r="AI735" s="5" t="n"/>
      <c r="AJ735" s="125" t="n"/>
      <c r="AK735" s="125" t="n"/>
    </row>
    <row r="736"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125" t="n"/>
      <c r="AH736" s="125" t="n"/>
      <c r="AI736" s="5" t="n"/>
      <c r="AJ736" s="125" t="n"/>
      <c r="AK736" s="125" t="n"/>
    </row>
    <row r="737"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125" t="n"/>
      <c r="AH737" s="125" t="n"/>
      <c r="AI737" s="5" t="n"/>
      <c r="AJ737" s="125" t="n"/>
      <c r="AK737" s="125" t="n"/>
    </row>
    <row r="738"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125" t="n"/>
      <c r="AH738" s="125" t="n"/>
      <c r="AI738" s="5" t="n"/>
      <c r="AJ738" s="125" t="n"/>
      <c r="AK738" s="125" t="n"/>
    </row>
    <row r="739"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125" t="n"/>
      <c r="AH739" s="125" t="n"/>
      <c r="AI739" s="5" t="n"/>
      <c r="AJ739" s="125" t="n"/>
      <c r="AK739" s="125" t="n"/>
    </row>
    <row r="740"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125" t="n"/>
      <c r="AH740" s="125" t="n"/>
      <c r="AI740" s="5" t="n"/>
      <c r="AJ740" s="125" t="n"/>
      <c r="AK740" s="125" t="n"/>
    </row>
    <row r="741"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125" t="n"/>
      <c r="AH741" s="125" t="n"/>
      <c r="AI741" s="5" t="n"/>
      <c r="AJ741" s="125" t="n"/>
      <c r="AK741" s="125" t="n"/>
    </row>
    <row r="742"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125" t="n"/>
      <c r="AH742" s="125" t="n"/>
      <c r="AI742" s="5" t="n"/>
      <c r="AJ742" s="125" t="n"/>
      <c r="AK742" s="125" t="n"/>
    </row>
    <row r="743"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125" t="n"/>
      <c r="AH743" s="125" t="n"/>
      <c r="AI743" s="5" t="n"/>
      <c r="AJ743" s="125" t="n"/>
      <c r="AK743" s="125" t="n"/>
    </row>
    <row r="744"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125" t="n"/>
      <c r="AH744" s="125" t="n"/>
      <c r="AI744" s="5" t="n"/>
      <c r="AJ744" s="125" t="n"/>
      <c r="AK744" s="125" t="n"/>
    </row>
    <row r="745"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125" t="n"/>
      <c r="AH745" s="125" t="n"/>
      <c r="AI745" s="5" t="n"/>
      <c r="AJ745" s="125" t="n"/>
      <c r="AK745" s="125" t="n"/>
    </row>
    <row r="746"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125" t="n"/>
      <c r="AH746" s="125" t="n"/>
      <c r="AI746" s="5" t="n"/>
      <c r="AJ746" s="125" t="n"/>
      <c r="AK746" s="125" t="n"/>
    </row>
    <row r="747"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125" t="n"/>
      <c r="AH747" s="125" t="n"/>
      <c r="AI747" s="5" t="n"/>
      <c r="AJ747" s="125" t="n"/>
      <c r="AK747" s="125" t="n"/>
    </row>
    <row r="748"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125" t="n"/>
      <c r="AH748" s="125" t="n"/>
      <c r="AI748" s="5" t="n"/>
      <c r="AJ748" s="125" t="n"/>
      <c r="AK748" s="125" t="n"/>
    </row>
    <row r="749"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125" t="n"/>
      <c r="AH749" s="125" t="n"/>
      <c r="AI749" s="5" t="n"/>
      <c r="AJ749" s="125" t="n"/>
      <c r="AK749" s="125" t="n"/>
    </row>
    <row r="750"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125" t="n"/>
      <c r="AH750" s="125" t="n"/>
      <c r="AI750" s="5" t="n"/>
      <c r="AJ750" s="125" t="n"/>
      <c r="AK750" s="125" t="n"/>
    </row>
    <row r="751"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125" t="n"/>
      <c r="AH751" s="125" t="n"/>
      <c r="AI751" s="5" t="n"/>
      <c r="AJ751" s="125" t="n"/>
      <c r="AK751" s="125" t="n"/>
    </row>
    <row r="752"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125" t="n"/>
      <c r="AH752" s="125" t="n"/>
      <c r="AI752" s="5" t="n"/>
      <c r="AJ752" s="125" t="n"/>
      <c r="AK752" s="125" t="n"/>
    </row>
    <row r="753"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125" t="n"/>
      <c r="AH753" s="125" t="n"/>
      <c r="AI753" s="5" t="n"/>
      <c r="AJ753" s="125" t="n"/>
      <c r="AK753" s="125" t="n"/>
    </row>
    <row r="754"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125" t="n"/>
      <c r="AH754" s="125" t="n"/>
      <c r="AI754" s="5" t="n"/>
      <c r="AJ754" s="125" t="n"/>
      <c r="AK754" s="125" t="n"/>
    </row>
    <row r="755"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125" t="n"/>
      <c r="AH755" s="125" t="n"/>
      <c r="AI755" s="5" t="n"/>
      <c r="AJ755" s="125" t="n"/>
      <c r="AK755" s="125" t="n"/>
    </row>
    <row r="756"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125" t="n"/>
      <c r="AH756" s="125" t="n"/>
      <c r="AI756" s="5" t="n"/>
      <c r="AJ756" s="125" t="n"/>
      <c r="AK756" s="125" t="n"/>
    </row>
    <row r="757"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125" t="n"/>
      <c r="AH757" s="125" t="n"/>
      <c r="AI757" s="5" t="n"/>
      <c r="AJ757" s="125" t="n"/>
      <c r="AK757" s="125" t="n"/>
    </row>
    <row r="758"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125" t="n"/>
      <c r="AH758" s="125" t="n"/>
      <c r="AI758" s="5" t="n"/>
      <c r="AJ758" s="125" t="n"/>
      <c r="AK758" s="125" t="n"/>
    </row>
    <row r="759"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125" t="n"/>
      <c r="AH759" s="125" t="n"/>
      <c r="AI759" s="5" t="n"/>
      <c r="AJ759" s="125" t="n"/>
      <c r="AK759" s="125" t="n"/>
    </row>
    <row r="760"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125" t="n"/>
      <c r="AH760" s="125" t="n"/>
      <c r="AI760" s="5" t="n"/>
      <c r="AJ760" s="125" t="n"/>
      <c r="AK760" s="125" t="n"/>
    </row>
    <row r="761"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125" t="n"/>
      <c r="AH761" s="125" t="n"/>
      <c r="AI761" s="5" t="n"/>
      <c r="AJ761" s="125" t="n"/>
      <c r="AK761" s="125" t="n"/>
    </row>
    <row r="762"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125" t="n"/>
      <c r="AH762" s="125" t="n"/>
      <c r="AI762" s="5" t="n"/>
      <c r="AJ762" s="125" t="n"/>
      <c r="AK762" s="125" t="n"/>
    </row>
    <row r="763"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125" t="n"/>
      <c r="AH763" s="125" t="n"/>
      <c r="AI763" s="5" t="n"/>
      <c r="AJ763" s="125" t="n"/>
      <c r="AK763" s="125" t="n"/>
    </row>
    <row r="764"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125" t="n"/>
      <c r="AH764" s="125" t="n"/>
      <c r="AI764" s="5" t="n"/>
      <c r="AJ764" s="125" t="n"/>
      <c r="AK764" s="125" t="n"/>
    </row>
    <row r="765"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125" t="n"/>
      <c r="AH765" s="125" t="n"/>
      <c r="AI765" s="5" t="n"/>
      <c r="AJ765" s="125" t="n"/>
      <c r="AK765" s="125" t="n"/>
    </row>
    <row r="766"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125" t="n"/>
      <c r="AH766" s="125" t="n"/>
      <c r="AI766" s="5" t="n"/>
      <c r="AJ766" s="125" t="n"/>
      <c r="AK766" s="125" t="n"/>
    </row>
    <row r="767"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125" t="n"/>
      <c r="AH767" s="125" t="n"/>
      <c r="AI767" s="5" t="n"/>
      <c r="AJ767" s="125" t="n"/>
      <c r="AK767" s="125" t="n"/>
    </row>
    <row r="768"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125" t="n"/>
      <c r="AH768" s="125" t="n"/>
      <c r="AI768" s="5" t="n"/>
      <c r="AJ768" s="125" t="n"/>
      <c r="AK768" s="125" t="n"/>
    </row>
    <row r="769"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125" t="n"/>
      <c r="AH769" s="125" t="n"/>
      <c r="AI769" s="5" t="n"/>
      <c r="AJ769" s="125" t="n"/>
      <c r="AK769" s="125" t="n"/>
    </row>
    <row r="770"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125" t="n"/>
      <c r="AH770" s="125" t="n"/>
      <c r="AI770" s="5" t="n"/>
      <c r="AJ770" s="125" t="n"/>
      <c r="AK770" s="125" t="n"/>
    </row>
    <row r="771"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125" t="n"/>
      <c r="AH771" s="125" t="n"/>
      <c r="AI771" s="5" t="n"/>
      <c r="AJ771" s="125" t="n"/>
      <c r="AK771" s="125" t="n"/>
    </row>
    <row r="772"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125" t="n"/>
      <c r="AH772" s="125" t="n"/>
      <c r="AI772" s="5" t="n"/>
      <c r="AJ772" s="125" t="n"/>
      <c r="AK772" s="125" t="n"/>
    </row>
    <row r="773"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125" t="n"/>
      <c r="AH773" s="125" t="n"/>
      <c r="AI773" s="5" t="n"/>
      <c r="AJ773" s="125" t="n"/>
      <c r="AK773" s="125" t="n"/>
    </row>
    <row r="774"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125" t="n"/>
      <c r="AH774" s="125" t="n"/>
      <c r="AI774" s="5" t="n"/>
      <c r="AJ774" s="125" t="n"/>
      <c r="AK774" s="125" t="n"/>
    </row>
    <row r="775"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125" t="n"/>
      <c r="AH775" s="125" t="n"/>
      <c r="AI775" s="5" t="n"/>
      <c r="AJ775" s="125" t="n"/>
      <c r="AK775" s="125" t="n"/>
    </row>
    <row r="776"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125" t="n"/>
      <c r="AH776" s="125" t="n"/>
      <c r="AI776" s="5" t="n"/>
      <c r="AJ776" s="125" t="n"/>
      <c r="AK776" s="125" t="n"/>
    </row>
    <row r="777"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125" t="n"/>
      <c r="AH777" s="125" t="n"/>
      <c r="AI777" s="5" t="n"/>
      <c r="AJ777" s="125" t="n"/>
      <c r="AK777" s="125" t="n"/>
    </row>
    <row r="778"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125" t="n"/>
      <c r="AH778" s="125" t="n"/>
      <c r="AI778" s="5" t="n"/>
      <c r="AJ778" s="125" t="n"/>
      <c r="AK778" s="125" t="n"/>
    </row>
    <row r="779"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125" t="n"/>
      <c r="AH779" s="125" t="n"/>
      <c r="AI779" s="5" t="n"/>
      <c r="AJ779" s="125" t="n"/>
      <c r="AK779" s="125" t="n"/>
    </row>
    <row r="780"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125" t="n"/>
      <c r="AH780" s="125" t="n"/>
      <c r="AI780" s="5" t="n"/>
      <c r="AJ780" s="125" t="n"/>
      <c r="AK780" s="125" t="n"/>
    </row>
    <row r="781"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125" t="n"/>
      <c r="AH781" s="125" t="n"/>
      <c r="AI781" s="5" t="n"/>
      <c r="AJ781" s="125" t="n"/>
      <c r="AK781" s="125" t="n"/>
    </row>
    <row r="782"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125" t="n"/>
      <c r="AH782" s="125" t="n"/>
      <c r="AI782" s="5" t="n"/>
      <c r="AJ782" s="125" t="n"/>
      <c r="AK782" s="125" t="n"/>
    </row>
    <row r="783"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125" t="n"/>
      <c r="AH783" s="125" t="n"/>
      <c r="AI783" s="5" t="n"/>
      <c r="AJ783" s="125" t="n"/>
      <c r="AK783" s="125" t="n"/>
    </row>
    <row r="784"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125" t="n"/>
      <c r="AH784" s="125" t="n"/>
      <c r="AI784" s="5" t="n"/>
      <c r="AJ784" s="125" t="n"/>
      <c r="AK784" s="125" t="n"/>
    </row>
    <row r="785"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125" t="n"/>
      <c r="AH785" s="125" t="n"/>
      <c r="AI785" s="5" t="n"/>
      <c r="AJ785" s="125" t="n"/>
      <c r="AK785" s="125" t="n"/>
    </row>
    <row r="786"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125" t="n"/>
      <c r="AH786" s="125" t="n"/>
      <c r="AI786" s="5" t="n"/>
      <c r="AJ786" s="125" t="n"/>
      <c r="AK786" s="125" t="n"/>
    </row>
    <row r="787"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125" t="n"/>
      <c r="AH787" s="125" t="n"/>
      <c r="AI787" s="5" t="n"/>
      <c r="AJ787" s="125" t="n"/>
      <c r="AK787" s="125" t="n"/>
    </row>
    <row r="788"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125" t="n"/>
      <c r="AH788" s="125" t="n"/>
      <c r="AI788" s="5" t="n"/>
      <c r="AJ788" s="125" t="n"/>
      <c r="AK788" s="125" t="n"/>
    </row>
    <row r="789"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125" t="n"/>
      <c r="AH789" s="125" t="n"/>
      <c r="AI789" s="5" t="n"/>
      <c r="AJ789" s="125" t="n"/>
      <c r="AK789" s="125" t="n"/>
    </row>
    <row r="790"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125" t="n"/>
      <c r="AH790" s="125" t="n"/>
      <c r="AI790" s="5" t="n"/>
      <c r="AJ790" s="125" t="n"/>
      <c r="AK790" s="125" t="n"/>
    </row>
    <row r="791"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125" t="n"/>
      <c r="AH791" s="125" t="n"/>
      <c r="AI791" s="5" t="n"/>
      <c r="AJ791" s="125" t="n"/>
      <c r="AK791" s="125" t="n"/>
    </row>
    <row r="792"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125" t="n"/>
      <c r="AH792" s="125" t="n"/>
      <c r="AI792" s="5" t="n"/>
      <c r="AJ792" s="125" t="n"/>
      <c r="AK792" s="125" t="n"/>
    </row>
    <row r="793"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125" t="n"/>
      <c r="AH793" s="125" t="n"/>
      <c r="AI793" s="5" t="n"/>
      <c r="AJ793" s="125" t="n"/>
      <c r="AK793" s="125" t="n"/>
    </row>
    <row r="794"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125" t="n"/>
      <c r="AH794" s="125" t="n"/>
      <c r="AI794" s="5" t="n"/>
      <c r="AJ794" s="125" t="n"/>
      <c r="AK794" s="125" t="n"/>
    </row>
    <row r="795"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125" t="n"/>
      <c r="AH795" s="125" t="n"/>
      <c r="AI795" s="5" t="n"/>
      <c r="AJ795" s="125" t="n"/>
      <c r="AK795" s="125" t="n"/>
    </row>
    <row r="796"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125" t="n"/>
      <c r="AH796" s="125" t="n"/>
      <c r="AI796" s="5" t="n"/>
      <c r="AJ796" s="125" t="n"/>
      <c r="AK796" s="125" t="n"/>
    </row>
    <row r="797"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125" t="n"/>
      <c r="AH797" s="125" t="n"/>
      <c r="AI797" s="5" t="n"/>
      <c r="AJ797" s="125" t="n"/>
      <c r="AK797" s="125" t="n"/>
    </row>
    <row r="798"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125" t="n"/>
      <c r="AH798" s="125" t="n"/>
      <c r="AI798" s="5" t="n"/>
      <c r="AJ798" s="125" t="n"/>
      <c r="AK798" s="125" t="n"/>
    </row>
    <row r="799"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125" t="n"/>
      <c r="AH799" s="125" t="n"/>
      <c r="AI799" s="5" t="n"/>
      <c r="AJ799" s="125" t="n"/>
      <c r="AK799" s="125" t="n"/>
    </row>
    <row r="800"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125" t="n"/>
      <c r="AH800" s="125" t="n"/>
      <c r="AI800" s="5" t="n"/>
      <c r="AJ800" s="125" t="n"/>
      <c r="AK800" s="125" t="n"/>
    </row>
    <row r="801"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125" t="n"/>
      <c r="AH801" s="125" t="n"/>
      <c r="AI801" s="5" t="n"/>
      <c r="AJ801" s="125" t="n"/>
      <c r="AK801" s="125" t="n"/>
    </row>
    <row r="802"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125" t="n"/>
      <c r="AH802" s="125" t="n"/>
      <c r="AI802" s="5" t="n"/>
      <c r="AJ802" s="125" t="n"/>
      <c r="AK802" s="125" t="n"/>
    </row>
    <row r="803"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125" t="n"/>
      <c r="AH803" s="125" t="n"/>
      <c r="AI803" s="5" t="n"/>
      <c r="AJ803" s="125" t="n"/>
      <c r="AK803" s="125" t="n"/>
    </row>
    <row r="804"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125" t="n"/>
      <c r="AH804" s="125" t="n"/>
      <c r="AI804" s="5" t="n"/>
      <c r="AJ804" s="125" t="n"/>
      <c r="AK804" s="125" t="n"/>
    </row>
    <row r="805"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125" t="n"/>
      <c r="AH805" s="125" t="n"/>
      <c r="AI805" s="5" t="n"/>
      <c r="AJ805" s="125" t="n"/>
      <c r="AK805" s="125" t="n"/>
    </row>
    <row r="806"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125" t="n"/>
      <c r="AH806" s="125" t="n"/>
      <c r="AI806" s="5" t="n"/>
      <c r="AJ806" s="125" t="n"/>
      <c r="AK806" s="125" t="n"/>
    </row>
    <row r="807"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125" t="n"/>
      <c r="AH807" s="125" t="n"/>
      <c r="AI807" s="5" t="n"/>
      <c r="AJ807" s="125" t="n"/>
      <c r="AK807" s="125" t="n"/>
    </row>
    <row r="808"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125" t="n"/>
      <c r="AH808" s="125" t="n"/>
      <c r="AI808" s="5" t="n"/>
      <c r="AJ808" s="125" t="n"/>
      <c r="AK808" s="125" t="n"/>
    </row>
    <row r="809"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125" t="n"/>
      <c r="AH809" s="125" t="n"/>
      <c r="AI809" s="5" t="n"/>
      <c r="AJ809" s="125" t="n"/>
      <c r="AK809" s="125" t="n"/>
    </row>
    <row r="810"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125" t="n"/>
      <c r="AH810" s="125" t="n"/>
      <c r="AI810" s="5" t="n"/>
      <c r="AJ810" s="125" t="n"/>
      <c r="AK810" s="125" t="n"/>
    </row>
    <row r="811"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125" t="n"/>
      <c r="AH811" s="125" t="n"/>
      <c r="AI811" s="5" t="n"/>
      <c r="AJ811" s="125" t="n"/>
      <c r="AK811" s="125" t="n"/>
    </row>
    <row r="812"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125" t="n"/>
      <c r="AH812" s="125" t="n"/>
      <c r="AI812" s="5" t="n"/>
      <c r="AJ812" s="125" t="n"/>
      <c r="AK812" s="125" t="n"/>
    </row>
    <row r="813"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125" t="n"/>
      <c r="AH813" s="125" t="n"/>
      <c r="AI813" s="5" t="n"/>
      <c r="AJ813" s="125" t="n"/>
      <c r="AK813" s="125" t="n"/>
    </row>
    <row r="814"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125" t="n"/>
      <c r="AH814" s="125" t="n"/>
      <c r="AI814" s="5" t="n"/>
      <c r="AJ814" s="125" t="n"/>
      <c r="AK814" s="125" t="n"/>
    </row>
    <row r="815"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125" t="n"/>
      <c r="AH815" s="125" t="n"/>
      <c r="AI815" s="5" t="n"/>
      <c r="AJ815" s="125" t="n"/>
      <c r="AK815" s="125" t="n"/>
    </row>
    <row r="816"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125" t="n"/>
      <c r="AH816" s="125" t="n"/>
      <c r="AI816" s="5" t="n"/>
      <c r="AJ816" s="125" t="n"/>
      <c r="AK816" s="125" t="n"/>
    </row>
    <row r="817"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125" t="n"/>
      <c r="AH817" s="125" t="n"/>
      <c r="AI817" s="5" t="n"/>
      <c r="AJ817" s="125" t="n"/>
      <c r="AK817" s="125" t="n"/>
    </row>
    <row r="818"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125" t="n"/>
      <c r="AH818" s="125" t="n"/>
      <c r="AI818" s="5" t="n"/>
      <c r="AJ818" s="125" t="n"/>
      <c r="AK818" s="125" t="n"/>
    </row>
    <row r="819"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125" t="n"/>
      <c r="AH819" s="125" t="n"/>
      <c r="AI819" s="5" t="n"/>
      <c r="AJ819" s="125" t="n"/>
      <c r="AK819" s="125" t="n"/>
    </row>
    <row r="820"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125" t="n"/>
      <c r="AH820" s="125" t="n"/>
      <c r="AI820" s="5" t="n"/>
      <c r="AJ820" s="125" t="n"/>
      <c r="AK820" s="125" t="n"/>
    </row>
    <row r="821"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125" t="n"/>
      <c r="AH821" s="125" t="n"/>
      <c r="AI821" s="5" t="n"/>
      <c r="AJ821" s="125" t="n"/>
      <c r="AK821" s="125" t="n"/>
    </row>
    <row r="822"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125" t="n"/>
      <c r="AH822" s="125" t="n"/>
      <c r="AI822" s="5" t="n"/>
      <c r="AJ822" s="125" t="n"/>
      <c r="AK822" s="125" t="n"/>
    </row>
    <row r="823"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125" t="n"/>
      <c r="AH823" s="125" t="n"/>
      <c r="AI823" s="5" t="n"/>
      <c r="AJ823" s="125" t="n"/>
      <c r="AK823" s="125" t="n"/>
    </row>
    <row r="824"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125" t="n"/>
      <c r="AH824" s="125" t="n"/>
      <c r="AI824" s="5" t="n"/>
      <c r="AJ824" s="125" t="n"/>
      <c r="AK824" s="125" t="n"/>
    </row>
    <row r="825"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125" t="n"/>
      <c r="AH825" s="125" t="n"/>
      <c r="AI825" s="5" t="n"/>
      <c r="AJ825" s="125" t="n"/>
      <c r="AK825" s="125" t="n"/>
    </row>
    <row r="826"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125" t="n"/>
      <c r="AH826" s="125" t="n"/>
      <c r="AI826" s="5" t="n"/>
      <c r="AJ826" s="125" t="n"/>
      <c r="AK826" s="125" t="n"/>
    </row>
    <row r="827"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125" t="n"/>
      <c r="AH827" s="125" t="n"/>
      <c r="AI827" s="5" t="n"/>
      <c r="AJ827" s="125" t="n"/>
      <c r="AK827" s="125" t="n"/>
    </row>
    <row r="828"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125" t="n"/>
      <c r="AH828" s="125" t="n"/>
      <c r="AI828" s="5" t="n"/>
      <c r="AJ828" s="125" t="n"/>
      <c r="AK828" s="125" t="n"/>
    </row>
    <row r="829"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125" t="n"/>
      <c r="AH829" s="125" t="n"/>
      <c r="AI829" s="5" t="n"/>
      <c r="AJ829" s="125" t="n"/>
      <c r="AK829" s="125" t="n"/>
    </row>
    <row r="830"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125" t="n"/>
      <c r="AH830" s="125" t="n"/>
      <c r="AI830" s="5" t="n"/>
      <c r="AJ830" s="125" t="n"/>
      <c r="AK830" s="125" t="n"/>
    </row>
    <row r="831"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125" t="n"/>
      <c r="AH831" s="125" t="n"/>
      <c r="AI831" s="5" t="n"/>
      <c r="AJ831" s="125" t="n"/>
      <c r="AK831" s="125" t="n"/>
    </row>
    <row r="832"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125" t="n"/>
      <c r="AH832" s="125" t="n"/>
      <c r="AI832" s="5" t="n"/>
      <c r="AJ832" s="125" t="n"/>
      <c r="AK832" s="125" t="n"/>
    </row>
    <row r="833"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125" t="n"/>
      <c r="AH833" s="125" t="n"/>
      <c r="AI833" s="5" t="n"/>
      <c r="AJ833" s="125" t="n"/>
      <c r="AK833" s="125" t="n"/>
    </row>
    <row r="834"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125" t="n"/>
      <c r="AH834" s="125" t="n"/>
      <c r="AI834" s="5" t="n"/>
      <c r="AJ834" s="125" t="n"/>
      <c r="AK834" s="125" t="n"/>
    </row>
    <row r="835"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125" t="n"/>
      <c r="AH835" s="125" t="n"/>
      <c r="AI835" s="5" t="n"/>
      <c r="AJ835" s="125" t="n"/>
      <c r="AK835" s="125" t="n"/>
    </row>
    <row r="836"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125" t="n"/>
      <c r="AH836" s="125" t="n"/>
      <c r="AI836" s="5" t="n"/>
      <c r="AJ836" s="125" t="n"/>
      <c r="AK836" s="125" t="n"/>
    </row>
    <row r="837"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125" t="n"/>
      <c r="AH837" s="125" t="n"/>
      <c r="AI837" s="5" t="n"/>
      <c r="AJ837" s="125" t="n"/>
      <c r="AK837" s="125" t="n"/>
    </row>
    <row r="838"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125" t="n"/>
      <c r="AH838" s="125" t="n"/>
      <c r="AI838" s="5" t="n"/>
      <c r="AJ838" s="125" t="n"/>
      <c r="AK838" s="125" t="n"/>
    </row>
    <row r="839"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125" t="n"/>
      <c r="AH839" s="125" t="n"/>
      <c r="AI839" s="5" t="n"/>
      <c r="AJ839" s="125" t="n"/>
      <c r="AK839" s="125" t="n"/>
    </row>
    <row r="840"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125" t="n"/>
      <c r="AH840" s="125" t="n"/>
      <c r="AI840" s="5" t="n"/>
      <c r="AJ840" s="125" t="n"/>
      <c r="AK840" s="125" t="n"/>
    </row>
    <row r="841"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125" t="n"/>
      <c r="AH841" s="125" t="n"/>
      <c r="AI841" s="5" t="n"/>
      <c r="AJ841" s="125" t="n"/>
      <c r="AK841" s="125" t="n"/>
    </row>
    <row r="842"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125" t="n"/>
      <c r="AH842" s="125" t="n"/>
      <c r="AI842" s="5" t="n"/>
      <c r="AJ842" s="125" t="n"/>
      <c r="AK842" s="125" t="n"/>
    </row>
    <row r="843"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125" t="n"/>
      <c r="AH843" s="125" t="n"/>
      <c r="AI843" s="5" t="n"/>
      <c r="AJ843" s="125" t="n"/>
      <c r="AK843" s="125" t="n"/>
    </row>
    <row r="844"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125" t="n"/>
      <c r="AH844" s="125" t="n"/>
      <c r="AI844" s="5" t="n"/>
      <c r="AJ844" s="125" t="n"/>
      <c r="AK844" s="125" t="n"/>
    </row>
    <row r="845"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125" t="n"/>
      <c r="AH845" s="125" t="n"/>
      <c r="AI845" s="5" t="n"/>
      <c r="AJ845" s="125" t="n"/>
      <c r="AK845" s="125" t="n"/>
    </row>
    <row r="846"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125" t="n"/>
      <c r="AH846" s="125" t="n"/>
      <c r="AI846" s="5" t="n"/>
      <c r="AJ846" s="125" t="n"/>
      <c r="AK846" s="125" t="n"/>
    </row>
    <row r="847"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125" t="n"/>
      <c r="AH847" s="125" t="n"/>
      <c r="AI847" s="5" t="n"/>
      <c r="AJ847" s="125" t="n"/>
      <c r="AK847" s="125" t="n"/>
    </row>
    <row r="848"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125" t="n"/>
      <c r="AH848" s="125" t="n"/>
      <c r="AI848" s="5" t="n"/>
      <c r="AJ848" s="125" t="n"/>
      <c r="AK848" s="125" t="n"/>
    </row>
    <row r="849"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125" t="n"/>
      <c r="AH849" s="125" t="n"/>
      <c r="AI849" s="5" t="n"/>
      <c r="AJ849" s="125" t="n"/>
      <c r="AK849" s="125" t="n"/>
    </row>
    <row r="850"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125" t="n"/>
      <c r="AH850" s="125" t="n"/>
      <c r="AI850" s="5" t="n"/>
      <c r="AJ850" s="125" t="n"/>
      <c r="AK850" s="125" t="n"/>
    </row>
    <row r="851"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125" t="n"/>
      <c r="AH851" s="125" t="n"/>
      <c r="AI851" s="5" t="n"/>
      <c r="AJ851" s="125" t="n"/>
      <c r="AK851" s="125" t="n"/>
    </row>
    <row r="852"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125" t="n"/>
      <c r="AH852" s="125" t="n"/>
      <c r="AI852" s="5" t="n"/>
      <c r="AJ852" s="125" t="n"/>
      <c r="AK852" s="125" t="n"/>
    </row>
    <row r="853"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125" t="n"/>
      <c r="AH853" s="125" t="n"/>
      <c r="AI853" s="5" t="n"/>
      <c r="AJ853" s="125" t="n"/>
      <c r="AK853" s="125" t="n"/>
    </row>
    <row r="854"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125" t="n"/>
      <c r="AH854" s="125" t="n"/>
      <c r="AI854" s="5" t="n"/>
      <c r="AJ854" s="125" t="n"/>
      <c r="AK854" s="125" t="n"/>
    </row>
    <row r="855"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125" t="n"/>
      <c r="AH855" s="125" t="n"/>
      <c r="AI855" s="5" t="n"/>
      <c r="AJ855" s="125" t="n"/>
      <c r="AK855" s="125" t="n"/>
    </row>
    <row r="856"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125" t="n"/>
      <c r="AH856" s="125" t="n"/>
      <c r="AI856" s="5" t="n"/>
      <c r="AJ856" s="125" t="n"/>
      <c r="AK856" s="125" t="n"/>
    </row>
    <row r="857"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125" t="n"/>
      <c r="AH857" s="125" t="n"/>
      <c r="AI857" s="5" t="n"/>
      <c r="AJ857" s="125" t="n"/>
      <c r="AK857" s="125" t="n"/>
    </row>
    <row r="858"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125" t="n"/>
      <c r="AH858" s="125" t="n"/>
      <c r="AI858" s="5" t="n"/>
      <c r="AJ858" s="125" t="n"/>
      <c r="AK858" s="125" t="n"/>
    </row>
    <row r="859"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125" t="n"/>
      <c r="AH859" s="125" t="n"/>
      <c r="AI859" s="5" t="n"/>
      <c r="AJ859" s="125" t="n"/>
      <c r="AK859" s="125" t="n"/>
    </row>
    <row r="860"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125" t="n"/>
      <c r="AH860" s="125" t="n"/>
      <c r="AI860" s="5" t="n"/>
      <c r="AJ860" s="125" t="n"/>
      <c r="AK860" s="125" t="n"/>
    </row>
    <row r="861"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125" t="n"/>
      <c r="AH861" s="125" t="n"/>
      <c r="AI861" s="5" t="n"/>
      <c r="AJ861" s="125" t="n"/>
      <c r="AK861" s="125" t="n"/>
    </row>
    <row r="862"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125" t="n"/>
      <c r="AH862" s="125" t="n"/>
      <c r="AI862" s="5" t="n"/>
      <c r="AJ862" s="125" t="n"/>
      <c r="AK862" s="125" t="n"/>
    </row>
    <row r="863"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125" t="n"/>
      <c r="AH863" s="125" t="n"/>
      <c r="AI863" s="5" t="n"/>
      <c r="AJ863" s="125" t="n"/>
      <c r="AK863" s="125" t="n"/>
    </row>
    <row r="864"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125" t="n"/>
      <c r="AH864" s="125" t="n"/>
      <c r="AI864" s="5" t="n"/>
      <c r="AJ864" s="125" t="n"/>
      <c r="AK864" s="125" t="n"/>
    </row>
    <row r="865"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125" t="n"/>
      <c r="AH865" s="125" t="n"/>
      <c r="AI865" s="5" t="n"/>
      <c r="AJ865" s="125" t="n"/>
      <c r="AK865" s="125" t="n"/>
    </row>
    <row r="866"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125" t="n"/>
      <c r="AH866" s="125" t="n"/>
      <c r="AI866" s="5" t="n"/>
      <c r="AJ866" s="125" t="n"/>
      <c r="AK866" s="125" t="n"/>
    </row>
    <row r="867"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125" t="n"/>
      <c r="AH867" s="125" t="n"/>
      <c r="AI867" s="5" t="n"/>
      <c r="AJ867" s="125" t="n"/>
      <c r="AK867" s="125" t="n"/>
    </row>
    <row r="868"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125" t="n"/>
      <c r="AH868" s="125" t="n"/>
      <c r="AI868" s="5" t="n"/>
      <c r="AJ868" s="125" t="n"/>
      <c r="AK868" s="125" t="n"/>
    </row>
    <row r="869"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125" t="n"/>
      <c r="AH869" s="125" t="n"/>
      <c r="AI869" s="5" t="n"/>
      <c r="AJ869" s="125" t="n"/>
      <c r="AK869" s="125" t="n"/>
    </row>
    <row r="870"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125" t="n"/>
      <c r="AH870" s="125" t="n"/>
      <c r="AI870" s="5" t="n"/>
      <c r="AJ870" s="125" t="n"/>
      <c r="AK870" s="125" t="n"/>
    </row>
    <row r="871"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125" t="n"/>
      <c r="AH871" s="125" t="n"/>
      <c r="AI871" s="5" t="n"/>
      <c r="AJ871" s="125" t="n"/>
      <c r="AK871" s="125" t="n"/>
    </row>
    <row r="872"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125" t="n"/>
      <c r="AH872" s="125" t="n"/>
      <c r="AI872" s="5" t="n"/>
      <c r="AJ872" s="125" t="n"/>
      <c r="AK872" s="125" t="n"/>
    </row>
    <row r="873"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125" t="n"/>
      <c r="AH873" s="125" t="n"/>
      <c r="AI873" s="5" t="n"/>
      <c r="AJ873" s="125" t="n"/>
      <c r="AK873" s="125" t="n"/>
    </row>
    <row r="874"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125" t="n"/>
      <c r="AH874" s="125" t="n"/>
      <c r="AI874" s="5" t="n"/>
      <c r="AJ874" s="125" t="n"/>
      <c r="AK874" s="125" t="n"/>
    </row>
    <row r="875"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125" t="n"/>
      <c r="AH875" s="125" t="n"/>
      <c r="AI875" s="5" t="n"/>
      <c r="AJ875" s="125" t="n"/>
      <c r="AK875" s="125" t="n"/>
    </row>
    <row r="876"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125" t="n"/>
      <c r="AH876" s="125" t="n"/>
      <c r="AI876" s="5" t="n"/>
      <c r="AJ876" s="125" t="n"/>
      <c r="AK876" s="125" t="n"/>
    </row>
    <row r="877"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125" t="n"/>
      <c r="AH877" s="125" t="n"/>
      <c r="AI877" s="5" t="n"/>
      <c r="AJ877" s="125" t="n"/>
      <c r="AK877" s="125" t="n"/>
    </row>
    <row r="878"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125" t="n"/>
      <c r="AH878" s="125" t="n"/>
      <c r="AI878" s="5" t="n"/>
      <c r="AJ878" s="125" t="n"/>
      <c r="AK878" s="125" t="n"/>
    </row>
    <row r="879"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125" t="n"/>
      <c r="AH879" s="125" t="n"/>
      <c r="AI879" s="5" t="n"/>
      <c r="AJ879" s="125" t="n"/>
      <c r="AK879" s="125" t="n"/>
    </row>
    <row r="880"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125" t="n"/>
      <c r="AH880" s="125" t="n"/>
      <c r="AI880" s="5" t="n"/>
      <c r="AJ880" s="125" t="n"/>
      <c r="AK880" s="125" t="n"/>
    </row>
    <row r="881"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125" t="n"/>
      <c r="AH881" s="125" t="n"/>
      <c r="AI881" s="5" t="n"/>
      <c r="AJ881" s="125" t="n"/>
      <c r="AK881" s="125" t="n"/>
    </row>
    <row r="882"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125" t="n"/>
      <c r="AH882" s="125" t="n"/>
      <c r="AI882" s="5" t="n"/>
      <c r="AJ882" s="125" t="n"/>
      <c r="AK882" s="125" t="n"/>
    </row>
    <row r="883"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125" t="n"/>
      <c r="AH883" s="125" t="n"/>
      <c r="AI883" s="5" t="n"/>
      <c r="AJ883" s="125" t="n"/>
      <c r="AK883" s="125" t="n"/>
    </row>
    <row r="884"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125" t="n"/>
      <c r="AH884" s="125" t="n"/>
      <c r="AI884" s="5" t="n"/>
      <c r="AJ884" s="125" t="n"/>
      <c r="AK884" s="125" t="n"/>
    </row>
    <row r="885"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125" t="n"/>
      <c r="AH885" s="125" t="n"/>
      <c r="AI885" s="5" t="n"/>
      <c r="AJ885" s="125" t="n"/>
      <c r="AK885" s="125" t="n"/>
    </row>
    <row r="886"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125" t="n"/>
      <c r="AH886" s="125" t="n"/>
      <c r="AI886" s="5" t="n"/>
      <c r="AJ886" s="125" t="n"/>
      <c r="AK886" s="125" t="n"/>
    </row>
    <row r="887"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125" t="n"/>
      <c r="AH887" s="125" t="n"/>
      <c r="AI887" s="5" t="n"/>
      <c r="AJ887" s="125" t="n"/>
      <c r="AK887" s="125" t="n"/>
    </row>
    <row r="888"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125" t="n"/>
      <c r="AH888" s="125" t="n"/>
      <c r="AI888" s="5" t="n"/>
      <c r="AJ888" s="125" t="n"/>
      <c r="AK888" s="125" t="n"/>
    </row>
    <row r="889"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125" t="n"/>
      <c r="AH889" s="125" t="n"/>
      <c r="AI889" s="5" t="n"/>
      <c r="AJ889" s="125" t="n"/>
      <c r="AK889" s="125" t="n"/>
    </row>
    <row r="890"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125" t="n"/>
      <c r="AH890" s="125" t="n"/>
      <c r="AI890" s="5" t="n"/>
      <c r="AJ890" s="125" t="n"/>
      <c r="AK890" s="125" t="n"/>
    </row>
    <row r="891"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125" t="n"/>
      <c r="AH891" s="125" t="n"/>
      <c r="AI891" s="5" t="n"/>
      <c r="AJ891" s="125" t="n"/>
      <c r="AK891" s="125" t="n"/>
    </row>
    <row r="892"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125" t="n"/>
      <c r="AH892" s="125" t="n"/>
      <c r="AI892" s="5" t="n"/>
      <c r="AJ892" s="125" t="n"/>
      <c r="AK892" s="125" t="n"/>
    </row>
    <row r="893"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125" t="n"/>
      <c r="AH893" s="125" t="n"/>
      <c r="AI893" s="5" t="n"/>
      <c r="AJ893" s="125" t="n"/>
      <c r="AK893" s="125" t="n"/>
    </row>
    <row r="894"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125" t="n"/>
      <c r="AH894" s="125" t="n"/>
      <c r="AI894" s="5" t="n"/>
      <c r="AJ894" s="125" t="n"/>
      <c r="AK894" s="125" t="n"/>
    </row>
    <row r="895"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125" t="n"/>
      <c r="AH895" s="125" t="n"/>
      <c r="AI895" s="5" t="n"/>
      <c r="AJ895" s="125" t="n"/>
      <c r="AK895" s="125" t="n"/>
    </row>
    <row r="896"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125" t="n"/>
      <c r="AH896" s="125" t="n"/>
      <c r="AI896" s="5" t="n"/>
      <c r="AJ896" s="125" t="n"/>
      <c r="AK896" s="125" t="n"/>
    </row>
    <row r="897"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125" t="n"/>
      <c r="AH897" s="125" t="n"/>
      <c r="AI897" s="5" t="n"/>
      <c r="AJ897" s="125" t="n"/>
      <c r="AK897" s="125" t="n"/>
    </row>
    <row r="898"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125" t="n"/>
      <c r="AH898" s="125" t="n"/>
      <c r="AI898" s="5" t="n"/>
      <c r="AJ898" s="125" t="n"/>
      <c r="AK898" s="125" t="n"/>
    </row>
    <row r="899"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125" t="n"/>
      <c r="AH899" s="125" t="n"/>
      <c r="AI899" s="5" t="n"/>
      <c r="AJ899" s="125" t="n"/>
      <c r="AK899" s="125" t="n"/>
    </row>
    <row r="900"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125" t="n"/>
      <c r="AH900" s="125" t="n"/>
      <c r="AI900" s="5" t="n"/>
      <c r="AJ900" s="125" t="n"/>
      <c r="AK900" s="125" t="n"/>
    </row>
    <row r="901"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125" t="n"/>
      <c r="AH901" s="125" t="n"/>
      <c r="AI901" s="5" t="n"/>
      <c r="AJ901" s="125" t="n"/>
      <c r="AK901" s="125" t="n"/>
    </row>
    <row r="902"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125" t="n"/>
      <c r="AH902" s="125" t="n"/>
      <c r="AI902" s="5" t="n"/>
      <c r="AJ902" s="125" t="n"/>
      <c r="AK902" s="125" t="n"/>
    </row>
    <row r="903"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125" t="n"/>
      <c r="AH903" s="125" t="n"/>
      <c r="AI903" s="5" t="n"/>
      <c r="AJ903" s="125" t="n"/>
      <c r="AK903" s="125" t="n"/>
    </row>
    <row r="904"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125" t="n"/>
      <c r="AH904" s="125" t="n"/>
      <c r="AI904" s="5" t="n"/>
      <c r="AJ904" s="125" t="n"/>
      <c r="AK904" s="125" t="n"/>
    </row>
    <row r="905"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125" t="n"/>
      <c r="AH905" s="125" t="n"/>
      <c r="AI905" s="5" t="n"/>
      <c r="AJ905" s="125" t="n"/>
      <c r="AK905" s="125" t="n"/>
    </row>
    <row r="906"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125" t="n"/>
      <c r="AH906" s="125" t="n"/>
      <c r="AI906" s="5" t="n"/>
      <c r="AJ906" s="125" t="n"/>
      <c r="AK906" s="125" t="n"/>
    </row>
    <row r="907"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125" t="n"/>
      <c r="AH907" s="125" t="n"/>
      <c r="AI907" s="5" t="n"/>
      <c r="AJ907" s="125" t="n"/>
      <c r="AK907" s="125" t="n"/>
    </row>
    <row r="908"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125" t="n"/>
      <c r="AH908" s="125" t="n"/>
      <c r="AI908" s="5" t="n"/>
      <c r="AJ908" s="125" t="n"/>
      <c r="AK908" s="125" t="n"/>
    </row>
    <row r="909"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125" t="n"/>
      <c r="AH909" s="125" t="n"/>
      <c r="AI909" s="5" t="n"/>
      <c r="AJ909" s="125" t="n"/>
      <c r="AK909" s="125" t="n"/>
    </row>
    <row r="910"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125" t="n"/>
      <c r="AH910" s="125" t="n"/>
      <c r="AI910" s="5" t="n"/>
      <c r="AJ910" s="125" t="n"/>
      <c r="AK910" s="125" t="n"/>
    </row>
    <row r="911"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125" t="n"/>
      <c r="AH911" s="125" t="n"/>
      <c r="AI911" s="5" t="n"/>
      <c r="AJ911" s="125" t="n"/>
      <c r="AK911" s="125" t="n"/>
    </row>
    <row r="912"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125" t="n"/>
      <c r="AH912" s="125" t="n"/>
      <c r="AI912" s="5" t="n"/>
      <c r="AJ912" s="125" t="n"/>
      <c r="AK912" s="125" t="n"/>
    </row>
    <row r="913"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125" t="n"/>
      <c r="AH913" s="125" t="n"/>
      <c r="AI913" s="5" t="n"/>
      <c r="AJ913" s="125" t="n"/>
      <c r="AK913" s="125" t="n"/>
    </row>
    <row r="914"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125" t="n"/>
      <c r="AH914" s="125" t="n"/>
      <c r="AI914" s="5" t="n"/>
      <c r="AJ914" s="125" t="n"/>
      <c r="AK914" s="125" t="n"/>
    </row>
    <row r="915"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125" t="n"/>
      <c r="AH915" s="125" t="n"/>
      <c r="AI915" s="5" t="n"/>
      <c r="AJ915" s="125" t="n"/>
      <c r="AK915" s="125" t="n"/>
    </row>
    <row r="916"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125" t="n"/>
      <c r="AH916" s="125" t="n"/>
      <c r="AI916" s="5" t="n"/>
      <c r="AJ916" s="125" t="n"/>
      <c r="AK916" s="125" t="n"/>
    </row>
    <row r="917"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125" t="n"/>
      <c r="AH917" s="125" t="n"/>
      <c r="AI917" s="5" t="n"/>
      <c r="AJ917" s="125" t="n"/>
      <c r="AK917" s="125" t="n"/>
    </row>
    <row r="918"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125" t="n"/>
      <c r="AH918" s="125" t="n"/>
      <c r="AI918" s="5" t="n"/>
      <c r="AJ918" s="125" t="n"/>
      <c r="AK918" s="125" t="n"/>
    </row>
    <row r="919"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125" t="n"/>
      <c r="AH919" s="125" t="n"/>
      <c r="AI919" s="5" t="n"/>
      <c r="AJ919" s="125" t="n"/>
      <c r="AK919" s="125" t="n"/>
    </row>
    <row r="920"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125" t="n"/>
      <c r="AH920" s="125" t="n"/>
      <c r="AI920" s="5" t="n"/>
      <c r="AJ920" s="125" t="n"/>
      <c r="AK920" s="125" t="n"/>
    </row>
    <row r="921"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125" t="n"/>
      <c r="AH921" s="125" t="n"/>
      <c r="AI921" s="5" t="n"/>
      <c r="AJ921" s="125" t="n"/>
      <c r="AK921" s="125" t="n"/>
    </row>
    <row r="922"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125" t="n"/>
      <c r="AH922" s="125" t="n"/>
      <c r="AI922" s="5" t="n"/>
      <c r="AJ922" s="125" t="n"/>
      <c r="AK922" s="125" t="n"/>
    </row>
    <row r="923"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125" t="n"/>
      <c r="AH923" s="125" t="n"/>
      <c r="AI923" s="5" t="n"/>
      <c r="AJ923" s="125" t="n"/>
      <c r="AK923" s="125" t="n"/>
    </row>
    <row r="924"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125" t="n"/>
      <c r="AH924" s="125" t="n"/>
      <c r="AI924" s="5" t="n"/>
      <c r="AJ924" s="125" t="n"/>
      <c r="AK924" s="125" t="n"/>
    </row>
    <row r="925"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125" t="n"/>
      <c r="AH925" s="125" t="n"/>
      <c r="AI925" s="5" t="n"/>
      <c r="AJ925" s="125" t="n"/>
      <c r="AK925" s="125" t="n"/>
    </row>
    <row r="926"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125" t="n"/>
      <c r="AH926" s="125" t="n"/>
      <c r="AI926" s="5" t="n"/>
      <c r="AJ926" s="125" t="n"/>
      <c r="AK926" s="125" t="n"/>
    </row>
    <row r="927"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125" t="n"/>
      <c r="AH927" s="125" t="n"/>
      <c r="AI927" s="5" t="n"/>
      <c r="AJ927" s="125" t="n"/>
      <c r="AK927" s="125" t="n"/>
    </row>
    <row r="928"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125" t="n"/>
      <c r="AH928" s="125" t="n"/>
      <c r="AI928" s="5" t="n"/>
      <c r="AJ928" s="125" t="n"/>
      <c r="AK928" s="125" t="n"/>
    </row>
    <row r="929"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125" t="n"/>
      <c r="AH929" s="125" t="n"/>
      <c r="AI929" s="5" t="n"/>
      <c r="AJ929" s="125" t="n"/>
      <c r="AK929" s="125" t="n"/>
    </row>
    <row r="930"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125" t="n"/>
      <c r="AH930" s="125" t="n"/>
      <c r="AI930" s="5" t="n"/>
      <c r="AJ930" s="125" t="n"/>
      <c r="AK930" s="125" t="n"/>
    </row>
    <row r="931"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125" t="n"/>
      <c r="AH931" s="125" t="n"/>
      <c r="AI931" s="5" t="n"/>
      <c r="AJ931" s="125" t="n"/>
      <c r="AK931" s="125" t="n"/>
    </row>
    <row r="932"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125" t="n"/>
      <c r="AH932" s="125" t="n"/>
      <c r="AI932" s="5" t="n"/>
      <c r="AJ932" s="125" t="n"/>
      <c r="AK932" s="125" t="n"/>
    </row>
    <row r="933"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125" t="n"/>
      <c r="AH933" s="125" t="n"/>
      <c r="AI933" s="5" t="n"/>
      <c r="AJ933" s="125" t="n"/>
      <c r="AK933" s="125" t="n"/>
    </row>
    <row r="934"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125" t="n"/>
      <c r="AH934" s="125" t="n"/>
      <c r="AI934" s="5" t="n"/>
      <c r="AJ934" s="125" t="n"/>
      <c r="AK934" s="125" t="n"/>
    </row>
    <row r="935"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125" t="n"/>
      <c r="AH935" s="125" t="n"/>
      <c r="AI935" s="5" t="n"/>
      <c r="AJ935" s="125" t="n"/>
      <c r="AK935" s="125" t="n"/>
    </row>
    <row r="936"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125" t="n"/>
      <c r="AH936" s="125" t="n"/>
      <c r="AI936" s="5" t="n"/>
      <c r="AJ936" s="125" t="n"/>
      <c r="AK936" s="125" t="n"/>
    </row>
    <row r="937"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125" t="n"/>
      <c r="AH937" s="125" t="n"/>
      <c r="AI937" s="5" t="n"/>
      <c r="AJ937" s="125" t="n"/>
      <c r="AK937" s="125" t="n"/>
    </row>
    <row r="938"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125" t="n"/>
      <c r="AH938" s="125" t="n"/>
      <c r="AI938" s="5" t="n"/>
      <c r="AJ938" s="125" t="n"/>
      <c r="AK938" s="125" t="n"/>
    </row>
    <row r="939"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125" t="n"/>
      <c r="AH939" s="125" t="n"/>
      <c r="AI939" s="5" t="n"/>
      <c r="AJ939" s="125" t="n"/>
      <c r="AK939" s="125" t="n"/>
    </row>
    <row r="940"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125" t="n"/>
      <c r="AH940" s="125" t="n"/>
      <c r="AI940" s="5" t="n"/>
      <c r="AJ940" s="125" t="n"/>
      <c r="AK940" s="125" t="n"/>
    </row>
    <row r="941"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125" t="n"/>
      <c r="AH941" s="125" t="n"/>
      <c r="AI941" s="5" t="n"/>
      <c r="AJ941" s="125" t="n"/>
      <c r="AK941" s="125" t="n"/>
    </row>
    <row r="942"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125" t="n"/>
      <c r="AH942" s="125" t="n"/>
      <c r="AI942" s="5" t="n"/>
      <c r="AJ942" s="125" t="n"/>
      <c r="AK942" s="125" t="n"/>
    </row>
    <row r="943"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125" t="n"/>
      <c r="AH943" s="125" t="n"/>
      <c r="AI943" s="5" t="n"/>
      <c r="AJ943" s="125" t="n"/>
      <c r="AK943" s="125" t="n"/>
    </row>
    <row r="944"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125" t="n"/>
      <c r="AH944" s="125" t="n"/>
      <c r="AI944" s="5" t="n"/>
      <c r="AJ944" s="125" t="n"/>
      <c r="AK944" s="125" t="n"/>
    </row>
    <row r="945"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125" t="n"/>
      <c r="AH945" s="125" t="n"/>
      <c r="AI945" s="5" t="n"/>
      <c r="AJ945" s="125" t="n"/>
      <c r="AK945" s="125" t="n"/>
    </row>
    <row r="946"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125" t="n"/>
      <c r="AH946" s="125" t="n"/>
      <c r="AI946" s="5" t="n"/>
      <c r="AJ946" s="125" t="n"/>
      <c r="AK946" s="125" t="n"/>
    </row>
    <row r="947"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125" t="n"/>
      <c r="AH947" s="125" t="n"/>
      <c r="AI947" s="5" t="n"/>
      <c r="AJ947" s="125" t="n"/>
      <c r="AK947" s="125" t="n"/>
    </row>
    <row r="948"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125" t="n"/>
      <c r="AH948" s="125" t="n"/>
      <c r="AI948" s="5" t="n"/>
      <c r="AJ948" s="125" t="n"/>
      <c r="AK948" s="125" t="n"/>
    </row>
    <row r="949"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125" t="n"/>
      <c r="AH949" s="125" t="n"/>
      <c r="AI949" s="5" t="n"/>
      <c r="AJ949" s="125" t="n"/>
      <c r="AK949" s="125" t="n"/>
    </row>
    <row r="950"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125" t="n"/>
      <c r="AH950" s="125" t="n"/>
      <c r="AI950" s="5" t="n"/>
      <c r="AJ950" s="125" t="n"/>
      <c r="AK950" s="125" t="n"/>
    </row>
    <row r="951"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125" t="n"/>
      <c r="AH951" s="125" t="n"/>
      <c r="AI951" s="5" t="n"/>
      <c r="AJ951" s="125" t="n"/>
      <c r="AK951" s="125" t="n"/>
    </row>
    <row r="952"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125" t="n"/>
      <c r="AH952" s="125" t="n"/>
      <c r="AI952" s="5" t="n"/>
      <c r="AJ952" s="125" t="n"/>
      <c r="AK952" s="125" t="n"/>
    </row>
    <row r="953"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125" t="n"/>
      <c r="AH953" s="125" t="n"/>
      <c r="AI953" s="5" t="n"/>
      <c r="AJ953" s="125" t="n"/>
      <c r="AK953" s="125" t="n"/>
    </row>
    <row r="954"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125" t="n"/>
      <c r="AH954" s="125" t="n"/>
      <c r="AI954" s="5" t="n"/>
      <c r="AJ954" s="125" t="n"/>
      <c r="AK954" s="125" t="n"/>
    </row>
    <row r="955"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125" t="n"/>
      <c r="AH955" s="125" t="n"/>
      <c r="AI955" s="5" t="n"/>
      <c r="AJ955" s="125" t="n"/>
      <c r="AK955" s="125" t="n"/>
    </row>
    <row r="956"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125" t="n"/>
      <c r="AH956" s="125" t="n"/>
      <c r="AI956" s="5" t="n"/>
      <c r="AJ956" s="125" t="n"/>
      <c r="AK956" s="125" t="n"/>
    </row>
    <row r="957"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125" t="n"/>
      <c r="AH957" s="125" t="n"/>
      <c r="AI957" s="5" t="n"/>
      <c r="AJ957" s="125" t="n"/>
      <c r="AK957" s="125" t="n"/>
    </row>
    <row r="958"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125" t="n"/>
      <c r="AH958" s="125" t="n"/>
      <c r="AI958" s="5" t="n"/>
      <c r="AJ958" s="125" t="n"/>
      <c r="AK958" s="125" t="n"/>
    </row>
    <row r="959"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125" t="n"/>
      <c r="AH959" s="125" t="n"/>
      <c r="AI959" s="5" t="n"/>
      <c r="AJ959" s="125" t="n"/>
      <c r="AK959" s="125" t="n"/>
    </row>
    <row r="960"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125" t="n"/>
      <c r="AH960" s="125" t="n"/>
      <c r="AI960" s="5" t="n"/>
      <c r="AJ960" s="125" t="n"/>
      <c r="AK960" s="125" t="n"/>
    </row>
    <row r="961"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125" t="n"/>
      <c r="AH961" s="125" t="n"/>
      <c r="AI961" s="5" t="n"/>
      <c r="AJ961" s="125" t="n"/>
      <c r="AK961" s="125" t="n"/>
    </row>
    <row r="962"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125" t="n"/>
      <c r="AH962" s="125" t="n"/>
      <c r="AI962" s="5" t="n"/>
      <c r="AJ962" s="125" t="n"/>
      <c r="AK962" s="125" t="n"/>
    </row>
    <row r="963"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125" t="n"/>
      <c r="AH963" s="125" t="n"/>
      <c r="AI963" s="5" t="n"/>
      <c r="AJ963" s="125" t="n"/>
      <c r="AK963" s="125" t="n"/>
    </row>
    <row r="964"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125" t="n"/>
      <c r="AH964" s="125" t="n"/>
      <c r="AI964" s="5" t="n"/>
      <c r="AJ964" s="125" t="n"/>
      <c r="AK964" s="125" t="n"/>
    </row>
    <row r="965"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125" t="n"/>
      <c r="AH965" s="125" t="n"/>
      <c r="AI965" s="5" t="n"/>
      <c r="AJ965" s="125" t="n"/>
      <c r="AK965" s="125" t="n"/>
    </row>
    <row r="966"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125" t="n"/>
      <c r="AH966" s="125" t="n"/>
      <c r="AI966" s="5" t="n"/>
      <c r="AJ966" s="125" t="n"/>
      <c r="AK966" s="125" t="n"/>
    </row>
    <row r="967"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125" t="n"/>
      <c r="AH967" s="125" t="n"/>
      <c r="AI967" s="5" t="n"/>
      <c r="AJ967" s="125" t="n"/>
      <c r="AK967" s="125" t="n"/>
    </row>
    <row r="968"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125" t="n"/>
      <c r="AH968" s="125" t="n"/>
      <c r="AI968" s="5" t="n"/>
      <c r="AJ968" s="125" t="n"/>
      <c r="AK968" s="125" t="n"/>
    </row>
    <row r="969"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125" t="n"/>
      <c r="AH969" s="125" t="n"/>
      <c r="AI969" s="5" t="n"/>
      <c r="AJ969" s="125" t="n"/>
      <c r="AK969" s="125" t="n"/>
    </row>
    <row r="970"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125" t="n"/>
      <c r="AH970" s="125" t="n"/>
      <c r="AI970" s="5" t="n"/>
      <c r="AJ970" s="125" t="n"/>
      <c r="AK970" s="125" t="n"/>
    </row>
    <row r="971"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125" t="n"/>
      <c r="AH971" s="125" t="n"/>
      <c r="AI971" s="5" t="n"/>
      <c r="AJ971" s="125" t="n"/>
      <c r="AK971" s="125" t="n"/>
    </row>
    <row r="972"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125" t="n"/>
      <c r="AH972" s="125" t="n"/>
      <c r="AI972" s="5" t="n"/>
      <c r="AJ972" s="125" t="n"/>
      <c r="AK972" s="125" t="n"/>
    </row>
    <row r="973"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125" t="n"/>
      <c r="AH973" s="125" t="n"/>
      <c r="AI973" s="5" t="n"/>
      <c r="AJ973" s="125" t="n"/>
      <c r="AK973" s="125" t="n"/>
    </row>
    <row r="974"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125" t="n"/>
      <c r="AH974" s="125" t="n"/>
      <c r="AI974" s="5" t="n"/>
      <c r="AJ974" s="125" t="n"/>
      <c r="AK974" s="125" t="n"/>
    </row>
    <row r="975"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125" t="n"/>
      <c r="AH975" s="125" t="n"/>
      <c r="AI975" s="5" t="n"/>
      <c r="AJ975" s="125" t="n"/>
      <c r="AK975" s="125" t="n"/>
    </row>
    <row r="976"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125" t="n"/>
      <c r="AH976" s="125" t="n"/>
      <c r="AI976" s="5" t="n"/>
      <c r="AJ976" s="125" t="n"/>
      <c r="AK976" s="125" t="n"/>
    </row>
    <row r="977"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125" t="n"/>
      <c r="AH977" s="125" t="n"/>
      <c r="AI977" s="5" t="n"/>
      <c r="AJ977" s="125" t="n"/>
      <c r="AK977" s="125" t="n"/>
    </row>
    <row r="978"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125" t="n"/>
      <c r="AH978" s="125" t="n"/>
      <c r="AI978" s="5" t="n"/>
      <c r="AJ978" s="125" t="n"/>
      <c r="AK978" s="125" t="n"/>
    </row>
    <row r="979"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125" t="n"/>
      <c r="AH979" s="125" t="n"/>
      <c r="AI979" s="5" t="n"/>
      <c r="AJ979" s="125" t="n"/>
      <c r="AK979" s="125" t="n"/>
    </row>
    <row r="980"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125" t="n"/>
      <c r="AH980" s="125" t="n"/>
      <c r="AI980" s="5" t="n"/>
      <c r="AJ980" s="125" t="n"/>
      <c r="AK980" s="125" t="n"/>
    </row>
    <row r="981"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125" t="n"/>
      <c r="AH981" s="125" t="n"/>
      <c r="AI981" s="5" t="n"/>
      <c r="AJ981" s="125" t="n"/>
      <c r="AK981" s="125" t="n"/>
    </row>
    <row r="982"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125" t="n"/>
      <c r="AH982" s="125" t="n"/>
      <c r="AI982" s="5" t="n"/>
      <c r="AJ982" s="125" t="n"/>
      <c r="AK982" s="125" t="n"/>
    </row>
    <row r="983"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125" t="n"/>
      <c r="AH983" s="125" t="n"/>
      <c r="AI983" s="5" t="n"/>
      <c r="AJ983" s="125" t="n"/>
      <c r="AK983" s="125" t="n"/>
    </row>
    <row r="984"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125" t="n"/>
      <c r="AH984" s="125" t="n"/>
      <c r="AI984" s="5" t="n"/>
      <c r="AJ984" s="125" t="n"/>
      <c r="AK984" s="125" t="n"/>
    </row>
    <row r="985"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125" t="n"/>
      <c r="AH985" s="125" t="n"/>
      <c r="AI985" s="5" t="n"/>
      <c r="AJ985" s="125" t="n"/>
      <c r="AK985" s="125" t="n"/>
    </row>
    <row r="986"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125" t="n"/>
      <c r="AH986" s="125" t="n"/>
      <c r="AI986" s="5" t="n"/>
      <c r="AJ986" s="125" t="n"/>
      <c r="AK986" s="125" t="n"/>
    </row>
    <row r="987"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125" t="n"/>
      <c r="AH987" s="125" t="n"/>
      <c r="AI987" s="5" t="n"/>
      <c r="AJ987" s="125" t="n"/>
      <c r="AK987" s="125" t="n"/>
    </row>
    <row r="988"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125" t="n"/>
      <c r="AH988" s="125" t="n"/>
      <c r="AI988" s="5" t="n"/>
      <c r="AJ988" s="125" t="n"/>
      <c r="AK988" s="125" t="n"/>
    </row>
    <row r="989"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125" t="n"/>
      <c r="AH989" s="125" t="n"/>
      <c r="AI989" s="5" t="n"/>
      <c r="AJ989" s="125" t="n"/>
      <c r="AK989" s="125" t="n"/>
    </row>
    <row r="990"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125" t="n"/>
      <c r="AH990" s="125" t="n"/>
      <c r="AI990" s="5" t="n"/>
      <c r="AJ990" s="125" t="n"/>
      <c r="AK990" s="125" t="n"/>
    </row>
    <row r="991"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125" t="n"/>
      <c r="AH991" s="125" t="n"/>
      <c r="AI991" s="5" t="n"/>
      <c r="AJ991" s="125" t="n"/>
      <c r="AK991" s="125" t="n"/>
    </row>
    <row r="992"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125" t="n"/>
      <c r="AH992" s="125" t="n"/>
      <c r="AI992" s="5" t="n"/>
      <c r="AJ992" s="125" t="n"/>
      <c r="AK992" s="125" t="n"/>
    </row>
    <row r="993"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125" t="n"/>
      <c r="AH993" s="125" t="n"/>
      <c r="AI993" s="5" t="n"/>
      <c r="AJ993" s="125" t="n"/>
      <c r="AK993" s="125" t="n"/>
    </row>
    <row r="994"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125" t="n"/>
      <c r="AH994" s="125" t="n"/>
      <c r="AI994" s="5" t="n"/>
      <c r="AJ994" s="125" t="n"/>
      <c r="AK994" s="125" t="n"/>
    </row>
    <row r="995"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125" t="n"/>
      <c r="AH995" s="125" t="n"/>
      <c r="AI995" s="5" t="n"/>
      <c r="AJ995" s="125" t="n"/>
      <c r="AK995" s="125" t="n"/>
    </row>
    <row r="996"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125" t="n"/>
      <c r="AH996" s="125" t="n"/>
      <c r="AI996" s="5" t="n"/>
      <c r="AJ996" s="125" t="n"/>
      <c r="AK996" s="125" t="n"/>
    </row>
    <row r="997"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125" t="n"/>
      <c r="AH997" s="125" t="n"/>
      <c r="AI997" s="5" t="n"/>
      <c r="AJ997" s="125" t="n"/>
      <c r="AK997" s="125" t="n"/>
    </row>
    <row r="998"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125" t="n"/>
      <c r="AH998" s="125" t="n"/>
      <c r="AI998" s="5" t="n"/>
      <c r="AJ998" s="125" t="n"/>
      <c r="AK998" s="125" t="n"/>
    </row>
    <row r="999"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125" t="n"/>
      <c r="AH999" s="125" t="n"/>
      <c r="AI999" s="5" t="n"/>
      <c r="AJ999" s="125" t="n"/>
      <c r="AK999" s="125" t="n"/>
    </row>
    <row r="1000"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125" t="n"/>
      <c r="AH1000" s="125" t="n"/>
      <c r="AI1000" s="5" t="n"/>
      <c r="AJ1000" s="125" t="n"/>
      <c r="AK1000" s="125" t="n"/>
    </row>
    <row r="1001"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125" t="n"/>
      <c r="AH1001" s="125" t="n"/>
      <c r="AI1001" s="5" t="n"/>
      <c r="AJ1001" s="125" t="n"/>
      <c r="AK1001" s="125" t="n"/>
    </row>
    <row r="1002"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125" t="n"/>
      <c r="AH1002" s="125" t="n"/>
      <c r="AI1002" s="5" t="n"/>
      <c r="AJ1002" s="125" t="n"/>
      <c r="AK1002" s="125" t="n"/>
    </row>
    <row r="1003"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125" t="n"/>
      <c r="AH1003" s="125" t="n"/>
      <c r="AI1003" s="5" t="n"/>
      <c r="AJ1003" s="125" t="n"/>
      <c r="AK1003" s="125" t="n"/>
    </row>
    <row r="1004"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125" t="n"/>
      <c r="AH1004" s="125" t="n"/>
      <c r="AI1004" s="5" t="n"/>
      <c r="AJ1004" s="125" t="n"/>
      <c r="AK1004" s="125" t="n"/>
    </row>
    <row r="1005"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  <c r="AD1005" s="5" t="n"/>
      <c r="AE1005" s="5" t="n"/>
      <c r="AF1005" s="5" t="n"/>
      <c r="AG1005" s="125" t="n"/>
      <c r="AH1005" s="125" t="n"/>
      <c r="AI1005" s="5" t="n"/>
      <c r="AJ1005" s="125" t="n"/>
      <c r="AK1005" s="125" t="n"/>
    </row>
    <row r="1006"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125" t="n"/>
      <c r="AH1006" s="125" t="n"/>
      <c r="AI1006" s="5" t="n"/>
      <c r="AJ1006" s="125" t="n"/>
      <c r="AK1006" s="125" t="n"/>
    </row>
    <row r="1007"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  <c r="AD1007" s="5" t="n"/>
      <c r="AE1007" s="5" t="n"/>
      <c r="AF1007" s="5" t="n"/>
      <c r="AG1007" s="125" t="n"/>
      <c r="AH1007" s="125" t="n"/>
      <c r="AI1007" s="5" t="n"/>
      <c r="AJ1007" s="125" t="n"/>
      <c r="AK1007" s="125" t="n"/>
    </row>
    <row r="1008"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  <c r="AD1008" s="5" t="n"/>
      <c r="AE1008" s="5" t="n"/>
      <c r="AF1008" s="5" t="n"/>
      <c r="AG1008" s="125" t="n"/>
      <c r="AH1008" s="125" t="n"/>
      <c r="AI1008" s="5" t="n"/>
      <c r="AJ1008" s="125" t="n"/>
      <c r="AK1008" s="125" t="n"/>
    </row>
    <row r="1009"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  <c r="AD1009" s="5" t="n"/>
      <c r="AE1009" s="5" t="n"/>
      <c r="AF1009" s="5" t="n"/>
      <c r="AG1009" s="125" t="n"/>
      <c r="AH1009" s="125" t="n"/>
      <c r="AI1009" s="5" t="n"/>
      <c r="AJ1009" s="125" t="n"/>
      <c r="AK1009" s="125" t="n"/>
    </row>
    <row r="1010"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  <c r="AD1010" s="5" t="n"/>
      <c r="AE1010" s="5" t="n"/>
      <c r="AF1010" s="5" t="n"/>
      <c r="AG1010" s="125" t="n"/>
      <c r="AH1010" s="125" t="n"/>
      <c r="AI1010" s="5" t="n"/>
      <c r="AJ1010" s="125" t="n"/>
      <c r="AK1010" s="125" t="n"/>
    </row>
    <row r="1011"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  <c r="AD1011" s="5" t="n"/>
      <c r="AE1011" s="5" t="n"/>
      <c r="AF1011" s="5" t="n"/>
      <c r="AG1011" s="125" t="n"/>
      <c r="AH1011" s="125" t="n"/>
      <c r="AI1011" s="5" t="n"/>
      <c r="AJ1011" s="125" t="n"/>
      <c r="AK1011" s="125" t="n"/>
    </row>
    <row r="1012"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  <c r="AD1012" s="5" t="n"/>
      <c r="AE1012" s="5" t="n"/>
      <c r="AF1012" s="5" t="n"/>
      <c r="AG1012" s="125" t="n"/>
      <c r="AH1012" s="125" t="n"/>
      <c r="AI1012" s="5" t="n"/>
      <c r="AJ1012" s="125" t="n"/>
      <c r="AK1012" s="125" t="n"/>
    </row>
  </sheetData>
  <mergeCells count="54">
    <mergeCell ref="B16:C16"/>
    <mergeCell ref="R4:R5"/>
    <mergeCell ref="H20:I20"/>
    <mergeCell ref="T4:T5"/>
    <mergeCell ref="H29:I29"/>
    <mergeCell ref="V4:V5"/>
    <mergeCell ref="AB4:AB5"/>
    <mergeCell ref="S17:S18"/>
    <mergeCell ref="U17:U18"/>
    <mergeCell ref="O4:O5"/>
    <mergeCell ref="H25:I25"/>
    <mergeCell ref="L13:AB13"/>
    <mergeCell ref="H21:I21"/>
    <mergeCell ref="B2:C2"/>
    <mergeCell ref="Q4:Q5"/>
    <mergeCell ref="Y17:Y18"/>
    <mergeCell ref="N17:N18"/>
    <mergeCell ref="P17:P18"/>
    <mergeCell ref="L3:AB3"/>
    <mergeCell ref="R17:R18"/>
    <mergeCell ref="J4:J5"/>
    <mergeCell ref="AA4:AA5"/>
    <mergeCell ref="T17:T18"/>
    <mergeCell ref="Z17:Z18"/>
    <mergeCell ref="AB17:AB18"/>
    <mergeCell ref="B15:D15"/>
    <mergeCell ref="H17:I17"/>
    <mergeCell ref="H16:I16"/>
    <mergeCell ref="M17:M18"/>
    <mergeCell ref="X4:X5"/>
    <mergeCell ref="O17:O18"/>
    <mergeCell ref="B4:D4"/>
    <mergeCell ref="Z4:Z5"/>
    <mergeCell ref="Q17:Q18"/>
    <mergeCell ref="W17:W18"/>
    <mergeCell ref="H19:I19"/>
    <mergeCell ref="S4:S5"/>
    <mergeCell ref="H28:I28"/>
    <mergeCell ref="H22:I22"/>
    <mergeCell ref="U4:U5"/>
    <mergeCell ref="H27:I27"/>
    <mergeCell ref="L9:AB9"/>
    <mergeCell ref="M4:M5"/>
    <mergeCell ref="AA17:AA18"/>
    <mergeCell ref="H24:I24"/>
    <mergeCell ref="W4:W5"/>
    <mergeCell ref="H18:I18"/>
    <mergeCell ref="Y4:Y5"/>
    <mergeCell ref="N4:N5"/>
    <mergeCell ref="V17:V18"/>
    <mergeCell ref="P4:P5"/>
    <mergeCell ref="X17:X18"/>
    <mergeCell ref="H23:I23"/>
    <mergeCell ref="H26:I26"/>
  </mergeCells>
  <conditionalFormatting sqref="AC1:AC2 AC12:AC20 AC29:AC1012 AF3:AF11">
    <cfRule type="notContainsBlanks" priority="1" dxfId="4">
      <formula>LEN(TRIM(AC1))&gt;0</formula>
    </cfRule>
  </conditionalFormatting>
  <conditionalFormatting sqref="Z8:AE8">
    <cfRule type="cellIs" priority="2" operator="equal" dxfId="0">
      <formula>0</formula>
    </cfRule>
  </conditionalFormatting>
  <conditionalFormatting sqref="M6:AB6 M10 M14 N10:AA11 N14:AA15 AB10 AB14">
    <cfRule type="cellIs" priority="3" operator="equal" dxfId="0">
      <formula>0</formula>
    </cfRule>
  </conditionalFormatting>
  <conditionalFormatting sqref="M7:AB7 M11:S11 M15:S15 T10:T11 T14:T15 U11:AB11 U15:AB15">
    <cfRule type="cellIs" priority="4" operator="equal" dxfId="5">
      <formula>0</formula>
    </cfRule>
  </conditionalFormatting>
  <conditionalFormatting sqref="H6:H13">
    <cfRule type="cellIs" priority="5" operator="greaterThan" dxfId="1">
      <formula>0</formula>
    </cfRule>
  </conditionalFormatting>
  <conditionalFormatting sqref="V4:V8 V10:V12 V14:V15">
    <cfRule type="expression" priority="6" dxfId="2">
      <formula>$F$15&gt;=3</formula>
    </cfRule>
  </conditionalFormatting>
  <dataValidations count="2">
    <dataValidation sqref="J10" showDropDown="0" showInputMessage="0" showErrorMessage="1" allowBlank="1" type="list">
      <formula1>"Sí,No"</formula1>
    </dataValidation>
    <dataValidation sqref="J8" showDropDown="0" showInputMessage="0" showErrorMessage="1" allowBlank="1" type="list">
      <formula1>"1%,2%,3%,4%,5%,0%"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660000"/>
    <outlinePr summaryBelow="0" summaryRight="0"/>
    <pageSetUpPr/>
  </sheetPr>
  <dimension ref="A1:DD100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13" customWidth="1" style="241" min="1" max="1"/>
    <col width="12" customWidth="1" style="241" min="2" max="2"/>
    <col width="11" customWidth="1" style="241" min="3" max="5"/>
    <col width="2.88" customWidth="1" style="241" min="6" max="6"/>
    <col width="17.13" customWidth="1" style="241" min="7" max="11"/>
    <col width="2.88" customWidth="1" style="241" min="12" max="12"/>
    <col width="12.13" customWidth="1" style="241" min="13" max="13"/>
    <col width="13.88" customWidth="1" style="241" min="14" max="17"/>
    <col width="2.88" customWidth="1" style="241" min="18" max="18"/>
    <col width="12.13" customWidth="1" style="241" min="19" max="19"/>
    <col width="15.38" customWidth="1" style="241" min="20" max="23"/>
    <col width="2.88" customWidth="1" style="241" min="24" max="24"/>
    <col width="12.13" customWidth="1" style="241" min="25" max="25"/>
    <col width="15.63" customWidth="1" style="241" min="26" max="29"/>
    <col width="2.38" customWidth="1" style="241" min="30" max="30"/>
    <col width="18.88" customWidth="1" style="241" min="31" max="31"/>
    <col width="19" customWidth="1" style="241" min="32" max="35"/>
    <col width="3.88" customWidth="1" style="241" min="36" max="36"/>
    <col width="16.88" customWidth="1" style="241" min="38" max="38"/>
    <col width="15.75" customWidth="1" style="241" min="56" max="59"/>
    <col width="3.88" customWidth="1" style="241" min="60" max="60"/>
    <col width="17.13" customWidth="1" style="241" min="61" max="65"/>
    <col width="5.63" customWidth="1" style="241" min="66" max="66"/>
    <col width="17.13" customWidth="1" style="241" min="67" max="67"/>
    <col width="13.63" customWidth="1" style="241" min="68" max="68"/>
    <col width="4.25" customWidth="1" style="241" min="70" max="70"/>
    <col width="18.88" customWidth="1" style="241" min="71" max="71"/>
    <col width="19" customWidth="1" style="241" min="72" max="75"/>
    <col width="3.75" customWidth="1" style="241" min="76" max="76"/>
    <col width="19.25" customWidth="1" style="241" min="83" max="83"/>
    <col width="19.38" customWidth="1" style="241" min="89" max="89"/>
    <col width="24.5" customWidth="1" style="241" min="96" max="96"/>
    <col width="3.38" customWidth="1" style="241" min="97" max="97"/>
    <col width="24.5" customWidth="1" style="241" min="99" max="102"/>
    <col width="3.75" customWidth="1" style="241" min="103" max="103"/>
    <col width="24.5" customWidth="1" style="241" min="105" max="108"/>
  </cols>
  <sheetData>
    <row r="1">
      <c r="A1" s="148" t="inlineStr">
        <is>
          <t>Tramo edad</t>
        </is>
      </c>
      <c r="B1" s="148" t="inlineStr">
        <is>
          <t>Adeslas Go 1</t>
        </is>
      </c>
      <c r="C1" s="148" t="inlineStr">
        <is>
          <t>Adeslas Go 2</t>
        </is>
      </c>
      <c r="D1" s="148" t="inlineStr">
        <is>
          <t>Adeslas Go 3</t>
        </is>
      </c>
      <c r="E1" s="148" t="inlineStr">
        <is>
          <t>Adeslas Go 4</t>
        </is>
      </c>
      <c r="F1" s="5" t="n"/>
      <c r="G1" s="147" t="inlineStr">
        <is>
          <t>Tramo edad</t>
        </is>
      </c>
      <c r="H1" s="147" t="inlineStr">
        <is>
          <t>Adeslas Plena Vital 1</t>
        </is>
      </c>
      <c r="I1" s="147" t="inlineStr">
        <is>
          <t>Adeslas Plena Vital 2</t>
        </is>
      </c>
      <c r="J1" s="147" t="inlineStr">
        <is>
          <t>Adeslas Plena Vital 3</t>
        </is>
      </c>
      <c r="K1" s="147" t="inlineStr">
        <is>
          <t>Adeslas Plena Vital 4</t>
        </is>
      </c>
      <c r="L1" s="5" t="n"/>
      <c r="M1" s="147" t="inlineStr">
        <is>
          <t>Tramo edad</t>
        </is>
      </c>
      <c r="N1" s="147" t="inlineStr">
        <is>
          <t>Adeslas Plena 1</t>
        </is>
      </c>
      <c r="O1" s="147" t="inlineStr">
        <is>
          <t>Adeslas Plena 2</t>
        </is>
      </c>
      <c r="P1" s="147" t="inlineStr">
        <is>
          <t>Adeslas Plena 3</t>
        </is>
      </c>
      <c r="Q1" s="147" t="inlineStr">
        <is>
          <t>Adeslas Plena 4</t>
        </is>
      </c>
      <c r="R1" s="5" t="n"/>
      <c r="S1" s="147" t="inlineStr">
        <is>
          <t>Tramo edad</t>
        </is>
      </c>
      <c r="T1" s="147" t="inlineStr">
        <is>
          <t>Adeslas Plena Plus 1</t>
        </is>
      </c>
      <c r="U1" s="147" t="inlineStr">
        <is>
          <t>Adeslas Plena Plus 2</t>
        </is>
      </c>
      <c r="V1" s="147" t="inlineStr">
        <is>
          <t>Adeslas Plena Plus 3</t>
        </is>
      </c>
      <c r="W1" s="147" t="inlineStr">
        <is>
          <t>Adeslas Plena Plus 4</t>
        </is>
      </c>
      <c r="X1" s="5" t="n"/>
      <c r="Y1" s="147" t="inlineStr">
        <is>
          <t>Tramo edad</t>
        </is>
      </c>
      <c r="Z1" s="147" t="inlineStr">
        <is>
          <t>Adeslas Plena Total 1</t>
        </is>
      </c>
      <c r="AA1" s="147" t="inlineStr">
        <is>
          <t>Adeslas Plena Total 2</t>
        </is>
      </c>
      <c r="AB1" s="147" t="inlineStr">
        <is>
          <t>Adeslas Plena Total 3</t>
        </is>
      </c>
      <c r="AC1" s="147" t="inlineStr">
        <is>
          <t>Adeslas Plena Total 4</t>
        </is>
      </c>
      <c r="AD1" s="5" t="n"/>
      <c r="AE1" s="147" t="inlineStr">
        <is>
          <t>Tramo edad (1 a 4 aseg)</t>
        </is>
      </c>
      <c r="AF1" s="147" t="inlineStr">
        <is>
          <t>Adeslas Negocios CIF 1</t>
        </is>
      </c>
      <c r="AG1" s="147" t="inlineStr">
        <is>
          <t>Adeslas Negocios CIF 2</t>
        </is>
      </c>
      <c r="AH1" s="147" t="inlineStr">
        <is>
          <t>Adeslas Negocios CIF 3</t>
        </is>
      </c>
      <c r="AI1" s="147" t="inlineStr">
        <is>
          <t>Adeslas Negocios CIF 4</t>
        </is>
      </c>
      <c r="AJ1" s="5" t="n"/>
      <c r="AK1" s="147" t="inlineStr">
        <is>
          <t>Tramo edad (1 a 4 aseg)</t>
        </is>
      </c>
      <c r="AL1" s="147" t="inlineStr">
        <is>
          <t>Adeslas Extra Negocios CIF 1</t>
        </is>
      </c>
      <c r="AM1" s="147" t="inlineStr">
        <is>
          <t>Adeslas Extra Negocios CIF 2</t>
        </is>
      </c>
      <c r="AN1" s="147" t="inlineStr">
        <is>
          <t>Adeslas Extra Negocios CIF 3</t>
        </is>
      </c>
      <c r="AO1" s="147" t="inlineStr">
        <is>
          <t>Adeslas Extra Negocios CIF 4</t>
        </is>
      </c>
      <c r="AP1" s="148" t="n"/>
      <c r="AQ1" s="147" t="inlineStr">
        <is>
          <t>Tramo edad (5 o + aseg)</t>
        </is>
      </c>
      <c r="AR1" s="147" t="inlineStr">
        <is>
          <t>Adeslas Empresas 1</t>
        </is>
      </c>
      <c r="AS1" s="147" t="inlineStr">
        <is>
          <t>Adeslas Empresas 2</t>
        </is>
      </c>
      <c r="AT1" s="147" t="inlineStr">
        <is>
          <t>Adeslas Empresas 3</t>
        </is>
      </c>
      <c r="AU1" s="147" t="inlineStr">
        <is>
          <t>Adeslas Empresas 4</t>
        </is>
      </c>
      <c r="AV1" s="148" t="n"/>
      <c r="AW1" s="147" t="inlineStr">
        <is>
          <t>Tramo edad (5 o + aseg)</t>
        </is>
      </c>
      <c r="AX1" s="147" t="inlineStr">
        <is>
          <t>Adeslas Extra Empresas 1</t>
        </is>
      </c>
      <c r="AY1" s="147" t="inlineStr">
        <is>
          <t>Adeslas Extra Empresas 2</t>
        </is>
      </c>
      <c r="AZ1" s="147" t="inlineStr">
        <is>
          <t>Adeslas Extra Empresas 3</t>
        </is>
      </c>
      <c r="BA1" s="147" t="inlineStr">
        <is>
          <t>Adeslas Extra Empresas 4</t>
        </is>
      </c>
      <c r="BB1" s="148" t="n"/>
      <c r="BC1" s="147" t="inlineStr">
        <is>
          <t>Tramo edad</t>
        </is>
      </c>
      <c r="BD1" s="147" t="inlineStr">
        <is>
          <t>Adeslas Seniors 1</t>
        </is>
      </c>
      <c r="BE1" s="147" t="inlineStr">
        <is>
          <t>Adeslas Seniors 2</t>
        </is>
      </c>
      <c r="BF1" s="147" t="inlineStr">
        <is>
          <t>Adeslas Seniors 3</t>
        </is>
      </c>
      <c r="BG1" s="147" t="inlineStr">
        <is>
          <t>Adeslas Seniors 4</t>
        </is>
      </c>
      <c r="BH1" s="5" t="n"/>
      <c r="BI1" s="147" t="inlineStr">
        <is>
          <t>Tramo edad</t>
        </is>
      </c>
      <c r="BJ1" s="147" t="inlineStr">
        <is>
          <t>Adeslas Plena Total Seniors 1</t>
        </is>
      </c>
      <c r="BK1" s="147" t="inlineStr">
        <is>
          <t>Adeslas Plena Total Seniors 2</t>
        </is>
      </c>
      <c r="BL1" s="147" t="inlineStr">
        <is>
          <t>Adeslas Plena Total Seniors 3</t>
        </is>
      </c>
      <c r="BM1" s="147" t="inlineStr">
        <is>
          <t>Adeslas Plena Total Seniors 4</t>
        </is>
      </c>
      <c r="BN1" s="5" t="n"/>
      <c r="BO1" s="147" t="inlineStr">
        <is>
          <t>Nº Asegurados</t>
        </is>
      </c>
      <c r="BP1" s="147" t="inlineStr">
        <is>
          <t>DENTAL</t>
        </is>
      </c>
      <c r="BQ1" s="147" t="inlineStr">
        <is>
          <t>TOTAL</t>
        </is>
      </c>
      <c r="BR1" s="5" t="n"/>
      <c r="BS1" s="147" t="inlineStr">
        <is>
          <t>Tramo edad</t>
        </is>
      </c>
      <c r="BT1" s="147" t="inlineStr">
        <is>
          <t>Adeslas Pymes Total 1</t>
        </is>
      </c>
      <c r="BU1" s="147" t="inlineStr">
        <is>
          <t>Adeslas Pymes Total 2</t>
        </is>
      </c>
      <c r="BV1" s="147" t="inlineStr">
        <is>
          <t>Adeslas Pymes Total 3</t>
        </is>
      </c>
      <c r="BW1" s="147" t="inlineStr">
        <is>
          <t>Adeslas Pymes Total 4</t>
        </is>
      </c>
      <c r="BY1" s="147" t="inlineStr">
        <is>
          <t>Tramo edad</t>
        </is>
      </c>
      <c r="BZ1" s="147" t="inlineStr">
        <is>
          <t>Adeslas Negocios NIF 1</t>
        </is>
      </c>
      <c r="CA1" s="147" t="inlineStr">
        <is>
          <t>Adeslas Negocios NIF 2</t>
        </is>
      </c>
      <c r="CB1" s="147" t="inlineStr">
        <is>
          <t>Adeslas Negocios NIF 3</t>
        </is>
      </c>
      <c r="CC1" s="147" t="inlineStr">
        <is>
          <t>Adeslas Negocios NIF 4</t>
        </is>
      </c>
      <c r="CD1" s="148" t="n"/>
      <c r="CE1" s="147" t="inlineStr">
        <is>
          <t>Tramo edad (1 o 2 aseg)</t>
        </is>
      </c>
      <c r="CF1" s="147" t="inlineStr">
        <is>
          <t>Adeslas Extra Negocios NIF 1</t>
        </is>
      </c>
      <c r="CG1" s="147" t="inlineStr">
        <is>
          <t>Adeslas Extra Negocios NIF 2</t>
        </is>
      </c>
      <c r="CH1" s="147" t="inlineStr">
        <is>
          <t>Adeslas Extra Negocios NIF 3</t>
        </is>
      </c>
      <c r="CI1" s="147" t="inlineStr">
        <is>
          <t>Adeslas Extra Negocios NIF 4</t>
        </is>
      </c>
      <c r="CJ1" s="148" t="n"/>
      <c r="CK1" s="147" t="inlineStr">
        <is>
          <t>Tramo edad (3 o + aseg)</t>
        </is>
      </c>
      <c r="CL1" s="147" t="inlineStr">
        <is>
          <t>Adeslas Extra Negocios NIF 1</t>
        </is>
      </c>
      <c r="CM1" s="147" t="inlineStr">
        <is>
          <t>Adeslas Extra Negocios NIF 2</t>
        </is>
      </c>
      <c r="CN1" s="147" t="inlineStr">
        <is>
          <t>Adeslas Extra Negocios NIF 3</t>
        </is>
      </c>
      <c r="CO1" s="147" t="inlineStr">
        <is>
          <t>Adeslas Extra Negocios NIF 4</t>
        </is>
      </c>
      <c r="CP1" s="148" t="n"/>
      <c r="CQ1" s="149" t="n"/>
      <c r="CR1" s="149" t="n"/>
      <c r="CT1" s="147" t="inlineStr">
        <is>
          <t>Tramo edad</t>
        </is>
      </c>
      <c r="CU1" s="147" t="inlineStr">
        <is>
          <t>Adeslas Plena Extra 150 1</t>
        </is>
      </c>
      <c r="CV1" s="147" t="inlineStr">
        <is>
          <t>Adeslas Plena Extra 150 2</t>
        </is>
      </c>
      <c r="CW1" s="147" t="inlineStr">
        <is>
          <t>Adeslas Plena Extra 150 3</t>
        </is>
      </c>
      <c r="CX1" s="147" t="inlineStr">
        <is>
          <t>Adeslas Plena Extra 150 4</t>
        </is>
      </c>
      <c r="CZ1" s="147" t="inlineStr">
        <is>
          <t>Tramo edad</t>
        </is>
      </c>
      <c r="DA1" s="147" t="inlineStr">
        <is>
          <t>Adeslas Plena Total Vital 1</t>
        </is>
      </c>
      <c r="DB1" s="147" t="inlineStr">
        <is>
          <t>Adeslas Plena Total Vital 2</t>
        </is>
      </c>
      <c r="DC1" s="147" t="inlineStr">
        <is>
          <t>Adeslas Plena Total Vital 3</t>
        </is>
      </c>
      <c r="DD1" s="147" t="inlineStr">
        <is>
          <t>Adeslas Plena Total Vital 4</t>
        </is>
      </c>
    </row>
    <row r="2">
      <c r="A2" s="151" t="n">
        <v>0</v>
      </c>
      <c r="B2" s="152" t="n">
        <v>20</v>
      </c>
      <c r="C2" s="152" t="n">
        <v>21</v>
      </c>
      <c r="D2" s="152" t="n">
        <v>21</v>
      </c>
      <c r="E2" s="152" t="n">
        <v>22</v>
      </c>
      <c r="F2" s="5" t="n"/>
      <c r="G2" s="153" t="n">
        <v>0</v>
      </c>
      <c r="H2" s="152" t="n">
        <v>37</v>
      </c>
      <c r="I2" s="152" t="n">
        <v>38</v>
      </c>
      <c r="J2" s="152" t="n">
        <v>39</v>
      </c>
      <c r="K2" s="152" t="n">
        <v>40</v>
      </c>
      <c r="L2" s="5" t="n"/>
      <c r="M2" s="153" t="n">
        <v>0</v>
      </c>
      <c r="N2" s="152" t="n">
        <v>49</v>
      </c>
      <c r="O2" s="152" t="n">
        <v>50</v>
      </c>
      <c r="P2" s="152" t="n">
        <v>51</v>
      </c>
      <c r="Q2" s="152" t="n">
        <v>52</v>
      </c>
      <c r="R2" s="5" t="n"/>
      <c r="S2" s="153" t="n">
        <v>0</v>
      </c>
      <c r="T2" s="152" t="n">
        <v>59</v>
      </c>
      <c r="U2" s="152" t="n">
        <v>61</v>
      </c>
      <c r="V2" s="152" t="n">
        <v>63</v>
      </c>
      <c r="W2" s="152" t="n">
        <v>64</v>
      </c>
      <c r="X2" s="5" t="n"/>
      <c r="Y2" s="153" t="n">
        <v>0</v>
      </c>
      <c r="Z2" s="152" t="n">
        <v>80</v>
      </c>
      <c r="AA2" s="152" t="n">
        <v>81</v>
      </c>
      <c r="AB2" s="152" t="n">
        <v>83</v>
      </c>
      <c r="AC2" s="152" t="n">
        <v>84</v>
      </c>
      <c r="AD2" s="5" t="n"/>
      <c r="AE2" s="153" t="n">
        <v>0</v>
      </c>
      <c r="AF2" s="154" t="n">
        <v>49</v>
      </c>
      <c r="AG2" s="154" t="n">
        <v>50</v>
      </c>
      <c r="AH2" s="154" t="n">
        <v>52</v>
      </c>
      <c r="AI2" s="154" t="n">
        <v>53</v>
      </c>
      <c r="AJ2" s="5" t="n"/>
      <c r="AK2" s="153" t="n">
        <v>0</v>
      </c>
      <c r="AL2" s="154" t="n">
        <v>72</v>
      </c>
      <c r="AM2" s="154" t="n">
        <v>73</v>
      </c>
      <c r="AN2" s="154" t="n">
        <v>76</v>
      </c>
      <c r="AO2" s="154" t="n">
        <v>77</v>
      </c>
      <c r="AP2" s="5" t="n"/>
      <c r="AQ2" s="153" t="n">
        <v>0</v>
      </c>
      <c r="AR2" s="154" t="n">
        <v>53.5</v>
      </c>
      <c r="AS2" s="154" t="n">
        <v>55.5</v>
      </c>
      <c r="AT2" s="154" t="n">
        <v>57</v>
      </c>
      <c r="AU2" s="154" t="n">
        <v>58</v>
      </c>
      <c r="AV2" s="5" t="n"/>
      <c r="AW2" s="153" t="n">
        <v>0</v>
      </c>
      <c r="AX2" s="154" t="n">
        <v>75.5</v>
      </c>
      <c r="AY2" s="154" t="n">
        <v>77.5</v>
      </c>
      <c r="AZ2" s="154" t="n">
        <v>80.5</v>
      </c>
      <c r="BA2" s="154" t="n">
        <v>82</v>
      </c>
      <c r="BB2" s="5" t="n"/>
      <c r="BC2" s="155" t="n">
        <v>0</v>
      </c>
      <c r="BD2" s="156" t="inlineStr">
        <is>
          <t>No asegurable</t>
        </is>
      </c>
      <c r="BE2" s="156" t="inlineStr">
        <is>
          <t>No asegurable</t>
        </is>
      </c>
      <c r="BF2" s="156" t="inlineStr">
        <is>
          <t>No asegurable</t>
        </is>
      </c>
      <c r="BG2" s="156" t="inlineStr">
        <is>
          <t>No asegurable</t>
        </is>
      </c>
      <c r="BH2" s="5" t="n"/>
      <c r="BI2" s="155" t="n">
        <v>0</v>
      </c>
      <c r="BJ2" s="152" t="inlineStr">
        <is>
          <t>No asegurable</t>
        </is>
      </c>
      <c r="BK2" s="152" t="inlineStr">
        <is>
          <t>No asegurable</t>
        </is>
      </c>
      <c r="BL2" s="152" t="inlineStr">
        <is>
          <t>No asegurable</t>
        </is>
      </c>
      <c r="BM2" s="152" t="inlineStr">
        <is>
          <t>No asegurable</t>
        </is>
      </c>
      <c r="BN2" s="5" t="n"/>
      <c r="BO2" s="155" t="n">
        <v>1</v>
      </c>
      <c r="BP2" s="157" t="n">
        <v>8.93</v>
      </c>
      <c r="BQ2" s="157">
        <f>BP2*BO2</f>
        <v/>
      </c>
      <c r="BR2" s="5" t="n"/>
      <c r="BS2" s="153" t="n">
        <v>0</v>
      </c>
      <c r="BT2" s="152" t="n">
        <v>58</v>
      </c>
      <c r="BU2" s="152" t="n">
        <v>60</v>
      </c>
      <c r="BV2" s="152" t="n">
        <v>62</v>
      </c>
      <c r="BW2" s="152" t="n">
        <v>63</v>
      </c>
      <c r="BY2" s="153" t="n">
        <v>0</v>
      </c>
      <c r="BZ2" s="154" t="n">
        <v>53.5</v>
      </c>
      <c r="CA2" s="154" t="n">
        <v>54.5</v>
      </c>
      <c r="CB2" s="154" t="n">
        <v>56.5</v>
      </c>
      <c r="CC2" s="154" t="n">
        <v>58</v>
      </c>
      <c r="CD2" s="158" t="n"/>
      <c r="CE2" s="153" t="n">
        <v>0</v>
      </c>
      <c r="CF2" s="152" t="n">
        <v>87</v>
      </c>
      <c r="CG2" s="152" t="n">
        <v>90</v>
      </c>
      <c r="CH2" s="152" t="n">
        <v>98</v>
      </c>
      <c r="CI2" s="152" t="n">
        <v>98</v>
      </c>
      <c r="CJ2" s="158" t="n"/>
      <c r="CK2" s="153" t="n">
        <v>0</v>
      </c>
      <c r="CL2" s="154" t="n">
        <v>78.3</v>
      </c>
      <c r="CM2" s="154" t="n">
        <v>81</v>
      </c>
      <c r="CN2" s="154" t="n">
        <v>88.2</v>
      </c>
      <c r="CO2" s="154" t="n">
        <v>88.2</v>
      </c>
      <c r="CP2" s="158" t="n"/>
      <c r="CQ2" s="159" t="n"/>
      <c r="CR2" s="160" t="n"/>
      <c r="CT2" s="153" t="n">
        <v>0</v>
      </c>
      <c r="CU2" s="152" t="n">
        <v>87</v>
      </c>
      <c r="CV2" s="152" t="n">
        <v>90</v>
      </c>
      <c r="CW2" s="152" t="n">
        <v>98</v>
      </c>
      <c r="CX2" s="152" t="n">
        <v>98</v>
      </c>
      <c r="CZ2" s="153" t="n">
        <v>0</v>
      </c>
      <c r="DA2" s="152" t="n">
        <v>47</v>
      </c>
      <c r="DB2" s="152" t="n">
        <v>48</v>
      </c>
      <c r="DC2" s="152" t="n">
        <v>49</v>
      </c>
      <c r="DD2" s="152" t="n">
        <v>50</v>
      </c>
    </row>
    <row r="3">
      <c r="A3" s="153" t="n">
        <v>55</v>
      </c>
      <c r="B3" s="152" t="n">
        <v>37</v>
      </c>
      <c r="C3" s="152" t="n">
        <v>37</v>
      </c>
      <c r="D3" s="152" t="n">
        <v>38</v>
      </c>
      <c r="E3" s="152" t="n">
        <v>38</v>
      </c>
      <c r="F3" s="5" t="n"/>
      <c r="G3" s="153" t="n">
        <v>25</v>
      </c>
      <c r="H3" s="152" t="n">
        <v>48</v>
      </c>
      <c r="I3" s="152" t="n">
        <v>49</v>
      </c>
      <c r="J3" s="152" t="n">
        <v>50</v>
      </c>
      <c r="K3" s="152" t="n">
        <v>51</v>
      </c>
      <c r="L3" s="5" t="n"/>
      <c r="M3" s="153" t="n">
        <v>25</v>
      </c>
      <c r="N3" s="152" t="n">
        <v>58</v>
      </c>
      <c r="O3" s="152" t="n">
        <v>59</v>
      </c>
      <c r="P3" s="152" t="n">
        <v>61</v>
      </c>
      <c r="Q3" s="152" t="n">
        <v>62</v>
      </c>
      <c r="R3" s="5" t="n"/>
      <c r="S3" s="153" t="n">
        <v>25</v>
      </c>
      <c r="T3" s="152" t="n">
        <v>69</v>
      </c>
      <c r="U3" s="152" t="n">
        <v>71</v>
      </c>
      <c r="V3" s="152" t="n">
        <v>73</v>
      </c>
      <c r="W3" s="152" t="n">
        <v>75</v>
      </c>
      <c r="X3" s="5" t="n"/>
      <c r="Y3" s="153" t="n">
        <v>25</v>
      </c>
      <c r="Z3" s="152" t="n">
        <v>95</v>
      </c>
      <c r="AA3" s="152" t="n">
        <v>98</v>
      </c>
      <c r="AB3" s="152" t="n">
        <v>100</v>
      </c>
      <c r="AC3" s="152" t="n">
        <v>103</v>
      </c>
      <c r="AD3" s="5" t="n"/>
      <c r="AE3" s="153" t="n">
        <v>45</v>
      </c>
      <c r="AF3" s="154" t="n">
        <v>56.5</v>
      </c>
      <c r="AG3" s="154" t="n">
        <v>58.5</v>
      </c>
      <c r="AH3" s="154" t="n">
        <v>60.5</v>
      </c>
      <c r="AI3" s="154" t="n">
        <v>61.5</v>
      </c>
      <c r="AJ3" s="5" t="n"/>
      <c r="AK3" s="153" t="n">
        <v>45</v>
      </c>
      <c r="AL3" s="154" t="n">
        <v>73.5</v>
      </c>
      <c r="AM3" s="154" t="n">
        <v>75.5</v>
      </c>
      <c r="AN3" s="154" t="n">
        <v>78.5</v>
      </c>
      <c r="AO3" s="154" t="n">
        <v>79.5</v>
      </c>
      <c r="AP3" s="5" t="n"/>
      <c r="AQ3" s="153" t="n">
        <v>66</v>
      </c>
      <c r="AR3" s="154" t="n">
        <v>82</v>
      </c>
      <c r="AS3" s="154" t="n">
        <v>84</v>
      </c>
      <c r="AT3" s="154" t="n">
        <v>87</v>
      </c>
      <c r="AU3" s="154" t="n">
        <v>89</v>
      </c>
      <c r="AV3" s="5" t="n"/>
      <c r="AW3" s="153" t="n">
        <v>66</v>
      </c>
      <c r="AX3" s="154" t="n">
        <v>97</v>
      </c>
      <c r="AY3" s="154" t="n">
        <v>100</v>
      </c>
      <c r="AZ3" s="154" t="n">
        <v>103</v>
      </c>
      <c r="BA3" s="154" t="n">
        <v>105</v>
      </c>
      <c r="BB3" s="5" t="n"/>
      <c r="BC3" s="155" t="n">
        <v>50</v>
      </c>
      <c r="BD3" s="152" t="n">
        <v>65</v>
      </c>
      <c r="BE3" s="152" t="n">
        <v>67</v>
      </c>
      <c r="BF3" s="152" t="n">
        <v>69</v>
      </c>
      <c r="BG3" s="152" t="n">
        <v>70</v>
      </c>
      <c r="BH3" s="5" t="n"/>
      <c r="BI3" s="155" t="n">
        <v>60</v>
      </c>
      <c r="BJ3" s="152" t="n">
        <v>99</v>
      </c>
      <c r="BK3" s="152" t="n">
        <v>100</v>
      </c>
      <c r="BL3" s="152" t="n">
        <v>107</v>
      </c>
      <c r="BM3" s="152" t="n">
        <v>109</v>
      </c>
      <c r="BN3" s="5" t="n"/>
      <c r="BO3" s="155" t="n">
        <v>2</v>
      </c>
      <c r="BP3" s="157" t="n">
        <v>6.37</v>
      </c>
      <c r="BQ3" s="157">
        <f>BP3*BO3</f>
        <v/>
      </c>
      <c r="BR3" s="5" t="n"/>
      <c r="BS3" s="153" t="n">
        <v>45</v>
      </c>
      <c r="BT3" s="152" t="n">
        <v>69</v>
      </c>
      <c r="BU3" s="152" t="n">
        <v>71</v>
      </c>
      <c r="BV3" s="152" t="n">
        <v>74</v>
      </c>
      <c r="BW3" s="152" t="n">
        <v>75</v>
      </c>
      <c r="BY3" s="153" t="n">
        <v>25</v>
      </c>
      <c r="BZ3" s="154" t="n">
        <v>58.5</v>
      </c>
      <c r="CA3" s="154" t="n">
        <v>60.5</v>
      </c>
      <c r="CB3" s="154" t="n">
        <v>62.5</v>
      </c>
      <c r="CC3" s="154" t="n">
        <v>63.5</v>
      </c>
      <c r="CD3" s="158" t="n"/>
      <c r="CE3" s="153" t="n">
        <v>25</v>
      </c>
      <c r="CF3" s="152" t="n">
        <v>103</v>
      </c>
      <c r="CG3" s="152" t="n">
        <v>105</v>
      </c>
      <c r="CH3" s="152" t="n">
        <v>115</v>
      </c>
      <c r="CI3" s="152" t="n">
        <v>115</v>
      </c>
      <c r="CJ3" s="158" t="n"/>
      <c r="CK3" s="153" t="n">
        <v>25</v>
      </c>
      <c r="CL3" s="154" t="n">
        <v>92.7</v>
      </c>
      <c r="CM3" s="154" t="n">
        <v>94.5</v>
      </c>
      <c r="CN3" s="154" t="n">
        <v>103.5</v>
      </c>
      <c r="CO3" s="154" t="n">
        <v>103.5</v>
      </c>
      <c r="CP3" s="158" t="n"/>
      <c r="CQ3" s="159" t="n"/>
      <c r="CR3" s="160" t="n"/>
      <c r="CT3" s="153" t="n">
        <v>25</v>
      </c>
      <c r="CU3" s="152" t="n">
        <v>103</v>
      </c>
      <c r="CV3" s="152" t="n">
        <v>105</v>
      </c>
      <c r="CW3" s="152" t="n">
        <v>115</v>
      </c>
      <c r="CX3" s="152" t="n">
        <v>115</v>
      </c>
      <c r="CZ3" s="153" t="n">
        <v>25</v>
      </c>
      <c r="DA3" s="152" t="n">
        <v>58</v>
      </c>
      <c r="DB3" s="152" t="n">
        <v>59</v>
      </c>
      <c r="DC3" s="152" t="n">
        <v>60</v>
      </c>
      <c r="DD3" s="152" t="n">
        <v>61</v>
      </c>
    </row>
    <row r="4">
      <c r="A4" s="153" t="n">
        <v>70</v>
      </c>
      <c r="B4" s="152" t="n">
        <v>45</v>
      </c>
      <c r="C4" s="152" t="n">
        <v>45</v>
      </c>
      <c r="D4" s="152" t="n">
        <v>45</v>
      </c>
      <c r="E4" s="152" t="n">
        <v>45</v>
      </c>
      <c r="F4" s="5" t="n"/>
      <c r="G4" s="153" t="n">
        <v>45</v>
      </c>
      <c r="H4" s="152" t="n">
        <v>59</v>
      </c>
      <c r="I4" s="152" t="n">
        <v>60</v>
      </c>
      <c r="J4" s="152" t="n">
        <v>61</v>
      </c>
      <c r="K4" s="152" t="n">
        <v>62</v>
      </c>
      <c r="L4" s="5" t="n"/>
      <c r="M4" s="153" t="n">
        <v>45</v>
      </c>
      <c r="N4" s="152" t="n">
        <v>69</v>
      </c>
      <c r="O4" s="152" t="n">
        <v>70</v>
      </c>
      <c r="P4" s="152" t="n">
        <v>72</v>
      </c>
      <c r="Q4" s="152" t="n">
        <v>74</v>
      </c>
      <c r="R4" s="5" t="n"/>
      <c r="S4" s="153" t="n">
        <v>45</v>
      </c>
      <c r="T4" s="152" t="n">
        <v>88</v>
      </c>
      <c r="U4" s="152" t="n">
        <v>89</v>
      </c>
      <c r="V4" s="152" t="n">
        <v>93</v>
      </c>
      <c r="W4" s="152" t="n">
        <v>94</v>
      </c>
      <c r="X4" s="5" t="n"/>
      <c r="Y4" s="153" t="n">
        <v>45</v>
      </c>
      <c r="Z4" s="152" t="n">
        <v>114</v>
      </c>
      <c r="AA4" s="152" t="n">
        <v>117</v>
      </c>
      <c r="AB4" s="152" t="n">
        <v>122</v>
      </c>
      <c r="AC4" s="152" t="n">
        <v>125</v>
      </c>
      <c r="AD4" s="5" t="n"/>
      <c r="AE4" s="153" t="n">
        <v>55</v>
      </c>
      <c r="AF4" s="154" t="n">
        <v>71.5</v>
      </c>
      <c r="AG4" s="154" t="n">
        <v>74.5</v>
      </c>
      <c r="AH4" s="154" t="n">
        <v>76.5</v>
      </c>
      <c r="AI4" s="154" t="n">
        <v>79.5</v>
      </c>
      <c r="AJ4" s="5" t="n"/>
      <c r="AK4" s="153" t="n">
        <v>55</v>
      </c>
      <c r="AL4" s="154" t="n">
        <v>102</v>
      </c>
      <c r="AM4" s="154" t="n">
        <v>106</v>
      </c>
      <c r="AN4" s="154" t="n">
        <v>109</v>
      </c>
      <c r="AO4" s="154" t="n">
        <v>111</v>
      </c>
      <c r="AP4" s="5" t="n"/>
      <c r="AQ4" s="153" t="n">
        <v>68</v>
      </c>
      <c r="AR4" s="154" t="n">
        <v>153</v>
      </c>
      <c r="AS4" s="154" t="n">
        <v>159</v>
      </c>
      <c r="AT4" s="154" t="n">
        <v>166</v>
      </c>
      <c r="AU4" s="154" t="n">
        <v>170</v>
      </c>
      <c r="AV4" s="5" t="n"/>
      <c r="AW4" s="153" t="n">
        <v>68</v>
      </c>
      <c r="AX4" s="154" t="n">
        <v>182</v>
      </c>
      <c r="AY4" s="154" t="n">
        <v>190</v>
      </c>
      <c r="AZ4" s="154" t="n">
        <v>197</v>
      </c>
      <c r="BA4" s="154" t="n">
        <v>200</v>
      </c>
      <c r="BB4" s="5" t="n"/>
      <c r="BC4" s="155" t="n">
        <v>55</v>
      </c>
      <c r="BD4" s="152" t="n">
        <v>65</v>
      </c>
      <c r="BE4" s="152" t="n">
        <v>67</v>
      </c>
      <c r="BF4" s="152" t="n">
        <v>69</v>
      </c>
      <c r="BG4" s="152" t="n">
        <v>70</v>
      </c>
      <c r="BH4" s="5" t="n"/>
      <c r="BI4" s="155" t="n">
        <v>63</v>
      </c>
      <c r="BJ4" s="152" t="n">
        <v>99</v>
      </c>
      <c r="BK4" s="152" t="n">
        <v>100</v>
      </c>
      <c r="BL4" s="152" t="n">
        <v>107</v>
      </c>
      <c r="BM4" s="152" t="n">
        <v>109</v>
      </c>
      <c r="BN4" s="5" t="n"/>
      <c r="BO4" s="155" t="n">
        <v>3</v>
      </c>
      <c r="BP4" s="157">
        <f>17.85/3</f>
        <v/>
      </c>
      <c r="BQ4" s="157">
        <f>BP4*BO4</f>
        <v/>
      </c>
      <c r="BR4" s="5" t="n"/>
      <c r="BS4" s="153" t="n">
        <v>55</v>
      </c>
      <c r="BT4" s="152" t="n">
        <v>88</v>
      </c>
      <c r="BU4" s="152" t="n">
        <v>89</v>
      </c>
      <c r="BV4" s="152" t="n">
        <v>94</v>
      </c>
      <c r="BW4" s="152" t="n">
        <v>96</v>
      </c>
      <c r="BY4" s="153" t="n">
        <v>45</v>
      </c>
      <c r="BZ4" s="152" t="n">
        <v>75</v>
      </c>
      <c r="CA4" s="152" t="n">
        <v>77</v>
      </c>
      <c r="CB4" s="152" t="n">
        <v>80</v>
      </c>
      <c r="CC4" s="152" t="n">
        <v>81</v>
      </c>
      <c r="CD4" s="158" t="n"/>
      <c r="CE4" s="153" t="n">
        <v>45</v>
      </c>
      <c r="CF4" s="152" t="n">
        <v>108</v>
      </c>
      <c r="CG4" s="152" t="n">
        <v>112</v>
      </c>
      <c r="CH4" s="152" t="n">
        <v>122</v>
      </c>
      <c r="CI4" s="152" t="n">
        <v>122</v>
      </c>
      <c r="CJ4" s="158" t="n"/>
      <c r="CK4" s="153" t="n">
        <v>45</v>
      </c>
      <c r="CL4" s="154" t="n">
        <v>97.2</v>
      </c>
      <c r="CM4" s="154" t="n">
        <v>100.8</v>
      </c>
      <c r="CN4" s="154" t="n">
        <v>109.8</v>
      </c>
      <c r="CO4" s="154" t="n">
        <v>109.8</v>
      </c>
      <c r="CP4" s="158" t="n"/>
      <c r="CQ4" s="159" t="n"/>
      <c r="CR4" s="160" t="n"/>
      <c r="CT4" s="153" t="n">
        <v>45</v>
      </c>
      <c r="CU4" s="152" t="n">
        <v>108</v>
      </c>
      <c r="CV4" s="152" t="n">
        <v>112</v>
      </c>
      <c r="CW4" s="152" t="n">
        <v>122</v>
      </c>
      <c r="CX4" s="152" t="n">
        <v>122</v>
      </c>
      <c r="CZ4" s="153" t="n">
        <v>45</v>
      </c>
      <c r="DA4" s="152" t="n">
        <v>69</v>
      </c>
      <c r="DB4" s="152" t="n">
        <v>70</v>
      </c>
      <c r="DC4" s="152" t="n">
        <v>71</v>
      </c>
      <c r="DD4" s="152" t="n">
        <v>72</v>
      </c>
    </row>
    <row r="5">
      <c r="A5" s="5" t="n"/>
      <c r="B5" s="5" t="n"/>
      <c r="C5" s="5" t="n"/>
      <c r="D5" s="5" t="n"/>
      <c r="E5" s="5" t="n"/>
      <c r="F5" s="5" t="n"/>
      <c r="G5" s="153" t="n">
        <v>55</v>
      </c>
      <c r="H5" s="152" t="n">
        <v>90</v>
      </c>
      <c r="I5" s="152" t="n">
        <v>91</v>
      </c>
      <c r="J5" s="152" t="n">
        <v>93</v>
      </c>
      <c r="K5" s="152" t="n">
        <v>94</v>
      </c>
      <c r="L5" s="5" t="n"/>
      <c r="M5" s="153" t="n">
        <v>55</v>
      </c>
      <c r="N5" s="152" t="n">
        <v>100</v>
      </c>
      <c r="O5" s="152" t="n">
        <v>102</v>
      </c>
      <c r="P5" s="152" t="n">
        <v>103</v>
      </c>
      <c r="Q5" s="152" t="n">
        <v>105</v>
      </c>
      <c r="R5" s="5" t="n"/>
      <c r="S5" s="153" t="n">
        <v>55</v>
      </c>
      <c r="T5" s="152" t="n">
        <v>141</v>
      </c>
      <c r="U5" s="152" t="n">
        <v>145</v>
      </c>
      <c r="V5" s="152" t="n">
        <v>150</v>
      </c>
      <c r="W5" s="152" t="n">
        <v>151</v>
      </c>
      <c r="X5" s="5" t="n"/>
      <c r="Y5" s="153" t="n">
        <v>55</v>
      </c>
      <c r="Z5" s="152" t="n">
        <v>155</v>
      </c>
      <c r="AA5" s="152" t="n">
        <v>160</v>
      </c>
      <c r="AB5" s="152" t="n">
        <v>165</v>
      </c>
      <c r="AC5" s="152" t="n">
        <v>170</v>
      </c>
      <c r="AD5" s="5" t="n"/>
      <c r="AE5" s="153" t="n">
        <v>60</v>
      </c>
      <c r="AF5" s="154" t="n">
        <v>90.5</v>
      </c>
      <c r="AG5" s="154" t="n">
        <v>94.5</v>
      </c>
      <c r="AH5" s="154" t="n">
        <v>97.5</v>
      </c>
      <c r="AI5" s="154" t="n">
        <v>99.5</v>
      </c>
      <c r="AJ5" s="5" t="n"/>
      <c r="AK5" s="153" t="n">
        <v>60</v>
      </c>
      <c r="AL5" s="154" t="n">
        <v>122</v>
      </c>
      <c r="AM5" s="154" t="n">
        <v>127</v>
      </c>
      <c r="AN5" s="154" t="n">
        <v>131</v>
      </c>
      <c r="AO5" s="154" t="n">
        <v>133</v>
      </c>
      <c r="AP5" s="5" t="n"/>
      <c r="AQ5" s="161" t="n"/>
      <c r="AR5" s="162" t="n"/>
      <c r="AS5" s="162" t="n"/>
      <c r="AT5" s="162" t="n"/>
      <c r="AU5" s="162" t="n"/>
      <c r="AV5" s="5" t="n"/>
      <c r="AW5" s="5" t="n"/>
      <c r="AX5" s="5" t="n"/>
      <c r="AY5" s="5" t="n"/>
      <c r="AZ5" s="5" t="n"/>
      <c r="BA5" s="5" t="n"/>
      <c r="BB5" s="5" t="n"/>
      <c r="BC5" s="155" t="n">
        <v>60</v>
      </c>
      <c r="BD5" s="152" t="n">
        <v>82</v>
      </c>
      <c r="BE5" s="152" t="n">
        <v>85</v>
      </c>
      <c r="BF5" s="152" t="n">
        <v>88</v>
      </c>
      <c r="BG5" s="152" t="n">
        <v>89</v>
      </c>
      <c r="BH5" s="5" t="n"/>
      <c r="BI5" s="155" t="n">
        <v>65</v>
      </c>
      <c r="BJ5" s="152" t="n">
        <v>134</v>
      </c>
      <c r="BK5" s="152" t="n">
        <v>137</v>
      </c>
      <c r="BL5" s="152" t="n">
        <v>139</v>
      </c>
      <c r="BM5" s="152" t="n">
        <v>146</v>
      </c>
      <c r="BN5" s="5" t="n"/>
      <c r="BO5" s="155" t="n">
        <v>4</v>
      </c>
      <c r="BP5" s="157">
        <f>17.85/4</f>
        <v/>
      </c>
      <c r="BQ5" s="157">
        <f>BP5*BO5</f>
        <v/>
      </c>
      <c r="BR5" s="5" t="n"/>
      <c r="BS5" s="153" t="n">
        <v>60</v>
      </c>
      <c r="BT5" s="152" t="n">
        <v>112</v>
      </c>
      <c r="BU5" s="152" t="n">
        <v>116</v>
      </c>
      <c r="BV5" s="152" t="n">
        <v>121</v>
      </c>
      <c r="BW5" s="152" t="n">
        <v>125</v>
      </c>
      <c r="BY5" s="153" t="n">
        <v>55</v>
      </c>
      <c r="BZ5" s="152" t="n">
        <v>115</v>
      </c>
      <c r="CA5" s="152" t="n">
        <v>118</v>
      </c>
      <c r="CB5" s="152" t="n">
        <v>123</v>
      </c>
      <c r="CC5" s="152" t="n">
        <v>126</v>
      </c>
      <c r="CD5" s="158" t="n"/>
      <c r="CE5" s="153" t="n">
        <v>55</v>
      </c>
      <c r="CF5" s="152" t="n">
        <v>159</v>
      </c>
      <c r="CG5" s="152" t="n">
        <v>164</v>
      </c>
      <c r="CH5" s="152" t="n">
        <v>179</v>
      </c>
      <c r="CI5" s="152" t="n">
        <v>179</v>
      </c>
      <c r="CJ5" s="158" t="n"/>
      <c r="CK5" s="153" t="n">
        <v>55</v>
      </c>
      <c r="CL5" s="154" t="n">
        <v>143.1</v>
      </c>
      <c r="CM5" s="154" t="n">
        <v>147.6</v>
      </c>
      <c r="CN5" s="154" t="n">
        <v>161.1</v>
      </c>
      <c r="CO5" s="154" t="n">
        <v>161.1</v>
      </c>
      <c r="CP5" s="158" t="n"/>
      <c r="CQ5" s="159" t="n"/>
      <c r="CR5" s="160" t="n"/>
      <c r="CT5" s="153" t="n">
        <v>55</v>
      </c>
      <c r="CU5" s="152" t="n">
        <v>159</v>
      </c>
      <c r="CV5" s="152" t="n">
        <v>164</v>
      </c>
      <c r="CW5" s="152" t="n">
        <v>179</v>
      </c>
      <c r="CX5" s="152" t="n">
        <v>179</v>
      </c>
      <c r="CZ5" s="153" t="n">
        <v>55</v>
      </c>
      <c r="DA5" s="152" t="n">
        <v>100</v>
      </c>
      <c r="DB5" s="152" t="n">
        <v>101</v>
      </c>
      <c r="DC5" s="152" t="n">
        <v>103</v>
      </c>
      <c r="DD5" s="152" t="n">
        <v>104</v>
      </c>
    </row>
    <row r="6">
      <c r="A6" s="5" t="n"/>
      <c r="B6" s="5" t="n"/>
      <c r="C6" s="5" t="n"/>
      <c r="D6" s="5" t="n"/>
      <c r="E6" s="5" t="n"/>
      <c r="F6" s="5" t="n"/>
      <c r="G6" s="153" t="n">
        <v>60</v>
      </c>
      <c r="H6" s="152" t="n">
        <v>110</v>
      </c>
      <c r="I6" s="152" t="n">
        <v>111</v>
      </c>
      <c r="J6" s="152" t="n">
        <v>113</v>
      </c>
      <c r="K6" s="152" t="n">
        <v>114</v>
      </c>
      <c r="L6" s="5" t="n"/>
      <c r="M6" s="153" t="n">
        <v>60</v>
      </c>
      <c r="N6" s="152" t="n">
        <v>120</v>
      </c>
      <c r="O6" s="152" t="n">
        <v>122</v>
      </c>
      <c r="P6" s="152" t="n">
        <v>124</v>
      </c>
      <c r="Q6" s="152" t="n">
        <v>126</v>
      </c>
      <c r="R6" s="5" t="n"/>
      <c r="S6" s="153" t="n">
        <v>60</v>
      </c>
      <c r="T6" s="152" t="n">
        <v>163</v>
      </c>
      <c r="U6" s="152" t="n">
        <v>167</v>
      </c>
      <c r="V6" s="152" t="n">
        <v>179</v>
      </c>
      <c r="W6" s="152" t="n">
        <v>181</v>
      </c>
      <c r="X6" s="5" t="n"/>
      <c r="Y6" s="153" t="n">
        <v>60</v>
      </c>
      <c r="Z6" s="152" t="n">
        <v>190</v>
      </c>
      <c r="AA6" s="152" t="n">
        <v>200</v>
      </c>
      <c r="AB6" s="152" t="n">
        <v>210</v>
      </c>
      <c r="AC6" s="152" t="n">
        <v>220</v>
      </c>
      <c r="AD6" s="5" t="n"/>
      <c r="AE6" s="153" t="n">
        <v>68</v>
      </c>
      <c r="AF6" s="154" t="n">
        <v>147</v>
      </c>
      <c r="AG6" s="154" t="n">
        <v>154</v>
      </c>
      <c r="AH6" s="154" t="n">
        <v>160</v>
      </c>
      <c r="AI6" s="154" t="n">
        <v>166</v>
      </c>
      <c r="AJ6" s="5" t="n"/>
      <c r="AK6" s="153" t="n">
        <v>68</v>
      </c>
      <c r="AL6" s="154" t="n">
        <v>187</v>
      </c>
      <c r="AM6" s="154" t="n">
        <v>196</v>
      </c>
      <c r="AN6" s="154" t="n">
        <v>203</v>
      </c>
      <c r="AO6" s="154" t="n">
        <v>207</v>
      </c>
      <c r="AP6" s="5" t="n"/>
      <c r="AQ6" s="161" t="n"/>
      <c r="AR6" s="162" t="n"/>
      <c r="AS6" s="162" t="n"/>
      <c r="AT6" s="162" t="n"/>
      <c r="AU6" s="162" t="n"/>
      <c r="AV6" s="5" t="n"/>
      <c r="AW6" s="5" t="n"/>
      <c r="AX6" s="5" t="n"/>
      <c r="AY6" s="5" t="n"/>
      <c r="AZ6" s="5" t="n"/>
      <c r="BA6" s="5" t="n"/>
      <c r="BB6" s="5" t="n"/>
      <c r="BC6" s="155" t="n">
        <v>65</v>
      </c>
      <c r="BD6" s="152" t="n">
        <v>98</v>
      </c>
      <c r="BE6" s="152" t="n">
        <v>101</v>
      </c>
      <c r="BF6" s="152" t="n">
        <v>105</v>
      </c>
      <c r="BG6" s="152" t="n">
        <v>107</v>
      </c>
      <c r="BH6" s="5" t="n"/>
      <c r="BI6" s="155" t="n">
        <v>70</v>
      </c>
      <c r="BJ6" s="152" t="n">
        <v>164</v>
      </c>
      <c r="BK6" s="152" t="n">
        <v>169</v>
      </c>
      <c r="BL6" s="152" t="n">
        <v>177</v>
      </c>
      <c r="BM6" s="152" t="n">
        <v>179</v>
      </c>
      <c r="BN6" s="5" t="n"/>
      <c r="BO6" s="155" t="n">
        <v>5</v>
      </c>
      <c r="BP6" s="157">
        <f>21.25/5</f>
        <v/>
      </c>
      <c r="BQ6" s="157">
        <f>BP6*BO6</f>
        <v/>
      </c>
      <c r="BR6" s="5" t="n"/>
      <c r="BS6" s="153" t="n">
        <v>68</v>
      </c>
      <c r="BT6" s="152" t="n">
        <v>167</v>
      </c>
      <c r="BU6" s="152" t="n">
        <v>175</v>
      </c>
      <c r="BV6" s="152" t="n">
        <v>185</v>
      </c>
      <c r="BW6" s="152" t="n">
        <v>187</v>
      </c>
      <c r="BY6" s="153" t="n">
        <v>60</v>
      </c>
      <c r="BZ6" s="152" t="n">
        <v>140</v>
      </c>
      <c r="CA6" s="152" t="n">
        <v>147</v>
      </c>
      <c r="CB6" s="152" t="n">
        <v>159</v>
      </c>
      <c r="CC6" s="152" t="n">
        <v>159</v>
      </c>
      <c r="CD6" s="158" t="n"/>
      <c r="CE6" s="153" t="n">
        <v>60</v>
      </c>
      <c r="CF6" s="152" t="n">
        <v>185</v>
      </c>
      <c r="CG6" s="152" t="n">
        <v>190</v>
      </c>
      <c r="CH6" s="152" t="n">
        <v>205</v>
      </c>
      <c r="CI6" s="152" t="n">
        <v>205</v>
      </c>
      <c r="CJ6" s="158" t="n"/>
      <c r="CK6" s="153" t="n">
        <v>60</v>
      </c>
      <c r="CL6" s="154" t="n">
        <v>166.5</v>
      </c>
      <c r="CM6" s="154" t="n">
        <v>171</v>
      </c>
      <c r="CN6" s="154" t="n">
        <v>184.5</v>
      </c>
      <c r="CO6" s="154" t="n">
        <v>184.5</v>
      </c>
      <c r="CP6" s="158" t="n"/>
      <c r="CQ6" s="159" t="n"/>
      <c r="CR6" s="160" t="n"/>
      <c r="CT6" s="153" t="n">
        <v>60</v>
      </c>
      <c r="CU6" s="152" t="n">
        <v>185</v>
      </c>
      <c r="CV6" s="152" t="n">
        <v>190</v>
      </c>
      <c r="CW6" s="152" t="n">
        <v>205</v>
      </c>
      <c r="CX6" s="152" t="n">
        <v>205</v>
      </c>
      <c r="CZ6" s="153" t="n">
        <v>60</v>
      </c>
      <c r="DA6" s="152" t="n">
        <v>120</v>
      </c>
      <c r="DB6" s="152" t="n">
        <v>121</v>
      </c>
      <c r="DC6" s="152" t="n">
        <v>123</v>
      </c>
      <c r="DD6" s="152" t="n">
        <v>124</v>
      </c>
    </row>
    <row r="7">
      <c r="A7" s="5" t="n"/>
      <c r="B7" s="5" t="n"/>
      <c r="C7" s="5" t="n"/>
      <c r="D7" s="5" t="n"/>
      <c r="E7" s="5" t="n"/>
      <c r="F7" s="5" t="n"/>
      <c r="G7" s="153" t="n">
        <v>65</v>
      </c>
      <c r="H7" s="152" t="n">
        <v>146</v>
      </c>
      <c r="I7" s="152" t="n">
        <v>148</v>
      </c>
      <c r="J7" s="152" t="n">
        <v>149</v>
      </c>
      <c r="K7" s="152" t="n">
        <v>150</v>
      </c>
      <c r="L7" s="5" t="n"/>
      <c r="M7" s="153" t="n">
        <v>65</v>
      </c>
      <c r="N7" s="152" t="n">
        <v>156</v>
      </c>
      <c r="O7" s="152" t="n">
        <v>158</v>
      </c>
      <c r="P7" s="152" t="n">
        <v>160</v>
      </c>
      <c r="Q7" s="152" t="n">
        <v>162</v>
      </c>
      <c r="R7" s="5" t="n"/>
      <c r="S7" s="153" t="n">
        <v>65</v>
      </c>
      <c r="T7" s="152" t="n">
        <v>224</v>
      </c>
      <c r="U7" s="152" t="n">
        <v>236</v>
      </c>
      <c r="V7" s="152" t="n">
        <v>253</v>
      </c>
      <c r="W7" s="152" t="n">
        <v>255</v>
      </c>
      <c r="X7" s="5" t="n"/>
      <c r="Y7" s="153" t="n">
        <v>63</v>
      </c>
      <c r="Z7" s="152" t="n">
        <v>250</v>
      </c>
      <c r="AA7" s="152" t="n">
        <v>260</v>
      </c>
      <c r="AB7" s="152" t="n">
        <v>270</v>
      </c>
      <c r="AC7" s="152" t="n">
        <v>285</v>
      </c>
      <c r="AD7" s="5" t="n"/>
      <c r="AE7" s="161" t="n"/>
      <c r="AF7" s="163" t="n"/>
      <c r="AG7" s="163" t="n"/>
      <c r="AH7" s="163" t="n"/>
      <c r="AI7" s="163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155" t="n">
        <v>70</v>
      </c>
      <c r="BD7" s="152" t="n">
        <v>129</v>
      </c>
      <c r="BE7" s="152" t="n">
        <v>132</v>
      </c>
      <c r="BF7" s="152" t="n">
        <v>137</v>
      </c>
      <c r="BG7" s="152" t="n">
        <v>140</v>
      </c>
      <c r="BH7" s="5" t="n"/>
      <c r="BI7" s="155" t="n">
        <v>75</v>
      </c>
      <c r="BJ7" s="152" t="n">
        <v>220</v>
      </c>
      <c r="BK7" s="152" t="n">
        <v>229</v>
      </c>
      <c r="BL7" s="152" t="n">
        <v>237</v>
      </c>
      <c r="BM7" s="152" t="n">
        <v>239</v>
      </c>
      <c r="BN7" s="5" t="n"/>
      <c r="BO7" s="155" t="n">
        <v>6</v>
      </c>
      <c r="BP7" s="157">
        <f>21.25/6</f>
        <v/>
      </c>
      <c r="BQ7" s="157">
        <f>BP7*BO7</f>
        <v/>
      </c>
      <c r="BR7" s="5" t="n"/>
      <c r="BS7" s="161" t="n"/>
      <c r="BT7" s="162" t="n"/>
      <c r="BU7" s="162" t="n"/>
      <c r="BV7" s="162" t="n"/>
      <c r="BW7" s="162" t="n"/>
      <c r="BY7" s="164" t="n">
        <v>65</v>
      </c>
      <c r="BZ7" s="152" t="n">
        <v>215</v>
      </c>
      <c r="CA7" s="152" t="n">
        <v>221</v>
      </c>
      <c r="CB7" s="152" t="n">
        <v>234</v>
      </c>
      <c r="CC7" s="152" t="n">
        <v>234</v>
      </c>
      <c r="CD7" s="158" t="n"/>
      <c r="CE7" s="164" t="n">
        <v>65</v>
      </c>
      <c r="CF7" s="152" t="n">
        <v>265</v>
      </c>
      <c r="CG7" s="152" t="n">
        <v>272</v>
      </c>
      <c r="CH7" s="152" t="n">
        <v>289</v>
      </c>
      <c r="CI7" s="152" t="n">
        <v>289</v>
      </c>
      <c r="CJ7" s="158" t="n"/>
      <c r="CK7" s="164" t="n">
        <v>65</v>
      </c>
      <c r="CL7" s="154" t="n">
        <v>238.5</v>
      </c>
      <c r="CM7" s="154" t="n">
        <v>244.8</v>
      </c>
      <c r="CN7" s="154" t="n">
        <v>260.1</v>
      </c>
      <c r="CO7" s="154" t="n">
        <v>260.1</v>
      </c>
      <c r="CP7" s="158" t="n"/>
      <c r="CQ7" s="159" t="n"/>
      <c r="CR7" s="160" t="n"/>
      <c r="CT7" s="153" t="n">
        <v>65</v>
      </c>
      <c r="CU7" s="152" t="n">
        <v>265</v>
      </c>
      <c r="CV7" s="152" t="n">
        <v>272</v>
      </c>
      <c r="CW7" s="152" t="n">
        <v>289</v>
      </c>
      <c r="CX7" s="152" t="n">
        <v>289</v>
      </c>
      <c r="CZ7" s="153" t="n">
        <v>63</v>
      </c>
      <c r="DA7" s="152" t="n">
        <v>180</v>
      </c>
      <c r="DB7" s="152" t="n">
        <v>185</v>
      </c>
      <c r="DC7" s="152" t="n">
        <v>190</v>
      </c>
      <c r="DD7" s="152" t="n">
        <v>200</v>
      </c>
    </row>
    <row r="8">
      <c r="A8" s="5" t="n"/>
      <c r="B8" s="5" t="n"/>
      <c r="C8" s="5" t="n"/>
      <c r="D8" s="5" t="n"/>
      <c r="E8" s="5" t="n"/>
      <c r="F8" s="5" t="n"/>
      <c r="G8" s="153" t="n">
        <v>70</v>
      </c>
      <c r="H8" s="152" t="n">
        <v>156</v>
      </c>
      <c r="I8" s="152" t="n">
        <v>158</v>
      </c>
      <c r="J8" s="152" t="n">
        <v>159</v>
      </c>
      <c r="K8" s="152" t="n">
        <v>161</v>
      </c>
      <c r="L8" s="5" t="n"/>
      <c r="M8" s="153" t="n">
        <v>70</v>
      </c>
      <c r="N8" s="152" t="n">
        <v>211</v>
      </c>
      <c r="O8" s="152" t="n">
        <v>213</v>
      </c>
      <c r="P8" s="152" t="n">
        <v>215</v>
      </c>
      <c r="Q8" s="152" t="n">
        <v>217</v>
      </c>
      <c r="R8" s="5" t="n"/>
      <c r="S8" s="153" t="n">
        <v>70</v>
      </c>
      <c r="T8" s="152" t="n">
        <v>235</v>
      </c>
      <c r="U8" s="152" t="n">
        <v>245</v>
      </c>
      <c r="V8" s="152" t="n">
        <v>259</v>
      </c>
      <c r="W8" s="152" t="n">
        <v>260</v>
      </c>
      <c r="X8" s="5" t="n"/>
      <c r="Y8" s="5" t="n"/>
      <c r="Z8" s="5" t="n"/>
      <c r="AA8" s="5" t="n"/>
      <c r="AB8" s="5" t="n"/>
      <c r="AC8" s="5" t="n"/>
      <c r="AD8" s="5" t="n"/>
      <c r="AE8" s="161" t="n"/>
      <c r="AF8" s="163" t="n"/>
      <c r="AG8" s="163" t="n"/>
      <c r="AH8" s="163" t="n"/>
      <c r="AI8" s="163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155" t="n">
        <v>75</v>
      </c>
      <c r="BD8" s="152" t="n">
        <v>155</v>
      </c>
      <c r="BE8" s="152" t="n">
        <v>159</v>
      </c>
      <c r="BF8" s="152" t="n">
        <v>165</v>
      </c>
      <c r="BG8" s="152" t="n">
        <v>168</v>
      </c>
      <c r="BH8" s="5" t="n"/>
      <c r="BI8" s="155" t="n">
        <v>85</v>
      </c>
      <c r="BJ8" s="152" t="inlineStr">
        <is>
          <t>No asegurable</t>
        </is>
      </c>
      <c r="BK8" s="152" t="inlineStr">
        <is>
          <t>No asegurable</t>
        </is>
      </c>
      <c r="BL8" s="152" t="inlineStr">
        <is>
          <t>No asegurable</t>
        </is>
      </c>
      <c r="BM8" s="152" t="inlineStr">
        <is>
          <t>No asegurable</t>
        </is>
      </c>
      <c r="BN8" s="5" t="n"/>
      <c r="BO8" s="155" t="n">
        <v>7</v>
      </c>
      <c r="BP8" s="157">
        <f>21.25/6</f>
        <v/>
      </c>
      <c r="BQ8" s="157">
        <f>BP8*BO8</f>
        <v/>
      </c>
      <c r="BR8" s="5" t="n"/>
      <c r="BS8" s="161" t="n"/>
      <c r="BT8" s="162" t="n"/>
      <c r="BU8" s="162" t="n"/>
      <c r="BV8" s="162" t="n"/>
      <c r="BW8" s="162" t="n"/>
      <c r="BY8" s="164" t="n">
        <v>70</v>
      </c>
      <c r="BZ8" s="152" t="n">
        <v>220</v>
      </c>
      <c r="CA8" s="152" t="n">
        <v>229</v>
      </c>
      <c r="CB8" s="152" t="n">
        <v>241</v>
      </c>
      <c r="CC8" s="152" t="n">
        <v>242</v>
      </c>
      <c r="CE8" s="164" t="n">
        <v>70</v>
      </c>
      <c r="CF8" s="152" t="n">
        <v>275</v>
      </c>
      <c r="CG8" s="152" t="n">
        <v>282</v>
      </c>
      <c r="CH8" s="152" t="n">
        <v>299</v>
      </c>
      <c r="CI8" s="152" t="n">
        <v>299</v>
      </c>
      <c r="CK8" s="164" t="n">
        <v>70</v>
      </c>
      <c r="CL8" s="154" t="n">
        <v>247.5</v>
      </c>
      <c r="CM8" s="154" t="n">
        <v>253.8</v>
      </c>
      <c r="CN8" s="154" t="n">
        <v>269.1</v>
      </c>
      <c r="CO8" s="154" t="n">
        <v>269.1</v>
      </c>
      <c r="CT8" s="153" t="n">
        <v>70</v>
      </c>
      <c r="CU8" s="152" t="n">
        <v>275</v>
      </c>
      <c r="CV8" s="152" t="n">
        <v>282</v>
      </c>
      <c r="CW8" s="152" t="n">
        <v>299</v>
      </c>
      <c r="CX8" s="152" t="n">
        <v>299</v>
      </c>
      <c r="CZ8" s="153" t="n"/>
      <c r="DA8" s="152" t="n"/>
      <c r="DB8" s="152" t="n"/>
      <c r="DC8" s="152" t="n"/>
      <c r="DD8" s="152" t="n"/>
    </row>
    <row r="9">
      <c r="A9" s="5" t="n"/>
      <c r="B9" s="5" t="n"/>
      <c r="C9" s="5" t="n"/>
      <c r="D9" s="5" t="n"/>
      <c r="E9" s="5" t="n"/>
      <c r="F9" s="5" t="n"/>
      <c r="G9" s="5" t="n"/>
      <c r="L9" s="5" t="n"/>
      <c r="M9" s="5" t="n"/>
      <c r="R9" s="5" t="n"/>
      <c r="S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163" t="n"/>
      <c r="AG9" s="163" t="n"/>
      <c r="AH9" s="163" t="n"/>
      <c r="AI9" s="163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155" t="n">
        <v>80</v>
      </c>
      <c r="BD9" s="152" t="n">
        <v>160</v>
      </c>
      <c r="BE9" s="152" t="n">
        <v>165</v>
      </c>
      <c r="BF9" s="152" t="n">
        <v>171</v>
      </c>
      <c r="BG9" s="152" t="n">
        <v>174</v>
      </c>
      <c r="BH9" s="5" t="n"/>
      <c r="BI9" s="5" t="n"/>
      <c r="BJ9" s="5" t="n"/>
      <c r="BK9" s="5" t="n"/>
      <c r="BL9" s="5" t="n"/>
      <c r="BM9" s="5" t="n"/>
      <c r="BN9" s="5" t="n"/>
      <c r="BO9" s="155" t="n">
        <v>8</v>
      </c>
      <c r="BP9" s="157">
        <f>21.25/6</f>
        <v/>
      </c>
      <c r="BQ9" s="157">
        <f>BP9*BO9</f>
        <v/>
      </c>
      <c r="BR9" s="5" t="n"/>
      <c r="BS9" s="5" t="inlineStr">
        <is>
          <t>PRECIO NUEVO CON 7,02% DTO</t>
        </is>
      </c>
      <c r="BU9" s="163" t="n"/>
      <c r="BV9" s="163" t="n"/>
      <c r="BW9" s="163" t="n"/>
    </row>
    <row r="10" ht="18" customHeight="1" s="24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147" t="inlineStr">
        <is>
          <t>Tramo edad (1 a 4 aseg)</t>
        </is>
      </c>
      <c r="AF10" s="147" t="inlineStr">
        <is>
          <t>Adeslas Negocios CIF y Dental 1</t>
        </is>
      </c>
      <c r="AG10" s="147" t="inlineStr">
        <is>
          <t>Adeslas Negocios CIF y Dental 2</t>
        </is>
      </c>
      <c r="AH10" s="147" t="inlineStr">
        <is>
          <t>Adeslas Negocios CIF y Dental 3</t>
        </is>
      </c>
      <c r="AI10" s="147" t="inlineStr">
        <is>
          <t>Adeslas Negocios CIF y Dental 4</t>
        </is>
      </c>
      <c r="AJ10" s="5" t="n"/>
      <c r="AK10" s="147" t="inlineStr">
        <is>
          <t>Tramo edad (1 a 4 aseg)</t>
        </is>
      </c>
      <c r="AL10" s="147" t="inlineStr">
        <is>
          <t>Adeslas Extra Negocios CIF y dental 1</t>
        </is>
      </c>
      <c r="AM10" s="147" t="inlineStr">
        <is>
          <t>Adeslas Extra Negocios CIF y dental 2</t>
        </is>
      </c>
      <c r="AN10" s="147" t="inlineStr">
        <is>
          <t>Adeslas Extra Negocios CIF y dental 3</t>
        </is>
      </c>
      <c r="AO10" s="147" t="inlineStr">
        <is>
          <t>Adeslas Extra Negocios CIF y dental 4</t>
        </is>
      </c>
      <c r="AP10" s="5" t="n"/>
      <c r="AQ10" s="147" t="inlineStr">
        <is>
          <t>Tramo edad (5 o + aseg)</t>
        </is>
      </c>
      <c r="AR10" s="147" t="inlineStr">
        <is>
          <t>Adeslas Empresas  y dental 1</t>
        </is>
      </c>
      <c r="AS10" s="147" t="inlineStr">
        <is>
          <t>Adeslas Empresas  y dental 2</t>
        </is>
      </c>
      <c r="AT10" s="147" t="inlineStr">
        <is>
          <t>Adeslas Empresas  y dental 3</t>
        </is>
      </c>
      <c r="AU10" s="147" t="inlineStr">
        <is>
          <t>Adeslas Empresas  y dental 4</t>
        </is>
      </c>
      <c r="AV10" s="5" t="n"/>
      <c r="AW10" s="147" t="inlineStr">
        <is>
          <t>Tramo edad (5 o + aseg)</t>
        </is>
      </c>
      <c r="AX10" s="147" t="inlineStr">
        <is>
          <t>Adeslas Extra Empresas  y dental 1</t>
        </is>
      </c>
      <c r="AY10" s="147" t="inlineStr">
        <is>
          <t>Adeslas Extra Empresas  y dental 2</t>
        </is>
      </c>
      <c r="AZ10" s="147" t="inlineStr">
        <is>
          <t>Adeslas Extra Empresas  y dental 3</t>
        </is>
      </c>
      <c r="BA10" s="147" t="inlineStr">
        <is>
          <t>Adeslas Extra Empresas  y dental 4</t>
        </is>
      </c>
      <c r="BB10" s="5" t="n"/>
      <c r="BC10" s="155" t="n">
        <v>85</v>
      </c>
      <c r="BD10" s="156" t="inlineStr">
        <is>
          <t>No asegurable</t>
        </is>
      </c>
      <c r="BE10" s="156" t="inlineStr">
        <is>
          <t>No asegurable</t>
        </is>
      </c>
      <c r="BF10" s="156" t="inlineStr">
        <is>
          <t>No asegurable</t>
        </is>
      </c>
      <c r="BG10" s="156" t="inlineStr">
        <is>
          <t>No asegurable</t>
        </is>
      </c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inlineStr">
        <is>
          <t>Tramo edad</t>
        </is>
      </c>
      <c r="BT10" s="165" t="inlineStr">
        <is>
          <t>Adeslas Pymes Total 1</t>
        </is>
      </c>
      <c r="BU10" s="165" t="inlineStr">
        <is>
          <t>Adeslas Pymes Total 2</t>
        </is>
      </c>
      <c r="BV10" s="165" t="inlineStr">
        <is>
          <t>Adeslas Pymes Total 3</t>
        </is>
      </c>
      <c r="BW10" s="165" t="inlineStr">
        <is>
          <t>Adeslas Pymes Total 4</t>
        </is>
      </c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149" t="n"/>
      <c r="CR10" s="149" t="n"/>
    </row>
    <row r="11">
      <c r="A11" s="5" t="n"/>
      <c r="B11" s="5" t="n"/>
      <c r="C11" s="5" t="n"/>
      <c r="D11" s="5" t="n"/>
      <c r="E11" s="5" t="n"/>
      <c r="F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153" t="n">
        <v>0</v>
      </c>
      <c r="AF11" s="154" t="n">
        <v>53.5</v>
      </c>
      <c r="AG11" s="154" t="n">
        <v>54.5</v>
      </c>
      <c r="AH11" s="154" t="n">
        <v>56.5</v>
      </c>
      <c r="AI11" s="154" t="n">
        <v>57.5</v>
      </c>
      <c r="AJ11" s="5" t="n"/>
      <c r="AK11" s="153" t="n">
        <v>0</v>
      </c>
      <c r="AL11" s="154" t="n">
        <v>76.5</v>
      </c>
      <c r="AM11" s="154" t="n">
        <v>77.5</v>
      </c>
      <c r="AN11" s="154" t="n">
        <v>80.5</v>
      </c>
      <c r="AO11" s="154" t="n">
        <v>81.5</v>
      </c>
      <c r="AP11" s="5" t="n"/>
      <c r="AQ11" s="153" t="n">
        <v>0</v>
      </c>
      <c r="AR11" s="154" t="n">
        <v>58</v>
      </c>
      <c r="AS11" s="154" t="n">
        <v>60</v>
      </c>
      <c r="AT11" s="154" t="n">
        <v>61.5</v>
      </c>
      <c r="AU11" s="154" t="n">
        <v>62.5</v>
      </c>
      <c r="AV11" s="5" t="n"/>
      <c r="AW11" s="153" t="n">
        <v>0</v>
      </c>
      <c r="AX11" s="154" t="n">
        <v>80</v>
      </c>
      <c r="AY11" s="154" t="n">
        <v>82</v>
      </c>
      <c r="AZ11" s="154" t="n">
        <v>85</v>
      </c>
      <c r="BA11" s="154" t="n">
        <v>86.5</v>
      </c>
      <c r="BB11" s="5" t="n"/>
      <c r="BC11" s="5" t="n"/>
      <c r="BD11" s="163" t="n"/>
      <c r="BE11" s="163" t="n"/>
      <c r="BF11" s="163" t="n"/>
      <c r="BG11" s="163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>
        <v>0</v>
      </c>
      <c r="BT11" s="162" t="n">
        <v>53.95</v>
      </c>
      <c r="BU11" s="162" t="n">
        <v>55.8</v>
      </c>
      <c r="BV11" s="162" t="n">
        <v>57.6476</v>
      </c>
      <c r="BW11" s="162" t="n">
        <v>58.6</v>
      </c>
      <c r="BY11" s="158" t="n"/>
      <c r="BZ11" s="158" t="n"/>
      <c r="CA11" s="158" t="n"/>
      <c r="CB11" s="158" t="n"/>
      <c r="CC11" s="158" t="n"/>
      <c r="CD11" s="158" t="n"/>
      <c r="CE11" s="158" t="n"/>
      <c r="CF11" s="158" t="n"/>
      <c r="CG11" s="158" t="n"/>
      <c r="CH11" s="158" t="n"/>
      <c r="CI11" s="158" t="n"/>
      <c r="CJ11" s="158" t="n"/>
      <c r="CK11" s="158" t="n"/>
      <c r="CL11" s="158" t="n"/>
      <c r="CM11" s="158" t="n"/>
      <c r="CN11" s="158" t="n"/>
      <c r="CO11" s="158" t="n"/>
      <c r="CP11" s="158" t="n"/>
      <c r="CQ11" s="159" t="n"/>
      <c r="CR11" s="167" t="n"/>
    </row>
    <row r="12" ht="20.25" customHeight="1" s="24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238" t="inlineStr">
        <is>
          <t>Nº Asegurados</t>
        </is>
      </c>
      <c r="Z12" s="238" t="n"/>
      <c r="AA12" s="238" t="n"/>
      <c r="AB12" s="238" t="n"/>
      <c r="AC12" s="238" t="inlineStr">
        <is>
          <t>Dto</t>
        </is>
      </c>
      <c r="AD12" s="5" t="n"/>
      <c r="AE12" s="153" t="n">
        <v>45</v>
      </c>
      <c r="AF12" s="154" t="n">
        <v>61</v>
      </c>
      <c r="AG12" s="154" t="n">
        <v>63</v>
      </c>
      <c r="AH12" s="154" t="n">
        <v>65</v>
      </c>
      <c r="AI12" s="154" t="n">
        <v>66</v>
      </c>
      <c r="AJ12" s="5" t="n"/>
      <c r="AK12" s="153" t="n">
        <v>45</v>
      </c>
      <c r="AL12" s="154" t="n">
        <v>78</v>
      </c>
      <c r="AM12" s="154" t="n">
        <v>80</v>
      </c>
      <c r="AN12" s="154" t="n">
        <v>83</v>
      </c>
      <c r="AO12" s="154" t="n">
        <v>84</v>
      </c>
      <c r="AP12" s="5" t="n"/>
      <c r="AQ12" s="153" t="n">
        <v>66</v>
      </c>
      <c r="AR12" s="154" t="n">
        <v>86.5</v>
      </c>
      <c r="AS12" s="154" t="n">
        <v>88.5</v>
      </c>
      <c r="AT12" s="154" t="n">
        <v>92.5</v>
      </c>
      <c r="AU12" s="154" t="n">
        <v>93.5</v>
      </c>
      <c r="AV12" s="5" t="n"/>
      <c r="AW12" s="153" t="n">
        <v>66</v>
      </c>
      <c r="AX12" s="154" t="n">
        <v>101.5</v>
      </c>
      <c r="AY12" s="154" t="n">
        <v>104.5</v>
      </c>
      <c r="AZ12" s="154" t="n">
        <v>107.5</v>
      </c>
      <c r="BA12" s="154" t="n">
        <v>109.5</v>
      </c>
      <c r="BB12" s="5" t="n"/>
      <c r="BC12" s="5" t="n"/>
      <c r="BD12" s="163" t="n"/>
      <c r="BE12" s="163" t="n"/>
      <c r="BF12" s="163" t="n"/>
      <c r="BG12" s="163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>
        <v>45</v>
      </c>
      <c r="BT12" s="162" t="n">
        <v>64.2</v>
      </c>
      <c r="BU12" s="162" t="n">
        <v>66</v>
      </c>
      <c r="BV12" s="162" t="n">
        <v>68.84999999999999</v>
      </c>
      <c r="BW12" s="162" t="n">
        <v>69.75</v>
      </c>
      <c r="BY12" s="158" t="n"/>
      <c r="BZ12" s="158" t="n"/>
      <c r="CA12" s="158" t="n"/>
      <c r="CB12" s="158" t="n"/>
      <c r="CC12" s="158" t="n"/>
      <c r="CD12" s="158" t="n"/>
      <c r="CE12" s="158" t="n"/>
      <c r="CF12" s="158" t="n"/>
      <c r="CG12" s="158" t="n"/>
      <c r="CH12" s="158" t="n"/>
      <c r="CI12" s="158" t="n"/>
      <c r="CJ12" s="158" t="n"/>
      <c r="CK12" s="158" t="n"/>
      <c r="CL12" s="158" t="n"/>
      <c r="CM12" s="158" t="n"/>
      <c r="CN12" s="158" t="n"/>
      <c r="CO12" s="158" t="n"/>
      <c r="CP12" s="158" t="n"/>
      <c r="CQ12" s="159" t="n"/>
      <c r="CR12" s="167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239" t="n">
        <v>1</v>
      </c>
      <c r="Z13" s="239" t="n"/>
      <c r="AA13" s="239" t="n"/>
      <c r="AB13" s="239" t="n"/>
      <c r="AC13" s="239" t="n">
        <v>0</v>
      </c>
      <c r="AD13" s="5" t="n"/>
      <c r="AE13" s="153" t="n">
        <v>55</v>
      </c>
      <c r="AF13" s="154" t="n">
        <v>76</v>
      </c>
      <c r="AG13" s="154" t="n">
        <v>79</v>
      </c>
      <c r="AH13" s="154" t="n">
        <v>81</v>
      </c>
      <c r="AI13" s="154" t="n">
        <v>84</v>
      </c>
      <c r="AJ13" s="5" t="n"/>
      <c r="AK13" s="153" t="n">
        <v>55</v>
      </c>
      <c r="AL13" s="154" t="n">
        <v>106.5</v>
      </c>
      <c r="AM13" s="154" t="n">
        <v>110.5</v>
      </c>
      <c r="AN13" s="154" t="n">
        <v>113.5</v>
      </c>
      <c r="AO13" s="154" t="n">
        <v>115.5</v>
      </c>
      <c r="AP13" s="5" t="n"/>
      <c r="AQ13" s="153" t="n">
        <v>68</v>
      </c>
      <c r="AR13" s="154" t="n">
        <v>157.5</v>
      </c>
      <c r="AS13" s="154" t="n">
        <v>163.5</v>
      </c>
      <c r="AT13" s="154" t="n">
        <v>170.5</v>
      </c>
      <c r="AU13" s="154" t="n">
        <v>174.5</v>
      </c>
      <c r="AV13" s="5" t="n"/>
      <c r="AW13" s="153" t="n">
        <v>68</v>
      </c>
      <c r="AX13" s="154" t="n">
        <v>186.5</v>
      </c>
      <c r="AY13" s="154" t="n">
        <v>194.5</v>
      </c>
      <c r="AZ13" s="154" t="n">
        <v>201.5</v>
      </c>
      <c r="BA13" s="154" t="n">
        <v>204.5</v>
      </c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>
        <v>55</v>
      </c>
      <c r="BT13" s="162" t="n">
        <v>81.84999999999999</v>
      </c>
      <c r="BU13" s="162" t="n">
        <v>82.7522</v>
      </c>
      <c r="BV13" s="162" t="n">
        <v>87.4012</v>
      </c>
      <c r="BW13" s="162" t="n">
        <v>89.3</v>
      </c>
      <c r="BY13" s="158" t="n"/>
      <c r="BZ13" s="158" t="n"/>
      <c r="CA13" s="158" t="n"/>
      <c r="CB13" s="158" t="n"/>
      <c r="CC13" s="158" t="n"/>
      <c r="CD13" s="158" t="n"/>
      <c r="CE13" s="158" t="n"/>
      <c r="CF13" s="158" t="n"/>
      <c r="CG13" s="158" t="n"/>
      <c r="CH13" s="158" t="n"/>
      <c r="CI13" s="158" t="n"/>
      <c r="CJ13" s="158" t="n"/>
      <c r="CK13" s="158" t="n"/>
      <c r="CL13" s="158" t="n"/>
      <c r="CM13" s="158" t="n"/>
      <c r="CN13" s="158" t="n"/>
      <c r="CO13" s="158" t="n"/>
      <c r="CP13" s="158" t="n"/>
      <c r="CQ13" s="159" t="n"/>
      <c r="CR13" s="16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239" t="n">
        <v>2</v>
      </c>
      <c r="Z14" s="239" t="n"/>
      <c r="AA14" s="239" t="n"/>
      <c r="AB14" s="239" t="n"/>
      <c r="AC14" s="239" t="n">
        <v>0</v>
      </c>
      <c r="AD14" s="5" t="n"/>
      <c r="AE14" s="153" t="n">
        <v>60</v>
      </c>
      <c r="AF14" s="154" t="n">
        <v>95</v>
      </c>
      <c r="AG14" s="154" t="n">
        <v>99</v>
      </c>
      <c r="AH14" s="154" t="n">
        <v>102</v>
      </c>
      <c r="AI14" s="154" t="n">
        <v>104</v>
      </c>
      <c r="AJ14" s="5" t="n"/>
      <c r="AK14" s="153" t="n">
        <v>60</v>
      </c>
      <c r="AL14" s="154" t="n">
        <v>126.5</v>
      </c>
      <c r="AM14" s="154" t="n">
        <v>131.5</v>
      </c>
      <c r="AN14" s="154" t="n">
        <v>135.5</v>
      </c>
      <c r="AO14" s="154" t="n">
        <v>137.5</v>
      </c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>
        <v>60</v>
      </c>
      <c r="BT14" s="162" t="n">
        <v>104.15</v>
      </c>
      <c r="BU14" s="162" t="n">
        <v>107.9</v>
      </c>
      <c r="BV14" s="162" t="n">
        <v>112.5</v>
      </c>
      <c r="BW14" s="162" t="n">
        <v>116.25</v>
      </c>
      <c r="BY14" s="158" t="n"/>
      <c r="BZ14" s="158" t="n"/>
      <c r="CA14" s="158" t="n"/>
      <c r="CB14" s="158" t="n"/>
      <c r="CC14" s="158" t="n"/>
      <c r="CD14" s="158" t="n"/>
      <c r="CE14" s="158" t="n"/>
      <c r="CF14" s="158" t="n"/>
      <c r="CG14" s="158" t="n"/>
      <c r="CH14" s="158" t="n"/>
      <c r="CI14" s="158" t="n"/>
      <c r="CJ14" s="158" t="n"/>
      <c r="CK14" s="158" t="n"/>
      <c r="CL14" s="158" t="n"/>
      <c r="CM14" s="158" t="n"/>
      <c r="CN14" s="158" t="n"/>
      <c r="CO14" s="158" t="n"/>
      <c r="CP14" s="158" t="n"/>
      <c r="CQ14" s="159" t="n"/>
      <c r="CR14" s="167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239" t="n">
        <v>3</v>
      </c>
      <c r="Z15" s="239" t="n"/>
      <c r="AA15" s="239" t="n"/>
      <c r="AB15" s="239" t="n"/>
      <c r="AC15" s="239" t="n">
        <v>0</v>
      </c>
      <c r="AD15" s="5" t="n"/>
      <c r="AE15" s="153" t="n">
        <v>68</v>
      </c>
      <c r="AF15" s="154" t="n">
        <v>151.5</v>
      </c>
      <c r="AG15" s="154" t="n">
        <v>158.5</v>
      </c>
      <c r="AH15" s="154" t="n">
        <v>164.5</v>
      </c>
      <c r="AI15" s="154" t="n">
        <v>170.5</v>
      </c>
      <c r="AJ15" s="5" t="n"/>
      <c r="AK15" s="153" t="n">
        <v>68</v>
      </c>
      <c r="AL15" s="154" t="n">
        <v>191.5</v>
      </c>
      <c r="AM15" s="154" t="n">
        <v>200.5</v>
      </c>
      <c r="AN15" s="154" t="n">
        <v>207.5</v>
      </c>
      <c r="AO15" s="154" t="n">
        <v>211.5</v>
      </c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>
        <v>68</v>
      </c>
      <c r="BT15" s="162" t="n">
        <v>155.3</v>
      </c>
      <c r="BU15" s="162" t="n">
        <v>162.75</v>
      </c>
      <c r="BV15" s="162" t="n">
        <v>172</v>
      </c>
      <c r="BW15" s="162" t="n">
        <v>173.9</v>
      </c>
      <c r="BY15" s="158" t="n"/>
      <c r="BZ15" s="158" t="n"/>
      <c r="CA15" s="158" t="n"/>
      <c r="CB15" s="158" t="n"/>
      <c r="CC15" s="158" t="n"/>
      <c r="CD15" s="158" t="n"/>
      <c r="CE15" s="158" t="n"/>
      <c r="CF15" s="158" t="n"/>
      <c r="CG15" s="158" t="n"/>
      <c r="CH15" s="158" t="n"/>
      <c r="CI15" s="158" t="n"/>
      <c r="CJ15" s="158" t="n"/>
      <c r="CK15" s="158" t="n"/>
      <c r="CL15" s="158" t="n"/>
      <c r="CM15" s="158" t="n"/>
      <c r="CN15" s="158" t="n"/>
      <c r="CO15" s="158" t="n"/>
      <c r="CP15" s="158" t="n"/>
      <c r="CQ15" s="159" t="n"/>
      <c r="CR15" s="16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239" t="n">
        <v>4</v>
      </c>
      <c r="Z16" s="240" t="n"/>
      <c r="AA16" s="240" t="n"/>
      <c r="AB16" s="240" t="n"/>
      <c r="AC16" s="240" t="n">
        <v>0.1</v>
      </c>
      <c r="AD16" s="5" t="n"/>
      <c r="AE16" s="161" t="n"/>
      <c r="AF16" s="162" t="n"/>
      <c r="AG16" s="162" t="n"/>
      <c r="AH16" s="162" t="n"/>
      <c r="AI16" s="162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Y16" s="158" t="n"/>
      <c r="BZ16" s="158" t="n"/>
      <c r="CA16" s="158" t="n"/>
      <c r="CB16" s="158" t="n"/>
      <c r="CC16" s="158" t="n"/>
      <c r="CD16" s="158" t="n"/>
      <c r="CE16" s="158" t="n"/>
      <c r="CF16" s="158" t="n"/>
      <c r="CG16" s="158" t="n"/>
      <c r="CH16" s="158" t="n"/>
      <c r="CI16" s="158" t="n"/>
      <c r="CJ16" s="158" t="n"/>
      <c r="CK16" s="158" t="n"/>
      <c r="CL16" s="158" t="n"/>
      <c r="CM16" s="158" t="n"/>
      <c r="CN16" s="158" t="n"/>
      <c r="CO16" s="158" t="n"/>
      <c r="CP16" s="158" t="n"/>
      <c r="CQ16" s="159" t="n"/>
      <c r="CR16" s="167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239" t="n">
        <v>5</v>
      </c>
      <c r="Z17" s="240" t="n"/>
      <c r="AA17" s="240" t="n"/>
      <c r="AB17" s="240" t="n"/>
      <c r="AC17" s="240" t="n">
        <v>0.1</v>
      </c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239" t="n">
        <v>6</v>
      </c>
      <c r="Z18" s="240" t="n"/>
      <c r="AA18" s="240" t="n"/>
      <c r="AB18" s="240" t="n"/>
      <c r="AC18" s="240" t="n">
        <v>0.1</v>
      </c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239" t="n">
        <v>7</v>
      </c>
      <c r="Z19" s="240" t="n"/>
      <c r="AA19" s="240" t="n"/>
      <c r="AB19" s="240" t="n"/>
      <c r="AC19" s="240" t="n">
        <v>0.1</v>
      </c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239" t="n">
        <v>8</v>
      </c>
      <c r="Z20" s="240" t="n"/>
      <c r="AA20" s="240" t="n"/>
      <c r="AB20" s="240" t="n"/>
      <c r="AC20" s="240" t="n">
        <v>0.1</v>
      </c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U21" s="5" t="n"/>
      <c r="BV21" s="5" t="n"/>
      <c r="BW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168" t="n"/>
      <c r="BU22" s="168" t="n"/>
      <c r="BV22" s="168" t="n"/>
      <c r="BW22" s="168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168" t="n"/>
      <c r="BU23" s="168" t="n"/>
      <c r="BV23" s="168" t="n"/>
      <c r="BW23" s="16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168" t="n"/>
      <c r="BU24" s="168" t="n"/>
      <c r="BV24" s="168" t="n"/>
      <c r="BW24" s="168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168" t="n"/>
      <c r="BU25" s="168" t="n"/>
      <c r="BV25" s="168" t="n"/>
      <c r="BW25" s="168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168" t="n"/>
      <c r="BU26" s="168" t="n"/>
      <c r="BV26" s="168" t="n"/>
      <c r="BW26" s="168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  <c r="BV165" s="5" t="n"/>
      <c r="BW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5" t="n"/>
      <c r="BM166" s="5" t="n"/>
      <c r="BN166" s="5" t="n"/>
      <c r="BO166" s="5" t="n"/>
      <c r="BP166" s="5" t="n"/>
      <c r="BQ166" s="5" t="n"/>
      <c r="BR166" s="5" t="n"/>
      <c r="BS166" s="5" t="n"/>
      <c r="BT166" s="5" t="n"/>
      <c r="BU166" s="5" t="n"/>
      <c r="BV166" s="5" t="n"/>
      <c r="BW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  <c r="BN167" s="5" t="n"/>
      <c r="BO167" s="5" t="n"/>
      <c r="BP167" s="5" t="n"/>
      <c r="BQ167" s="5" t="n"/>
      <c r="BR167" s="5" t="n"/>
      <c r="BS167" s="5" t="n"/>
      <c r="BT167" s="5" t="n"/>
      <c r="BU167" s="5" t="n"/>
      <c r="BV167" s="5" t="n"/>
      <c r="BW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  <c r="BN168" s="5" t="n"/>
      <c r="BO168" s="5" t="n"/>
      <c r="BP168" s="5" t="n"/>
      <c r="BQ168" s="5" t="n"/>
      <c r="BR168" s="5" t="n"/>
      <c r="BS168" s="5" t="n"/>
      <c r="BT168" s="5" t="n"/>
      <c r="BU168" s="5" t="n"/>
      <c r="BV168" s="5" t="n"/>
      <c r="BW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  <c r="BN169" s="5" t="n"/>
      <c r="BO169" s="5" t="n"/>
      <c r="BP169" s="5" t="n"/>
      <c r="BQ169" s="5" t="n"/>
      <c r="BR169" s="5" t="n"/>
      <c r="BS169" s="5" t="n"/>
      <c r="BT169" s="5" t="n"/>
      <c r="BU169" s="5" t="n"/>
      <c r="BV169" s="5" t="n"/>
      <c r="BW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  <c r="BN170" s="5" t="n"/>
      <c r="BO170" s="5" t="n"/>
      <c r="BP170" s="5" t="n"/>
      <c r="BQ170" s="5" t="n"/>
      <c r="BR170" s="5" t="n"/>
      <c r="BS170" s="5" t="n"/>
      <c r="BT170" s="5" t="n"/>
      <c r="BU170" s="5" t="n"/>
      <c r="BV170" s="5" t="n"/>
      <c r="BW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  <c r="BN171" s="5" t="n"/>
      <c r="BO171" s="5" t="n"/>
      <c r="BP171" s="5" t="n"/>
      <c r="BQ171" s="5" t="n"/>
      <c r="BR171" s="5" t="n"/>
      <c r="BS171" s="5" t="n"/>
      <c r="BT171" s="5" t="n"/>
      <c r="BU171" s="5" t="n"/>
      <c r="BV171" s="5" t="n"/>
      <c r="BW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5" t="n"/>
      <c r="BL172" s="5" t="n"/>
      <c r="BM172" s="5" t="n"/>
      <c r="BN172" s="5" t="n"/>
      <c r="BO172" s="5" t="n"/>
      <c r="BP172" s="5" t="n"/>
      <c r="BQ172" s="5" t="n"/>
      <c r="BR172" s="5" t="n"/>
      <c r="BS172" s="5" t="n"/>
      <c r="BT172" s="5" t="n"/>
      <c r="BU172" s="5" t="n"/>
      <c r="BV172" s="5" t="n"/>
      <c r="BW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  <c r="BW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5" t="n"/>
      <c r="BL174" s="5" t="n"/>
      <c r="BM174" s="5" t="n"/>
      <c r="BN174" s="5" t="n"/>
      <c r="BO174" s="5" t="n"/>
      <c r="BP174" s="5" t="n"/>
      <c r="BQ174" s="5" t="n"/>
      <c r="BR174" s="5" t="n"/>
      <c r="BS174" s="5" t="n"/>
      <c r="BT174" s="5" t="n"/>
      <c r="BU174" s="5" t="n"/>
      <c r="BV174" s="5" t="n"/>
      <c r="BW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5" t="n"/>
      <c r="BW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5" t="n"/>
      <c r="BL176" s="5" t="n"/>
      <c r="BM176" s="5" t="n"/>
      <c r="BN176" s="5" t="n"/>
      <c r="BO176" s="5" t="n"/>
      <c r="BP176" s="5" t="n"/>
      <c r="BQ176" s="5" t="n"/>
      <c r="BR176" s="5" t="n"/>
      <c r="BS176" s="5" t="n"/>
      <c r="BT176" s="5" t="n"/>
      <c r="BU176" s="5" t="n"/>
      <c r="BV176" s="5" t="n"/>
      <c r="BW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5" t="n"/>
      <c r="BW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5" t="n"/>
      <c r="BL178" s="5" t="n"/>
      <c r="BM178" s="5" t="n"/>
      <c r="BN178" s="5" t="n"/>
      <c r="BO178" s="5" t="n"/>
      <c r="BP178" s="5" t="n"/>
      <c r="BQ178" s="5" t="n"/>
      <c r="BR178" s="5" t="n"/>
      <c r="BS178" s="5" t="n"/>
      <c r="BT178" s="5" t="n"/>
      <c r="BU178" s="5" t="n"/>
      <c r="BV178" s="5" t="n"/>
      <c r="BW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/>
      <c r="BR179" s="5" t="n"/>
      <c r="BS179" s="5" t="n"/>
      <c r="BT179" s="5" t="n"/>
      <c r="BU179" s="5" t="n"/>
      <c r="BV179" s="5" t="n"/>
      <c r="BW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  <c r="BK180" s="5" t="n"/>
      <c r="BL180" s="5" t="n"/>
      <c r="BM180" s="5" t="n"/>
      <c r="BN180" s="5" t="n"/>
      <c r="BO180" s="5" t="n"/>
      <c r="BP180" s="5" t="n"/>
      <c r="BQ180" s="5" t="n"/>
      <c r="BR180" s="5" t="n"/>
      <c r="BS180" s="5" t="n"/>
      <c r="BT180" s="5" t="n"/>
      <c r="BU180" s="5" t="n"/>
      <c r="BV180" s="5" t="n"/>
      <c r="BW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  <c r="BW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5" t="n"/>
      <c r="BL182" s="5" t="n"/>
      <c r="BM182" s="5" t="n"/>
      <c r="BN182" s="5" t="n"/>
      <c r="BO182" s="5" t="n"/>
      <c r="BP182" s="5" t="n"/>
      <c r="BQ182" s="5" t="n"/>
      <c r="BR182" s="5" t="n"/>
      <c r="BS182" s="5" t="n"/>
      <c r="BT182" s="5" t="n"/>
      <c r="BU182" s="5" t="n"/>
      <c r="BV182" s="5" t="n"/>
      <c r="BW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5" t="n"/>
      <c r="BW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  <c r="BJ184" s="5" t="n"/>
      <c r="BK184" s="5" t="n"/>
      <c r="BL184" s="5" t="n"/>
      <c r="BM184" s="5" t="n"/>
      <c r="BN184" s="5" t="n"/>
      <c r="BO184" s="5" t="n"/>
      <c r="BP184" s="5" t="n"/>
      <c r="BQ184" s="5" t="n"/>
      <c r="BR184" s="5" t="n"/>
      <c r="BS184" s="5" t="n"/>
      <c r="BT184" s="5" t="n"/>
      <c r="BU184" s="5" t="n"/>
      <c r="BV184" s="5" t="n"/>
      <c r="BW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5" t="n"/>
      <c r="BW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/>
      <c r="BK186" s="5" t="n"/>
      <c r="BL186" s="5" t="n"/>
      <c r="BM186" s="5" t="n"/>
      <c r="BN186" s="5" t="n"/>
      <c r="BO186" s="5" t="n"/>
      <c r="BP186" s="5" t="n"/>
      <c r="BQ186" s="5" t="n"/>
      <c r="BR186" s="5" t="n"/>
      <c r="BS186" s="5" t="n"/>
      <c r="BT186" s="5" t="n"/>
      <c r="BU186" s="5" t="n"/>
      <c r="BV186" s="5" t="n"/>
      <c r="BW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5" t="n"/>
      <c r="BL187" s="5" t="n"/>
      <c r="BM187" s="5" t="n"/>
      <c r="BN187" s="5" t="n"/>
      <c r="BO187" s="5" t="n"/>
      <c r="BP187" s="5" t="n"/>
      <c r="BQ187" s="5" t="n"/>
      <c r="BR187" s="5" t="n"/>
      <c r="BS187" s="5" t="n"/>
      <c r="BT187" s="5" t="n"/>
      <c r="BU187" s="5" t="n"/>
      <c r="BV187" s="5" t="n"/>
      <c r="BW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5" t="n"/>
      <c r="BL188" s="5" t="n"/>
      <c r="BM188" s="5" t="n"/>
      <c r="BN188" s="5" t="n"/>
      <c r="BO188" s="5" t="n"/>
      <c r="BP188" s="5" t="n"/>
      <c r="BQ188" s="5" t="n"/>
      <c r="BR188" s="5" t="n"/>
      <c r="BS188" s="5" t="n"/>
      <c r="BT188" s="5" t="n"/>
      <c r="BU188" s="5" t="n"/>
      <c r="BV188" s="5" t="n"/>
      <c r="BW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  <c r="BV189" s="5" t="n"/>
      <c r="BW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  <c r="BJ190" s="5" t="n"/>
      <c r="BK190" s="5" t="n"/>
      <c r="BL190" s="5" t="n"/>
      <c r="BM190" s="5" t="n"/>
      <c r="BN190" s="5" t="n"/>
      <c r="BO190" s="5" t="n"/>
      <c r="BP190" s="5" t="n"/>
      <c r="BQ190" s="5" t="n"/>
      <c r="BR190" s="5" t="n"/>
      <c r="BS190" s="5" t="n"/>
      <c r="BT190" s="5" t="n"/>
      <c r="BU190" s="5" t="n"/>
      <c r="BV190" s="5" t="n"/>
      <c r="BW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  <c r="BV191" s="5" t="n"/>
      <c r="BW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5" t="n"/>
      <c r="BL192" s="5" t="n"/>
      <c r="BM192" s="5" t="n"/>
      <c r="BN192" s="5" t="n"/>
      <c r="BO192" s="5" t="n"/>
      <c r="BP192" s="5" t="n"/>
      <c r="BQ192" s="5" t="n"/>
      <c r="BR192" s="5" t="n"/>
      <c r="BS192" s="5" t="n"/>
      <c r="BT192" s="5" t="n"/>
      <c r="BU192" s="5" t="n"/>
      <c r="BV192" s="5" t="n"/>
      <c r="BW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5" t="n"/>
      <c r="BL193" s="5" t="n"/>
      <c r="BM193" s="5" t="n"/>
      <c r="BN193" s="5" t="n"/>
      <c r="BO193" s="5" t="n"/>
      <c r="BP193" s="5" t="n"/>
      <c r="BQ193" s="5" t="n"/>
      <c r="BR193" s="5" t="n"/>
      <c r="BS193" s="5" t="n"/>
      <c r="BT193" s="5" t="n"/>
      <c r="BU193" s="5" t="n"/>
      <c r="BV193" s="5" t="n"/>
      <c r="BW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  <c r="BV194" s="5" t="n"/>
      <c r="BW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  <c r="BV195" s="5" t="n"/>
      <c r="BW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5" t="n"/>
      <c r="BL196" s="5" t="n"/>
      <c r="BM196" s="5" t="n"/>
      <c r="BN196" s="5" t="n"/>
      <c r="BO196" s="5" t="n"/>
      <c r="BP196" s="5" t="n"/>
      <c r="BQ196" s="5" t="n"/>
      <c r="BR196" s="5" t="n"/>
      <c r="BS196" s="5" t="n"/>
      <c r="BT196" s="5" t="n"/>
      <c r="BU196" s="5" t="n"/>
      <c r="BV196" s="5" t="n"/>
      <c r="BW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  <c r="BV197" s="5" t="n"/>
      <c r="BW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  <c r="BV198" s="5" t="n"/>
      <c r="BW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  <c r="BV199" s="5" t="n"/>
      <c r="BW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BV200" s="5" t="n"/>
      <c r="BW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  <c r="BV201" s="5" t="n"/>
      <c r="BW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  <c r="BV202" s="5" t="n"/>
      <c r="BW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  <c r="BV203" s="5" t="n"/>
      <c r="BW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5" t="n"/>
      <c r="BS204" s="5" t="n"/>
      <c r="BT204" s="5" t="n"/>
      <c r="BU204" s="5" t="n"/>
      <c r="BV204" s="5" t="n"/>
      <c r="BW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  <c r="BN205" s="5" t="n"/>
      <c r="BO205" s="5" t="n"/>
      <c r="BP205" s="5" t="n"/>
      <c r="BQ205" s="5" t="n"/>
      <c r="BR205" s="5" t="n"/>
      <c r="BS205" s="5" t="n"/>
      <c r="BT205" s="5" t="n"/>
      <c r="BU205" s="5" t="n"/>
      <c r="BV205" s="5" t="n"/>
      <c r="BW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5" t="n"/>
      <c r="BL206" s="5" t="n"/>
      <c r="BM206" s="5" t="n"/>
      <c r="BN206" s="5" t="n"/>
      <c r="BO206" s="5" t="n"/>
      <c r="BP206" s="5" t="n"/>
      <c r="BQ206" s="5" t="n"/>
      <c r="BR206" s="5" t="n"/>
      <c r="BS206" s="5" t="n"/>
      <c r="BT206" s="5" t="n"/>
      <c r="BU206" s="5" t="n"/>
      <c r="BV206" s="5" t="n"/>
      <c r="BW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  <c r="BV207" s="5" t="n"/>
      <c r="BW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/>
      <c r="BV208" s="5" t="n"/>
      <c r="BW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  <c r="BV209" s="5" t="n"/>
      <c r="BW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  <c r="BV210" s="5" t="n"/>
      <c r="BW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5" t="n"/>
      <c r="BL211" s="5" t="n"/>
      <c r="BM211" s="5" t="n"/>
      <c r="BN211" s="5" t="n"/>
      <c r="BO211" s="5" t="n"/>
      <c r="BP211" s="5" t="n"/>
      <c r="BQ211" s="5" t="n"/>
      <c r="BR211" s="5" t="n"/>
      <c r="BS211" s="5" t="n"/>
      <c r="BT211" s="5" t="n"/>
      <c r="BU211" s="5" t="n"/>
      <c r="BV211" s="5" t="n"/>
      <c r="BW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5" t="n"/>
      <c r="BL212" s="5" t="n"/>
      <c r="BM212" s="5" t="n"/>
      <c r="BN212" s="5" t="n"/>
      <c r="BO212" s="5" t="n"/>
      <c r="BP212" s="5" t="n"/>
      <c r="BQ212" s="5" t="n"/>
      <c r="BR212" s="5" t="n"/>
      <c r="BS212" s="5" t="n"/>
      <c r="BT212" s="5" t="n"/>
      <c r="BU212" s="5" t="n"/>
      <c r="BV212" s="5" t="n"/>
      <c r="BW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/>
      <c r="BV213" s="5" t="n"/>
      <c r="BW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/>
      <c r="BS214" s="5" t="n"/>
      <c r="BT214" s="5" t="n"/>
      <c r="BU214" s="5" t="n"/>
      <c r="BV214" s="5" t="n"/>
      <c r="BW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/>
      <c r="BV215" s="5" t="n"/>
      <c r="BW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/>
      <c r="BV216" s="5" t="n"/>
      <c r="BW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  <c r="BV217" s="5" t="n"/>
      <c r="BW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/>
      <c r="BK218" s="5" t="n"/>
      <c r="BL218" s="5" t="n"/>
      <c r="BM218" s="5" t="n"/>
      <c r="BN218" s="5" t="n"/>
      <c r="BO218" s="5" t="n"/>
      <c r="BP218" s="5" t="n"/>
      <c r="BQ218" s="5" t="n"/>
      <c r="BR218" s="5" t="n"/>
      <c r="BS218" s="5" t="n"/>
      <c r="BT218" s="5" t="n"/>
      <c r="BU218" s="5" t="n"/>
      <c r="BV218" s="5" t="n"/>
      <c r="BW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/>
      <c r="BV219" s="5" t="n"/>
      <c r="BW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/>
      <c r="BV220" s="5" t="n"/>
      <c r="BW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  <c r="BV221" s="5" t="n"/>
      <c r="BW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5" t="n"/>
      <c r="BL222" s="5" t="n"/>
      <c r="BM222" s="5" t="n"/>
      <c r="BN222" s="5" t="n"/>
      <c r="BO222" s="5" t="n"/>
      <c r="BP222" s="5" t="n"/>
      <c r="BQ222" s="5" t="n"/>
      <c r="BR222" s="5" t="n"/>
      <c r="BS222" s="5" t="n"/>
      <c r="BT222" s="5" t="n"/>
      <c r="BU222" s="5" t="n"/>
      <c r="BV222" s="5" t="n"/>
      <c r="BW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5" t="n"/>
      <c r="BL223" s="5" t="n"/>
      <c r="BM223" s="5" t="n"/>
      <c r="BN223" s="5" t="n"/>
      <c r="BO223" s="5" t="n"/>
      <c r="BP223" s="5" t="n"/>
      <c r="BQ223" s="5" t="n"/>
      <c r="BR223" s="5" t="n"/>
      <c r="BS223" s="5" t="n"/>
      <c r="BT223" s="5" t="n"/>
      <c r="BU223" s="5" t="n"/>
      <c r="BV223" s="5" t="n"/>
      <c r="BW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5" t="n"/>
      <c r="BL224" s="5" t="n"/>
      <c r="BM224" s="5" t="n"/>
      <c r="BN224" s="5" t="n"/>
      <c r="BO224" s="5" t="n"/>
      <c r="BP224" s="5" t="n"/>
      <c r="BQ224" s="5" t="n"/>
      <c r="BR224" s="5" t="n"/>
      <c r="BS224" s="5" t="n"/>
      <c r="BT224" s="5" t="n"/>
      <c r="BU224" s="5" t="n"/>
      <c r="BV224" s="5" t="n"/>
      <c r="BW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/>
      <c r="BV225" s="5" t="n"/>
      <c r="BW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  <c r="BK226" s="5" t="n"/>
      <c r="BL226" s="5" t="n"/>
      <c r="BM226" s="5" t="n"/>
      <c r="BN226" s="5" t="n"/>
      <c r="BO226" s="5" t="n"/>
      <c r="BP226" s="5" t="n"/>
      <c r="BQ226" s="5" t="n"/>
      <c r="BR226" s="5" t="n"/>
      <c r="BS226" s="5" t="n"/>
      <c r="BT226" s="5" t="n"/>
      <c r="BU226" s="5" t="n"/>
      <c r="BV226" s="5" t="n"/>
      <c r="BW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5" t="n"/>
      <c r="BL227" s="5" t="n"/>
      <c r="BM227" s="5" t="n"/>
      <c r="BN227" s="5" t="n"/>
      <c r="BO227" s="5" t="n"/>
      <c r="BP227" s="5" t="n"/>
      <c r="BQ227" s="5" t="n"/>
      <c r="BR227" s="5" t="n"/>
      <c r="BS227" s="5" t="n"/>
      <c r="BT227" s="5" t="n"/>
      <c r="BU227" s="5" t="n"/>
      <c r="BV227" s="5" t="n"/>
      <c r="BW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  <c r="BK228" s="5" t="n"/>
      <c r="BL228" s="5" t="n"/>
      <c r="BM228" s="5" t="n"/>
      <c r="BN228" s="5" t="n"/>
      <c r="BO228" s="5" t="n"/>
      <c r="BP228" s="5" t="n"/>
      <c r="BQ228" s="5" t="n"/>
      <c r="BR228" s="5" t="n"/>
      <c r="BS228" s="5" t="n"/>
      <c r="BT228" s="5" t="n"/>
      <c r="BU228" s="5" t="n"/>
      <c r="BV228" s="5" t="n"/>
      <c r="BW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5" t="n"/>
      <c r="BL229" s="5" t="n"/>
      <c r="BM229" s="5" t="n"/>
      <c r="BN229" s="5" t="n"/>
      <c r="BO229" s="5" t="n"/>
      <c r="BP229" s="5" t="n"/>
      <c r="BQ229" s="5" t="n"/>
      <c r="BR229" s="5" t="n"/>
      <c r="BS229" s="5" t="n"/>
      <c r="BT229" s="5" t="n"/>
      <c r="BU229" s="5" t="n"/>
      <c r="BV229" s="5" t="n"/>
      <c r="BW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  <c r="BK230" s="5" t="n"/>
      <c r="BL230" s="5" t="n"/>
      <c r="BM230" s="5" t="n"/>
      <c r="BN230" s="5" t="n"/>
      <c r="BO230" s="5" t="n"/>
      <c r="BP230" s="5" t="n"/>
      <c r="BQ230" s="5" t="n"/>
      <c r="BR230" s="5" t="n"/>
      <c r="BS230" s="5" t="n"/>
      <c r="BT230" s="5" t="n"/>
      <c r="BU230" s="5" t="n"/>
      <c r="BV230" s="5" t="n"/>
      <c r="BW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5" t="n"/>
      <c r="BW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  <c r="BK232" s="5" t="n"/>
      <c r="BL232" s="5" t="n"/>
      <c r="BM232" s="5" t="n"/>
      <c r="BN232" s="5" t="n"/>
      <c r="BO232" s="5" t="n"/>
      <c r="BP232" s="5" t="n"/>
      <c r="BQ232" s="5" t="n"/>
      <c r="BR232" s="5" t="n"/>
      <c r="BS232" s="5" t="n"/>
      <c r="BT232" s="5" t="n"/>
      <c r="BU232" s="5" t="n"/>
      <c r="BV232" s="5" t="n"/>
      <c r="BW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  <c r="BN233" s="5" t="n"/>
      <c r="BO233" s="5" t="n"/>
      <c r="BP233" s="5" t="n"/>
      <c r="BQ233" s="5" t="n"/>
      <c r="BR233" s="5" t="n"/>
      <c r="BS233" s="5" t="n"/>
      <c r="BT233" s="5" t="n"/>
      <c r="BU233" s="5" t="n"/>
      <c r="BV233" s="5" t="n"/>
      <c r="BW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  <c r="BK234" s="5" t="n"/>
      <c r="BL234" s="5" t="n"/>
      <c r="BM234" s="5" t="n"/>
      <c r="BN234" s="5" t="n"/>
      <c r="BO234" s="5" t="n"/>
      <c r="BP234" s="5" t="n"/>
      <c r="BQ234" s="5" t="n"/>
      <c r="BR234" s="5" t="n"/>
      <c r="BS234" s="5" t="n"/>
      <c r="BT234" s="5" t="n"/>
      <c r="BU234" s="5" t="n"/>
      <c r="BV234" s="5" t="n"/>
      <c r="BW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5" t="n"/>
      <c r="BW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  <c r="BK236" s="5" t="n"/>
      <c r="BL236" s="5" t="n"/>
      <c r="BM236" s="5" t="n"/>
      <c r="BN236" s="5" t="n"/>
      <c r="BO236" s="5" t="n"/>
      <c r="BP236" s="5" t="n"/>
      <c r="BQ236" s="5" t="n"/>
      <c r="BR236" s="5" t="n"/>
      <c r="BS236" s="5" t="n"/>
      <c r="BT236" s="5" t="n"/>
      <c r="BU236" s="5" t="n"/>
      <c r="BV236" s="5" t="n"/>
      <c r="BW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  <c r="BN237" s="5" t="n"/>
      <c r="BO237" s="5" t="n"/>
      <c r="BP237" s="5" t="n"/>
      <c r="BQ237" s="5" t="n"/>
      <c r="BR237" s="5" t="n"/>
      <c r="BS237" s="5" t="n"/>
      <c r="BT237" s="5" t="n"/>
      <c r="BU237" s="5" t="n"/>
      <c r="BV237" s="5" t="n"/>
      <c r="BW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/>
      <c r="BK238" s="5" t="n"/>
      <c r="BL238" s="5" t="n"/>
      <c r="BM238" s="5" t="n"/>
      <c r="BN238" s="5" t="n"/>
      <c r="BO238" s="5" t="n"/>
      <c r="BP238" s="5" t="n"/>
      <c r="BQ238" s="5" t="n"/>
      <c r="BR238" s="5" t="n"/>
      <c r="BS238" s="5" t="n"/>
      <c r="BT238" s="5" t="n"/>
      <c r="BU238" s="5" t="n"/>
      <c r="BV238" s="5" t="n"/>
      <c r="BW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5" t="n"/>
      <c r="BL239" s="5" t="n"/>
      <c r="BM239" s="5" t="n"/>
      <c r="BN239" s="5" t="n"/>
      <c r="BO239" s="5" t="n"/>
      <c r="BP239" s="5" t="n"/>
      <c r="BQ239" s="5" t="n"/>
      <c r="BR239" s="5" t="n"/>
      <c r="BS239" s="5" t="n"/>
      <c r="BT239" s="5" t="n"/>
      <c r="BU239" s="5" t="n"/>
      <c r="BV239" s="5" t="n"/>
      <c r="BW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/>
      <c r="BK240" s="5" t="n"/>
      <c r="BL240" s="5" t="n"/>
      <c r="BM240" s="5" t="n"/>
      <c r="BN240" s="5" t="n"/>
      <c r="BO240" s="5" t="n"/>
      <c r="BP240" s="5" t="n"/>
      <c r="BQ240" s="5" t="n"/>
      <c r="BR240" s="5" t="n"/>
      <c r="BS240" s="5" t="n"/>
      <c r="BT240" s="5" t="n"/>
      <c r="BU240" s="5" t="n"/>
      <c r="BV240" s="5" t="n"/>
      <c r="BW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  <c r="BN241" s="5" t="n"/>
      <c r="BO241" s="5" t="n"/>
      <c r="BP241" s="5" t="n"/>
      <c r="BQ241" s="5" t="n"/>
      <c r="BR241" s="5" t="n"/>
      <c r="BS241" s="5" t="n"/>
      <c r="BT241" s="5" t="n"/>
      <c r="BU241" s="5" t="n"/>
      <c r="BV241" s="5" t="n"/>
      <c r="BW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5" t="n"/>
      <c r="BL242" s="5" t="n"/>
      <c r="BM242" s="5" t="n"/>
      <c r="BN242" s="5" t="n"/>
      <c r="BO242" s="5" t="n"/>
      <c r="BP242" s="5" t="n"/>
      <c r="BQ242" s="5" t="n"/>
      <c r="BR242" s="5" t="n"/>
      <c r="BS242" s="5" t="n"/>
      <c r="BT242" s="5" t="n"/>
      <c r="BU242" s="5" t="n"/>
      <c r="BV242" s="5" t="n"/>
      <c r="BW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5" t="n"/>
      <c r="BR243" s="5" t="n"/>
      <c r="BS243" s="5" t="n"/>
      <c r="BT243" s="5" t="n"/>
      <c r="BU243" s="5" t="n"/>
      <c r="BV243" s="5" t="n"/>
      <c r="BW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/>
      <c r="BJ244" s="5" t="n"/>
      <c r="BK244" s="5" t="n"/>
      <c r="BL244" s="5" t="n"/>
      <c r="BM244" s="5" t="n"/>
      <c r="BN244" s="5" t="n"/>
      <c r="BO244" s="5" t="n"/>
      <c r="BP244" s="5" t="n"/>
      <c r="BQ244" s="5" t="n"/>
      <c r="BR244" s="5" t="n"/>
      <c r="BS244" s="5" t="n"/>
      <c r="BT244" s="5" t="n"/>
      <c r="BU244" s="5" t="n"/>
      <c r="BV244" s="5" t="n"/>
      <c r="BW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  <c r="BN245" s="5" t="n"/>
      <c r="BO245" s="5" t="n"/>
      <c r="BP245" s="5" t="n"/>
      <c r="BQ245" s="5" t="n"/>
      <c r="BR245" s="5" t="n"/>
      <c r="BS245" s="5" t="n"/>
      <c r="BT245" s="5" t="n"/>
      <c r="BU245" s="5" t="n"/>
      <c r="BV245" s="5" t="n"/>
      <c r="BW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  <c r="BN246" s="5" t="n"/>
      <c r="BO246" s="5" t="n"/>
      <c r="BP246" s="5" t="n"/>
      <c r="BQ246" s="5" t="n"/>
      <c r="BR246" s="5" t="n"/>
      <c r="BS246" s="5" t="n"/>
      <c r="BT246" s="5" t="n"/>
      <c r="BU246" s="5" t="n"/>
      <c r="BV246" s="5" t="n"/>
      <c r="BW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/>
      <c r="BK247" s="5" t="n"/>
      <c r="BL247" s="5" t="n"/>
      <c r="BM247" s="5" t="n"/>
      <c r="BN247" s="5" t="n"/>
      <c r="BO247" s="5" t="n"/>
      <c r="BP247" s="5" t="n"/>
      <c r="BQ247" s="5" t="n"/>
      <c r="BR247" s="5" t="n"/>
      <c r="BS247" s="5" t="n"/>
      <c r="BT247" s="5" t="n"/>
      <c r="BU247" s="5" t="n"/>
      <c r="BV247" s="5" t="n"/>
      <c r="BW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/>
      <c r="BK248" s="5" t="n"/>
      <c r="BL248" s="5" t="n"/>
      <c r="BM248" s="5" t="n"/>
      <c r="BN248" s="5" t="n"/>
      <c r="BO248" s="5" t="n"/>
      <c r="BP248" s="5" t="n"/>
      <c r="BQ248" s="5" t="n"/>
      <c r="BR248" s="5" t="n"/>
      <c r="BS248" s="5" t="n"/>
      <c r="BT248" s="5" t="n"/>
      <c r="BU248" s="5" t="n"/>
      <c r="BV248" s="5" t="n"/>
      <c r="BW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5" t="n"/>
      <c r="BR249" s="5" t="n"/>
      <c r="BS249" s="5" t="n"/>
      <c r="BT249" s="5" t="n"/>
      <c r="BU249" s="5" t="n"/>
      <c r="BV249" s="5" t="n"/>
      <c r="BW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/>
      <c r="BK250" s="5" t="n"/>
      <c r="BL250" s="5" t="n"/>
      <c r="BM250" s="5" t="n"/>
      <c r="BN250" s="5" t="n"/>
      <c r="BO250" s="5" t="n"/>
      <c r="BP250" s="5" t="n"/>
      <c r="BQ250" s="5" t="n"/>
      <c r="BR250" s="5" t="n"/>
      <c r="BS250" s="5" t="n"/>
      <c r="BT250" s="5" t="n"/>
      <c r="BU250" s="5" t="n"/>
      <c r="BV250" s="5" t="n"/>
      <c r="BW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  <c r="BN251" s="5" t="n"/>
      <c r="BO251" s="5" t="n"/>
      <c r="BP251" s="5" t="n"/>
      <c r="BQ251" s="5" t="n"/>
      <c r="BR251" s="5" t="n"/>
      <c r="BS251" s="5" t="n"/>
      <c r="BT251" s="5" t="n"/>
      <c r="BU251" s="5" t="n"/>
      <c r="BV251" s="5" t="n"/>
      <c r="BW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  <c r="BN252" s="5" t="n"/>
      <c r="BO252" s="5" t="n"/>
      <c r="BP252" s="5" t="n"/>
      <c r="BQ252" s="5" t="n"/>
      <c r="BR252" s="5" t="n"/>
      <c r="BS252" s="5" t="n"/>
      <c r="BT252" s="5" t="n"/>
      <c r="BU252" s="5" t="n"/>
      <c r="BV252" s="5" t="n"/>
      <c r="BW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/>
      <c r="BK253" s="5" t="n"/>
      <c r="BL253" s="5" t="n"/>
      <c r="BM253" s="5" t="n"/>
      <c r="BN253" s="5" t="n"/>
      <c r="BO253" s="5" t="n"/>
      <c r="BP253" s="5" t="n"/>
      <c r="BQ253" s="5" t="n"/>
      <c r="BR253" s="5" t="n"/>
      <c r="BS253" s="5" t="n"/>
      <c r="BT253" s="5" t="n"/>
      <c r="BU253" s="5" t="n"/>
      <c r="BV253" s="5" t="n"/>
      <c r="BW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/>
      <c r="BK254" s="5" t="n"/>
      <c r="BL254" s="5" t="n"/>
      <c r="BM254" s="5" t="n"/>
      <c r="BN254" s="5" t="n"/>
      <c r="BO254" s="5" t="n"/>
      <c r="BP254" s="5" t="n"/>
      <c r="BQ254" s="5" t="n"/>
      <c r="BR254" s="5" t="n"/>
      <c r="BS254" s="5" t="n"/>
      <c r="BT254" s="5" t="n"/>
      <c r="BU254" s="5" t="n"/>
      <c r="BV254" s="5" t="n"/>
      <c r="BW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/>
      <c r="BV255" s="5" t="n"/>
      <c r="BW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5" t="n"/>
      <c r="BL256" s="5" t="n"/>
      <c r="BM256" s="5" t="n"/>
      <c r="BN256" s="5" t="n"/>
      <c r="BO256" s="5" t="n"/>
      <c r="BP256" s="5" t="n"/>
      <c r="BQ256" s="5" t="n"/>
      <c r="BR256" s="5" t="n"/>
      <c r="BS256" s="5" t="n"/>
      <c r="BT256" s="5" t="n"/>
      <c r="BU256" s="5" t="n"/>
      <c r="BV256" s="5" t="n"/>
      <c r="BW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/>
      <c r="BK257" s="5" t="n"/>
      <c r="BL257" s="5" t="n"/>
      <c r="BM257" s="5" t="n"/>
      <c r="BN257" s="5" t="n"/>
      <c r="BO257" s="5" t="n"/>
      <c r="BP257" s="5" t="n"/>
      <c r="BQ257" s="5" t="n"/>
      <c r="BR257" s="5" t="n"/>
      <c r="BS257" s="5" t="n"/>
      <c r="BT257" s="5" t="n"/>
      <c r="BU257" s="5" t="n"/>
      <c r="BV257" s="5" t="n"/>
      <c r="BW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/>
      <c r="BJ258" s="5" t="n"/>
      <c r="BK258" s="5" t="n"/>
      <c r="BL258" s="5" t="n"/>
      <c r="BM258" s="5" t="n"/>
      <c r="BN258" s="5" t="n"/>
      <c r="BO258" s="5" t="n"/>
      <c r="BP258" s="5" t="n"/>
      <c r="BQ258" s="5" t="n"/>
      <c r="BR258" s="5" t="n"/>
      <c r="BS258" s="5" t="n"/>
      <c r="BT258" s="5" t="n"/>
      <c r="BU258" s="5" t="n"/>
      <c r="BV258" s="5" t="n"/>
      <c r="BW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/>
      <c r="BV259" s="5" t="n"/>
      <c r="BW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/>
      <c r="BJ260" s="5" t="n"/>
      <c r="BK260" s="5" t="n"/>
      <c r="BL260" s="5" t="n"/>
      <c r="BM260" s="5" t="n"/>
      <c r="BN260" s="5" t="n"/>
      <c r="BO260" s="5" t="n"/>
      <c r="BP260" s="5" t="n"/>
      <c r="BQ260" s="5" t="n"/>
      <c r="BR260" s="5" t="n"/>
      <c r="BS260" s="5" t="n"/>
      <c r="BT260" s="5" t="n"/>
      <c r="BU260" s="5" t="n"/>
      <c r="BV260" s="5" t="n"/>
      <c r="BW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/>
      <c r="BJ261" s="5" t="n"/>
      <c r="BK261" s="5" t="n"/>
      <c r="BL261" s="5" t="n"/>
      <c r="BM261" s="5" t="n"/>
      <c r="BN261" s="5" t="n"/>
      <c r="BO261" s="5" t="n"/>
      <c r="BP261" s="5" t="n"/>
      <c r="BQ261" s="5" t="n"/>
      <c r="BR261" s="5" t="n"/>
      <c r="BS261" s="5" t="n"/>
      <c r="BT261" s="5" t="n"/>
      <c r="BU261" s="5" t="n"/>
      <c r="BV261" s="5" t="n"/>
      <c r="BW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/>
      <c r="BJ262" s="5" t="n"/>
      <c r="BK262" s="5" t="n"/>
      <c r="BL262" s="5" t="n"/>
      <c r="BM262" s="5" t="n"/>
      <c r="BN262" s="5" t="n"/>
      <c r="BO262" s="5" t="n"/>
      <c r="BP262" s="5" t="n"/>
      <c r="BQ262" s="5" t="n"/>
      <c r="BR262" s="5" t="n"/>
      <c r="BS262" s="5" t="n"/>
      <c r="BT262" s="5" t="n"/>
      <c r="BU262" s="5" t="n"/>
      <c r="BV262" s="5" t="n"/>
      <c r="BW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  <c r="BV263" s="5" t="n"/>
      <c r="BW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/>
      <c r="BJ264" s="5" t="n"/>
      <c r="BK264" s="5" t="n"/>
      <c r="BL264" s="5" t="n"/>
      <c r="BM264" s="5" t="n"/>
      <c r="BN264" s="5" t="n"/>
      <c r="BO264" s="5" t="n"/>
      <c r="BP264" s="5" t="n"/>
      <c r="BQ264" s="5" t="n"/>
      <c r="BR264" s="5" t="n"/>
      <c r="BS264" s="5" t="n"/>
      <c r="BT264" s="5" t="n"/>
      <c r="BU264" s="5" t="n"/>
      <c r="BV264" s="5" t="n"/>
      <c r="BW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5" t="n"/>
      <c r="BI265" s="5" t="n"/>
      <c r="BJ265" s="5" t="n"/>
      <c r="BK265" s="5" t="n"/>
      <c r="BL265" s="5" t="n"/>
      <c r="BM265" s="5" t="n"/>
      <c r="BN265" s="5" t="n"/>
      <c r="BO265" s="5" t="n"/>
      <c r="BP265" s="5" t="n"/>
      <c r="BQ265" s="5" t="n"/>
      <c r="BR265" s="5" t="n"/>
      <c r="BS265" s="5" t="n"/>
      <c r="BT265" s="5" t="n"/>
      <c r="BU265" s="5" t="n"/>
      <c r="BV265" s="5" t="n"/>
      <c r="BW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  <c r="BG266" s="5" t="n"/>
      <c r="BH266" s="5" t="n"/>
      <c r="BI266" s="5" t="n"/>
      <c r="BJ266" s="5" t="n"/>
      <c r="BK266" s="5" t="n"/>
      <c r="BL266" s="5" t="n"/>
      <c r="BM266" s="5" t="n"/>
      <c r="BN266" s="5" t="n"/>
      <c r="BO266" s="5" t="n"/>
      <c r="BP266" s="5" t="n"/>
      <c r="BQ266" s="5" t="n"/>
      <c r="BR266" s="5" t="n"/>
      <c r="BS266" s="5" t="n"/>
      <c r="BT266" s="5" t="n"/>
      <c r="BU266" s="5" t="n"/>
      <c r="BV266" s="5" t="n"/>
      <c r="BW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  <c r="BV267" s="5" t="n"/>
      <c r="BW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5" t="n"/>
      <c r="BL268" s="5" t="n"/>
      <c r="BM268" s="5" t="n"/>
      <c r="BN268" s="5" t="n"/>
      <c r="BO268" s="5" t="n"/>
      <c r="BP268" s="5" t="n"/>
      <c r="BQ268" s="5" t="n"/>
      <c r="BR268" s="5" t="n"/>
      <c r="BS268" s="5" t="n"/>
      <c r="BT268" s="5" t="n"/>
      <c r="BU268" s="5" t="n"/>
      <c r="BV268" s="5" t="n"/>
      <c r="BW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5" t="n"/>
      <c r="BI269" s="5" t="n"/>
      <c r="BJ269" s="5" t="n"/>
      <c r="BK269" s="5" t="n"/>
      <c r="BL269" s="5" t="n"/>
      <c r="BM269" s="5" t="n"/>
      <c r="BN269" s="5" t="n"/>
      <c r="BO269" s="5" t="n"/>
      <c r="BP269" s="5" t="n"/>
      <c r="BQ269" s="5" t="n"/>
      <c r="BR269" s="5" t="n"/>
      <c r="BS269" s="5" t="n"/>
      <c r="BT269" s="5" t="n"/>
      <c r="BU269" s="5" t="n"/>
      <c r="BV269" s="5" t="n"/>
      <c r="BW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/>
      <c r="BH270" s="5" t="n"/>
      <c r="BI270" s="5" t="n"/>
      <c r="BJ270" s="5" t="n"/>
      <c r="BK270" s="5" t="n"/>
      <c r="BL270" s="5" t="n"/>
      <c r="BM270" s="5" t="n"/>
      <c r="BN270" s="5" t="n"/>
      <c r="BO270" s="5" t="n"/>
      <c r="BP270" s="5" t="n"/>
      <c r="BQ270" s="5" t="n"/>
      <c r="BR270" s="5" t="n"/>
      <c r="BS270" s="5" t="n"/>
      <c r="BT270" s="5" t="n"/>
      <c r="BU270" s="5" t="n"/>
      <c r="BV270" s="5" t="n"/>
      <c r="BW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/>
      <c r="BK271" s="5" t="n"/>
      <c r="BL271" s="5" t="n"/>
      <c r="BM271" s="5" t="n"/>
      <c r="BN271" s="5" t="n"/>
      <c r="BO271" s="5" t="n"/>
      <c r="BP271" s="5" t="n"/>
      <c r="BQ271" s="5" t="n"/>
      <c r="BR271" s="5" t="n"/>
      <c r="BS271" s="5" t="n"/>
      <c r="BT271" s="5" t="n"/>
      <c r="BU271" s="5" t="n"/>
      <c r="BV271" s="5" t="n"/>
      <c r="BW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/>
      <c r="BK272" s="5" t="n"/>
      <c r="BL272" s="5" t="n"/>
      <c r="BM272" s="5" t="n"/>
      <c r="BN272" s="5" t="n"/>
      <c r="BO272" s="5" t="n"/>
      <c r="BP272" s="5" t="n"/>
      <c r="BQ272" s="5" t="n"/>
      <c r="BR272" s="5" t="n"/>
      <c r="BS272" s="5" t="n"/>
      <c r="BT272" s="5" t="n"/>
      <c r="BU272" s="5" t="n"/>
      <c r="BV272" s="5" t="n"/>
      <c r="BW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5" t="n"/>
      <c r="BL273" s="5" t="n"/>
      <c r="BM273" s="5" t="n"/>
      <c r="BN273" s="5" t="n"/>
      <c r="BO273" s="5" t="n"/>
      <c r="BP273" s="5" t="n"/>
      <c r="BQ273" s="5" t="n"/>
      <c r="BR273" s="5" t="n"/>
      <c r="BS273" s="5" t="n"/>
      <c r="BT273" s="5" t="n"/>
      <c r="BU273" s="5" t="n"/>
      <c r="BV273" s="5" t="n"/>
      <c r="BW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/>
      <c r="BK274" s="5" t="n"/>
      <c r="BL274" s="5" t="n"/>
      <c r="BM274" s="5" t="n"/>
      <c r="BN274" s="5" t="n"/>
      <c r="BO274" s="5" t="n"/>
      <c r="BP274" s="5" t="n"/>
      <c r="BQ274" s="5" t="n"/>
      <c r="BR274" s="5" t="n"/>
      <c r="BS274" s="5" t="n"/>
      <c r="BT274" s="5" t="n"/>
      <c r="BU274" s="5" t="n"/>
      <c r="BV274" s="5" t="n"/>
      <c r="BW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5" t="n"/>
      <c r="BL275" s="5" t="n"/>
      <c r="BM275" s="5" t="n"/>
      <c r="BN275" s="5" t="n"/>
      <c r="BO275" s="5" t="n"/>
      <c r="BP275" s="5" t="n"/>
      <c r="BQ275" s="5" t="n"/>
      <c r="BR275" s="5" t="n"/>
      <c r="BS275" s="5" t="n"/>
      <c r="BT275" s="5" t="n"/>
      <c r="BU275" s="5" t="n"/>
      <c r="BV275" s="5" t="n"/>
      <c r="BW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  <c r="BN276" s="5" t="n"/>
      <c r="BO276" s="5" t="n"/>
      <c r="BP276" s="5" t="n"/>
      <c r="BQ276" s="5" t="n"/>
      <c r="BR276" s="5" t="n"/>
      <c r="BS276" s="5" t="n"/>
      <c r="BT276" s="5" t="n"/>
      <c r="BU276" s="5" t="n"/>
      <c r="BV276" s="5" t="n"/>
      <c r="BW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5" t="n"/>
      <c r="BL277" s="5" t="n"/>
      <c r="BM277" s="5" t="n"/>
      <c r="BN277" s="5" t="n"/>
      <c r="BO277" s="5" t="n"/>
      <c r="BP277" s="5" t="n"/>
      <c r="BQ277" s="5" t="n"/>
      <c r="BR277" s="5" t="n"/>
      <c r="BS277" s="5" t="n"/>
      <c r="BT277" s="5" t="n"/>
      <c r="BU277" s="5" t="n"/>
      <c r="BV277" s="5" t="n"/>
      <c r="BW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5" t="n"/>
      <c r="BL278" s="5" t="n"/>
      <c r="BM278" s="5" t="n"/>
      <c r="BN278" s="5" t="n"/>
      <c r="BO278" s="5" t="n"/>
      <c r="BP278" s="5" t="n"/>
      <c r="BQ278" s="5" t="n"/>
      <c r="BR278" s="5" t="n"/>
      <c r="BS278" s="5" t="n"/>
      <c r="BT278" s="5" t="n"/>
      <c r="BU278" s="5" t="n"/>
      <c r="BV278" s="5" t="n"/>
      <c r="BW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5" t="n"/>
      <c r="BI279" s="5" t="n"/>
      <c r="BJ279" s="5" t="n"/>
      <c r="BK279" s="5" t="n"/>
      <c r="BL279" s="5" t="n"/>
      <c r="BM279" s="5" t="n"/>
      <c r="BN279" s="5" t="n"/>
      <c r="BO279" s="5" t="n"/>
      <c r="BP279" s="5" t="n"/>
      <c r="BQ279" s="5" t="n"/>
      <c r="BR279" s="5" t="n"/>
      <c r="BS279" s="5" t="n"/>
      <c r="BT279" s="5" t="n"/>
      <c r="BU279" s="5" t="n"/>
      <c r="BV279" s="5" t="n"/>
      <c r="BW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5" t="n"/>
      <c r="BI280" s="5" t="n"/>
      <c r="BJ280" s="5" t="n"/>
      <c r="BK280" s="5" t="n"/>
      <c r="BL280" s="5" t="n"/>
      <c r="BM280" s="5" t="n"/>
      <c r="BN280" s="5" t="n"/>
      <c r="BO280" s="5" t="n"/>
      <c r="BP280" s="5" t="n"/>
      <c r="BQ280" s="5" t="n"/>
      <c r="BR280" s="5" t="n"/>
      <c r="BS280" s="5" t="n"/>
      <c r="BT280" s="5" t="n"/>
      <c r="BU280" s="5" t="n"/>
      <c r="BV280" s="5" t="n"/>
      <c r="BW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5" t="n"/>
      <c r="BI281" s="5" t="n"/>
      <c r="BJ281" s="5" t="n"/>
      <c r="BK281" s="5" t="n"/>
      <c r="BL281" s="5" t="n"/>
      <c r="BM281" s="5" t="n"/>
      <c r="BN281" s="5" t="n"/>
      <c r="BO281" s="5" t="n"/>
      <c r="BP281" s="5" t="n"/>
      <c r="BQ281" s="5" t="n"/>
      <c r="BR281" s="5" t="n"/>
      <c r="BS281" s="5" t="n"/>
      <c r="BT281" s="5" t="n"/>
      <c r="BU281" s="5" t="n"/>
      <c r="BV281" s="5" t="n"/>
      <c r="BW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5" t="n"/>
      <c r="BL282" s="5" t="n"/>
      <c r="BM282" s="5" t="n"/>
      <c r="BN282" s="5" t="n"/>
      <c r="BO282" s="5" t="n"/>
      <c r="BP282" s="5" t="n"/>
      <c r="BQ282" s="5" t="n"/>
      <c r="BR282" s="5" t="n"/>
      <c r="BS282" s="5" t="n"/>
      <c r="BT282" s="5" t="n"/>
      <c r="BU282" s="5" t="n"/>
      <c r="BV282" s="5" t="n"/>
      <c r="BW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5" t="n"/>
      <c r="BL283" s="5" t="n"/>
      <c r="BM283" s="5" t="n"/>
      <c r="BN283" s="5" t="n"/>
      <c r="BO283" s="5" t="n"/>
      <c r="BP283" s="5" t="n"/>
      <c r="BQ283" s="5" t="n"/>
      <c r="BR283" s="5" t="n"/>
      <c r="BS283" s="5" t="n"/>
      <c r="BT283" s="5" t="n"/>
      <c r="BU283" s="5" t="n"/>
      <c r="BV283" s="5" t="n"/>
      <c r="BW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  <c r="BK284" s="5" t="n"/>
      <c r="BL284" s="5" t="n"/>
      <c r="BM284" s="5" t="n"/>
      <c r="BN284" s="5" t="n"/>
      <c r="BO284" s="5" t="n"/>
      <c r="BP284" s="5" t="n"/>
      <c r="BQ284" s="5" t="n"/>
      <c r="BR284" s="5" t="n"/>
      <c r="BS284" s="5" t="n"/>
      <c r="BT284" s="5" t="n"/>
      <c r="BU284" s="5" t="n"/>
      <c r="BV284" s="5" t="n"/>
      <c r="BW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  <c r="BK285" s="5" t="n"/>
      <c r="BL285" s="5" t="n"/>
      <c r="BM285" s="5" t="n"/>
      <c r="BN285" s="5" t="n"/>
      <c r="BO285" s="5" t="n"/>
      <c r="BP285" s="5" t="n"/>
      <c r="BQ285" s="5" t="n"/>
      <c r="BR285" s="5" t="n"/>
      <c r="BS285" s="5" t="n"/>
      <c r="BT285" s="5" t="n"/>
      <c r="BU285" s="5" t="n"/>
      <c r="BV285" s="5" t="n"/>
      <c r="BW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  <c r="BK286" s="5" t="n"/>
      <c r="BL286" s="5" t="n"/>
      <c r="BM286" s="5" t="n"/>
      <c r="BN286" s="5" t="n"/>
      <c r="BO286" s="5" t="n"/>
      <c r="BP286" s="5" t="n"/>
      <c r="BQ286" s="5" t="n"/>
      <c r="BR286" s="5" t="n"/>
      <c r="BS286" s="5" t="n"/>
      <c r="BT286" s="5" t="n"/>
      <c r="BU286" s="5" t="n"/>
      <c r="BV286" s="5" t="n"/>
      <c r="BW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  <c r="BK287" s="5" t="n"/>
      <c r="BL287" s="5" t="n"/>
      <c r="BM287" s="5" t="n"/>
      <c r="BN287" s="5" t="n"/>
      <c r="BO287" s="5" t="n"/>
      <c r="BP287" s="5" t="n"/>
      <c r="BQ287" s="5" t="n"/>
      <c r="BR287" s="5" t="n"/>
      <c r="BS287" s="5" t="n"/>
      <c r="BT287" s="5" t="n"/>
      <c r="BU287" s="5" t="n"/>
      <c r="BV287" s="5" t="n"/>
      <c r="BW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5" t="n"/>
      <c r="BL288" s="5" t="n"/>
      <c r="BM288" s="5" t="n"/>
      <c r="BN288" s="5" t="n"/>
      <c r="BO288" s="5" t="n"/>
      <c r="BP288" s="5" t="n"/>
      <c r="BQ288" s="5" t="n"/>
      <c r="BR288" s="5" t="n"/>
      <c r="BS288" s="5" t="n"/>
      <c r="BT288" s="5" t="n"/>
      <c r="BU288" s="5" t="n"/>
      <c r="BV288" s="5" t="n"/>
      <c r="BW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5" t="n"/>
      <c r="BL289" s="5" t="n"/>
      <c r="BM289" s="5" t="n"/>
      <c r="BN289" s="5" t="n"/>
      <c r="BO289" s="5" t="n"/>
      <c r="BP289" s="5" t="n"/>
      <c r="BQ289" s="5" t="n"/>
      <c r="BR289" s="5" t="n"/>
      <c r="BS289" s="5" t="n"/>
      <c r="BT289" s="5" t="n"/>
      <c r="BU289" s="5" t="n"/>
      <c r="BV289" s="5" t="n"/>
      <c r="BW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  <c r="BN290" s="5" t="n"/>
      <c r="BO290" s="5" t="n"/>
      <c r="BP290" s="5" t="n"/>
      <c r="BQ290" s="5" t="n"/>
      <c r="BR290" s="5" t="n"/>
      <c r="BS290" s="5" t="n"/>
      <c r="BT290" s="5" t="n"/>
      <c r="BU290" s="5" t="n"/>
      <c r="BV290" s="5" t="n"/>
      <c r="BW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  <c r="BK291" s="5" t="n"/>
      <c r="BL291" s="5" t="n"/>
      <c r="BM291" s="5" t="n"/>
      <c r="BN291" s="5" t="n"/>
      <c r="BO291" s="5" t="n"/>
      <c r="BP291" s="5" t="n"/>
      <c r="BQ291" s="5" t="n"/>
      <c r="BR291" s="5" t="n"/>
      <c r="BS291" s="5" t="n"/>
      <c r="BT291" s="5" t="n"/>
      <c r="BU291" s="5" t="n"/>
      <c r="BV291" s="5" t="n"/>
      <c r="BW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  <c r="BK292" s="5" t="n"/>
      <c r="BL292" s="5" t="n"/>
      <c r="BM292" s="5" t="n"/>
      <c r="BN292" s="5" t="n"/>
      <c r="BO292" s="5" t="n"/>
      <c r="BP292" s="5" t="n"/>
      <c r="BQ292" s="5" t="n"/>
      <c r="BR292" s="5" t="n"/>
      <c r="BS292" s="5" t="n"/>
      <c r="BT292" s="5" t="n"/>
      <c r="BU292" s="5" t="n"/>
      <c r="BV292" s="5" t="n"/>
      <c r="BW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  <c r="BK293" s="5" t="n"/>
      <c r="BL293" s="5" t="n"/>
      <c r="BM293" s="5" t="n"/>
      <c r="BN293" s="5" t="n"/>
      <c r="BO293" s="5" t="n"/>
      <c r="BP293" s="5" t="n"/>
      <c r="BQ293" s="5" t="n"/>
      <c r="BR293" s="5" t="n"/>
      <c r="BS293" s="5" t="n"/>
      <c r="BT293" s="5" t="n"/>
      <c r="BU293" s="5" t="n"/>
      <c r="BV293" s="5" t="n"/>
      <c r="BW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/>
      <c r="BR294" s="5" t="n"/>
      <c r="BS294" s="5" t="n"/>
      <c r="BT294" s="5" t="n"/>
      <c r="BU294" s="5" t="n"/>
      <c r="BV294" s="5" t="n"/>
      <c r="BW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5" t="n"/>
      <c r="BL295" s="5" t="n"/>
      <c r="BM295" s="5" t="n"/>
      <c r="BN295" s="5" t="n"/>
      <c r="BO295" s="5" t="n"/>
      <c r="BP295" s="5" t="n"/>
      <c r="BQ295" s="5" t="n"/>
      <c r="BR295" s="5" t="n"/>
      <c r="BS295" s="5" t="n"/>
      <c r="BT295" s="5" t="n"/>
      <c r="BU295" s="5" t="n"/>
      <c r="BV295" s="5" t="n"/>
      <c r="BW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5" t="n"/>
      <c r="BL296" s="5" t="n"/>
      <c r="BM296" s="5" t="n"/>
      <c r="BN296" s="5" t="n"/>
      <c r="BO296" s="5" t="n"/>
      <c r="BP296" s="5" t="n"/>
      <c r="BQ296" s="5" t="n"/>
      <c r="BR296" s="5" t="n"/>
      <c r="BS296" s="5" t="n"/>
      <c r="BT296" s="5" t="n"/>
      <c r="BU296" s="5" t="n"/>
      <c r="BV296" s="5" t="n"/>
      <c r="BW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  <c r="BN297" s="5" t="n"/>
      <c r="BO297" s="5" t="n"/>
      <c r="BP297" s="5" t="n"/>
      <c r="BQ297" s="5" t="n"/>
      <c r="BR297" s="5" t="n"/>
      <c r="BS297" s="5" t="n"/>
      <c r="BT297" s="5" t="n"/>
      <c r="BU297" s="5" t="n"/>
      <c r="BV297" s="5" t="n"/>
      <c r="BW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5" t="n"/>
      <c r="BL298" s="5" t="n"/>
      <c r="BM298" s="5" t="n"/>
      <c r="BN298" s="5" t="n"/>
      <c r="BO298" s="5" t="n"/>
      <c r="BP298" s="5" t="n"/>
      <c r="BQ298" s="5" t="n"/>
      <c r="BR298" s="5" t="n"/>
      <c r="BS298" s="5" t="n"/>
      <c r="BT298" s="5" t="n"/>
      <c r="BU298" s="5" t="n"/>
      <c r="BV298" s="5" t="n"/>
      <c r="BW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/>
      <c r="BK299" s="5" t="n"/>
      <c r="BL299" s="5" t="n"/>
      <c r="BM299" s="5" t="n"/>
      <c r="BN299" s="5" t="n"/>
      <c r="BO299" s="5" t="n"/>
      <c r="BP299" s="5" t="n"/>
      <c r="BQ299" s="5" t="n"/>
      <c r="BR299" s="5" t="n"/>
      <c r="BS299" s="5" t="n"/>
      <c r="BT299" s="5" t="n"/>
      <c r="BU299" s="5" t="n"/>
      <c r="BV299" s="5" t="n"/>
      <c r="BW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5" t="n"/>
      <c r="BL300" s="5" t="n"/>
      <c r="BM300" s="5" t="n"/>
      <c r="BN300" s="5" t="n"/>
      <c r="BO300" s="5" t="n"/>
      <c r="BP300" s="5" t="n"/>
      <c r="BQ300" s="5" t="n"/>
      <c r="BR300" s="5" t="n"/>
      <c r="BS300" s="5" t="n"/>
      <c r="BT300" s="5" t="n"/>
      <c r="BU300" s="5" t="n"/>
      <c r="BV300" s="5" t="n"/>
      <c r="BW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5" t="n"/>
      <c r="BL301" s="5" t="n"/>
      <c r="BM301" s="5" t="n"/>
      <c r="BN301" s="5" t="n"/>
      <c r="BO301" s="5" t="n"/>
      <c r="BP301" s="5" t="n"/>
      <c r="BQ301" s="5" t="n"/>
      <c r="BR301" s="5" t="n"/>
      <c r="BS301" s="5" t="n"/>
      <c r="BT301" s="5" t="n"/>
      <c r="BU301" s="5" t="n"/>
      <c r="BV301" s="5" t="n"/>
      <c r="BW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5" t="n"/>
      <c r="BK302" s="5" t="n"/>
      <c r="BL302" s="5" t="n"/>
      <c r="BM302" s="5" t="n"/>
      <c r="BN302" s="5" t="n"/>
      <c r="BO302" s="5" t="n"/>
      <c r="BP302" s="5" t="n"/>
      <c r="BQ302" s="5" t="n"/>
      <c r="BR302" s="5" t="n"/>
      <c r="BS302" s="5" t="n"/>
      <c r="BT302" s="5" t="n"/>
      <c r="BU302" s="5" t="n"/>
      <c r="BV302" s="5" t="n"/>
      <c r="BW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/>
      <c r="BR303" s="5" t="n"/>
      <c r="BS303" s="5" t="n"/>
      <c r="BT303" s="5" t="n"/>
      <c r="BU303" s="5" t="n"/>
      <c r="BV303" s="5" t="n"/>
      <c r="BW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  <c r="BA304" s="5" t="n"/>
      <c r="BB304" s="5" t="n"/>
      <c r="BC304" s="5" t="n"/>
      <c r="BD304" s="5" t="n"/>
      <c r="BE304" s="5" t="n"/>
      <c r="BF304" s="5" t="n"/>
      <c r="BG304" s="5" t="n"/>
      <c r="BH304" s="5" t="n"/>
      <c r="BI304" s="5" t="n"/>
      <c r="BJ304" s="5" t="n"/>
      <c r="BK304" s="5" t="n"/>
      <c r="BL304" s="5" t="n"/>
      <c r="BM304" s="5" t="n"/>
      <c r="BN304" s="5" t="n"/>
      <c r="BO304" s="5" t="n"/>
      <c r="BP304" s="5" t="n"/>
      <c r="BQ304" s="5" t="n"/>
      <c r="BR304" s="5" t="n"/>
      <c r="BS304" s="5" t="n"/>
      <c r="BT304" s="5" t="n"/>
      <c r="BU304" s="5" t="n"/>
      <c r="BV304" s="5" t="n"/>
      <c r="BW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5" t="n"/>
      <c r="BI305" s="5" t="n"/>
      <c r="BJ305" s="5" t="n"/>
      <c r="BK305" s="5" t="n"/>
      <c r="BL305" s="5" t="n"/>
      <c r="BM305" s="5" t="n"/>
      <c r="BN305" s="5" t="n"/>
      <c r="BO305" s="5" t="n"/>
      <c r="BP305" s="5" t="n"/>
      <c r="BQ305" s="5" t="n"/>
      <c r="BR305" s="5" t="n"/>
      <c r="BS305" s="5" t="n"/>
      <c r="BT305" s="5" t="n"/>
      <c r="BU305" s="5" t="n"/>
      <c r="BV305" s="5" t="n"/>
      <c r="BW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  <c r="BA306" s="5" t="n"/>
      <c r="BB306" s="5" t="n"/>
      <c r="BC306" s="5" t="n"/>
      <c r="BD306" s="5" t="n"/>
      <c r="BE306" s="5" t="n"/>
      <c r="BF306" s="5" t="n"/>
      <c r="BG306" s="5" t="n"/>
      <c r="BH306" s="5" t="n"/>
      <c r="BI306" s="5" t="n"/>
      <c r="BJ306" s="5" t="n"/>
      <c r="BK306" s="5" t="n"/>
      <c r="BL306" s="5" t="n"/>
      <c r="BM306" s="5" t="n"/>
      <c r="BN306" s="5" t="n"/>
      <c r="BO306" s="5" t="n"/>
      <c r="BP306" s="5" t="n"/>
      <c r="BQ306" s="5" t="n"/>
      <c r="BR306" s="5" t="n"/>
      <c r="BS306" s="5" t="n"/>
      <c r="BT306" s="5" t="n"/>
      <c r="BU306" s="5" t="n"/>
      <c r="BV306" s="5" t="n"/>
      <c r="BW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  <c r="BA307" s="5" t="n"/>
      <c r="BB307" s="5" t="n"/>
      <c r="BC307" s="5" t="n"/>
      <c r="BD307" s="5" t="n"/>
      <c r="BE307" s="5" t="n"/>
      <c r="BF307" s="5" t="n"/>
      <c r="BG307" s="5" t="n"/>
      <c r="BH307" s="5" t="n"/>
      <c r="BI307" s="5" t="n"/>
      <c r="BJ307" s="5" t="n"/>
      <c r="BK307" s="5" t="n"/>
      <c r="BL307" s="5" t="n"/>
      <c r="BM307" s="5" t="n"/>
      <c r="BN307" s="5" t="n"/>
      <c r="BO307" s="5" t="n"/>
      <c r="BP307" s="5" t="n"/>
      <c r="BQ307" s="5" t="n"/>
      <c r="BR307" s="5" t="n"/>
      <c r="BS307" s="5" t="n"/>
      <c r="BT307" s="5" t="n"/>
      <c r="BU307" s="5" t="n"/>
      <c r="BV307" s="5" t="n"/>
      <c r="BW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  <c r="BA308" s="5" t="n"/>
      <c r="BB308" s="5" t="n"/>
      <c r="BC308" s="5" t="n"/>
      <c r="BD308" s="5" t="n"/>
      <c r="BE308" s="5" t="n"/>
      <c r="BF308" s="5" t="n"/>
      <c r="BG308" s="5" t="n"/>
      <c r="BH308" s="5" t="n"/>
      <c r="BI308" s="5" t="n"/>
      <c r="BJ308" s="5" t="n"/>
      <c r="BK308" s="5" t="n"/>
      <c r="BL308" s="5" t="n"/>
      <c r="BM308" s="5" t="n"/>
      <c r="BN308" s="5" t="n"/>
      <c r="BO308" s="5" t="n"/>
      <c r="BP308" s="5" t="n"/>
      <c r="BQ308" s="5" t="n"/>
      <c r="BR308" s="5" t="n"/>
      <c r="BS308" s="5" t="n"/>
      <c r="BT308" s="5" t="n"/>
      <c r="BU308" s="5" t="n"/>
      <c r="BV308" s="5" t="n"/>
      <c r="BW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  <c r="BA309" s="5" t="n"/>
      <c r="BB309" s="5" t="n"/>
      <c r="BC309" s="5" t="n"/>
      <c r="BD309" s="5" t="n"/>
      <c r="BE309" s="5" t="n"/>
      <c r="BF309" s="5" t="n"/>
      <c r="BG309" s="5" t="n"/>
      <c r="BH309" s="5" t="n"/>
      <c r="BI309" s="5" t="n"/>
      <c r="BJ309" s="5" t="n"/>
      <c r="BK309" s="5" t="n"/>
      <c r="BL309" s="5" t="n"/>
      <c r="BM309" s="5" t="n"/>
      <c r="BN309" s="5" t="n"/>
      <c r="BO309" s="5" t="n"/>
      <c r="BP309" s="5" t="n"/>
      <c r="BQ309" s="5" t="n"/>
      <c r="BR309" s="5" t="n"/>
      <c r="BS309" s="5" t="n"/>
      <c r="BT309" s="5" t="n"/>
      <c r="BU309" s="5" t="n"/>
      <c r="BV309" s="5" t="n"/>
      <c r="BW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  <c r="BA310" s="5" t="n"/>
      <c r="BB310" s="5" t="n"/>
      <c r="BC310" s="5" t="n"/>
      <c r="BD310" s="5" t="n"/>
      <c r="BE310" s="5" t="n"/>
      <c r="BF310" s="5" t="n"/>
      <c r="BG310" s="5" t="n"/>
      <c r="BH310" s="5" t="n"/>
      <c r="BI310" s="5" t="n"/>
      <c r="BJ310" s="5" t="n"/>
      <c r="BK310" s="5" t="n"/>
      <c r="BL310" s="5" t="n"/>
      <c r="BM310" s="5" t="n"/>
      <c r="BN310" s="5" t="n"/>
      <c r="BO310" s="5" t="n"/>
      <c r="BP310" s="5" t="n"/>
      <c r="BQ310" s="5" t="n"/>
      <c r="BR310" s="5" t="n"/>
      <c r="BS310" s="5" t="n"/>
      <c r="BT310" s="5" t="n"/>
      <c r="BU310" s="5" t="n"/>
      <c r="BV310" s="5" t="n"/>
      <c r="BW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  <c r="BA311" s="5" t="n"/>
      <c r="BB311" s="5" t="n"/>
      <c r="BC311" s="5" t="n"/>
      <c r="BD311" s="5" t="n"/>
      <c r="BE311" s="5" t="n"/>
      <c r="BF311" s="5" t="n"/>
      <c r="BG311" s="5" t="n"/>
      <c r="BH311" s="5" t="n"/>
      <c r="BI311" s="5" t="n"/>
      <c r="BJ311" s="5" t="n"/>
      <c r="BK311" s="5" t="n"/>
      <c r="BL311" s="5" t="n"/>
      <c r="BM311" s="5" t="n"/>
      <c r="BN311" s="5" t="n"/>
      <c r="BO311" s="5" t="n"/>
      <c r="BP311" s="5" t="n"/>
      <c r="BQ311" s="5" t="n"/>
      <c r="BR311" s="5" t="n"/>
      <c r="BS311" s="5" t="n"/>
      <c r="BT311" s="5" t="n"/>
      <c r="BU311" s="5" t="n"/>
      <c r="BV311" s="5" t="n"/>
      <c r="BW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AZ312" s="5" t="n"/>
      <c r="BA312" s="5" t="n"/>
      <c r="BB312" s="5" t="n"/>
      <c r="BC312" s="5" t="n"/>
      <c r="BD312" s="5" t="n"/>
      <c r="BE312" s="5" t="n"/>
      <c r="BF312" s="5" t="n"/>
      <c r="BG312" s="5" t="n"/>
      <c r="BH312" s="5" t="n"/>
      <c r="BI312" s="5" t="n"/>
      <c r="BJ312" s="5" t="n"/>
      <c r="BK312" s="5" t="n"/>
      <c r="BL312" s="5" t="n"/>
      <c r="BM312" s="5" t="n"/>
      <c r="BN312" s="5" t="n"/>
      <c r="BO312" s="5" t="n"/>
      <c r="BP312" s="5" t="n"/>
      <c r="BQ312" s="5" t="n"/>
      <c r="BR312" s="5" t="n"/>
      <c r="BS312" s="5" t="n"/>
      <c r="BT312" s="5" t="n"/>
      <c r="BU312" s="5" t="n"/>
      <c r="BV312" s="5" t="n"/>
      <c r="BW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  <c r="BA313" s="5" t="n"/>
      <c r="BB313" s="5" t="n"/>
      <c r="BC313" s="5" t="n"/>
      <c r="BD313" s="5" t="n"/>
      <c r="BE313" s="5" t="n"/>
      <c r="BF313" s="5" t="n"/>
      <c r="BG313" s="5" t="n"/>
      <c r="BH313" s="5" t="n"/>
      <c r="BI313" s="5" t="n"/>
      <c r="BJ313" s="5" t="n"/>
      <c r="BK313" s="5" t="n"/>
      <c r="BL313" s="5" t="n"/>
      <c r="BM313" s="5" t="n"/>
      <c r="BN313" s="5" t="n"/>
      <c r="BO313" s="5" t="n"/>
      <c r="BP313" s="5" t="n"/>
      <c r="BQ313" s="5" t="n"/>
      <c r="BR313" s="5" t="n"/>
      <c r="BS313" s="5" t="n"/>
      <c r="BT313" s="5" t="n"/>
      <c r="BU313" s="5" t="n"/>
      <c r="BV313" s="5" t="n"/>
      <c r="BW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  <c r="BA314" s="5" t="n"/>
      <c r="BB314" s="5" t="n"/>
      <c r="BC314" s="5" t="n"/>
      <c r="BD314" s="5" t="n"/>
      <c r="BE314" s="5" t="n"/>
      <c r="BF314" s="5" t="n"/>
      <c r="BG314" s="5" t="n"/>
      <c r="BH314" s="5" t="n"/>
      <c r="BI314" s="5" t="n"/>
      <c r="BJ314" s="5" t="n"/>
      <c r="BK314" s="5" t="n"/>
      <c r="BL314" s="5" t="n"/>
      <c r="BM314" s="5" t="n"/>
      <c r="BN314" s="5" t="n"/>
      <c r="BO314" s="5" t="n"/>
      <c r="BP314" s="5" t="n"/>
      <c r="BQ314" s="5" t="n"/>
      <c r="BR314" s="5" t="n"/>
      <c r="BS314" s="5" t="n"/>
      <c r="BT314" s="5" t="n"/>
      <c r="BU314" s="5" t="n"/>
      <c r="BV314" s="5" t="n"/>
      <c r="BW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  <c r="BA315" s="5" t="n"/>
      <c r="BB315" s="5" t="n"/>
      <c r="BC315" s="5" t="n"/>
      <c r="BD315" s="5" t="n"/>
      <c r="BE315" s="5" t="n"/>
      <c r="BF315" s="5" t="n"/>
      <c r="BG315" s="5" t="n"/>
      <c r="BH315" s="5" t="n"/>
      <c r="BI315" s="5" t="n"/>
      <c r="BJ315" s="5" t="n"/>
      <c r="BK315" s="5" t="n"/>
      <c r="BL315" s="5" t="n"/>
      <c r="BM315" s="5" t="n"/>
      <c r="BN315" s="5" t="n"/>
      <c r="BO315" s="5" t="n"/>
      <c r="BP315" s="5" t="n"/>
      <c r="BQ315" s="5" t="n"/>
      <c r="BR315" s="5" t="n"/>
      <c r="BS315" s="5" t="n"/>
      <c r="BT315" s="5" t="n"/>
      <c r="BU315" s="5" t="n"/>
      <c r="BV315" s="5" t="n"/>
      <c r="BW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  <c r="BA316" s="5" t="n"/>
      <c r="BB316" s="5" t="n"/>
      <c r="BC316" s="5" t="n"/>
      <c r="BD316" s="5" t="n"/>
      <c r="BE316" s="5" t="n"/>
      <c r="BF316" s="5" t="n"/>
      <c r="BG316" s="5" t="n"/>
      <c r="BH316" s="5" t="n"/>
      <c r="BI316" s="5" t="n"/>
      <c r="BJ316" s="5" t="n"/>
      <c r="BK316" s="5" t="n"/>
      <c r="BL316" s="5" t="n"/>
      <c r="BM316" s="5" t="n"/>
      <c r="BN316" s="5" t="n"/>
      <c r="BO316" s="5" t="n"/>
      <c r="BP316" s="5" t="n"/>
      <c r="BQ316" s="5" t="n"/>
      <c r="BR316" s="5" t="n"/>
      <c r="BS316" s="5" t="n"/>
      <c r="BT316" s="5" t="n"/>
      <c r="BU316" s="5" t="n"/>
      <c r="BV316" s="5" t="n"/>
      <c r="BW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  <c r="BA317" s="5" t="n"/>
      <c r="BB317" s="5" t="n"/>
      <c r="BC317" s="5" t="n"/>
      <c r="BD317" s="5" t="n"/>
      <c r="BE317" s="5" t="n"/>
      <c r="BF317" s="5" t="n"/>
      <c r="BG317" s="5" t="n"/>
      <c r="BH317" s="5" t="n"/>
      <c r="BI317" s="5" t="n"/>
      <c r="BJ317" s="5" t="n"/>
      <c r="BK317" s="5" t="n"/>
      <c r="BL317" s="5" t="n"/>
      <c r="BM317" s="5" t="n"/>
      <c r="BN317" s="5" t="n"/>
      <c r="BO317" s="5" t="n"/>
      <c r="BP317" s="5" t="n"/>
      <c r="BQ317" s="5" t="n"/>
      <c r="BR317" s="5" t="n"/>
      <c r="BS317" s="5" t="n"/>
      <c r="BT317" s="5" t="n"/>
      <c r="BU317" s="5" t="n"/>
      <c r="BV317" s="5" t="n"/>
      <c r="BW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  <c r="BA318" s="5" t="n"/>
      <c r="BB318" s="5" t="n"/>
      <c r="BC318" s="5" t="n"/>
      <c r="BD318" s="5" t="n"/>
      <c r="BE318" s="5" t="n"/>
      <c r="BF318" s="5" t="n"/>
      <c r="BG318" s="5" t="n"/>
      <c r="BH318" s="5" t="n"/>
      <c r="BI318" s="5" t="n"/>
      <c r="BJ318" s="5" t="n"/>
      <c r="BK318" s="5" t="n"/>
      <c r="BL318" s="5" t="n"/>
      <c r="BM318" s="5" t="n"/>
      <c r="BN318" s="5" t="n"/>
      <c r="BO318" s="5" t="n"/>
      <c r="BP318" s="5" t="n"/>
      <c r="BQ318" s="5" t="n"/>
      <c r="BR318" s="5" t="n"/>
      <c r="BS318" s="5" t="n"/>
      <c r="BT318" s="5" t="n"/>
      <c r="BU318" s="5" t="n"/>
      <c r="BV318" s="5" t="n"/>
      <c r="BW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  <c r="BA319" s="5" t="n"/>
      <c r="BB319" s="5" t="n"/>
      <c r="BC319" s="5" t="n"/>
      <c r="BD319" s="5" t="n"/>
      <c r="BE319" s="5" t="n"/>
      <c r="BF319" s="5" t="n"/>
      <c r="BG319" s="5" t="n"/>
      <c r="BH319" s="5" t="n"/>
      <c r="BI319" s="5" t="n"/>
      <c r="BJ319" s="5" t="n"/>
      <c r="BK319" s="5" t="n"/>
      <c r="BL319" s="5" t="n"/>
      <c r="BM319" s="5" t="n"/>
      <c r="BN319" s="5" t="n"/>
      <c r="BO319" s="5" t="n"/>
      <c r="BP319" s="5" t="n"/>
      <c r="BQ319" s="5" t="n"/>
      <c r="BR319" s="5" t="n"/>
      <c r="BS319" s="5" t="n"/>
      <c r="BT319" s="5" t="n"/>
      <c r="BU319" s="5" t="n"/>
      <c r="BV319" s="5" t="n"/>
      <c r="BW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  <c r="BA320" s="5" t="n"/>
      <c r="BB320" s="5" t="n"/>
      <c r="BC320" s="5" t="n"/>
      <c r="BD320" s="5" t="n"/>
      <c r="BE320" s="5" t="n"/>
      <c r="BF320" s="5" t="n"/>
      <c r="BG320" s="5" t="n"/>
      <c r="BH320" s="5" t="n"/>
      <c r="BI320" s="5" t="n"/>
      <c r="BJ320" s="5" t="n"/>
      <c r="BK320" s="5" t="n"/>
      <c r="BL320" s="5" t="n"/>
      <c r="BM320" s="5" t="n"/>
      <c r="BN320" s="5" t="n"/>
      <c r="BO320" s="5" t="n"/>
      <c r="BP320" s="5" t="n"/>
      <c r="BQ320" s="5" t="n"/>
      <c r="BR320" s="5" t="n"/>
      <c r="BS320" s="5" t="n"/>
      <c r="BT320" s="5" t="n"/>
      <c r="BU320" s="5" t="n"/>
      <c r="BV320" s="5" t="n"/>
      <c r="BW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AZ321" s="5" t="n"/>
      <c r="BA321" s="5" t="n"/>
      <c r="BB321" s="5" t="n"/>
      <c r="BC321" s="5" t="n"/>
      <c r="BD321" s="5" t="n"/>
      <c r="BE321" s="5" t="n"/>
      <c r="BF321" s="5" t="n"/>
      <c r="BG321" s="5" t="n"/>
      <c r="BH321" s="5" t="n"/>
      <c r="BI321" s="5" t="n"/>
      <c r="BJ321" s="5" t="n"/>
      <c r="BK321" s="5" t="n"/>
      <c r="BL321" s="5" t="n"/>
      <c r="BM321" s="5" t="n"/>
      <c r="BN321" s="5" t="n"/>
      <c r="BO321" s="5" t="n"/>
      <c r="BP321" s="5" t="n"/>
      <c r="BQ321" s="5" t="n"/>
      <c r="BR321" s="5" t="n"/>
      <c r="BS321" s="5" t="n"/>
      <c r="BT321" s="5" t="n"/>
      <c r="BU321" s="5" t="n"/>
      <c r="BV321" s="5" t="n"/>
      <c r="BW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  <c r="BN322" s="5" t="n"/>
      <c r="BO322" s="5" t="n"/>
      <c r="BP322" s="5" t="n"/>
      <c r="BQ322" s="5" t="n"/>
      <c r="BR322" s="5" t="n"/>
      <c r="BS322" s="5" t="n"/>
      <c r="BT322" s="5" t="n"/>
      <c r="BU322" s="5" t="n"/>
      <c r="BV322" s="5" t="n"/>
      <c r="BW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  <c r="BA323" s="5" t="n"/>
      <c r="BB323" s="5" t="n"/>
      <c r="BC323" s="5" t="n"/>
      <c r="BD323" s="5" t="n"/>
      <c r="BE323" s="5" t="n"/>
      <c r="BF323" s="5" t="n"/>
      <c r="BG323" s="5" t="n"/>
      <c r="BH323" s="5" t="n"/>
      <c r="BI323" s="5" t="n"/>
      <c r="BJ323" s="5" t="n"/>
      <c r="BK323" s="5" t="n"/>
      <c r="BL323" s="5" t="n"/>
      <c r="BM323" s="5" t="n"/>
      <c r="BN323" s="5" t="n"/>
      <c r="BO323" s="5" t="n"/>
      <c r="BP323" s="5" t="n"/>
      <c r="BQ323" s="5" t="n"/>
      <c r="BR323" s="5" t="n"/>
      <c r="BS323" s="5" t="n"/>
      <c r="BT323" s="5" t="n"/>
      <c r="BU323" s="5" t="n"/>
      <c r="BV323" s="5" t="n"/>
      <c r="BW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  <c r="BA324" s="5" t="n"/>
      <c r="BB324" s="5" t="n"/>
      <c r="BC324" s="5" t="n"/>
      <c r="BD324" s="5" t="n"/>
      <c r="BE324" s="5" t="n"/>
      <c r="BF324" s="5" t="n"/>
      <c r="BG324" s="5" t="n"/>
      <c r="BH324" s="5" t="n"/>
      <c r="BI324" s="5" t="n"/>
      <c r="BJ324" s="5" t="n"/>
      <c r="BK324" s="5" t="n"/>
      <c r="BL324" s="5" t="n"/>
      <c r="BM324" s="5" t="n"/>
      <c r="BN324" s="5" t="n"/>
      <c r="BO324" s="5" t="n"/>
      <c r="BP324" s="5" t="n"/>
      <c r="BQ324" s="5" t="n"/>
      <c r="BR324" s="5" t="n"/>
      <c r="BS324" s="5" t="n"/>
      <c r="BT324" s="5" t="n"/>
      <c r="BU324" s="5" t="n"/>
      <c r="BV324" s="5" t="n"/>
      <c r="BW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AZ325" s="5" t="n"/>
      <c r="BA325" s="5" t="n"/>
      <c r="BB325" s="5" t="n"/>
      <c r="BC325" s="5" t="n"/>
      <c r="BD325" s="5" t="n"/>
      <c r="BE325" s="5" t="n"/>
      <c r="BF325" s="5" t="n"/>
      <c r="BG325" s="5" t="n"/>
      <c r="BH325" s="5" t="n"/>
      <c r="BI325" s="5" t="n"/>
      <c r="BJ325" s="5" t="n"/>
      <c r="BK325" s="5" t="n"/>
      <c r="BL325" s="5" t="n"/>
      <c r="BM325" s="5" t="n"/>
      <c r="BN325" s="5" t="n"/>
      <c r="BO325" s="5" t="n"/>
      <c r="BP325" s="5" t="n"/>
      <c r="BQ325" s="5" t="n"/>
      <c r="BR325" s="5" t="n"/>
      <c r="BS325" s="5" t="n"/>
      <c r="BT325" s="5" t="n"/>
      <c r="BU325" s="5" t="n"/>
      <c r="BV325" s="5" t="n"/>
      <c r="BW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  <c r="BA326" s="5" t="n"/>
      <c r="BB326" s="5" t="n"/>
      <c r="BC326" s="5" t="n"/>
      <c r="BD326" s="5" t="n"/>
      <c r="BE326" s="5" t="n"/>
      <c r="BF326" s="5" t="n"/>
      <c r="BG326" s="5" t="n"/>
      <c r="BH326" s="5" t="n"/>
      <c r="BI326" s="5" t="n"/>
      <c r="BJ326" s="5" t="n"/>
      <c r="BK326" s="5" t="n"/>
      <c r="BL326" s="5" t="n"/>
      <c r="BM326" s="5" t="n"/>
      <c r="BN326" s="5" t="n"/>
      <c r="BO326" s="5" t="n"/>
      <c r="BP326" s="5" t="n"/>
      <c r="BQ326" s="5" t="n"/>
      <c r="BR326" s="5" t="n"/>
      <c r="BS326" s="5" t="n"/>
      <c r="BT326" s="5" t="n"/>
      <c r="BU326" s="5" t="n"/>
      <c r="BV326" s="5" t="n"/>
      <c r="BW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5" t="n"/>
      <c r="BL327" s="5" t="n"/>
      <c r="BM327" s="5" t="n"/>
      <c r="BN327" s="5" t="n"/>
      <c r="BO327" s="5" t="n"/>
      <c r="BP327" s="5" t="n"/>
      <c r="BQ327" s="5" t="n"/>
      <c r="BR327" s="5" t="n"/>
      <c r="BS327" s="5" t="n"/>
      <c r="BT327" s="5" t="n"/>
      <c r="BU327" s="5" t="n"/>
      <c r="BV327" s="5" t="n"/>
      <c r="BW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  <c r="BA328" s="5" t="n"/>
      <c r="BB328" s="5" t="n"/>
      <c r="BC328" s="5" t="n"/>
      <c r="BD328" s="5" t="n"/>
      <c r="BE328" s="5" t="n"/>
      <c r="BF328" s="5" t="n"/>
      <c r="BG328" s="5" t="n"/>
      <c r="BH328" s="5" t="n"/>
      <c r="BI328" s="5" t="n"/>
      <c r="BJ328" s="5" t="n"/>
      <c r="BK328" s="5" t="n"/>
      <c r="BL328" s="5" t="n"/>
      <c r="BM328" s="5" t="n"/>
      <c r="BN328" s="5" t="n"/>
      <c r="BO328" s="5" t="n"/>
      <c r="BP328" s="5" t="n"/>
      <c r="BQ328" s="5" t="n"/>
      <c r="BR328" s="5" t="n"/>
      <c r="BS328" s="5" t="n"/>
      <c r="BT328" s="5" t="n"/>
      <c r="BU328" s="5" t="n"/>
      <c r="BV328" s="5" t="n"/>
      <c r="BW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  <c r="BA329" s="5" t="n"/>
      <c r="BB329" s="5" t="n"/>
      <c r="BC329" s="5" t="n"/>
      <c r="BD329" s="5" t="n"/>
      <c r="BE329" s="5" t="n"/>
      <c r="BF329" s="5" t="n"/>
      <c r="BG329" s="5" t="n"/>
      <c r="BH329" s="5" t="n"/>
      <c r="BI329" s="5" t="n"/>
      <c r="BJ329" s="5" t="n"/>
      <c r="BK329" s="5" t="n"/>
      <c r="BL329" s="5" t="n"/>
      <c r="BM329" s="5" t="n"/>
      <c r="BN329" s="5" t="n"/>
      <c r="BO329" s="5" t="n"/>
      <c r="BP329" s="5" t="n"/>
      <c r="BQ329" s="5" t="n"/>
      <c r="BR329" s="5" t="n"/>
      <c r="BS329" s="5" t="n"/>
      <c r="BT329" s="5" t="n"/>
      <c r="BU329" s="5" t="n"/>
      <c r="BV329" s="5" t="n"/>
      <c r="BW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AZ330" s="5" t="n"/>
      <c r="BA330" s="5" t="n"/>
      <c r="BB330" s="5" t="n"/>
      <c r="BC330" s="5" t="n"/>
      <c r="BD330" s="5" t="n"/>
      <c r="BE330" s="5" t="n"/>
      <c r="BF330" s="5" t="n"/>
      <c r="BG330" s="5" t="n"/>
      <c r="BH330" s="5" t="n"/>
      <c r="BI330" s="5" t="n"/>
      <c r="BJ330" s="5" t="n"/>
      <c r="BK330" s="5" t="n"/>
      <c r="BL330" s="5" t="n"/>
      <c r="BM330" s="5" t="n"/>
      <c r="BN330" s="5" t="n"/>
      <c r="BO330" s="5" t="n"/>
      <c r="BP330" s="5" t="n"/>
      <c r="BQ330" s="5" t="n"/>
      <c r="BR330" s="5" t="n"/>
      <c r="BS330" s="5" t="n"/>
      <c r="BT330" s="5" t="n"/>
      <c r="BU330" s="5" t="n"/>
      <c r="BV330" s="5" t="n"/>
      <c r="BW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AZ331" s="5" t="n"/>
      <c r="BA331" s="5" t="n"/>
      <c r="BB331" s="5" t="n"/>
      <c r="BC331" s="5" t="n"/>
      <c r="BD331" s="5" t="n"/>
      <c r="BE331" s="5" t="n"/>
      <c r="BF331" s="5" t="n"/>
      <c r="BG331" s="5" t="n"/>
      <c r="BH331" s="5" t="n"/>
      <c r="BI331" s="5" t="n"/>
      <c r="BJ331" s="5" t="n"/>
      <c r="BK331" s="5" t="n"/>
      <c r="BL331" s="5" t="n"/>
      <c r="BM331" s="5" t="n"/>
      <c r="BN331" s="5" t="n"/>
      <c r="BO331" s="5" t="n"/>
      <c r="BP331" s="5" t="n"/>
      <c r="BQ331" s="5" t="n"/>
      <c r="BR331" s="5" t="n"/>
      <c r="BS331" s="5" t="n"/>
      <c r="BT331" s="5" t="n"/>
      <c r="BU331" s="5" t="n"/>
      <c r="BV331" s="5" t="n"/>
      <c r="BW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  <c r="BA332" s="5" t="n"/>
      <c r="BB332" s="5" t="n"/>
      <c r="BC332" s="5" t="n"/>
      <c r="BD332" s="5" t="n"/>
      <c r="BE332" s="5" t="n"/>
      <c r="BF332" s="5" t="n"/>
      <c r="BG332" s="5" t="n"/>
      <c r="BH332" s="5" t="n"/>
      <c r="BI332" s="5" t="n"/>
      <c r="BJ332" s="5" t="n"/>
      <c r="BK332" s="5" t="n"/>
      <c r="BL332" s="5" t="n"/>
      <c r="BM332" s="5" t="n"/>
      <c r="BN332" s="5" t="n"/>
      <c r="BO332" s="5" t="n"/>
      <c r="BP332" s="5" t="n"/>
      <c r="BQ332" s="5" t="n"/>
      <c r="BR332" s="5" t="n"/>
      <c r="BS332" s="5" t="n"/>
      <c r="BT332" s="5" t="n"/>
      <c r="BU332" s="5" t="n"/>
      <c r="BV332" s="5" t="n"/>
      <c r="BW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  <c r="BA333" s="5" t="n"/>
      <c r="BB333" s="5" t="n"/>
      <c r="BC333" s="5" t="n"/>
      <c r="BD333" s="5" t="n"/>
      <c r="BE333" s="5" t="n"/>
      <c r="BF333" s="5" t="n"/>
      <c r="BG333" s="5" t="n"/>
      <c r="BH333" s="5" t="n"/>
      <c r="BI333" s="5" t="n"/>
      <c r="BJ333" s="5" t="n"/>
      <c r="BK333" s="5" t="n"/>
      <c r="BL333" s="5" t="n"/>
      <c r="BM333" s="5" t="n"/>
      <c r="BN333" s="5" t="n"/>
      <c r="BO333" s="5" t="n"/>
      <c r="BP333" s="5" t="n"/>
      <c r="BQ333" s="5" t="n"/>
      <c r="BR333" s="5" t="n"/>
      <c r="BS333" s="5" t="n"/>
      <c r="BT333" s="5" t="n"/>
      <c r="BU333" s="5" t="n"/>
      <c r="BV333" s="5" t="n"/>
      <c r="BW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AZ334" s="5" t="n"/>
      <c r="BA334" s="5" t="n"/>
      <c r="BB334" s="5" t="n"/>
      <c r="BC334" s="5" t="n"/>
      <c r="BD334" s="5" t="n"/>
      <c r="BE334" s="5" t="n"/>
      <c r="BF334" s="5" t="n"/>
      <c r="BG334" s="5" t="n"/>
      <c r="BH334" s="5" t="n"/>
      <c r="BI334" s="5" t="n"/>
      <c r="BJ334" s="5" t="n"/>
      <c r="BK334" s="5" t="n"/>
      <c r="BL334" s="5" t="n"/>
      <c r="BM334" s="5" t="n"/>
      <c r="BN334" s="5" t="n"/>
      <c r="BO334" s="5" t="n"/>
      <c r="BP334" s="5" t="n"/>
      <c r="BQ334" s="5" t="n"/>
      <c r="BR334" s="5" t="n"/>
      <c r="BS334" s="5" t="n"/>
      <c r="BT334" s="5" t="n"/>
      <c r="BU334" s="5" t="n"/>
      <c r="BV334" s="5" t="n"/>
      <c r="BW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  <c r="BG335" s="5" t="n"/>
      <c r="BH335" s="5" t="n"/>
      <c r="BI335" s="5" t="n"/>
      <c r="BJ335" s="5" t="n"/>
      <c r="BK335" s="5" t="n"/>
      <c r="BL335" s="5" t="n"/>
      <c r="BM335" s="5" t="n"/>
      <c r="BN335" s="5" t="n"/>
      <c r="BO335" s="5" t="n"/>
      <c r="BP335" s="5" t="n"/>
      <c r="BQ335" s="5" t="n"/>
      <c r="BR335" s="5" t="n"/>
      <c r="BS335" s="5" t="n"/>
      <c r="BT335" s="5" t="n"/>
      <c r="BU335" s="5" t="n"/>
      <c r="BV335" s="5" t="n"/>
      <c r="BW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5" t="n"/>
      <c r="BK336" s="5" t="n"/>
      <c r="BL336" s="5" t="n"/>
      <c r="BM336" s="5" t="n"/>
      <c r="BN336" s="5" t="n"/>
      <c r="BO336" s="5" t="n"/>
      <c r="BP336" s="5" t="n"/>
      <c r="BQ336" s="5" t="n"/>
      <c r="BR336" s="5" t="n"/>
      <c r="BS336" s="5" t="n"/>
      <c r="BT336" s="5" t="n"/>
      <c r="BU336" s="5" t="n"/>
      <c r="BV336" s="5" t="n"/>
      <c r="BW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  <c r="BA337" s="5" t="n"/>
      <c r="BB337" s="5" t="n"/>
      <c r="BC337" s="5" t="n"/>
      <c r="BD337" s="5" t="n"/>
      <c r="BE337" s="5" t="n"/>
      <c r="BF337" s="5" t="n"/>
      <c r="BG337" s="5" t="n"/>
      <c r="BH337" s="5" t="n"/>
      <c r="BI337" s="5" t="n"/>
      <c r="BJ337" s="5" t="n"/>
      <c r="BK337" s="5" t="n"/>
      <c r="BL337" s="5" t="n"/>
      <c r="BM337" s="5" t="n"/>
      <c r="BN337" s="5" t="n"/>
      <c r="BO337" s="5" t="n"/>
      <c r="BP337" s="5" t="n"/>
      <c r="BQ337" s="5" t="n"/>
      <c r="BR337" s="5" t="n"/>
      <c r="BS337" s="5" t="n"/>
      <c r="BT337" s="5" t="n"/>
      <c r="BU337" s="5" t="n"/>
      <c r="BV337" s="5" t="n"/>
      <c r="BW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  <c r="BK338" s="5" t="n"/>
      <c r="BL338" s="5" t="n"/>
      <c r="BM338" s="5" t="n"/>
      <c r="BN338" s="5" t="n"/>
      <c r="BO338" s="5" t="n"/>
      <c r="BP338" s="5" t="n"/>
      <c r="BQ338" s="5" t="n"/>
      <c r="BR338" s="5" t="n"/>
      <c r="BS338" s="5" t="n"/>
      <c r="BT338" s="5" t="n"/>
      <c r="BU338" s="5" t="n"/>
      <c r="BV338" s="5" t="n"/>
      <c r="BW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  <c r="BK339" s="5" t="n"/>
      <c r="BL339" s="5" t="n"/>
      <c r="BM339" s="5" t="n"/>
      <c r="BN339" s="5" t="n"/>
      <c r="BO339" s="5" t="n"/>
      <c r="BP339" s="5" t="n"/>
      <c r="BQ339" s="5" t="n"/>
      <c r="BR339" s="5" t="n"/>
      <c r="BS339" s="5" t="n"/>
      <c r="BT339" s="5" t="n"/>
      <c r="BU339" s="5" t="n"/>
      <c r="BV339" s="5" t="n"/>
      <c r="BW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  <c r="BK340" s="5" t="n"/>
      <c r="BL340" s="5" t="n"/>
      <c r="BM340" s="5" t="n"/>
      <c r="BN340" s="5" t="n"/>
      <c r="BO340" s="5" t="n"/>
      <c r="BP340" s="5" t="n"/>
      <c r="BQ340" s="5" t="n"/>
      <c r="BR340" s="5" t="n"/>
      <c r="BS340" s="5" t="n"/>
      <c r="BT340" s="5" t="n"/>
      <c r="BU340" s="5" t="n"/>
      <c r="BV340" s="5" t="n"/>
      <c r="BW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  <c r="BK341" s="5" t="n"/>
      <c r="BL341" s="5" t="n"/>
      <c r="BM341" s="5" t="n"/>
      <c r="BN341" s="5" t="n"/>
      <c r="BO341" s="5" t="n"/>
      <c r="BP341" s="5" t="n"/>
      <c r="BQ341" s="5" t="n"/>
      <c r="BR341" s="5" t="n"/>
      <c r="BS341" s="5" t="n"/>
      <c r="BT341" s="5" t="n"/>
      <c r="BU341" s="5" t="n"/>
      <c r="BV341" s="5" t="n"/>
      <c r="BW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  <c r="BK342" s="5" t="n"/>
      <c r="BL342" s="5" t="n"/>
      <c r="BM342" s="5" t="n"/>
      <c r="BN342" s="5" t="n"/>
      <c r="BO342" s="5" t="n"/>
      <c r="BP342" s="5" t="n"/>
      <c r="BQ342" s="5" t="n"/>
      <c r="BR342" s="5" t="n"/>
      <c r="BS342" s="5" t="n"/>
      <c r="BT342" s="5" t="n"/>
      <c r="BU342" s="5" t="n"/>
      <c r="BV342" s="5" t="n"/>
      <c r="BW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  <c r="BK343" s="5" t="n"/>
      <c r="BL343" s="5" t="n"/>
      <c r="BM343" s="5" t="n"/>
      <c r="BN343" s="5" t="n"/>
      <c r="BO343" s="5" t="n"/>
      <c r="BP343" s="5" t="n"/>
      <c r="BQ343" s="5" t="n"/>
      <c r="BR343" s="5" t="n"/>
      <c r="BS343" s="5" t="n"/>
      <c r="BT343" s="5" t="n"/>
      <c r="BU343" s="5" t="n"/>
      <c r="BV343" s="5" t="n"/>
      <c r="BW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  <c r="BK344" s="5" t="n"/>
      <c r="BL344" s="5" t="n"/>
      <c r="BM344" s="5" t="n"/>
      <c r="BN344" s="5" t="n"/>
      <c r="BO344" s="5" t="n"/>
      <c r="BP344" s="5" t="n"/>
      <c r="BQ344" s="5" t="n"/>
      <c r="BR344" s="5" t="n"/>
      <c r="BS344" s="5" t="n"/>
      <c r="BT344" s="5" t="n"/>
      <c r="BU344" s="5" t="n"/>
      <c r="BV344" s="5" t="n"/>
      <c r="BW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5" t="n"/>
      <c r="BW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  <c r="BK346" s="5" t="n"/>
      <c r="BL346" s="5" t="n"/>
      <c r="BM346" s="5" t="n"/>
      <c r="BN346" s="5" t="n"/>
      <c r="BO346" s="5" t="n"/>
      <c r="BP346" s="5" t="n"/>
      <c r="BQ346" s="5" t="n"/>
      <c r="BR346" s="5" t="n"/>
      <c r="BS346" s="5" t="n"/>
      <c r="BT346" s="5" t="n"/>
      <c r="BU346" s="5" t="n"/>
      <c r="BV346" s="5" t="n"/>
      <c r="BW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  <c r="BK347" s="5" t="n"/>
      <c r="BL347" s="5" t="n"/>
      <c r="BM347" s="5" t="n"/>
      <c r="BN347" s="5" t="n"/>
      <c r="BO347" s="5" t="n"/>
      <c r="BP347" s="5" t="n"/>
      <c r="BQ347" s="5" t="n"/>
      <c r="BR347" s="5" t="n"/>
      <c r="BS347" s="5" t="n"/>
      <c r="BT347" s="5" t="n"/>
      <c r="BU347" s="5" t="n"/>
      <c r="BV347" s="5" t="n"/>
      <c r="BW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  <c r="BA348" s="5" t="n"/>
      <c r="BB348" s="5" t="n"/>
      <c r="BC348" s="5" t="n"/>
      <c r="BD348" s="5" t="n"/>
      <c r="BE348" s="5" t="n"/>
      <c r="BF348" s="5" t="n"/>
      <c r="BG348" s="5" t="n"/>
      <c r="BH348" s="5" t="n"/>
      <c r="BI348" s="5" t="n"/>
      <c r="BJ348" s="5" t="n"/>
      <c r="BK348" s="5" t="n"/>
      <c r="BL348" s="5" t="n"/>
      <c r="BM348" s="5" t="n"/>
      <c r="BN348" s="5" t="n"/>
      <c r="BO348" s="5" t="n"/>
      <c r="BP348" s="5" t="n"/>
      <c r="BQ348" s="5" t="n"/>
      <c r="BR348" s="5" t="n"/>
      <c r="BS348" s="5" t="n"/>
      <c r="BT348" s="5" t="n"/>
      <c r="BU348" s="5" t="n"/>
      <c r="BV348" s="5" t="n"/>
      <c r="BW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  <c r="BK349" s="5" t="n"/>
      <c r="BL349" s="5" t="n"/>
      <c r="BM349" s="5" t="n"/>
      <c r="BN349" s="5" t="n"/>
      <c r="BO349" s="5" t="n"/>
      <c r="BP349" s="5" t="n"/>
      <c r="BQ349" s="5" t="n"/>
      <c r="BR349" s="5" t="n"/>
      <c r="BS349" s="5" t="n"/>
      <c r="BT349" s="5" t="n"/>
      <c r="BU349" s="5" t="n"/>
      <c r="BV349" s="5" t="n"/>
      <c r="BW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AZ350" s="5" t="n"/>
      <c r="BA350" s="5" t="n"/>
      <c r="BB350" s="5" t="n"/>
      <c r="BC350" s="5" t="n"/>
      <c r="BD350" s="5" t="n"/>
      <c r="BE350" s="5" t="n"/>
      <c r="BF350" s="5" t="n"/>
      <c r="BG350" s="5" t="n"/>
      <c r="BH350" s="5" t="n"/>
      <c r="BI350" s="5" t="n"/>
      <c r="BJ350" s="5" t="n"/>
      <c r="BK350" s="5" t="n"/>
      <c r="BL350" s="5" t="n"/>
      <c r="BM350" s="5" t="n"/>
      <c r="BN350" s="5" t="n"/>
      <c r="BO350" s="5" t="n"/>
      <c r="BP350" s="5" t="n"/>
      <c r="BQ350" s="5" t="n"/>
      <c r="BR350" s="5" t="n"/>
      <c r="BS350" s="5" t="n"/>
      <c r="BT350" s="5" t="n"/>
      <c r="BU350" s="5" t="n"/>
      <c r="BV350" s="5" t="n"/>
      <c r="BW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/>
      <c r="BR351" s="5" t="n"/>
      <c r="BS351" s="5" t="n"/>
      <c r="BT351" s="5" t="n"/>
      <c r="BU351" s="5" t="n"/>
      <c r="BV351" s="5" t="n"/>
      <c r="BW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AZ352" s="5" t="n"/>
      <c r="BA352" s="5" t="n"/>
      <c r="BB352" s="5" t="n"/>
      <c r="BC352" s="5" t="n"/>
      <c r="BD352" s="5" t="n"/>
      <c r="BE352" s="5" t="n"/>
      <c r="BF352" s="5" t="n"/>
      <c r="BG352" s="5" t="n"/>
      <c r="BH352" s="5" t="n"/>
      <c r="BI352" s="5" t="n"/>
      <c r="BJ352" s="5" t="n"/>
      <c r="BK352" s="5" t="n"/>
      <c r="BL352" s="5" t="n"/>
      <c r="BM352" s="5" t="n"/>
      <c r="BN352" s="5" t="n"/>
      <c r="BO352" s="5" t="n"/>
      <c r="BP352" s="5" t="n"/>
      <c r="BQ352" s="5" t="n"/>
      <c r="BR352" s="5" t="n"/>
      <c r="BS352" s="5" t="n"/>
      <c r="BT352" s="5" t="n"/>
      <c r="BU352" s="5" t="n"/>
      <c r="BV352" s="5" t="n"/>
      <c r="BW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AZ353" s="5" t="n"/>
      <c r="BA353" s="5" t="n"/>
      <c r="BB353" s="5" t="n"/>
      <c r="BC353" s="5" t="n"/>
      <c r="BD353" s="5" t="n"/>
      <c r="BE353" s="5" t="n"/>
      <c r="BF353" s="5" t="n"/>
      <c r="BG353" s="5" t="n"/>
      <c r="BH353" s="5" t="n"/>
      <c r="BI353" s="5" t="n"/>
      <c r="BJ353" s="5" t="n"/>
      <c r="BK353" s="5" t="n"/>
      <c r="BL353" s="5" t="n"/>
      <c r="BM353" s="5" t="n"/>
      <c r="BN353" s="5" t="n"/>
      <c r="BO353" s="5" t="n"/>
      <c r="BP353" s="5" t="n"/>
      <c r="BQ353" s="5" t="n"/>
      <c r="BR353" s="5" t="n"/>
      <c r="BS353" s="5" t="n"/>
      <c r="BT353" s="5" t="n"/>
      <c r="BU353" s="5" t="n"/>
      <c r="BV353" s="5" t="n"/>
      <c r="BW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AZ354" s="5" t="n"/>
      <c r="BA354" s="5" t="n"/>
      <c r="BB354" s="5" t="n"/>
      <c r="BC354" s="5" t="n"/>
      <c r="BD354" s="5" t="n"/>
      <c r="BE354" s="5" t="n"/>
      <c r="BF354" s="5" t="n"/>
      <c r="BG354" s="5" t="n"/>
      <c r="BH354" s="5" t="n"/>
      <c r="BI354" s="5" t="n"/>
      <c r="BJ354" s="5" t="n"/>
      <c r="BK354" s="5" t="n"/>
      <c r="BL354" s="5" t="n"/>
      <c r="BM354" s="5" t="n"/>
      <c r="BN354" s="5" t="n"/>
      <c r="BO354" s="5" t="n"/>
      <c r="BP354" s="5" t="n"/>
      <c r="BQ354" s="5" t="n"/>
      <c r="BR354" s="5" t="n"/>
      <c r="BS354" s="5" t="n"/>
      <c r="BT354" s="5" t="n"/>
      <c r="BU354" s="5" t="n"/>
      <c r="BV354" s="5" t="n"/>
      <c r="BW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AZ355" s="5" t="n"/>
      <c r="BA355" s="5" t="n"/>
      <c r="BB355" s="5" t="n"/>
      <c r="BC355" s="5" t="n"/>
      <c r="BD355" s="5" t="n"/>
      <c r="BE355" s="5" t="n"/>
      <c r="BF355" s="5" t="n"/>
      <c r="BG355" s="5" t="n"/>
      <c r="BH355" s="5" t="n"/>
      <c r="BI355" s="5" t="n"/>
      <c r="BJ355" s="5" t="n"/>
      <c r="BK355" s="5" t="n"/>
      <c r="BL355" s="5" t="n"/>
      <c r="BM355" s="5" t="n"/>
      <c r="BN355" s="5" t="n"/>
      <c r="BO355" s="5" t="n"/>
      <c r="BP355" s="5" t="n"/>
      <c r="BQ355" s="5" t="n"/>
      <c r="BR355" s="5" t="n"/>
      <c r="BS355" s="5" t="n"/>
      <c r="BT355" s="5" t="n"/>
      <c r="BU355" s="5" t="n"/>
      <c r="BV355" s="5" t="n"/>
      <c r="BW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AZ356" s="5" t="n"/>
      <c r="BA356" s="5" t="n"/>
      <c r="BB356" s="5" t="n"/>
      <c r="BC356" s="5" t="n"/>
      <c r="BD356" s="5" t="n"/>
      <c r="BE356" s="5" t="n"/>
      <c r="BF356" s="5" t="n"/>
      <c r="BG356" s="5" t="n"/>
      <c r="BH356" s="5" t="n"/>
      <c r="BI356" s="5" t="n"/>
      <c r="BJ356" s="5" t="n"/>
      <c r="BK356" s="5" t="n"/>
      <c r="BL356" s="5" t="n"/>
      <c r="BM356" s="5" t="n"/>
      <c r="BN356" s="5" t="n"/>
      <c r="BO356" s="5" t="n"/>
      <c r="BP356" s="5" t="n"/>
      <c r="BQ356" s="5" t="n"/>
      <c r="BR356" s="5" t="n"/>
      <c r="BS356" s="5" t="n"/>
      <c r="BT356" s="5" t="n"/>
      <c r="BU356" s="5" t="n"/>
      <c r="BV356" s="5" t="n"/>
      <c r="BW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/>
      <c r="BJ357" s="5" t="n"/>
      <c r="BK357" s="5" t="n"/>
      <c r="BL357" s="5" t="n"/>
      <c r="BM357" s="5" t="n"/>
      <c r="BN357" s="5" t="n"/>
      <c r="BO357" s="5" t="n"/>
      <c r="BP357" s="5" t="n"/>
      <c r="BQ357" s="5" t="n"/>
      <c r="BR357" s="5" t="n"/>
      <c r="BS357" s="5" t="n"/>
      <c r="BT357" s="5" t="n"/>
      <c r="BU357" s="5" t="n"/>
      <c r="BV357" s="5" t="n"/>
      <c r="BW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AZ358" s="5" t="n"/>
      <c r="BA358" s="5" t="n"/>
      <c r="BB358" s="5" t="n"/>
      <c r="BC358" s="5" t="n"/>
      <c r="BD358" s="5" t="n"/>
      <c r="BE358" s="5" t="n"/>
      <c r="BF358" s="5" t="n"/>
      <c r="BG358" s="5" t="n"/>
      <c r="BH358" s="5" t="n"/>
      <c r="BI358" s="5" t="n"/>
      <c r="BJ358" s="5" t="n"/>
      <c r="BK358" s="5" t="n"/>
      <c r="BL358" s="5" t="n"/>
      <c r="BM358" s="5" t="n"/>
      <c r="BN358" s="5" t="n"/>
      <c r="BO358" s="5" t="n"/>
      <c r="BP358" s="5" t="n"/>
      <c r="BQ358" s="5" t="n"/>
      <c r="BR358" s="5" t="n"/>
      <c r="BS358" s="5" t="n"/>
      <c r="BT358" s="5" t="n"/>
      <c r="BU358" s="5" t="n"/>
      <c r="BV358" s="5" t="n"/>
      <c r="BW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AZ359" s="5" t="n"/>
      <c r="BA359" s="5" t="n"/>
      <c r="BB359" s="5" t="n"/>
      <c r="BC359" s="5" t="n"/>
      <c r="BD359" s="5" t="n"/>
      <c r="BE359" s="5" t="n"/>
      <c r="BF359" s="5" t="n"/>
      <c r="BG359" s="5" t="n"/>
      <c r="BH359" s="5" t="n"/>
      <c r="BI359" s="5" t="n"/>
      <c r="BJ359" s="5" t="n"/>
      <c r="BK359" s="5" t="n"/>
      <c r="BL359" s="5" t="n"/>
      <c r="BM359" s="5" t="n"/>
      <c r="BN359" s="5" t="n"/>
      <c r="BO359" s="5" t="n"/>
      <c r="BP359" s="5" t="n"/>
      <c r="BQ359" s="5" t="n"/>
      <c r="BR359" s="5" t="n"/>
      <c r="BS359" s="5" t="n"/>
      <c r="BT359" s="5" t="n"/>
      <c r="BU359" s="5" t="n"/>
      <c r="BV359" s="5" t="n"/>
      <c r="BW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AZ360" s="5" t="n"/>
      <c r="BA360" s="5" t="n"/>
      <c r="BB360" s="5" t="n"/>
      <c r="BC360" s="5" t="n"/>
      <c r="BD360" s="5" t="n"/>
      <c r="BE360" s="5" t="n"/>
      <c r="BF360" s="5" t="n"/>
      <c r="BG360" s="5" t="n"/>
      <c r="BH360" s="5" t="n"/>
      <c r="BI360" s="5" t="n"/>
      <c r="BJ360" s="5" t="n"/>
      <c r="BK360" s="5" t="n"/>
      <c r="BL360" s="5" t="n"/>
      <c r="BM360" s="5" t="n"/>
      <c r="BN360" s="5" t="n"/>
      <c r="BO360" s="5" t="n"/>
      <c r="BP360" s="5" t="n"/>
      <c r="BQ360" s="5" t="n"/>
      <c r="BR360" s="5" t="n"/>
      <c r="BS360" s="5" t="n"/>
      <c r="BT360" s="5" t="n"/>
      <c r="BU360" s="5" t="n"/>
      <c r="BV360" s="5" t="n"/>
      <c r="BW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AZ361" s="5" t="n"/>
      <c r="BA361" s="5" t="n"/>
      <c r="BB361" s="5" t="n"/>
      <c r="BC361" s="5" t="n"/>
      <c r="BD361" s="5" t="n"/>
      <c r="BE361" s="5" t="n"/>
      <c r="BF361" s="5" t="n"/>
      <c r="BG361" s="5" t="n"/>
      <c r="BH361" s="5" t="n"/>
      <c r="BI361" s="5" t="n"/>
      <c r="BJ361" s="5" t="n"/>
      <c r="BK361" s="5" t="n"/>
      <c r="BL361" s="5" t="n"/>
      <c r="BM361" s="5" t="n"/>
      <c r="BN361" s="5" t="n"/>
      <c r="BO361" s="5" t="n"/>
      <c r="BP361" s="5" t="n"/>
      <c r="BQ361" s="5" t="n"/>
      <c r="BR361" s="5" t="n"/>
      <c r="BS361" s="5" t="n"/>
      <c r="BT361" s="5" t="n"/>
      <c r="BU361" s="5" t="n"/>
      <c r="BV361" s="5" t="n"/>
      <c r="BW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AZ362" s="5" t="n"/>
      <c r="BA362" s="5" t="n"/>
      <c r="BB362" s="5" t="n"/>
      <c r="BC362" s="5" t="n"/>
      <c r="BD362" s="5" t="n"/>
      <c r="BE362" s="5" t="n"/>
      <c r="BF362" s="5" t="n"/>
      <c r="BG362" s="5" t="n"/>
      <c r="BH362" s="5" t="n"/>
      <c r="BI362" s="5" t="n"/>
      <c r="BJ362" s="5" t="n"/>
      <c r="BK362" s="5" t="n"/>
      <c r="BL362" s="5" t="n"/>
      <c r="BM362" s="5" t="n"/>
      <c r="BN362" s="5" t="n"/>
      <c r="BO362" s="5" t="n"/>
      <c r="BP362" s="5" t="n"/>
      <c r="BQ362" s="5" t="n"/>
      <c r="BR362" s="5" t="n"/>
      <c r="BS362" s="5" t="n"/>
      <c r="BT362" s="5" t="n"/>
      <c r="BU362" s="5" t="n"/>
      <c r="BV362" s="5" t="n"/>
      <c r="BW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  <c r="BA363" s="5" t="n"/>
      <c r="BB363" s="5" t="n"/>
      <c r="BC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  <c r="BN363" s="5" t="n"/>
      <c r="BO363" s="5" t="n"/>
      <c r="BP363" s="5" t="n"/>
      <c r="BQ363" s="5" t="n"/>
      <c r="BR363" s="5" t="n"/>
      <c r="BS363" s="5" t="n"/>
      <c r="BT363" s="5" t="n"/>
      <c r="BU363" s="5" t="n"/>
      <c r="BV363" s="5" t="n"/>
      <c r="BW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AZ364" s="5" t="n"/>
      <c r="BA364" s="5" t="n"/>
      <c r="BB364" s="5" t="n"/>
      <c r="BC364" s="5" t="n"/>
      <c r="BD364" s="5" t="n"/>
      <c r="BE364" s="5" t="n"/>
      <c r="BF364" s="5" t="n"/>
      <c r="BG364" s="5" t="n"/>
      <c r="BH364" s="5" t="n"/>
      <c r="BI364" s="5" t="n"/>
      <c r="BJ364" s="5" t="n"/>
      <c r="BK364" s="5" t="n"/>
      <c r="BL364" s="5" t="n"/>
      <c r="BM364" s="5" t="n"/>
      <c r="BN364" s="5" t="n"/>
      <c r="BO364" s="5" t="n"/>
      <c r="BP364" s="5" t="n"/>
      <c r="BQ364" s="5" t="n"/>
      <c r="BR364" s="5" t="n"/>
      <c r="BS364" s="5" t="n"/>
      <c r="BT364" s="5" t="n"/>
      <c r="BU364" s="5" t="n"/>
      <c r="BV364" s="5" t="n"/>
      <c r="BW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AZ365" s="5" t="n"/>
      <c r="BA365" s="5" t="n"/>
      <c r="BB365" s="5" t="n"/>
      <c r="BC365" s="5" t="n"/>
      <c r="BD365" s="5" t="n"/>
      <c r="BE365" s="5" t="n"/>
      <c r="BF365" s="5" t="n"/>
      <c r="BG365" s="5" t="n"/>
      <c r="BH365" s="5" t="n"/>
      <c r="BI365" s="5" t="n"/>
      <c r="BJ365" s="5" t="n"/>
      <c r="BK365" s="5" t="n"/>
      <c r="BL365" s="5" t="n"/>
      <c r="BM365" s="5" t="n"/>
      <c r="BN365" s="5" t="n"/>
      <c r="BO365" s="5" t="n"/>
      <c r="BP365" s="5" t="n"/>
      <c r="BQ365" s="5" t="n"/>
      <c r="BR365" s="5" t="n"/>
      <c r="BS365" s="5" t="n"/>
      <c r="BT365" s="5" t="n"/>
      <c r="BU365" s="5" t="n"/>
      <c r="BV365" s="5" t="n"/>
      <c r="BW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AZ366" s="5" t="n"/>
      <c r="BA366" s="5" t="n"/>
      <c r="BB366" s="5" t="n"/>
      <c r="BC366" s="5" t="n"/>
      <c r="BD366" s="5" t="n"/>
      <c r="BE366" s="5" t="n"/>
      <c r="BF366" s="5" t="n"/>
      <c r="BG366" s="5" t="n"/>
      <c r="BH366" s="5" t="n"/>
      <c r="BI366" s="5" t="n"/>
      <c r="BJ366" s="5" t="n"/>
      <c r="BK366" s="5" t="n"/>
      <c r="BL366" s="5" t="n"/>
      <c r="BM366" s="5" t="n"/>
      <c r="BN366" s="5" t="n"/>
      <c r="BO366" s="5" t="n"/>
      <c r="BP366" s="5" t="n"/>
      <c r="BQ366" s="5" t="n"/>
      <c r="BR366" s="5" t="n"/>
      <c r="BS366" s="5" t="n"/>
      <c r="BT366" s="5" t="n"/>
      <c r="BU366" s="5" t="n"/>
      <c r="BV366" s="5" t="n"/>
      <c r="BW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AZ367" s="5" t="n"/>
      <c r="BA367" s="5" t="n"/>
      <c r="BB367" s="5" t="n"/>
      <c r="BC367" s="5" t="n"/>
      <c r="BD367" s="5" t="n"/>
      <c r="BE367" s="5" t="n"/>
      <c r="BF367" s="5" t="n"/>
      <c r="BG367" s="5" t="n"/>
      <c r="BH367" s="5" t="n"/>
      <c r="BI367" s="5" t="n"/>
      <c r="BJ367" s="5" t="n"/>
      <c r="BK367" s="5" t="n"/>
      <c r="BL367" s="5" t="n"/>
      <c r="BM367" s="5" t="n"/>
      <c r="BN367" s="5" t="n"/>
      <c r="BO367" s="5" t="n"/>
      <c r="BP367" s="5" t="n"/>
      <c r="BQ367" s="5" t="n"/>
      <c r="BR367" s="5" t="n"/>
      <c r="BS367" s="5" t="n"/>
      <c r="BT367" s="5" t="n"/>
      <c r="BU367" s="5" t="n"/>
      <c r="BV367" s="5" t="n"/>
      <c r="BW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AZ368" s="5" t="n"/>
      <c r="BA368" s="5" t="n"/>
      <c r="BB368" s="5" t="n"/>
      <c r="BC368" s="5" t="n"/>
      <c r="BD368" s="5" t="n"/>
      <c r="BE368" s="5" t="n"/>
      <c r="BF368" s="5" t="n"/>
      <c r="BG368" s="5" t="n"/>
      <c r="BH368" s="5" t="n"/>
      <c r="BI368" s="5" t="n"/>
      <c r="BJ368" s="5" t="n"/>
      <c r="BK368" s="5" t="n"/>
      <c r="BL368" s="5" t="n"/>
      <c r="BM368" s="5" t="n"/>
      <c r="BN368" s="5" t="n"/>
      <c r="BO368" s="5" t="n"/>
      <c r="BP368" s="5" t="n"/>
      <c r="BQ368" s="5" t="n"/>
      <c r="BR368" s="5" t="n"/>
      <c r="BS368" s="5" t="n"/>
      <c r="BT368" s="5" t="n"/>
      <c r="BU368" s="5" t="n"/>
      <c r="BV368" s="5" t="n"/>
      <c r="BW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  <c r="BA369" s="5" t="n"/>
      <c r="BB369" s="5" t="n"/>
      <c r="BC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  <c r="BN369" s="5" t="n"/>
      <c r="BO369" s="5" t="n"/>
      <c r="BP369" s="5" t="n"/>
      <c r="BQ369" s="5" t="n"/>
      <c r="BR369" s="5" t="n"/>
      <c r="BS369" s="5" t="n"/>
      <c r="BT369" s="5" t="n"/>
      <c r="BU369" s="5" t="n"/>
      <c r="BV369" s="5" t="n"/>
      <c r="BW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AZ370" s="5" t="n"/>
      <c r="BA370" s="5" t="n"/>
      <c r="BB370" s="5" t="n"/>
      <c r="BC370" s="5" t="n"/>
      <c r="BD370" s="5" t="n"/>
      <c r="BE370" s="5" t="n"/>
      <c r="BF370" s="5" t="n"/>
      <c r="BG370" s="5" t="n"/>
      <c r="BH370" s="5" t="n"/>
      <c r="BI370" s="5" t="n"/>
      <c r="BJ370" s="5" t="n"/>
      <c r="BK370" s="5" t="n"/>
      <c r="BL370" s="5" t="n"/>
      <c r="BM370" s="5" t="n"/>
      <c r="BN370" s="5" t="n"/>
      <c r="BO370" s="5" t="n"/>
      <c r="BP370" s="5" t="n"/>
      <c r="BQ370" s="5" t="n"/>
      <c r="BR370" s="5" t="n"/>
      <c r="BS370" s="5" t="n"/>
      <c r="BT370" s="5" t="n"/>
      <c r="BU370" s="5" t="n"/>
      <c r="BV370" s="5" t="n"/>
      <c r="BW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  <c r="BA371" s="5" t="n"/>
      <c r="BB371" s="5" t="n"/>
      <c r="BC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  <c r="BN371" s="5" t="n"/>
      <c r="BO371" s="5" t="n"/>
      <c r="BP371" s="5" t="n"/>
      <c r="BQ371" s="5" t="n"/>
      <c r="BR371" s="5" t="n"/>
      <c r="BS371" s="5" t="n"/>
      <c r="BT371" s="5" t="n"/>
      <c r="BU371" s="5" t="n"/>
      <c r="BV371" s="5" t="n"/>
      <c r="BW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  <c r="BA372" s="5" t="n"/>
      <c r="BB372" s="5" t="n"/>
      <c r="BC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  <c r="BN372" s="5" t="n"/>
      <c r="BO372" s="5" t="n"/>
      <c r="BP372" s="5" t="n"/>
      <c r="BQ372" s="5" t="n"/>
      <c r="BR372" s="5" t="n"/>
      <c r="BS372" s="5" t="n"/>
      <c r="BT372" s="5" t="n"/>
      <c r="BU372" s="5" t="n"/>
      <c r="BV372" s="5" t="n"/>
      <c r="BW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  <c r="BA373" s="5" t="n"/>
      <c r="BB373" s="5" t="n"/>
      <c r="BC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  <c r="BN373" s="5" t="n"/>
      <c r="BO373" s="5" t="n"/>
      <c r="BP373" s="5" t="n"/>
      <c r="BQ373" s="5" t="n"/>
      <c r="BR373" s="5" t="n"/>
      <c r="BS373" s="5" t="n"/>
      <c r="BT373" s="5" t="n"/>
      <c r="BU373" s="5" t="n"/>
      <c r="BV373" s="5" t="n"/>
      <c r="BW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  <c r="BA374" s="5" t="n"/>
      <c r="BB374" s="5" t="n"/>
      <c r="BC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  <c r="BN374" s="5" t="n"/>
      <c r="BO374" s="5" t="n"/>
      <c r="BP374" s="5" t="n"/>
      <c r="BQ374" s="5" t="n"/>
      <c r="BR374" s="5" t="n"/>
      <c r="BS374" s="5" t="n"/>
      <c r="BT374" s="5" t="n"/>
      <c r="BU374" s="5" t="n"/>
      <c r="BV374" s="5" t="n"/>
      <c r="BW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5" t="n"/>
      <c r="BW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AZ376" s="5" t="n"/>
      <c r="BA376" s="5" t="n"/>
      <c r="BB376" s="5" t="n"/>
      <c r="BC376" s="5" t="n"/>
      <c r="BD376" s="5" t="n"/>
      <c r="BE376" s="5" t="n"/>
      <c r="BF376" s="5" t="n"/>
      <c r="BG376" s="5" t="n"/>
      <c r="BH376" s="5" t="n"/>
      <c r="BI376" s="5" t="n"/>
      <c r="BJ376" s="5" t="n"/>
      <c r="BK376" s="5" t="n"/>
      <c r="BL376" s="5" t="n"/>
      <c r="BM376" s="5" t="n"/>
      <c r="BN376" s="5" t="n"/>
      <c r="BO376" s="5" t="n"/>
      <c r="BP376" s="5" t="n"/>
      <c r="BQ376" s="5" t="n"/>
      <c r="BR376" s="5" t="n"/>
      <c r="BS376" s="5" t="n"/>
      <c r="BT376" s="5" t="n"/>
      <c r="BU376" s="5" t="n"/>
      <c r="BV376" s="5" t="n"/>
      <c r="BW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  <c r="BA377" s="5" t="n"/>
      <c r="BB377" s="5" t="n"/>
      <c r="BC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  <c r="BN377" s="5" t="n"/>
      <c r="BO377" s="5" t="n"/>
      <c r="BP377" s="5" t="n"/>
      <c r="BQ377" s="5" t="n"/>
      <c r="BR377" s="5" t="n"/>
      <c r="BS377" s="5" t="n"/>
      <c r="BT377" s="5" t="n"/>
      <c r="BU377" s="5" t="n"/>
      <c r="BV377" s="5" t="n"/>
      <c r="BW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AZ378" s="5" t="n"/>
      <c r="BA378" s="5" t="n"/>
      <c r="BB378" s="5" t="n"/>
      <c r="BC378" s="5" t="n"/>
      <c r="BD378" s="5" t="n"/>
      <c r="BE378" s="5" t="n"/>
      <c r="BF378" s="5" t="n"/>
      <c r="BG378" s="5" t="n"/>
      <c r="BH378" s="5" t="n"/>
      <c r="BI378" s="5" t="n"/>
      <c r="BJ378" s="5" t="n"/>
      <c r="BK378" s="5" t="n"/>
      <c r="BL378" s="5" t="n"/>
      <c r="BM378" s="5" t="n"/>
      <c r="BN378" s="5" t="n"/>
      <c r="BO378" s="5" t="n"/>
      <c r="BP378" s="5" t="n"/>
      <c r="BQ378" s="5" t="n"/>
      <c r="BR378" s="5" t="n"/>
      <c r="BS378" s="5" t="n"/>
      <c r="BT378" s="5" t="n"/>
      <c r="BU378" s="5" t="n"/>
      <c r="BV378" s="5" t="n"/>
      <c r="BW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  <c r="BA379" s="5" t="n"/>
      <c r="BB379" s="5" t="n"/>
      <c r="BC379" s="5" t="n"/>
      <c r="BD379" s="5" t="n"/>
      <c r="BE379" s="5" t="n"/>
      <c r="BF379" s="5" t="n"/>
      <c r="BG379" s="5" t="n"/>
      <c r="BH379" s="5" t="n"/>
      <c r="BI379" s="5" t="n"/>
      <c r="BJ379" s="5" t="n"/>
      <c r="BK379" s="5" t="n"/>
      <c r="BL379" s="5" t="n"/>
      <c r="BM379" s="5" t="n"/>
      <c r="BN379" s="5" t="n"/>
      <c r="BO379" s="5" t="n"/>
      <c r="BP379" s="5" t="n"/>
      <c r="BQ379" s="5" t="n"/>
      <c r="BR379" s="5" t="n"/>
      <c r="BS379" s="5" t="n"/>
      <c r="BT379" s="5" t="n"/>
      <c r="BU379" s="5" t="n"/>
      <c r="BV379" s="5" t="n"/>
      <c r="BW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AZ380" s="5" t="n"/>
      <c r="BA380" s="5" t="n"/>
      <c r="BB380" s="5" t="n"/>
      <c r="BC380" s="5" t="n"/>
      <c r="BD380" s="5" t="n"/>
      <c r="BE380" s="5" t="n"/>
      <c r="BF380" s="5" t="n"/>
      <c r="BG380" s="5" t="n"/>
      <c r="BH380" s="5" t="n"/>
      <c r="BI380" s="5" t="n"/>
      <c r="BJ380" s="5" t="n"/>
      <c r="BK380" s="5" t="n"/>
      <c r="BL380" s="5" t="n"/>
      <c r="BM380" s="5" t="n"/>
      <c r="BN380" s="5" t="n"/>
      <c r="BO380" s="5" t="n"/>
      <c r="BP380" s="5" t="n"/>
      <c r="BQ380" s="5" t="n"/>
      <c r="BR380" s="5" t="n"/>
      <c r="BS380" s="5" t="n"/>
      <c r="BT380" s="5" t="n"/>
      <c r="BU380" s="5" t="n"/>
      <c r="BV380" s="5" t="n"/>
      <c r="BW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  <c r="BA381" s="5" t="n"/>
      <c r="BB381" s="5" t="n"/>
      <c r="BC381" s="5" t="n"/>
      <c r="BD381" s="5" t="n"/>
      <c r="BE381" s="5" t="n"/>
      <c r="BF381" s="5" t="n"/>
      <c r="BG381" s="5" t="n"/>
      <c r="BH381" s="5" t="n"/>
      <c r="BI381" s="5" t="n"/>
      <c r="BJ381" s="5" t="n"/>
      <c r="BK381" s="5" t="n"/>
      <c r="BL381" s="5" t="n"/>
      <c r="BM381" s="5" t="n"/>
      <c r="BN381" s="5" t="n"/>
      <c r="BO381" s="5" t="n"/>
      <c r="BP381" s="5" t="n"/>
      <c r="BQ381" s="5" t="n"/>
      <c r="BR381" s="5" t="n"/>
      <c r="BS381" s="5" t="n"/>
      <c r="BT381" s="5" t="n"/>
      <c r="BU381" s="5" t="n"/>
      <c r="BV381" s="5" t="n"/>
      <c r="BW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  <c r="BA382" s="5" t="n"/>
      <c r="BB382" s="5" t="n"/>
      <c r="BC382" s="5" t="n"/>
      <c r="BD382" s="5" t="n"/>
      <c r="BE382" s="5" t="n"/>
      <c r="BF382" s="5" t="n"/>
      <c r="BG382" s="5" t="n"/>
      <c r="BH382" s="5" t="n"/>
      <c r="BI382" s="5" t="n"/>
      <c r="BJ382" s="5" t="n"/>
      <c r="BK382" s="5" t="n"/>
      <c r="BL382" s="5" t="n"/>
      <c r="BM382" s="5" t="n"/>
      <c r="BN382" s="5" t="n"/>
      <c r="BO382" s="5" t="n"/>
      <c r="BP382" s="5" t="n"/>
      <c r="BQ382" s="5" t="n"/>
      <c r="BR382" s="5" t="n"/>
      <c r="BS382" s="5" t="n"/>
      <c r="BT382" s="5" t="n"/>
      <c r="BU382" s="5" t="n"/>
      <c r="BV382" s="5" t="n"/>
      <c r="BW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AZ383" s="5" t="n"/>
      <c r="BA383" s="5" t="n"/>
      <c r="BB383" s="5" t="n"/>
      <c r="BC383" s="5" t="n"/>
      <c r="BD383" s="5" t="n"/>
      <c r="BE383" s="5" t="n"/>
      <c r="BF383" s="5" t="n"/>
      <c r="BG383" s="5" t="n"/>
      <c r="BH383" s="5" t="n"/>
      <c r="BI383" s="5" t="n"/>
      <c r="BJ383" s="5" t="n"/>
      <c r="BK383" s="5" t="n"/>
      <c r="BL383" s="5" t="n"/>
      <c r="BM383" s="5" t="n"/>
      <c r="BN383" s="5" t="n"/>
      <c r="BO383" s="5" t="n"/>
      <c r="BP383" s="5" t="n"/>
      <c r="BQ383" s="5" t="n"/>
      <c r="BR383" s="5" t="n"/>
      <c r="BS383" s="5" t="n"/>
      <c r="BT383" s="5" t="n"/>
      <c r="BU383" s="5" t="n"/>
      <c r="BV383" s="5" t="n"/>
      <c r="BW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  <c r="BA384" s="5" t="n"/>
      <c r="BB384" s="5" t="n"/>
      <c r="BC384" s="5" t="n"/>
      <c r="BD384" s="5" t="n"/>
      <c r="BE384" s="5" t="n"/>
      <c r="BF384" s="5" t="n"/>
      <c r="BG384" s="5" t="n"/>
      <c r="BH384" s="5" t="n"/>
      <c r="BI384" s="5" t="n"/>
      <c r="BJ384" s="5" t="n"/>
      <c r="BK384" s="5" t="n"/>
      <c r="BL384" s="5" t="n"/>
      <c r="BM384" s="5" t="n"/>
      <c r="BN384" s="5" t="n"/>
      <c r="BO384" s="5" t="n"/>
      <c r="BP384" s="5" t="n"/>
      <c r="BQ384" s="5" t="n"/>
      <c r="BR384" s="5" t="n"/>
      <c r="BS384" s="5" t="n"/>
      <c r="BT384" s="5" t="n"/>
      <c r="BU384" s="5" t="n"/>
      <c r="BV384" s="5" t="n"/>
      <c r="BW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  <c r="BA385" s="5" t="n"/>
      <c r="BB385" s="5" t="n"/>
      <c r="BC385" s="5" t="n"/>
      <c r="BD385" s="5" t="n"/>
      <c r="BE385" s="5" t="n"/>
      <c r="BF385" s="5" t="n"/>
      <c r="BG385" s="5" t="n"/>
      <c r="BH385" s="5" t="n"/>
      <c r="BI385" s="5" t="n"/>
      <c r="BJ385" s="5" t="n"/>
      <c r="BK385" s="5" t="n"/>
      <c r="BL385" s="5" t="n"/>
      <c r="BM385" s="5" t="n"/>
      <c r="BN385" s="5" t="n"/>
      <c r="BO385" s="5" t="n"/>
      <c r="BP385" s="5" t="n"/>
      <c r="BQ385" s="5" t="n"/>
      <c r="BR385" s="5" t="n"/>
      <c r="BS385" s="5" t="n"/>
      <c r="BT385" s="5" t="n"/>
      <c r="BU385" s="5" t="n"/>
      <c r="BV385" s="5" t="n"/>
      <c r="BW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  <c r="BG386" s="5" t="n"/>
      <c r="BH386" s="5" t="n"/>
      <c r="BI386" s="5" t="n"/>
      <c r="BJ386" s="5" t="n"/>
      <c r="BK386" s="5" t="n"/>
      <c r="BL386" s="5" t="n"/>
      <c r="BM386" s="5" t="n"/>
      <c r="BN386" s="5" t="n"/>
      <c r="BO386" s="5" t="n"/>
      <c r="BP386" s="5" t="n"/>
      <c r="BQ386" s="5" t="n"/>
      <c r="BR386" s="5" t="n"/>
      <c r="BS386" s="5" t="n"/>
      <c r="BT386" s="5" t="n"/>
      <c r="BU386" s="5" t="n"/>
      <c r="BV386" s="5" t="n"/>
      <c r="BW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  <c r="BG387" s="5" t="n"/>
      <c r="BH387" s="5" t="n"/>
      <c r="BI387" s="5" t="n"/>
      <c r="BJ387" s="5" t="n"/>
      <c r="BK387" s="5" t="n"/>
      <c r="BL387" s="5" t="n"/>
      <c r="BM387" s="5" t="n"/>
      <c r="BN387" s="5" t="n"/>
      <c r="BO387" s="5" t="n"/>
      <c r="BP387" s="5" t="n"/>
      <c r="BQ387" s="5" t="n"/>
      <c r="BR387" s="5" t="n"/>
      <c r="BS387" s="5" t="n"/>
      <c r="BT387" s="5" t="n"/>
      <c r="BU387" s="5" t="n"/>
      <c r="BV387" s="5" t="n"/>
      <c r="BW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  <c r="BA388" s="5" t="n"/>
      <c r="BB388" s="5" t="n"/>
      <c r="BC388" s="5" t="n"/>
      <c r="BD388" s="5" t="n"/>
      <c r="BE388" s="5" t="n"/>
      <c r="BF388" s="5" t="n"/>
      <c r="BG388" s="5" t="n"/>
      <c r="BH388" s="5" t="n"/>
      <c r="BI388" s="5" t="n"/>
      <c r="BJ388" s="5" t="n"/>
      <c r="BK388" s="5" t="n"/>
      <c r="BL388" s="5" t="n"/>
      <c r="BM388" s="5" t="n"/>
      <c r="BN388" s="5" t="n"/>
      <c r="BO388" s="5" t="n"/>
      <c r="BP388" s="5" t="n"/>
      <c r="BQ388" s="5" t="n"/>
      <c r="BR388" s="5" t="n"/>
      <c r="BS388" s="5" t="n"/>
      <c r="BT388" s="5" t="n"/>
      <c r="BU388" s="5" t="n"/>
      <c r="BV388" s="5" t="n"/>
      <c r="BW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5" t="n"/>
      <c r="BL389" s="5" t="n"/>
      <c r="BM389" s="5" t="n"/>
      <c r="BN389" s="5" t="n"/>
      <c r="BO389" s="5" t="n"/>
      <c r="BP389" s="5" t="n"/>
      <c r="BQ389" s="5" t="n"/>
      <c r="BR389" s="5" t="n"/>
      <c r="BS389" s="5" t="n"/>
      <c r="BT389" s="5" t="n"/>
      <c r="BU389" s="5" t="n"/>
      <c r="BV389" s="5" t="n"/>
      <c r="BW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  <c r="BA390" s="5" t="n"/>
      <c r="BB390" s="5" t="n"/>
      <c r="BC390" s="5" t="n"/>
      <c r="BD390" s="5" t="n"/>
      <c r="BE390" s="5" t="n"/>
      <c r="BF390" s="5" t="n"/>
      <c r="BG390" s="5" t="n"/>
      <c r="BH390" s="5" t="n"/>
      <c r="BI390" s="5" t="n"/>
      <c r="BJ390" s="5" t="n"/>
      <c r="BK390" s="5" t="n"/>
      <c r="BL390" s="5" t="n"/>
      <c r="BM390" s="5" t="n"/>
      <c r="BN390" s="5" t="n"/>
      <c r="BO390" s="5" t="n"/>
      <c r="BP390" s="5" t="n"/>
      <c r="BQ390" s="5" t="n"/>
      <c r="BR390" s="5" t="n"/>
      <c r="BS390" s="5" t="n"/>
      <c r="BT390" s="5" t="n"/>
      <c r="BU390" s="5" t="n"/>
      <c r="BV390" s="5" t="n"/>
      <c r="BW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  <c r="BA391" s="5" t="n"/>
      <c r="BB391" s="5" t="n"/>
      <c r="BC391" s="5" t="n"/>
      <c r="BD391" s="5" t="n"/>
      <c r="BE391" s="5" t="n"/>
      <c r="BF391" s="5" t="n"/>
      <c r="BG391" s="5" t="n"/>
      <c r="BH391" s="5" t="n"/>
      <c r="BI391" s="5" t="n"/>
      <c r="BJ391" s="5" t="n"/>
      <c r="BK391" s="5" t="n"/>
      <c r="BL391" s="5" t="n"/>
      <c r="BM391" s="5" t="n"/>
      <c r="BN391" s="5" t="n"/>
      <c r="BO391" s="5" t="n"/>
      <c r="BP391" s="5" t="n"/>
      <c r="BQ391" s="5" t="n"/>
      <c r="BR391" s="5" t="n"/>
      <c r="BS391" s="5" t="n"/>
      <c r="BT391" s="5" t="n"/>
      <c r="BU391" s="5" t="n"/>
      <c r="BV391" s="5" t="n"/>
      <c r="BW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  <c r="BA392" s="5" t="n"/>
      <c r="BB392" s="5" t="n"/>
      <c r="BC392" s="5" t="n"/>
      <c r="BD392" s="5" t="n"/>
      <c r="BE392" s="5" t="n"/>
      <c r="BF392" s="5" t="n"/>
      <c r="BG392" s="5" t="n"/>
      <c r="BH392" s="5" t="n"/>
      <c r="BI392" s="5" t="n"/>
      <c r="BJ392" s="5" t="n"/>
      <c r="BK392" s="5" t="n"/>
      <c r="BL392" s="5" t="n"/>
      <c r="BM392" s="5" t="n"/>
      <c r="BN392" s="5" t="n"/>
      <c r="BO392" s="5" t="n"/>
      <c r="BP392" s="5" t="n"/>
      <c r="BQ392" s="5" t="n"/>
      <c r="BR392" s="5" t="n"/>
      <c r="BS392" s="5" t="n"/>
      <c r="BT392" s="5" t="n"/>
      <c r="BU392" s="5" t="n"/>
      <c r="BV392" s="5" t="n"/>
      <c r="BW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  <c r="BG393" s="5" t="n"/>
      <c r="BH393" s="5" t="n"/>
      <c r="BI393" s="5" t="n"/>
      <c r="BJ393" s="5" t="n"/>
      <c r="BK393" s="5" t="n"/>
      <c r="BL393" s="5" t="n"/>
      <c r="BM393" s="5" t="n"/>
      <c r="BN393" s="5" t="n"/>
      <c r="BO393" s="5" t="n"/>
      <c r="BP393" s="5" t="n"/>
      <c r="BQ393" s="5" t="n"/>
      <c r="BR393" s="5" t="n"/>
      <c r="BS393" s="5" t="n"/>
      <c r="BT393" s="5" t="n"/>
      <c r="BU393" s="5" t="n"/>
      <c r="BV393" s="5" t="n"/>
      <c r="BW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  <c r="BG394" s="5" t="n"/>
      <c r="BH394" s="5" t="n"/>
      <c r="BI394" s="5" t="n"/>
      <c r="BJ394" s="5" t="n"/>
      <c r="BK394" s="5" t="n"/>
      <c r="BL394" s="5" t="n"/>
      <c r="BM394" s="5" t="n"/>
      <c r="BN394" s="5" t="n"/>
      <c r="BO394" s="5" t="n"/>
      <c r="BP394" s="5" t="n"/>
      <c r="BQ394" s="5" t="n"/>
      <c r="BR394" s="5" t="n"/>
      <c r="BS394" s="5" t="n"/>
      <c r="BT394" s="5" t="n"/>
      <c r="BU394" s="5" t="n"/>
      <c r="BV394" s="5" t="n"/>
      <c r="BW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  <c r="BA395" s="5" t="n"/>
      <c r="BB395" s="5" t="n"/>
      <c r="BC395" s="5" t="n"/>
      <c r="BD395" s="5" t="n"/>
      <c r="BE395" s="5" t="n"/>
      <c r="BF395" s="5" t="n"/>
      <c r="BG395" s="5" t="n"/>
      <c r="BH395" s="5" t="n"/>
      <c r="BI395" s="5" t="n"/>
      <c r="BJ395" s="5" t="n"/>
      <c r="BK395" s="5" t="n"/>
      <c r="BL395" s="5" t="n"/>
      <c r="BM395" s="5" t="n"/>
      <c r="BN395" s="5" t="n"/>
      <c r="BO395" s="5" t="n"/>
      <c r="BP395" s="5" t="n"/>
      <c r="BQ395" s="5" t="n"/>
      <c r="BR395" s="5" t="n"/>
      <c r="BS395" s="5" t="n"/>
      <c r="BT395" s="5" t="n"/>
      <c r="BU395" s="5" t="n"/>
      <c r="BV395" s="5" t="n"/>
      <c r="BW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  <c r="BA396" s="5" t="n"/>
      <c r="BB396" s="5" t="n"/>
      <c r="BC396" s="5" t="n"/>
      <c r="BD396" s="5" t="n"/>
      <c r="BE396" s="5" t="n"/>
      <c r="BF396" s="5" t="n"/>
      <c r="BG396" s="5" t="n"/>
      <c r="BH396" s="5" t="n"/>
      <c r="BI396" s="5" t="n"/>
      <c r="BJ396" s="5" t="n"/>
      <c r="BK396" s="5" t="n"/>
      <c r="BL396" s="5" t="n"/>
      <c r="BM396" s="5" t="n"/>
      <c r="BN396" s="5" t="n"/>
      <c r="BO396" s="5" t="n"/>
      <c r="BP396" s="5" t="n"/>
      <c r="BQ396" s="5" t="n"/>
      <c r="BR396" s="5" t="n"/>
      <c r="BS396" s="5" t="n"/>
      <c r="BT396" s="5" t="n"/>
      <c r="BU396" s="5" t="n"/>
      <c r="BV396" s="5" t="n"/>
      <c r="BW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5" t="n"/>
      <c r="BL397" s="5" t="n"/>
      <c r="BM397" s="5" t="n"/>
      <c r="BN397" s="5" t="n"/>
      <c r="BO397" s="5" t="n"/>
      <c r="BP397" s="5" t="n"/>
      <c r="BQ397" s="5" t="n"/>
      <c r="BR397" s="5" t="n"/>
      <c r="BS397" s="5" t="n"/>
      <c r="BT397" s="5" t="n"/>
      <c r="BU397" s="5" t="n"/>
      <c r="BV397" s="5" t="n"/>
      <c r="BW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  <c r="BG398" s="5" t="n"/>
      <c r="BH398" s="5" t="n"/>
      <c r="BI398" s="5" t="n"/>
      <c r="BJ398" s="5" t="n"/>
      <c r="BK398" s="5" t="n"/>
      <c r="BL398" s="5" t="n"/>
      <c r="BM398" s="5" t="n"/>
      <c r="BN398" s="5" t="n"/>
      <c r="BO398" s="5" t="n"/>
      <c r="BP398" s="5" t="n"/>
      <c r="BQ398" s="5" t="n"/>
      <c r="BR398" s="5" t="n"/>
      <c r="BS398" s="5" t="n"/>
      <c r="BT398" s="5" t="n"/>
      <c r="BU398" s="5" t="n"/>
      <c r="BV398" s="5" t="n"/>
      <c r="BW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5" t="n"/>
      <c r="BL399" s="5" t="n"/>
      <c r="BM399" s="5" t="n"/>
      <c r="BN399" s="5" t="n"/>
      <c r="BO399" s="5" t="n"/>
      <c r="BP399" s="5" t="n"/>
      <c r="BQ399" s="5" t="n"/>
      <c r="BR399" s="5" t="n"/>
      <c r="BS399" s="5" t="n"/>
      <c r="BT399" s="5" t="n"/>
      <c r="BU399" s="5" t="n"/>
      <c r="BV399" s="5" t="n"/>
      <c r="BW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  <c r="AQ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  <c r="BA400" s="5" t="n"/>
      <c r="BB400" s="5" t="n"/>
      <c r="BC400" s="5" t="n"/>
      <c r="BD400" s="5" t="n"/>
      <c r="BE400" s="5" t="n"/>
      <c r="BF400" s="5" t="n"/>
      <c r="BG400" s="5" t="n"/>
      <c r="BH400" s="5" t="n"/>
      <c r="BI400" s="5" t="n"/>
      <c r="BJ400" s="5" t="n"/>
      <c r="BK400" s="5" t="n"/>
      <c r="BL400" s="5" t="n"/>
      <c r="BM400" s="5" t="n"/>
      <c r="BN400" s="5" t="n"/>
      <c r="BO400" s="5" t="n"/>
      <c r="BP400" s="5" t="n"/>
      <c r="BQ400" s="5" t="n"/>
      <c r="BR400" s="5" t="n"/>
      <c r="BS400" s="5" t="n"/>
      <c r="BT400" s="5" t="n"/>
      <c r="BU400" s="5" t="n"/>
      <c r="BV400" s="5" t="n"/>
      <c r="BW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  <c r="BG401" s="5" t="n"/>
      <c r="BH401" s="5" t="n"/>
      <c r="BI401" s="5" t="n"/>
      <c r="BJ401" s="5" t="n"/>
      <c r="BK401" s="5" t="n"/>
      <c r="BL401" s="5" t="n"/>
      <c r="BM401" s="5" t="n"/>
      <c r="BN401" s="5" t="n"/>
      <c r="BO401" s="5" t="n"/>
      <c r="BP401" s="5" t="n"/>
      <c r="BQ401" s="5" t="n"/>
      <c r="BR401" s="5" t="n"/>
      <c r="BS401" s="5" t="n"/>
      <c r="BT401" s="5" t="n"/>
      <c r="BU401" s="5" t="n"/>
      <c r="BV401" s="5" t="n"/>
      <c r="BW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  <c r="BG402" s="5" t="n"/>
      <c r="BH402" s="5" t="n"/>
      <c r="BI402" s="5" t="n"/>
      <c r="BJ402" s="5" t="n"/>
      <c r="BK402" s="5" t="n"/>
      <c r="BL402" s="5" t="n"/>
      <c r="BM402" s="5" t="n"/>
      <c r="BN402" s="5" t="n"/>
      <c r="BO402" s="5" t="n"/>
      <c r="BP402" s="5" t="n"/>
      <c r="BQ402" s="5" t="n"/>
      <c r="BR402" s="5" t="n"/>
      <c r="BS402" s="5" t="n"/>
      <c r="BT402" s="5" t="n"/>
      <c r="BU402" s="5" t="n"/>
      <c r="BV402" s="5" t="n"/>
      <c r="BW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5" t="n"/>
      <c r="BL403" s="5" t="n"/>
      <c r="BM403" s="5" t="n"/>
      <c r="BN403" s="5" t="n"/>
      <c r="BO403" s="5" t="n"/>
      <c r="BP403" s="5" t="n"/>
      <c r="BQ403" s="5" t="n"/>
      <c r="BR403" s="5" t="n"/>
      <c r="BS403" s="5" t="n"/>
      <c r="BT403" s="5" t="n"/>
      <c r="BU403" s="5" t="n"/>
      <c r="BV403" s="5" t="n"/>
      <c r="BW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  <c r="BG404" s="5" t="n"/>
      <c r="BH404" s="5" t="n"/>
      <c r="BI404" s="5" t="n"/>
      <c r="BJ404" s="5" t="n"/>
      <c r="BK404" s="5" t="n"/>
      <c r="BL404" s="5" t="n"/>
      <c r="BM404" s="5" t="n"/>
      <c r="BN404" s="5" t="n"/>
      <c r="BO404" s="5" t="n"/>
      <c r="BP404" s="5" t="n"/>
      <c r="BQ404" s="5" t="n"/>
      <c r="BR404" s="5" t="n"/>
      <c r="BS404" s="5" t="n"/>
      <c r="BT404" s="5" t="n"/>
      <c r="BU404" s="5" t="n"/>
      <c r="BV404" s="5" t="n"/>
      <c r="BW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  <c r="BG405" s="5" t="n"/>
      <c r="BH405" s="5" t="n"/>
      <c r="BI405" s="5" t="n"/>
      <c r="BJ405" s="5" t="n"/>
      <c r="BK405" s="5" t="n"/>
      <c r="BL405" s="5" t="n"/>
      <c r="BM405" s="5" t="n"/>
      <c r="BN405" s="5" t="n"/>
      <c r="BO405" s="5" t="n"/>
      <c r="BP405" s="5" t="n"/>
      <c r="BQ405" s="5" t="n"/>
      <c r="BR405" s="5" t="n"/>
      <c r="BS405" s="5" t="n"/>
      <c r="BT405" s="5" t="n"/>
      <c r="BU405" s="5" t="n"/>
      <c r="BV405" s="5" t="n"/>
      <c r="BW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  <c r="AQ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  <c r="BA406" s="5" t="n"/>
      <c r="BB406" s="5" t="n"/>
      <c r="BC406" s="5" t="n"/>
      <c r="BD406" s="5" t="n"/>
      <c r="BE406" s="5" t="n"/>
      <c r="BF406" s="5" t="n"/>
      <c r="BG406" s="5" t="n"/>
      <c r="BH406" s="5" t="n"/>
      <c r="BI406" s="5" t="n"/>
      <c r="BJ406" s="5" t="n"/>
      <c r="BK406" s="5" t="n"/>
      <c r="BL406" s="5" t="n"/>
      <c r="BM406" s="5" t="n"/>
      <c r="BN406" s="5" t="n"/>
      <c r="BO406" s="5" t="n"/>
      <c r="BP406" s="5" t="n"/>
      <c r="BQ406" s="5" t="n"/>
      <c r="BR406" s="5" t="n"/>
      <c r="BS406" s="5" t="n"/>
      <c r="BT406" s="5" t="n"/>
      <c r="BU406" s="5" t="n"/>
      <c r="BV406" s="5" t="n"/>
      <c r="BW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/>
      <c r="BV407" s="5" t="n"/>
      <c r="BW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  <c r="BG408" s="5" t="n"/>
      <c r="BH408" s="5" t="n"/>
      <c r="BI408" s="5" t="n"/>
      <c r="BJ408" s="5" t="n"/>
      <c r="BK408" s="5" t="n"/>
      <c r="BL408" s="5" t="n"/>
      <c r="BM408" s="5" t="n"/>
      <c r="BN408" s="5" t="n"/>
      <c r="BO408" s="5" t="n"/>
      <c r="BP408" s="5" t="n"/>
      <c r="BQ408" s="5" t="n"/>
      <c r="BR408" s="5" t="n"/>
      <c r="BS408" s="5" t="n"/>
      <c r="BT408" s="5" t="n"/>
      <c r="BU408" s="5" t="n"/>
      <c r="BV408" s="5" t="n"/>
      <c r="BW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  <c r="BG409" s="5" t="n"/>
      <c r="BH409" s="5" t="n"/>
      <c r="BI409" s="5" t="n"/>
      <c r="BJ409" s="5" t="n"/>
      <c r="BK409" s="5" t="n"/>
      <c r="BL409" s="5" t="n"/>
      <c r="BM409" s="5" t="n"/>
      <c r="BN409" s="5" t="n"/>
      <c r="BO409" s="5" t="n"/>
      <c r="BP409" s="5" t="n"/>
      <c r="BQ409" s="5" t="n"/>
      <c r="BR409" s="5" t="n"/>
      <c r="BS409" s="5" t="n"/>
      <c r="BT409" s="5" t="n"/>
      <c r="BU409" s="5" t="n"/>
      <c r="BV409" s="5" t="n"/>
      <c r="BW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  <c r="BA410" s="5" t="n"/>
      <c r="BB410" s="5" t="n"/>
      <c r="BC410" s="5" t="n"/>
      <c r="BD410" s="5" t="n"/>
      <c r="BE410" s="5" t="n"/>
      <c r="BF410" s="5" t="n"/>
      <c r="BG410" s="5" t="n"/>
      <c r="BH410" s="5" t="n"/>
      <c r="BI410" s="5" t="n"/>
      <c r="BJ410" s="5" t="n"/>
      <c r="BK410" s="5" t="n"/>
      <c r="BL410" s="5" t="n"/>
      <c r="BM410" s="5" t="n"/>
      <c r="BN410" s="5" t="n"/>
      <c r="BO410" s="5" t="n"/>
      <c r="BP410" s="5" t="n"/>
      <c r="BQ410" s="5" t="n"/>
      <c r="BR410" s="5" t="n"/>
      <c r="BS410" s="5" t="n"/>
      <c r="BT410" s="5" t="n"/>
      <c r="BU410" s="5" t="n"/>
      <c r="BV410" s="5" t="n"/>
      <c r="BW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5" t="n"/>
      <c r="BL411" s="5" t="n"/>
      <c r="BM411" s="5" t="n"/>
      <c r="BN411" s="5" t="n"/>
      <c r="BO411" s="5" t="n"/>
      <c r="BP411" s="5" t="n"/>
      <c r="BQ411" s="5" t="n"/>
      <c r="BR411" s="5" t="n"/>
      <c r="BS411" s="5" t="n"/>
      <c r="BT411" s="5" t="n"/>
      <c r="BU411" s="5" t="n"/>
      <c r="BV411" s="5" t="n"/>
      <c r="BW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5" t="n"/>
      <c r="BL412" s="5" t="n"/>
      <c r="BM412" s="5" t="n"/>
      <c r="BN412" s="5" t="n"/>
      <c r="BO412" s="5" t="n"/>
      <c r="BP412" s="5" t="n"/>
      <c r="BQ412" s="5" t="n"/>
      <c r="BR412" s="5" t="n"/>
      <c r="BS412" s="5" t="n"/>
      <c r="BT412" s="5" t="n"/>
      <c r="BU412" s="5" t="n"/>
      <c r="BV412" s="5" t="n"/>
      <c r="BW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5" t="n"/>
      <c r="BL413" s="5" t="n"/>
      <c r="BM413" s="5" t="n"/>
      <c r="BN413" s="5" t="n"/>
      <c r="BO413" s="5" t="n"/>
      <c r="BP413" s="5" t="n"/>
      <c r="BQ413" s="5" t="n"/>
      <c r="BR413" s="5" t="n"/>
      <c r="BS413" s="5" t="n"/>
      <c r="BT413" s="5" t="n"/>
      <c r="BU413" s="5" t="n"/>
      <c r="BV413" s="5" t="n"/>
      <c r="BW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  <c r="BG414" s="5" t="n"/>
      <c r="BH414" s="5" t="n"/>
      <c r="BI414" s="5" t="n"/>
      <c r="BJ414" s="5" t="n"/>
      <c r="BK414" s="5" t="n"/>
      <c r="BL414" s="5" t="n"/>
      <c r="BM414" s="5" t="n"/>
      <c r="BN414" s="5" t="n"/>
      <c r="BO414" s="5" t="n"/>
      <c r="BP414" s="5" t="n"/>
      <c r="BQ414" s="5" t="n"/>
      <c r="BR414" s="5" t="n"/>
      <c r="BS414" s="5" t="n"/>
      <c r="BT414" s="5" t="n"/>
      <c r="BU414" s="5" t="n"/>
      <c r="BV414" s="5" t="n"/>
      <c r="BW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/>
      <c r="BV415" s="5" t="n"/>
      <c r="BW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5" t="n"/>
      <c r="BL416" s="5" t="n"/>
      <c r="BM416" s="5" t="n"/>
      <c r="BN416" s="5" t="n"/>
      <c r="BO416" s="5" t="n"/>
      <c r="BP416" s="5" t="n"/>
      <c r="BQ416" s="5" t="n"/>
      <c r="BR416" s="5" t="n"/>
      <c r="BS416" s="5" t="n"/>
      <c r="BT416" s="5" t="n"/>
      <c r="BU416" s="5" t="n"/>
      <c r="BV416" s="5" t="n"/>
      <c r="BW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/>
      <c r="BV417" s="5" t="n"/>
      <c r="BW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  <c r="BG418" s="5" t="n"/>
      <c r="BH418" s="5" t="n"/>
      <c r="BI418" s="5" t="n"/>
      <c r="BJ418" s="5" t="n"/>
      <c r="BK418" s="5" t="n"/>
      <c r="BL418" s="5" t="n"/>
      <c r="BM418" s="5" t="n"/>
      <c r="BN418" s="5" t="n"/>
      <c r="BO418" s="5" t="n"/>
      <c r="BP418" s="5" t="n"/>
      <c r="BQ418" s="5" t="n"/>
      <c r="BR418" s="5" t="n"/>
      <c r="BS418" s="5" t="n"/>
      <c r="BT418" s="5" t="n"/>
      <c r="BU418" s="5" t="n"/>
      <c r="BV418" s="5" t="n"/>
      <c r="BW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/>
      <c r="BV419" s="5" t="n"/>
      <c r="BW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5" t="n"/>
      <c r="BL420" s="5" t="n"/>
      <c r="BM420" s="5" t="n"/>
      <c r="BN420" s="5" t="n"/>
      <c r="BO420" s="5" t="n"/>
      <c r="BP420" s="5" t="n"/>
      <c r="BQ420" s="5" t="n"/>
      <c r="BR420" s="5" t="n"/>
      <c r="BS420" s="5" t="n"/>
      <c r="BT420" s="5" t="n"/>
      <c r="BU420" s="5" t="n"/>
      <c r="BV420" s="5" t="n"/>
      <c r="BW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5" t="n"/>
      <c r="BL421" s="5" t="n"/>
      <c r="BM421" s="5" t="n"/>
      <c r="BN421" s="5" t="n"/>
      <c r="BO421" s="5" t="n"/>
      <c r="BP421" s="5" t="n"/>
      <c r="BQ421" s="5" t="n"/>
      <c r="BR421" s="5" t="n"/>
      <c r="BS421" s="5" t="n"/>
      <c r="BT421" s="5" t="n"/>
      <c r="BU421" s="5" t="n"/>
      <c r="BV421" s="5" t="n"/>
      <c r="BW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  <c r="BG422" s="5" t="n"/>
      <c r="BH422" s="5" t="n"/>
      <c r="BI422" s="5" t="n"/>
      <c r="BJ422" s="5" t="n"/>
      <c r="BK422" s="5" t="n"/>
      <c r="BL422" s="5" t="n"/>
      <c r="BM422" s="5" t="n"/>
      <c r="BN422" s="5" t="n"/>
      <c r="BO422" s="5" t="n"/>
      <c r="BP422" s="5" t="n"/>
      <c r="BQ422" s="5" t="n"/>
      <c r="BR422" s="5" t="n"/>
      <c r="BS422" s="5" t="n"/>
      <c r="BT422" s="5" t="n"/>
      <c r="BU422" s="5" t="n"/>
      <c r="BV422" s="5" t="n"/>
      <c r="BW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5" t="n"/>
      <c r="BL423" s="5" t="n"/>
      <c r="BM423" s="5" t="n"/>
      <c r="BN423" s="5" t="n"/>
      <c r="BO423" s="5" t="n"/>
      <c r="BP423" s="5" t="n"/>
      <c r="BQ423" s="5" t="n"/>
      <c r="BR423" s="5" t="n"/>
      <c r="BS423" s="5" t="n"/>
      <c r="BT423" s="5" t="n"/>
      <c r="BU423" s="5" t="n"/>
      <c r="BV423" s="5" t="n"/>
      <c r="BW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  <c r="BG424" s="5" t="n"/>
      <c r="BH424" s="5" t="n"/>
      <c r="BI424" s="5" t="n"/>
      <c r="BJ424" s="5" t="n"/>
      <c r="BK424" s="5" t="n"/>
      <c r="BL424" s="5" t="n"/>
      <c r="BM424" s="5" t="n"/>
      <c r="BN424" s="5" t="n"/>
      <c r="BO424" s="5" t="n"/>
      <c r="BP424" s="5" t="n"/>
      <c r="BQ424" s="5" t="n"/>
      <c r="BR424" s="5" t="n"/>
      <c r="BS424" s="5" t="n"/>
      <c r="BT424" s="5" t="n"/>
      <c r="BU424" s="5" t="n"/>
      <c r="BV424" s="5" t="n"/>
      <c r="BW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5" t="n"/>
      <c r="BL425" s="5" t="n"/>
      <c r="BM425" s="5" t="n"/>
      <c r="BN425" s="5" t="n"/>
      <c r="BO425" s="5" t="n"/>
      <c r="BP425" s="5" t="n"/>
      <c r="BQ425" s="5" t="n"/>
      <c r="BR425" s="5" t="n"/>
      <c r="BS425" s="5" t="n"/>
      <c r="BT425" s="5" t="n"/>
      <c r="BU425" s="5" t="n"/>
      <c r="BV425" s="5" t="n"/>
      <c r="BW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  <c r="BG426" s="5" t="n"/>
      <c r="BH426" s="5" t="n"/>
      <c r="BI426" s="5" t="n"/>
      <c r="BJ426" s="5" t="n"/>
      <c r="BK426" s="5" t="n"/>
      <c r="BL426" s="5" t="n"/>
      <c r="BM426" s="5" t="n"/>
      <c r="BN426" s="5" t="n"/>
      <c r="BO426" s="5" t="n"/>
      <c r="BP426" s="5" t="n"/>
      <c r="BQ426" s="5" t="n"/>
      <c r="BR426" s="5" t="n"/>
      <c r="BS426" s="5" t="n"/>
      <c r="BT426" s="5" t="n"/>
      <c r="BU426" s="5" t="n"/>
      <c r="BV426" s="5" t="n"/>
      <c r="BW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/>
      <c r="BV427" s="5" t="n"/>
      <c r="BW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5" t="n"/>
      <c r="BL428" s="5" t="n"/>
      <c r="BM428" s="5" t="n"/>
      <c r="BN428" s="5" t="n"/>
      <c r="BO428" s="5" t="n"/>
      <c r="BP428" s="5" t="n"/>
      <c r="BQ428" s="5" t="n"/>
      <c r="BR428" s="5" t="n"/>
      <c r="BS428" s="5" t="n"/>
      <c r="BT428" s="5" t="n"/>
      <c r="BU428" s="5" t="n"/>
      <c r="BV428" s="5" t="n"/>
      <c r="BW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  <c r="BG429" s="5" t="n"/>
      <c r="BH429" s="5" t="n"/>
      <c r="BI429" s="5" t="n"/>
      <c r="BJ429" s="5" t="n"/>
      <c r="BK429" s="5" t="n"/>
      <c r="BL429" s="5" t="n"/>
      <c r="BM429" s="5" t="n"/>
      <c r="BN429" s="5" t="n"/>
      <c r="BO429" s="5" t="n"/>
      <c r="BP429" s="5" t="n"/>
      <c r="BQ429" s="5" t="n"/>
      <c r="BR429" s="5" t="n"/>
      <c r="BS429" s="5" t="n"/>
      <c r="BT429" s="5" t="n"/>
      <c r="BU429" s="5" t="n"/>
      <c r="BV429" s="5" t="n"/>
      <c r="BW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5" t="n"/>
      <c r="BL430" s="5" t="n"/>
      <c r="BM430" s="5" t="n"/>
      <c r="BN430" s="5" t="n"/>
      <c r="BO430" s="5" t="n"/>
      <c r="BP430" s="5" t="n"/>
      <c r="BQ430" s="5" t="n"/>
      <c r="BR430" s="5" t="n"/>
      <c r="BS430" s="5" t="n"/>
      <c r="BT430" s="5" t="n"/>
      <c r="BU430" s="5" t="n"/>
      <c r="BV430" s="5" t="n"/>
      <c r="BW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/>
      <c r="BV431" s="5" t="n"/>
      <c r="BW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5" t="n"/>
      <c r="BL432" s="5" t="n"/>
      <c r="BM432" s="5" t="n"/>
      <c r="BN432" s="5" t="n"/>
      <c r="BO432" s="5" t="n"/>
      <c r="BP432" s="5" t="n"/>
      <c r="BQ432" s="5" t="n"/>
      <c r="BR432" s="5" t="n"/>
      <c r="BS432" s="5" t="n"/>
      <c r="BT432" s="5" t="n"/>
      <c r="BU432" s="5" t="n"/>
      <c r="BV432" s="5" t="n"/>
      <c r="BW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5" t="n"/>
      <c r="BL433" s="5" t="n"/>
      <c r="BM433" s="5" t="n"/>
      <c r="BN433" s="5" t="n"/>
      <c r="BO433" s="5" t="n"/>
      <c r="BP433" s="5" t="n"/>
      <c r="BQ433" s="5" t="n"/>
      <c r="BR433" s="5" t="n"/>
      <c r="BS433" s="5" t="n"/>
      <c r="BT433" s="5" t="n"/>
      <c r="BU433" s="5" t="n"/>
      <c r="BV433" s="5" t="n"/>
      <c r="BW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  <c r="BG434" s="5" t="n"/>
      <c r="BH434" s="5" t="n"/>
      <c r="BI434" s="5" t="n"/>
      <c r="BJ434" s="5" t="n"/>
      <c r="BK434" s="5" t="n"/>
      <c r="BL434" s="5" t="n"/>
      <c r="BM434" s="5" t="n"/>
      <c r="BN434" s="5" t="n"/>
      <c r="BO434" s="5" t="n"/>
      <c r="BP434" s="5" t="n"/>
      <c r="BQ434" s="5" t="n"/>
      <c r="BR434" s="5" t="n"/>
      <c r="BS434" s="5" t="n"/>
      <c r="BT434" s="5" t="n"/>
      <c r="BU434" s="5" t="n"/>
      <c r="BV434" s="5" t="n"/>
      <c r="BW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/>
      <c r="BV435" s="5" t="n"/>
      <c r="BW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  <c r="BV436" s="5" t="n"/>
      <c r="BW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  <c r="AS437" s="5" t="n"/>
      <c r="AT437" s="5" t="n"/>
      <c r="AU437" s="5" t="n"/>
      <c r="AV437" s="5" t="n"/>
      <c r="AW437" s="5" t="n"/>
      <c r="AX437" s="5" t="n"/>
      <c r="AY437" s="5" t="n"/>
      <c r="AZ437" s="5" t="n"/>
      <c r="BA437" s="5" t="n"/>
      <c r="BB437" s="5" t="n"/>
      <c r="BC437" s="5" t="n"/>
      <c r="BD437" s="5" t="n"/>
      <c r="BE437" s="5" t="n"/>
      <c r="BF437" s="5" t="n"/>
      <c r="BG437" s="5" t="n"/>
      <c r="BH437" s="5" t="n"/>
      <c r="BI437" s="5" t="n"/>
      <c r="BJ437" s="5" t="n"/>
      <c r="BK437" s="5" t="n"/>
      <c r="BL437" s="5" t="n"/>
      <c r="BM437" s="5" t="n"/>
      <c r="BN437" s="5" t="n"/>
      <c r="BO437" s="5" t="n"/>
      <c r="BP437" s="5" t="n"/>
      <c r="BQ437" s="5" t="n"/>
      <c r="BR437" s="5" t="n"/>
      <c r="BS437" s="5" t="n"/>
      <c r="BT437" s="5" t="n"/>
      <c r="BU437" s="5" t="n"/>
      <c r="BV437" s="5" t="n"/>
      <c r="BW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/>
      <c r="AV438" s="5" t="n"/>
      <c r="AW438" s="5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/>
      <c r="BJ438" s="5" t="n"/>
      <c r="BK438" s="5" t="n"/>
      <c r="BL438" s="5" t="n"/>
      <c r="BM438" s="5" t="n"/>
      <c r="BN438" s="5" t="n"/>
      <c r="BO438" s="5" t="n"/>
      <c r="BP438" s="5" t="n"/>
      <c r="BQ438" s="5" t="n"/>
      <c r="BR438" s="5" t="n"/>
      <c r="BS438" s="5" t="n"/>
      <c r="BT438" s="5" t="n"/>
      <c r="BU438" s="5" t="n"/>
      <c r="BV438" s="5" t="n"/>
      <c r="BW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BV439" s="5" t="n"/>
      <c r="BW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5" t="n"/>
      <c r="BL440" s="5" t="n"/>
      <c r="BM440" s="5" t="n"/>
      <c r="BN440" s="5" t="n"/>
      <c r="BO440" s="5" t="n"/>
      <c r="BP440" s="5" t="n"/>
      <c r="BQ440" s="5" t="n"/>
      <c r="BR440" s="5" t="n"/>
      <c r="BS440" s="5" t="n"/>
      <c r="BT440" s="5" t="n"/>
      <c r="BU440" s="5" t="n"/>
      <c r="BV440" s="5" t="n"/>
      <c r="BW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  <c r="AS441" s="5" t="n"/>
      <c r="AT441" s="5" t="n"/>
      <c r="AU441" s="5" t="n"/>
      <c r="AV441" s="5" t="n"/>
      <c r="AW441" s="5" t="n"/>
      <c r="AX441" s="5" t="n"/>
      <c r="AY441" s="5" t="n"/>
      <c r="AZ441" s="5" t="n"/>
      <c r="BA441" s="5" t="n"/>
      <c r="BB441" s="5" t="n"/>
      <c r="BC441" s="5" t="n"/>
      <c r="BD441" s="5" t="n"/>
      <c r="BE441" s="5" t="n"/>
      <c r="BF441" s="5" t="n"/>
      <c r="BG441" s="5" t="n"/>
      <c r="BH441" s="5" t="n"/>
      <c r="BI441" s="5" t="n"/>
      <c r="BJ441" s="5" t="n"/>
      <c r="BK441" s="5" t="n"/>
      <c r="BL441" s="5" t="n"/>
      <c r="BM441" s="5" t="n"/>
      <c r="BN441" s="5" t="n"/>
      <c r="BO441" s="5" t="n"/>
      <c r="BP441" s="5" t="n"/>
      <c r="BQ441" s="5" t="n"/>
      <c r="BR441" s="5" t="n"/>
      <c r="BS441" s="5" t="n"/>
      <c r="BT441" s="5" t="n"/>
      <c r="BU441" s="5" t="n"/>
      <c r="BV441" s="5" t="n"/>
      <c r="BW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  <c r="AQ442" s="5" t="n"/>
      <c r="AR442" s="5" t="n"/>
      <c r="AS442" s="5" t="n"/>
      <c r="AT442" s="5" t="n"/>
      <c r="AU442" s="5" t="n"/>
      <c r="AV442" s="5" t="n"/>
      <c r="AW442" s="5" t="n"/>
      <c r="AX442" s="5" t="n"/>
      <c r="AY442" s="5" t="n"/>
      <c r="AZ442" s="5" t="n"/>
      <c r="BA442" s="5" t="n"/>
      <c r="BB442" s="5" t="n"/>
      <c r="BC442" s="5" t="n"/>
      <c r="BD442" s="5" t="n"/>
      <c r="BE442" s="5" t="n"/>
      <c r="BF442" s="5" t="n"/>
      <c r="BG442" s="5" t="n"/>
      <c r="BH442" s="5" t="n"/>
      <c r="BI442" s="5" t="n"/>
      <c r="BJ442" s="5" t="n"/>
      <c r="BK442" s="5" t="n"/>
      <c r="BL442" s="5" t="n"/>
      <c r="BM442" s="5" t="n"/>
      <c r="BN442" s="5" t="n"/>
      <c r="BO442" s="5" t="n"/>
      <c r="BP442" s="5" t="n"/>
      <c r="BQ442" s="5" t="n"/>
      <c r="BR442" s="5" t="n"/>
      <c r="BS442" s="5" t="n"/>
      <c r="BT442" s="5" t="n"/>
      <c r="BU442" s="5" t="n"/>
      <c r="BV442" s="5" t="n"/>
      <c r="BW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/>
      <c r="BV443" s="5" t="n"/>
      <c r="BW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  <c r="AR444" s="5" t="n"/>
      <c r="AS444" s="5" t="n"/>
      <c r="AT444" s="5" t="n"/>
      <c r="AU444" s="5" t="n"/>
      <c r="AV444" s="5" t="n"/>
      <c r="AW444" s="5" t="n"/>
      <c r="AX444" s="5" t="n"/>
      <c r="AY444" s="5" t="n"/>
      <c r="AZ444" s="5" t="n"/>
      <c r="BA444" s="5" t="n"/>
      <c r="BB444" s="5" t="n"/>
      <c r="BC444" s="5" t="n"/>
      <c r="BD444" s="5" t="n"/>
      <c r="BE444" s="5" t="n"/>
      <c r="BF444" s="5" t="n"/>
      <c r="BG444" s="5" t="n"/>
      <c r="BH444" s="5" t="n"/>
      <c r="BI444" s="5" t="n"/>
      <c r="BJ444" s="5" t="n"/>
      <c r="BK444" s="5" t="n"/>
      <c r="BL444" s="5" t="n"/>
      <c r="BM444" s="5" t="n"/>
      <c r="BN444" s="5" t="n"/>
      <c r="BO444" s="5" t="n"/>
      <c r="BP444" s="5" t="n"/>
      <c r="BQ444" s="5" t="n"/>
      <c r="BR444" s="5" t="n"/>
      <c r="BS444" s="5" t="n"/>
      <c r="BT444" s="5" t="n"/>
      <c r="BU444" s="5" t="n"/>
      <c r="BV444" s="5" t="n"/>
      <c r="BW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/>
      <c r="AV445" s="5" t="n"/>
      <c r="AW445" s="5" t="n"/>
      <c r="AX445" s="5" t="n"/>
      <c r="AY445" s="5" t="n"/>
      <c r="AZ445" s="5" t="n"/>
      <c r="BA445" s="5" t="n"/>
      <c r="BB445" s="5" t="n"/>
      <c r="BC445" s="5" t="n"/>
      <c r="BD445" s="5" t="n"/>
      <c r="BE445" s="5" t="n"/>
      <c r="BF445" s="5" t="n"/>
      <c r="BG445" s="5" t="n"/>
      <c r="BH445" s="5" t="n"/>
      <c r="BI445" s="5" t="n"/>
      <c r="BJ445" s="5" t="n"/>
      <c r="BK445" s="5" t="n"/>
      <c r="BL445" s="5" t="n"/>
      <c r="BM445" s="5" t="n"/>
      <c r="BN445" s="5" t="n"/>
      <c r="BO445" s="5" t="n"/>
      <c r="BP445" s="5" t="n"/>
      <c r="BQ445" s="5" t="n"/>
      <c r="BR445" s="5" t="n"/>
      <c r="BS445" s="5" t="n"/>
      <c r="BT445" s="5" t="n"/>
      <c r="BU445" s="5" t="n"/>
      <c r="BV445" s="5" t="n"/>
      <c r="BW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  <c r="BV446" s="5" t="n"/>
      <c r="BW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5" t="n"/>
      <c r="BL447" s="5" t="n"/>
      <c r="BM447" s="5" t="n"/>
      <c r="BN447" s="5" t="n"/>
      <c r="BO447" s="5" t="n"/>
      <c r="BP447" s="5" t="n"/>
      <c r="BQ447" s="5" t="n"/>
      <c r="BR447" s="5" t="n"/>
      <c r="BS447" s="5" t="n"/>
      <c r="BT447" s="5" t="n"/>
      <c r="BU447" s="5" t="n"/>
      <c r="BV447" s="5" t="n"/>
      <c r="BW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/>
      <c r="AV448" s="5" t="n"/>
      <c r="AW448" s="5" t="n"/>
      <c r="AX448" s="5" t="n"/>
      <c r="AY448" s="5" t="n"/>
      <c r="AZ448" s="5" t="n"/>
      <c r="BA448" s="5" t="n"/>
      <c r="BB448" s="5" t="n"/>
      <c r="BC448" s="5" t="n"/>
      <c r="BD448" s="5" t="n"/>
      <c r="BE448" s="5" t="n"/>
      <c r="BF448" s="5" t="n"/>
      <c r="BG448" s="5" t="n"/>
      <c r="BH448" s="5" t="n"/>
      <c r="BI448" s="5" t="n"/>
      <c r="BJ448" s="5" t="n"/>
      <c r="BK448" s="5" t="n"/>
      <c r="BL448" s="5" t="n"/>
      <c r="BM448" s="5" t="n"/>
      <c r="BN448" s="5" t="n"/>
      <c r="BO448" s="5" t="n"/>
      <c r="BP448" s="5" t="n"/>
      <c r="BQ448" s="5" t="n"/>
      <c r="BR448" s="5" t="n"/>
      <c r="BS448" s="5" t="n"/>
      <c r="BT448" s="5" t="n"/>
      <c r="BU448" s="5" t="n"/>
      <c r="BV448" s="5" t="n"/>
      <c r="BW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5" t="n"/>
      <c r="BL449" s="5" t="n"/>
      <c r="BM449" s="5" t="n"/>
      <c r="BN449" s="5" t="n"/>
      <c r="BO449" s="5" t="n"/>
      <c r="BP449" s="5" t="n"/>
      <c r="BQ449" s="5" t="n"/>
      <c r="BR449" s="5" t="n"/>
      <c r="BS449" s="5" t="n"/>
      <c r="BT449" s="5" t="n"/>
      <c r="BU449" s="5" t="n"/>
      <c r="BV449" s="5" t="n"/>
      <c r="BW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  <c r="AY450" s="5" t="n"/>
      <c r="AZ450" s="5" t="n"/>
      <c r="BA450" s="5" t="n"/>
      <c r="BB450" s="5" t="n"/>
      <c r="BC450" s="5" t="n"/>
      <c r="BD450" s="5" t="n"/>
      <c r="BE450" s="5" t="n"/>
      <c r="BF450" s="5" t="n"/>
      <c r="BG450" s="5" t="n"/>
      <c r="BH450" s="5" t="n"/>
      <c r="BI450" s="5" t="n"/>
      <c r="BJ450" s="5" t="n"/>
      <c r="BK450" s="5" t="n"/>
      <c r="BL450" s="5" t="n"/>
      <c r="BM450" s="5" t="n"/>
      <c r="BN450" s="5" t="n"/>
      <c r="BO450" s="5" t="n"/>
      <c r="BP450" s="5" t="n"/>
      <c r="BQ450" s="5" t="n"/>
      <c r="BR450" s="5" t="n"/>
      <c r="BS450" s="5" t="n"/>
      <c r="BT450" s="5" t="n"/>
      <c r="BU450" s="5" t="n"/>
      <c r="BV450" s="5" t="n"/>
      <c r="BW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  <c r="BA451" s="5" t="n"/>
      <c r="BB451" s="5" t="n"/>
      <c r="BC451" s="5" t="n"/>
      <c r="BD451" s="5" t="n"/>
      <c r="BE451" s="5" t="n"/>
      <c r="BF451" s="5" t="n"/>
      <c r="BG451" s="5" t="n"/>
      <c r="BH451" s="5" t="n"/>
      <c r="BI451" s="5" t="n"/>
      <c r="BJ451" s="5" t="n"/>
      <c r="BK451" s="5" t="n"/>
      <c r="BL451" s="5" t="n"/>
      <c r="BM451" s="5" t="n"/>
      <c r="BN451" s="5" t="n"/>
      <c r="BO451" s="5" t="n"/>
      <c r="BP451" s="5" t="n"/>
      <c r="BQ451" s="5" t="n"/>
      <c r="BR451" s="5" t="n"/>
      <c r="BS451" s="5" t="n"/>
      <c r="BT451" s="5" t="n"/>
      <c r="BU451" s="5" t="n"/>
      <c r="BV451" s="5" t="n"/>
      <c r="BW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  <c r="BA452" s="5" t="n"/>
      <c r="BB452" s="5" t="n"/>
      <c r="BC452" s="5" t="n"/>
      <c r="BD452" s="5" t="n"/>
      <c r="BE452" s="5" t="n"/>
      <c r="BF452" s="5" t="n"/>
      <c r="BG452" s="5" t="n"/>
      <c r="BH452" s="5" t="n"/>
      <c r="BI452" s="5" t="n"/>
      <c r="BJ452" s="5" t="n"/>
      <c r="BK452" s="5" t="n"/>
      <c r="BL452" s="5" t="n"/>
      <c r="BM452" s="5" t="n"/>
      <c r="BN452" s="5" t="n"/>
      <c r="BO452" s="5" t="n"/>
      <c r="BP452" s="5" t="n"/>
      <c r="BQ452" s="5" t="n"/>
      <c r="BR452" s="5" t="n"/>
      <c r="BS452" s="5" t="n"/>
      <c r="BT452" s="5" t="n"/>
      <c r="BU452" s="5" t="n"/>
      <c r="BV452" s="5" t="n"/>
      <c r="BW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  <c r="AY453" s="5" t="n"/>
      <c r="AZ453" s="5" t="n"/>
      <c r="BA453" s="5" t="n"/>
      <c r="BB453" s="5" t="n"/>
      <c r="BC453" s="5" t="n"/>
      <c r="BD453" s="5" t="n"/>
      <c r="BE453" s="5" t="n"/>
      <c r="BF453" s="5" t="n"/>
      <c r="BG453" s="5" t="n"/>
      <c r="BH453" s="5" t="n"/>
      <c r="BI453" s="5" t="n"/>
      <c r="BJ453" s="5" t="n"/>
      <c r="BK453" s="5" t="n"/>
      <c r="BL453" s="5" t="n"/>
      <c r="BM453" s="5" t="n"/>
      <c r="BN453" s="5" t="n"/>
      <c r="BO453" s="5" t="n"/>
      <c r="BP453" s="5" t="n"/>
      <c r="BQ453" s="5" t="n"/>
      <c r="BR453" s="5" t="n"/>
      <c r="BS453" s="5" t="n"/>
      <c r="BT453" s="5" t="n"/>
      <c r="BU453" s="5" t="n"/>
      <c r="BV453" s="5" t="n"/>
      <c r="BW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  <c r="AY454" s="5" t="n"/>
      <c r="AZ454" s="5" t="n"/>
      <c r="BA454" s="5" t="n"/>
      <c r="BB454" s="5" t="n"/>
      <c r="BC454" s="5" t="n"/>
      <c r="BD454" s="5" t="n"/>
      <c r="BE454" s="5" t="n"/>
      <c r="BF454" s="5" t="n"/>
      <c r="BG454" s="5" t="n"/>
      <c r="BH454" s="5" t="n"/>
      <c r="BI454" s="5" t="n"/>
      <c r="BJ454" s="5" t="n"/>
      <c r="BK454" s="5" t="n"/>
      <c r="BL454" s="5" t="n"/>
      <c r="BM454" s="5" t="n"/>
      <c r="BN454" s="5" t="n"/>
      <c r="BO454" s="5" t="n"/>
      <c r="BP454" s="5" t="n"/>
      <c r="BQ454" s="5" t="n"/>
      <c r="BR454" s="5" t="n"/>
      <c r="BS454" s="5" t="n"/>
      <c r="BT454" s="5" t="n"/>
      <c r="BU454" s="5" t="n"/>
      <c r="BV454" s="5" t="n"/>
      <c r="BW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  <c r="BG455" s="5" t="n"/>
      <c r="BH455" s="5" t="n"/>
      <c r="BI455" s="5" t="n"/>
      <c r="BJ455" s="5" t="n"/>
      <c r="BK455" s="5" t="n"/>
      <c r="BL455" s="5" t="n"/>
      <c r="BM455" s="5" t="n"/>
      <c r="BN455" s="5" t="n"/>
      <c r="BO455" s="5" t="n"/>
      <c r="BP455" s="5" t="n"/>
      <c r="BQ455" s="5" t="n"/>
      <c r="BR455" s="5" t="n"/>
      <c r="BS455" s="5" t="n"/>
      <c r="BT455" s="5" t="n"/>
      <c r="BU455" s="5" t="n"/>
      <c r="BV455" s="5" t="n"/>
      <c r="BW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5" t="n"/>
      <c r="BL456" s="5" t="n"/>
      <c r="BM456" s="5" t="n"/>
      <c r="BN456" s="5" t="n"/>
      <c r="BO456" s="5" t="n"/>
      <c r="BP456" s="5" t="n"/>
      <c r="BQ456" s="5" t="n"/>
      <c r="BR456" s="5" t="n"/>
      <c r="BS456" s="5" t="n"/>
      <c r="BT456" s="5" t="n"/>
      <c r="BU456" s="5" t="n"/>
      <c r="BV456" s="5" t="n"/>
      <c r="BW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  <c r="BA457" s="5" t="n"/>
      <c r="BB457" s="5" t="n"/>
      <c r="BC457" s="5" t="n"/>
      <c r="BD457" s="5" t="n"/>
      <c r="BE457" s="5" t="n"/>
      <c r="BF457" s="5" t="n"/>
      <c r="BG457" s="5" t="n"/>
      <c r="BH457" s="5" t="n"/>
      <c r="BI457" s="5" t="n"/>
      <c r="BJ457" s="5" t="n"/>
      <c r="BK457" s="5" t="n"/>
      <c r="BL457" s="5" t="n"/>
      <c r="BM457" s="5" t="n"/>
      <c r="BN457" s="5" t="n"/>
      <c r="BO457" s="5" t="n"/>
      <c r="BP457" s="5" t="n"/>
      <c r="BQ457" s="5" t="n"/>
      <c r="BR457" s="5" t="n"/>
      <c r="BS457" s="5" t="n"/>
      <c r="BT457" s="5" t="n"/>
      <c r="BU457" s="5" t="n"/>
      <c r="BV457" s="5" t="n"/>
      <c r="BW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  <c r="AY458" s="5" t="n"/>
      <c r="AZ458" s="5" t="n"/>
      <c r="BA458" s="5" t="n"/>
      <c r="BB458" s="5" t="n"/>
      <c r="BC458" s="5" t="n"/>
      <c r="BD458" s="5" t="n"/>
      <c r="BE458" s="5" t="n"/>
      <c r="BF458" s="5" t="n"/>
      <c r="BG458" s="5" t="n"/>
      <c r="BH458" s="5" t="n"/>
      <c r="BI458" s="5" t="n"/>
      <c r="BJ458" s="5" t="n"/>
      <c r="BK458" s="5" t="n"/>
      <c r="BL458" s="5" t="n"/>
      <c r="BM458" s="5" t="n"/>
      <c r="BN458" s="5" t="n"/>
      <c r="BO458" s="5" t="n"/>
      <c r="BP458" s="5" t="n"/>
      <c r="BQ458" s="5" t="n"/>
      <c r="BR458" s="5" t="n"/>
      <c r="BS458" s="5" t="n"/>
      <c r="BT458" s="5" t="n"/>
      <c r="BU458" s="5" t="n"/>
      <c r="BV458" s="5" t="n"/>
      <c r="BW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  <c r="BA459" s="5" t="n"/>
      <c r="BB459" s="5" t="n"/>
      <c r="BC459" s="5" t="n"/>
      <c r="BD459" s="5" t="n"/>
      <c r="BE459" s="5" t="n"/>
      <c r="BF459" s="5" t="n"/>
      <c r="BG459" s="5" t="n"/>
      <c r="BH459" s="5" t="n"/>
      <c r="BI459" s="5" t="n"/>
      <c r="BJ459" s="5" t="n"/>
      <c r="BK459" s="5" t="n"/>
      <c r="BL459" s="5" t="n"/>
      <c r="BM459" s="5" t="n"/>
      <c r="BN459" s="5" t="n"/>
      <c r="BO459" s="5" t="n"/>
      <c r="BP459" s="5" t="n"/>
      <c r="BQ459" s="5" t="n"/>
      <c r="BR459" s="5" t="n"/>
      <c r="BS459" s="5" t="n"/>
      <c r="BT459" s="5" t="n"/>
      <c r="BU459" s="5" t="n"/>
      <c r="BV459" s="5" t="n"/>
      <c r="BW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  <c r="BA460" s="5" t="n"/>
      <c r="BB460" s="5" t="n"/>
      <c r="BC460" s="5" t="n"/>
      <c r="BD460" s="5" t="n"/>
      <c r="BE460" s="5" t="n"/>
      <c r="BF460" s="5" t="n"/>
      <c r="BG460" s="5" t="n"/>
      <c r="BH460" s="5" t="n"/>
      <c r="BI460" s="5" t="n"/>
      <c r="BJ460" s="5" t="n"/>
      <c r="BK460" s="5" t="n"/>
      <c r="BL460" s="5" t="n"/>
      <c r="BM460" s="5" t="n"/>
      <c r="BN460" s="5" t="n"/>
      <c r="BO460" s="5" t="n"/>
      <c r="BP460" s="5" t="n"/>
      <c r="BQ460" s="5" t="n"/>
      <c r="BR460" s="5" t="n"/>
      <c r="BS460" s="5" t="n"/>
      <c r="BT460" s="5" t="n"/>
      <c r="BU460" s="5" t="n"/>
      <c r="BV460" s="5" t="n"/>
      <c r="BW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  <c r="BA461" s="5" t="n"/>
      <c r="BB461" s="5" t="n"/>
      <c r="BC461" s="5" t="n"/>
      <c r="BD461" s="5" t="n"/>
      <c r="BE461" s="5" t="n"/>
      <c r="BF461" s="5" t="n"/>
      <c r="BG461" s="5" t="n"/>
      <c r="BH461" s="5" t="n"/>
      <c r="BI461" s="5" t="n"/>
      <c r="BJ461" s="5" t="n"/>
      <c r="BK461" s="5" t="n"/>
      <c r="BL461" s="5" t="n"/>
      <c r="BM461" s="5" t="n"/>
      <c r="BN461" s="5" t="n"/>
      <c r="BO461" s="5" t="n"/>
      <c r="BP461" s="5" t="n"/>
      <c r="BQ461" s="5" t="n"/>
      <c r="BR461" s="5" t="n"/>
      <c r="BS461" s="5" t="n"/>
      <c r="BT461" s="5" t="n"/>
      <c r="BU461" s="5" t="n"/>
      <c r="BV461" s="5" t="n"/>
      <c r="BW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  <c r="AY462" s="5" t="n"/>
      <c r="AZ462" s="5" t="n"/>
      <c r="BA462" s="5" t="n"/>
      <c r="BB462" s="5" t="n"/>
      <c r="BC462" s="5" t="n"/>
      <c r="BD462" s="5" t="n"/>
      <c r="BE462" s="5" t="n"/>
      <c r="BF462" s="5" t="n"/>
      <c r="BG462" s="5" t="n"/>
      <c r="BH462" s="5" t="n"/>
      <c r="BI462" s="5" t="n"/>
      <c r="BJ462" s="5" t="n"/>
      <c r="BK462" s="5" t="n"/>
      <c r="BL462" s="5" t="n"/>
      <c r="BM462" s="5" t="n"/>
      <c r="BN462" s="5" t="n"/>
      <c r="BO462" s="5" t="n"/>
      <c r="BP462" s="5" t="n"/>
      <c r="BQ462" s="5" t="n"/>
      <c r="BR462" s="5" t="n"/>
      <c r="BS462" s="5" t="n"/>
      <c r="BT462" s="5" t="n"/>
      <c r="BU462" s="5" t="n"/>
      <c r="BV462" s="5" t="n"/>
      <c r="BW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  <c r="BG463" s="5" t="n"/>
      <c r="BH463" s="5" t="n"/>
      <c r="BI463" s="5" t="n"/>
      <c r="BJ463" s="5" t="n"/>
      <c r="BK463" s="5" t="n"/>
      <c r="BL463" s="5" t="n"/>
      <c r="BM463" s="5" t="n"/>
      <c r="BN463" s="5" t="n"/>
      <c r="BO463" s="5" t="n"/>
      <c r="BP463" s="5" t="n"/>
      <c r="BQ463" s="5" t="n"/>
      <c r="BR463" s="5" t="n"/>
      <c r="BS463" s="5" t="n"/>
      <c r="BT463" s="5" t="n"/>
      <c r="BU463" s="5" t="n"/>
      <c r="BV463" s="5" t="n"/>
      <c r="BW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  <c r="AY464" s="5" t="n"/>
      <c r="AZ464" s="5" t="n"/>
      <c r="BA464" s="5" t="n"/>
      <c r="BB464" s="5" t="n"/>
      <c r="BC464" s="5" t="n"/>
      <c r="BD464" s="5" t="n"/>
      <c r="BE464" s="5" t="n"/>
      <c r="BF464" s="5" t="n"/>
      <c r="BG464" s="5" t="n"/>
      <c r="BH464" s="5" t="n"/>
      <c r="BI464" s="5" t="n"/>
      <c r="BJ464" s="5" t="n"/>
      <c r="BK464" s="5" t="n"/>
      <c r="BL464" s="5" t="n"/>
      <c r="BM464" s="5" t="n"/>
      <c r="BN464" s="5" t="n"/>
      <c r="BO464" s="5" t="n"/>
      <c r="BP464" s="5" t="n"/>
      <c r="BQ464" s="5" t="n"/>
      <c r="BR464" s="5" t="n"/>
      <c r="BS464" s="5" t="n"/>
      <c r="BT464" s="5" t="n"/>
      <c r="BU464" s="5" t="n"/>
      <c r="BV464" s="5" t="n"/>
      <c r="BW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  <c r="BG465" s="5" t="n"/>
      <c r="BH465" s="5" t="n"/>
      <c r="BI465" s="5" t="n"/>
      <c r="BJ465" s="5" t="n"/>
      <c r="BK465" s="5" t="n"/>
      <c r="BL465" s="5" t="n"/>
      <c r="BM465" s="5" t="n"/>
      <c r="BN465" s="5" t="n"/>
      <c r="BO465" s="5" t="n"/>
      <c r="BP465" s="5" t="n"/>
      <c r="BQ465" s="5" t="n"/>
      <c r="BR465" s="5" t="n"/>
      <c r="BS465" s="5" t="n"/>
      <c r="BT465" s="5" t="n"/>
      <c r="BU465" s="5" t="n"/>
      <c r="BV465" s="5" t="n"/>
      <c r="BW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  <c r="BG466" s="5" t="n"/>
      <c r="BH466" s="5" t="n"/>
      <c r="BI466" s="5" t="n"/>
      <c r="BJ466" s="5" t="n"/>
      <c r="BK466" s="5" t="n"/>
      <c r="BL466" s="5" t="n"/>
      <c r="BM466" s="5" t="n"/>
      <c r="BN466" s="5" t="n"/>
      <c r="BO466" s="5" t="n"/>
      <c r="BP466" s="5" t="n"/>
      <c r="BQ466" s="5" t="n"/>
      <c r="BR466" s="5" t="n"/>
      <c r="BS466" s="5" t="n"/>
      <c r="BT466" s="5" t="n"/>
      <c r="BU466" s="5" t="n"/>
      <c r="BV466" s="5" t="n"/>
      <c r="BW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/>
      <c r="BJ467" s="5" t="n"/>
      <c r="BK467" s="5" t="n"/>
      <c r="BL467" s="5" t="n"/>
      <c r="BM467" s="5" t="n"/>
      <c r="BN467" s="5" t="n"/>
      <c r="BO467" s="5" t="n"/>
      <c r="BP467" s="5" t="n"/>
      <c r="BQ467" s="5" t="n"/>
      <c r="BR467" s="5" t="n"/>
      <c r="BS467" s="5" t="n"/>
      <c r="BT467" s="5" t="n"/>
      <c r="BU467" s="5" t="n"/>
      <c r="BV467" s="5" t="n"/>
      <c r="BW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  <c r="AY468" s="5" t="n"/>
      <c r="AZ468" s="5" t="n"/>
      <c r="BA468" s="5" t="n"/>
      <c r="BB468" s="5" t="n"/>
      <c r="BC468" s="5" t="n"/>
      <c r="BD468" s="5" t="n"/>
      <c r="BE468" s="5" t="n"/>
      <c r="BF468" s="5" t="n"/>
      <c r="BG468" s="5" t="n"/>
      <c r="BH468" s="5" t="n"/>
      <c r="BI468" s="5" t="n"/>
      <c r="BJ468" s="5" t="n"/>
      <c r="BK468" s="5" t="n"/>
      <c r="BL468" s="5" t="n"/>
      <c r="BM468" s="5" t="n"/>
      <c r="BN468" s="5" t="n"/>
      <c r="BO468" s="5" t="n"/>
      <c r="BP468" s="5" t="n"/>
      <c r="BQ468" s="5" t="n"/>
      <c r="BR468" s="5" t="n"/>
      <c r="BS468" s="5" t="n"/>
      <c r="BT468" s="5" t="n"/>
      <c r="BU468" s="5" t="n"/>
      <c r="BV468" s="5" t="n"/>
      <c r="BW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  <c r="AY469" s="5" t="n"/>
      <c r="AZ469" s="5" t="n"/>
      <c r="BA469" s="5" t="n"/>
      <c r="BB469" s="5" t="n"/>
      <c r="BC469" s="5" t="n"/>
      <c r="BD469" s="5" t="n"/>
      <c r="BE469" s="5" t="n"/>
      <c r="BF469" s="5" t="n"/>
      <c r="BG469" s="5" t="n"/>
      <c r="BH469" s="5" t="n"/>
      <c r="BI469" s="5" t="n"/>
      <c r="BJ469" s="5" t="n"/>
      <c r="BK469" s="5" t="n"/>
      <c r="BL469" s="5" t="n"/>
      <c r="BM469" s="5" t="n"/>
      <c r="BN469" s="5" t="n"/>
      <c r="BO469" s="5" t="n"/>
      <c r="BP469" s="5" t="n"/>
      <c r="BQ469" s="5" t="n"/>
      <c r="BR469" s="5" t="n"/>
      <c r="BS469" s="5" t="n"/>
      <c r="BT469" s="5" t="n"/>
      <c r="BU469" s="5" t="n"/>
      <c r="BV469" s="5" t="n"/>
      <c r="BW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  <c r="AY470" s="5" t="n"/>
      <c r="AZ470" s="5" t="n"/>
      <c r="BA470" s="5" t="n"/>
      <c r="BB470" s="5" t="n"/>
      <c r="BC470" s="5" t="n"/>
      <c r="BD470" s="5" t="n"/>
      <c r="BE470" s="5" t="n"/>
      <c r="BF470" s="5" t="n"/>
      <c r="BG470" s="5" t="n"/>
      <c r="BH470" s="5" t="n"/>
      <c r="BI470" s="5" t="n"/>
      <c r="BJ470" s="5" t="n"/>
      <c r="BK470" s="5" t="n"/>
      <c r="BL470" s="5" t="n"/>
      <c r="BM470" s="5" t="n"/>
      <c r="BN470" s="5" t="n"/>
      <c r="BO470" s="5" t="n"/>
      <c r="BP470" s="5" t="n"/>
      <c r="BQ470" s="5" t="n"/>
      <c r="BR470" s="5" t="n"/>
      <c r="BS470" s="5" t="n"/>
      <c r="BT470" s="5" t="n"/>
      <c r="BU470" s="5" t="n"/>
      <c r="BV470" s="5" t="n"/>
      <c r="BW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  <c r="BG471" s="5" t="n"/>
      <c r="BH471" s="5" t="n"/>
      <c r="BI471" s="5" t="n"/>
      <c r="BJ471" s="5" t="n"/>
      <c r="BK471" s="5" t="n"/>
      <c r="BL471" s="5" t="n"/>
      <c r="BM471" s="5" t="n"/>
      <c r="BN471" s="5" t="n"/>
      <c r="BO471" s="5" t="n"/>
      <c r="BP471" s="5" t="n"/>
      <c r="BQ471" s="5" t="n"/>
      <c r="BR471" s="5" t="n"/>
      <c r="BS471" s="5" t="n"/>
      <c r="BT471" s="5" t="n"/>
      <c r="BU471" s="5" t="n"/>
      <c r="BV471" s="5" t="n"/>
      <c r="BW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  <c r="AY472" s="5" t="n"/>
      <c r="AZ472" s="5" t="n"/>
      <c r="BA472" s="5" t="n"/>
      <c r="BB472" s="5" t="n"/>
      <c r="BC472" s="5" t="n"/>
      <c r="BD472" s="5" t="n"/>
      <c r="BE472" s="5" t="n"/>
      <c r="BF472" s="5" t="n"/>
      <c r="BG472" s="5" t="n"/>
      <c r="BH472" s="5" t="n"/>
      <c r="BI472" s="5" t="n"/>
      <c r="BJ472" s="5" t="n"/>
      <c r="BK472" s="5" t="n"/>
      <c r="BL472" s="5" t="n"/>
      <c r="BM472" s="5" t="n"/>
      <c r="BN472" s="5" t="n"/>
      <c r="BO472" s="5" t="n"/>
      <c r="BP472" s="5" t="n"/>
      <c r="BQ472" s="5" t="n"/>
      <c r="BR472" s="5" t="n"/>
      <c r="BS472" s="5" t="n"/>
      <c r="BT472" s="5" t="n"/>
      <c r="BU472" s="5" t="n"/>
      <c r="BV472" s="5" t="n"/>
      <c r="BW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  <c r="AY473" s="5" t="n"/>
      <c r="AZ473" s="5" t="n"/>
      <c r="BA473" s="5" t="n"/>
      <c r="BB473" s="5" t="n"/>
      <c r="BC473" s="5" t="n"/>
      <c r="BD473" s="5" t="n"/>
      <c r="BE473" s="5" t="n"/>
      <c r="BF473" s="5" t="n"/>
      <c r="BG473" s="5" t="n"/>
      <c r="BH473" s="5" t="n"/>
      <c r="BI473" s="5" t="n"/>
      <c r="BJ473" s="5" t="n"/>
      <c r="BK473" s="5" t="n"/>
      <c r="BL473" s="5" t="n"/>
      <c r="BM473" s="5" t="n"/>
      <c r="BN473" s="5" t="n"/>
      <c r="BO473" s="5" t="n"/>
      <c r="BP473" s="5" t="n"/>
      <c r="BQ473" s="5" t="n"/>
      <c r="BR473" s="5" t="n"/>
      <c r="BS473" s="5" t="n"/>
      <c r="BT473" s="5" t="n"/>
      <c r="BU473" s="5" t="n"/>
      <c r="BV473" s="5" t="n"/>
      <c r="BW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  <c r="AY474" s="5" t="n"/>
      <c r="AZ474" s="5" t="n"/>
      <c r="BA474" s="5" t="n"/>
      <c r="BB474" s="5" t="n"/>
      <c r="BC474" s="5" t="n"/>
      <c r="BD474" s="5" t="n"/>
      <c r="BE474" s="5" t="n"/>
      <c r="BF474" s="5" t="n"/>
      <c r="BG474" s="5" t="n"/>
      <c r="BH474" s="5" t="n"/>
      <c r="BI474" s="5" t="n"/>
      <c r="BJ474" s="5" t="n"/>
      <c r="BK474" s="5" t="n"/>
      <c r="BL474" s="5" t="n"/>
      <c r="BM474" s="5" t="n"/>
      <c r="BN474" s="5" t="n"/>
      <c r="BO474" s="5" t="n"/>
      <c r="BP474" s="5" t="n"/>
      <c r="BQ474" s="5" t="n"/>
      <c r="BR474" s="5" t="n"/>
      <c r="BS474" s="5" t="n"/>
      <c r="BT474" s="5" t="n"/>
      <c r="BU474" s="5" t="n"/>
      <c r="BV474" s="5" t="n"/>
      <c r="BW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  <c r="AY475" s="5" t="n"/>
      <c r="AZ475" s="5" t="n"/>
      <c r="BA475" s="5" t="n"/>
      <c r="BB475" s="5" t="n"/>
      <c r="BC475" s="5" t="n"/>
      <c r="BD475" s="5" t="n"/>
      <c r="BE475" s="5" t="n"/>
      <c r="BF475" s="5" t="n"/>
      <c r="BG475" s="5" t="n"/>
      <c r="BH475" s="5" t="n"/>
      <c r="BI475" s="5" t="n"/>
      <c r="BJ475" s="5" t="n"/>
      <c r="BK475" s="5" t="n"/>
      <c r="BL475" s="5" t="n"/>
      <c r="BM475" s="5" t="n"/>
      <c r="BN475" s="5" t="n"/>
      <c r="BO475" s="5" t="n"/>
      <c r="BP475" s="5" t="n"/>
      <c r="BQ475" s="5" t="n"/>
      <c r="BR475" s="5" t="n"/>
      <c r="BS475" s="5" t="n"/>
      <c r="BT475" s="5" t="n"/>
      <c r="BU475" s="5" t="n"/>
      <c r="BV475" s="5" t="n"/>
      <c r="BW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  <c r="AY476" s="5" t="n"/>
      <c r="AZ476" s="5" t="n"/>
      <c r="BA476" s="5" t="n"/>
      <c r="BB476" s="5" t="n"/>
      <c r="BC476" s="5" t="n"/>
      <c r="BD476" s="5" t="n"/>
      <c r="BE476" s="5" t="n"/>
      <c r="BF476" s="5" t="n"/>
      <c r="BG476" s="5" t="n"/>
      <c r="BH476" s="5" t="n"/>
      <c r="BI476" s="5" t="n"/>
      <c r="BJ476" s="5" t="n"/>
      <c r="BK476" s="5" t="n"/>
      <c r="BL476" s="5" t="n"/>
      <c r="BM476" s="5" t="n"/>
      <c r="BN476" s="5" t="n"/>
      <c r="BO476" s="5" t="n"/>
      <c r="BP476" s="5" t="n"/>
      <c r="BQ476" s="5" t="n"/>
      <c r="BR476" s="5" t="n"/>
      <c r="BS476" s="5" t="n"/>
      <c r="BT476" s="5" t="n"/>
      <c r="BU476" s="5" t="n"/>
      <c r="BV476" s="5" t="n"/>
      <c r="BW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  <c r="AY477" s="5" t="n"/>
      <c r="AZ477" s="5" t="n"/>
      <c r="BA477" s="5" t="n"/>
      <c r="BB477" s="5" t="n"/>
      <c r="BC477" s="5" t="n"/>
      <c r="BD477" s="5" t="n"/>
      <c r="BE477" s="5" t="n"/>
      <c r="BF477" s="5" t="n"/>
      <c r="BG477" s="5" t="n"/>
      <c r="BH477" s="5" t="n"/>
      <c r="BI477" s="5" t="n"/>
      <c r="BJ477" s="5" t="n"/>
      <c r="BK477" s="5" t="n"/>
      <c r="BL477" s="5" t="n"/>
      <c r="BM477" s="5" t="n"/>
      <c r="BN477" s="5" t="n"/>
      <c r="BO477" s="5" t="n"/>
      <c r="BP477" s="5" t="n"/>
      <c r="BQ477" s="5" t="n"/>
      <c r="BR477" s="5" t="n"/>
      <c r="BS477" s="5" t="n"/>
      <c r="BT477" s="5" t="n"/>
      <c r="BU477" s="5" t="n"/>
      <c r="BV477" s="5" t="n"/>
      <c r="BW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  <c r="AY478" s="5" t="n"/>
      <c r="AZ478" s="5" t="n"/>
      <c r="BA478" s="5" t="n"/>
      <c r="BB478" s="5" t="n"/>
      <c r="BC478" s="5" t="n"/>
      <c r="BD478" s="5" t="n"/>
      <c r="BE478" s="5" t="n"/>
      <c r="BF478" s="5" t="n"/>
      <c r="BG478" s="5" t="n"/>
      <c r="BH478" s="5" t="n"/>
      <c r="BI478" s="5" t="n"/>
      <c r="BJ478" s="5" t="n"/>
      <c r="BK478" s="5" t="n"/>
      <c r="BL478" s="5" t="n"/>
      <c r="BM478" s="5" t="n"/>
      <c r="BN478" s="5" t="n"/>
      <c r="BO478" s="5" t="n"/>
      <c r="BP478" s="5" t="n"/>
      <c r="BQ478" s="5" t="n"/>
      <c r="BR478" s="5" t="n"/>
      <c r="BS478" s="5" t="n"/>
      <c r="BT478" s="5" t="n"/>
      <c r="BU478" s="5" t="n"/>
      <c r="BV478" s="5" t="n"/>
      <c r="BW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  <c r="BN479" s="5" t="n"/>
      <c r="BO479" s="5" t="n"/>
      <c r="BP479" s="5" t="n"/>
      <c r="BQ479" s="5" t="n"/>
      <c r="BR479" s="5" t="n"/>
      <c r="BS479" s="5" t="n"/>
      <c r="BT479" s="5" t="n"/>
      <c r="BU479" s="5" t="n"/>
      <c r="BV479" s="5" t="n"/>
      <c r="BW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  <c r="AY480" s="5" t="n"/>
      <c r="AZ480" s="5" t="n"/>
      <c r="BA480" s="5" t="n"/>
      <c r="BB480" s="5" t="n"/>
      <c r="BC480" s="5" t="n"/>
      <c r="BD480" s="5" t="n"/>
      <c r="BE480" s="5" t="n"/>
      <c r="BF480" s="5" t="n"/>
      <c r="BG480" s="5" t="n"/>
      <c r="BH480" s="5" t="n"/>
      <c r="BI480" s="5" t="n"/>
      <c r="BJ480" s="5" t="n"/>
      <c r="BK480" s="5" t="n"/>
      <c r="BL480" s="5" t="n"/>
      <c r="BM480" s="5" t="n"/>
      <c r="BN480" s="5" t="n"/>
      <c r="BO480" s="5" t="n"/>
      <c r="BP480" s="5" t="n"/>
      <c r="BQ480" s="5" t="n"/>
      <c r="BR480" s="5" t="n"/>
      <c r="BS480" s="5" t="n"/>
      <c r="BT480" s="5" t="n"/>
      <c r="BU480" s="5" t="n"/>
      <c r="BV480" s="5" t="n"/>
      <c r="BW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  <c r="BG481" s="5" t="n"/>
      <c r="BH481" s="5" t="n"/>
      <c r="BI481" s="5" t="n"/>
      <c r="BJ481" s="5" t="n"/>
      <c r="BK481" s="5" t="n"/>
      <c r="BL481" s="5" t="n"/>
      <c r="BM481" s="5" t="n"/>
      <c r="BN481" s="5" t="n"/>
      <c r="BO481" s="5" t="n"/>
      <c r="BP481" s="5" t="n"/>
      <c r="BQ481" s="5" t="n"/>
      <c r="BR481" s="5" t="n"/>
      <c r="BS481" s="5" t="n"/>
      <c r="BT481" s="5" t="n"/>
      <c r="BU481" s="5" t="n"/>
      <c r="BV481" s="5" t="n"/>
      <c r="BW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  <c r="AY482" s="5" t="n"/>
      <c r="AZ482" s="5" t="n"/>
      <c r="BA482" s="5" t="n"/>
      <c r="BB482" s="5" t="n"/>
      <c r="BC482" s="5" t="n"/>
      <c r="BD482" s="5" t="n"/>
      <c r="BE482" s="5" t="n"/>
      <c r="BF482" s="5" t="n"/>
      <c r="BG482" s="5" t="n"/>
      <c r="BH482" s="5" t="n"/>
      <c r="BI482" s="5" t="n"/>
      <c r="BJ482" s="5" t="n"/>
      <c r="BK482" s="5" t="n"/>
      <c r="BL482" s="5" t="n"/>
      <c r="BM482" s="5" t="n"/>
      <c r="BN482" s="5" t="n"/>
      <c r="BO482" s="5" t="n"/>
      <c r="BP482" s="5" t="n"/>
      <c r="BQ482" s="5" t="n"/>
      <c r="BR482" s="5" t="n"/>
      <c r="BS482" s="5" t="n"/>
      <c r="BT482" s="5" t="n"/>
      <c r="BU482" s="5" t="n"/>
      <c r="BV482" s="5" t="n"/>
      <c r="BW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  <c r="BG483" s="5" t="n"/>
      <c r="BH483" s="5" t="n"/>
      <c r="BI483" s="5" t="n"/>
      <c r="BJ483" s="5" t="n"/>
      <c r="BK483" s="5" t="n"/>
      <c r="BL483" s="5" t="n"/>
      <c r="BM483" s="5" t="n"/>
      <c r="BN483" s="5" t="n"/>
      <c r="BO483" s="5" t="n"/>
      <c r="BP483" s="5" t="n"/>
      <c r="BQ483" s="5" t="n"/>
      <c r="BR483" s="5" t="n"/>
      <c r="BS483" s="5" t="n"/>
      <c r="BT483" s="5" t="n"/>
      <c r="BU483" s="5" t="n"/>
      <c r="BV483" s="5" t="n"/>
      <c r="BW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  <c r="AY484" s="5" t="n"/>
      <c r="AZ484" s="5" t="n"/>
      <c r="BA484" s="5" t="n"/>
      <c r="BB484" s="5" t="n"/>
      <c r="BC484" s="5" t="n"/>
      <c r="BD484" s="5" t="n"/>
      <c r="BE484" s="5" t="n"/>
      <c r="BF484" s="5" t="n"/>
      <c r="BG484" s="5" t="n"/>
      <c r="BH484" s="5" t="n"/>
      <c r="BI484" s="5" t="n"/>
      <c r="BJ484" s="5" t="n"/>
      <c r="BK484" s="5" t="n"/>
      <c r="BL484" s="5" t="n"/>
      <c r="BM484" s="5" t="n"/>
      <c r="BN484" s="5" t="n"/>
      <c r="BO484" s="5" t="n"/>
      <c r="BP484" s="5" t="n"/>
      <c r="BQ484" s="5" t="n"/>
      <c r="BR484" s="5" t="n"/>
      <c r="BS484" s="5" t="n"/>
      <c r="BT484" s="5" t="n"/>
      <c r="BU484" s="5" t="n"/>
      <c r="BV484" s="5" t="n"/>
      <c r="BW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/>
      <c r="BJ485" s="5" t="n"/>
      <c r="BK485" s="5" t="n"/>
      <c r="BL485" s="5" t="n"/>
      <c r="BM485" s="5" t="n"/>
      <c r="BN485" s="5" t="n"/>
      <c r="BO485" s="5" t="n"/>
      <c r="BP485" s="5" t="n"/>
      <c r="BQ485" s="5" t="n"/>
      <c r="BR485" s="5" t="n"/>
      <c r="BS485" s="5" t="n"/>
      <c r="BT485" s="5" t="n"/>
      <c r="BU485" s="5" t="n"/>
      <c r="BV485" s="5" t="n"/>
      <c r="BW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  <c r="AY486" s="5" t="n"/>
      <c r="AZ486" s="5" t="n"/>
      <c r="BA486" s="5" t="n"/>
      <c r="BB486" s="5" t="n"/>
      <c r="BC486" s="5" t="n"/>
      <c r="BD486" s="5" t="n"/>
      <c r="BE486" s="5" t="n"/>
      <c r="BF486" s="5" t="n"/>
      <c r="BG486" s="5" t="n"/>
      <c r="BH486" s="5" t="n"/>
      <c r="BI486" s="5" t="n"/>
      <c r="BJ486" s="5" t="n"/>
      <c r="BK486" s="5" t="n"/>
      <c r="BL486" s="5" t="n"/>
      <c r="BM486" s="5" t="n"/>
      <c r="BN486" s="5" t="n"/>
      <c r="BO486" s="5" t="n"/>
      <c r="BP486" s="5" t="n"/>
      <c r="BQ486" s="5" t="n"/>
      <c r="BR486" s="5" t="n"/>
      <c r="BS486" s="5" t="n"/>
      <c r="BT486" s="5" t="n"/>
      <c r="BU486" s="5" t="n"/>
      <c r="BV486" s="5" t="n"/>
      <c r="BW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/>
      <c r="BJ487" s="5" t="n"/>
      <c r="BK487" s="5" t="n"/>
      <c r="BL487" s="5" t="n"/>
      <c r="BM487" s="5" t="n"/>
      <c r="BN487" s="5" t="n"/>
      <c r="BO487" s="5" t="n"/>
      <c r="BP487" s="5" t="n"/>
      <c r="BQ487" s="5" t="n"/>
      <c r="BR487" s="5" t="n"/>
      <c r="BS487" s="5" t="n"/>
      <c r="BT487" s="5" t="n"/>
      <c r="BU487" s="5" t="n"/>
      <c r="BV487" s="5" t="n"/>
      <c r="BW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  <c r="BG488" s="5" t="n"/>
      <c r="BH488" s="5" t="n"/>
      <c r="BI488" s="5" t="n"/>
      <c r="BJ488" s="5" t="n"/>
      <c r="BK488" s="5" t="n"/>
      <c r="BL488" s="5" t="n"/>
      <c r="BM488" s="5" t="n"/>
      <c r="BN488" s="5" t="n"/>
      <c r="BO488" s="5" t="n"/>
      <c r="BP488" s="5" t="n"/>
      <c r="BQ488" s="5" t="n"/>
      <c r="BR488" s="5" t="n"/>
      <c r="BS488" s="5" t="n"/>
      <c r="BT488" s="5" t="n"/>
      <c r="BU488" s="5" t="n"/>
      <c r="BV488" s="5" t="n"/>
      <c r="BW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  <c r="BG489" s="5" t="n"/>
      <c r="BH489" s="5" t="n"/>
      <c r="BI489" s="5" t="n"/>
      <c r="BJ489" s="5" t="n"/>
      <c r="BK489" s="5" t="n"/>
      <c r="BL489" s="5" t="n"/>
      <c r="BM489" s="5" t="n"/>
      <c r="BN489" s="5" t="n"/>
      <c r="BO489" s="5" t="n"/>
      <c r="BP489" s="5" t="n"/>
      <c r="BQ489" s="5" t="n"/>
      <c r="BR489" s="5" t="n"/>
      <c r="BS489" s="5" t="n"/>
      <c r="BT489" s="5" t="n"/>
      <c r="BU489" s="5" t="n"/>
      <c r="BV489" s="5" t="n"/>
      <c r="BW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  <c r="AY490" s="5" t="n"/>
      <c r="AZ490" s="5" t="n"/>
      <c r="BA490" s="5" t="n"/>
      <c r="BB490" s="5" t="n"/>
      <c r="BC490" s="5" t="n"/>
      <c r="BD490" s="5" t="n"/>
      <c r="BE490" s="5" t="n"/>
      <c r="BF490" s="5" t="n"/>
      <c r="BG490" s="5" t="n"/>
      <c r="BH490" s="5" t="n"/>
      <c r="BI490" s="5" t="n"/>
      <c r="BJ490" s="5" t="n"/>
      <c r="BK490" s="5" t="n"/>
      <c r="BL490" s="5" t="n"/>
      <c r="BM490" s="5" t="n"/>
      <c r="BN490" s="5" t="n"/>
      <c r="BO490" s="5" t="n"/>
      <c r="BP490" s="5" t="n"/>
      <c r="BQ490" s="5" t="n"/>
      <c r="BR490" s="5" t="n"/>
      <c r="BS490" s="5" t="n"/>
      <c r="BT490" s="5" t="n"/>
      <c r="BU490" s="5" t="n"/>
      <c r="BV490" s="5" t="n"/>
      <c r="BW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/>
      <c r="BJ491" s="5" t="n"/>
      <c r="BK491" s="5" t="n"/>
      <c r="BL491" s="5" t="n"/>
      <c r="BM491" s="5" t="n"/>
      <c r="BN491" s="5" t="n"/>
      <c r="BO491" s="5" t="n"/>
      <c r="BP491" s="5" t="n"/>
      <c r="BQ491" s="5" t="n"/>
      <c r="BR491" s="5" t="n"/>
      <c r="BS491" s="5" t="n"/>
      <c r="BT491" s="5" t="n"/>
      <c r="BU491" s="5" t="n"/>
      <c r="BV491" s="5" t="n"/>
      <c r="BW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  <c r="BG492" s="5" t="n"/>
      <c r="BH492" s="5" t="n"/>
      <c r="BI492" s="5" t="n"/>
      <c r="BJ492" s="5" t="n"/>
      <c r="BK492" s="5" t="n"/>
      <c r="BL492" s="5" t="n"/>
      <c r="BM492" s="5" t="n"/>
      <c r="BN492" s="5" t="n"/>
      <c r="BO492" s="5" t="n"/>
      <c r="BP492" s="5" t="n"/>
      <c r="BQ492" s="5" t="n"/>
      <c r="BR492" s="5" t="n"/>
      <c r="BS492" s="5" t="n"/>
      <c r="BT492" s="5" t="n"/>
      <c r="BU492" s="5" t="n"/>
      <c r="BV492" s="5" t="n"/>
      <c r="BW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  <c r="BG493" s="5" t="n"/>
      <c r="BH493" s="5" t="n"/>
      <c r="BI493" s="5" t="n"/>
      <c r="BJ493" s="5" t="n"/>
      <c r="BK493" s="5" t="n"/>
      <c r="BL493" s="5" t="n"/>
      <c r="BM493" s="5" t="n"/>
      <c r="BN493" s="5" t="n"/>
      <c r="BO493" s="5" t="n"/>
      <c r="BP493" s="5" t="n"/>
      <c r="BQ493" s="5" t="n"/>
      <c r="BR493" s="5" t="n"/>
      <c r="BS493" s="5" t="n"/>
      <c r="BT493" s="5" t="n"/>
      <c r="BU493" s="5" t="n"/>
      <c r="BV493" s="5" t="n"/>
      <c r="BW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  <c r="AY494" s="5" t="n"/>
      <c r="AZ494" s="5" t="n"/>
      <c r="BA494" s="5" t="n"/>
      <c r="BB494" s="5" t="n"/>
      <c r="BC494" s="5" t="n"/>
      <c r="BD494" s="5" t="n"/>
      <c r="BE494" s="5" t="n"/>
      <c r="BF494" s="5" t="n"/>
      <c r="BG494" s="5" t="n"/>
      <c r="BH494" s="5" t="n"/>
      <c r="BI494" s="5" t="n"/>
      <c r="BJ494" s="5" t="n"/>
      <c r="BK494" s="5" t="n"/>
      <c r="BL494" s="5" t="n"/>
      <c r="BM494" s="5" t="n"/>
      <c r="BN494" s="5" t="n"/>
      <c r="BO494" s="5" t="n"/>
      <c r="BP494" s="5" t="n"/>
      <c r="BQ494" s="5" t="n"/>
      <c r="BR494" s="5" t="n"/>
      <c r="BS494" s="5" t="n"/>
      <c r="BT494" s="5" t="n"/>
      <c r="BU494" s="5" t="n"/>
      <c r="BV494" s="5" t="n"/>
      <c r="BW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/>
      <c r="BJ495" s="5" t="n"/>
      <c r="BK495" s="5" t="n"/>
      <c r="BL495" s="5" t="n"/>
      <c r="BM495" s="5" t="n"/>
      <c r="BN495" s="5" t="n"/>
      <c r="BO495" s="5" t="n"/>
      <c r="BP495" s="5" t="n"/>
      <c r="BQ495" s="5" t="n"/>
      <c r="BR495" s="5" t="n"/>
      <c r="BS495" s="5" t="n"/>
      <c r="BT495" s="5" t="n"/>
      <c r="BU495" s="5" t="n"/>
      <c r="BV495" s="5" t="n"/>
      <c r="BW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  <c r="AY496" s="5" t="n"/>
      <c r="AZ496" s="5" t="n"/>
      <c r="BA496" s="5" t="n"/>
      <c r="BB496" s="5" t="n"/>
      <c r="BC496" s="5" t="n"/>
      <c r="BD496" s="5" t="n"/>
      <c r="BE496" s="5" t="n"/>
      <c r="BF496" s="5" t="n"/>
      <c r="BG496" s="5" t="n"/>
      <c r="BH496" s="5" t="n"/>
      <c r="BI496" s="5" t="n"/>
      <c r="BJ496" s="5" t="n"/>
      <c r="BK496" s="5" t="n"/>
      <c r="BL496" s="5" t="n"/>
      <c r="BM496" s="5" t="n"/>
      <c r="BN496" s="5" t="n"/>
      <c r="BO496" s="5" t="n"/>
      <c r="BP496" s="5" t="n"/>
      <c r="BQ496" s="5" t="n"/>
      <c r="BR496" s="5" t="n"/>
      <c r="BS496" s="5" t="n"/>
      <c r="BT496" s="5" t="n"/>
      <c r="BU496" s="5" t="n"/>
      <c r="BV496" s="5" t="n"/>
      <c r="BW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  <c r="BG497" s="5" t="n"/>
      <c r="BH497" s="5" t="n"/>
      <c r="BI497" s="5" t="n"/>
      <c r="BJ497" s="5" t="n"/>
      <c r="BK497" s="5" t="n"/>
      <c r="BL497" s="5" t="n"/>
      <c r="BM497" s="5" t="n"/>
      <c r="BN497" s="5" t="n"/>
      <c r="BO497" s="5" t="n"/>
      <c r="BP497" s="5" t="n"/>
      <c r="BQ497" s="5" t="n"/>
      <c r="BR497" s="5" t="n"/>
      <c r="BS497" s="5" t="n"/>
      <c r="BT497" s="5" t="n"/>
      <c r="BU497" s="5" t="n"/>
      <c r="BV497" s="5" t="n"/>
      <c r="BW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  <c r="AY498" s="5" t="n"/>
      <c r="AZ498" s="5" t="n"/>
      <c r="BA498" s="5" t="n"/>
      <c r="BB498" s="5" t="n"/>
      <c r="BC498" s="5" t="n"/>
      <c r="BD498" s="5" t="n"/>
      <c r="BE498" s="5" t="n"/>
      <c r="BF498" s="5" t="n"/>
      <c r="BG498" s="5" t="n"/>
      <c r="BH498" s="5" t="n"/>
      <c r="BI498" s="5" t="n"/>
      <c r="BJ498" s="5" t="n"/>
      <c r="BK498" s="5" t="n"/>
      <c r="BL498" s="5" t="n"/>
      <c r="BM498" s="5" t="n"/>
      <c r="BN498" s="5" t="n"/>
      <c r="BO498" s="5" t="n"/>
      <c r="BP498" s="5" t="n"/>
      <c r="BQ498" s="5" t="n"/>
      <c r="BR498" s="5" t="n"/>
      <c r="BS498" s="5" t="n"/>
      <c r="BT498" s="5" t="n"/>
      <c r="BU498" s="5" t="n"/>
      <c r="BV498" s="5" t="n"/>
      <c r="BW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/>
      <c r="BJ499" s="5" t="n"/>
      <c r="BK499" s="5" t="n"/>
      <c r="BL499" s="5" t="n"/>
      <c r="BM499" s="5" t="n"/>
      <c r="BN499" s="5" t="n"/>
      <c r="BO499" s="5" t="n"/>
      <c r="BP499" s="5" t="n"/>
      <c r="BQ499" s="5" t="n"/>
      <c r="BR499" s="5" t="n"/>
      <c r="BS499" s="5" t="n"/>
      <c r="BT499" s="5" t="n"/>
      <c r="BU499" s="5" t="n"/>
      <c r="BV499" s="5" t="n"/>
      <c r="BW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  <c r="AY500" s="5" t="n"/>
      <c r="AZ500" s="5" t="n"/>
      <c r="BA500" s="5" t="n"/>
      <c r="BB500" s="5" t="n"/>
      <c r="BC500" s="5" t="n"/>
      <c r="BD500" s="5" t="n"/>
      <c r="BE500" s="5" t="n"/>
      <c r="BF500" s="5" t="n"/>
      <c r="BG500" s="5" t="n"/>
      <c r="BH500" s="5" t="n"/>
      <c r="BI500" s="5" t="n"/>
      <c r="BJ500" s="5" t="n"/>
      <c r="BK500" s="5" t="n"/>
      <c r="BL500" s="5" t="n"/>
      <c r="BM500" s="5" t="n"/>
      <c r="BN500" s="5" t="n"/>
      <c r="BO500" s="5" t="n"/>
      <c r="BP500" s="5" t="n"/>
      <c r="BQ500" s="5" t="n"/>
      <c r="BR500" s="5" t="n"/>
      <c r="BS500" s="5" t="n"/>
      <c r="BT500" s="5" t="n"/>
      <c r="BU500" s="5" t="n"/>
      <c r="BV500" s="5" t="n"/>
      <c r="BW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  <c r="BG501" s="5" t="n"/>
      <c r="BH501" s="5" t="n"/>
      <c r="BI501" s="5" t="n"/>
      <c r="BJ501" s="5" t="n"/>
      <c r="BK501" s="5" t="n"/>
      <c r="BL501" s="5" t="n"/>
      <c r="BM501" s="5" t="n"/>
      <c r="BN501" s="5" t="n"/>
      <c r="BO501" s="5" t="n"/>
      <c r="BP501" s="5" t="n"/>
      <c r="BQ501" s="5" t="n"/>
      <c r="BR501" s="5" t="n"/>
      <c r="BS501" s="5" t="n"/>
      <c r="BT501" s="5" t="n"/>
      <c r="BU501" s="5" t="n"/>
      <c r="BV501" s="5" t="n"/>
      <c r="BW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  <c r="AY502" s="5" t="n"/>
      <c r="AZ502" s="5" t="n"/>
      <c r="BA502" s="5" t="n"/>
      <c r="BB502" s="5" t="n"/>
      <c r="BC502" s="5" t="n"/>
      <c r="BD502" s="5" t="n"/>
      <c r="BE502" s="5" t="n"/>
      <c r="BF502" s="5" t="n"/>
      <c r="BG502" s="5" t="n"/>
      <c r="BH502" s="5" t="n"/>
      <c r="BI502" s="5" t="n"/>
      <c r="BJ502" s="5" t="n"/>
      <c r="BK502" s="5" t="n"/>
      <c r="BL502" s="5" t="n"/>
      <c r="BM502" s="5" t="n"/>
      <c r="BN502" s="5" t="n"/>
      <c r="BO502" s="5" t="n"/>
      <c r="BP502" s="5" t="n"/>
      <c r="BQ502" s="5" t="n"/>
      <c r="BR502" s="5" t="n"/>
      <c r="BS502" s="5" t="n"/>
      <c r="BT502" s="5" t="n"/>
      <c r="BU502" s="5" t="n"/>
      <c r="BV502" s="5" t="n"/>
      <c r="BW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5" t="n"/>
      <c r="BL503" s="5" t="n"/>
      <c r="BM503" s="5" t="n"/>
      <c r="BN503" s="5" t="n"/>
      <c r="BO503" s="5" t="n"/>
      <c r="BP503" s="5" t="n"/>
      <c r="BQ503" s="5" t="n"/>
      <c r="BR503" s="5" t="n"/>
      <c r="BS503" s="5" t="n"/>
      <c r="BT503" s="5" t="n"/>
      <c r="BU503" s="5" t="n"/>
      <c r="BV503" s="5" t="n"/>
      <c r="BW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/>
      <c r="BJ504" s="5" t="n"/>
      <c r="BK504" s="5" t="n"/>
      <c r="BL504" s="5" t="n"/>
      <c r="BM504" s="5" t="n"/>
      <c r="BN504" s="5" t="n"/>
      <c r="BO504" s="5" t="n"/>
      <c r="BP504" s="5" t="n"/>
      <c r="BQ504" s="5" t="n"/>
      <c r="BR504" s="5" t="n"/>
      <c r="BS504" s="5" t="n"/>
      <c r="BT504" s="5" t="n"/>
      <c r="BU504" s="5" t="n"/>
      <c r="BV504" s="5" t="n"/>
      <c r="BW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/>
      <c r="BJ505" s="5" t="n"/>
      <c r="BK505" s="5" t="n"/>
      <c r="BL505" s="5" t="n"/>
      <c r="BM505" s="5" t="n"/>
      <c r="BN505" s="5" t="n"/>
      <c r="BO505" s="5" t="n"/>
      <c r="BP505" s="5" t="n"/>
      <c r="BQ505" s="5" t="n"/>
      <c r="BR505" s="5" t="n"/>
      <c r="BS505" s="5" t="n"/>
      <c r="BT505" s="5" t="n"/>
      <c r="BU505" s="5" t="n"/>
      <c r="BV505" s="5" t="n"/>
      <c r="BW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/>
      <c r="BJ506" s="5" t="n"/>
      <c r="BK506" s="5" t="n"/>
      <c r="BL506" s="5" t="n"/>
      <c r="BM506" s="5" t="n"/>
      <c r="BN506" s="5" t="n"/>
      <c r="BO506" s="5" t="n"/>
      <c r="BP506" s="5" t="n"/>
      <c r="BQ506" s="5" t="n"/>
      <c r="BR506" s="5" t="n"/>
      <c r="BS506" s="5" t="n"/>
      <c r="BT506" s="5" t="n"/>
      <c r="BU506" s="5" t="n"/>
      <c r="BV506" s="5" t="n"/>
      <c r="BW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/>
      <c r="BJ507" s="5" t="n"/>
      <c r="BK507" s="5" t="n"/>
      <c r="BL507" s="5" t="n"/>
      <c r="BM507" s="5" t="n"/>
      <c r="BN507" s="5" t="n"/>
      <c r="BO507" s="5" t="n"/>
      <c r="BP507" s="5" t="n"/>
      <c r="BQ507" s="5" t="n"/>
      <c r="BR507" s="5" t="n"/>
      <c r="BS507" s="5" t="n"/>
      <c r="BT507" s="5" t="n"/>
      <c r="BU507" s="5" t="n"/>
      <c r="BV507" s="5" t="n"/>
      <c r="BW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/>
      <c r="BJ508" s="5" t="n"/>
      <c r="BK508" s="5" t="n"/>
      <c r="BL508" s="5" t="n"/>
      <c r="BM508" s="5" t="n"/>
      <c r="BN508" s="5" t="n"/>
      <c r="BO508" s="5" t="n"/>
      <c r="BP508" s="5" t="n"/>
      <c r="BQ508" s="5" t="n"/>
      <c r="BR508" s="5" t="n"/>
      <c r="BS508" s="5" t="n"/>
      <c r="BT508" s="5" t="n"/>
      <c r="BU508" s="5" t="n"/>
      <c r="BV508" s="5" t="n"/>
      <c r="BW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5" t="n"/>
      <c r="BL509" s="5" t="n"/>
      <c r="BM509" s="5" t="n"/>
      <c r="BN509" s="5" t="n"/>
      <c r="BO509" s="5" t="n"/>
      <c r="BP509" s="5" t="n"/>
      <c r="BQ509" s="5" t="n"/>
      <c r="BR509" s="5" t="n"/>
      <c r="BS509" s="5" t="n"/>
      <c r="BT509" s="5" t="n"/>
      <c r="BU509" s="5" t="n"/>
      <c r="BV509" s="5" t="n"/>
      <c r="BW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  <c r="AY510" s="5" t="n"/>
      <c r="AZ510" s="5" t="n"/>
      <c r="BA510" s="5" t="n"/>
      <c r="BB510" s="5" t="n"/>
      <c r="BC510" s="5" t="n"/>
      <c r="BD510" s="5" t="n"/>
      <c r="BE510" s="5" t="n"/>
      <c r="BF510" s="5" t="n"/>
      <c r="BG510" s="5" t="n"/>
      <c r="BH510" s="5" t="n"/>
      <c r="BI510" s="5" t="n"/>
      <c r="BJ510" s="5" t="n"/>
      <c r="BK510" s="5" t="n"/>
      <c r="BL510" s="5" t="n"/>
      <c r="BM510" s="5" t="n"/>
      <c r="BN510" s="5" t="n"/>
      <c r="BO510" s="5" t="n"/>
      <c r="BP510" s="5" t="n"/>
      <c r="BQ510" s="5" t="n"/>
      <c r="BR510" s="5" t="n"/>
      <c r="BS510" s="5" t="n"/>
      <c r="BT510" s="5" t="n"/>
      <c r="BU510" s="5" t="n"/>
      <c r="BV510" s="5" t="n"/>
      <c r="BW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  <c r="BG511" s="5" t="n"/>
      <c r="BH511" s="5" t="n"/>
      <c r="BI511" s="5" t="n"/>
      <c r="BJ511" s="5" t="n"/>
      <c r="BK511" s="5" t="n"/>
      <c r="BL511" s="5" t="n"/>
      <c r="BM511" s="5" t="n"/>
      <c r="BN511" s="5" t="n"/>
      <c r="BO511" s="5" t="n"/>
      <c r="BP511" s="5" t="n"/>
      <c r="BQ511" s="5" t="n"/>
      <c r="BR511" s="5" t="n"/>
      <c r="BS511" s="5" t="n"/>
      <c r="BT511" s="5" t="n"/>
      <c r="BU511" s="5" t="n"/>
      <c r="BV511" s="5" t="n"/>
      <c r="BW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/>
      <c r="BJ512" s="5" t="n"/>
      <c r="BK512" s="5" t="n"/>
      <c r="BL512" s="5" t="n"/>
      <c r="BM512" s="5" t="n"/>
      <c r="BN512" s="5" t="n"/>
      <c r="BO512" s="5" t="n"/>
      <c r="BP512" s="5" t="n"/>
      <c r="BQ512" s="5" t="n"/>
      <c r="BR512" s="5" t="n"/>
      <c r="BS512" s="5" t="n"/>
      <c r="BT512" s="5" t="n"/>
      <c r="BU512" s="5" t="n"/>
      <c r="BV512" s="5" t="n"/>
      <c r="BW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  <c r="BG513" s="5" t="n"/>
      <c r="BH513" s="5" t="n"/>
      <c r="BI513" s="5" t="n"/>
      <c r="BJ513" s="5" t="n"/>
      <c r="BK513" s="5" t="n"/>
      <c r="BL513" s="5" t="n"/>
      <c r="BM513" s="5" t="n"/>
      <c r="BN513" s="5" t="n"/>
      <c r="BO513" s="5" t="n"/>
      <c r="BP513" s="5" t="n"/>
      <c r="BQ513" s="5" t="n"/>
      <c r="BR513" s="5" t="n"/>
      <c r="BS513" s="5" t="n"/>
      <c r="BT513" s="5" t="n"/>
      <c r="BU513" s="5" t="n"/>
      <c r="BV513" s="5" t="n"/>
      <c r="BW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  <c r="AY514" s="5" t="n"/>
      <c r="AZ514" s="5" t="n"/>
      <c r="BA514" s="5" t="n"/>
      <c r="BB514" s="5" t="n"/>
      <c r="BC514" s="5" t="n"/>
      <c r="BD514" s="5" t="n"/>
      <c r="BE514" s="5" t="n"/>
      <c r="BF514" s="5" t="n"/>
      <c r="BG514" s="5" t="n"/>
      <c r="BH514" s="5" t="n"/>
      <c r="BI514" s="5" t="n"/>
      <c r="BJ514" s="5" t="n"/>
      <c r="BK514" s="5" t="n"/>
      <c r="BL514" s="5" t="n"/>
      <c r="BM514" s="5" t="n"/>
      <c r="BN514" s="5" t="n"/>
      <c r="BO514" s="5" t="n"/>
      <c r="BP514" s="5" t="n"/>
      <c r="BQ514" s="5" t="n"/>
      <c r="BR514" s="5" t="n"/>
      <c r="BS514" s="5" t="n"/>
      <c r="BT514" s="5" t="n"/>
      <c r="BU514" s="5" t="n"/>
      <c r="BV514" s="5" t="n"/>
      <c r="BW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/>
      <c r="BJ515" s="5" t="n"/>
      <c r="BK515" s="5" t="n"/>
      <c r="BL515" s="5" t="n"/>
      <c r="BM515" s="5" t="n"/>
      <c r="BN515" s="5" t="n"/>
      <c r="BO515" s="5" t="n"/>
      <c r="BP515" s="5" t="n"/>
      <c r="BQ515" s="5" t="n"/>
      <c r="BR515" s="5" t="n"/>
      <c r="BS515" s="5" t="n"/>
      <c r="BT515" s="5" t="n"/>
      <c r="BU515" s="5" t="n"/>
      <c r="BV515" s="5" t="n"/>
      <c r="BW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  <c r="BG516" s="5" t="n"/>
      <c r="BH516" s="5" t="n"/>
      <c r="BI516" s="5" t="n"/>
      <c r="BJ516" s="5" t="n"/>
      <c r="BK516" s="5" t="n"/>
      <c r="BL516" s="5" t="n"/>
      <c r="BM516" s="5" t="n"/>
      <c r="BN516" s="5" t="n"/>
      <c r="BO516" s="5" t="n"/>
      <c r="BP516" s="5" t="n"/>
      <c r="BQ516" s="5" t="n"/>
      <c r="BR516" s="5" t="n"/>
      <c r="BS516" s="5" t="n"/>
      <c r="BT516" s="5" t="n"/>
      <c r="BU516" s="5" t="n"/>
      <c r="BV516" s="5" t="n"/>
      <c r="BW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  <c r="BG517" s="5" t="n"/>
      <c r="BH517" s="5" t="n"/>
      <c r="BI517" s="5" t="n"/>
      <c r="BJ517" s="5" t="n"/>
      <c r="BK517" s="5" t="n"/>
      <c r="BL517" s="5" t="n"/>
      <c r="BM517" s="5" t="n"/>
      <c r="BN517" s="5" t="n"/>
      <c r="BO517" s="5" t="n"/>
      <c r="BP517" s="5" t="n"/>
      <c r="BQ517" s="5" t="n"/>
      <c r="BR517" s="5" t="n"/>
      <c r="BS517" s="5" t="n"/>
      <c r="BT517" s="5" t="n"/>
      <c r="BU517" s="5" t="n"/>
      <c r="BV517" s="5" t="n"/>
      <c r="BW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  <c r="AY518" s="5" t="n"/>
      <c r="AZ518" s="5" t="n"/>
      <c r="BA518" s="5" t="n"/>
      <c r="BB518" s="5" t="n"/>
      <c r="BC518" s="5" t="n"/>
      <c r="BD518" s="5" t="n"/>
      <c r="BE518" s="5" t="n"/>
      <c r="BF518" s="5" t="n"/>
      <c r="BG518" s="5" t="n"/>
      <c r="BH518" s="5" t="n"/>
      <c r="BI518" s="5" t="n"/>
      <c r="BJ518" s="5" t="n"/>
      <c r="BK518" s="5" t="n"/>
      <c r="BL518" s="5" t="n"/>
      <c r="BM518" s="5" t="n"/>
      <c r="BN518" s="5" t="n"/>
      <c r="BO518" s="5" t="n"/>
      <c r="BP518" s="5" t="n"/>
      <c r="BQ518" s="5" t="n"/>
      <c r="BR518" s="5" t="n"/>
      <c r="BS518" s="5" t="n"/>
      <c r="BT518" s="5" t="n"/>
      <c r="BU518" s="5" t="n"/>
      <c r="BV518" s="5" t="n"/>
      <c r="BW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/>
      <c r="BJ519" s="5" t="n"/>
      <c r="BK519" s="5" t="n"/>
      <c r="BL519" s="5" t="n"/>
      <c r="BM519" s="5" t="n"/>
      <c r="BN519" s="5" t="n"/>
      <c r="BO519" s="5" t="n"/>
      <c r="BP519" s="5" t="n"/>
      <c r="BQ519" s="5" t="n"/>
      <c r="BR519" s="5" t="n"/>
      <c r="BS519" s="5" t="n"/>
      <c r="BT519" s="5" t="n"/>
      <c r="BU519" s="5" t="n"/>
      <c r="BV519" s="5" t="n"/>
      <c r="BW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  <c r="BG520" s="5" t="n"/>
      <c r="BH520" s="5" t="n"/>
      <c r="BI520" s="5" t="n"/>
      <c r="BJ520" s="5" t="n"/>
      <c r="BK520" s="5" t="n"/>
      <c r="BL520" s="5" t="n"/>
      <c r="BM520" s="5" t="n"/>
      <c r="BN520" s="5" t="n"/>
      <c r="BO520" s="5" t="n"/>
      <c r="BP520" s="5" t="n"/>
      <c r="BQ520" s="5" t="n"/>
      <c r="BR520" s="5" t="n"/>
      <c r="BS520" s="5" t="n"/>
      <c r="BT520" s="5" t="n"/>
      <c r="BU520" s="5" t="n"/>
      <c r="BV520" s="5" t="n"/>
      <c r="BW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  <c r="AY521" s="5" t="n"/>
      <c r="AZ521" s="5" t="n"/>
      <c r="BA521" s="5" t="n"/>
      <c r="BB521" s="5" t="n"/>
      <c r="BC521" s="5" t="n"/>
      <c r="BD521" s="5" t="n"/>
      <c r="BE521" s="5" t="n"/>
      <c r="BF521" s="5" t="n"/>
      <c r="BG521" s="5" t="n"/>
      <c r="BH521" s="5" t="n"/>
      <c r="BI521" s="5" t="n"/>
      <c r="BJ521" s="5" t="n"/>
      <c r="BK521" s="5" t="n"/>
      <c r="BL521" s="5" t="n"/>
      <c r="BM521" s="5" t="n"/>
      <c r="BN521" s="5" t="n"/>
      <c r="BO521" s="5" t="n"/>
      <c r="BP521" s="5" t="n"/>
      <c r="BQ521" s="5" t="n"/>
      <c r="BR521" s="5" t="n"/>
      <c r="BS521" s="5" t="n"/>
      <c r="BT521" s="5" t="n"/>
      <c r="BU521" s="5" t="n"/>
      <c r="BV521" s="5" t="n"/>
      <c r="BW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  <c r="BG522" s="5" t="n"/>
      <c r="BH522" s="5" t="n"/>
      <c r="BI522" s="5" t="n"/>
      <c r="BJ522" s="5" t="n"/>
      <c r="BK522" s="5" t="n"/>
      <c r="BL522" s="5" t="n"/>
      <c r="BM522" s="5" t="n"/>
      <c r="BN522" s="5" t="n"/>
      <c r="BO522" s="5" t="n"/>
      <c r="BP522" s="5" t="n"/>
      <c r="BQ522" s="5" t="n"/>
      <c r="BR522" s="5" t="n"/>
      <c r="BS522" s="5" t="n"/>
      <c r="BT522" s="5" t="n"/>
      <c r="BU522" s="5" t="n"/>
      <c r="BV522" s="5" t="n"/>
      <c r="BW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/>
      <c r="BJ523" s="5" t="n"/>
      <c r="BK523" s="5" t="n"/>
      <c r="BL523" s="5" t="n"/>
      <c r="BM523" s="5" t="n"/>
      <c r="BN523" s="5" t="n"/>
      <c r="BO523" s="5" t="n"/>
      <c r="BP523" s="5" t="n"/>
      <c r="BQ523" s="5" t="n"/>
      <c r="BR523" s="5" t="n"/>
      <c r="BS523" s="5" t="n"/>
      <c r="BT523" s="5" t="n"/>
      <c r="BU523" s="5" t="n"/>
      <c r="BV523" s="5" t="n"/>
      <c r="BW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  <c r="AY524" s="5" t="n"/>
      <c r="AZ524" s="5" t="n"/>
      <c r="BA524" s="5" t="n"/>
      <c r="BB524" s="5" t="n"/>
      <c r="BC524" s="5" t="n"/>
      <c r="BD524" s="5" t="n"/>
      <c r="BE524" s="5" t="n"/>
      <c r="BF524" s="5" t="n"/>
      <c r="BG524" s="5" t="n"/>
      <c r="BH524" s="5" t="n"/>
      <c r="BI524" s="5" t="n"/>
      <c r="BJ524" s="5" t="n"/>
      <c r="BK524" s="5" t="n"/>
      <c r="BL524" s="5" t="n"/>
      <c r="BM524" s="5" t="n"/>
      <c r="BN524" s="5" t="n"/>
      <c r="BO524" s="5" t="n"/>
      <c r="BP524" s="5" t="n"/>
      <c r="BQ524" s="5" t="n"/>
      <c r="BR524" s="5" t="n"/>
      <c r="BS524" s="5" t="n"/>
      <c r="BT524" s="5" t="n"/>
      <c r="BU524" s="5" t="n"/>
      <c r="BV524" s="5" t="n"/>
      <c r="BW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  <c r="BG525" s="5" t="n"/>
      <c r="BH525" s="5" t="n"/>
      <c r="BI525" s="5" t="n"/>
      <c r="BJ525" s="5" t="n"/>
      <c r="BK525" s="5" t="n"/>
      <c r="BL525" s="5" t="n"/>
      <c r="BM525" s="5" t="n"/>
      <c r="BN525" s="5" t="n"/>
      <c r="BO525" s="5" t="n"/>
      <c r="BP525" s="5" t="n"/>
      <c r="BQ525" s="5" t="n"/>
      <c r="BR525" s="5" t="n"/>
      <c r="BS525" s="5" t="n"/>
      <c r="BT525" s="5" t="n"/>
      <c r="BU525" s="5" t="n"/>
      <c r="BV525" s="5" t="n"/>
      <c r="BW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  <c r="BG526" s="5" t="n"/>
      <c r="BH526" s="5" t="n"/>
      <c r="BI526" s="5" t="n"/>
      <c r="BJ526" s="5" t="n"/>
      <c r="BK526" s="5" t="n"/>
      <c r="BL526" s="5" t="n"/>
      <c r="BM526" s="5" t="n"/>
      <c r="BN526" s="5" t="n"/>
      <c r="BO526" s="5" t="n"/>
      <c r="BP526" s="5" t="n"/>
      <c r="BQ526" s="5" t="n"/>
      <c r="BR526" s="5" t="n"/>
      <c r="BS526" s="5" t="n"/>
      <c r="BT526" s="5" t="n"/>
      <c r="BU526" s="5" t="n"/>
      <c r="BV526" s="5" t="n"/>
      <c r="BW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  <c r="BG527" s="5" t="n"/>
      <c r="BH527" s="5" t="n"/>
      <c r="BI527" s="5" t="n"/>
      <c r="BJ527" s="5" t="n"/>
      <c r="BK527" s="5" t="n"/>
      <c r="BL527" s="5" t="n"/>
      <c r="BM527" s="5" t="n"/>
      <c r="BN527" s="5" t="n"/>
      <c r="BO527" s="5" t="n"/>
      <c r="BP527" s="5" t="n"/>
      <c r="BQ527" s="5" t="n"/>
      <c r="BR527" s="5" t="n"/>
      <c r="BS527" s="5" t="n"/>
      <c r="BT527" s="5" t="n"/>
      <c r="BU527" s="5" t="n"/>
      <c r="BV527" s="5" t="n"/>
      <c r="BW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  <c r="BG528" s="5" t="n"/>
      <c r="BH528" s="5" t="n"/>
      <c r="BI528" s="5" t="n"/>
      <c r="BJ528" s="5" t="n"/>
      <c r="BK528" s="5" t="n"/>
      <c r="BL528" s="5" t="n"/>
      <c r="BM528" s="5" t="n"/>
      <c r="BN528" s="5" t="n"/>
      <c r="BO528" s="5" t="n"/>
      <c r="BP528" s="5" t="n"/>
      <c r="BQ528" s="5" t="n"/>
      <c r="BR528" s="5" t="n"/>
      <c r="BS528" s="5" t="n"/>
      <c r="BT528" s="5" t="n"/>
      <c r="BU528" s="5" t="n"/>
      <c r="BV528" s="5" t="n"/>
      <c r="BW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  <c r="BG529" s="5" t="n"/>
      <c r="BH529" s="5" t="n"/>
      <c r="BI529" s="5" t="n"/>
      <c r="BJ529" s="5" t="n"/>
      <c r="BK529" s="5" t="n"/>
      <c r="BL529" s="5" t="n"/>
      <c r="BM529" s="5" t="n"/>
      <c r="BN529" s="5" t="n"/>
      <c r="BO529" s="5" t="n"/>
      <c r="BP529" s="5" t="n"/>
      <c r="BQ529" s="5" t="n"/>
      <c r="BR529" s="5" t="n"/>
      <c r="BS529" s="5" t="n"/>
      <c r="BT529" s="5" t="n"/>
      <c r="BU529" s="5" t="n"/>
      <c r="BV529" s="5" t="n"/>
      <c r="BW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  <c r="AY530" s="5" t="n"/>
      <c r="AZ530" s="5" t="n"/>
      <c r="BA530" s="5" t="n"/>
      <c r="BB530" s="5" t="n"/>
      <c r="BC530" s="5" t="n"/>
      <c r="BD530" s="5" t="n"/>
      <c r="BE530" s="5" t="n"/>
      <c r="BF530" s="5" t="n"/>
      <c r="BG530" s="5" t="n"/>
      <c r="BH530" s="5" t="n"/>
      <c r="BI530" s="5" t="n"/>
      <c r="BJ530" s="5" t="n"/>
      <c r="BK530" s="5" t="n"/>
      <c r="BL530" s="5" t="n"/>
      <c r="BM530" s="5" t="n"/>
      <c r="BN530" s="5" t="n"/>
      <c r="BO530" s="5" t="n"/>
      <c r="BP530" s="5" t="n"/>
      <c r="BQ530" s="5" t="n"/>
      <c r="BR530" s="5" t="n"/>
      <c r="BS530" s="5" t="n"/>
      <c r="BT530" s="5" t="n"/>
      <c r="BU530" s="5" t="n"/>
      <c r="BV530" s="5" t="n"/>
      <c r="BW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/>
      <c r="BJ531" s="5" t="n"/>
      <c r="BK531" s="5" t="n"/>
      <c r="BL531" s="5" t="n"/>
      <c r="BM531" s="5" t="n"/>
      <c r="BN531" s="5" t="n"/>
      <c r="BO531" s="5" t="n"/>
      <c r="BP531" s="5" t="n"/>
      <c r="BQ531" s="5" t="n"/>
      <c r="BR531" s="5" t="n"/>
      <c r="BS531" s="5" t="n"/>
      <c r="BT531" s="5" t="n"/>
      <c r="BU531" s="5" t="n"/>
      <c r="BV531" s="5" t="n"/>
      <c r="BW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  <c r="BG532" s="5" t="n"/>
      <c r="BH532" s="5" t="n"/>
      <c r="BI532" s="5" t="n"/>
      <c r="BJ532" s="5" t="n"/>
      <c r="BK532" s="5" t="n"/>
      <c r="BL532" s="5" t="n"/>
      <c r="BM532" s="5" t="n"/>
      <c r="BN532" s="5" t="n"/>
      <c r="BO532" s="5" t="n"/>
      <c r="BP532" s="5" t="n"/>
      <c r="BQ532" s="5" t="n"/>
      <c r="BR532" s="5" t="n"/>
      <c r="BS532" s="5" t="n"/>
      <c r="BT532" s="5" t="n"/>
      <c r="BU532" s="5" t="n"/>
      <c r="BV532" s="5" t="n"/>
      <c r="BW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  <c r="BG533" s="5" t="n"/>
      <c r="BH533" s="5" t="n"/>
      <c r="BI533" s="5" t="n"/>
      <c r="BJ533" s="5" t="n"/>
      <c r="BK533" s="5" t="n"/>
      <c r="BL533" s="5" t="n"/>
      <c r="BM533" s="5" t="n"/>
      <c r="BN533" s="5" t="n"/>
      <c r="BO533" s="5" t="n"/>
      <c r="BP533" s="5" t="n"/>
      <c r="BQ533" s="5" t="n"/>
      <c r="BR533" s="5" t="n"/>
      <c r="BS533" s="5" t="n"/>
      <c r="BT533" s="5" t="n"/>
      <c r="BU533" s="5" t="n"/>
      <c r="BV533" s="5" t="n"/>
      <c r="BW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  <c r="AY534" s="5" t="n"/>
      <c r="AZ534" s="5" t="n"/>
      <c r="BA534" s="5" t="n"/>
      <c r="BB534" s="5" t="n"/>
      <c r="BC534" s="5" t="n"/>
      <c r="BD534" s="5" t="n"/>
      <c r="BE534" s="5" t="n"/>
      <c r="BF534" s="5" t="n"/>
      <c r="BG534" s="5" t="n"/>
      <c r="BH534" s="5" t="n"/>
      <c r="BI534" s="5" t="n"/>
      <c r="BJ534" s="5" t="n"/>
      <c r="BK534" s="5" t="n"/>
      <c r="BL534" s="5" t="n"/>
      <c r="BM534" s="5" t="n"/>
      <c r="BN534" s="5" t="n"/>
      <c r="BO534" s="5" t="n"/>
      <c r="BP534" s="5" t="n"/>
      <c r="BQ534" s="5" t="n"/>
      <c r="BR534" s="5" t="n"/>
      <c r="BS534" s="5" t="n"/>
      <c r="BT534" s="5" t="n"/>
      <c r="BU534" s="5" t="n"/>
      <c r="BV534" s="5" t="n"/>
      <c r="BW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  <c r="BG535" s="5" t="n"/>
      <c r="BH535" s="5" t="n"/>
      <c r="BI535" s="5" t="n"/>
      <c r="BJ535" s="5" t="n"/>
      <c r="BK535" s="5" t="n"/>
      <c r="BL535" s="5" t="n"/>
      <c r="BM535" s="5" t="n"/>
      <c r="BN535" s="5" t="n"/>
      <c r="BO535" s="5" t="n"/>
      <c r="BP535" s="5" t="n"/>
      <c r="BQ535" s="5" t="n"/>
      <c r="BR535" s="5" t="n"/>
      <c r="BS535" s="5" t="n"/>
      <c r="BT535" s="5" t="n"/>
      <c r="BU535" s="5" t="n"/>
      <c r="BV535" s="5" t="n"/>
      <c r="BW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  <c r="BG536" s="5" t="n"/>
      <c r="BH536" s="5" t="n"/>
      <c r="BI536" s="5" t="n"/>
      <c r="BJ536" s="5" t="n"/>
      <c r="BK536" s="5" t="n"/>
      <c r="BL536" s="5" t="n"/>
      <c r="BM536" s="5" t="n"/>
      <c r="BN536" s="5" t="n"/>
      <c r="BO536" s="5" t="n"/>
      <c r="BP536" s="5" t="n"/>
      <c r="BQ536" s="5" t="n"/>
      <c r="BR536" s="5" t="n"/>
      <c r="BS536" s="5" t="n"/>
      <c r="BT536" s="5" t="n"/>
      <c r="BU536" s="5" t="n"/>
      <c r="BV536" s="5" t="n"/>
      <c r="BW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  <c r="BG537" s="5" t="n"/>
      <c r="BH537" s="5" t="n"/>
      <c r="BI537" s="5" t="n"/>
      <c r="BJ537" s="5" t="n"/>
      <c r="BK537" s="5" t="n"/>
      <c r="BL537" s="5" t="n"/>
      <c r="BM537" s="5" t="n"/>
      <c r="BN537" s="5" t="n"/>
      <c r="BO537" s="5" t="n"/>
      <c r="BP537" s="5" t="n"/>
      <c r="BQ537" s="5" t="n"/>
      <c r="BR537" s="5" t="n"/>
      <c r="BS537" s="5" t="n"/>
      <c r="BT537" s="5" t="n"/>
      <c r="BU537" s="5" t="n"/>
      <c r="BV537" s="5" t="n"/>
      <c r="BW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  <c r="BG538" s="5" t="n"/>
      <c r="BH538" s="5" t="n"/>
      <c r="BI538" s="5" t="n"/>
      <c r="BJ538" s="5" t="n"/>
      <c r="BK538" s="5" t="n"/>
      <c r="BL538" s="5" t="n"/>
      <c r="BM538" s="5" t="n"/>
      <c r="BN538" s="5" t="n"/>
      <c r="BO538" s="5" t="n"/>
      <c r="BP538" s="5" t="n"/>
      <c r="BQ538" s="5" t="n"/>
      <c r="BR538" s="5" t="n"/>
      <c r="BS538" s="5" t="n"/>
      <c r="BT538" s="5" t="n"/>
      <c r="BU538" s="5" t="n"/>
      <c r="BV538" s="5" t="n"/>
      <c r="BW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  <c r="BG539" s="5" t="n"/>
      <c r="BH539" s="5" t="n"/>
      <c r="BI539" s="5" t="n"/>
      <c r="BJ539" s="5" t="n"/>
      <c r="BK539" s="5" t="n"/>
      <c r="BL539" s="5" t="n"/>
      <c r="BM539" s="5" t="n"/>
      <c r="BN539" s="5" t="n"/>
      <c r="BO539" s="5" t="n"/>
      <c r="BP539" s="5" t="n"/>
      <c r="BQ539" s="5" t="n"/>
      <c r="BR539" s="5" t="n"/>
      <c r="BS539" s="5" t="n"/>
      <c r="BT539" s="5" t="n"/>
      <c r="BU539" s="5" t="n"/>
      <c r="BV539" s="5" t="n"/>
      <c r="BW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  <c r="BG540" s="5" t="n"/>
      <c r="BH540" s="5" t="n"/>
      <c r="BI540" s="5" t="n"/>
      <c r="BJ540" s="5" t="n"/>
      <c r="BK540" s="5" t="n"/>
      <c r="BL540" s="5" t="n"/>
      <c r="BM540" s="5" t="n"/>
      <c r="BN540" s="5" t="n"/>
      <c r="BO540" s="5" t="n"/>
      <c r="BP540" s="5" t="n"/>
      <c r="BQ540" s="5" t="n"/>
      <c r="BR540" s="5" t="n"/>
      <c r="BS540" s="5" t="n"/>
      <c r="BT540" s="5" t="n"/>
      <c r="BU540" s="5" t="n"/>
      <c r="BV540" s="5" t="n"/>
      <c r="BW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  <c r="BG541" s="5" t="n"/>
      <c r="BH541" s="5" t="n"/>
      <c r="BI541" s="5" t="n"/>
      <c r="BJ541" s="5" t="n"/>
      <c r="BK541" s="5" t="n"/>
      <c r="BL541" s="5" t="n"/>
      <c r="BM541" s="5" t="n"/>
      <c r="BN541" s="5" t="n"/>
      <c r="BO541" s="5" t="n"/>
      <c r="BP541" s="5" t="n"/>
      <c r="BQ541" s="5" t="n"/>
      <c r="BR541" s="5" t="n"/>
      <c r="BS541" s="5" t="n"/>
      <c r="BT541" s="5" t="n"/>
      <c r="BU541" s="5" t="n"/>
      <c r="BV541" s="5" t="n"/>
      <c r="BW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  <c r="AY542" s="5" t="n"/>
      <c r="AZ542" s="5" t="n"/>
      <c r="BA542" s="5" t="n"/>
      <c r="BB542" s="5" t="n"/>
      <c r="BC542" s="5" t="n"/>
      <c r="BD542" s="5" t="n"/>
      <c r="BE542" s="5" t="n"/>
      <c r="BF542" s="5" t="n"/>
      <c r="BG542" s="5" t="n"/>
      <c r="BH542" s="5" t="n"/>
      <c r="BI542" s="5" t="n"/>
      <c r="BJ542" s="5" t="n"/>
      <c r="BK542" s="5" t="n"/>
      <c r="BL542" s="5" t="n"/>
      <c r="BM542" s="5" t="n"/>
      <c r="BN542" s="5" t="n"/>
      <c r="BO542" s="5" t="n"/>
      <c r="BP542" s="5" t="n"/>
      <c r="BQ542" s="5" t="n"/>
      <c r="BR542" s="5" t="n"/>
      <c r="BS542" s="5" t="n"/>
      <c r="BT542" s="5" t="n"/>
      <c r="BU542" s="5" t="n"/>
      <c r="BV542" s="5" t="n"/>
      <c r="BW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  <c r="BG543" s="5" t="n"/>
      <c r="BH543" s="5" t="n"/>
      <c r="BI543" s="5" t="n"/>
      <c r="BJ543" s="5" t="n"/>
      <c r="BK543" s="5" t="n"/>
      <c r="BL543" s="5" t="n"/>
      <c r="BM543" s="5" t="n"/>
      <c r="BN543" s="5" t="n"/>
      <c r="BO543" s="5" t="n"/>
      <c r="BP543" s="5" t="n"/>
      <c r="BQ543" s="5" t="n"/>
      <c r="BR543" s="5" t="n"/>
      <c r="BS543" s="5" t="n"/>
      <c r="BT543" s="5" t="n"/>
      <c r="BU543" s="5" t="n"/>
      <c r="BV543" s="5" t="n"/>
      <c r="BW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  <c r="BG544" s="5" t="n"/>
      <c r="BH544" s="5" t="n"/>
      <c r="BI544" s="5" t="n"/>
      <c r="BJ544" s="5" t="n"/>
      <c r="BK544" s="5" t="n"/>
      <c r="BL544" s="5" t="n"/>
      <c r="BM544" s="5" t="n"/>
      <c r="BN544" s="5" t="n"/>
      <c r="BO544" s="5" t="n"/>
      <c r="BP544" s="5" t="n"/>
      <c r="BQ544" s="5" t="n"/>
      <c r="BR544" s="5" t="n"/>
      <c r="BS544" s="5" t="n"/>
      <c r="BT544" s="5" t="n"/>
      <c r="BU544" s="5" t="n"/>
      <c r="BV544" s="5" t="n"/>
      <c r="BW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/>
      <c r="BJ545" s="5" t="n"/>
      <c r="BK545" s="5" t="n"/>
      <c r="BL545" s="5" t="n"/>
      <c r="BM545" s="5" t="n"/>
      <c r="BN545" s="5" t="n"/>
      <c r="BO545" s="5" t="n"/>
      <c r="BP545" s="5" t="n"/>
      <c r="BQ545" s="5" t="n"/>
      <c r="BR545" s="5" t="n"/>
      <c r="BS545" s="5" t="n"/>
      <c r="BT545" s="5" t="n"/>
      <c r="BU545" s="5" t="n"/>
      <c r="BV545" s="5" t="n"/>
      <c r="BW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  <c r="AY546" s="5" t="n"/>
      <c r="AZ546" s="5" t="n"/>
      <c r="BA546" s="5" t="n"/>
      <c r="BB546" s="5" t="n"/>
      <c r="BC546" s="5" t="n"/>
      <c r="BD546" s="5" t="n"/>
      <c r="BE546" s="5" t="n"/>
      <c r="BF546" s="5" t="n"/>
      <c r="BG546" s="5" t="n"/>
      <c r="BH546" s="5" t="n"/>
      <c r="BI546" s="5" t="n"/>
      <c r="BJ546" s="5" t="n"/>
      <c r="BK546" s="5" t="n"/>
      <c r="BL546" s="5" t="n"/>
      <c r="BM546" s="5" t="n"/>
      <c r="BN546" s="5" t="n"/>
      <c r="BO546" s="5" t="n"/>
      <c r="BP546" s="5" t="n"/>
      <c r="BQ546" s="5" t="n"/>
      <c r="BR546" s="5" t="n"/>
      <c r="BS546" s="5" t="n"/>
      <c r="BT546" s="5" t="n"/>
      <c r="BU546" s="5" t="n"/>
      <c r="BV546" s="5" t="n"/>
      <c r="BW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  <c r="BG547" s="5" t="n"/>
      <c r="BH547" s="5" t="n"/>
      <c r="BI547" s="5" t="n"/>
      <c r="BJ547" s="5" t="n"/>
      <c r="BK547" s="5" t="n"/>
      <c r="BL547" s="5" t="n"/>
      <c r="BM547" s="5" t="n"/>
      <c r="BN547" s="5" t="n"/>
      <c r="BO547" s="5" t="n"/>
      <c r="BP547" s="5" t="n"/>
      <c r="BQ547" s="5" t="n"/>
      <c r="BR547" s="5" t="n"/>
      <c r="BS547" s="5" t="n"/>
      <c r="BT547" s="5" t="n"/>
      <c r="BU547" s="5" t="n"/>
      <c r="BV547" s="5" t="n"/>
      <c r="BW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  <c r="AY548" s="5" t="n"/>
      <c r="AZ548" s="5" t="n"/>
      <c r="BA548" s="5" t="n"/>
      <c r="BB548" s="5" t="n"/>
      <c r="BC548" s="5" t="n"/>
      <c r="BD548" s="5" t="n"/>
      <c r="BE548" s="5" t="n"/>
      <c r="BF548" s="5" t="n"/>
      <c r="BG548" s="5" t="n"/>
      <c r="BH548" s="5" t="n"/>
      <c r="BI548" s="5" t="n"/>
      <c r="BJ548" s="5" t="n"/>
      <c r="BK548" s="5" t="n"/>
      <c r="BL548" s="5" t="n"/>
      <c r="BM548" s="5" t="n"/>
      <c r="BN548" s="5" t="n"/>
      <c r="BO548" s="5" t="n"/>
      <c r="BP548" s="5" t="n"/>
      <c r="BQ548" s="5" t="n"/>
      <c r="BR548" s="5" t="n"/>
      <c r="BS548" s="5" t="n"/>
      <c r="BT548" s="5" t="n"/>
      <c r="BU548" s="5" t="n"/>
      <c r="BV548" s="5" t="n"/>
      <c r="BW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  <c r="AY549" s="5" t="n"/>
      <c r="AZ549" s="5" t="n"/>
      <c r="BA549" s="5" t="n"/>
      <c r="BB549" s="5" t="n"/>
      <c r="BC549" s="5" t="n"/>
      <c r="BD549" s="5" t="n"/>
      <c r="BE549" s="5" t="n"/>
      <c r="BF549" s="5" t="n"/>
      <c r="BG549" s="5" t="n"/>
      <c r="BH549" s="5" t="n"/>
      <c r="BI549" s="5" t="n"/>
      <c r="BJ549" s="5" t="n"/>
      <c r="BK549" s="5" t="n"/>
      <c r="BL549" s="5" t="n"/>
      <c r="BM549" s="5" t="n"/>
      <c r="BN549" s="5" t="n"/>
      <c r="BO549" s="5" t="n"/>
      <c r="BP549" s="5" t="n"/>
      <c r="BQ549" s="5" t="n"/>
      <c r="BR549" s="5" t="n"/>
      <c r="BS549" s="5" t="n"/>
      <c r="BT549" s="5" t="n"/>
      <c r="BU549" s="5" t="n"/>
      <c r="BV549" s="5" t="n"/>
      <c r="BW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  <c r="BG550" s="5" t="n"/>
      <c r="BH550" s="5" t="n"/>
      <c r="BI550" s="5" t="n"/>
      <c r="BJ550" s="5" t="n"/>
      <c r="BK550" s="5" t="n"/>
      <c r="BL550" s="5" t="n"/>
      <c r="BM550" s="5" t="n"/>
      <c r="BN550" s="5" t="n"/>
      <c r="BO550" s="5" t="n"/>
      <c r="BP550" s="5" t="n"/>
      <c r="BQ550" s="5" t="n"/>
      <c r="BR550" s="5" t="n"/>
      <c r="BS550" s="5" t="n"/>
      <c r="BT550" s="5" t="n"/>
      <c r="BU550" s="5" t="n"/>
      <c r="BV550" s="5" t="n"/>
      <c r="BW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  <c r="BG551" s="5" t="n"/>
      <c r="BH551" s="5" t="n"/>
      <c r="BI551" s="5" t="n"/>
      <c r="BJ551" s="5" t="n"/>
      <c r="BK551" s="5" t="n"/>
      <c r="BL551" s="5" t="n"/>
      <c r="BM551" s="5" t="n"/>
      <c r="BN551" s="5" t="n"/>
      <c r="BO551" s="5" t="n"/>
      <c r="BP551" s="5" t="n"/>
      <c r="BQ551" s="5" t="n"/>
      <c r="BR551" s="5" t="n"/>
      <c r="BS551" s="5" t="n"/>
      <c r="BT551" s="5" t="n"/>
      <c r="BU551" s="5" t="n"/>
      <c r="BV551" s="5" t="n"/>
      <c r="BW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/>
      <c r="BI552" s="5" t="n"/>
      <c r="BJ552" s="5" t="n"/>
      <c r="BK552" s="5" t="n"/>
      <c r="BL552" s="5" t="n"/>
      <c r="BM552" s="5" t="n"/>
      <c r="BN552" s="5" t="n"/>
      <c r="BO552" s="5" t="n"/>
      <c r="BP552" s="5" t="n"/>
      <c r="BQ552" s="5" t="n"/>
      <c r="BR552" s="5" t="n"/>
      <c r="BS552" s="5" t="n"/>
      <c r="BT552" s="5" t="n"/>
      <c r="BU552" s="5" t="n"/>
      <c r="BV552" s="5" t="n"/>
      <c r="BW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  <c r="AY553" s="5" t="n"/>
      <c r="AZ553" s="5" t="n"/>
      <c r="BA553" s="5" t="n"/>
      <c r="BB553" s="5" t="n"/>
      <c r="BC553" s="5" t="n"/>
      <c r="BD553" s="5" t="n"/>
      <c r="BE553" s="5" t="n"/>
      <c r="BF553" s="5" t="n"/>
      <c r="BG553" s="5" t="n"/>
      <c r="BH553" s="5" t="n"/>
      <c r="BI553" s="5" t="n"/>
      <c r="BJ553" s="5" t="n"/>
      <c r="BK553" s="5" t="n"/>
      <c r="BL553" s="5" t="n"/>
      <c r="BM553" s="5" t="n"/>
      <c r="BN553" s="5" t="n"/>
      <c r="BO553" s="5" t="n"/>
      <c r="BP553" s="5" t="n"/>
      <c r="BQ553" s="5" t="n"/>
      <c r="BR553" s="5" t="n"/>
      <c r="BS553" s="5" t="n"/>
      <c r="BT553" s="5" t="n"/>
      <c r="BU553" s="5" t="n"/>
      <c r="BV553" s="5" t="n"/>
      <c r="BW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  <c r="BG554" s="5" t="n"/>
      <c r="BH554" s="5" t="n"/>
      <c r="BI554" s="5" t="n"/>
      <c r="BJ554" s="5" t="n"/>
      <c r="BK554" s="5" t="n"/>
      <c r="BL554" s="5" t="n"/>
      <c r="BM554" s="5" t="n"/>
      <c r="BN554" s="5" t="n"/>
      <c r="BO554" s="5" t="n"/>
      <c r="BP554" s="5" t="n"/>
      <c r="BQ554" s="5" t="n"/>
      <c r="BR554" s="5" t="n"/>
      <c r="BS554" s="5" t="n"/>
      <c r="BT554" s="5" t="n"/>
      <c r="BU554" s="5" t="n"/>
      <c r="BV554" s="5" t="n"/>
      <c r="BW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  <c r="AY555" s="5" t="n"/>
      <c r="AZ555" s="5" t="n"/>
      <c r="BA555" s="5" t="n"/>
      <c r="BB555" s="5" t="n"/>
      <c r="BC555" s="5" t="n"/>
      <c r="BD555" s="5" t="n"/>
      <c r="BE555" s="5" t="n"/>
      <c r="BF555" s="5" t="n"/>
      <c r="BG555" s="5" t="n"/>
      <c r="BH555" s="5" t="n"/>
      <c r="BI555" s="5" t="n"/>
      <c r="BJ555" s="5" t="n"/>
      <c r="BK555" s="5" t="n"/>
      <c r="BL555" s="5" t="n"/>
      <c r="BM555" s="5" t="n"/>
      <c r="BN555" s="5" t="n"/>
      <c r="BO555" s="5" t="n"/>
      <c r="BP555" s="5" t="n"/>
      <c r="BQ555" s="5" t="n"/>
      <c r="BR555" s="5" t="n"/>
      <c r="BS555" s="5" t="n"/>
      <c r="BT555" s="5" t="n"/>
      <c r="BU555" s="5" t="n"/>
      <c r="BV555" s="5" t="n"/>
      <c r="BW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  <c r="AY556" s="5" t="n"/>
      <c r="AZ556" s="5" t="n"/>
      <c r="BA556" s="5" t="n"/>
      <c r="BB556" s="5" t="n"/>
      <c r="BC556" s="5" t="n"/>
      <c r="BD556" s="5" t="n"/>
      <c r="BE556" s="5" t="n"/>
      <c r="BF556" s="5" t="n"/>
      <c r="BG556" s="5" t="n"/>
      <c r="BH556" s="5" t="n"/>
      <c r="BI556" s="5" t="n"/>
      <c r="BJ556" s="5" t="n"/>
      <c r="BK556" s="5" t="n"/>
      <c r="BL556" s="5" t="n"/>
      <c r="BM556" s="5" t="n"/>
      <c r="BN556" s="5" t="n"/>
      <c r="BO556" s="5" t="n"/>
      <c r="BP556" s="5" t="n"/>
      <c r="BQ556" s="5" t="n"/>
      <c r="BR556" s="5" t="n"/>
      <c r="BS556" s="5" t="n"/>
      <c r="BT556" s="5" t="n"/>
      <c r="BU556" s="5" t="n"/>
      <c r="BV556" s="5" t="n"/>
      <c r="BW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  <c r="AY557" s="5" t="n"/>
      <c r="AZ557" s="5" t="n"/>
      <c r="BA557" s="5" t="n"/>
      <c r="BB557" s="5" t="n"/>
      <c r="BC557" s="5" t="n"/>
      <c r="BD557" s="5" t="n"/>
      <c r="BE557" s="5" t="n"/>
      <c r="BF557" s="5" t="n"/>
      <c r="BG557" s="5" t="n"/>
      <c r="BH557" s="5" t="n"/>
      <c r="BI557" s="5" t="n"/>
      <c r="BJ557" s="5" t="n"/>
      <c r="BK557" s="5" t="n"/>
      <c r="BL557" s="5" t="n"/>
      <c r="BM557" s="5" t="n"/>
      <c r="BN557" s="5" t="n"/>
      <c r="BO557" s="5" t="n"/>
      <c r="BP557" s="5" t="n"/>
      <c r="BQ557" s="5" t="n"/>
      <c r="BR557" s="5" t="n"/>
      <c r="BS557" s="5" t="n"/>
      <c r="BT557" s="5" t="n"/>
      <c r="BU557" s="5" t="n"/>
      <c r="BV557" s="5" t="n"/>
      <c r="BW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  <c r="AY558" s="5" t="n"/>
      <c r="AZ558" s="5" t="n"/>
      <c r="BA558" s="5" t="n"/>
      <c r="BB558" s="5" t="n"/>
      <c r="BC558" s="5" t="n"/>
      <c r="BD558" s="5" t="n"/>
      <c r="BE558" s="5" t="n"/>
      <c r="BF558" s="5" t="n"/>
      <c r="BG558" s="5" t="n"/>
      <c r="BH558" s="5" t="n"/>
      <c r="BI558" s="5" t="n"/>
      <c r="BJ558" s="5" t="n"/>
      <c r="BK558" s="5" t="n"/>
      <c r="BL558" s="5" t="n"/>
      <c r="BM558" s="5" t="n"/>
      <c r="BN558" s="5" t="n"/>
      <c r="BO558" s="5" t="n"/>
      <c r="BP558" s="5" t="n"/>
      <c r="BQ558" s="5" t="n"/>
      <c r="BR558" s="5" t="n"/>
      <c r="BS558" s="5" t="n"/>
      <c r="BT558" s="5" t="n"/>
      <c r="BU558" s="5" t="n"/>
      <c r="BV558" s="5" t="n"/>
      <c r="BW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  <c r="BG559" s="5" t="n"/>
      <c r="BH559" s="5" t="n"/>
      <c r="BI559" s="5" t="n"/>
      <c r="BJ559" s="5" t="n"/>
      <c r="BK559" s="5" t="n"/>
      <c r="BL559" s="5" t="n"/>
      <c r="BM559" s="5" t="n"/>
      <c r="BN559" s="5" t="n"/>
      <c r="BO559" s="5" t="n"/>
      <c r="BP559" s="5" t="n"/>
      <c r="BQ559" s="5" t="n"/>
      <c r="BR559" s="5" t="n"/>
      <c r="BS559" s="5" t="n"/>
      <c r="BT559" s="5" t="n"/>
      <c r="BU559" s="5" t="n"/>
      <c r="BV559" s="5" t="n"/>
      <c r="BW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  <c r="AY560" s="5" t="n"/>
      <c r="AZ560" s="5" t="n"/>
      <c r="BA560" s="5" t="n"/>
      <c r="BB560" s="5" t="n"/>
      <c r="BC560" s="5" t="n"/>
      <c r="BD560" s="5" t="n"/>
      <c r="BE560" s="5" t="n"/>
      <c r="BF560" s="5" t="n"/>
      <c r="BG560" s="5" t="n"/>
      <c r="BH560" s="5" t="n"/>
      <c r="BI560" s="5" t="n"/>
      <c r="BJ560" s="5" t="n"/>
      <c r="BK560" s="5" t="n"/>
      <c r="BL560" s="5" t="n"/>
      <c r="BM560" s="5" t="n"/>
      <c r="BN560" s="5" t="n"/>
      <c r="BO560" s="5" t="n"/>
      <c r="BP560" s="5" t="n"/>
      <c r="BQ560" s="5" t="n"/>
      <c r="BR560" s="5" t="n"/>
      <c r="BS560" s="5" t="n"/>
      <c r="BT560" s="5" t="n"/>
      <c r="BU560" s="5" t="n"/>
      <c r="BV560" s="5" t="n"/>
      <c r="BW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  <c r="AY561" s="5" t="n"/>
      <c r="AZ561" s="5" t="n"/>
      <c r="BA561" s="5" t="n"/>
      <c r="BB561" s="5" t="n"/>
      <c r="BC561" s="5" t="n"/>
      <c r="BD561" s="5" t="n"/>
      <c r="BE561" s="5" t="n"/>
      <c r="BF561" s="5" t="n"/>
      <c r="BG561" s="5" t="n"/>
      <c r="BH561" s="5" t="n"/>
      <c r="BI561" s="5" t="n"/>
      <c r="BJ561" s="5" t="n"/>
      <c r="BK561" s="5" t="n"/>
      <c r="BL561" s="5" t="n"/>
      <c r="BM561" s="5" t="n"/>
      <c r="BN561" s="5" t="n"/>
      <c r="BO561" s="5" t="n"/>
      <c r="BP561" s="5" t="n"/>
      <c r="BQ561" s="5" t="n"/>
      <c r="BR561" s="5" t="n"/>
      <c r="BS561" s="5" t="n"/>
      <c r="BT561" s="5" t="n"/>
      <c r="BU561" s="5" t="n"/>
      <c r="BV561" s="5" t="n"/>
      <c r="BW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  <c r="AY562" s="5" t="n"/>
      <c r="AZ562" s="5" t="n"/>
      <c r="BA562" s="5" t="n"/>
      <c r="BB562" s="5" t="n"/>
      <c r="BC562" s="5" t="n"/>
      <c r="BD562" s="5" t="n"/>
      <c r="BE562" s="5" t="n"/>
      <c r="BF562" s="5" t="n"/>
      <c r="BG562" s="5" t="n"/>
      <c r="BH562" s="5" t="n"/>
      <c r="BI562" s="5" t="n"/>
      <c r="BJ562" s="5" t="n"/>
      <c r="BK562" s="5" t="n"/>
      <c r="BL562" s="5" t="n"/>
      <c r="BM562" s="5" t="n"/>
      <c r="BN562" s="5" t="n"/>
      <c r="BO562" s="5" t="n"/>
      <c r="BP562" s="5" t="n"/>
      <c r="BQ562" s="5" t="n"/>
      <c r="BR562" s="5" t="n"/>
      <c r="BS562" s="5" t="n"/>
      <c r="BT562" s="5" t="n"/>
      <c r="BU562" s="5" t="n"/>
      <c r="BV562" s="5" t="n"/>
      <c r="BW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  <c r="AY563" s="5" t="n"/>
      <c r="AZ563" s="5" t="n"/>
      <c r="BA563" s="5" t="n"/>
      <c r="BB563" s="5" t="n"/>
      <c r="BC563" s="5" t="n"/>
      <c r="BD563" s="5" t="n"/>
      <c r="BE563" s="5" t="n"/>
      <c r="BF563" s="5" t="n"/>
      <c r="BG563" s="5" t="n"/>
      <c r="BH563" s="5" t="n"/>
      <c r="BI563" s="5" t="n"/>
      <c r="BJ563" s="5" t="n"/>
      <c r="BK563" s="5" t="n"/>
      <c r="BL563" s="5" t="n"/>
      <c r="BM563" s="5" t="n"/>
      <c r="BN563" s="5" t="n"/>
      <c r="BO563" s="5" t="n"/>
      <c r="BP563" s="5" t="n"/>
      <c r="BQ563" s="5" t="n"/>
      <c r="BR563" s="5" t="n"/>
      <c r="BS563" s="5" t="n"/>
      <c r="BT563" s="5" t="n"/>
      <c r="BU563" s="5" t="n"/>
      <c r="BV563" s="5" t="n"/>
      <c r="BW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  <c r="BA564" s="5" t="n"/>
      <c r="BB564" s="5" t="n"/>
      <c r="BC564" s="5" t="n"/>
      <c r="BD564" s="5" t="n"/>
      <c r="BE564" s="5" t="n"/>
      <c r="BF564" s="5" t="n"/>
      <c r="BG564" s="5" t="n"/>
      <c r="BH564" s="5" t="n"/>
      <c r="BI564" s="5" t="n"/>
      <c r="BJ564" s="5" t="n"/>
      <c r="BK564" s="5" t="n"/>
      <c r="BL564" s="5" t="n"/>
      <c r="BM564" s="5" t="n"/>
      <c r="BN564" s="5" t="n"/>
      <c r="BO564" s="5" t="n"/>
      <c r="BP564" s="5" t="n"/>
      <c r="BQ564" s="5" t="n"/>
      <c r="BR564" s="5" t="n"/>
      <c r="BS564" s="5" t="n"/>
      <c r="BT564" s="5" t="n"/>
      <c r="BU564" s="5" t="n"/>
      <c r="BV564" s="5" t="n"/>
      <c r="BW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  <c r="AY565" s="5" t="n"/>
      <c r="AZ565" s="5" t="n"/>
      <c r="BA565" s="5" t="n"/>
      <c r="BB565" s="5" t="n"/>
      <c r="BC565" s="5" t="n"/>
      <c r="BD565" s="5" t="n"/>
      <c r="BE565" s="5" t="n"/>
      <c r="BF565" s="5" t="n"/>
      <c r="BG565" s="5" t="n"/>
      <c r="BH565" s="5" t="n"/>
      <c r="BI565" s="5" t="n"/>
      <c r="BJ565" s="5" t="n"/>
      <c r="BK565" s="5" t="n"/>
      <c r="BL565" s="5" t="n"/>
      <c r="BM565" s="5" t="n"/>
      <c r="BN565" s="5" t="n"/>
      <c r="BO565" s="5" t="n"/>
      <c r="BP565" s="5" t="n"/>
      <c r="BQ565" s="5" t="n"/>
      <c r="BR565" s="5" t="n"/>
      <c r="BS565" s="5" t="n"/>
      <c r="BT565" s="5" t="n"/>
      <c r="BU565" s="5" t="n"/>
      <c r="BV565" s="5" t="n"/>
      <c r="BW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  <c r="AY566" s="5" t="n"/>
      <c r="AZ566" s="5" t="n"/>
      <c r="BA566" s="5" t="n"/>
      <c r="BB566" s="5" t="n"/>
      <c r="BC566" s="5" t="n"/>
      <c r="BD566" s="5" t="n"/>
      <c r="BE566" s="5" t="n"/>
      <c r="BF566" s="5" t="n"/>
      <c r="BG566" s="5" t="n"/>
      <c r="BH566" s="5" t="n"/>
      <c r="BI566" s="5" t="n"/>
      <c r="BJ566" s="5" t="n"/>
      <c r="BK566" s="5" t="n"/>
      <c r="BL566" s="5" t="n"/>
      <c r="BM566" s="5" t="n"/>
      <c r="BN566" s="5" t="n"/>
      <c r="BO566" s="5" t="n"/>
      <c r="BP566" s="5" t="n"/>
      <c r="BQ566" s="5" t="n"/>
      <c r="BR566" s="5" t="n"/>
      <c r="BS566" s="5" t="n"/>
      <c r="BT566" s="5" t="n"/>
      <c r="BU566" s="5" t="n"/>
      <c r="BV566" s="5" t="n"/>
      <c r="BW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  <c r="AY567" s="5" t="n"/>
      <c r="AZ567" s="5" t="n"/>
      <c r="BA567" s="5" t="n"/>
      <c r="BB567" s="5" t="n"/>
      <c r="BC567" s="5" t="n"/>
      <c r="BD567" s="5" t="n"/>
      <c r="BE567" s="5" t="n"/>
      <c r="BF567" s="5" t="n"/>
      <c r="BG567" s="5" t="n"/>
      <c r="BH567" s="5" t="n"/>
      <c r="BI567" s="5" t="n"/>
      <c r="BJ567" s="5" t="n"/>
      <c r="BK567" s="5" t="n"/>
      <c r="BL567" s="5" t="n"/>
      <c r="BM567" s="5" t="n"/>
      <c r="BN567" s="5" t="n"/>
      <c r="BO567" s="5" t="n"/>
      <c r="BP567" s="5" t="n"/>
      <c r="BQ567" s="5" t="n"/>
      <c r="BR567" s="5" t="n"/>
      <c r="BS567" s="5" t="n"/>
      <c r="BT567" s="5" t="n"/>
      <c r="BU567" s="5" t="n"/>
      <c r="BV567" s="5" t="n"/>
      <c r="BW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  <c r="AY568" s="5" t="n"/>
      <c r="AZ568" s="5" t="n"/>
      <c r="BA568" s="5" t="n"/>
      <c r="BB568" s="5" t="n"/>
      <c r="BC568" s="5" t="n"/>
      <c r="BD568" s="5" t="n"/>
      <c r="BE568" s="5" t="n"/>
      <c r="BF568" s="5" t="n"/>
      <c r="BG568" s="5" t="n"/>
      <c r="BH568" s="5" t="n"/>
      <c r="BI568" s="5" t="n"/>
      <c r="BJ568" s="5" t="n"/>
      <c r="BK568" s="5" t="n"/>
      <c r="BL568" s="5" t="n"/>
      <c r="BM568" s="5" t="n"/>
      <c r="BN568" s="5" t="n"/>
      <c r="BO568" s="5" t="n"/>
      <c r="BP568" s="5" t="n"/>
      <c r="BQ568" s="5" t="n"/>
      <c r="BR568" s="5" t="n"/>
      <c r="BS568" s="5" t="n"/>
      <c r="BT568" s="5" t="n"/>
      <c r="BU568" s="5" t="n"/>
      <c r="BV568" s="5" t="n"/>
      <c r="BW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  <c r="BA569" s="5" t="n"/>
      <c r="BB569" s="5" t="n"/>
      <c r="BC569" s="5" t="n"/>
      <c r="BD569" s="5" t="n"/>
      <c r="BE569" s="5" t="n"/>
      <c r="BF569" s="5" t="n"/>
      <c r="BG569" s="5" t="n"/>
      <c r="BH569" s="5" t="n"/>
      <c r="BI569" s="5" t="n"/>
      <c r="BJ569" s="5" t="n"/>
      <c r="BK569" s="5" t="n"/>
      <c r="BL569" s="5" t="n"/>
      <c r="BM569" s="5" t="n"/>
      <c r="BN569" s="5" t="n"/>
      <c r="BO569" s="5" t="n"/>
      <c r="BP569" s="5" t="n"/>
      <c r="BQ569" s="5" t="n"/>
      <c r="BR569" s="5" t="n"/>
      <c r="BS569" s="5" t="n"/>
      <c r="BT569" s="5" t="n"/>
      <c r="BU569" s="5" t="n"/>
      <c r="BV569" s="5" t="n"/>
      <c r="BW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  <c r="AY570" s="5" t="n"/>
      <c r="AZ570" s="5" t="n"/>
      <c r="BA570" s="5" t="n"/>
      <c r="BB570" s="5" t="n"/>
      <c r="BC570" s="5" t="n"/>
      <c r="BD570" s="5" t="n"/>
      <c r="BE570" s="5" t="n"/>
      <c r="BF570" s="5" t="n"/>
      <c r="BG570" s="5" t="n"/>
      <c r="BH570" s="5" t="n"/>
      <c r="BI570" s="5" t="n"/>
      <c r="BJ570" s="5" t="n"/>
      <c r="BK570" s="5" t="n"/>
      <c r="BL570" s="5" t="n"/>
      <c r="BM570" s="5" t="n"/>
      <c r="BN570" s="5" t="n"/>
      <c r="BO570" s="5" t="n"/>
      <c r="BP570" s="5" t="n"/>
      <c r="BQ570" s="5" t="n"/>
      <c r="BR570" s="5" t="n"/>
      <c r="BS570" s="5" t="n"/>
      <c r="BT570" s="5" t="n"/>
      <c r="BU570" s="5" t="n"/>
      <c r="BV570" s="5" t="n"/>
      <c r="BW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  <c r="AY571" s="5" t="n"/>
      <c r="AZ571" s="5" t="n"/>
      <c r="BA571" s="5" t="n"/>
      <c r="BB571" s="5" t="n"/>
      <c r="BC571" s="5" t="n"/>
      <c r="BD571" s="5" t="n"/>
      <c r="BE571" s="5" t="n"/>
      <c r="BF571" s="5" t="n"/>
      <c r="BG571" s="5" t="n"/>
      <c r="BH571" s="5" t="n"/>
      <c r="BI571" s="5" t="n"/>
      <c r="BJ571" s="5" t="n"/>
      <c r="BK571" s="5" t="n"/>
      <c r="BL571" s="5" t="n"/>
      <c r="BM571" s="5" t="n"/>
      <c r="BN571" s="5" t="n"/>
      <c r="BO571" s="5" t="n"/>
      <c r="BP571" s="5" t="n"/>
      <c r="BQ571" s="5" t="n"/>
      <c r="BR571" s="5" t="n"/>
      <c r="BS571" s="5" t="n"/>
      <c r="BT571" s="5" t="n"/>
      <c r="BU571" s="5" t="n"/>
      <c r="BV571" s="5" t="n"/>
      <c r="BW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  <c r="AY572" s="5" t="n"/>
      <c r="AZ572" s="5" t="n"/>
      <c r="BA572" s="5" t="n"/>
      <c r="BB572" s="5" t="n"/>
      <c r="BC572" s="5" t="n"/>
      <c r="BD572" s="5" t="n"/>
      <c r="BE572" s="5" t="n"/>
      <c r="BF572" s="5" t="n"/>
      <c r="BG572" s="5" t="n"/>
      <c r="BH572" s="5" t="n"/>
      <c r="BI572" s="5" t="n"/>
      <c r="BJ572" s="5" t="n"/>
      <c r="BK572" s="5" t="n"/>
      <c r="BL572" s="5" t="n"/>
      <c r="BM572" s="5" t="n"/>
      <c r="BN572" s="5" t="n"/>
      <c r="BO572" s="5" t="n"/>
      <c r="BP572" s="5" t="n"/>
      <c r="BQ572" s="5" t="n"/>
      <c r="BR572" s="5" t="n"/>
      <c r="BS572" s="5" t="n"/>
      <c r="BT572" s="5" t="n"/>
      <c r="BU572" s="5" t="n"/>
      <c r="BV572" s="5" t="n"/>
      <c r="BW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  <c r="AY573" s="5" t="n"/>
      <c r="AZ573" s="5" t="n"/>
      <c r="BA573" s="5" t="n"/>
      <c r="BB573" s="5" t="n"/>
      <c r="BC573" s="5" t="n"/>
      <c r="BD573" s="5" t="n"/>
      <c r="BE573" s="5" t="n"/>
      <c r="BF573" s="5" t="n"/>
      <c r="BG573" s="5" t="n"/>
      <c r="BH573" s="5" t="n"/>
      <c r="BI573" s="5" t="n"/>
      <c r="BJ573" s="5" t="n"/>
      <c r="BK573" s="5" t="n"/>
      <c r="BL573" s="5" t="n"/>
      <c r="BM573" s="5" t="n"/>
      <c r="BN573" s="5" t="n"/>
      <c r="BO573" s="5" t="n"/>
      <c r="BP573" s="5" t="n"/>
      <c r="BQ573" s="5" t="n"/>
      <c r="BR573" s="5" t="n"/>
      <c r="BS573" s="5" t="n"/>
      <c r="BT573" s="5" t="n"/>
      <c r="BU573" s="5" t="n"/>
      <c r="BV573" s="5" t="n"/>
      <c r="BW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  <c r="AY574" s="5" t="n"/>
      <c r="AZ574" s="5" t="n"/>
      <c r="BA574" s="5" t="n"/>
      <c r="BB574" s="5" t="n"/>
      <c r="BC574" s="5" t="n"/>
      <c r="BD574" s="5" t="n"/>
      <c r="BE574" s="5" t="n"/>
      <c r="BF574" s="5" t="n"/>
      <c r="BG574" s="5" t="n"/>
      <c r="BH574" s="5" t="n"/>
      <c r="BI574" s="5" t="n"/>
      <c r="BJ574" s="5" t="n"/>
      <c r="BK574" s="5" t="n"/>
      <c r="BL574" s="5" t="n"/>
      <c r="BM574" s="5" t="n"/>
      <c r="BN574" s="5" t="n"/>
      <c r="BO574" s="5" t="n"/>
      <c r="BP574" s="5" t="n"/>
      <c r="BQ574" s="5" t="n"/>
      <c r="BR574" s="5" t="n"/>
      <c r="BS574" s="5" t="n"/>
      <c r="BT574" s="5" t="n"/>
      <c r="BU574" s="5" t="n"/>
      <c r="BV574" s="5" t="n"/>
      <c r="BW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  <c r="AY575" s="5" t="n"/>
      <c r="AZ575" s="5" t="n"/>
      <c r="BA575" s="5" t="n"/>
      <c r="BB575" s="5" t="n"/>
      <c r="BC575" s="5" t="n"/>
      <c r="BD575" s="5" t="n"/>
      <c r="BE575" s="5" t="n"/>
      <c r="BF575" s="5" t="n"/>
      <c r="BG575" s="5" t="n"/>
      <c r="BH575" s="5" t="n"/>
      <c r="BI575" s="5" t="n"/>
      <c r="BJ575" s="5" t="n"/>
      <c r="BK575" s="5" t="n"/>
      <c r="BL575" s="5" t="n"/>
      <c r="BM575" s="5" t="n"/>
      <c r="BN575" s="5" t="n"/>
      <c r="BO575" s="5" t="n"/>
      <c r="BP575" s="5" t="n"/>
      <c r="BQ575" s="5" t="n"/>
      <c r="BR575" s="5" t="n"/>
      <c r="BS575" s="5" t="n"/>
      <c r="BT575" s="5" t="n"/>
      <c r="BU575" s="5" t="n"/>
      <c r="BV575" s="5" t="n"/>
      <c r="BW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  <c r="AY576" s="5" t="n"/>
      <c r="AZ576" s="5" t="n"/>
      <c r="BA576" s="5" t="n"/>
      <c r="BB576" s="5" t="n"/>
      <c r="BC576" s="5" t="n"/>
      <c r="BD576" s="5" t="n"/>
      <c r="BE576" s="5" t="n"/>
      <c r="BF576" s="5" t="n"/>
      <c r="BG576" s="5" t="n"/>
      <c r="BH576" s="5" t="n"/>
      <c r="BI576" s="5" t="n"/>
      <c r="BJ576" s="5" t="n"/>
      <c r="BK576" s="5" t="n"/>
      <c r="BL576" s="5" t="n"/>
      <c r="BM576" s="5" t="n"/>
      <c r="BN576" s="5" t="n"/>
      <c r="BO576" s="5" t="n"/>
      <c r="BP576" s="5" t="n"/>
      <c r="BQ576" s="5" t="n"/>
      <c r="BR576" s="5" t="n"/>
      <c r="BS576" s="5" t="n"/>
      <c r="BT576" s="5" t="n"/>
      <c r="BU576" s="5" t="n"/>
      <c r="BV576" s="5" t="n"/>
      <c r="BW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  <c r="AY577" s="5" t="n"/>
      <c r="AZ577" s="5" t="n"/>
      <c r="BA577" s="5" t="n"/>
      <c r="BB577" s="5" t="n"/>
      <c r="BC577" s="5" t="n"/>
      <c r="BD577" s="5" t="n"/>
      <c r="BE577" s="5" t="n"/>
      <c r="BF577" s="5" t="n"/>
      <c r="BG577" s="5" t="n"/>
      <c r="BH577" s="5" t="n"/>
      <c r="BI577" s="5" t="n"/>
      <c r="BJ577" s="5" t="n"/>
      <c r="BK577" s="5" t="n"/>
      <c r="BL577" s="5" t="n"/>
      <c r="BM577" s="5" t="n"/>
      <c r="BN577" s="5" t="n"/>
      <c r="BO577" s="5" t="n"/>
      <c r="BP577" s="5" t="n"/>
      <c r="BQ577" s="5" t="n"/>
      <c r="BR577" s="5" t="n"/>
      <c r="BS577" s="5" t="n"/>
      <c r="BT577" s="5" t="n"/>
      <c r="BU577" s="5" t="n"/>
      <c r="BV577" s="5" t="n"/>
      <c r="BW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  <c r="BA578" s="5" t="n"/>
      <c r="BB578" s="5" t="n"/>
      <c r="BC578" s="5" t="n"/>
      <c r="BD578" s="5" t="n"/>
      <c r="BE578" s="5" t="n"/>
      <c r="BF578" s="5" t="n"/>
      <c r="BG578" s="5" t="n"/>
      <c r="BH578" s="5" t="n"/>
      <c r="BI578" s="5" t="n"/>
      <c r="BJ578" s="5" t="n"/>
      <c r="BK578" s="5" t="n"/>
      <c r="BL578" s="5" t="n"/>
      <c r="BM578" s="5" t="n"/>
      <c r="BN578" s="5" t="n"/>
      <c r="BO578" s="5" t="n"/>
      <c r="BP578" s="5" t="n"/>
      <c r="BQ578" s="5" t="n"/>
      <c r="BR578" s="5" t="n"/>
      <c r="BS578" s="5" t="n"/>
      <c r="BT578" s="5" t="n"/>
      <c r="BU578" s="5" t="n"/>
      <c r="BV578" s="5" t="n"/>
      <c r="BW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  <c r="AY579" s="5" t="n"/>
      <c r="AZ579" s="5" t="n"/>
      <c r="BA579" s="5" t="n"/>
      <c r="BB579" s="5" t="n"/>
      <c r="BC579" s="5" t="n"/>
      <c r="BD579" s="5" t="n"/>
      <c r="BE579" s="5" t="n"/>
      <c r="BF579" s="5" t="n"/>
      <c r="BG579" s="5" t="n"/>
      <c r="BH579" s="5" t="n"/>
      <c r="BI579" s="5" t="n"/>
      <c r="BJ579" s="5" t="n"/>
      <c r="BK579" s="5" t="n"/>
      <c r="BL579" s="5" t="n"/>
      <c r="BM579" s="5" t="n"/>
      <c r="BN579" s="5" t="n"/>
      <c r="BO579" s="5" t="n"/>
      <c r="BP579" s="5" t="n"/>
      <c r="BQ579" s="5" t="n"/>
      <c r="BR579" s="5" t="n"/>
      <c r="BS579" s="5" t="n"/>
      <c r="BT579" s="5" t="n"/>
      <c r="BU579" s="5" t="n"/>
      <c r="BV579" s="5" t="n"/>
      <c r="BW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  <c r="AY580" s="5" t="n"/>
      <c r="AZ580" s="5" t="n"/>
      <c r="BA580" s="5" t="n"/>
      <c r="BB580" s="5" t="n"/>
      <c r="BC580" s="5" t="n"/>
      <c r="BD580" s="5" t="n"/>
      <c r="BE580" s="5" t="n"/>
      <c r="BF580" s="5" t="n"/>
      <c r="BG580" s="5" t="n"/>
      <c r="BH580" s="5" t="n"/>
      <c r="BI580" s="5" t="n"/>
      <c r="BJ580" s="5" t="n"/>
      <c r="BK580" s="5" t="n"/>
      <c r="BL580" s="5" t="n"/>
      <c r="BM580" s="5" t="n"/>
      <c r="BN580" s="5" t="n"/>
      <c r="BO580" s="5" t="n"/>
      <c r="BP580" s="5" t="n"/>
      <c r="BQ580" s="5" t="n"/>
      <c r="BR580" s="5" t="n"/>
      <c r="BS580" s="5" t="n"/>
      <c r="BT580" s="5" t="n"/>
      <c r="BU580" s="5" t="n"/>
      <c r="BV580" s="5" t="n"/>
      <c r="BW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  <c r="AY581" s="5" t="n"/>
      <c r="AZ581" s="5" t="n"/>
      <c r="BA581" s="5" t="n"/>
      <c r="BB581" s="5" t="n"/>
      <c r="BC581" s="5" t="n"/>
      <c r="BD581" s="5" t="n"/>
      <c r="BE581" s="5" t="n"/>
      <c r="BF581" s="5" t="n"/>
      <c r="BG581" s="5" t="n"/>
      <c r="BH581" s="5" t="n"/>
      <c r="BI581" s="5" t="n"/>
      <c r="BJ581" s="5" t="n"/>
      <c r="BK581" s="5" t="n"/>
      <c r="BL581" s="5" t="n"/>
      <c r="BM581" s="5" t="n"/>
      <c r="BN581" s="5" t="n"/>
      <c r="BO581" s="5" t="n"/>
      <c r="BP581" s="5" t="n"/>
      <c r="BQ581" s="5" t="n"/>
      <c r="BR581" s="5" t="n"/>
      <c r="BS581" s="5" t="n"/>
      <c r="BT581" s="5" t="n"/>
      <c r="BU581" s="5" t="n"/>
      <c r="BV581" s="5" t="n"/>
      <c r="BW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  <c r="AY582" s="5" t="n"/>
      <c r="AZ582" s="5" t="n"/>
      <c r="BA582" s="5" t="n"/>
      <c r="BB582" s="5" t="n"/>
      <c r="BC582" s="5" t="n"/>
      <c r="BD582" s="5" t="n"/>
      <c r="BE582" s="5" t="n"/>
      <c r="BF582" s="5" t="n"/>
      <c r="BG582" s="5" t="n"/>
      <c r="BH582" s="5" t="n"/>
      <c r="BI582" s="5" t="n"/>
      <c r="BJ582" s="5" t="n"/>
      <c r="BK582" s="5" t="n"/>
      <c r="BL582" s="5" t="n"/>
      <c r="BM582" s="5" t="n"/>
      <c r="BN582" s="5" t="n"/>
      <c r="BO582" s="5" t="n"/>
      <c r="BP582" s="5" t="n"/>
      <c r="BQ582" s="5" t="n"/>
      <c r="BR582" s="5" t="n"/>
      <c r="BS582" s="5" t="n"/>
      <c r="BT582" s="5" t="n"/>
      <c r="BU582" s="5" t="n"/>
      <c r="BV582" s="5" t="n"/>
      <c r="BW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  <c r="AY583" s="5" t="n"/>
      <c r="AZ583" s="5" t="n"/>
      <c r="BA583" s="5" t="n"/>
      <c r="BB583" s="5" t="n"/>
      <c r="BC583" s="5" t="n"/>
      <c r="BD583" s="5" t="n"/>
      <c r="BE583" s="5" t="n"/>
      <c r="BF583" s="5" t="n"/>
      <c r="BG583" s="5" t="n"/>
      <c r="BH583" s="5" t="n"/>
      <c r="BI583" s="5" t="n"/>
      <c r="BJ583" s="5" t="n"/>
      <c r="BK583" s="5" t="n"/>
      <c r="BL583" s="5" t="n"/>
      <c r="BM583" s="5" t="n"/>
      <c r="BN583" s="5" t="n"/>
      <c r="BO583" s="5" t="n"/>
      <c r="BP583" s="5" t="n"/>
      <c r="BQ583" s="5" t="n"/>
      <c r="BR583" s="5" t="n"/>
      <c r="BS583" s="5" t="n"/>
      <c r="BT583" s="5" t="n"/>
      <c r="BU583" s="5" t="n"/>
      <c r="BV583" s="5" t="n"/>
      <c r="BW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  <c r="AY584" s="5" t="n"/>
      <c r="AZ584" s="5" t="n"/>
      <c r="BA584" s="5" t="n"/>
      <c r="BB584" s="5" t="n"/>
      <c r="BC584" s="5" t="n"/>
      <c r="BD584" s="5" t="n"/>
      <c r="BE584" s="5" t="n"/>
      <c r="BF584" s="5" t="n"/>
      <c r="BG584" s="5" t="n"/>
      <c r="BH584" s="5" t="n"/>
      <c r="BI584" s="5" t="n"/>
      <c r="BJ584" s="5" t="n"/>
      <c r="BK584" s="5" t="n"/>
      <c r="BL584" s="5" t="n"/>
      <c r="BM584" s="5" t="n"/>
      <c r="BN584" s="5" t="n"/>
      <c r="BO584" s="5" t="n"/>
      <c r="BP584" s="5" t="n"/>
      <c r="BQ584" s="5" t="n"/>
      <c r="BR584" s="5" t="n"/>
      <c r="BS584" s="5" t="n"/>
      <c r="BT584" s="5" t="n"/>
      <c r="BU584" s="5" t="n"/>
      <c r="BV584" s="5" t="n"/>
      <c r="BW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  <c r="AY585" s="5" t="n"/>
      <c r="AZ585" s="5" t="n"/>
      <c r="BA585" s="5" t="n"/>
      <c r="BB585" s="5" t="n"/>
      <c r="BC585" s="5" t="n"/>
      <c r="BD585" s="5" t="n"/>
      <c r="BE585" s="5" t="n"/>
      <c r="BF585" s="5" t="n"/>
      <c r="BG585" s="5" t="n"/>
      <c r="BH585" s="5" t="n"/>
      <c r="BI585" s="5" t="n"/>
      <c r="BJ585" s="5" t="n"/>
      <c r="BK585" s="5" t="n"/>
      <c r="BL585" s="5" t="n"/>
      <c r="BM585" s="5" t="n"/>
      <c r="BN585" s="5" t="n"/>
      <c r="BO585" s="5" t="n"/>
      <c r="BP585" s="5" t="n"/>
      <c r="BQ585" s="5" t="n"/>
      <c r="BR585" s="5" t="n"/>
      <c r="BS585" s="5" t="n"/>
      <c r="BT585" s="5" t="n"/>
      <c r="BU585" s="5" t="n"/>
      <c r="BV585" s="5" t="n"/>
      <c r="BW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  <c r="AY586" s="5" t="n"/>
      <c r="AZ586" s="5" t="n"/>
      <c r="BA586" s="5" t="n"/>
      <c r="BB586" s="5" t="n"/>
      <c r="BC586" s="5" t="n"/>
      <c r="BD586" s="5" t="n"/>
      <c r="BE586" s="5" t="n"/>
      <c r="BF586" s="5" t="n"/>
      <c r="BG586" s="5" t="n"/>
      <c r="BH586" s="5" t="n"/>
      <c r="BI586" s="5" t="n"/>
      <c r="BJ586" s="5" t="n"/>
      <c r="BK586" s="5" t="n"/>
      <c r="BL586" s="5" t="n"/>
      <c r="BM586" s="5" t="n"/>
      <c r="BN586" s="5" t="n"/>
      <c r="BO586" s="5" t="n"/>
      <c r="BP586" s="5" t="n"/>
      <c r="BQ586" s="5" t="n"/>
      <c r="BR586" s="5" t="n"/>
      <c r="BS586" s="5" t="n"/>
      <c r="BT586" s="5" t="n"/>
      <c r="BU586" s="5" t="n"/>
      <c r="BV586" s="5" t="n"/>
      <c r="BW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  <c r="AY587" s="5" t="n"/>
      <c r="AZ587" s="5" t="n"/>
      <c r="BA587" s="5" t="n"/>
      <c r="BB587" s="5" t="n"/>
      <c r="BC587" s="5" t="n"/>
      <c r="BD587" s="5" t="n"/>
      <c r="BE587" s="5" t="n"/>
      <c r="BF587" s="5" t="n"/>
      <c r="BG587" s="5" t="n"/>
      <c r="BH587" s="5" t="n"/>
      <c r="BI587" s="5" t="n"/>
      <c r="BJ587" s="5" t="n"/>
      <c r="BK587" s="5" t="n"/>
      <c r="BL587" s="5" t="n"/>
      <c r="BM587" s="5" t="n"/>
      <c r="BN587" s="5" t="n"/>
      <c r="BO587" s="5" t="n"/>
      <c r="BP587" s="5" t="n"/>
      <c r="BQ587" s="5" t="n"/>
      <c r="BR587" s="5" t="n"/>
      <c r="BS587" s="5" t="n"/>
      <c r="BT587" s="5" t="n"/>
      <c r="BU587" s="5" t="n"/>
      <c r="BV587" s="5" t="n"/>
      <c r="BW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  <c r="AY588" s="5" t="n"/>
      <c r="AZ588" s="5" t="n"/>
      <c r="BA588" s="5" t="n"/>
      <c r="BB588" s="5" t="n"/>
      <c r="BC588" s="5" t="n"/>
      <c r="BD588" s="5" t="n"/>
      <c r="BE588" s="5" t="n"/>
      <c r="BF588" s="5" t="n"/>
      <c r="BG588" s="5" t="n"/>
      <c r="BH588" s="5" t="n"/>
      <c r="BI588" s="5" t="n"/>
      <c r="BJ588" s="5" t="n"/>
      <c r="BK588" s="5" t="n"/>
      <c r="BL588" s="5" t="n"/>
      <c r="BM588" s="5" t="n"/>
      <c r="BN588" s="5" t="n"/>
      <c r="BO588" s="5" t="n"/>
      <c r="BP588" s="5" t="n"/>
      <c r="BQ588" s="5" t="n"/>
      <c r="BR588" s="5" t="n"/>
      <c r="BS588" s="5" t="n"/>
      <c r="BT588" s="5" t="n"/>
      <c r="BU588" s="5" t="n"/>
      <c r="BV588" s="5" t="n"/>
      <c r="BW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  <c r="AY589" s="5" t="n"/>
      <c r="AZ589" s="5" t="n"/>
      <c r="BA589" s="5" t="n"/>
      <c r="BB589" s="5" t="n"/>
      <c r="BC589" s="5" t="n"/>
      <c r="BD589" s="5" t="n"/>
      <c r="BE589" s="5" t="n"/>
      <c r="BF589" s="5" t="n"/>
      <c r="BG589" s="5" t="n"/>
      <c r="BH589" s="5" t="n"/>
      <c r="BI589" s="5" t="n"/>
      <c r="BJ589" s="5" t="n"/>
      <c r="BK589" s="5" t="n"/>
      <c r="BL589" s="5" t="n"/>
      <c r="BM589" s="5" t="n"/>
      <c r="BN589" s="5" t="n"/>
      <c r="BO589" s="5" t="n"/>
      <c r="BP589" s="5" t="n"/>
      <c r="BQ589" s="5" t="n"/>
      <c r="BR589" s="5" t="n"/>
      <c r="BS589" s="5" t="n"/>
      <c r="BT589" s="5" t="n"/>
      <c r="BU589" s="5" t="n"/>
      <c r="BV589" s="5" t="n"/>
      <c r="BW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  <c r="AY590" s="5" t="n"/>
      <c r="AZ590" s="5" t="n"/>
      <c r="BA590" s="5" t="n"/>
      <c r="BB590" s="5" t="n"/>
      <c r="BC590" s="5" t="n"/>
      <c r="BD590" s="5" t="n"/>
      <c r="BE590" s="5" t="n"/>
      <c r="BF590" s="5" t="n"/>
      <c r="BG590" s="5" t="n"/>
      <c r="BH590" s="5" t="n"/>
      <c r="BI590" s="5" t="n"/>
      <c r="BJ590" s="5" t="n"/>
      <c r="BK590" s="5" t="n"/>
      <c r="BL590" s="5" t="n"/>
      <c r="BM590" s="5" t="n"/>
      <c r="BN590" s="5" t="n"/>
      <c r="BO590" s="5" t="n"/>
      <c r="BP590" s="5" t="n"/>
      <c r="BQ590" s="5" t="n"/>
      <c r="BR590" s="5" t="n"/>
      <c r="BS590" s="5" t="n"/>
      <c r="BT590" s="5" t="n"/>
      <c r="BU590" s="5" t="n"/>
      <c r="BV590" s="5" t="n"/>
      <c r="BW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  <c r="AY591" s="5" t="n"/>
      <c r="AZ591" s="5" t="n"/>
      <c r="BA591" s="5" t="n"/>
      <c r="BB591" s="5" t="n"/>
      <c r="BC591" s="5" t="n"/>
      <c r="BD591" s="5" t="n"/>
      <c r="BE591" s="5" t="n"/>
      <c r="BF591" s="5" t="n"/>
      <c r="BG591" s="5" t="n"/>
      <c r="BH591" s="5" t="n"/>
      <c r="BI591" s="5" t="n"/>
      <c r="BJ591" s="5" t="n"/>
      <c r="BK591" s="5" t="n"/>
      <c r="BL591" s="5" t="n"/>
      <c r="BM591" s="5" t="n"/>
      <c r="BN591" s="5" t="n"/>
      <c r="BO591" s="5" t="n"/>
      <c r="BP591" s="5" t="n"/>
      <c r="BQ591" s="5" t="n"/>
      <c r="BR591" s="5" t="n"/>
      <c r="BS591" s="5" t="n"/>
      <c r="BT591" s="5" t="n"/>
      <c r="BU591" s="5" t="n"/>
      <c r="BV591" s="5" t="n"/>
      <c r="BW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  <c r="BA592" s="5" t="n"/>
      <c r="BB592" s="5" t="n"/>
      <c r="BC592" s="5" t="n"/>
      <c r="BD592" s="5" t="n"/>
      <c r="BE592" s="5" t="n"/>
      <c r="BF592" s="5" t="n"/>
      <c r="BG592" s="5" t="n"/>
      <c r="BH592" s="5" t="n"/>
      <c r="BI592" s="5" t="n"/>
      <c r="BJ592" s="5" t="n"/>
      <c r="BK592" s="5" t="n"/>
      <c r="BL592" s="5" t="n"/>
      <c r="BM592" s="5" t="n"/>
      <c r="BN592" s="5" t="n"/>
      <c r="BO592" s="5" t="n"/>
      <c r="BP592" s="5" t="n"/>
      <c r="BQ592" s="5" t="n"/>
      <c r="BR592" s="5" t="n"/>
      <c r="BS592" s="5" t="n"/>
      <c r="BT592" s="5" t="n"/>
      <c r="BU592" s="5" t="n"/>
      <c r="BV592" s="5" t="n"/>
      <c r="BW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  <c r="AY593" s="5" t="n"/>
      <c r="AZ593" s="5" t="n"/>
      <c r="BA593" s="5" t="n"/>
      <c r="BB593" s="5" t="n"/>
      <c r="BC593" s="5" t="n"/>
      <c r="BD593" s="5" t="n"/>
      <c r="BE593" s="5" t="n"/>
      <c r="BF593" s="5" t="n"/>
      <c r="BG593" s="5" t="n"/>
      <c r="BH593" s="5" t="n"/>
      <c r="BI593" s="5" t="n"/>
      <c r="BJ593" s="5" t="n"/>
      <c r="BK593" s="5" t="n"/>
      <c r="BL593" s="5" t="n"/>
      <c r="BM593" s="5" t="n"/>
      <c r="BN593" s="5" t="n"/>
      <c r="BO593" s="5" t="n"/>
      <c r="BP593" s="5" t="n"/>
      <c r="BQ593" s="5" t="n"/>
      <c r="BR593" s="5" t="n"/>
      <c r="BS593" s="5" t="n"/>
      <c r="BT593" s="5" t="n"/>
      <c r="BU593" s="5" t="n"/>
      <c r="BV593" s="5" t="n"/>
      <c r="BW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  <c r="AY594" s="5" t="n"/>
      <c r="AZ594" s="5" t="n"/>
      <c r="BA594" s="5" t="n"/>
      <c r="BB594" s="5" t="n"/>
      <c r="BC594" s="5" t="n"/>
      <c r="BD594" s="5" t="n"/>
      <c r="BE594" s="5" t="n"/>
      <c r="BF594" s="5" t="n"/>
      <c r="BG594" s="5" t="n"/>
      <c r="BH594" s="5" t="n"/>
      <c r="BI594" s="5" t="n"/>
      <c r="BJ594" s="5" t="n"/>
      <c r="BK594" s="5" t="n"/>
      <c r="BL594" s="5" t="n"/>
      <c r="BM594" s="5" t="n"/>
      <c r="BN594" s="5" t="n"/>
      <c r="BO594" s="5" t="n"/>
      <c r="BP594" s="5" t="n"/>
      <c r="BQ594" s="5" t="n"/>
      <c r="BR594" s="5" t="n"/>
      <c r="BS594" s="5" t="n"/>
      <c r="BT594" s="5" t="n"/>
      <c r="BU594" s="5" t="n"/>
      <c r="BV594" s="5" t="n"/>
      <c r="BW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  <c r="AY595" s="5" t="n"/>
      <c r="AZ595" s="5" t="n"/>
      <c r="BA595" s="5" t="n"/>
      <c r="BB595" s="5" t="n"/>
      <c r="BC595" s="5" t="n"/>
      <c r="BD595" s="5" t="n"/>
      <c r="BE595" s="5" t="n"/>
      <c r="BF595" s="5" t="n"/>
      <c r="BG595" s="5" t="n"/>
      <c r="BH595" s="5" t="n"/>
      <c r="BI595" s="5" t="n"/>
      <c r="BJ595" s="5" t="n"/>
      <c r="BK595" s="5" t="n"/>
      <c r="BL595" s="5" t="n"/>
      <c r="BM595" s="5" t="n"/>
      <c r="BN595" s="5" t="n"/>
      <c r="BO595" s="5" t="n"/>
      <c r="BP595" s="5" t="n"/>
      <c r="BQ595" s="5" t="n"/>
      <c r="BR595" s="5" t="n"/>
      <c r="BS595" s="5" t="n"/>
      <c r="BT595" s="5" t="n"/>
      <c r="BU595" s="5" t="n"/>
      <c r="BV595" s="5" t="n"/>
      <c r="BW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  <c r="AY596" s="5" t="n"/>
      <c r="AZ596" s="5" t="n"/>
      <c r="BA596" s="5" t="n"/>
      <c r="BB596" s="5" t="n"/>
      <c r="BC596" s="5" t="n"/>
      <c r="BD596" s="5" t="n"/>
      <c r="BE596" s="5" t="n"/>
      <c r="BF596" s="5" t="n"/>
      <c r="BG596" s="5" t="n"/>
      <c r="BH596" s="5" t="n"/>
      <c r="BI596" s="5" t="n"/>
      <c r="BJ596" s="5" t="n"/>
      <c r="BK596" s="5" t="n"/>
      <c r="BL596" s="5" t="n"/>
      <c r="BM596" s="5" t="n"/>
      <c r="BN596" s="5" t="n"/>
      <c r="BO596" s="5" t="n"/>
      <c r="BP596" s="5" t="n"/>
      <c r="BQ596" s="5" t="n"/>
      <c r="BR596" s="5" t="n"/>
      <c r="BS596" s="5" t="n"/>
      <c r="BT596" s="5" t="n"/>
      <c r="BU596" s="5" t="n"/>
      <c r="BV596" s="5" t="n"/>
      <c r="BW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  <c r="AY597" s="5" t="n"/>
      <c r="AZ597" s="5" t="n"/>
      <c r="BA597" s="5" t="n"/>
      <c r="BB597" s="5" t="n"/>
      <c r="BC597" s="5" t="n"/>
      <c r="BD597" s="5" t="n"/>
      <c r="BE597" s="5" t="n"/>
      <c r="BF597" s="5" t="n"/>
      <c r="BG597" s="5" t="n"/>
      <c r="BH597" s="5" t="n"/>
      <c r="BI597" s="5" t="n"/>
      <c r="BJ597" s="5" t="n"/>
      <c r="BK597" s="5" t="n"/>
      <c r="BL597" s="5" t="n"/>
      <c r="BM597" s="5" t="n"/>
      <c r="BN597" s="5" t="n"/>
      <c r="BO597" s="5" t="n"/>
      <c r="BP597" s="5" t="n"/>
      <c r="BQ597" s="5" t="n"/>
      <c r="BR597" s="5" t="n"/>
      <c r="BS597" s="5" t="n"/>
      <c r="BT597" s="5" t="n"/>
      <c r="BU597" s="5" t="n"/>
      <c r="BV597" s="5" t="n"/>
      <c r="BW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  <c r="AY598" s="5" t="n"/>
      <c r="AZ598" s="5" t="n"/>
      <c r="BA598" s="5" t="n"/>
      <c r="BB598" s="5" t="n"/>
      <c r="BC598" s="5" t="n"/>
      <c r="BD598" s="5" t="n"/>
      <c r="BE598" s="5" t="n"/>
      <c r="BF598" s="5" t="n"/>
      <c r="BG598" s="5" t="n"/>
      <c r="BH598" s="5" t="n"/>
      <c r="BI598" s="5" t="n"/>
      <c r="BJ598" s="5" t="n"/>
      <c r="BK598" s="5" t="n"/>
      <c r="BL598" s="5" t="n"/>
      <c r="BM598" s="5" t="n"/>
      <c r="BN598" s="5" t="n"/>
      <c r="BO598" s="5" t="n"/>
      <c r="BP598" s="5" t="n"/>
      <c r="BQ598" s="5" t="n"/>
      <c r="BR598" s="5" t="n"/>
      <c r="BS598" s="5" t="n"/>
      <c r="BT598" s="5" t="n"/>
      <c r="BU598" s="5" t="n"/>
      <c r="BV598" s="5" t="n"/>
      <c r="BW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  <c r="BA599" s="5" t="n"/>
      <c r="BB599" s="5" t="n"/>
      <c r="BC599" s="5" t="n"/>
      <c r="BD599" s="5" t="n"/>
      <c r="BE599" s="5" t="n"/>
      <c r="BF599" s="5" t="n"/>
      <c r="BG599" s="5" t="n"/>
      <c r="BH599" s="5" t="n"/>
      <c r="BI599" s="5" t="n"/>
      <c r="BJ599" s="5" t="n"/>
      <c r="BK599" s="5" t="n"/>
      <c r="BL599" s="5" t="n"/>
      <c r="BM599" s="5" t="n"/>
      <c r="BN599" s="5" t="n"/>
      <c r="BO599" s="5" t="n"/>
      <c r="BP599" s="5" t="n"/>
      <c r="BQ599" s="5" t="n"/>
      <c r="BR599" s="5" t="n"/>
      <c r="BS599" s="5" t="n"/>
      <c r="BT599" s="5" t="n"/>
      <c r="BU599" s="5" t="n"/>
      <c r="BV599" s="5" t="n"/>
      <c r="BW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  <c r="AY600" s="5" t="n"/>
      <c r="AZ600" s="5" t="n"/>
      <c r="BA600" s="5" t="n"/>
      <c r="BB600" s="5" t="n"/>
      <c r="BC600" s="5" t="n"/>
      <c r="BD600" s="5" t="n"/>
      <c r="BE600" s="5" t="n"/>
      <c r="BF600" s="5" t="n"/>
      <c r="BG600" s="5" t="n"/>
      <c r="BH600" s="5" t="n"/>
      <c r="BI600" s="5" t="n"/>
      <c r="BJ600" s="5" t="n"/>
      <c r="BK600" s="5" t="n"/>
      <c r="BL600" s="5" t="n"/>
      <c r="BM600" s="5" t="n"/>
      <c r="BN600" s="5" t="n"/>
      <c r="BO600" s="5" t="n"/>
      <c r="BP600" s="5" t="n"/>
      <c r="BQ600" s="5" t="n"/>
      <c r="BR600" s="5" t="n"/>
      <c r="BS600" s="5" t="n"/>
      <c r="BT600" s="5" t="n"/>
      <c r="BU600" s="5" t="n"/>
      <c r="BV600" s="5" t="n"/>
      <c r="BW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  <c r="AY601" s="5" t="n"/>
      <c r="AZ601" s="5" t="n"/>
      <c r="BA601" s="5" t="n"/>
      <c r="BB601" s="5" t="n"/>
      <c r="BC601" s="5" t="n"/>
      <c r="BD601" s="5" t="n"/>
      <c r="BE601" s="5" t="n"/>
      <c r="BF601" s="5" t="n"/>
      <c r="BG601" s="5" t="n"/>
      <c r="BH601" s="5" t="n"/>
      <c r="BI601" s="5" t="n"/>
      <c r="BJ601" s="5" t="n"/>
      <c r="BK601" s="5" t="n"/>
      <c r="BL601" s="5" t="n"/>
      <c r="BM601" s="5" t="n"/>
      <c r="BN601" s="5" t="n"/>
      <c r="BO601" s="5" t="n"/>
      <c r="BP601" s="5" t="n"/>
      <c r="BQ601" s="5" t="n"/>
      <c r="BR601" s="5" t="n"/>
      <c r="BS601" s="5" t="n"/>
      <c r="BT601" s="5" t="n"/>
      <c r="BU601" s="5" t="n"/>
      <c r="BV601" s="5" t="n"/>
      <c r="BW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  <c r="AY602" s="5" t="n"/>
      <c r="AZ602" s="5" t="n"/>
      <c r="BA602" s="5" t="n"/>
      <c r="BB602" s="5" t="n"/>
      <c r="BC602" s="5" t="n"/>
      <c r="BD602" s="5" t="n"/>
      <c r="BE602" s="5" t="n"/>
      <c r="BF602" s="5" t="n"/>
      <c r="BG602" s="5" t="n"/>
      <c r="BH602" s="5" t="n"/>
      <c r="BI602" s="5" t="n"/>
      <c r="BJ602" s="5" t="n"/>
      <c r="BK602" s="5" t="n"/>
      <c r="BL602" s="5" t="n"/>
      <c r="BM602" s="5" t="n"/>
      <c r="BN602" s="5" t="n"/>
      <c r="BO602" s="5" t="n"/>
      <c r="BP602" s="5" t="n"/>
      <c r="BQ602" s="5" t="n"/>
      <c r="BR602" s="5" t="n"/>
      <c r="BS602" s="5" t="n"/>
      <c r="BT602" s="5" t="n"/>
      <c r="BU602" s="5" t="n"/>
      <c r="BV602" s="5" t="n"/>
      <c r="BW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  <c r="BA603" s="5" t="n"/>
      <c r="BB603" s="5" t="n"/>
      <c r="BC603" s="5" t="n"/>
      <c r="BD603" s="5" t="n"/>
      <c r="BE603" s="5" t="n"/>
      <c r="BF603" s="5" t="n"/>
      <c r="BG603" s="5" t="n"/>
      <c r="BH603" s="5" t="n"/>
      <c r="BI603" s="5" t="n"/>
      <c r="BJ603" s="5" t="n"/>
      <c r="BK603" s="5" t="n"/>
      <c r="BL603" s="5" t="n"/>
      <c r="BM603" s="5" t="n"/>
      <c r="BN603" s="5" t="n"/>
      <c r="BO603" s="5" t="n"/>
      <c r="BP603" s="5" t="n"/>
      <c r="BQ603" s="5" t="n"/>
      <c r="BR603" s="5" t="n"/>
      <c r="BS603" s="5" t="n"/>
      <c r="BT603" s="5" t="n"/>
      <c r="BU603" s="5" t="n"/>
      <c r="BV603" s="5" t="n"/>
      <c r="BW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  <c r="AY604" s="5" t="n"/>
      <c r="AZ604" s="5" t="n"/>
      <c r="BA604" s="5" t="n"/>
      <c r="BB604" s="5" t="n"/>
      <c r="BC604" s="5" t="n"/>
      <c r="BD604" s="5" t="n"/>
      <c r="BE604" s="5" t="n"/>
      <c r="BF604" s="5" t="n"/>
      <c r="BG604" s="5" t="n"/>
      <c r="BH604" s="5" t="n"/>
      <c r="BI604" s="5" t="n"/>
      <c r="BJ604" s="5" t="n"/>
      <c r="BK604" s="5" t="n"/>
      <c r="BL604" s="5" t="n"/>
      <c r="BM604" s="5" t="n"/>
      <c r="BN604" s="5" t="n"/>
      <c r="BO604" s="5" t="n"/>
      <c r="BP604" s="5" t="n"/>
      <c r="BQ604" s="5" t="n"/>
      <c r="BR604" s="5" t="n"/>
      <c r="BS604" s="5" t="n"/>
      <c r="BT604" s="5" t="n"/>
      <c r="BU604" s="5" t="n"/>
      <c r="BV604" s="5" t="n"/>
      <c r="BW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  <c r="BA605" s="5" t="n"/>
      <c r="BB605" s="5" t="n"/>
      <c r="BC605" s="5" t="n"/>
      <c r="BD605" s="5" t="n"/>
      <c r="BE605" s="5" t="n"/>
      <c r="BF605" s="5" t="n"/>
      <c r="BG605" s="5" t="n"/>
      <c r="BH605" s="5" t="n"/>
      <c r="BI605" s="5" t="n"/>
      <c r="BJ605" s="5" t="n"/>
      <c r="BK605" s="5" t="n"/>
      <c r="BL605" s="5" t="n"/>
      <c r="BM605" s="5" t="n"/>
      <c r="BN605" s="5" t="n"/>
      <c r="BO605" s="5" t="n"/>
      <c r="BP605" s="5" t="n"/>
      <c r="BQ605" s="5" t="n"/>
      <c r="BR605" s="5" t="n"/>
      <c r="BS605" s="5" t="n"/>
      <c r="BT605" s="5" t="n"/>
      <c r="BU605" s="5" t="n"/>
      <c r="BV605" s="5" t="n"/>
      <c r="BW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  <c r="AY606" s="5" t="n"/>
      <c r="AZ606" s="5" t="n"/>
      <c r="BA606" s="5" t="n"/>
      <c r="BB606" s="5" t="n"/>
      <c r="BC606" s="5" t="n"/>
      <c r="BD606" s="5" t="n"/>
      <c r="BE606" s="5" t="n"/>
      <c r="BF606" s="5" t="n"/>
      <c r="BG606" s="5" t="n"/>
      <c r="BH606" s="5" t="n"/>
      <c r="BI606" s="5" t="n"/>
      <c r="BJ606" s="5" t="n"/>
      <c r="BK606" s="5" t="n"/>
      <c r="BL606" s="5" t="n"/>
      <c r="BM606" s="5" t="n"/>
      <c r="BN606" s="5" t="n"/>
      <c r="BO606" s="5" t="n"/>
      <c r="BP606" s="5" t="n"/>
      <c r="BQ606" s="5" t="n"/>
      <c r="BR606" s="5" t="n"/>
      <c r="BS606" s="5" t="n"/>
      <c r="BT606" s="5" t="n"/>
      <c r="BU606" s="5" t="n"/>
      <c r="BV606" s="5" t="n"/>
      <c r="BW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  <c r="AY607" s="5" t="n"/>
      <c r="AZ607" s="5" t="n"/>
      <c r="BA607" s="5" t="n"/>
      <c r="BB607" s="5" t="n"/>
      <c r="BC607" s="5" t="n"/>
      <c r="BD607" s="5" t="n"/>
      <c r="BE607" s="5" t="n"/>
      <c r="BF607" s="5" t="n"/>
      <c r="BG607" s="5" t="n"/>
      <c r="BH607" s="5" t="n"/>
      <c r="BI607" s="5" t="n"/>
      <c r="BJ607" s="5" t="n"/>
      <c r="BK607" s="5" t="n"/>
      <c r="BL607" s="5" t="n"/>
      <c r="BM607" s="5" t="n"/>
      <c r="BN607" s="5" t="n"/>
      <c r="BO607" s="5" t="n"/>
      <c r="BP607" s="5" t="n"/>
      <c r="BQ607" s="5" t="n"/>
      <c r="BR607" s="5" t="n"/>
      <c r="BS607" s="5" t="n"/>
      <c r="BT607" s="5" t="n"/>
      <c r="BU607" s="5" t="n"/>
      <c r="BV607" s="5" t="n"/>
      <c r="BW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  <c r="AY608" s="5" t="n"/>
      <c r="AZ608" s="5" t="n"/>
      <c r="BA608" s="5" t="n"/>
      <c r="BB608" s="5" t="n"/>
      <c r="BC608" s="5" t="n"/>
      <c r="BD608" s="5" t="n"/>
      <c r="BE608" s="5" t="n"/>
      <c r="BF608" s="5" t="n"/>
      <c r="BG608" s="5" t="n"/>
      <c r="BH608" s="5" t="n"/>
      <c r="BI608" s="5" t="n"/>
      <c r="BJ608" s="5" t="n"/>
      <c r="BK608" s="5" t="n"/>
      <c r="BL608" s="5" t="n"/>
      <c r="BM608" s="5" t="n"/>
      <c r="BN608" s="5" t="n"/>
      <c r="BO608" s="5" t="n"/>
      <c r="BP608" s="5" t="n"/>
      <c r="BQ608" s="5" t="n"/>
      <c r="BR608" s="5" t="n"/>
      <c r="BS608" s="5" t="n"/>
      <c r="BT608" s="5" t="n"/>
      <c r="BU608" s="5" t="n"/>
      <c r="BV608" s="5" t="n"/>
      <c r="BW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  <c r="BA609" s="5" t="n"/>
      <c r="BB609" s="5" t="n"/>
      <c r="BC609" s="5" t="n"/>
      <c r="BD609" s="5" t="n"/>
      <c r="BE609" s="5" t="n"/>
      <c r="BF609" s="5" t="n"/>
      <c r="BG609" s="5" t="n"/>
      <c r="BH609" s="5" t="n"/>
      <c r="BI609" s="5" t="n"/>
      <c r="BJ609" s="5" t="n"/>
      <c r="BK609" s="5" t="n"/>
      <c r="BL609" s="5" t="n"/>
      <c r="BM609" s="5" t="n"/>
      <c r="BN609" s="5" t="n"/>
      <c r="BO609" s="5" t="n"/>
      <c r="BP609" s="5" t="n"/>
      <c r="BQ609" s="5" t="n"/>
      <c r="BR609" s="5" t="n"/>
      <c r="BS609" s="5" t="n"/>
      <c r="BT609" s="5" t="n"/>
      <c r="BU609" s="5" t="n"/>
      <c r="BV609" s="5" t="n"/>
      <c r="BW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  <c r="AY610" s="5" t="n"/>
      <c r="AZ610" s="5" t="n"/>
      <c r="BA610" s="5" t="n"/>
      <c r="BB610" s="5" t="n"/>
      <c r="BC610" s="5" t="n"/>
      <c r="BD610" s="5" t="n"/>
      <c r="BE610" s="5" t="n"/>
      <c r="BF610" s="5" t="n"/>
      <c r="BG610" s="5" t="n"/>
      <c r="BH610" s="5" t="n"/>
      <c r="BI610" s="5" t="n"/>
      <c r="BJ610" s="5" t="n"/>
      <c r="BK610" s="5" t="n"/>
      <c r="BL610" s="5" t="n"/>
      <c r="BM610" s="5" t="n"/>
      <c r="BN610" s="5" t="n"/>
      <c r="BO610" s="5" t="n"/>
      <c r="BP610" s="5" t="n"/>
      <c r="BQ610" s="5" t="n"/>
      <c r="BR610" s="5" t="n"/>
      <c r="BS610" s="5" t="n"/>
      <c r="BT610" s="5" t="n"/>
      <c r="BU610" s="5" t="n"/>
      <c r="BV610" s="5" t="n"/>
      <c r="BW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  <c r="BA611" s="5" t="n"/>
      <c r="BB611" s="5" t="n"/>
      <c r="BC611" s="5" t="n"/>
      <c r="BD611" s="5" t="n"/>
      <c r="BE611" s="5" t="n"/>
      <c r="BF611" s="5" t="n"/>
      <c r="BG611" s="5" t="n"/>
      <c r="BH611" s="5" t="n"/>
      <c r="BI611" s="5" t="n"/>
      <c r="BJ611" s="5" t="n"/>
      <c r="BK611" s="5" t="n"/>
      <c r="BL611" s="5" t="n"/>
      <c r="BM611" s="5" t="n"/>
      <c r="BN611" s="5" t="n"/>
      <c r="BO611" s="5" t="n"/>
      <c r="BP611" s="5" t="n"/>
      <c r="BQ611" s="5" t="n"/>
      <c r="BR611" s="5" t="n"/>
      <c r="BS611" s="5" t="n"/>
      <c r="BT611" s="5" t="n"/>
      <c r="BU611" s="5" t="n"/>
      <c r="BV611" s="5" t="n"/>
      <c r="BW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  <c r="AY612" s="5" t="n"/>
      <c r="AZ612" s="5" t="n"/>
      <c r="BA612" s="5" t="n"/>
      <c r="BB612" s="5" t="n"/>
      <c r="BC612" s="5" t="n"/>
      <c r="BD612" s="5" t="n"/>
      <c r="BE612" s="5" t="n"/>
      <c r="BF612" s="5" t="n"/>
      <c r="BG612" s="5" t="n"/>
      <c r="BH612" s="5" t="n"/>
      <c r="BI612" s="5" t="n"/>
      <c r="BJ612" s="5" t="n"/>
      <c r="BK612" s="5" t="n"/>
      <c r="BL612" s="5" t="n"/>
      <c r="BM612" s="5" t="n"/>
      <c r="BN612" s="5" t="n"/>
      <c r="BO612" s="5" t="n"/>
      <c r="BP612" s="5" t="n"/>
      <c r="BQ612" s="5" t="n"/>
      <c r="BR612" s="5" t="n"/>
      <c r="BS612" s="5" t="n"/>
      <c r="BT612" s="5" t="n"/>
      <c r="BU612" s="5" t="n"/>
      <c r="BV612" s="5" t="n"/>
      <c r="BW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  <c r="BA613" s="5" t="n"/>
      <c r="BB613" s="5" t="n"/>
      <c r="BC613" s="5" t="n"/>
      <c r="BD613" s="5" t="n"/>
      <c r="BE613" s="5" t="n"/>
      <c r="BF613" s="5" t="n"/>
      <c r="BG613" s="5" t="n"/>
      <c r="BH613" s="5" t="n"/>
      <c r="BI613" s="5" t="n"/>
      <c r="BJ613" s="5" t="n"/>
      <c r="BK613" s="5" t="n"/>
      <c r="BL613" s="5" t="n"/>
      <c r="BM613" s="5" t="n"/>
      <c r="BN613" s="5" t="n"/>
      <c r="BO613" s="5" t="n"/>
      <c r="BP613" s="5" t="n"/>
      <c r="BQ613" s="5" t="n"/>
      <c r="BR613" s="5" t="n"/>
      <c r="BS613" s="5" t="n"/>
      <c r="BT613" s="5" t="n"/>
      <c r="BU613" s="5" t="n"/>
      <c r="BV613" s="5" t="n"/>
      <c r="BW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  <c r="AY614" s="5" t="n"/>
      <c r="AZ614" s="5" t="n"/>
      <c r="BA614" s="5" t="n"/>
      <c r="BB614" s="5" t="n"/>
      <c r="BC614" s="5" t="n"/>
      <c r="BD614" s="5" t="n"/>
      <c r="BE614" s="5" t="n"/>
      <c r="BF614" s="5" t="n"/>
      <c r="BG614" s="5" t="n"/>
      <c r="BH614" s="5" t="n"/>
      <c r="BI614" s="5" t="n"/>
      <c r="BJ614" s="5" t="n"/>
      <c r="BK614" s="5" t="n"/>
      <c r="BL614" s="5" t="n"/>
      <c r="BM614" s="5" t="n"/>
      <c r="BN614" s="5" t="n"/>
      <c r="BO614" s="5" t="n"/>
      <c r="BP614" s="5" t="n"/>
      <c r="BQ614" s="5" t="n"/>
      <c r="BR614" s="5" t="n"/>
      <c r="BS614" s="5" t="n"/>
      <c r="BT614" s="5" t="n"/>
      <c r="BU614" s="5" t="n"/>
      <c r="BV614" s="5" t="n"/>
      <c r="BW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  <c r="BA615" s="5" t="n"/>
      <c r="BB615" s="5" t="n"/>
      <c r="BC615" s="5" t="n"/>
      <c r="BD615" s="5" t="n"/>
      <c r="BE615" s="5" t="n"/>
      <c r="BF615" s="5" t="n"/>
      <c r="BG615" s="5" t="n"/>
      <c r="BH615" s="5" t="n"/>
      <c r="BI615" s="5" t="n"/>
      <c r="BJ615" s="5" t="n"/>
      <c r="BK615" s="5" t="n"/>
      <c r="BL615" s="5" t="n"/>
      <c r="BM615" s="5" t="n"/>
      <c r="BN615" s="5" t="n"/>
      <c r="BO615" s="5" t="n"/>
      <c r="BP615" s="5" t="n"/>
      <c r="BQ615" s="5" t="n"/>
      <c r="BR615" s="5" t="n"/>
      <c r="BS615" s="5" t="n"/>
      <c r="BT615" s="5" t="n"/>
      <c r="BU615" s="5" t="n"/>
      <c r="BV615" s="5" t="n"/>
      <c r="BW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  <c r="AY616" s="5" t="n"/>
      <c r="AZ616" s="5" t="n"/>
      <c r="BA616" s="5" t="n"/>
      <c r="BB616" s="5" t="n"/>
      <c r="BC616" s="5" t="n"/>
      <c r="BD616" s="5" t="n"/>
      <c r="BE616" s="5" t="n"/>
      <c r="BF616" s="5" t="n"/>
      <c r="BG616" s="5" t="n"/>
      <c r="BH616" s="5" t="n"/>
      <c r="BI616" s="5" t="n"/>
      <c r="BJ616" s="5" t="n"/>
      <c r="BK616" s="5" t="n"/>
      <c r="BL616" s="5" t="n"/>
      <c r="BM616" s="5" t="n"/>
      <c r="BN616" s="5" t="n"/>
      <c r="BO616" s="5" t="n"/>
      <c r="BP616" s="5" t="n"/>
      <c r="BQ616" s="5" t="n"/>
      <c r="BR616" s="5" t="n"/>
      <c r="BS616" s="5" t="n"/>
      <c r="BT616" s="5" t="n"/>
      <c r="BU616" s="5" t="n"/>
      <c r="BV616" s="5" t="n"/>
      <c r="BW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  <c r="BA617" s="5" t="n"/>
      <c r="BB617" s="5" t="n"/>
      <c r="BC617" s="5" t="n"/>
      <c r="BD617" s="5" t="n"/>
      <c r="BE617" s="5" t="n"/>
      <c r="BF617" s="5" t="n"/>
      <c r="BG617" s="5" t="n"/>
      <c r="BH617" s="5" t="n"/>
      <c r="BI617" s="5" t="n"/>
      <c r="BJ617" s="5" t="n"/>
      <c r="BK617" s="5" t="n"/>
      <c r="BL617" s="5" t="n"/>
      <c r="BM617" s="5" t="n"/>
      <c r="BN617" s="5" t="n"/>
      <c r="BO617" s="5" t="n"/>
      <c r="BP617" s="5" t="n"/>
      <c r="BQ617" s="5" t="n"/>
      <c r="BR617" s="5" t="n"/>
      <c r="BS617" s="5" t="n"/>
      <c r="BT617" s="5" t="n"/>
      <c r="BU617" s="5" t="n"/>
      <c r="BV617" s="5" t="n"/>
      <c r="BW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  <c r="AY618" s="5" t="n"/>
      <c r="AZ618" s="5" t="n"/>
      <c r="BA618" s="5" t="n"/>
      <c r="BB618" s="5" t="n"/>
      <c r="BC618" s="5" t="n"/>
      <c r="BD618" s="5" t="n"/>
      <c r="BE618" s="5" t="n"/>
      <c r="BF618" s="5" t="n"/>
      <c r="BG618" s="5" t="n"/>
      <c r="BH618" s="5" t="n"/>
      <c r="BI618" s="5" t="n"/>
      <c r="BJ618" s="5" t="n"/>
      <c r="BK618" s="5" t="n"/>
      <c r="BL618" s="5" t="n"/>
      <c r="BM618" s="5" t="n"/>
      <c r="BN618" s="5" t="n"/>
      <c r="BO618" s="5" t="n"/>
      <c r="BP618" s="5" t="n"/>
      <c r="BQ618" s="5" t="n"/>
      <c r="BR618" s="5" t="n"/>
      <c r="BS618" s="5" t="n"/>
      <c r="BT618" s="5" t="n"/>
      <c r="BU618" s="5" t="n"/>
      <c r="BV618" s="5" t="n"/>
      <c r="BW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  <c r="AY619" s="5" t="n"/>
      <c r="AZ619" s="5" t="n"/>
      <c r="BA619" s="5" t="n"/>
      <c r="BB619" s="5" t="n"/>
      <c r="BC619" s="5" t="n"/>
      <c r="BD619" s="5" t="n"/>
      <c r="BE619" s="5" t="n"/>
      <c r="BF619" s="5" t="n"/>
      <c r="BG619" s="5" t="n"/>
      <c r="BH619" s="5" t="n"/>
      <c r="BI619" s="5" t="n"/>
      <c r="BJ619" s="5" t="n"/>
      <c r="BK619" s="5" t="n"/>
      <c r="BL619" s="5" t="n"/>
      <c r="BM619" s="5" t="n"/>
      <c r="BN619" s="5" t="n"/>
      <c r="BO619" s="5" t="n"/>
      <c r="BP619" s="5" t="n"/>
      <c r="BQ619" s="5" t="n"/>
      <c r="BR619" s="5" t="n"/>
      <c r="BS619" s="5" t="n"/>
      <c r="BT619" s="5" t="n"/>
      <c r="BU619" s="5" t="n"/>
      <c r="BV619" s="5" t="n"/>
      <c r="BW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  <c r="AY620" s="5" t="n"/>
      <c r="AZ620" s="5" t="n"/>
      <c r="BA620" s="5" t="n"/>
      <c r="BB620" s="5" t="n"/>
      <c r="BC620" s="5" t="n"/>
      <c r="BD620" s="5" t="n"/>
      <c r="BE620" s="5" t="n"/>
      <c r="BF620" s="5" t="n"/>
      <c r="BG620" s="5" t="n"/>
      <c r="BH620" s="5" t="n"/>
      <c r="BI620" s="5" t="n"/>
      <c r="BJ620" s="5" t="n"/>
      <c r="BK620" s="5" t="n"/>
      <c r="BL620" s="5" t="n"/>
      <c r="BM620" s="5" t="n"/>
      <c r="BN620" s="5" t="n"/>
      <c r="BO620" s="5" t="n"/>
      <c r="BP620" s="5" t="n"/>
      <c r="BQ620" s="5" t="n"/>
      <c r="BR620" s="5" t="n"/>
      <c r="BS620" s="5" t="n"/>
      <c r="BT620" s="5" t="n"/>
      <c r="BU620" s="5" t="n"/>
      <c r="BV620" s="5" t="n"/>
      <c r="BW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  <c r="AY621" s="5" t="n"/>
      <c r="AZ621" s="5" t="n"/>
      <c r="BA621" s="5" t="n"/>
      <c r="BB621" s="5" t="n"/>
      <c r="BC621" s="5" t="n"/>
      <c r="BD621" s="5" t="n"/>
      <c r="BE621" s="5" t="n"/>
      <c r="BF621" s="5" t="n"/>
      <c r="BG621" s="5" t="n"/>
      <c r="BH621" s="5" t="n"/>
      <c r="BI621" s="5" t="n"/>
      <c r="BJ621" s="5" t="n"/>
      <c r="BK621" s="5" t="n"/>
      <c r="BL621" s="5" t="n"/>
      <c r="BM621" s="5" t="n"/>
      <c r="BN621" s="5" t="n"/>
      <c r="BO621" s="5" t="n"/>
      <c r="BP621" s="5" t="n"/>
      <c r="BQ621" s="5" t="n"/>
      <c r="BR621" s="5" t="n"/>
      <c r="BS621" s="5" t="n"/>
      <c r="BT621" s="5" t="n"/>
      <c r="BU621" s="5" t="n"/>
      <c r="BV621" s="5" t="n"/>
      <c r="BW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  <c r="AY622" s="5" t="n"/>
      <c r="AZ622" s="5" t="n"/>
      <c r="BA622" s="5" t="n"/>
      <c r="BB622" s="5" t="n"/>
      <c r="BC622" s="5" t="n"/>
      <c r="BD622" s="5" t="n"/>
      <c r="BE622" s="5" t="n"/>
      <c r="BF622" s="5" t="n"/>
      <c r="BG622" s="5" t="n"/>
      <c r="BH622" s="5" t="n"/>
      <c r="BI622" s="5" t="n"/>
      <c r="BJ622" s="5" t="n"/>
      <c r="BK622" s="5" t="n"/>
      <c r="BL622" s="5" t="n"/>
      <c r="BM622" s="5" t="n"/>
      <c r="BN622" s="5" t="n"/>
      <c r="BO622" s="5" t="n"/>
      <c r="BP622" s="5" t="n"/>
      <c r="BQ622" s="5" t="n"/>
      <c r="BR622" s="5" t="n"/>
      <c r="BS622" s="5" t="n"/>
      <c r="BT622" s="5" t="n"/>
      <c r="BU622" s="5" t="n"/>
      <c r="BV622" s="5" t="n"/>
      <c r="BW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  <c r="AY623" s="5" t="n"/>
      <c r="AZ623" s="5" t="n"/>
      <c r="BA623" s="5" t="n"/>
      <c r="BB623" s="5" t="n"/>
      <c r="BC623" s="5" t="n"/>
      <c r="BD623" s="5" t="n"/>
      <c r="BE623" s="5" t="n"/>
      <c r="BF623" s="5" t="n"/>
      <c r="BG623" s="5" t="n"/>
      <c r="BH623" s="5" t="n"/>
      <c r="BI623" s="5" t="n"/>
      <c r="BJ623" s="5" t="n"/>
      <c r="BK623" s="5" t="n"/>
      <c r="BL623" s="5" t="n"/>
      <c r="BM623" s="5" t="n"/>
      <c r="BN623" s="5" t="n"/>
      <c r="BO623" s="5" t="n"/>
      <c r="BP623" s="5" t="n"/>
      <c r="BQ623" s="5" t="n"/>
      <c r="BR623" s="5" t="n"/>
      <c r="BS623" s="5" t="n"/>
      <c r="BT623" s="5" t="n"/>
      <c r="BU623" s="5" t="n"/>
      <c r="BV623" s="5" t="n"/>
      <c r="BW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  <c r="AY624" s="5" t="n"/>
      <c r="AZ624" s="5" t="n"/>
      <c r="BA624" s="5" t="n"/>
      <c r="BB624" s="5" t="n"/>
      <c r="BC624" s="5" t="n"/>
      <c r="BD624" s="5" t="n"/>
      <c r="BE624" s="5" t="n"/>
      <c r="BF624" s="5" t="n"/>
      <c r="BG624" s="5" t="n"/>
      <c r="BH624" s="5" t="n"/>
      <c r="BI624" s="5" t="n"/>
      <c r="BJ624" s="5" t="n"/>
      <c r="BK624" s="5" t="n"/>
      <c r="BL624" s="5" t="n"/>
      <c r="BM624" s="5" t="n"/>
      <c r="BN624" s="5" t="n"/>
      <c r="BO624" s="5" t="n"/>
      <c r="BP624" s="5" t="n"/>
      <c r="BQ624" s="5" t="n"/>
      <c r="BR624" s="5" t="n"/>
      <c r="BS624" s="5" t="n"/>
      <c r="BT624" s="5" t="n"/>
      <c r="BU624" s="5" t="n"/>
      <c r="BV624" s="5" t="n"/>
      <c r="BW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  <c r="AY625" s="5" t="n"/>
      <c r="AZ625" s="5" t="n"/>
      <c r="BA625" s="5" t="n"/>
      <c r="BB625" s="5" t="n"/>
      <c r="BC625" s="5" t="n"/>
      <c r="BD625" s="5" t="n"/>
      <c r="BE625" s="5" t="n"/>
      <c r="BF625" s="5" t="n"/>
      <c r="BG625" s="5" t="n"/>
      <c r="BH625" s="5" t="n"/>
      <c r="BI625" s="5" t="n"/>
      <c r="BJ625" s="5" t="n"/>
      <c r="BK625" s="5" t="n"/>
      <c r="BL625" s="5" t="n"/>
      <c r="BM625" s="5" t="n"/>
      <c r="BN625" s="5" t="n"/>
      <c r="BO625" s="5" t="n"/>
      <c r="BP625" s="5" t="n"/>
      <c r="BQ625" s="5" t="n"/>
      <c r="BR625" s="5" t="n"/>
      <c r="BS625" s="5" t="n"/>
      <c r="BT625" s="5" t="n"/>
      <c r="BU625" s="5" t="n"/>
      <c r="BV625" s="5" t="n"/>
      <c r="BW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  <c r="AY626" s="5" t="n"/>
      <c r="AZ626" s="5" t="n"/>
      <c r="BA626" s="5" t="n"/>
      <c r="BB626" s="5" t="n"/>
      <c r="BC626" s="5" t="n"/>
      <c r="BD626" s="5" t="n"/>
      <c r="BE626" s="5" t="n"/>
      <c r="BF626" s="5" t="n"/>
      <c r="BG626" s="5" t="n"/>
      <c r="BH626" s="5" t="n"/>
      <c r="BI626" s="5" t="n"/>
      <c r="BJ626" s="5" t="n"/>
      <c r="BK626" s="5" t="n"/>
      <c r="BL626" s="5" t="n"/>
      <c r="BM626" s="5" t="n"/>
      <c r="BN626" s="5" t="n"/>
      <c r="BO626" s="5" t="n"/>
      <c r="BP626" s="5" t="n"/>
      <c r="BQ626" s="5" t="n"/>
      <c r="BR626" s="5" t="n"/>
      <c r="BS626" s="5" t="n"/>
      <c r="BT626" s="5" t="n"/>
      <c r="BU626" s="5" t="n"/>
      <c r="BV626" s="5" t="n"/>
      <c r="BW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  <c r="AY627" s="5" t="n"/>
      <c r="AZ627" s="5" t="n"/>
      <c r="BA627" s="5" t="n"/>
      <c r="BB627" s="5" t="n"/>
      <c r="BC627" s="5" t="n"/>
      <c r="BD627" s="5" t="n"/>
      <c r="BE627" s="5" t="n"/>
      <c r="BF627" s="5" t="n"/>
      <c r="BG627" s="5" t="n"/>
      <c r="BH627" s="5" t="n"/>
      <c r="BI627" s="5" t="n"/>
      <c r="BJ627" s="5" t="n"/>
      <c r="BK627" s="5" t="n"/>
      <c r="BL627" s="5" t="n"/>
      <c r="BM627" s="5" t="n"/>
      <c r="BN627" s="5" t="n"/>
      <c r="BO627" s="5" t="n"/>
      <c r="BP627" s="5" t="n"/>
      <c r="BQ627" s="5" t="n"/>
      <c r="BR627" s="5" t="n"/>
      <c r="BS627" s="5" t="n"/>
      <c r="BT627" s="5" t="n"/>
      <c r="BU627" s="5" t="n"/>
      <c r="BV627" s="5" t="n"/>
      <c r="BW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  <c r="AY628" s="5" t="n"/>
      <c r="AZ628" s="5" t="n"/>
      <c r="BA628" s="5" t="n"/>
      <c r="BB628" s="5" t="n"/>
      <c r="BC628" s="5" t="n"/>
      <c r="BD628" s="5" t="n"/>
      <c r="BE628" s="5" t="n"/>
      <c r="BF628" s="5" t="n"/>
      <c r="BG628" s="5" t="n"/>
      <c r="BH628" s="5" t="n"/>
      <c r="BI628" s="5" t="n"/>
      <c r="BJ628" s="5" t="n"/>
      <c r="BK628" s="5" t="n"/>
      <c r="BL628" s="5" t="n"/>
      <c r="BM628" s="5" t="n"/>
      <c r="BN628" s="5" t="n"/>
      <c r="BO628" s="5" t="n"/>
      <c r="BP628" s="5" t="n"/>
      <c r="BQ628" s="5" t="n"/>
      <c r="BR628" s="5" t="n"/>
      <c r="BS628" s="5" t="n"/>
      <c r="BT628" s="5" t="n"/>
      <c r="BU628" s="5" t="n"/>
      <c r="BV628" s="5" t="n"/>
      <c r="BW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  <c r="AY629" s="5" t="n"/>
      <c r="AZ629" s="5" t="n"/>
      <c r="BA629" s="5" t="n"/>
      <c r="BB629" s="5" t="n"/>
      <c r="BC629" s="5" t="n"/>
      <c r="BD629" s="5" t="n"/>
      <c r="BE629" s="5" t="n"/>
      <c r="BF629" s="5" t="n"/>
      <c r="BG629" s="5" t="n"/>
      <c r="BH629" s="5" t="n"/>
      <c r="BI629" s="5" t="n"/>
      <c r="BJ629" s="5" t="n"/>
      <c r="BK629" s="5" t="n"/>
      <c r="BL629" s="5" t="n"/>
      <c r="BM629" s="5" t="n"/>
      <c r="BN629" s="5" t="n"/>
      <c r="BO629" s="5" t="n"/>
      <c r="BP629" s="5" t="n"/>
      <c r="BQ629" s="5" t="n"/>
      <c r="BR629" s="5" t="n"/>
      <c r="BS629" s="5" t="n"/>
      <c r="BT629" s="5" t="n"/>
      <c r="BU629" s="5" t="n"/>
      <c r="BV629" s="5" t="n"/>
      <c r="BW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  <c r="AY630" s="5" t="n"/>
      <c r="AZ630" s="5" t="n"/>
      <c r="BA630" s="5" t="n"/>
      <c r="BB630" s="5" t="n"/>
      <c r="BC630" s="5" t="n"/>
      <c r="BD630" s="5" t="n"/>
      <c r="BE630" s="5" t="n"/>
      <c r="BF630" s="5" t="n"/>
      <c r="BG630" s="5" t="n"/>
      <c r="BH630" s="5" t="n"/>
      <c r="BI630" s="5" t="n"/>
      <c r="BJ630" s="5" t="n"/>
      <c r="BK630" s="5" t="n"/>
      <c r="BL630" s="5" t="n"/>
      <c r="BM630" s="5" t="n"/>
      <c r="BN630" s="5" t="n"/>
      <c r="BO630" s="5" t="n"/>
      <c r="BP630" s="5" t="n"/>
      <c r="BQ630" s="5" t="n"/>
      <c r="BR630" s="5" t="n"/>
      <c r="BS630" s="5" t="n"/>
      <c r="BT630" s="5" t="n"/>
      <c r="BU630" s="5" t="n"/>
      <c r="BV630" s="5" t="n"/>
      <c r="BW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  <c r="AY631" s="5" t="n"/>
      <c r="AZ631" s="5" t="n"/>
      <c r="BA631" s="5" t="n"/>
      <c r="BB631" s="5" t="n"/>
      <c r="BC631" s="5" t="n"/>
      <c r="BD631" s="5" t="n"/>
      <c r="BE631" s="5" t="n"/>
      <c r="BF631" s="5" t="n"/>
      <c r="BG631" s="5" t="n"/>
      <c r="BH631" s="5" t="n"/>
      <c r="BI631" s="5" t="n"/>
      <c r="BJ631" s="5" t="n"/>
      <c r="BK631" s="5" t="n"/>
      <c r="BL631" s="5" t="n"/>
      <c r="BM631" s="5" t="n"/>
      <c r="BN631" s="5" t="n"/>
      <c r="BO631" s="5" t="n"/>
      <c r="BP631" s="5" t="n"/>
      <c r="BQ631" s="5" t="n"/>
      <c r="BR631" s="5" t="n"/>
      <c r="BS631" s="5" t="n"/>
      <c r="BT631" s="5" t="n"/>
      <c r="BU631" s="5" t="n"/>
      <c r="BV631" s="5" t="n"/>
      <c r="BW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  <c r="AY632" s="5" t="n"/>
      <c r="AZ632" s="5" t="n"/>
      <c r="BA632" s="5" t="n"/>
      <c r="BB632" s="5" t="n"/>
      <c r="BC632" s="5" t="n"/>
      <c r="BD632" s="5" t="n"/>
      <c r="BE632" s="5" t="n"/>
      <c r="BF632" s="5" t="n"/>
      <c r="BG632" s="5" t="n"/>
      <c r="BH632" s="5" t="n"/>
      <c r="BI632" s="5" t="n"/>
      <c r="BJ632" s="5" t="n"/>
      <c r="BK632" s="5" t="n"/>
      <c r="BL632" s="5" t="n"/>
      <c r="BM632" s="5" t="n"/>
      <c r="BN632" s="5" t="n"/>
      <c r="BO632" s="5" t="n"/>
      <c r="BP632" s="5" t="n"/>
      <c r="BQ632" s="5" t="n"/>
      <c r="BR632" s="5" t="n"/>
      <c r="BS632" s="5" t="n"/>
      <c r="BT632" s="5" t="n"/>
      <c r="BU632" s="5" t="n"/>
      <c r="BV632" s="5" t="n"/>
      <c r="BW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  <c r="AY633" s="5" t="n"/>
      <c r="AZ633" s="5" t="n"/>
      <c r="BA633" s="5" t="n"/>
      <c r="BB633" s="5" t="n"/>
      <c r="BC633" s="5" t="n"/>
      <c r="BD633" s="5" t="n"/>
      <c r="BE633" s="5" t="n"/>
      <c r="BF633" s="5" t="n"/>
      <c r="BG633" s="5" t="n"/>
      <c r="BH633" s="5" t="n"/>
      <c r="BI633" s="5" t="n"/>
      <c r="BJ633" s="5" t="n"/>
      <c r="BK633" s="5" t="n"/>
      <c r="BL633" s="5" t="n"/>
      <c r="BM633" s="5" t="n"/>
      <c r="BN633" s="5" t="n"/>
      <c r="BO633" s="5" t="n"/>
      <c r="BP633" s="5" t="n"/>
      <c r="BQ633" s="5" t="n"/>
      <c r="BR633" s="5" t="n"/>
      <c r="BS633" s="5" t="n"/>
      <c r="BT633" s="5" t="n"/>
      <c r="BU633" s="5" t="n"/>
      <c r="BV633" s="5" t="n"/>
      <c r="BW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  <c r="AY634" s="5" t="n"/>
      <c r="AZ634" s="5" t="n"/>
      <c r="BA634" s="5" t="n"/>
      <c r="BB634" s="5" t="n"/>
      <c r="BC634" s="5" t="n"/>
      <c r="BD634" s="5" t="n"/>
      <c r="BE634" s="5" t="n"/>
      <c r="BF634" s="5" t="n"/>
      <c r="BG634" s="5" t="n"/>
      <c r="BH634" s="5" t="n"/>
      <c r="BI634" s="5" t="n"/>
      <c r="BJ634" s="5" t="n"/>
      <c r="BK634" s="5" t="n"/>
      <c r="BL634" s="5" t="n"/>
      <c r="BM634" s="5" t="n"/>
      <c r="BN634" s="5" t="n"/>
      <c r="BO634" s="5" t="n"/>
      <c r="BP634" s="5" t="n"/>
      <c r="BQ634" s="5" t="n"/>
      <c r="BR634" s="5" t="n"/>
      <c r="BS634" s="5" t="n"/>
      <c r="BT634" s="5" t="n"/>
      <c r="BU634" s="5" t="n"/>
      <c r="BV634" s="5" t="n"/>
      <c r="BW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  <c r="AY635" s="5" t="n"/>
      <c r="AZ635" s="5" t="n"/>
      <c r="BA635" s="5" t="n"/>
      <c r="BB635" s="5" t="n"/>
      <c r="BC635" s="5" t="n"/>
      <c r="BD635" s="5" t="n"/>
      <c r="BE635" s="5" t="n"/>
      <c r="BF635" s="5" t="n"/>
      <c r="BG635" s="5" t="n"/>
      <c r="BH635" s="5" t="n"/>
      <c r="BI635" s="5" t="n"/>
      <c r="BJ635" s="5" t="n"/>
      <c r="BK635" s="5" t="n"/>
      <c r="BL635" s="5" t="n"/>
      <c r="BM635" s="5" t="n"/>
      <c r="BN635" s="5" t="n"/>
      <c r="BO635" s="5" t="n"/>
      <c r="BP635" s="5" t="n"/>
      <c r="BQ635" s="5" t="n"/>
      <c r="BR635" s="5" t="n"/>
      <c r="BS635" s="5" t="n"/>
      <c r="BT635" s="5" t="n"/>
      <c r="BU635" s="5" t="n"/>
      <c r="BV635" s="5" t="n"/>
      <c r="BW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  <c r="AY636" s="5" t="n"/>
      <c r="AZ636" s="5" t="n"/>
      <c r="BA636" s="5" t="n"/>
      <c r="BB636" s="5" t="n"/>
      <c r="BC636" s="5" t="n"/>
      <c r="BD636" s="5" t="n"/>
      <c r="BE636" s="5" t="n"/>
      <c r="BF636" s="5" t="n"/>
      <c r="BG636" s="5" t="n"/>
      <c r="BH636" s="5" t="n"/>
      <c r="BI636" s="5" t="n"/>
      <c r="BJ636" s="5" t="n"/>
      <c r="BK636" s="5" t="n"/>
      <c r="BL636" s="5" t="n"/>
      <c r="BM636" s="5" t="n"/>
      <c r="BN636" s="5" t="n"/>
      <c r="BO636" s="5" t="n"/>
      <c r="BP636" s="5" t="n"/>
      <c r="BQ636" s="5" t="n"/>
      <c r="BR636" s="5" t="n"/>
      <c r="BS636" s="5" t="n"/>
      <c r="BT636" s="5" t="n"/>
      <c r="BU636" s="5" t="n"/>
      <c r="BV636" s="5" t="n"/>
      <c r="BW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  <c r="AY637" s="5" t="n"/>
      <c r="AZ637" s="5" t="n"/>
      <c r="BA637" s="5" t="n"/>
      <c r="BB637" s="5" t="n"/>
      <c r="BC637" s="5" t="n"/>
      <c r="BD637" s="5" t="n"/>
      <c r="BE637" s="5" t="n"/>
      <c r="BF637" s="5" t="n"/>
      <c r="BG637" s="5" t="n"/>
      <c r="BH637" s="5" t="n"/>
      <c r="BI637" s="5" t="n"/>
      <c r="BJ637" s="5" t="n"/>
      <c r="BK637" s="5" t="n"/>
      <c r="BL637" s="5" t="n"/>
      <c r="BM637" s="5" t="n"/>
      <c r="BN637" s="5" t="n"/>
      <c r="BO637" s="5" t="n"/>
      <c r="BP637" s="5" t="n"/>
      <c r="BQ637" s="5" t="n"/>
      <c r="BR637" s="5" t="n"/>
      <c r="BS637" s="5" t="n"/>
      <c r="BT637" s="5" t="n"/>
      <c r="BU637" s="5" t="n"/>
      <c r="BV637" s="5" t="n"/>
      <c r="BW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  <c r="AY638" s="5" t="n"/>
      <c r="AZ638" s="5" t="n"/>
      <c r="BA638" s="5" t="n"/>
      <c r="BB638" s="5" t="n"/>
      <c r="BC638" s="5" t="n"/>
      <c r="BD638" s="5" t="n"/>
      <c r="BE638" s="5" t="n"/>
      <c r="BF638" s="5" t="n"/>
      <c r="BG638" s="5" t="n"/>
      <c r="BH638" s="5" t="n"/>
      <c r="BI638" s="5" t="n"/>
      <c r="BJ638" s="5" t="n"/>
      <c r="BK638" s="5" t="n"/>
      <c r="BL638" s="5" t="n"/>
      <c r="BM638" s="5" t="n"/>
      <c r="BN638" s="5" t="n"/>
      <c r="BO638" s="5" t="n"/>
      <c r="BP638" s="5" t="n"/>
      <c r="BQ638" s="5" t="n"/>
      <c r="BR638" s="5" t="n"/>
      <c r="BS638" s="5" t="n"/>
      <c r="BT638" s="5" t="n"/>
      <c r="BU638" s="5" t="n"/>
      <c r="BV638" s="5" t="n"/>
      <c r="BW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  <c r="AY639" s="5" t="n"/>
      <c r="AZ639" s="5" t="n"/>
      <c r="BA639" s="5" t="n"/>
      <c r="BB639" s="5" t="n"/>
      <c r="BC639" s="5" t="n"/>
      <c r="BD639" s="5" t="n"/>
      <c r="BE639" s="5" t="n"/>
      <c r="BF639" s="5" t="n"/>
      <c r="BG639" s="5" t="n"/>
      <c r="BH639" s="5" t="n"/>
      <c r="BI639" s="5" t="n"/>
      <c r="BJ639" s="5" t="n"/>
      <c r="BK639" s="5" t="n"/>
      <c r="BL639" s="5" t="n"/>
      <c r="BM639" s="5" t="n"/>
      <c r="BN639" s="5" t="n"/>
      <c r="BO639" s="5" t="n"/>
      <c r="BP639" s="5" t="n"/>
      <c r="BQ639" s="5" t="n"/>
      <c r="BR639" s="5" t="n"/>
      <c r="BS639" s="5" t="n"/>
      <c r="BT639" s="5" t="n"/>
      <c r="BU639" s="5" t="n"/>
      <c r="BV639" s="5" t="n"/>
      <c r="BW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  <c r="AY640" s="5" t="n"/>
      <c r="AZ640" s="5" t="n"/>
      <c r="BA640" s="5" t="n"/>
      <c r="BB640" s="5" t="n"/>
      <c r="BC640" s="5" t="n"/>
      <c r="BD640" s="5" t="n"/>
      <c r="BE640" s="5" t="n"/>
      <c r="BF640" s="5" t="n"/>
      <c r="BG640" s="5" t="n"/>
      <c r="BH640" s="5" t="n"/>
      <c r="BI640" s="5" t="n"/>
      <c r="BJ640" s="5" t="n"/>
      <c r="BK640" s="5" t="n"/>
      <c r="BL640" s="5" t="n"/>
      <c r="BM640" s="5" t="n"/>
      <c r="BN640" s="5" t="n"/>
      <c r="BO640" s="5" t="n"/>
      <c r="BP640" s="5" t="n"/>
      <c r="BQ640" s="5" t="n"/>
      <c r="BR640" s="5" t="n"/>
      <c r="BS640" s="5" t="n"/>
      <c r="BT640" s="5" t="n"/>
      <c r="BU640" s="5" t="n"/>
      <c r="BV640" s="5" t="n"/>
      <c r="BW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  <c r="AY641" s="5" t="n"/>
      <c r="AZ641" s="5" t="n"/>
      <c r="BA641" s="5" t="n"/>
      <c r="BB641" s="5" t="n"/>
      <c r="BC641" s="5" t="n"/>
      <c r="BD641" s="5" t="n"/>
      <c r="BE641" s="5" t="n"/>
      <c r="BF641" s="5" t="n"/>
      <c r="BG641" s="5" t="n"/>
      <c r="BH641" s="5" t="n"/>
      <c r="BI641" s="5" t="n"/>
      <c r="BJ641" s="5" t="n"/>
      <c r="BK641" s="5" t="n"/>
      <c r="BL641" s="5" t="n"/>
      <c r="BM641" s="5" t="n"/>
      <c r="BN641" s="5" t="n"/>
      <c r="BO641" s="5" t="n"/>
      <c r="BP641" s="5" t="n"/>
      <c r="BQ641" s="5" t="n"/>
      <c r="BR641" s="5" t="n"/>
      <c r="BS641" s="5" t="n"/>
      <c r="BT641" s="5" t="n"/>
      <c r="BU641" s="5" t="n"/>
      <c r="BV641" s="5" t="n"/>
      <c r="BW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  <c r="AY642" s="5" t="n"/>
      <c r="AZ642" s="5" t="n"/>
      <c r="BA642" s="5" t="n"/>
      <c r="BB642" s="5" t="n"/>
      <c r="BC642" s="5" t="n"/>
      <c r="BD642" s="5" t="n"/>
      <c r="BE642" s="5" t="n"/>
      <c r="BF642" s="5" t="n"/>
      <c r="BG642" s="5" t="n"/>
      <c r="BH642" s="5" t="n"/>
      <c r="BI642" s="5" t="n"/>
      <c r="BJ642" s="5" t="n"/>
      <c r="BK642" s="5" t="n"/>
      <c r="BL642" s="5" t="n"/>
      <c r="BM642" s="5" t="n"/>
      <c r="BN642" s="5" t="n"/>
      <c r="BO642" s="5" t="n"/>
      <c r="BP642" s="5" t="n"/>
      <c r="BQ642" s="5" t="n"/>
      <c r="BR642" s="5" t="n"/>
      <c r="BS642" s="5" t="n"/>
      <c r="BT642" s="5" t="n"/>
      <c r="BU642" s="5" t="n"/>
      <c r="BV642" s="5" t="n"/>
      <c r="BW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  <c r="AY643" s="5" t="n"/>
      <c r="AZ643" s="5" t="n"/>
      <c r="BA643" s="5" t="n"/>
      <c r="BB643" s="5" t="n"/>
      <c r="BC643" s="5" t="n"/>
      <c r="BD643" s="5" t="n"/>
      <c r="BE643" s="5" t="n"/>
      <c r="BF643" s="5" t="n"/>
      <c r="BG643" s="5" t="n"/>
      <c r="BH643" s="5" t="n"/>
      <c r="BI643" s="5" t="n"/>
      <c r="BJ643" s="5" t="n"/>
      <c r="BK643" s="5" t="n"/>
      <c r="BL643" s="5" t="n"/>
      <c r="BM643" s="5" t="n"/>
      <c r="BN643" s="5" t="n"/>
      <c r="BO643" s="5" t="n"/>
      <c r="BP643" s="5" t="n"/>
      <c r="BQ643" s="5" t="n"/>
      <c r="BR643" s="5" t="n"/>
      <c r="BS643" s="5" t="n"/>
      <c r="BT643" s="5" t="n"/>
      <c r="BU643" s="5" t="n"/>
      <c r="BV643" s="5" t="n"/>
      <c r="BW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  <c r="AY644" s="5" t="n"/>
      <c r="AZ644" s="5" t="n"/>
      <c r="BA644" s="5" t="n"/>
      <c r="BB644" s="5" t="n"/>
      <c r="BC644" s="5" t="n"/>
      <c r="BD644" s="5" t="n"/>
      <c r="BE644" s="5" t="n"/>
      <c r="BF644" s="5" t="n"/>
      <c r="BG644" s="5" t="n"/>
      <c r="BH644" s="5" t="n"/>
      <c r="BI644" s="5" t="n"/>
      <c r="BJ644" s="5" t="n"/>
      <c r="BK644" s="5" t="n"/>
      <c r="BL644" s="5" t="n"/>
      <c r="BM644" s="5" t="n"/>
      <c r="BN644" s="5" t="n"/>
      <c r="BO644" s="5" t="n"/>
      <c r="BP644" s="5" t="n"/>
      <c r="BQ644" s="5" t="n"/>
      <c r="BR644" s="5" t="n"/>
      <c r="BS644" s="5" t="n"/>
      <c r="BT644" s="5" t="n"/>
      <c r="BU644" s="5" t="n"/>
      <c r="BV644" s="5" t="n"/>
      <c r="BW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  <c r="AY645" s="5" t="n"/>
      <c r="AZ645" s="5" t="n"/>
      <c r="BA645" s="5" t="n"/>
      <c r="BB645" s="5" t="n"/>
      <c r="BC645" s="5" t="n"/>
      <c r="BD645" s="5" t="n"/>
      <c r="BE645" s="5" t="n"/>
      <c r="BF645" s="5" t="n"/>
      <c r="BG645" s="5" t="n"/>
      <c r="BH645" s="5" t="n"/>
      <c r="BI645" s="5" t="n"/>
      <c r="BJ645" s="5" t="n"/>
      <c r="BK645" s="5" t="n"/>
      <c r="BL645" s="5" t="n"/>
      <c r="BM645" s="5" t="n"/>
      <c r="BN645" s="5" t="n"/>
      <c r="BO645" s="5" t="n"/>
      <c r="BP645" s="5" t="n"/>
      <c r="BQ645" s="5" t="n"/>
      <c r="BR645" s="5" t="n"/>
      <c r="BS645" s="5" t="n"/>
      <c r="BT645" s="5" t="n"/>
      <c r="BU645" s="5" t="n"/>
      <c r="BV645" s="5" t="n"/>
      <c r="BW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  <c r="AY646" s="5" t="n"/>
      <c r="AZ646" s="5" t="n"/>
      <c r="BA646" s="5" t="n"/>
      <c r="BB646" s="5" t="n"/>
      <c r="BC646" s="5" t="n"/>
      <c r="BD646" s="5" t="n"/>
      <c r="BE646" s="5" t="n"/>
      <c r="BF646" s="5" t="n"/>
      <c r="BG646" s="5" t="n"/>
      <c r="BH646" s="5" t="n"/>
      <c r="BI646" s="5" t="n"/>
      <c r="BJ646" s="5" t="n"/>
      <c r="BK646" s="5" t="n"/>
      <c r="BL646" s="5" t="n"/>
      <c r="BM646" s="5" t="n"/>
      <c r="BN646" s="5" t="n"/>
      <c r="BO646" s="5" t="n"/>
      <c r="BP646" s="5" t="n"/>
      <c r="BQ646" s="5" t="n"/>
      <c r="BR646" s="5" t="n"/>
      <c r="BS646" s="5" t="n"/>
      <c r="BT646" s="5" t="n"/>
      <c r="BU646" s="5" t="n"/>
      <c r="BV646" s="5" t="n"/>
      <c r="BW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  <c r="AY647" s="5" t="n"/>
      <c r="AZ647" s="5" t="n"/>
      <c r="BA647" s="5" t="n"/>
      <c r="BB647" s="5" t="n"/>
      <c r="BC647" s="5" t="n"/>
      <c r="BD647" s="5" t="n"/>
      <c r="BE647" s="5" t="n"/>
      <c r="BF647" s="5" t="n"/>
      <c r="BG647" s="5" t="n"/>
      <c r="BH647" s="5" t="n"/>
      <c r="BI647" s="5" t="n"/>
      <c r="BJ647" s="5" t="n"/>
      <c r="BK647" s="5" t="n"/>
      <c r="BL647" s="5" t="n"/>
      <c r="BM647" s="5" t="n"/>
      <c r="BN647" s="5" t="n"/>
      <c r="BO647" s="5" t="n"/>
      <c r="BP647" s="5" t="n"/>
      <c r="BQ647" s="5" t="n"/>
      <c r="BR647" s="5" t="n"/>
      <c r="BS647" s="5" t="n"/>
      <c r="BT647" s="5" t="n"/>
      <c r="BU647" s="5" t="n"/>
      <c r="BV647" s="5" t="n"/>
      <c r="BW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  <c r="AY648" s="5" t="n"/>
      <c r="AZ648" s="5" t="n"/>
      <c r="BA648" s="5" t="n"/>
      <c r="BB648" s="5" t="n"/>
      <c r="BC648" s="5" t="n"/>
      <c r="BD648" s="5" t="n"/>
      <c r="BE648" s="5" t="n"/>
      <c r="BF648" s="5" t="n"/>
      <c r="BG648" s="5" t="n"/>
      <c r="BH648" s="5" t="n"/>
      <c r="BI648" s="5" t="n"/>
      <c r="BJ648" s="5" t="n"/>
      <c r="BK648" s="5" t="n"/>
      <c r="BL648" s="5" t="n"/>
      <c r="BM648" s="5" t="n"/>
      <c r="BN648" s="5" t="n"/>
      <c r="BO648" s="5" t="n"/>
      <c r="BP648" s="5" t="n"/>
      <c r="BQ648" s="5" t="n"/>
      <c r="BR648" s="5" t="n"/>
      <c r="BS648" s="5" t="n"/>
      <c r="BT648" s="5" t="n"/>
      <c r="BU648" s="5" t="n"/>
      <c r="BV648" s="5" t="n"/>
      <c r="BW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  <c r="AY649" s="5" t="n"/>
      <c r="AZ649" s="5" t="n"/>
      <c r="BA649" s="5" t="n"/>
      <c r="BB649" s="5" t="n"/>
      <c r="BC649" s="5" t="n"/>
      <c r="BD649" s="5" t="n"/>
      <c r="BE649" s="5" t="n"/>
      <c r="BF649" s="5" t="n"/>
      <c r="BG649" s="5" t="n"/>
      <c r="BH649" s="5" t="n"/>
      <c r="BI649" s="5" t="n"/>
      <c r="BJ649" s="5" t="n"/>
      <c r="BK649" s="5" t="n"/>
      <c r="BL649" s="5" t="n"/>
      <c r="BM649" s="5" t="n"/>
      <c r="BN649" s="5" t="n"/>
      <c r="BO649" s="5" t="n"/>
      <c r="BP649" s="5" t="n"/>
      <c r="BQ649" s="5" t="n"/>
      <c r="BR649" s="5" t="n"/>
      <c r="BS649" s="5" t="n"/>
      <c r="BT649" s="5" t="n"/>
      <c r="BU649" s="5" t="n"/>
      <c r="BV649" s="5" t="n"/>
      <c r="BW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  <c r="AY650" s="5" t="n"/>
      <c r="AZ650" s="5" t="n"/>
      <c r="BA650" s="5" t="n"/>
      <c r="BB650" s="5" t="n"/>
      <c r="BC650" s="5" t="n"/>
      <c r="BD650" s="5" t="n"/>
      <c r="BE650" s="5" t="n"/>
      <c r="BF650" s="5" t="n"/>
      <c r="BG650" s="5" t="n"/>
      <c r="BH650" s="5" t="n"/>
      <c r="BI650" s="5" t="n"/>
      <c r="BJ650" s="5" t="n"/>
      <c r="BK650" s="5" t="n"/>
      <c r="BL650" s="5" t="n"/>
      <c r="BM650" s="5" t="n"/>
      <c r="BN650" s="5" t="n"/>
      <c r="BO650" s="5" t="n"/>
      <c r="BP650" s="5" t="n"/>
      <c r="BQ650" s="5" t="n"/>
      <c r="BR650" s="5" t="n"/>
      <c r="BS650" s="5" t="n"/>
      <c r="BT650" s="5" t="n"/>
      <c r="BU650" s="5" t="n"/>
      <c r="BV650" s="5" t="n"/>
      <c r="BW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  <c r="AY651" s="5" t="n"/>
      <c r="AZ651" s="5" t="n"/>
      <c r="BA651" s="5" t="n"/>
      <c r="BB651" s="5" t="n"/>
      <c r="BC651" s="5" t="n"/>
      <c r="BD651" s="5" t="n"/>
      <c r="BE651" s="5" t="n"/>
      <c r="BF651" s="5" t="n"/>
      <c r="BG651" s="5" t="n"/>
      <c r="BH651" s="5" t="n"/>
      <c r="BI651" s="5" t="n"/>
      <c r="BJ651" s="5" t="n"/>
      <c r="BK651" s="5" t="n"/>
      <c r="BL651" s="5" t="n"/>
      <c r="BM651" s="5" t="n"/>
      <c r="BN651" s="5" t="n"/>
      <c r="BO651" s="5" t="n"/>
      <c r="BP651" s="5" t="n"/>
      <c r="BQ651" s="5" t="n"/>
      <c r="BR651" s="5" t="n"/>
      <c r="BS651" s="5" t="n"/>
      <c r="BT651" s="5" t="n"/>
      <c r="BU651" s="5" t="n"/>
      <c r="BV651" s="5" t="n"/>
      <c r="BW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  <c r="AY652" s="5" t="n"/>
      <c r="AZ652" s="5" t="n"/>
      <c r="BA652" s="5" t="n"/>
      <c r="BB652" s="5" t="n"/>
      <c r="BC652" s="5" t="n"/>
      <c r="BD652" s="5" t="n"/>
      <c r="BE652" s="5" t="n"/>
      <c r="BF652" s="5" t="n"/>
      <c r="BG652" s="5" t="n"/>
      <c r="BH652" s="5" t="n"/>
      <c r="BI652" s="5" t="n"/>
      <c r="BJ652" s="5" t="n"/>
      <c r="BK652" s="5" t="n"/>
      <c r="BL652" s="5" t="n"/>
      <c r="BM652" s="5" t="n"/>
      <c r="BN652" s="5" t="n"/>
      <c r="BO652" s="5" t="n"/>
      <c r="BP652" s="5" t="n"/>
      <c r="BQ652" s="5" t="n"/>
      <c r="BR652" s="5" t="n"/>
      <c r="BS652" s="5" t="n"/>
      <c r="BT652" s="5" t="n"/>
      <c r="BU652" s="5" t="n"/>
      <c r="BV652" s="5" t="n"/>
      <c r="BW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  <c r="AY653" s="5" t="n"/>
      <c r="AZ653" s="5" t="n"/>
      <c r="BA653" s="5" t="n"/>
      <c r="BB653" s="5" t="n"/>
      <c r="BC653" s="5" t="n"/>
      <c r="BD653" s="5" t="n"/>
      <c r="BE653" s="5" t="n"/>
      <c r="BF653" s="5" t="n"/>
      <c r="BG653" s="5" t="n"/>
      <c r="BH653" s="5" t="n"/>
      <c r="BI653" s="5" t="n"/>
      <c r="BJ653" s="5" t="n"/>
      <c r="BK653" s="5" t="n"/>
      <c r="BL653" s="5" t="n"/>
      <c r="BM653" s="5" t="n"/>
      <c r="BN653" s="5" t="n"/>
      <c r="BO653" s="5" t="n"/>
      <c r="BP653" s="5" t="n"/>
      <c r="BQ653" s="5" t="n"/>
      <c r="BR653" s="5" t="n"/>
      <c r="BS653" s="5" t="n"/>
      <c r="BT653" s="5" t="n"/>
      <c r="BU653" s="5" t="n"/>
      <c r="BV653" s="5" t="n"/>
      <c r="BW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  <c r="AY654" s="5" t="n"/>
      <c r="AZ654" s="5" t="n"/>
      <c r="BA654" s="5" t="n"/>
      <c r="BB654" s="5" t="n"/>
      <c r="BC654" s="5" t="n"/>
      <c r="BD654" s="5" t="n"/>
      <c r="BE654" s="5" t="n"/>
      <c r="BF654" s="5" t="n"/>
      <c r="BG654" s="5" t="n"/>
      <c r="BH654" s="5" t="n"/>
      <c r="BI654" s="5" t="n"/>
      <c r="BJ654" s="5" t="n"/>
      <c r="BK654" s="5" t="n"/>
      <c r="BL654" s="5" t="n"/>
      <c r="BM654" s="5" t="n"/>
      <c r="BN654" s="5" t="n"/>
      <c r="BO654" s="5" t="n"/>
      <c r="BP654" s="5" t="n"/>
      <c r="BQ654" s="5" t="n"/>
      <c r="BR654" s="5" t="n"/>
      <c r="BS654" s="5" t="n"/>
      <c r="BT654" s="5" t="n"/>
      <c r="BU654" s="5" t="n"/>
      <c r="BV654" s="5" t="n"/>
      <c r="BW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  <c r="AY655" s="5" t="n"/>
      <c r="AZ655" s="5" t="n"/>
      <c r="BA655" s="5" t="n"/>
      <c r="BB655" s="5" t="n"/>
      <c r="BC655" s="5" t="n"/>
      <c r="BD655" s="5" t="n"/>
      <c r="BE655" s="5" t="n"/>
      <c r="BF655" s="5" t="n"/>
      <c r="BG655" s="5" t="n"/>
      <c r="BH655" s="5" t="n"/>
      <c r="BI655" s="5" t="n"/>
      <c r="BJ655" s="5" t="n"/>
      <c r="BK655" s="5" t="n"/>
      <c r="BL655" s="5" t="n"/>
      <c r="BM655" s="5" t="n"/>
      <c r="BN655" s="5" t="n"/>
      <c r="BO655" s="5" t="n"/>
      <c r="BP655" s="5" t="n"/>
      <c r="BQ655" s="5" t="n"/>
      <c r="BR655" s="5" t="n"/>
      <c r="BS655" s="5" t="n"/>
      <c r="BT655" s="5" t="n"/>
      <c r="BU655" s="5" t="n"/>
      <c r="BV655" s="5" t="n"/>
      <c r="BW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  <c r="AY656" s="5" t="n"/>
      <c r="AZ656" s="5" t="n"/>
      <c r="BA656" s="5" t="n"/>
      <c r="BB656" s="5" t="n"/>
      <c r="BC656" s="5" t="n"/>
      <c r="BD656" s="5" t="n"/>
      <c r="BE656" s="5" t="n"/>
      <c r="BF656" s="5" t="n"/>
      <c r="BG656" s="5" t="n"/>
      <c r="BH656" s="5" t="n"/>
      <c r="BI656" s="5" t="n"/>
      <c r="BJ656" s="5" t="n"/>
      <c r="BK656" s="5" t="n"/>
      <c r="BL656" s="5" t="n"/>
      <c r="BM656" s="5" t="n"/>
      <c r="BN656" s="5" t="n"/>
      <c r="BO656" s="5" t="n"/>
      <c r="BP656" s="5" t="n"/>
      <c r="BQ656" s="5" t="n"/>
      <c r="BR656" s="5" t="n"/>
      <c r="BS656" s="5" t="n"/>
      <c r="BT656" s="5" t="n"/>
      <c r="BU656" s="5" t="n"/>
      <c r="BV656" s="5" t="n"/>
      <c r="BW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  <c r="AY657" s="5" t="n"/>
      <c r="AZ657" s="5" t="n"/>
      <c r="BA657" s="5" t="n"/>
      <c r="BB657" s="5" t="n"/>
      <c r="BC657" s="5" t="n"/>
      <c r="BD657" s="5" t="n"/>
      <c r="BE657" s="5" t="n"/>
      <c r="BF657" s="5" t="n"/>
      <c r="BG657" s="5" t="n"/>
      <c r="BH657" s="5" t="n"/>
      <c r="BI657" s="5" t="n"/>
      <c r="BJ657" s="5" t="n"/>
      <c r="BK657" s="5" t="n"/>
      <c r="BL657" s="5" t="n"/>
      <c r="BM657" s="5" t="n"/>
      <c r="BN657" s="5" t="n"/>
      <c r="BO657" s="5" t="n"/>
      <c r="BP657" s="5" t="n"/>
      <c r="BQ657" s="5" t="n"/>
      <c r="BR657" s="5" t="n"/>
      <c r="BS657" s="5" t="n"/>
      <c r="BT657" s="5" t="n"/>
      <c r="BU657" s="5" t="n"/>
      <c r="BV657" s="5" t="n"/>
      <c r="BW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  <c r="AY658" s="5" t="n"/>
      <c r="AZ658" s="5" t="n"/>
      <c r="BA658" s="5" t="n"/>
      <c r="BB658" s="5" t="n"/>
      <c r="BC658" s="5" t="n"/>
      <c r="BD658" s="5" t="n"/>
      <c r="BE658" s="5" t="n"/>
      <c r="BF658" s="5" t="n"/>
      <c r="BG658" s="5" t="n"/>
      <c r="BH658" s="5" t="n"/>
      <c r="BI658" s="5" t="n"/>
      <c r="BJ658" s="5" t="n"/>
      <c r="BK658" s="5" t="n"/>
      <c r="BL658" s="5" t="n"/>
      <c r="BM658" s="5" t="n"/>
      <c r="BN658" s="5" t="n"/>
      <c r="BO658" s="5" t="n"/>
      <c r="BP658" s="5" t="n"/>
      <c r="BQ658" s="5" t="n"/>
      <c r="BR658" s="5" t="n"/>
      <c r="BS658" s="5" t="n"/>
      <c r="BT658" s="5" t="n"/>
      <c r="BU658" s="5" t="n"/>
      <c r="BV658" s="5" t="n"/>
      <c r="BW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  <c r="AY659" s="5" t="n"/>
      <c r="AZ659" s="5" t="n"/>
      <c r="BA659" s="5" t="n"/>
      <c r="BB659" s="5" t="n"/>
      <c r="BC659" s="5" t="n"/>
      <c r="BD659" s="5" t="n"/>
      <c r="BE659" s="5" t="n"/>
      <c r="BF659" s="5" t="n"/>
      <c r="BG659" s="5" t="n"/>
      <c r="BH659" s="5" t="n"/>
      <c r="BI659" s="5" t="n"/>
      <c r="BJ659" s="5" t="n"/>
      <c r="BK659" s="5" t="n"/>
      <c r="BL659" s="5" t="n"/>
      <c r="BM659" s="5" t="n"/>
      <c r="BN659" s="5" t="n"/>
      <c r="BO659" s="5" t="n"/>
      <c r="BP659" s="5" t="n"/>
      <c r="BQ659" s="5" t="n"/>
      <c r="BR659" s="5" t="n"/>
      <c r="BS659" s="5" t="n"/>
      <c r="BT659" s="5" t="n"/>
      <c r="BU659" s="5" t="n"/>
      <c r="BV659" s="5" t="n"/>
      <c r="BW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  <c r="AY660" s="5" t="n"/>
      <c r="AZ660" s="5" t="n"/>
      <c r="BA660" s="5" t="n"/>
      <c r="BB660" s="5" t="n"/>
      <c r="BC660" s="5" t="n"/>
      <c r="BD660" s="5" t="n"/>
      <c r="BE660" s="5" t="n"/>
      <c r="BF660" s="5" t="n"/>
      <c r="BG660" s="5" t="n"/>
      <c r="BH660" s="5" t="n"/>
      <c r="BI660" s="5" t="n"/>
      <c r="BJ660" s="5" t="n"/>
      <c r="BK660" s="5" t="n"/>
      <c r="BL660" s="5" t="n"/>
      <c r="BM660" s="5" t="n"/>
      <c r="BN660" s="5" t="n"/>
      <c r="BO660" s="5" t="n"/>
      <c r="BP660" s="5" t="n"/>
      <c r="BQ660" s="5" t="n"/>
      <c r="BR660" s="5" t="n"/>
      <c r="BS660" s="5" t="n"/>
      <c r="BT660" s="5" t="n"/>
      <c r="BU660" s="5" t="n"/>
      <c r="BV660" s="5" t="n"/>
      <c r="BW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  <c r="AY661" s="5" t="n"/>
      <c r="AZ661" s="5" t="n"/>
      <c r="BA661" s="5" t="n"/>
      <c r="BB661" s="5" t="n"/>
      <c r="BC661" s="5" t="n"/>
      <c r="BD661" s="5" t="n"/>
      <c r="BE661" s="5" t="n"/>
      <c r="BF661" s="5" t="n"/>
      <c r="BG661" s="5" t="n"/>
      <c r="BH661" s="5" t="n"/>
      <c r="BI661" s="5" t="n"/>
      <c r="BJ661" s="5" t="n"/>
      <c r="BK661" s="5" t="n"/>
      <c r="BL661" s="5" t="n"/>
      <c r="BM661" s="5" t="n"/>
      <c r="BN661" s="5" t="n"/>
      <c r="BO661" s="5" t="n"/>
      <c r="BP661" s="5" t="n"/>
      <c r="BQ661" s="5" t="n"/>
      <c r="BR661" s="5" t="n"/>
      <c r="BS661" s="5" t="n"/>
      <c r="BT661" s="5" t="n"/>
      <c r="BU661" s="5" t="n"/>
      <c r="BV661" s="5" t="n"/>
      <c r="BW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  <c r="AY662" s="5" t="n"/>
      <c r="AZ662" s="5" t="n"/>
      <c r="BA662" s="5" t="n"/>
      <c r="BB662" s="5" t="n"/>
      <c r="BC662" s="5" t="n"/>
      <c r="BD662" s="5" t="n"/>
      <c r="BE662" s="5" t="n"/>
      <c r="BF662" s="5" t="n"/>
      <c r="BG662" s="5" t="n"/>
      <c r="BH662" s="5" t="n"/>
      <c r="BI662" s="5" t="n"/>
      <c r="BJ662" s="5" t="n"/>
      <c r="BK662" s="5" t="n"/>
      <c r="BL662" s="5" t="n"/>
      <c r="BM662" s="5" t="n"/>
      <c r="BN662" s="5" t="n"/>
      <c r="BO662" s="5" t="n"/>
      <c r="BP662" s="5" t="n"/>
      <c r="BQ662" s="5" t="n"/>
      <c r="BR662" s="5" t="n"/>
      <c r="BS662" s="5" t="n"/>
      <c r="BT662" s="5" t="n"/>
      <c r="BU662" s="5" t="n"/>
      <c r="BV662" s="5" t="n"/>
      <c r="BW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  <c r="AY663" s="5" t="n"/>
      <c r="AZ663" s="5" t="n"/>
      <c r="BA663" s="5" t="n"/>
      <c r="BB663" s="5" t="n"/>
      <c r="BC663" s="5" t="n"/>
      <c r="BD663" s="5" t="n"/>
      <c r="BE663" s="5" t="n"/>
      <c r="BF663" s="5" t="n"/>
      <c r="BG663" s="5" t="n"/>
      <c r="BH663" s="5" t="n"/>
      <c r="BI663" s="5" t="n"/>
      <c r="BJ663" s="5" t="n"/>
      <c r="BK663" s="5" t="n"/>
      <c r="BL663" s="5" t="n"/>
      <c r="BM663" s="5" t="n"/>
      <c r="BN663" s="5" t="n"/>
      <c r="BO663" s="5" t="n"/>
      <c r="BP663" s="5" t="n"/>
      <c r="BQ663" s="5" t="n"/>
      <c r="BR663" s="5" t="n"/>
      <c r="BS663" s="5" t="n"/>
      <c r="BT663" s="5" t="n"/>
      <c r="BU663" s="5" t="n"/>
      <c r="BV663" s="5" t="n"/>
      <c r="BW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  <c r="AY664" s="5" t="n"/>
      <c r="AZ664" s="5" t="n"/>
      <c r="BA664" s="5" t="n"/>
      <c r="BB664" s="5" t="n"/>
      <c r="BC664" s="5" t="n"/>
      <c r="BD664" s="5" t="n"/>
      <c r="BE664" s="5" t="n"/>
      <c r="BF664" s="5" t="n"/>
      <c r="BG664" s="5" t="n"/>
      <c r="BH664" s="5" t="n"/>
      <c r="BI664" s="5" t="n"/>
      <c r="BJ664" s="5" t="n"/>
      <c r="BK664" s="5" t="n"/>
      <c r="BL664" s="5" t="n"/>
      <c r="BM664" s="5" t="n"/>
      <c r="BN664" s="5" t="n"/>
      <c r="BO664" s="5" t="n"/>
      <c r="BP664" s="5" t="n"/>
      <c r="BQ664" s="5" t="n"/>
      <c r="BR664" s="5" t="n"/>
      <c r="BS664" s="5" t="n"/>
      <c r="BT664" s="5" t="n"/>
      <c r="BU664" s="5" t="n"/>
      <c r="BV664" s="5" t="n"/>
      <c r="BW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  <c r="AY665" s="5" t="n"/>
      <c r="AZ665" s="5" t="n"/>
      <c r="BA665" s="5" t="n"/>
      <c r="BB665" s="5" t="n"/>
      <c r="BC665" s="5" t="n"/>
      <c r="BD665" s="5" t="n"/>
      <c r="BE665" s="5" t="n"/>
      <c r="BF665" s="5" t="n"/>
      <c r="BG665" s="5" t="n"/>
      <c r="BH665" s="5" t="n"/>
      <c r="BI665" s="5" t="n"/>
      <c r="BJ665" s="5" t="n"/>
      <c r="BK665" s="5" t="n"/>
      <c r="BL665" s="5" t="n"/>
      <c r="BM665" s="5" t="n"/>
      <c r="BN665" s="5" t="n"/>
      <c r="BO665" s="5" t="n"/>
      <c r="BP665" s="5" t="n"/>
      <c r="BQ665" s="5" t="n"/>
      <c r="BR665" s="5" t="n"/>
      <c r="BS665" s="5" t="n"/>
      <c r="BT665" s="5" t="n"/>
      <c r="BU665" s="5" t="n"/>
      <c r="BV665" s="5" t="n"/>
      <c r="BW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  <c r="AY666" s="5" t="n"/>
      <c r="AZ666" s="5" t="n"/>
      <c r="BA666" s="5" t="n"/>
      <c r="BB666" s="5" t="n"/>
      <c r="BC666" s="5" t="n"/>
      <c r="BD666" s="5" t="n"/>
      <c r="BE666" s="5" t="n"/>
      <c r="BF666" s="5" t="n"/>
      <c r="BG666" s="5" t="n"/>
      <c r="BH666" s="5" t="n"/>
      <c r="BI666" s="5" t="n"/>
      <c r="BJ666" s="5" t="n"/>
      <c r="BK666" s="5" t="n"/>
      <c r="BL666" s="5" t="n"/>
      <c r="BM666" s="5" t="n"/>
      <c r="BN666" s="5" t="n"/>
      <c r="BO666" s="5" t="n"/>
      <c r="BP666" s="5" t="n"/>
      <c r="BQ666" s="5" t="n"/>
      <c r="BR666" s="5" t="n"/>
      <c r="BS666" s="5" t="n"/>
      <c r="BT666" s="5" t="n"/>
      <c r="BU666" s="5" t="n"/>
      <c r="BV666" s="5" t="n"/>
      <c r="BW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  <c r="AY667" s="5" t="n"/>
      <c r="AZ667" s="5" t="n"/>
      <c r="BA667" s="5" t="n"/>
      <c r="BB667" s="5" t="n"/>
      <c r="BC667" s="5" t="n"/>
      <c r="BD667" s="5" t="n"/>
      <c r="BE667" s="5" t="n"/>
      <c r="BF667" s="5" t="n"/>
      <c r="BG667" s="5" t="n"/>
      <c r="BH667" s="5" t="n"/>
      <c r="BI667" s="5" t="n"/>
      <c r="BJ667" s="5" t="n"/>
      <c r="BK667" s="5" t="n"/>
      <c r="BL667" s="5" t="n"/>
      <c r="BM667" s="5" t="n"/>
      <c r="BN667" s="5" t="n"/>
      <c r="BO667" s="5" t="n"/>
      <c r="BP667" s="5" t="n"/>
      <c r="BQ667" s="5" t="n"/>
      <c r="BR667" s="5" t="n"/>
      <c r="BS667" s="5" t="n"/>
      <c r="BT667" s="5" t="n"/>
      <c r="BU667" s="5" t="n"/>
      <c r="BV667" s="5" t="n"/>
      <c r="BW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  <c r="AY668" s="5" t="n"/>
      <c r="AZ668" s="5" t="n"/>
      <c r="BA668" s="5" t="n"/>
      <c r="BB668" s="5" t="n"/>
      <c r="BC668" s="5" t="n"/>
      <c r="BD668" s="5" t="n"/>
      <c r="BE668" s="5" t="n"/>
      <c r="BF668" s="5" t="n"/>
      <c r="BG668" s="5" t="n"/>
      <c r="BH668" s="5" t="n"/>
      <c r="BI668" s="5" t="n"/>
      <c r="BJ668" s="5" t="n"/>
      <c r="BK668" s="5" t="n"/>
      <c r="BL668" s="5" t="n"/>
      <c r="BM668" s="5" t="n"/>
      <c r="BN668" s="5" t="n"/>
      <c r="BO668" s="5" t="n"/>
      <c r="BP668" s="5" t="n"/>
      <c r="BQ668" s="5" t="n"/>
      <c r="BR668" s="5" t="n"/>
      <c r="BS668" s="5" t="n"/>
      <c r="BT668" s="5" t="n"/>
      <c r="BU668" s="5" t="n"/>
      <c r="BV668" s="5" t="n"/>
      <c r="BW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  <c r="AY669" s="5" t="n"/>
      <c r="AZ669" s="5" t="n"/>
      <c r="BA669" s="5" t="n"/>
      <c r="BB669" s="5" t="n"/>
      <c r="BC669" s="5" t="n"/>
      <c r="BD669" s="5" t="n"/>
      <c r="BE669" s="5" t="n"/>
      <c r="BF669" s="5" t="n"/>
      <c r="BG669" s="5" t="n"/>
      <c r="BH669" s="5" t="n"/>
      <c r="BI669" s="5" t="n"/>
      <c r="BJ669" s="5" t="n"/>
      <c r="BK669" s="5" t="n"/>
      <c r="BL669" s="5" t="n"/>
      <c r="BM669" s="5" t="n"/>
      <c r="BN669" s="5" t="n"/>
      <c r="BO669" s="5" t="n"/>
      <c r="BP669" s="5" t="n"/>
      <c r="BQ669" s="5" t="n"/>
      <c r="BR669" s="5" t="n"/>
      <c r="BS669" s="5" t="n"/>
      <c r="BT669" s="5" t="n"/>
      <c r="BU669" s="5" t="n"/>
      <c r="BV669" s="5" t="n"/>
      <c r="BW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  <c r="AY670" s="5" t="n"/>
      <c r="AZ670" s="5" t="n"/>
      <c r="BA670" s="5" t="n"/>
      <c r="BB670" s="5" t="n"/>
      <c r="BC670" s="5" t="n"/>
      <c r="BD670" s="5" t="n"/>
      <c r="BE670" s="5" t="n"/>
      <c r="BF670" s="5" t="n"/>
      <c r="BG670" s="5" t="n"/>
      <c r="BH670" s="5" t="n"/>
      <c r="BI670" s="5" t="n"/>
      <c r="BJ670" s="5" t="n"/>
      <c r="BK670" s="5" t="n"/>
      <c r="BL670" s="5" t="n"/>
      <c r="BM670" s="5" t="n"/>
      <c r="BN670" s="5" t="n"/>
      <c r="BO670" s="5" t="n"/>
      <c r="BP670" s="5" t="n"/>
      <c r="BQ670" s="5" t="n"/>
      <c r="BR670" s="5" t="n"/>
      <c r="BS670" s="5" t="n"/>
      <c r="BT670" s="5" t="n"/>
      <c r="BU670" s="5" t="n"/>
      <c r="BV670" s="5" t="n"/>
      <c r="BW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  <c r="AY671" s="5" t="n"/>
      <c r="AZ671" s="5" t="n"/>
      <c r="BA671" s="5" t="n"/>
      <c r="BB671" s="5" t="n"/>
      <c r="BC671" s="5" t="n"/>
      <c r="BD671" s="5" t="n"/>
      <c r="BE671" s="5" t="n"/>
      <c r="BF671" s="5" t="n"/>
      <c r="BG671" s="5" t="n"/>
      <c r="BH671" s="5" t="n"/>
      <c r="BI671" s="5" t="n"/>
      <c r="BJ671" s="5" t="n"/>
      <c r="BK671" s="5" t="n"/>
      <c r="BL671" s="5" t="n"/>
      <c r="BM671" s="5" t="n"/>
      <c r="BN671" s="5" t="n"/>
      <c r="BO671" s="5" t="n"/>
      <c r="BP671" s="5" t="n"/>
      <c r="BQ671" s="5" t="n"/>
      <c r="BR671" s="5" t="n"/>
      <c r="BS671" s="5" t="n"/>
      <c r="BT671" s="5" t="n"/>
      <c r="BU671" s="5" t="n"/>
      <c r="BV671" s="5" t="n"/>
      <c r="BW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  <c r="AY672" s="5" t="n"/>
      <c r="AZ672" s="5" t="n"/>
      <c r="BA672" s="5" t="n"/>
      <c r="BB672" s="5" t="n"/>
      <c r="BC672" s="5" t="n"/>
      <c r="BD672" s="5" t="n"/>
      <c r="BE672" s="5" t="n"/>
      <c r="BF672" s="5" t="n"/>
      <c r="BG672" s="5" t="n"/>
      <c r="BH672" s="5" t="n"/>
      <c r="BI672" s="5" t="n"/>
      <c r="BJ672" s="5" t="n"/>
      <c r="BK672" s="5" t="n"/>
      <c r="BL672" s="5" t="n"/>
      <c r="BM672" s="5" t="n"/>
      <c r="BN672" s="5" t="n"/>
      <c r="BO672" s="5" t="n"/>
      <c r="BP672" s="5" t="n"/>
      <c r="BQ672" s="5" t="n"/>
      <c r="BR672" s="5" t="n"/>
      <c r="BS672" s="5" t="n"/>
      <c r="BT672" s="5" t="n"/>
      <c r="BU672" s="5" t="n"/>
      <c r="BV672" s="5" t="n"/>
      <c r="BW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  <c r="AY673" s="5" t="n"/>
      <c r="AZ673" s="5" t="n"/>
      <c r="BA673" s="5" t="n"/>
      <c r="BB673" s="5" t="n"/>
      <c r="BC673" s="5" t="n"/>
      <c r="BD673" s="5" t="n"/>
      <c r="BE673" s="5" t="n"/>
      <c r="BF673" s="5" t="n"/>
      <c r="BG673" s="5" t="n"/>
      <c r="BH673" s="5" t="n"/>
      <c r="BI673" s="5" t="n"/>
      <c r="BJ673" s="5" t="n"/>
      <c r="BK673" s="5" t="n"/>
      <c r="BL673" s="5" t="n"/>
      <c r="BM673" s="5" t="n"/>
      <c r="BN673" s="5" t="n"/>
      <c r="BO673" s="5" t="n"/>
      <c r="BP673" s="5" t="n"/>
      <c r="BQ673" s="5" t="n"/>
      <c r="BR673" s="5" t="n"/>
      <c r="BS673" s="5" t="n"/>
      <c r="BT673" s="5" t="n"/>
      <c r="BU673" s="5" t="n"/>
      <c r="BV673" s="5" t="n"/>
      <c r="BW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  <c r="AY674" s="5" t="n"/>
      <c r="AZ674" s="5" t="n"/>
      <c r="BA674" s="5" t="n"/>
      <c r="BB674" s="5" t="n"/>
      <c r="BC674" s="5" t="n"/>
      <c r="BD674" s="5" t="n"/>
      <c r="BE674" s="5" t="n"/>
      <c r="BF674" s="5" t="n"/>
      <c r="BG674" s="5" t="n"/>
      <c r="BH674" s="5" t="n"/>
      <c r="BI674" s="5" t="n"/>
      <c r="BJ674" s="5" t="n"/>
      <c r="BK674" s="5" t="n"/>
      <c r="BL674" s="5" t="n"/>
      <c r="BM674" s="5" t="n"/>
      <c r="BN674" s="5" t="n"/>
      <c r="BO674" s="5" t="n"/>
      <c r="BP674" s="5" t="n"/>
      <c r="BQ674" s="5" t="n"/>
      <c r="BR674" s="5" t="n"/>
      <c r="BS674" s="5" t="n"/>
      <c r="BT674" s="5" t="n"/>
      <c r="BU674" s="5" t="n"/>
      <c r="BV674" s="5" t="n"/>
      <c r="BW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  <c r="AY675" s="5" t="n"/>
      <c r="AZ675" s="5" t="n"/>
      <c r="BA675" s="5" t="n"/>
      <c r="BB675" s="5" t="n"/>
      <c r="BC675" s="5" t="n"/>
      <c r="BD675" s="5" t="n"/>
      <c r="BE675" s="5" t="n"/>
      <c r="BF675" s="5" t="n"/>
      <c r="BG675" s="5" t="n"/>
      <c r="BH675" s="5" t="n"/>
      <c r="BI675" s="5" t="n"/>
      <c r="BJ675" s="5" t="n"/>
      <c r="BK675" s="5" t="n"/>
      <c r="BL675" s="5" t="n"/>
      <c r="BM675" s="5" t="n"/>
      <c r="BN675" s="5" t="n"/>
      <c r="BO675" s="5" t="n"/>
      <c r="BP675" s="5" t="n"/>
      <c r="BQ675" s="5" t="n"/>
      <c r="BR675" s="5" t="n"/>
      <c r="BS675" s="5" t="n"/>
      <c r="BT675" s="5" t="n"/>
      <c r="BU675" s="5" t="n"/>
      <c r="BV675" s="5" t="n"/>
      <c r="BW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  <c r="AY676" s="5" t="n"/>
      <c r="AZ676" s="5" t="n"/>
      <c r="BA676" s="5" t="n"/>
      <c r="BB676" s="5" t="n"/>
      <c r="BC676" s="5" t="n"/>
      <c r="BD676" s="5" t="n"/>
      <c r="BE676" s="5" t="n"/>
      <c r="BF676" s="5" t="n"/>
      <c r="BG676" s="5" t="n"/>
      <c r="BH676" s="5" t="n"/>
      <c r="BI676" s="5" t="n"/>
      <c r="BJ676" s="5" t="n"/>
      <c r="BK676" s="5" t="n"/>
      <c r="BL676" s="5" t="n"/>
      <c r="BM676" s="5" t="n"/>
      <c r="BN676" s="5" t="n"/>
      <c r="BO676" s="5" t="n"/>
      <c r="BP676" s="5" t="n"/>
      <c r="BQ676" s="5" t="n"/>
      <c r="BR676" s="5" t="n"/>
      <c r="BS676" s="5" t="n"/>
      <c r="BT676" s="5" t="n"/>
      <c r="BU676" s="5" t="n"/>
      <c r="BV676" s="5" t="n"/>
      <c r="BW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  <c r="AY677" s="5" t="n"/>
      <c r="AZ677" s="5" t="n"/>
      <c r="BA677" s="5" t="n"/>
      <c r="BB677" s="5" t="n"/>
      <c r="BC677" s="5" t="n"/>
      <c r="BD677" s="5" t="n"/>
      <c r="BE677" s="5" t="n"/>
      <c r="BF677" s="5" t="n"/>
      <c r="BG677" s="5" t="n"/>
      <c r="BH677" s="5" t="n"/>
      <c r="BI677" s="5" t="n"/>
      <c r="BJ677" s="5" t="n"/>
      <c r="BK677" s="5" t="n"/>
      <c r="BL677" s="5" t="n"/>
      <c r="BM677" s="5" t="n"/>
      <c r="BN677" s="5" t="n"/>
      <c r="BO677" s="5" t="n"/>
      <c r="BP677" s="5" t="n"/>
      <c r="BQ677" s="5" t="n"/>
      <c r="BR677" s="5" t="n"/>
      <c r="BS677" s="5" t="n"/>
      <c r="BT677" s="5" t="n"/>
      <c r="BU677" s="5" t="n"/>
      <c r="BV677" s="5" t="n"/>
      <c r="BW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  <c r="AY678" s="5" t="n"/>
      <c r="AZ678" s="5" t="n"/>
      <c r="BA678" s="5" t="n"/>
      <c r="BB678" s="5" t="n"/>
      <c r="BC678" s="5" t="n"/>
      <c r="BD678" s="5" t="n"/>
      <c r="BE678" s="5" t="n"/>
      <c r="BF678" s="5" t="n"/>
      <c r="BG678" s="5" t="n"/>
      <c r="BH678" s="5" t="n"/>
      <c r="BI678" s="5" t="n"/>
      <c r="BJ678" s="5" t="n"/>
      <c r="BK678" s="5" t="n"/>
      <c r="BL678" s="5" t="n"/>
      <c r="BM678" s="5" t="n"/>
      <c r="BN678" s="5" t="n"/>
      <c r="BO678" s="5" t="n"/>
      <c r="BP678" s="5" t="n"/>
      <c r="BQ678" s="5" t="n"/>
      <c r="BR678" s="5" t="n"/>
      <c r="BS678" s="5" t="n"/>
      <c r="BT678" s="5" t="n"/>
      <c r="BU678" s="5" t="n"/>
      <c r="BV678" s="5" t="n"/>
      <c r="BW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  <c r="AY679" s="5" t="n"/>
      <c r="AZ679" s="5" t="n"/>
      <c r="BA679" s="5" t="n"/>
      <c r="BB679" s="5" t="n"/>
      <c r="BC679" s="5" t="n"/>
      <c r="BD679" s="5" t="n"/>
      <c r="BE679" s="5" t="n"/>
      <c r="BF679" s="5" t="n"/>
      <c r="BG679" s="5" t="n"/>
      <c r="BH679" s="5" t="n"/>
      <c r="BI679" s="5" t="n"/>
      <c r="BJ679" s="5" t="n"/>
      <c r="BK679" s="5" t="n"/>
      <c r="BL679" s="5" t="n"/>
      <c r="BM679" s="5" t="n"/>
      <c r="BN679" s="5" t="n"/>
      <c r="BO679" s="5" t="n"/>
      <c r="BP679" s="5" t="n"/>
      <c r="BQ679" s="5" t="n"/>
      <c r="BR679" s="5" t="n"/>
      <c r="BS679" s="5" t="n"/>
      <c r="BT679" s="5" t="n"/>
      <c r="BU679" s="5" t="n"/>
      <c r="BV679" s="5" t="n"/>
      <c r="BW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  <c r="AY680" s="5" t="n"/>
      <c r="AZ680" s="5" t="n"/>
      <c r="BA680" s="5" t="n"/>
      <c r="BB680" s="5" t="n"/>
      <c r="BC680" s="5" t="n"/>
      <c r="BD680" s="5" t="n"/>
      <c r="BE680" s="5" t="n"/>
      <c r="BF680" s="5" t="n"/>
      <c r="BG680" s="5" t="n"/>
      <c r="BH680" s="5" t="n"/>
      <c r="BI680" s="5" t="n"/>
      <c r="BJ680" s="5" t="n"/>
      <c r="BK680" s="5" t="n"/>
      <c r="BL680" s="5" t="n"/>
      <c r="BM680" s="5" t="n"/>
      <c r="BN680" s="5" t="n"/>
      <c r="BO680" s="5" t="n"/>
      <c r="BP680" s="5" t="n"/>
      <c r="BQ680" s="5" t="n"/>
      <c r="BR680" s="5" t="n"/>
      <c r="BS680" s="5" t="n"/>
      <c r="BT680" s="5" t="n"/>
      <c r="BU680" s="5" t="n"/>
      <c r="BV680" s="5" t="n"/>
      <c r="BW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  <c r="AY681" s="5" t="n"/>
      <c r="AZ681" s="5" t="n"/>
      <c r="BA681" s="5" t="n"/>
      <c r="BB681" s="5" t="n"/>
      <c r="BC681" s="5" t="n"/>
      <c r="BD681" s="5" t="n"/>
      <c r="BE681" s="5" t="n"/>
      <c r="BF681" s="5" t="n"/>
      <c r="BG681" s="5" t="n"/>
      <c r="BH681" s="5" t="n"/>
      <c r="BI681" s="5" t="n"/>
      <c r="BJ681" s="5" t="n"/>
      <c r="BK681" s="5" t="n"/>
      <c r="BL681" s="5" t="n"/>
      <c r="BM681" s="5" t="n"/>
      <c r="BN681" s="5" t="n"/>
      <c r="BO681" s="5" t="n"/>
      <c r="BP681" s="5" t="n"/>
      <c r="BQ681" s="5" t="n"/>
      <c r="BR681" s="5" t="n"/>
      <c r="BS681" s="5" t="n"/>
      <c r="BT681" s="5" t="n"/>
      <c r="BU681" s="5" t="n"/>
      <c r="BV681" s="5" t="n"/>
      <c r="BW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  <c r="AY682" s="5" t="n"/>
      <c r="AZ682" s="5" t="n"/>
      <c r="BA682" s="5" t="n"/>
      <c r="BB682" s="5" t="n"/>
      <c r="BC682" s="5" t="n"/>
      <c r="BD682" s="5" t="n"/>
      <c r="BE682" s="5" t="n"/>
      <c r="BF682" s="5" t="n"/>
      <c r="BG682" s="5" t="n"/>
      <c r="BH682" s="5" t="n"/>
      <c r="BI682" s="5" t="n"/>
      <c r="BJ682" s="5" t="n"/>
      <c r="BK682" s="5" t="n"/>
      <c r="BL682" s="5" t="n"/>
      <c r="BM682" s="5" t="n"/>
      <c r="BN682" s="5" t="n"/>
      <c r="BO682" s="5" t="n"/>
      <c r="BP682" s="5" t="n"/>
      <c r="BQ682" s="5" t="n"/>
      <c r="BR682" s="5" t="n"/>
      <c r="BS682" s="5" t="n"/>
      <c r="BT682" s="5" t="n"/>
      <c r="BU682" s="5" t="n"/>
      <c r="BV682" s="5" t="n"/>
      <c r="BW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  <c r="AY683" s="5" t="n"/>
      <c r="AZ683" s="5" t="n"/>
      <c r="BA683" s="5" t="n"/>
      <c r="BB683" s="5" t="n"/>
      <c r="BC683" s="5" t="n"/>
      <c r="BD683" s="5" t="n"/>
      <c r="BE683" s="5" t="n"/>
      <c r="BF683" s="5" t="n"/>
      <c r="BG683" s="5" t="n"/>
      <c r="BH683" s="5" t="n"/>
      <c r="BI683" s="5" t="n"/>
      <c r="BJ683" s="5" t="n"/>
      <c r="BK683" s="5" t="n"/>
      <c r="BL683" s="5" t="n"/>
      <c r="BM683" s="5" t="n"/>
      <c r="BN683" s="5" t="n"/>
      <c r="BO683" s="5" t="n"/>
      <c r="BP683" s="5" t="n"/>
      <c r="BQ683" s="5" t="n"/>
      <c r="BR683" s="5" t="n"/>
      <c r="BS683" s="5" t="n"/>
      <c r="BT683" s="5" t="n"/>
      <c r="BU683" s="5" t="n"/>
      <c r="BV683" s="5" t="n"/>
      <c r="BW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  <c r="AY684" s="5" t="n"/>
      <c r="AZ684" s="5" t="n"/>
      <c r="BA684" s="5" t="n"/>
      <c r="BB684" s="5" t="n"/>
      <c r="BC684" s="5" t="n"/>
      <c r="BD684" s="5" t="n"/>
      <c r="BE684" s="5" t="n"/>
      <c r="BF684" s="5" t="n"/>
      <c r="BG684" s="5" t="n"/>
      <c r="BH684" s="5" t="n"/>
      <c r="BI684" s="5" t="n"/>
      <c r="BJ684" s="5" t="n"/>
      <c r="BK684" s="5" t="n"/>
      <c r="BL684" s="5" t="n"/>
      <c r="BM684" s="5" t="n"/>
      <c r="BN684" s="5" t="n"/>
      <c r="BO684" s="5" t="n"/>
      <c r="BP684" s="5" t="n"/>
      <c r="BQ684" s="5" t="n"/>
      <c r="BR684" s="5" t="n"/>
      <c r="BS684" s="5" t="n"/>
      <c r="BT684" s="5" t="n"/>
      <c r="BU684" s="5" t="n"/>
      <c r="BV684" s="5" t="n"/>
      <c r="BW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  <c r="AY685" s="5" t="n"/>
      <c r="AZ685" s="5" t="n"/>
      <c r="BA685" s="5" t="n"/>
      <c r="BB685" s="5" t="n"/>
      <c r="BC685" s="5" t="n"/>
      <c r="BD685" s="5" t="n"/>
      <c r="BE685" s="5" t="n"/>
      <c r="BF685" s="5" t="n"/>
      <c r="BG685" s="5" t="n"/>
      <c r="BH685" s="5" t="n"/>
      <c r="BI685" s="5" t="n"/>
      <c r="BJ685" s="5" t="n"/>
      <c r="BK685" s="5" t="n"/>
      <c r="BL685" s="5" t="n"/>
      <c r="BM685" s="5" t="n"/>
      <c r="BN685" s="5" t="n"/>
      <c r="BO685" s="5" t="n"/>
      <c r="BP685" s="5" t="n"/>
      <c r="BQ685" s="5" t="n"/>
      <c r="BR685" s="5" t="n"/>
      <c r="BS685" s="5" t="n"/>
      <c r="BT685" s="5" t="n"/>
      <c r="BU685" s="5" t="n"/>
      <c r="BV685" s="5" t="n"/>
      <c r="BW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  <c r="AY686" s="5" t="n"/>
      <c r="AZ686" s="5" t="n"/>
      <c r="BA686" s="5" t="n"/>
      <c r="BB686" s="5" t="n"/>
      <c r="BC686" s="5" t="n"/>
      <c r="BD686" s="5" t="n"/>
      <c r="BE686" s="5" t="n"/>
      <c r="BF686" s="5" t="n"/>
      <c r="BG686" s="5" t="n"/>
      <c r="BH686" s="5" t="n"/>
      <c r="BI686" s="5" t="n"/>
      <c r="BJ686" s="5" t="n"/>
      <c r="BK686" s="5" t="n"/>
      <c r="BL686" s="5" t="n"/>
      <c r="BM686" s="5" t="n"/>
      <c r="BN686" s="5" t="n"/>
      <c r="BO686" s="5" t="n"/>
      <c r="BP686" s="5" t="n"/>
      <c r="BQ686" s="5" t="n"/>
      <c r="BR686" s="5" t="n"/>
      <c r="BS686" s="5" t="n"/>
      <c r="BT686" s="5" t="n"/>
      <c r="BU686" s="5" t="n"/>
      <c r="BV686" s="5" t="n"/>
      <c r="BW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  <c r="AY687" s="5" t="n"/>
      <c r="AZ687" s="5" t="n"/>
      <c r="BA687" s="5" t="n"/>
      <c r="BB687" s="5" t="n"/>
      <c r="BC687" s="5" t="n"/>
      <c r="BD687" s="5" t="n"/>
      <c r="BE687" s="5" t="n"/>
      <c r="BF687" s="5" t="n"/>
      <c r="BG687" s="5" t="n"/>
      <c r="BH687" s="5" t="n"/>
      <c r="BI687" s="5" t="n"/>
      <c r="BJ687" s="5" t="n"/>
      <c r="BK687" s="5" t="n"/>
      <c r="BL687" s="5" t="n"/>
      <c r="BM687" s="5" t="n"/>
      <c r="BN687" s="5" t="n"/>
      <c r="BO687" s="5" t="n"/>
      <c r="BP687" s="5" t="n"/>
      <c r="BQ687" s="5" t="n"/>
      <c r="BR687" s="5" t="n"/>
      <c r="BS687" s="5" t="n"/>
      <c r="BT687" s="5" t="n"/>
      <c r="BU687" s="5" t="n"/>
      <c r="BV687" s="5" t="n"/>
      <c r="BW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  <c r="AY688" s="5" t="n"/>
      <c r="AZ688" s="5" t="n"/>
      <c r="BA688" s="5" t="n"/>
      <c r="BB688" s="5" t="n"/>
      <c r="BC688" s="5" t="n"/>
      <c r="BD688" s="5" t="n"/>
      <c r="BE688" s="5" t="n"/>
      <c r="BF688" s="5" t="n"/>
      <c r="BG688" s="5" t="n"/>
      <c r="BH688" s="5" t="n"/>
      <c r="BI688" s="5" t="n"/>
      <c r="BJ688" s="5" t="n"/>
      <c r="BK688" s="5" t="n"/>
      <c r="BL688" s="5" t="n"/>
      <c r="BM688" s="5" t="n"/>
      <c r="BN688" s="5" t="n"/>
      <c r="BO688" s="5" t="n"/>
      <c r="BP688" s="5" t="n"/>
      <c r="BQ688" s="5" t="n"/>
      <c r="BR688" s="5" t="n"/>
      <c r="BS688" s="5" t="n"/>
      <c r="BT688" s="5" t="n"/>
      <c r="BU688" s="5" t="n"/>
      <c r="BV688" s="5" t="n"/>
      <c r="BW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  <c r="AY689" s="5" t="n"/>
      <c r="AZ689" s="5" t="n"/>
      <c r="BA689" s="5" t="n"/>
      <c r="BB689" s="5" t="n"/>
      <c r="BC689" s="5" t="n"/>
      <c r="BD689" s="5" t="n"/>
      <c r="BE689" s="5" t="n"/>
      <c r="BF689" s="5" t="n"/>
      <c r="BG689" s="5" t="n"/>
      <c r="BH689" s="5" t="n"/>
      <c r="BI689" s="5" t="n"/>
      <c r="BJ689" s="5" t="n"/>
      <c r="BK689" s="5" t="n"/>
      <c r="BL689" s="5" t="n"/>
      <c r="BM689" s="5" t="n"/>
      <c r="BN689" s="5" t="n"/>
      <c r="BO689" s="5" t="n"/>
      <c r="BP689" s="5" t="n"/>
      <c r="BQ689" s="5" t="n"/>
      <c r="BR689" s="5" t="n"/>
      <c r="BS689" s="5" t="n"/>
      <c r="BT689" s="5" t="n"/>
      <c r="BU689" s="5" t="n"/>
      <c r="BV689" s="5" t="n"/>
      <c r="BW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  <c r="AY690" s="5" t="n"/>
      <c r="AZ690" s="5" t="n"/>
      <c r="BA690" s="5" t="n"/>
      <c r="BB690" s="5" t="n"/>
      <c r="BC690" s="5" t="n"/>
      <c r="BD690" s="5" t="n"/>
      <c r="BE690" s="5" t="n"/>
      <c r="BF690" s="5" t="n"/>
      <c r="BG690" s="5" t="n"/>
      <c r="BH690" s="5" t="n"/>
      <c r="BI690" s="5" t="n"/>
      <c r="BJ690" s="5" t="n"/>
      <c r="BK690" s="5" t="n"/>
      <c r="BL690" s="5" t="n"/>
      <c r="BM690" s="5" t="n"/>
      <c r="BN690" s="5" t="n"/>
      <c r="BO690" s="5" t="n"/>
      <c r="BP690" s="5" t="n"/>
      <c r="BQ690" s="5" t="n"/>
      <c r="BR690" s="5" t="n"/>
      <c r="BS690" s="5" t="n"/>
      <c r="BT690" s="5" t="n"/>
      <c r="BU690" s="5" t="n"/>
      <c r="BV690" s="5" t="n"/>
      <c r="BW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  <c r="AY691" s="5" t="n"/>
      <c r="AZ691" s="5" t="n"/>
      <c r="BA691" s="5" t="n"/>
      <c r="BB691" s="5" t="n"/>
      <c r="BC691" s="5" t="n"/>
      <c r="BD691" s="5" t="n"/>
      <c r="BE691" s="5" t="n"/>
      <c r="BF691" s="5" t="n"/>
      <c r="BG691" s="5" t="n"/>
      <c r="BH691" s="5" t="n"/>
      <c r="BI691" s="5" t="n"/>
      <c r="BJ691" s="5" t="n"/>
      <c r="BK691" s="5" t="n"/>
      <c r="BL691" s="5" t="n"/>
      <c r="BM691" s="5" t="n"/>
      <c r="BN691" s="5" t="n"/>
      <c r="BO691" s="5" t="n"/>
      <c r="BP691" s="5" t="n"/>
      <c r="BQ691" s="5" t="n"/>
      <c r="BR691" s="5" t="n"/>
      <c r="BS691" s="5" t="n"/>
      <c r="BT691" s="5" t="n"/>
      <c r="BU691" s="5" t="n"/>
      <c r="BV691" s="5" t="n"/>
      <c r="BW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  <c r="AY692" s="5" t="n"/>
      <c r="AZ692" s="5" t="n"/>
      <c r="BA692" s="5" t="n"/>
      <c r="BB692" s="5" t="n"/>
      <c r="BC692" s="5" t="n"/>
      <c r="BD692" s="5" t="n"/>
      <c r="BE692" s="5" t="n"/>
      <c r="BF692" s="5" t="n"/>
      <c r="BG692" s="5" t="n"/>
      <c r="BH692" s="5" t="n"/>
      <c r="BI692" s="5" t="n"/>
      <c r="BJ692" s="5" t="n"/>
      <c r="BK692" s="5" t="n"/>
      <c r="BL692" s="5" t="n"/>
      <c r="BM692" s="5" t="n"/>
      <c r="BN692" s="5" t="n"/>
      <c r="BO692" s="5" t="n"/>
      <c r="BP692" s="5" t="n"/>
      <c r="BQ692" s="5" t="n"/>
      <c r="BR692" s="5" t="n"/>
      <c r="BS692" s="5" t="n"/>
      <c r="BT692" s="5" t="n"/>
      <c r="BU692" s="5" t="n"/>
      <c r="BV692" s="5" t="n"/>
      <c r="BW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  <c r="AY693" s="5" t="n"/>
      <c r="AZ693" s="5" t="n"/>
      <c r="BA693" s="5" t="n"/>
      <c r="BB693" s="5" t="n"/>
      <c r="BC693" s="5" t="n"/>
      <c r="BD693" s="5" t="n"/>
      <c r="BE693" s="5" t="n"/>
      <c r="BF693" s="5" t="n"/>
      <c r="BG693" s="5" t="n"/>
      <c r="BH693" s="5" t="n"/>
      <c r="BI693" s="5" t="n"/>
      <c r="BJ693" s="5" t="n"/>
      <c r="BK693" s="5" t="n"/>
      <c r="BL693" s="5" t="n"/>
      <c r="BM693" s="5" t="n"/>
      <c r="BN693" s="5" t="n"/>
      <c r="BO693" s="5" t="n"/>
      <c r="BP693" s="5" t="n"/>
      <c r="BQ693" s="5" t="n"/>
      <c r="BR693" s="5" t="n"/>
      <c r="BS693" s="5" t="n"/>
      <c r="BT693" s="5" t="n"/>
      <c r="BU693" s="5" t="n"/>
      <c r="BV693" s="5" t="n"/>
      <c r="BW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  <c r="AY694" s="5" t="n"/>
      <c r="AZ694" s="5" t="n"/>
      <c r="BA694" s="5" t="n"/>
      <c r="BB694" s="5" t="n"/>
      <c r="BC694" s="5" t="n"/>
      <c r="BD694" s="5" t="n"/>
      <c r="BE694" s="5" t="n"/>
      <c r="BF694" s="5" t="n"/>
      <c r="BG694" s="5" t="n"/>
      <c r="BH694" s="5" t="n"/>
      <c r="BI694" s="5" t="n"/>
      <c r="BJ694" s="5" t="n"/>
      <c r="BK694" s="5" t="n"/>
      <c r="BL694" s="5" t="n"/>
      <c r="BM694" s="5" t="n"/>
      <c r="BN694" s="5" t="n"/>
      <c r="BO694" s="5" t="n"/>
      <c r="BP694" s="5" t="n"/>
      <c r="BQ694" s="5" t="n"/>
      <c r="BR694" s="5" t="n"/>
      <c r="BS694" s="5" t="n"/>
      <c r="BT694" s="5" t="n"/>
      <c r="BU694" s="5" t="n"/>
      <c r="BV694" s="5" t="n"/>
      <c r="BW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  <c r="AY695" s="5" t="n"/>
      <c r="AZ695" s="5" t="n"/>
      <c r="BA695" s="5" t="n"/>
      <c r="BB695" s="5" t="n"/>
      <c r="BC695" s="5" t="n"/>
      <c r="BD695" s="5" t="n"/>
      <c r="BE695" s="5" t="n"/>
      <c r="BF695" s="5" t="n"/>
      <c r="BG695" s="5" t="n"/>
      <c r="BH695" s="5" t="n"/>
      <c r="BI695" s="5" t="n"/>
      <c r="BJ695" s="5" t="n"/>
      <c r="BK695" s="5" t="n"/>
      <c r="BL695" s="5" t="n"/>
      <c r="BM695" s="5" t="n"/>
      <c r="BN695" s="5" t="n"/>
      <c r="BO695" s="5" t="n"/>
      <c r="BP695" s="5" t="n"/>
      <c r="BQ695" s="5" t="n"/>
      <c r="BR695" s="5" t="n"/>
      <c r="BS695" s="5" t="n"/>
      <c r="BT695" s="5" t="n"/>
      <c r="BU695" s="5" t="n"/>
      <c r="BV695" s="5" t="n"/>
      <c r="BW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  <c r="AY696" s="5" t="n"/>
      <c r="AZ696" s="5" t="n"/>
      <c r="BA696" s="5" t="n"/>
      <c r="BB696" s="5" t="n"/>
      <c r="BC696" s="5" t="n"/>
      <c r="BD696" s="5" t="n"/>
      <c r="BE696" s="5" t="n"/>
      <c r="BF696" s="5" t="n"/>
      <c r="BG696" s="5" t="n"/>
      <c r="BH696" s="5" t="n"/>
      <c r="BI696" s="5" t="n"/>
      <c r="BJ696" s="5" t="n"/>
      <c r="BK696" s="5" t="n"/>
      <c r="BL696" s="5" t="n"/>
      <c r="BM696" s="5" t="n"/>
      <c r="BN696" s="5" t="n"/>
      <c r="BO696" s="5" t="n"/>
      <c r="BP696" s="5" t="n"/>
      <c r="BQ696" s="5" t="n"/>
      <c r="BR696" s="5" t="n"/>
      <c r="BS696" s="5" t="n"/>
      <c r="BT696" s="5" t="n"/>
      <c r="BU696" s="5" t="n"/>
      <c r="BV696" s="5" t="n"/>
      <c r="BW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  <c r="AY697" s="5" t="n"/>
      <c r="AZ697" s="5" t="n"/>
      <c r="BA697" s="5" t="n"/>
      <c r="BB697" s="5" t="n"/>
      <c r="BC697" s="5" t="n"/>
      <c r="BD697" s="5" t="n"/>
      <c r="BE697" s="5" t="n"/>
      <c r="BF697" s="5" t="n"/>
      <c r="BG697" s="5" t="n"/>
      <c r="BH697" s="5" t="n"/>
      <c r="BI697" s="5" t="n"/>
      <c r="BJ697" s="5" t="n"/>
      <c r="BK697" s="5" t="n"/>
      <c r="BL697" s="5" t="n"/>
      <c r="BM697" s="5" t="n"/>
      <c r="BN697" s="5" t="n"/>
      <c r="BO697" s="5" t="n"/>
      <c r="BP697" s="5" t="n"/>
      <c r="BQ697" s="5" t="n"/>
      <c r="BR697" s="5" t="n"/>
      <c r="BS697" s="5" t="n"/>
      <c r="BT697" s="5" t="n"/>
      <c r="BU697" s="5" t="n"/>
      <c r="BV697" s="5" t="n"/>
      <c r="BW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  <c r="AY698" s="5" t="n"/>
      <c r="AZ698" s="5" t="n"/>
      <c r="BA698" s="5" t="n"/>
      <c r="BB698" s="5" t="n"/>
      <c r="BC698" s="5" t="n"/>
      <c r="BD698" s="5" t="n"/>
      <c r="BE698" s="5" t="n"/>
      <c r="BF698" s="5" t="n"/>
      <c r="BG698" s="5" t="n"/>
      <c r="BH698" s="5" t="n"/>
      <c r="BI698" s="5" t="n"/>
      <c r="BJ698" s="5" t="n"/>
      <c r="BK698" s="5" t="n"/>
      <c r="BL698" s="5" t="n"/>
      <c r="BM698" s="5" t="n"/>
      <c r="BN698" s="5" t="n"/>
      <c r="BO698" s="5" t="n"/>
      <c r="BP698" s="5" t="n"/>
      <c r="BQ698" s="5" t="n"/>
      <c r="BR698" s="5" t="n"/>
      <c r="BS698" s="5" t="n"/>
      <c r="BT698" s="5" t="n"/>
      <c r="BU698" s="5" t="n"/>
      <c r="BV698" s="5" t="n"/>
      <c r="BW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  <c r="AY699" s="5" t="n"/>
      <c r="AZ699" s="5" t="n"/>
      <c r="BA699" s="5" t="n"/>
      <c r="BB699" s="5" t="n"/>
      <c r="BC699" s="5" t="n"/>
      <c r="BD699" s="5" t="n"/>
      <c r="BE699" s="5" t="n"/>
      <c r="BF699" s="5" t="n"/>
      <c r="BG699" s="5" t="n"/>
      <c r="BH699" s="5" t="n"/>
      <c r="BI699" s="5" t="n"/>
      <c r="BJ699" s="5" t="n"/>
      <c r="BK699" s="5" t="n"/>
      <c r="BL699" s="5" t="n"/>
      <c r="BM699" s="5" t="n"/>
      <c r="BN699" s="5" t="n"/>
      <c r="BO699" s="5" t="n"/>
      <c r="BP699" s="5" t="n"/>
      <c r="BQ699" s="5" t="n"/>
      <c r="BR699" s="5" t="n"/>
      <c r="BS699" s="5" t="n"/>
      <c r="BT699" s="5" t="n"/>
      <c r="BU699" s="5" t="n"/>
      <c r="BV699" s="5" t="n"/>
      <c r="BW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  <c r="AY700" s="5" t="n"/>
      <c r="AZ700" s="5" t="n"/>
      <c r="BA700" s="5" t="n"/>
      <c r="BB700" s="5" t="n"/>
      <c r="BC700" s="5" t="n"/>
      <c r="BD700" s="5" t="n"/>
      <c r="BE700" s="5" t="n"/>
      <c r="BF700" s="5" t="n"/>
      <c r="BG700" s="5" t="n"/>
      <c r="BH700" s="5" t="n"/>
      <c r="BI700" s="5" t="n"/>
      <c r="BJ700" s="5" t="n"/>
      <c r="BK700" s="5" t="n"/>
      <c r="BL700" s="5" t="n"/>
      <c r="BM700" s="5" t="n"/>
      <c r="BN700" s="5" t="n"/>
      <c r="BO700" s="5" t="n"/>
      <c r="BP700" s="5" t="n"/>
      <c r="BQ700" s="5" t="n"/>
      <c r="BR700" s="5" t="n"/>
      <c r="BS700" s="5" t="n"/>
      <c r="BT700" s="5" t="n"/>
      <c r="BU700" s="5" t="n"/>
      <c r="BV700" s="5" t="n"/>
      <c r="BW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  <c r="AY701" s="5" t="n"/>
      <c r="AZ701" s="5" t="n"/>
      <c r="BA701" s="5" t="n"/>
      <c r="BB701" s="5" t="n"/>
      <c r="BC701" s="5" t="n"/>
      <c r="BD701" s="5" t="n"/>
      <c r="BE701" s="5" t="n"/>
      <c r="BF701" s="5" t="n"/>
      <c r="BG701" s="5" t="n"/>
      <c r="BH701" s="5" t="n"/>
      <c r="BI701" s="5" t="n"/>
      <c r="BJ701" s="5" t="n"/>
      <c r="BK701" s="5" t="n"/>
      <c r="BL701" s="5" t="n"/>
      <c r="BM701" s="5" t="n"/>
      <c r="BN701" s="5" t="n"/>
      <c r="BO701" s="5" t="n"/>
      <c r="BP701" s="5" t="n"/>
      <c r="BQ701" s="5" t="n"/>
      <c r="BR701" s="5" t="n"/>
      <c r="BS701" s="5" t="n"/>
      <c r="BT701" s="5" t="n"/>
      <c r="BU701" s="5" t="n"/>
      <c r="BV701" s="5" t="n"/>
      <c r="BW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  <c r="AY702" s="5" t="n"/>
      <c r="AZ702" s="5" t="n"/>
      <c r="BA702" s="5" t="n"/>
      <c r="BB702" s="5" t="n"/>
      <c r="BC702" s="5" t="n"/>
      <c r="BD702" s="5" t="n"/>
      <c r="BE702" s="5" t="n"/>
      <c r="BF702" s="5" t="n"/>
      <c r="BG702" s="5" t="n"/>
      <c r="BH702" s="5" t="n"/>
      <c r="BI702" s="5" t="n"/>
      <c r="BJ702" s="5" t="n"/>
      <c r="BK702" s="5" t="n"/>
      <c r="BL702" s="5" t="n"/>
      <c r="BM702" s="5" t="n"/>
      <c r="BN702" s="5" t="n"/>
      <c r="BO702" s="5" t="n"/>
      <c r="BP702" s="5" t="n"/>
      <c r="BQ702" s="5" t="n"/>
      <c r="BR702" s="5" t="n"/>
      <c r="BS702" s="5" t="n"/>
      <c r="BT702" s="5" t="n"/>
      <c r="BU702" s="5" t="n"/>
      <c r="BV702" s="5" t="n"/>
      <c r="BW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  <c r="AY703" s="5" t="n"/>
      <c r="AZ703" s="5" t="n"/>
      <c r="BA703" s="5" t="n"/>
      <c r="BB703" s="5" t="n"/>
      <c r="BC703" s="5" t="n"/>
      <c r="BD703" s="5" t="n"/>
      <c r="BE703" s="5" t="n"/>
      <c r="BF703" s="5" t="n"/>
      <c r="BG703" s="5" t="n"/>
      <c r="BH703" s="5" t="n"/>
      <c r="BI703" s="5" t="n"/>
      <c r="BJ703" s="5" t="n"/>
      <c r="BK703" s="5" t="n"/>
      <c r="BL703" s="5" t="n"/>
      <c r="BM703" s="5" t="n"/>
      <c r="BN703" s="5" t="n"/>
      <c r="BO703" s="5" t="n"/>
      <c r="BP703" s="5" t="n"/>
      <c r="BQ703" s="5" t="n"/>
      <c r="BR703" s="5" t="n"/>
      <c r="BS703" s="5" t="n"/>
      <c r="BT703" s="5" t="n"/>
      <c r="BU703" s="5" t="n"/>
      <c r="BV703" s="5" t="n"/>
      <c r="BW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  <c r="AY704" s="5" t="n"/>
      <c r="AZ704" s="5" t="n"/>
      <c r="BA704" s="5" t="n"/>
      <c r="BB704" s="5" t="n"/>
      <c r="BC704" s="5" t="n"/>
      <c r="BD704" s="5" t="n"/>
      <c r="BE704" s="5" t="n"/>
      <c r="BF704" s="5" t="n"/>
      <c r="BG704" s="5" t="n"/>
      <c r="BH704" s="5" t="n"/>
      <c r="BI704" s="5" t="n"/>
      <c r="BJ704" s="5" t="n"/>
      <c r="BK704" s="5" t="n"/>
      <c r="BL704" s="5" t="n"/>
      <c r="BM704" s="5" t="n"/>
      <c r="BN704" s="5" t="n"/>
      <c r="BO704" s="5" t="n"/>
      <c r="BP704" s="5" t="n"/>
      <c r="BQ704" s="5" t="n"/>
      <c r="BR704" s="5" t="n"/>
      <c r="BS704" s="5" t="n"/>
      <c r="BT704" s="5" t="n"/>
      <c r="BU704" s="5" t="n"/>
      <c r="BV704" s="5" t="n"/>
      <c r="BW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  <c r="AY705" s="5" t="n"/>
      <c r="AZ705" s="5" t="n"/>
      <c r="BA705" s="5" t="n"/>
      <c r="BB705" s="5" t="n"/>
      <c r="BC705" s="5" t="n"/>
      <c r="BD705" s="5" t="n"/>
      <c r="BE705" s="5" t="n"/>
      <c r="BF705" s="5" t="n"/>
      <c r="BG705" s="5" t="n"/>
      <c r="BH705" s="5" t="n"/>
      <c r="BI705" s="5" t="n"/>
      <c r="BJ705" s="5" t="n"/>
      <c r="BK705" s="5" t="n"/>
      <c r="BL705" s="5" t="n"/>
      <c r="BM705" s="5" t="n"/>
      <c r="BN705" s="5" t="n"/>
      <c r="BO705" s="5" t="n"/>
      <c r="BP705" s="5" t="n"/>
      <c r="BQ705" s="5" t="n"/>
      <c r="BR705" s="5" t="n"/>
      <c r="BS705" s="5" t="n"/>
      <c r="BT705" s="5" t="n"/>
      <c r="BU705" s="5" t="n"/>
      <c r="BV705" s="5" t="n"/>
      <c r="BW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  <c r="AY706" s="5" t="n"/>
      <c r="AZ706" s="5" t="n"/>
      <c r="BA706" s="5" t="n"/>
      <c r="BB706" s="5" t="n"/>
      <c r="BC706" s="5" t="n"/>
      <c r="BD706" s="5" t="n"/>
      <c r="BE706" s="5" t="n"/>
      <c r="BF706" s="5" t="n"/>
      <c r="BG706" s="5" t="n"/>
      <c r="BH706" s="5" t="n"/>
      <c r="BI706" s="5" t="n"/>
      <c r="BJ706" s="5" t="n"/>
      <c r="BK706" s="5" t="n"/>
      <c r="BL706" s="5" t="n"/>
      <c r="BM706" s="5" t="n"/>
      <c r="BN706" s="5" t="n"/>
      <c r="BO706" s="5" t="n"/>
      <c r="BP706" s="5" t="n"/>
      <c r="BQ706" s="5" t="n"/>
      <c r="BR706" s="5" t="n"/>
      <c r="BS706" s="5" t="n"/>
      <c r="BT706" s="5" t="n"/>
      <c r="BU706" s="5" t="n"/>
      <c r="BV706" s="5" t="n"/>
      <c r="BW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  <c r="AY707" s="5" t="n"/>
      <c r="AZ707" s="5" t="n"/>
      <c r="BA707" s="5" t="n"/>
      <c r="BB707" s="5" t="n"/>
      <c r="BC707" s="5" t="n"/>
      <c r="BD707" s="5" t="n"/>
      <c r="BE707" s="5" t="n"/>
      <c r="BF707" s="5" t="n"/>
      <c r="BG707" s="5" t="n"/>
      <c r="BH707" s="5" t="n"/>
      <c r="BI707" s="5" t="n"/>
      <c r="BJ707" s="5" t="n"/>
      <c r="BK707" s="5" t="n"/>
      <c r="BL707" s="5" t="n"/>
      <c r="BM707" s="5" t="n"/>
      <c r="BN707" s="5" t="n"/>
      <c r="BO707" s="5" t="n"/>
      <c r="BP707" s="5" t="n"/>
      <c r="BQ707" s="5" t="n"/>
      <c r="BR707" s="5" t="n"/>
      <c r="BS707" s="5" t="n"/>
      <c r="BT707" s="5" t="n"/>
      <c r="BU707" s="5" t="n"/>
      <c r="BV707" s="5" t="n"/>
      <c r="BW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  <c r="AY708" s="5" t="n"/>
      <c r="AZ708" s="5" t="n"/>
      <c r="BA708" s="5" t="n"/>
      <c r="BB708" s="5" t="n"/>
      <c r="BC708" s="5" t="n"/>
      <c r="BD708" s="5" t="n"/>
      <c r="BE708" s="5" t="n"/>
      <c r="BF708" s="5" t="n"/>
      <c r="BG708" s="5" t="n"/>
      <c r="BH708" s="5" t="n"/>
      <c r="BI708" s="5" t="n"/>
      <c r="BJ708" s="5" t="n"/>
      <c r="BK708" s="5" t="n"/>
      <c r="BL708" s="5" t="n"/>
      <c r="BM708" s="5" t="n"/>
      <c r="BN708" s="5" t="n"/>
      <c r="BO708" s="5" t="n"/>
      <c r="BP708" s="5" t="n"/>
      <c r="BQ708" s="5" t="n"/>
      <c r="BR708" s="5" t="n"/>
      <c r="BS708" s="5" t="n"/>
      <c r="BT708" s="5" t="n"/>
      <c r="BU708" s="5" t="n"/>
      <c r="BV708" s="5" t="n"/>
      <c r="BW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  <c r="AY709" s="5" t="n"/>
      <c r="AZ709" s="5" t="n"/>
      <c r="BA709" s="5" t="n"/>
      <c r="BB709" s="5" t="n"/>
      <c r="BC709" s="5" t="n"/>
      <c r="BD709" s="5" t="n"/>
      <c r="BE709" s="5" t="n"/>
      <c r="BF709" s="5" t="n"/>
      <c r="BG709" s="5" t="n"/>
      <c r="BH709" s="5" t="n"/>
      <c r="BI709" s="5" t="n"/>
      <c r="BJ709" s="5" t="n"/>
      <c r="BK709" s="5" t="n"/>
      <c r="BL709" s="5" t="n"/>
      <c r="BM709" s="5" t="n"/>
      <c r="BN709" s="5" t="n"/>
      <c r="BO709" s="5" t="n"/>
      <c r="BP709" s="5" t="n"/>
      <c r="BQ709" s="5" t="n"/>
      <c r="BR709" s="5" t="n"/>
      <c r="BS709" s="5" t="n"/>
      <c r="BT709" s="5" t="n"/>
      <c r="BU709" s="5" t="n"/>
      <c r="BV709" s="5" t="n"/>
      <c r="BW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  <c r="AY710" s="5" t="n"/>
      <c r="AZ710" s="5" t="n"/>
      <c r="BA710" s="5" t="n"/>
      <c r="BB710" s="5" t="n"/>
      <c r="BC710" s="5" t="n"/>
      <c r="BD710" s="5" t="n"/>
      <c r="BE710" s="5" t="n"/>
      <c r="BF710" s="5" t="n"/>
      <c r="BG710" s="5" t="n"/>
      <c r="BH710" s="5" t="n"/>
      <c r="BI710" s="5" t="n"/>
      <c r="BJ710" s="5" t="n"/>
      <c r="BK710" s="5" t="n"/>
      <c r="BL710" s="5" t="n"/>
      <c r="BM710" s="5" t="n"/>
      <c r="BN710" s="5" t="n"/>
      <c r="BO710" s="5" t="n"/>
      <c r="BP710" s="5" t="n"/>
      <c r="BQ710" s="5" t="n"/>
      <c r="BR710" s="5" t="n"/>
      <c r="BS710" s="5" t="n"/>
      <c r="BT710" s="5" t="n"/>
      <c r="BU710" s="5" t="n"/>
      <c r="BV710" s="5" t="n"/>
      <c r="BW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  <c r="AY711" s="5" t="n"/>
      <c r="AZ711" s="5" t="n"/>
      <c r="BA711" s="5" t="n"/>
      <c r="BB711" s="5" t="n"/>
      <c r="BC711" s="5" t="n"/>
      <c r="BD711" s="5" t="n"/>
      <c r="BE711" s="5" t="n"/>
      <c r="BF711" s="5" t="n"/>
      <c r="BG711" s="5" t="n"/>
      <c r="BH711" s="5" t="n"/>
      <c r="BI711" s="5" t="n"/>
      <c r="BJ711" s="5" t="n"/>
      <c r="BK711" s="5" t="n"/>
      <c r="BL711" s="5" t="n"/>
      <c r="BM711" s="5" t="n"/>
      <c r="BN711" s="5" t="n"/>
      <c r="BO711" s="5" t="n"/>
      <c r="BP711" s="5" t="n"/>
      <c r="BQ711" s="5" t="n"/>
      <c r="BR711" s="5" t="n"/>
      <c r="BS711" s="5" t="n"/>
      <c r="BT711" s="5" t="n"/>
      <c r="BU711" s="5" t="n"/>
      <c r="BV711" s="5" t="n"/>
      <c r="BW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  <c r="AY712" s="5" t="n"/>
      <c r="AZ712" s="5" t="n"/>
      <c r="BA712" s="5" t="n"/>
      <c r="BB712" s="5" t="n"/>
      <c r="BC712" s="5" t="n"/>
      <c r="BD712" s="5" t="n"/>
      <c r="BE712" s="5" t="n"/>
      <c r="BF712" s="5" t="n"/>
      <c r="BG712" s="5" t="n"/>
      <c r="BH712" s="5" t="n"/>
      <c r="BI712" s="5" t="n"/>
      <c r="BJ712" s="5" t="n"/>
      <c r="BK712" s="5" t="n"/>
      <c r="BL712" s="5" t="n"/>
      <c r="BM712" s="5" t="n"/>
      <c r="BN712" s="5" t="n"/>
      <c r="BO712" s="5" t="n"/>
      <c r="BP712" s="5" t="n"/>
      <c r="BQ712" s="5" t="n"/>
      <c r="BR712" s="5" t="n"/>
      <c r="BS712" s="5" t="n"/>
      <c r="BT712" s="5" t="n"/>
      <c r="BU712" s="5" t="n"/>
      <c r="BV712" s="5" t="n"/>
      <c r="BW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  <c r="AY713" s="5" t="n"/>
      <c r="AZ713" s="5" t="n"/>
      <c r="BA713" s="5" t="n"/>
      <c r="BB713" s="5" t="n"/>
      <c r="BC713" s="5" t="n"/>
      <c r="BD713" s="5" t="n"/>
      <c r="BE713" s="5" t="n"/>
      <c r="BF713" s="5" t="n"/>
      <c r="BG713" s="5" t="n"/>
      <c r="BH713" s="5" t="n"/>
      <c r="BI713" s="5" t="n"/>
      <c r="BJ713" s="5" t="n"/>
      <c r="BK713" s="5" t="n"/>
      <c r="BL713" s="5" t="n"/>
      <c r="BM713" s="5" t="n"/>
      <c r="BN713" s="5" t="n"/>
      <c r="BO713" s="5" t="n"/>
      <c r="BP713" s="5" t="n"/>
      <c r="BQ713" s="5" t="n"/>
      <c r="BR713" s="5" t="n"/>
      <c r="BS713" s="5" t="n"/>
      <c r="BT713" s="5" t="n"/>
      <c r="BU713" s="5" t="n"/>
      <c r="BV713" s="5" t="n"/>
      <c r="BW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  <c r="AY714" s="5" t="n"/>
      <c r="AZ714" s="5" t="n"/>
      <c r="BA714" s="5" t="n"/>
      <c r="BB714" s="5" t="n"/>
      <c r="BC714" s="5" t="n"/>
      <c r="BD714" s="5" t="n"/>
      <c r="BE714" s="5" t="n"/>
      <c r="BF714" s="5" t="n"/>
      <c r="BG714" s="5" t="n"/>
      <c r="BH714" s="5" t="n"/>
      <c r="BI714" s="5" t="n"/>
      <c r="BJ714" s="5" t="n"/>
      <c r="BK714" s="5" t="n"/>
      <c r="BL714" s="5" t="n"/>
      <c r="BM714" s="5" t="n"/>
      <c r="BN714" s="5" t="n"/>
      <c r="BO714" s="5" t="n"/>
      <c r="BP714" s="5" t="n"/>
      <c r="BQ714" s="5" t="n"/>
      <c r="BR714" s="5" t="n"/>
      <c r="BS714" s="5" t="n"/>
      <c r="BT714" s="5" t="n"/>
      <c r="BU714" s="5" t="n"/>
      <c r="BV714" s="5" t="n"/>
      <c r="BW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  <c r="AY715" s="5" t="n"/>
      <c r="AZ715" s="5" t="n"/>
      <c r="BA715" s="5" t="n"/>
      <c r="BB715" s="5" t="n"/>
      <c r="BC715" s="5" t="n"/>
      <c r="BD715" s="5" t="n"/>
      <c r="BE715" s="5" t="n"/>
      <c r="BF715" s="5" t="n"/>
      <c r="BG715" s="5" t="n"/>
      <c r="BH715" s="5" t="n"/>
      <c r="BI715" s="5" t="n"/>
      <c r="BJ715" s="5" t="n"/>
      <c r="BK715" s="5" t="n"/>
      <c r="BL715" s="5" t="n"/>
      <c r="BM715" s="5" t="n"/>
      <c r="BN715" s="5" t="n"/>
      <c r="BO715" s="5" t="n"/>
      <c r="BP715" s="5" t="n"/>
      <c r="BQ715" s="5" t="n"/>
      <c r="BR715" s="5" t="n"/>
      <c r="BS715" s="5" t="n"/>
      <c r="BT715" s="5" t="n"/>
      <c r="BU715" s="5" t="n"/>
      <c r="BV715" s="5" t="n"/>
      <c r="BW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  <c r="AY716" s="5" t="n"/>
      <c r="AZ716" s="5" t="n"/>
      <c r="BA716" s="5" t="n"/>
      <c r="BB716" s="5" t="n"/>
      <c r="BC716" s="5" t="n"/>
      <c r="BD716" s="5" t="n"/>
      <c r="BE716" s="5" t="n"/>
      <c r="BF716" s="5" t="n"/>
      <c r="BG716" s="5" t="n"/>
      <c r="BH716" s="5" t="n"/>
      <c r="BI716" s="5" t="n"/>
      <c r="BJ716" s="5" t="n"/>
      <c r="BK716" s="5" t="n"/>
      <c r="BL716" s="5" t="n"/>
      <c r="BM716" s="5" t="n"/>
      <c r="BN716" s="5" t="n"/>
      <c r="BO716" s="5" t="n"/>
      <c r="BP716" s="5" t="n"/>
      <c r="BQ716" s="5" t="n"/>
      <c r="BR716" s="5" t="n"/>
      <c r="BS716" s="5" t="n"/>
      <c r="BT716" s="5" t="n"/>
      <c r="BU716" s="5" t="n"/>
      <c r="BV716" s="5" t="n"/>
      <c r="BW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  <c r="AY717" s="5" t="n"/>
      <c r="AZ717" s="5" t="n"/>
      <c r="BA717" s="5" t="n"/>
      <c r="BB717" s="5" t="n"/>
      <c r="BC717" s="5" t="n"/>
      <c r="BD717" s="5" t="n"/>
      <c r="BE717" s="5" t="n"/>
      <c r="BF717" s="5" t="n"/>
      <c r="BG717" s="5" t="n"/>
      <c r="BH717" s="5" t="n"/>
      <c r="BI717" s="5" t="n"/>
      <c r="BJ717" s="5" t="n"/>
      <c r="BK717" s="5" t="n"/>
      <c r="BL717" s="5" t="n"/>
      <c r="BM717" s="5" t="n"/>
      <c r="BN717" s="5" t="n"/>
      <c r="BO717" s="5" t="n"/>
      <c r="BP717" s="5" t="n"/>
      <c r="BQ717" s="5" t="n"/>
      <c r="BR717" s="5" t="n"/>
      <c r="BS717" s="5" t="n"/>
      <c r="BT717" s="5" t="n"/>
      <c r="BU717" s="5" t="n"/>
      <c r="BV717" s="5" t="n"/>
      <c r="BW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  <c r="AY718" s="5" t="n"/>
      <c r="AZ718" s="5" t="n"/>
      <c r="BA718" s="5" t="n"/>
      <c r="BB718" s="5" t="n"/>
      <c r="BC718" s="5" t="n"/>
      <c r="BD718" s="5" t="n"/>
      <c r="BE718" s="5" t="n"/>
      <c r="BF718" s="5" t="n"/>
      <c r="BG718" s="5" t="n"/>
      <c r="BH718" s="5" t="n"/>
      <c r="BI718" s="5" t="n"/>
      <c r="BJ718" s="5" t="n"/>
      <c r="BK718" s="5" t="n"/>
      <c r="BL718" s="5" t="n"/>
      <c r="BM718" s="5" t="n"/>
      <c r="BN718" s="5" t="n"/>
      <c r="BO718" s="5" t="n"/>
      <c r="BP718" s="5" t="n"/>
      <c r="BQ718" s="5" t="n"/>
      <c r="BR718" s="5" t="n"/>
      <c r="BS718" s="5" t="n"/>
      <c r="BT718" s="5" t="n"/>
      <c r="BU718" s="5" t="n"/>
      <c r="BV718" s="5" t="n"/>
      <c r="BW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  <c r="AY719" s="5" t="n"/>
      <c r="AZ719" s="5" t="n"/>
      <c r="BA719" s="5" t="n"/>
      <c r="BB719" s="5" t="n"/>
      <c r="BC719" s="5" t="n"/>
      <c r="BD719" s="5" t="n"/>
      <c r="BE719" s="5" t="n"/>
      <c r="BF719" s="5" t="n"/>
      <c r="BG719" s="5" t="n"/>
      <c r="BH719" s="5" t="n"/>
      <c r="BI719" s="5" t="n"/>
      <c r="BJ719" s="5" t="n"/>
      <c r="BK719" s="5" t="n"/>
      <c r="BL719" s="5" t="n"/>
      <c r="BM719" s="5" t="n"/>
      <c r="BN719" s="5" t="n"/>
      <c r="BO719" s="5" t="n"/>
      <c r="BP719" s="5" t="n"/>
      <c r="BQ719" s="5" t="n"/>
      <c r="BR719" s="5" t="n"/>
      <c r="BS719" s="5" t="n"/>
      <c r="BT719" s="5" t="n"/>
      <c r="BU719" s="5" t="n"/>
      <c r="BV719" s="5" t="n"/>
      <c r="BW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  <c r="AY720" s="5" t="n"/>
      <c r="AZ720" s="5" t="n"/>
      <c r="BA720" s="5" t="n"/>
      <c r="BB720" s="5" t="n"/>
      <c r="BC720" s="5" t="n"/>
      <c r="BD720" s="5" t="n"/>
      <c r="BE720" s="5" t="n"/>
      <c r="BF720" s="5" t="n"/>
      <c r="BG720" s="5" t="n"/>
      <c r="BH720" s="5" t="n"/>
      <c r="BI720" s="5" t="n"/>
      <c r="BJ720" s="5" t="n"/>
      <c r="BK720" s="5" t="n"/>
      <c r="BL720" s="5" t="n"/>
      <c r="BM720" s="5" t="n"/>
      <c r="BN720" s="5" t="n"/>
      <c r="BO720" s="5" t="n"/>
      <c r="BP720" s="5" t="n"/>
      <c r="BQ720" s="5" t="n"/>
      <c r="BR720" s="5" t="n"/>
      <c r="BS720" s="5" t="n"/>
      <c r="BT720" s="5" t="n"/>
      <c r="BU720" s="5" t="n"/>
      <c r="BV720" s="5" t="n"/>
      <c r="BW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  <c r="AY721" s="5" t="n"/>
      <c r="AZ721" s="5" t="n"/>
      <c r="BA721" s="5" t="n"/>
      <c r="BB721" s="5" t="n"/>
      <c r="BC721" s="5" t="n"/>
      <c r="BD721" s="5" t="n"/>
      <c r="BE721" s="5" t="n"/>
      <c r="BF721" s="5" t="n"/>
      <c r="BG721" s="5" t="n"/>
      <c r="BH721" s="5" t="n"/>
      <c r="BI721" s="5" t="n"/>
      <c r="BJ721" s="5" t="n"/>
      <c r="BK721" s="5" t="n"/>
      <c r="BL721" s="5" t="n"/>
      <c r="BM721" s="5" t="n"/>
      <c r="BN721" s="5" t="n"/>
      <c r="BO721" s="5" t="n"/>
      <c r="BP721" s="5" t="n"/>
      <c r="BQ721" s="5" t="n"/>
      <c r="BR721" s="5" t="n"/>
      <c r="BS721" s="5" t="n"/>
      <c r="BT721" s="5" t="n"/>
      <c r="BU721" s="5" t="n"/>
      <c r="BV721" s="5" t="n"/>
      <c r="BW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  <c r="AY722" s="5" t="n"/>
      <c r="AZ722" s="5" t="n"/>
      <c r="BA722" s="5" t="n"/>
      <c r="BB722" s="5" t="n"/>
      <c r="BC722" s="5" t="n"/>
      <c r="BD722" s="5" t="n"/>
      <c r="BE722" s="5" t="n"/>
      <c r="BF722" s="5" t="n"/>
      <c r="BG722" s="5" t="n"/>
      <c r="BH722" s="5" t="n"/>
      <c r="BI722" s="5" t="n"/>
      <c r="BJ722" s="5" t="n"/>
      <c r="BK722" s="5" t="n"/>
      <c r="BL722" s="5" t="n"/>
      <c r="BM722" s="5" t="n"/>
      <c r="BN722" s="5" t="n"/>
      <c r="BO722" s="5" t="n"/>
      <c r="BP722" s="5" t="n"/>
      <c r="BQ722" s="5" t="n"/>
      <c r="BR722" s="5" t="n"/>
      <c r="BS722" s="5" t="n"/>
      <c r="BT722" s="5" t="n"/>
      <c r="BU722" s="5" t="n"/>
      <c r="BV722" s="5" t="n"/>
      <c r="BW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  <c r="AY723" s="5" t="n"/>
      <c r="AZ723" s="5" t="n"/>
      <c r="BA723" s="5" t="n"/>
      <c r="BB723" s="5" t="n"/>
      <c r="BC723" s="5" t="n"/>
      <c r="BD723" s="5" t="n"/>
      <c r="BE723" s="5" t="n"/>
      <c r="BF723" s="5" t="n"/>
      <c r="BG723" s="5" t="n"/>
      <c r="BH723" s="5" t="n"/>
      <c r="BI723" s="5" t="n"/>
      <c r="BJ723" s="5" t="n"/>
      <c r="BK723" s="5" t="n"/>
      <c r="BL723" s="5" t="n"/>
      <c r="BM723" s="5" t="n"/>
      <c r="BN723" s="5" t="n"/>
      <c r="BO723" s="5" t="n"/>
      <c r="BP723" s="5" t="n"/>
      <c r="BQ723" s="5" t="n"/>
      <c r="BR723" s="5" t="n"/>
      <c r="BS723" s="5" t="n"/>
      <c r="BT723" s="5" t="n"/>
      <c r="BU723" s="5" t="n"/>
      <c r="BV723" s="5" t="n"/>
      <c r="BW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  <c r="AY724" s="5" t="n"/>
      <c r="AZ724" s="5" t="n"/>
      <c r="BA724" s="5" t="n"/>
      <c r="BB724" s="5" t="n"/>
      <c r="BC724" s="5" t="n"/>
      <c r="BD724" s="5" t="n"/>
      <c r="BE724" s="5" t="n"/>
      <c r="BF724" s="5" t="n"/>
      <c r="BG724" s="5" t="n"/>
      <c r="BH724" s="5" t="n"/>
      <c r="BI724" s="5" t="n"/>
      <c r="BJ724" s="5" t="n"/>
      <c r="BK724" s="5" t="n"/>
      <c r="BL724" s="5" t="n"/>
      <c r="BM724" s="5" t="n"/>
      <c r="BN724" s="5" t="n"/>
      <c r="BO724" s="5" t="n"/>
      <c r="BP724" s="5" t="n"/>
      <c r="BQ724" s="5" t="n"/>
      <c r="BR724" s="5" t="n"/>
      <c r="BS724" s="5" t="n"/>
      <c r="BT724" s="5" t="n"/>
      <c r="BU724" s="5" t="n"/>
      <c r="BV724" s="5" t="n"/>
      <c r="BW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  <c r="AY725" s="5" t="n"/>
      <c r="AZ725" s="5" t="n"/>
      <c r="BA725" s="5" t="n"/>
      <c r="BB725" s="5" t="n"/>
      <c r="BC725" s="5" t="n"/>
      <c r="BD725" s="5" t="n"/>
      <c r="BE725" s="5" t="n"/>
      <c r="BF725" s="5" t="n"/>
      <c r="BG725" s="5" t="n"/>
      <c r="BH725" s="5" t="n"/>
      <c r="BI725" s="5" t="n"/>
      <c r="BJ725" s="5" t="n"/>
      <c r="BK725" s="5" t="n"/>
      <c r="BL725" s="5" t="n"/>
      <c r="BM725" s="5" t="n"/>
      <c r="BN725" s="5" t="n"/>
      <c r="BO725" s="5" t="n"/>
      <c r="BP725" s="5" t="n"/>
      <c r="BQ725" s="5" t="n"/>
      <c r="BR725" s="5" t="n"/>
      <c r="BS725" s="5" t="n"/>
      <c r="BT725" s="5" t="n"/>
      <c r="BU725" s="5" t="n"/>
      <c r="BV725" s="5" t="n"/>
      <c r="BW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  <c r="AY726" s="5" t="n"/>
      <c r="AZ726" s="5" t="n"/>
      <c r="BA726" s="5" t="n"/>
      <c r="BB726" s="5" t="n"/>
      <c r="BC726" s="5" t="n"/>
      <c r="BD726" s="5" t="n"/>
      <c r="BE726" s="5" t="n"/>
      <c r="BF726" s="5" t="n"/>
      <c r="BG726" s="5" t="n"/>
      <c r="BH726" s="5" t="n"/>
      <c r="BI726" s="5" t="n"/>
      <c r="BJ726" s="5" t="n"/>
      <c r="BK726" s="5" t="n"/>
      <c r="BL726" s="5" t="n"/>
      <c r="BM726" s="5" t="n"/>
      <c r="BN726" s="5" t="n"/>
      <c r="BO726" s="5" t="n"/>
      <c r="BP726" s="5" t="n"/>
      <c r="BQ726" s="5" t="n"/>
      <c r="BR726" s="5" t="n"/>
      <c r="BS726" s="5" t="n"/>
      <c r="BT726" s="5" t="n"/>
      <c r="BU726" s="5" t="n"/>
      <c r="BV726" s="5" t="n"/>
      <c r="BW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  <c r="AY727" s="5" t="n"/>
      <c r="AZ727" s="5" t="n"/>
      <c r="BA727" s="5" t="n"/>
      <c r="BB727" s="5" t="n"/>
      <c r="BC727" s="5" t="n"/>
      <c r="BD727" s="5" t="n"/>
      <c r="BE727" s="5" t="n"/>
      <c r="BF727" s="5" t="n"/>
      <c r="BG727" s="5" t="n"/>
      <c r="BH727" s="5" t="n"/>
      <c r="BI727" s="5" t="n"/>
      <c r="BJ727" s="5" t="n"/>
      <c r="BK727" s="5" t="n"/>
      <c r="BL727" s="5" t="n"/>
      <c r="BM727" s="5" t="n"/>
      <c r="BN727" s="5" t="n"/>
      <c r="BO727" s="5" t="n"/>
      <c r="BP727" s="5" t="n"/>
      <c r="BQ727" s="5" t="n"/>
      <c r="BR727" s="5" t="n"/>
      <c r="BS727" s="5" t="n"/>
      <c r="BT727" s="5" t="n"/>
      <c r="BU727" s="5" t="n"/>
      <c r="BV727" s="5" t="n"/>
      <c r="BW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  <c r="AY728" s="5" t="n"/>
      <c r="AZ728" s="5" t="n"/>
      <c r="BA728" s="5" t="n"/>
      <c r="BB728" s="5" t="n"/>
      <c r="BC728" s="5" t="n"/>
      <c r="BD728" s="5" t="n"/>
      <c r="BE728" s="5" t="n"/>
      <c r="BF728" s="5" t="n"/>
      <c r="BG728" s="5" t="n"/>
      <c r="BH728" s="5" t="n"/>
      <c r="BI728" s="5" t="n"/>
      <c r="BJ728" s="5" t="n"/>
      <c r="BK728" s="5" t="n"/>
      <c r="BL728" s="5" t="n"/>
      <c r="BM728" s="5" t="n"/>
      <c r="BN728" s="5" t="n"/>
      <c r="BO728" s="5" t="n"/>
      <c r="BP728" s="5" t="n"/>
      <c r="BQ728" s="5" t="n"/>
      <c r="BR728" s="5" t="n"/>
      <c r="BS728" s="5" t="n"/>
      <c r="BT728" s="5" t="n"/>
      <c r="BU728" s="5" t="n"/>
      <c r="BV728" s="5" t="n"/>
      <c r="BW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  <c r="AY729" s="5" t="n"/>
      <c r="AZ729" s="5" t="n"/>
      <c r="BA729" s="5" t="n"/>
      <c r="BB729" s="5" t="n"/>
      <c r="BC729" s="5" t="n"/>
      <c r="BD729" s="5" t="n"/>
      <c r="BE729" s="5" t="n"/>
      <c r="BF729" s="5" t="n"/>
      <c r="BG729" s="5" t="n"/>
      <c r="BH729" s="5" t="n"/>
      <c r="BI729" s="5" t="n"/>
      <c r="BJ729" s="5" t="n"/>
      <c r="BK729" s="5" t="n"/>
      <c r="BL729" s="5" t="n"/>
      <c r="BM729" s="5" t="n"/>
      <c r="BN729" s="5" t="n"/>
      <c r="BO729" s="5" t="n"/>
      <c r="BP729" s="5" t="n"/>
      <c r="BQ729" s="5" t="n"/>
      <c r="BR729" s="5" t="n"/>
      <c r="BS729" s="5" t="n"/>
      <c r="BT729" s="5" t="n"/>
      <c r="BU729" s="5" t="n"/>
      <c r="BV729" s="5" t="n"/>
      <c r="BW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  <c r="AY730" s="5" t="n"/>
      <c r="AZ730" s="5" t="n"/>
      <c r="BA730" s="5" t="n"/>
      <c r="BB730" s="5" t="n"/>
      <c r="BC730" s="5" t="n"/>
      <c r="BD730" s="5" t="n"/>
      <c r="BE730" s="5" t="n"/>
      <c r="BF730" s="5" t="n"/>
      <c r="BG730" s="5" t="n"/>
      <c r="BH730" s="5" t="n"/>
      <c r="BI730" s="5" t="n"/>
      <c r="BJ730" s="5" t="n"/>
      <c r="BK730" s="5" t="n"/>
      <c r="BL730" s="5" t="n"/>
      <c r="BM730" s="5" t="n"/>
      <c r="BN730" s="5" t="n"/>
      <c r="BO730" s="5" t="n"/>
      <c r="BP730" s="5" t="n"/>
      <c r="BQ730" s="5" t="n"/>
      <c r="BR730" s="5" t="n"/>
      <c r="BS730" s="5" t="n"/>
      <c r="BT730" s="5" t="n"/>
      <c r="BU730" s="5" t="n"/>
      <c r="BV730" s="5" t="n"/>
      <c r="BW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  <c r="AY731" s="5" t="n"/>
      <c r="AZ731" s="5" t="n"/>
      <c r="BA731" s="5" t="n"/>
      <c r="BB731" s="5" t="n"/>
      <c r="BC731" s="5" t="n"/>
      <c r="BD731" s="5" t="n"/>
      <c r="BE731" s="5" t="n"/>
      <c r="BF731" s="5" t="n"/>
      <c r="BG731" s="5" t="n"/>
      <c r="BH731" s="5" t="n"/>
      <c r="BI731" s="5" t="n"/>
      <c r="BJ731" s="5" t="n"/>
      <c r="BK731" s="5" t="n"/>
      <c r="BL731" s="5" t="n"/>
      <c r="BM731" s="5" t="n"/>
      <c r="BN731" s="5" t="n"/>
      <c r="BO731" s="5" t="n"/>
      <c r="BP731" s="5" t="n"/>
      <c r="BQ731" s="5" t="n"/>
      <c r="BR731" s="5" t="n"/>
      <c r="BS731" s="5" t="n"/>
      <c r="BT731" s="5" t="n"/>
      <c r="BU731" s="5" t="n"/>
      <c r="BV731" s="5" t="n"/>
      <c r="BW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  <c r="AY732" s="5" t="n"/>
      <c r="AZ732" s="5" t="n"/>
      <c r="BA732" s="5" t="n"/>
      <c r="BB732" s="5" t="n"/>
      <c r="BC732" s="5" t="n"/>
      <c r="BD732" s="5" t="n"/>
      <c r="BE732" s="5" t="n"/>
      <c r="BF732" s="5" t="n"/>
      <c r="BG732" s="5" t="n"/>
      <c r="BH732" s="5" t="n"/>
      <c r="BI732" s="5" t="n"/>
      <c r="BJ732" s="5" t="n"/>
      <c r="BK732" s="5" t="n"/>
      <c r="BL732" s="5" t="n"/>
      <c r="BM732" s="5" t="n"/>
      <c r="BN732" s="5" t="n"/>
      <c r="BO732" s="5" t="n"/>
      <c r="BP732" s="5" t="n"/>
      <c r="BQ732" s="5" t="n"/>
      <c r="BR732" s="5" t="n"/>
      <c r="BS732" s="5" t="n"/>
      <c r="BT732" s="5" t="n"/>
      <c r="BU732" s="5" t="n"/>
      <c r="BV732" s="5" t="n"/>
      <c r="BW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  <c r="AY733" s="5" t="n"/>
      <c r="AZ733" s="5" t="n"/>
      <c r="BA733" s="5" t="n"/>
      <c r="BB733" s="5" t="n"/>
      <c r="BC733" s="5" t="n"/>
      <c r="BD733" s="5" t="n"/>
      <c r="BE733" s="5" t="n"/>
      <c r="BF733" s="5" t="n"/>
      <c r="BG733" s="5" t="n"/>
      <c r="BH733" s="5" t="n"/>
      <c r="BI733" s="5" t="n"/>
      <c r="BJ733" s="5" t="n"/>
      <c r="BK733" s="5" t="n"/>
      <c r="BL733" s="5" t="n"/>
      <c r="BM733" s="5" t="n"/>
      <c r="BN733" s="5" t="n"/>
      <c r="BO733" s="5" t="n"/>
      <c r="BP733" s="5" t="n"/>
      <c r="BQ733" s="5" t="n"/>
      <c r="BR733" s="5" t="n"/>
      <c r="BS733" s="5" t="n"/>
      <c r="BT733" s="5" t="n"/>
      <c r="BU733" s="5" t="n"/>
      <c r="BV733" s="5" t="n"/>
      <c r="BW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  <c r="AY734" s="5" t="n"/>
      <c r="AZ734" s="5" t="n"/>
      <c r="BA734" s="5" t="n"/>
      <c r="BB734" s="5" t="n"/>
      <c r="BC734" s="5" t="n"/>
      <c r="BD734" s="5" t="n"/>
      <c r="BE734" s="5" t="n"/>
      <c r="BF734" s="5" t="n"/>
      <c r="BG734" s="5" t="n"/>
      <c r="BH734" s="5" t="n"/>
      <c r="BI734" s="5" t="n"/>
      <c r="BJ734" s="5" t="n"/>
      <c r="BK734" s="5" t="n"/>
      <c r="BL734" s="5" t="n"/>
      <c r="BM734" s="5" t="n"/>
      <c r="BN734" s="5" t="n"/>
      <c r="BO734" s="5" t="n"/>
      <c r="BP734" s="5" t="n"/>
      <c r="BQ734" s="5" t="n"/>
      <c r="BR734" s="5" t="n"/>
      <c r="BS734" s="5" t="n"/>
      <c r="BT734" s="5" t="n"/>
      <c r="BU734" s="5" t="n"/>
      <c r="BV734" s="5" t="n"/>
      <c r="BW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  <c r="AY735" s="5" t="n"/>
      <c r="AZ735" s="5" t="n"/>
      <c r="BA735" s="5" t="n"/>
      <c r="BB735" s="5" t="n"/>
      <c r="BC735" s="5" t="n"/>
      <c r="BD735" s="5" t="n"/>
      <c r="BE735" s="5" t="n"/>
      <c r="BF735" s="5" t="n"/>
      <c r="BG735" s="5" t="n"/>
      <c r="BH735" s="5" t="n"/>
      <c r="BI735" s="5" t="n"/>
      <c r="BJ735" s="5" t="n"/>
      <c r="BK735" s="5" t="n"/>
      <c r="BL735" s="5" t="n"/>
      <c r="BM735" s="5" t="n"/>
      <c r="BN735" s="5" t="n"/>
      <c r="BO735" s="5" t="n"/>
      <c r="BP735" s="5" t="n"/>
      <c r="BQ735" s="5" t="n"/>
      <c r="BR735" s="5" t="n"/>
      <c r="BS735" s="5" t="n"/>
      <c r="BT735" s="5" t="n"/>
      <c r="BU735" s="5" t="n"/>
      <c r="BV735" s="5" t="n"/>
      <c r="BW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  <c r="AY736" s="5" t="n"/>
      <c r="AZ736" s="5" t="n"/>
      <c r="BA736" s="5" t="n"/>
      <c r="BB736" s="5" t="n"/>
      <c r="BC736" s="5" t="n"/>
      <c r="BD736" s="5" t="n"/>
      <c r="BE736" s="5" t="n"/>
      <c r="BF736" s="5" t="n"/>
      <c r="BG736" s="5" t="n"/>
      <c r="BH736" s="5" t="n"/>
      <c r="BI736" s="5" t="n"/>
      <c r="BJ736" s="5" t="n"/>
      <c r="BK736" s="5" t="n"/>
      <c r="BL736" s="5" t="n"/>
      <c r="BM736" s="5" t="n"/>
      <c r="BN736" s="5" t="n"/>
      <c r="BO736" s="5" t="n"/>
      <c r="BP736" s="5" t="n"/>
      <c r="BQ736" s="5" t="n"/>
      <c r="BR736" s="5" t="n"/>
      <c r="BS736" s="5" t="n"/>
      <c r="BT736" s="5" t="n"/>
      <c r="BU736" s="5" t="n"/>
      <c r="BV736" s="5" t="n"/>
      <c r="BW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  <c r="AY737" s="5" t="n"/>
      <c r="AZ737" s="5" t="n"/>
      <c r="BA737" s="5" t="n"/>
      <c r="BB737" s="5" t="n"/>
      <c r="BC737" s="5" t="n"/>
      <c r="BD737" s="5" t="n"/>
      <c r="BE737" s="5" t="n"/>
      <c r="BF737" s="5" t="n"/>
      <c r="BG737" s="5" t="n"/>
      <c r="BH737" s="5" t="n"/>
      <c r="BI737" s="5" t="n"/>
      <c r="BJ737" s="5" t="n"/>
      <c r="BK737" s="5" t="n"/>
      <c r="BL737" s="5" t="n"/>
      <c r="BM737" s="5" t="n"/>
      <c r="BN737" s="5" t="n"/>
      <c r="BO737" s="5" t="n"/>
      <c r="BP737" s="5" t="n"/>
      <c r="BQ737" s="5" t="n"/>
      <c r="BR737" s="5" t="n"/>
      <c r="BS737" s="5" t="n"/>
      <c r="BT737" s="5" t="n"/>
      <c r="BU737" s="5" t="n"/>
      <c r="BV737" s="5" t="n"/>
      <c r="BW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  <c r="AY738" s="5" t="n"/>
      <c r="AZ738" s="5" t="n"/>
      <c r="BA738" s="5" t="n"/>
      <c r="BB738" s="5" t="n"/>
      <c r="BC738" s="5" t="n"/>
      <c r="BD738" s="5" t="n"/>
      <c r="BE738" s="5" t="n"/>
      <c r="BF738" s="5" t="n"/>
      <c r="BG738" s="5" t="n"/>
      <c r="BH738" s="5" t="n"/>
      <c r="BI738" s="5" t="n"/>
      <c r="BJ738" s="5" t="n"/>
      <c r="BK738" s="5" t="n"/>
      <c r="BL738" s="5" t="n"/>
      <c r="BM738" s="5" t="n"/>
      <c r="BN738" s="5" t="n"/>
      <c r="BO738" s="5" t="n"/>
      <c r="BP738" s="5" t="n"/>
      <c r="BQ738" s="5" t="n"/>
      <c r="BR738" s="5" t="n"/>
      <c r="BS738" s="5" t="n"/>
      <c r="BT738" s="5" t="n"/>
      <c r="BU738" s="5" t="n"/>
      <c r="BV738" s="5" t="n"/>
      <c r="BW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  <c r="AY739" s="5" t="n"/>
      <c r="AZ739" s="5" t="n"/>
      <c r="BA739" s="5" t="n"/>
      <c r="BB739" s="5" t="n"/>
      <c r="BC739" s="5" t="n"/>
      <c r="BD739" s="5" t="n"/>
      <c r="BE739" s="5" t="n"/>
      <c r="BF739" s="5" t="n"/>
      <c r="BG739" s="5" t="n"/>
      <c r="BH739" s="5" t="n"/>
      <c r="BI739" s="5" t="n"/>
      <c r="BJ739" s="5" t="n"/>
      <c r="BK739" s="5" t="n"/>
      <c r="BL739" s="5" t="n"/>
      <c r="BM739" s="5" t="n"/>
      <c r="BN739" s="5" t="n"/>
      <c r="BO739" s="5" t="n"/>
      <c r="BP739" s="5" t="n"/>
      <c r="BQ739" s="5" t="n"/>
      <c r="BR739" s="5" t="n"/>
      <c r="BS739" s="5" t="n"/>
      <c r="BT739" s="5" t="n"/>
      <c r="BU739" s="5" t="n"/>
      <c r="BV739" s="5" t="n"/>
      <c r="BW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  <c r="AY740" s="5" t="n"/>
      <c r="AZ740" s="5" t="n"/>
      <c r="BA740" s="5" t="n"/>
      <c r="BB740" s="5" t="n"/>
      <c r="BC740" s="5" t="n"/>
      <c r="BD740" s="5" t="n"/>
      <c r="BE740" s="5" t="n"/>
      <c r="BF740" s="5" t="n"/>
      <c r="BG740" s="5" t="n"/>
      <c r="BH740" s="5" t="n"/>
      <c r="BI740" s="5" t="n"/>
      <c r="BJ740" s="5" t="n"/>
      <c r="BK740" s="5" t="n"/>
      <c r="BL740" s="5" t="n"/>
      <c r="BM740" s="5" t="n"/>
      <c r="BN740" s="5" t="n"/>
      <c r="BO740" s="5" t="n"/>
      <c r="BP740" s="5" t="n"/>
      <c r="BQ740" s="5" t="n"/>
      <c r="BR740" s="5" t="n"/>
      <c r="BS740" s="5" t="n"/>
      <c r="BT740" s="5" t="n"/>
      <c r="BU740" s="5" t="n"/>
      <c r="BV740" s="5" t="n"/>
      <c r="BW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  <c r="AY741" s="5" t="n"/>
      <c r="AZ741" s="5" t="n"/>
      <c r="BA741" s="5" t="n"/>
      <c r="BB741" s="5" t="n"/>
      <c r="BC741" s="5" t="n"/>
      <c r="BD741" s="5" t="n"/>
      <c r="BE741" s="5" t="n"/>
      <c r="BF741" s="5" t="n"/>
      <c r="BG741" s="5" t="n"/>
      <c r="BH741" s="5" t="n"/>
      <c r="BI741" s="5" t="n"/>
      <c r="BJ741" s="5" t="n"/>
      <c r="BK741" s="5" t="n"/>
      <c r="BL741" s="5" t="n"/>
      <c r="BM741" s="5" t="n"/>
      <c r="BN741" s="5" t="n"/>
      <c r="BO741" s="5" t="n"/>
      <c r="BP741" s="5" t="n"/>
      <c r="BQ741" s="5" t="n"/>
      <c r="BR741" s="5" t="n"/>
      <c r="BS741" s="5" t="n"/>
      <c r="BT741" s="5" t="n"/>
      <c r="BU741" s="5" t="n"/>
      <c r="BV741" s="5" t="n"/>
      <c r="BW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  <c r="AY742" s="5" t="n"/>
      <c r="AZ742" s="5" t="n"/>
      <c r="BA742" s="5" t="n"/>
      <c r="BB742" s="5" t="n"/>
      <c r="BC742" s="5" t="n"/>
      <c r="BD742" s="5" t="n"/>
      <c r="BE742" s="5" t="n"/>
      <c r="BF742" s="5" t="n"/>
      <c r="BG742" s="5" t="n"/>
      <c r="BH742" s="5" t="n"/>
      <c r="BI742" s="5" t="n"/>
      <c r="BJ742" s="5" t="n"/>
      <c r="BK742" s="5" t="n"/>
      <c r="BL742" s="5" t="n"/>
      <c r="BM742" s="5" t="n"/>
      <c r="BN742" s="5" t="n"/>
      <c r="BO742" s="5" t="n"/>
      <c r="BP742" s="5" t="n"/>
      <c r="BQ742" s="5" t="n"/>
      <c r="BR742" s="5" t="n"/>
      <c r="BS742" s="5" t="n"/>
      <c r="BT742" s="5" t="n"/>
      <c r="BU742" s="5" t="n"/>
      <c r="BV742" s="5" t="n"/>
      <c r="BW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  <c r="AY743" s="5" t="n"/>
      <c r="AZ743" s="5" t="n"/>
      <c r="BA743" s="5" t="n"/>
      <c r="BB743" s="5" t="n"/>
      <c r="BC743" s="5" t="n"/>
      <c r="BD743" s="5" t="n"/>
      <c r="BE743" s="5" t="n"/>
      <c r="BF743" s="5" t="n"/>
      <c r="BG743" s="5" t="n"/>
      <c r="BH743" s="5" t="n"/>
      <c r="BI743" s="5" t="n"/>
      <c r="BJ743" s="5" t="n"/>
      <c r="BK743" s="5" t="n"/>
      <c r="BL743" s="5" t="n"/>
      <c r="BM743" s="5" t="n"/>
      <c r="BN743" s="5" t="n"/>
      <c r="BO743" s="5" t="n"/>
      <c r="BP743" s="5" t="n"/>
      <c r="BQ743" s="5" t="n"/>
      <c r="BR743" s="5" t="n"/>
      <c r="BS743" s="5" t="n"/>
      <c r="BT743" s="5" t="n"/>
      <c r="BU743" s="5" t="n"/>
      <c r="BV743" s="5" t="n"/>
      <c r="BW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  <c r="AY744" s="5" t="n"/>
      <c r="AZ744" s="5" t="n"/>
      <c r="BA744" s="5" t="n"/>
      <c r="BB744" s="5" t="n"/>
      <c r="BC744" s="5" t="n"/>
      <c r="BD744" s="5" t="n"/>
      <c r="BE744" s="5" t="n"/>
      <c r="BF744" s="5" t="n"/>
      <c r="BG744" s="5" t="n"/>
      <c r="BH744" s="5" t="n"/>
      <c r="BI744" s="5" t="n"/>
      <c r="BJ744" s="5" t="n"/>
      <c r="BK744" s="5" t="n"/>
      <c r="BL744" s="5" t="n"/>
      <c r="BM744" s="5" t="n"/>
      <c r="BN744" s="5" t="n"/>
      <c r="BO744" s="5" t="n"/>
      <c r="BP744" s="5" t="n"/>
      <c r="BQ744" s="5" t="n"/>
      <c r="BR744" s="5" t="n"/>
      <c r="BS744" s="5" t="n"/>
      <c r="BT744" s="5" t="n"/>
      <c r="BU744" s="5" t="n"/>
      <c r="BV744" s="5" t="n"/>
      <c r="BW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  <c r="AY745" s="5" t="n"/>
      <c r="AZ745" s="5" t="n"/>
      <c r="BA745" s="5" t="n"/>
      <c r="BB745" s="5" t="n"/>
      <c r="BC745" s="5" t="n"/>
      <c r="BD745" s="5" t="n"/>
      <c r="BE745" s="5" t="n"/>
      <c r="BF745" s="5" t="n"/>
      <c r="BG745" s="5" t="n"/>
      <c r="BH745" s="5" t="n"/>
      <c r="BI745" s="5" t="n"/>
      <c r="BJ745" s="5" t="n"/>
      <c r="BK745" s="5" t="n"/>
      <c r="BL745" s="5" t="n"/>
      <c r="BM745" s="5" t="n"/>
      <c r="BN745" s="5" t="n"/>
      <c r="BO745" s="5" t="n"/>
      <c r="BP745" s="5" t="n"/>
      <c r="BQ745" s="5" t="n"/>
      <c r="BR745" s="5" t="n"/>
      <c r="BS745" s="5" t="n"/>
      <c r="BT745" s="5" t="n"/>
      <c r="BU745" s="5" t="n"/>
      <c r="BV745" s="5" t="n"/>
      <c r="BW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  <c r="AY746" s="5" t="n"/>
      <c r="AZ746" s="5" t="n"/>
      <c r="BA746" s="5" t="n"/>
      <c r="BB746" s="5" t="n"/>
      <c r="BC746" s="5" t="n"/>
      <c r="BD746" s="5" t="n"/>
      <c r="BE746" s="5" t="n"/>
      <c r="BF746" s="5" t="n"/>
      <c r="BG746" s="5" t="n"/>
      <c r="BH746" s="5" t="n"/>
      <c r="BI746" s="5" t="n"/>
      <c r="BJ746" s="5" t="n"/>
      <c r="BK746" s="5" t="n"/>
      <c r="BL746" s="5" t="n"/>
      <c r="BM746" s="5" t="n"/>
      <c r="BN746" s="5" t="n"/>
      <c r="BO746" s="5" t="n"/>
      <c r="BP746" s="5" t="n"/>
      <c r="BQ746" s="5" t="n"/>
      <c r="BR746" s="5" t="n"/>
      <c r="BS746" s="5" t="n"/>
      <c r="BT746" s="5" t="n"/>
      <c r="BU746" s="5" t="n"/>
      <c r="BV746" s="5" t="n"/>
      <c r="BW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  <c r="BA747" s="5" t="n"/>
      <c r="BB747" s="5" t="n"/>
      <c r="BC747" s="5" t="n"/>
      <c r="BD747" s="5" t="n"/>
      <c r="BE747" s="5" t="n"/>
      <c r="BF747" s="5" t="n"/>
      <c r="BG747" s="5" t="n"/>
      <c r="BH747" s="5" t="n"/>
      <c r="BI747" s="5" t="n"/>
      <c r="BJ747" s="5" t="n"/>
      <c r="BK747" s="5" t="n"/>
      <c r="BL747" s="5" t="n"/>
      <c r="BM747" s="5" t="n"/>
      <c r="BN747" s="5" t="n"/>
      <c r="BO747" s="5" t="n"/>
      <c r="BP747" s="5" t="n"/>
      <c r="BQ747" s="5" t="n"/>
      <c r="BR747" s="5" t="n"/>
      <c r="BS747" s="5" t="n"/>
      <c r="BT747" s="5" t="n"/>
      <c r="BU747" s="5" t="n"/>
      <c r="BV747" s="5" t="n"/>
      <c r="BW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  <c r="AY748" s="5" t="n"/>
      <c r="AZ748" s="5" t="n"/>
      <c r="BA748" s="5" t="n"/>
      <c r="BB748" s="5" t="n"/>
      <c r="BC748" s="5" t="n"/>
      <c r="BD748" s="5" t="n"/>
      <c r="BE748" s="5" t="n"/>
      <c r="BF748" s="5" t="n"/>
      <c r="BG748" s="5" t="n"/>
      <c r="BH748" s="5" t="n"/>
      <c r="BI748" s="5" t="n"/>
      <c r="BJ748" s="5" t="n"/>
      <c r="BK748" s="5" t="n"/>
      <c r="BL748" s="5" t="n"/>
      <c r="BM748" s="5" t="n"/>
      <c r="BN748" s="5" t="n"/>
      <c r="BO748" s="5" t="n"/>
      <c r="BP748" s="5" t="n"/>
      <c r="BQ748" s="5" t="n"/>
      <c r="BR748" s="5" t="n"/>
      <c r="BS748" s="5" t="n"/>
      <c r="BT748" s="5" t="n"/>
      <c r="BU748" s="5" t="n"/>
      <c r="BV748" s="5" t="n"/>
      <c r="BW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  <c r="AY749" s="5" t="n"/>
      <c r="AZ749" s="5" t="n"/>
      <c r="BA749" s="5" t="n"/>
      <c r="BB749" s="5" t="n"/>
      <c r="BC749" s="5" t="n"/>
      <c r="BD749" s="5" t="n"/>
      <c r="BE749" s="5" t="n"/>
      <c r="BF749" s="5" t="n"/>
      <c r="BG749" s="5" t="n"/>
      <c r="BH749" s="5" t="n"/>
      <c r="BI749" s="5" t="n"/>
      <c r="BJ749" s="5" t="n"/>
      <c r="BK749" s="5" t="n"/>
      <c r="BL749" s="5" t="n"/>
      <c r="BM749" s="5" t="n"/>
      <c r="BN749" s="5" t="n"/>
      <c r="BO749" s="5" t="n"/>
      <c r="BP749" s="5" t="n"/>
      <c r="BQ749" s="5" t="n"/>
      <c r="BR749" s="5" t="n"/>
      <c r="BS749" s="5" t="n"/>
      <c r="BT749" s="5" t="n"/>
      <c r="BU749" s="5" t="n"/>
      <c r="BV749" s="5" t="n"/>
      <c r="BW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  <c r="AY750" s="5" t="n"/>
      <c r="AZ750" s="5" t="n"/>
      <c r="BA750" s="5" t="n"/>
      <c r="BB750" s="5" t="n"/>
      <c r="BC750" s="5" t="n"/>
      <c r="BD750" s="5" t="n"/>
      <c r="BE750" s="5" t="n"/>
      <c r="BF750" s="5" t="n"/>
      <c r="BG750" s="5" t="n"/>
      <c r="BH750" s="5" t="n"/>
      <c r="BI750" s="5" t="n"/>
      <c r="BJ750" s="5" t="n"/>
      <c r="BK750" s="5" t="n"/>
      <c r="BL750" s="5" t="n"/>
      <c r="BM750" s="5" t="n"/>
      <c r="BN750" s="5" t="n"/>
      <c r="BO750" s="5" t="n"/>
      <c r="BP750" s="5" t="n"/>
      <c r="BQ750" s="5" t="n"/>
      <c r="BR750" s="5" t="n"/>
      <c r="BS750" s="5" t="n"/>
      <c r="BT750" s="5" t="n"/>
      <c r="BU750" s="5" t="n"/>
      <c r="BV750" s="5" t="n"/>
      <c r="BW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  <c r="AY751" s="5" t="n"/>
      <c r="AZ751" s="5" t="n"/>
      <c r="BA751" s="5" t="n"/>
      <c r="BB751" s="5" t="n"/>
      <c r="BC751" s="5" t="n"/>
      <c r="BD751" s="5" t="n"/>
      <c r="BE751" s="5" t="n"/>
      <c r="BF751" s="5" t="n"/>
      <c r="BG751" s="5" t="n"/>
      <c r="BH751" s="5" t="n"/>
      <c r="BI751" s="5" t="n"/>
      <c r="BJ751" s="5" t="n"/>
      <c r="BK751" s="5" t="n"/>
      <c r="BL751" s="5" t="n"/>
      <c r="BM751" s="5" t="n"/>
      <c r="BN751" s="5" t="n"/>
      <c r="BO751" s="5" t="n"/>
      <c r="BP751" s="5" t="n"/>
      <c r="BQ751" s="5" t="n"/>
      <c r="BR751" s="5" t="n"/>
      <c r="BS751" s="5" t="n"/>
      <c r="BT751" s="5" t="n"/>
      <c r="BU751" s="5" t="n"/>
      <c r="BV751" s="5" t="n"/>
      <c r="BW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  <c r="AY752" s="5" t="n"/>
      <c r="AZ752" s="5" t="n"/>
      <c r="BA752" s="5" t="n"/>
      <c r="BB752" s="5" t="n"/>
      <c r="BC752" s="5" t="n"/>
      <c r="BD752" s="5" t="n"/>
      <c r="BE752" s="5" t="n"/>
      <c r="BF752" s="5" t="n"/>
      <c r="BG752" s="5" t="n"/>
      <c r="BH752" s="5" t="n"/>
      <c r="BI752" s="5" t="n"/>
      <c r="BJ752" s="5" t="n"/>
      <c r="BK752" s="5" t="n"/>
      <c r="BL752" s="5" t="n"/>
      <c r="BM752" s="5" t="n"/>
      <c r="BN752" s="5" t="n"/>
      <c r="BO752" s="5" t="n"/>
      <c r="BP752" s="5" t="n"/>
      <c r="BQ752" s="5" t="n"/>
      <c r="BR752" s="5" t="n"/>
      <c r="BS752" s="5" t="n"/>
      <c r="BT752" s="5" t="n"/>
      <c r="BU752" s="5" t="n"/>
      <c r="BV752" s="5" t="n"/>
      <c r="BW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  <c r="AY753" s="5" t="n"/>
      <c r="AZ753" s="5" t="n"/>
      <c r="BA753" s="5" t="n"/>
      <c r="BB753" s="5" t="n"/>
      <c r="BC753" s="5" t="n"/>
      <c r="BD753" s="5" t="n"/>
      <c r="BE753" s="5" t="n"/>
      <c r="BF753" s="5" t="n"/>
      <c r="BG753" s="5" t="n"/>
      <c r="BH753" s="5" t="n"/>
      <c r="BI753" s="5" t="n"/>
      <c r="BJ753" s="5" t="n"/>
      <c r="BK753" s="5" t="n"/>
      <c r="BL753" s="5" t="n"/>
      <c r="BM753" s="5" t="n"/>
      <c r="BN753" s="5" t="n"/>
      <c r="BO753" s="5" t="n"/>
      <c r="BP753" s="5" t="n"/>
      <c r="BQ753" s="5" t="n"/>
      <c r="BR753" s="5" t="n"/>
      <c r="BS753" s="5" t="n"/>
      <c r="BT753" s="5" t="n"/>
      <c r="BU753" s="5" t="n"/>
      <c r="BV753" s="5" t="n"/>
      <c r="BW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  <c r="AY754" s="5" t="n"/>
      <c r="AZ754" s="5" t="n"/>
      <c r="BA754" s="5" t="n"/>
      <c r="BB754" s="5" t="n"/>
      <c r="BC754" s="5" t="n"/>
      <c r="BD754" s="5" t="n"/>
      <c r="BE754" s="5" t="n"/>
      <c r="BF754" s="5" t="n"/>
      <c r="BG754" s="5" t="n"/>
      <c r="BH754" s="5" t="n"/>
      <c r="BI754" s="5" t="n"/>
      <c r="BJ754" s="5" t="n"/>
      <c r="BK754" s="5" t="n"/>
      <c r="BL754" s="5" t="n"/>
      <c r="BM754" s="5" t="n"/>
      <c r="BN754" s="5" t="n"/>
      <c r="BO754" s="5" t="n"/>
      <c r="BP754" s="5" t="n"/>
      <c r="BQ754" s="5" t="n"/>
      <c r="BR754" s="5" t="n"/>
      <c r="BS754" s="5" t="n"/>
      <c r="BT754" s="5" t="n"/>
      <c r="BU754" s="5" t="n"/>
      <c r="BV754" s="5" t="n"/>
      <c r="BW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  <c r="AY755" s="5" t="n"/>
      <c r="AZ755" s="5" t="n"/>
      <c r="BA755" s="5" t="n"/>
      <c r="BB755" s="5" t="n"/>
      <c r="BC755" s="5" t="n"/>
      <c r="BD755" s="5" t="n"/>
      <c r="BE755" s="5" t="n"/>
      <c r="BF755" s="5" t="n"/>
      <c r="BG755" s="5" t="n"/>
      <c r="BH755" s="5" t="n"/>
      <c r="BI755" s="5" t="n"/>
      <c r="BJ755" s="5" t="n"/>
      <c r="BK755" s="5" t="n"/>
      <c r="BL755" s="5" t="n"/>
      <c r="BM755" s="5" t="n"/>
      <c r="BN755" s="5" t="n"/>
      <c r="BO755" s="5" t="n"/>
      <c r="BP755" s="5" t="n"/>
      <c r="BQ755" s="5" t="n"/>
      <c r="BR755" s="5" t="n"/>
      <c r="BS755" s="5" t="n"/>
      <c r="BT755" s="5" t="n"/>
      <c r="BU755" s="5" t="n"/>
      <c r="BV755" s="5" t="n"/>
      <c r="BW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  <c r="AY756" s="5" t="n"/>
      <c r="AZ756" s="5" t="n"/>
      <c r="BA756" s="5" t="n"/>
      <c r="BB756" s="5" t="n"/>
      <c r="BC756" s="5" t="n"/>
      <c r="BD756" s="5" t="n"/>
      <c r="BE756" s="5" t="n"/>
      <c r="BF756" s="5" t="n"/>
      <c r="BG756" s="5" t="n"/>
      <c r="BH756" s="5" t="n"/>
      <c r="BI756" s="5" t="n"/>
      <c r="BJ756" s="5" t="n"/>
      <c r="BK756" s="5" t="n"/>
      <c r="BL756" s="5" t="n"/>
      <c r="BM756" s="5" t="n"/>
      <c r="BN756" s="5" t="n"/>
      <c r="BO756" s="5" t="n"/>
      <c r="BP756" s="5" t="n"/>
      <c r="BQ756" s="5" t="n"/>
      <c r="BR756" s="5" t="n"/>
      <c r="BS756" s="5" t="n"/>
      <c r="BT756" s="5" t="n"/>
      <c r="BU756" s="5" t="n"/>
      <c r="BV756" s="5" t="n"/>
      <c r="BW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  <c r="AY757" s="5" t="n"/>
      <c r="AZ757" s="5" t="n"/>
      <c r="BA757" s="5" t="n"/>
      <c r="BB757" s="5" t="n"/>
      <c r="BC757" s="5" t="n"/>
      <c r="BD757" s="5" t="n"/>
      <c r="BE757" s="5" t="n"/>
      <c r="BF757" s="5" t="n"/>
      <c r="BG757" s="5" t="n"/>
      <c r="BH757" s="5" t="n"/>
      <c r="BI757" s="5" t="n"/>
      <c r="BJ757" s="5" t="n"/>
      <c r="BK757" s="5" t="n"/>
      <c r="BL757" s="5" t="n"/>
      <c r="BM757" s="5" t="n"/>
      <c r="BN757" s="5" t="n"/>
      <c r="BO757" s="5" t="n"/>
      <c r="BP757" s="5" t="n"/>
      <c r="BQ757" s="5" t="n"/>
      <c r="BR757" s="5" t="n"/>
      <c r="BS757" s="5" t="n"/>
      <c r="BT757" s="5" t="n"/>
      <c r="BU757" s="5" t="n"/>
      <c r="BV757" s="5" t="n"/>
      <c r="BW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  <c r="AY758" s="5" t="n"/>
      <c r="AZ758" s="5" t="n"/>
      <c r="BA758" s="5" t="n"/>
      <c r="BB758" s="5" t="n"/>
      <c r="BC758" s="5" t="n"/>
      <c r="BD758" s="5" t="n"/>
      <c r="BE758" s="5" t="n"/>
      <c r="BF758" s="5" t="n"/>
      <c r="BG758" s="5" t="n"/>
      <c r="BH758" s="5" t="n"/>
      <c r="BI758" s="5" t="n"/>
      <c r="BJ758" s="5" t="n"/>
      <c r="BK758" s="5" t="n"/>
      <c r="BL758" s="5" t="n"/>
      <c r="BM758" s="5" t="n"/>
      <c r="BN758" s="5" t="n"/>
      <c r="BO758" s="5" t="n"/>
      <c r="BP758" s="5" t="n"/>
      <c r="BQ758" s="5" t="n"/>
      <c r="BR758" s="5" t="n"/>
      <c r="BS758" s="5" t="n"/>
      <c r="BT758" s="5" t="n"/>
      <c r="BU758" s="5" t="n"/>
      <c r="BV758" s="5" t="n"/>
      <c r="BW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  <c r="AY759" s="5" t="n"/>
      <c r="AZ759" s="5" t="n"/>
      <c r="BA759" s="5" t="n"/>
      <c r="BB759" s="5" t="n"/>
      <c r="BC759" s="5" t="n"/>
      <c r="BD759" s="5" t="n"/>
      <c r="BE759" s="5" t="n"/>
      <c r="BF759" s="5" t="n"/>
      <c r="BG759" s="5" t="n"/>
      <c r="BH759" s="5" t="n"/>
      <c r="BI759" s="5" t="n"/>
      <c r="BJ759" s="5" t="n"/>
      <c r="BK759" s="5" t="n"/>
      <c r="BL759" s="5" t="n"/>
      <c r="BM759" s="5" t="n"/>
      <c r="BN759" s="5" t="n"/>
      <c r="BO759" s="5" t="n"/>
      <c r="BP759" s="5" t="n"/>
      <c r="BQ759" s="5" t="n"/>
      <c r="BR759" s="5" t="n"/>
      <c r="BS759" s="5" t="n"/>
      <c r="BT759" s="5" t="n"/>
      <c r="BU759" s="5" t="n"/>
      <c r="BV759" s="5" t="n"/>
      <c r="BW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  <c r="AY760" s="5" t="n"/>
      <c r="AZ760" s="5" t="n"/>
      <c r="BA760" s="5" t="n"/>
      <c r="BB760" s="5" t="n"/>
      <c r="BC760" s="5" t="n"/>
      <c r="BD760" s="5" t="n"/>
      <c r="BE760" s="5" t="n"/>
      <c r="BF760" s="5" t="n"/>
      <c r="BG760" s="5" t="n"/>
      <c r="BH760" s="5" t="n"/>
      <c r="BI760" s="5" t="n"/>
      <c r="BJ760" s="5" t="n"/>
      <c r="BK760" s="5" t="n"/>
      <c r="BL760" s="5" t="n"/>
      <c r="BM760" s="5" t="n"/>
      <c r="BN760" s="5" t="n"/>
      <c r="BO760" s="5" t="n"/>
      <c r="BP760" s="5" t="n"/>
      <c r="BQ760" s="5" t="n"/>
      <c r="BR760" s="5" t="n"/>
      <c r="BS760" s="5" t="n"/>
      <c r="BT760" s="5" t="n"/>
      <c r="BU760" s="5" t="n"/>
      <c r="BV760" s="5" t="n"/>
      <c r="BW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  <c r="AY761" s="5" t="n"/>
      <c r="AZ761" s="5" t="n"/>
      <c r="BA761" s="5" t="n"/>
      <c r="BB761" s="5" t="n"/>
      <c r="BC761" s="5" t="n"/>
      <c r="BD761" s="5" t="n"/>
      <c r="BE761" s="5" t="n"/>
      <c r="BF761" s="5" t="n"/>
      <c r="BG761" s="5" t="n"/>
      <c r="BH761" s="5" t="n"/>
      <c r="BI761" s="5" t="n"/>
      <c r="BJ761" s="5" t="n"/>
      <c r="BK761" s="5" t="n"/>
      <c r="BL761" s="5" t="n"/>
      <c r="BM761" s="5" t="n"/>
      <c r="BN761" s="5" t="n"/>
      <c r="BO761" s="5" t="n"/>
      <c r="BP761" s="5" t="n"/>
      <c r="BQ761" s="5" t="n"/>
      <c r="BR761" s="5" t="n"/>
      <c r="BS761" s="5" t="n"/>
      <c r="BT761" s="5" t="n"/>
      <c r="BU761" s="5" t="n"/>
      <c r="BV761" s="5" t="n"/>
      <c r="BW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  <c r="AY762" s="5" t="n"/>
      <c r="AZ762" s="5" t="n"/>
      <c r="BA762" s="5" t="n"/>
      <c r="BB762" s="5" t="n"/>
      <c r="BC762" s="5" t="n"/>
      <c r="BD762" s="5" t="n"/>
      <c r="BE762" s="5" t="n"/>
      <c r="BF762" s="5" t="n"/>
      <c r="BG762" s="5" t="n"/>
      <c r="BH762" s="5" t="n"/>
      <c r="BI762" s="5" t="n"/>
      <c r="BJ762" s="5" t="n"/>
      <c r="BK762" s="5" t="n"/>
      <c r="BL762" s="5" t="n"/>
      <c r="BM762" s="5" t="n"/>
      <c r="BN762" s="5" t="n"/>
      <c r="BO762" s="5" t="n"/>
      <c r="BP762" s="5" t="n"/>
      <c r="BQ762" s="5" t="n"/>
      <c r="BR762" s="5" t="n"/>
      <c r="BS762" s="5" t="n"/>
      <c r="BT762" s="5" t="n"/>
      <c r="BU762" s="5" t="n"/>
      <c r="BV762" s="5" t="n"/>
      <c r="BW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  <c r="AY763" s="5" t="n"/>
      <c r="AZ763" s="5" t="n"/>
      <c r="BA763" s="5" t="n"/>
      <c r="BB763" s="5" t="n"/>
      <c r="BC763" s="5" t="n"/>
      <c r="BD763" s="5" t="n"/>
      <c r="BE763" s="5" t="n"/>
      <c r="BF763" s="5" t="n"/>
      <c r="BG763" s="5" t="n"/>
      <c r="BH763" s="5" t="n"/>
      <c r="BI763" s="5" t="n"/>
      <c r="BJ763" s="5" t="n"/>
      <c r="BK763" s="5" t="n"/>
      <c r="BL763" s="5" t="n"/>
      <c r="BM763" s="5" t="n"/>
      <c r="BN763" s="5" t="n"/>
      <c r="BO763" s="5" t="n"/>
      <c r="BP763" s="5" t="n"/>
      <c r="BQ763" s="5" t="n"/>
      <c r="BR763" s="5" t="n"/>
      <c r="BS763" s="5" t="n"/>
      <c r="BT763" s="5" t="n"/>
      <c r="BU763" s="5" t="n"/>
      <c r="BV763" s="5" t="n"/>
      <c r="BW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  <c r="AY764" s="5" t="n"/>
      <c r="AZ764" s="5" t="n"/>
      <c r="BA764" s="5" t="n"/>
      <c r="BB764" s="5" t="n"/>
      <c r="BC764" s="5" t="n"/>
      <c r="BD764" s="5" t="n"/>
      <c r="BE764" s="5" t="n"/>
      <c r="BF764" s="5" t="n"/>
      <c r="BG764" s="5" t="n"/>
      <c r="BH764" s="5" t="n"/>
      <c r="BI764" s="5" t="n"/>
      <c r="BJ764" s="5" t="n"/>
      <c r="BK764" s="5" t="n"/>
      <c r="BL764" s="5" t="n"/>
      <c r="BM764" s="5" t="n"/>
      <c r="BN764" s="5" t="n"/>
      <c r="BO764" s="5" t="n"/>
      <c r="BP764" s="5" t="n"/>
      <c r="BQ764" s="5" t="n"/>
      <c r="BR764" s="5" t="n"/>
      <c r="BS764" s="5" t="n"/>
      <c r="BT764" s="5" t="n"/>
      <c r="BU764" s="5" t="n"/>
      <c r="BV764" s="5" t="n"/>
      <c r="BW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  <c r="AY765" s="5" t="n"/>
      <c r="AZ765" s="5" t="n"/>
      <c r="BA765" s="5" t="n"/>
      <c r="BB765" s="5" t="n"/>
      <c r="BC765" s="5" t="n"/>
      <c r="BD765" s="5" t="n"/>
      <c r="BE765" s="5" t="n"/>
      <c r="BF765" s="5" t="n"/>
      <c r="BG765" s="5" t="n"/>
      <c r="BH765" s="5" t="n"/>
      <c r="BI765" s="5" t="n"/>
      <c r="BJ765" s="5" t="n"/>
      <c r="BK765" s="5" t="n"/>
      <c r="BL765" s="5" t="n"/>
      <c r="BM765" s="5" t="n"/>
      <c r="BN765" s="5" t="n"/>
      <c r="BO765" s="5" t="n"/>
      <c r="BP765" s="5" t="n"/>
      <c r="BQ765" s="5" t="n"/>
      <c r="BR765" s="5" t="n"/>
      <c r="BS765" s="5" t="n"/>
      <c r="BT765" s="5" t="n"/>
      <c r="BU765" s="5" t="n"/>
      <c r="BV765" s="5" t="n"/>
      <c r="BW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  <c r="AY766" s="5" t="n"/>
      <c r="AZ766" s="5" t="n"/>
      <c r="BA766" s="5" t="n"/>
      <c r="BB766" s="5" t="n"/>
      <c r="BC766" s="5" t="n"/>
      <c r="BD766" s="5" t="n"/>
      <c r="BE766" s="5" t="n"/>
      <c r="BF766" s="5" t="n"/>
      <c r="BG766" s="5" t="n"/>
      <c r="BH766" s="5" t="n"/>
      <c r="BI766" s="5" t="n"/>
      <c r="BJ766" s="5" t="n"/>
      <c r="BK766" s="5" t="n"/>
      <c r="BL766" s="5" t="n"/>
      <c r="BM766" s="5" t="n"/>
      <c r="BN766" s="5" t="n"/>
      <c r="BO766" s="5" t="n"/>
      <c r="BP766" s="5" t="n"/>
      <c r="BQ766" s="5" t="n"/>
      <c r="BR766" s="5" t="n"/>
      <c r="BS766" s="5" t="n"/>
      <c r="BT766" s="5" t="n"/>
      <c r="BU766" s="5" t="n"/>
      <c r="BV766" s="5" t="n"/>
      <c r="BW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  <c r="AY767" s="5" t="n"/>
      <c r="AZ767" s="5" t="n"/>
      <c r="BA767" s="5" t="n"/>
      <c r="BB767" s="5" t="n"/>
      <c r="BC767" s="5" t="n"/>
      <c r="BD767" s="5" t="n"/>
      <c r="BE767" s="5" t="n"/>
      <c r="BF767" s="5" t="n"/>
      <c r="BG767" s="5" t="n"/>
      <c r="BH767" s="5" t="n"/>
      <c r="BI767" s="5" t="n"/>
      <c r="BJ767" s="5" t="n"/>
      <c r="BK767" s="5" t="n"/>
      <c r="BL767" s="5" t="n"/>
      <c r="BM767" s="5" t="n"/>
      <c r="BN767" s="5" t="n"/>
      <c r="BO767" s="5" t="n"/>
      <c r="BP767" s="5" t="n"/>
      <c r="BQ767" s="5" t="n"/>
      <c r="BR767" s="5" t="n"/>
      <c r="BS767" s="5" t="n"/>
      <c r="BT767" s="5" t="n"/>
      <c r="BU767" s="5" t="n"/>
      <c r="BV767" s="5" t="n"/>
      <c r="BW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  <c r="AY768" s="5" t="n"/>
      <c r="AZ768" s="5" t="n"/>
      <c r="BA768" s="5" t="n"/>
      <c r="BB768" s="5" t="n"/>
      <c r="BC768" s="5" t="n"/>
      <c r="BD768" s="5" t="n"/>
      <c r="BE768" s="5" t="n"/>
      <c r="BF768" s="5" t="n"/>
      <c r="BG768" s="5" t="n"/>
      <c r="BH768" s="5" t="n"/>
      <c r="BI768" s="5" t="n"/>
      <c r="BJ768" s="5" t="n"/>
      <c r="BK768" s="5" t="n"/>
      <c r="BL768" s="5" t="n"/>
      <c r="BM768" s="5" t="n"/>
      <c r="BN768" s="5" t="n"/>
      <c r="BO768" s="5" t="n"/>
      <c r="BP768" s="5" t="n"/>
      <c r="BQ768" s="5" t="n"/>
      <c r="BR768" s="5" t="n"/>
      <c r="BS768" s="5" t="n"/>
      <c r="BT768" s="5" t="n"/>
      <c r="BU768" s="5" t="n"/>
      <c r="BV768" s="5" t="n"/>
      <c r="BW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  <c r="AY769" s="5" t="n"/>
      <c r="AZ769" s="5" t="n"/>
      <c r="BA769" s="5" t="n"/>
      <c r="BB769" s="5" t="n"/>
      <c r="BC769" s="5" t="n"/>
      <c r="BD769" s="5" t="n"/>
      <c r="BE769" s="5" t="n"/>
      <c r="BF769" s="5" t="n"/>
      <c r="BG769" s="5" t="n"/>
      <c r="BH769" s="5" t="n"/>
      <c r="BI769" s="5" t="n"/>
      <c r="BJ769" s="5" t="n"/>
      <c r="BK769" s="5" t="n"/>
      <c r="BL769" s="5" t="n"/>
      <c r="BM769" s="5" t="n"/>
      <c r="BN769" s="5" t="n"/>
      <c r="BO769" s="5" t="n"/>
      <c r="BP769" s="5" t="n"/>
      <c r="BQ769" s="5" t="n"/>
      <c r="BR769" s="5" t="n"/>
      <c r="BS769" s="5" t="n"/>
      <c r="BT769" s="5" t="n"/>
      <c r="BU769" s="5" t="n"/>
      <c r="BV769" s="5" t="n"/>
      <c r="BW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  <c r="AY770" s="5" t="n"/>
      <c r="AZ770" s="5" t="n"/>
      <c r="BA770" s="5" t="n"/>
      <c r="BB770" s="5" t="n"/>
      <c r="BC770" s="5" t="n"/>
      <c r="BD770" s="5" t="n"/>
      <c r="BE770" s="5" t="n"/>
      <c r="BF770" s="5" t="n"/>
      <c r="BG770" s="5" t="n"/>
      <c r="BH770" s="5" t="n"/>
      <c r="BI770" s="5" t="n"/>
      <c r="BJ770" s="5" t="n"/>
      <c r="BK770" s="5" t="n"/>
      <c r="BL770" s="5" t="n"/>
      <c r="BM770" s="5" t="n"/>
      <c r="BN770" s="5" t="n"/>
      <c r="BO770" s="5" t="n"/>
      <c r="BP770" s="5" t="n"/>
      <c r="BQ770" s="5" t="n"/>
      <c r="BR770" s="5" t="n"/>
      <c r="BS770" s="5" t="n"/>
      <c r="BT770" s="5" t="n"/>
      <c r="BU770" s="5" t="n"/>
      <c r="BV770" s="5" t="n"/>
      <c r="BW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  <c r="AY771" s="5" t="n"/>
      <c r="AZ771" s="5" t="n"/>
      <c r="BA771" s="5" t="n"/>
      <c r="BB771" s="5" t="n"/>
      <c r="BC771" s="5" t="n"/>
      <c r="BD771" s="5" t="n"/>
      <c r="BE771" s="5" t="n"/>
      <c r="BF771" s="5" t="n"/>
      <c r="BG771" s="5" t="n"/>
      <c r="BH771" s="5" t="n"/>
      <c r="BI771" s="5" t="n"/>
      <c r="BJ771" s="5" t="n"/>
      <c r="BK771" s="5" t="n"/>
      <c r="BL771" s="5" t="n"/>
      <c r="BM771" s="5" t="n"/>
      <c r="BN771" s="5" t="n"/>
      <c r="BO771" s="5" t="n"/>
      <c r="BP771" s="5" t="n"/>
      <c r="BQ771" s="5" t="n"/>
      <c r="BR771" s="5" t="n"/>
      <c r="BS771" s="5" t="n"/>
      <c r="BT771" s="5" t="n"/>
      <c r="BU771" s="5" t="n"/>
      <c r="BV771" s="5" t="n"/>
      <c r="BW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  <c r="AY772" s="5" t="n"/>
      <c r="AZ772" s="5" t="n"/>
      <c r="BA772" s="5" t="n"/>
      <c r="BB772" s="5" t="n"/>
      <c r="BC772" s="5" t="n"/>
      <c r="BD772" s="5" t="n"/>
      <c r="BE772" s="5" t="n"/>
      <c r="BF772" s="5" t="n"/>
      <c r="BG772" s="5" t="n"/>
      <c r="BH772" s="5" t="n"/>
      <c r="BI772" s="5" t="n"/>
      <c r="BJ772" s="5" t="n"/>
      <c r="BK772" s="5" t="n"/>
      <c r="BL772" s="5" t="n"/>
      <c r="BM772" s="5" t="n"/>
      <c r="BN772" s="5" t="n"/>
      <c r="BO772" s="5" t="n"/>
      <c r="BP772" s="5" t="n"/>
      <c r="BQ772" s="5" t="n"/>
      <c r="BR772" s="5" t="n"/>
      <c r="BS772" s="5" t="n"/>
      <c r="BT772" s="5" t="n"/>
      <c r="BU772" s="5" t="n"/>
      <c r="BV772" s="5" t="n"/>
      <c r="BW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  <c r="AY773" s="5" t="n"/>
      <c r="AZ773" s="5" t="n"/>
      <c r="BA773" s="5" t="n"/>
      <c r="BB773" s="5" t="n"/>
      <c r="BC773" s="5" t="n"/>
      <c r="BD773" s="5" t="n"/>
      <c r="BE773" s="5" t="n"/>
      <c r="BF773" s="5" t="n"/>
      <c r="BG773" s="5" t="n"/>
      <c r="BH773" s="5" t="n"/>
      <c r="BI773" s="5" t="n"/>
      <c r="BJ773" s="5" t="n"/>
      <c r="BK773" s="5" t="n"/>
      <c r="BL773" s="5" t="n"/>
      <c r="BM773" s="5" t="n"/>
      <c r="BN773" s="5" t="n"/>
      <c r="BO773" s="5" t="n"/>
      <c r="BP773" s="5" t="n"/>
      <c r="BQ773" s="5" t="n"/>
      <c r="BR773" s="5" t="n"/>
      <c r="BS773" s="5" t="n"/>
      <c r="BT773" s="5" t="n"/>
      <c r="BU773" s="5" t="n"/>
      <c r="BV773" s="5" t="n"/>
      <c r="BW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  <c r="AY774" s="5" t="n"/>
      <c r="AZ774" s="5" t="n"/>
      <c r="BA774" s="5" t="n"/>
      <c r="BB774" s="5" t="n"/>
      <c r="BC774" s="5" t="n"/>
      <c r="BD774" s="5" t="n"/>
      <c r="BE774" s="5" t="n"/>
      <c r="BF774" s="5" t="n"/>
      <c r="BG774" s="5" t="n"/>
      <c r="BH774" s="5" t="n"/>
      <c r="BI774" s="5" t="n"/>
      <c r="BJ774" s="5" t="n"/>
      <c r="BK774" s="5" t="n"/>
      <c r="BL774" s="5" t="n"/>
      <c r="BM774" s="5" t="n"/>
      <c r="BN774" s="5" t="n"/>
      <c r="BO774" s="5" t="n"/>
      <c r="BP774" s="5" t="n"/>
      <c r="BQ774" s="5" t="n"/>
      <c r="BR774" s="5" t="n"/>
      <c r="BS774" s="5" t="n"/>
      <c r="BT774" s="5" t="n"/>
      <c r="BU774" s="5" t="n"/>
      <c r="BV774" s="5" t="n"/>
      <c r="BW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  <c r="AY775" s="5" t="n"/>
      <c r="AZ775" s="5" t="n"/>
      <c r="BA775" s="5" t="n"/>
      <c r="BB775" s="5" t="n"/>
      <c r="BC775" s="5" t="n"/>
      <c r="BD775" s="5" t="n"/>
      <c r="BE775" s="5" t="n"/>
      <c r="BF775" s="5" t="n"/>
      <c r="BG775" s="5" t="n"/>
      <c r="BH775" s="5" t="n"/>
      <c r="BI775" s="5" t="n"/>
      <c r="BJ775" s="5" t="n"/>
      <c r="BK775" s="5" t="n"/>
      <c r="BL775" s="5" t="n"/>
      <c r="BM775" s="5" t="n"/>
      <c r="BN775" s="5" t="n"/>
      <c r="BO775" s="5" t="n"/>
      <c r="BP775" s="5" t="n"/>
      <c r="BQ775" s="5" t="n"/>
      <c r="BR775" s="5" t="n"/>
      <c r="BS775" s="5" t="n"/>
      <c r="BT775" s="5" t="n"/>
      <c r="BU775" s="5" t="n"/>
      <c r="BV775" s="5" t="n"/>
      <c r="BW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  <c r="AY776" s="5" t="n"/>
      <c r="AZ776" s="5" t="n"/>
      <c r="BA776" s="5" t="n"/>
      <c r="BB776" s="5" t="n"/>
      <c r="BC776" s="5" t="n"/>
      <c r="BD776" s="5" t="n"/>
      <c r="BE776" s="5" t="n"/>
      <c r="BF776" s="5" t="n"/>
      <c r="BG776" s="5" t="n"/>
      <c r="BH776" s="5" t="n"/>
      <c r="BI776" s="5" t="n"/>
      <c r="BJ776" s="5" t="n"/>
      <c r="BK776" s="5" t="n"/>
      <c r="BL776" s="5" t="n"/>
      <c r="BM776" s="5" t="n"/>
      <c r="BN776" s="5" t="n"/>
      <c r="BO776" s="5" t="n"/>
      <c r="BP776" s="5" t="n"/>
      <c r="BQ776" s="5" t="n"/>
      <c r="BR776" s="5" t="n"/>
      <c r="BS776" s="5" t="n"/>
      <c r="BT776" s="5" t="n"/>
      <c r="BU776" s="5" t="n"/>
      <c r="BV776" s="5" t="n"/>
      <c r="BW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  <c r="AY777" s="5" t="n"/>
      <c r="AZ777" s="5" t="n"/>
      <c r="BA777" s="5" t="n"/>
      <c r="BB777" s="5" t="n"/>
      <c r="BC777" s="5" t="n"/>
      <c r="BD777" s="5" t="n"/>
      <c r="BE777" s="5" t="n"/>
      <c r="BF777" s="5" t="n"/>
      <c r="BG777" s="5" t="n"/>
      <c r="BH777" s="5" t="n"/>
      <c r="BI777" s="5" t="n"/>
      <c r="BJ777" s="5" t="n"/>
      <c r="BK777" s="5" t="n"/>
      <c r="BL777" s="5" t="n"/>
      <c r="BM777" s="5" t="n"/>
      <c r="BN777" s="5" t="n"/>
      <c r="BO777" s="5" t="n"/>
      <c r="BP777" s="5" t="n"/>
      <c r="BQ777" s="5" t="n"/>
      <c r="BR777" s="5" t="n"/>
      <c r="BS777" s="5" t="n"/>
      <c r="BT777" s="5" t="n"/>
      <c r="BU777" s="5" t="n"/>
      <c r="BV777" s="5" t="n"/>
      <c r="BW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  <c r="AY778" s="5" t="n"/>
      <c r="AZ778" s="5" t="n"/>
      <c r="BA778" s="5" t="n"/>
      <c r="BB778" s="5" t="n"/>
      <c r="BC778" s="5" t="n"/>
      <c r="BD778" s="5" t="n"/>
      <c r="BE778" s="5" t="n"/>
      <c r="BF778" s="5" t="n"/>
      <c r="BG778" s="5" t="n"/>
      <c r="BH778" s="5" t="n"/>
      <c r="BI778" s="5" t="n"/>
      <c r="BJ778" s="5" t="n"/>
      <c r="BK778" s="5" t="n"/>
      <c r="BL778" s="5" t="n"/>
      <c r="BM778" s="5" t="n"/>
      <c r="BN778" s="5" t="n"/>
      <c r="BO778" s="5" t="n"/>
      <c r="BP778" s="5" t="n"/>
      <c r="BQ778" s="5" t="n"/>
      <c r="BR778" s="5" t="n"/>
      <c r="BS778" s="5" t="n"/>
      <c r="BT778" s="5" t="n"/>
      <c r="BU778" s="5" t="n"/>
      <c r="BV778" s="5" t="n"/>
      <c r="BW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  <c r="AY779" s="5" t="n"/>
      <c r="AZ779" s="5" t="n"/>
      <c r="BA779" s="5" t="n"/>
      <c r="BB779" s="5" t="n"/>
      <c r="BC779" s="5" t="n"/>
      <c r="BD779" s="5" t="n"/>
      <c r="BE779" s="5" t="n"/>
      <c r="BF779" s="5" t="n"/>
      <c r="BG779" s="5" t="n"/>
      <c r="BH779" s="5" t="n"/>
      <c r="BI779" s="5" t="n"/>
      <c r="BJ779" s="5" t="n"/>
      <c r="BK779" s="5" t="n"/>
      <c r="BL779" s="5" t="n"/>
      <c r="BM779" s="5" t="n"/>
      <c r="BN779" s="5" t="n"/>
      <c r="BO779" s="5" t="n"/>
      <c r="BP779" s="5" t="n"/>
      <c r="BQ779" s="5" t="n"/>
      <c r="BR779" s="5" t="n"/>
      <c r="BS779" s="5" t="n"/>
      <c r="BT779" s="5" t="n"/>
      <c r="BU779" s="5" t="n"/>
      <c r="BV779" s="5" t="n"/>
      <c r="BW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  <c r="AY780" s="5" t="n"/>
      <c r="AZ780" s="5" t="n"/>
      <c r="BA780" s="5" t="n"/>
      <c r="BB780" s="5" t="n"/>
      <c r="BC780" s="5" t="n"/>
      <c r="BD780" s="5" t="n"/>
      <c r="BE780" s="5" t="n"/>
      <c r="BF780" s="5" t="n"/>
      <c r="BG780" s="5" t="n"/>
      <c r="BH780" s="5" t="n"/>
      <c r="BI780" s="5" t="n"/>
      <c r="BJ780" s="5" t="n"/>
      <c r="BK780" s="5" t="n"/>
      <c r="BL780" s="5" t="n"/>
      <c r="BM780" s="5" t="n"/>
      <c r="BN780" s="5" t="n"/>
      <c r="BO780" s="5" t="n"/>
      <c r="BP780" s="5" t="n"/>
      <c r="BQ780" s="5" t="n"/>
      <c r="BR780" s="5" t="n"/>
      <c r="BS780" s="5" t="n"/>
      <c r="BT780" s="5" t="n"/>
      <c r="BU780" s="5" t="n"/>
      <c r="BV780" s="5" t="n"/>
      <c r="BW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  <c r="AY781" s="5" t="n"/>
      <c r="AZ781" s="5" t="n"/>
      <c r="BA781" s="5" t="n"/>
      <c r="BB781" s="5" t="n"/>
      <c r="BC781" s="5" t="n"/>
      <c r="BD781" s="5" t="n"/>
      <c r="BE781" s="5" t="n"/>
      <c r="BF781" s="5" t="n"/>
      <c r="BG781" s="5" t="n"/>
      <c r="BH781" s="5" t="n"/>
      <c r="BI781" s="5" t="n"/>
      <c r="BJ781" s="5" t="n"/>
      <c r="BK781" s="5" t="n"/>
      <c r="BL781" s="5" t="n"/>
      <c r="BM781" s="5" t="n"/>
      <c r="BN781" s="5" t="n"/>
      <c r="BO781" s="5" t="n"/>
      <c r="BP781" s="5" t="n"/>
      <c r="BQ781" s="5" t="n"/>
      <c r="BR781" s="5" t="n"/>
      <c r="BS781" s="5" t="n"/>
      <c r="BT781" s="5" t="n"/>
      <c r="BU781" s="5" t="n"/>
      <c r="BV781" s="5" t="n"/>
      <c r="BW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  <c r="AY782" s="5" t="n"/>
      <c r="AZ782" s="5" t="n"/>
      <c r="BA782" s="5" t="n"/>
      <c r="BB782" s="5" t="n"/>
      <c r="BC782" s="5" t="n"/>
      <c r="BD782" s="5" t="n"/>
      <c r="BE782" s="5" t="n"/>
      <c r="BF782" s="5" t="n"/>
      <c r="BG782" s="5" t="n"/>
      <c r="BH782" s="5" t="n"/>
      <c r="BI782" s="5" t="n"/>
      <c r="BJ782" s="5" t="n"/>
      <c r="BK782" s="5" t="n"/>
      <c r="BL782" s="5" t="n"/>
      <c r="BM782" s="5" t="n"/>
      <c r="BN782" s="5" t="n"/>
      <c r="BO782" s="5" t="n"/>
      <c r="BP782" s="5" t="n"/>
      <c r="BQ782" s="5" t="n"/>
      <c r="BR782" s="5" t="n"/>
      <c r="BS782" s="5" t="n"/>
      <c r="BT782" s="5" t="n"/>
      <c r="BU782" s="5" t="n"/>
      <c r="BV782" s="5" t="n"/>
      <c r="BW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  <c r="AY783" s="5" t="n"/>
      <c r="AZ783" s="5" t="n"/>
      <c r="BA783" s="5" t="n"/>
      <c r="BB783" s="5" t="n"/>
      <c r="BC783" s="5" t="n"/>
      <c r="BD783" s="5" t="n"/>
      <c r="BE783" s="5" t="n"/>
      <c r="BF783" s="5" t="n"/>
      <c r="BG783" s="5" t="n"/>
      <c r="BH783" s="5" t="n"/>
      <c r="BI783" s="5" t="n"/>
      <c r="BJ783" s="5" t="n"/>
      <c r="BK783" s="5" t="n"/>
      <c r="BL783" s="5" t="n"/>
      <c r="BM783" s="5" t="n"/>
      <c r="BN783" s="5" t="n"/>
      <c r="BO783" s="5" t="n"/>
      <c r="BP783" s="5" t="n"/>
      <c r="BQ783" s="5" t="n"/>
      <c r="BR783" s="5" t="n"/>
      <c r="BS783" s="5" t="n"/>
      <c r="BT783" s="5" t="n"/>
      <c r="BU783" s="5" t="n"/>
      <c r="BV783" s="5" t="n"/>
      <c r="BW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  <c r="AY784" s="5" t="n"/>
      <c r="AZ784" s="5" t="n"/>
      <c r="BA784" s="5" t="n"/>
      <c r="BB784" s="5" t="n"/>
      <c r="BC784" s="5" t="n"/>
      <c r="BD784" s="5" t="n"/>
      <c r="BE784" s="5" t="n"/>
      <c r="BF784" s="5" t="n"/>
      <c r="BG784" s="5" t="n"/>
      <c r="BH784" s="5" t="n"/>
      <c r="BI784" s="5" t="n"/>
      <c r="BJ784" s="5" t="n"/>
      <c r="BK784" s="5" t="n"/>
      <c r="BL784" s="5" t="n"/>
      <c r="BM784" s="5" t="n"/>
      <c r="BN784" s="5" t="n"/>
      <c r="BO784" s="5" t="n"/>
      <c r="BP784" s="5" t="n"/>
      <c r="BQ784" s="5" t="n"/>
      <c r="BR784" s="5" t="n"/>
      <c r="BS784" s="5" t="n"/>
      <c r="BT784" s="5" t="n"/>
      <c r="BU784" s="5" t="n"/>
      <c r="BV784" s="5" t="n"/>
      <c r="BW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  <c r="AY785" s="5" t="n"/>
      <c r="AZ785" s="5" t="n"/>
      <c r="BA785" s="5" t="n"/>
      <c r="BB785" s="5" t="n"/>
      <c r="BC785" s="5" t="n"/>
      <c r="BD785" s="5" t="n"/>
      <c r="BE785" s="5" t="n"/>
      <c r="BF785" s="5" t="n"/>
      <c r="BG785" s="5" t="n"/>
      <c r="BH785" s="5" t="n"/>
      <c r="BI785" s="5" t="n"/>
      <c r="BJ785" s="5" t="n"/>
      <c r="BK785" s="5" t="n"/>
      <c r="BL785" s="5" t="n"/>
      <c r="BM785" s="5" t="n"/>
      <c r="BN785" s="5" t="n"/>
      <c r="BO785" s="5" t="n"/>
      <c r="BP785" s="5" t="n"/>
      <c r="BQ785" s="5" t="n"/>
      <c r="BR785" s="5" t="n"/>
      <c r="BS785" s="5" t="n"/>
      <c r="BT785" s="5" t="n"/>
      <c r="BU785" s="5" t="n"/>
      <c r="BV785" s="5" t="n"/>
      <c r="BW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  <c r="AY786" s="5" t="n"/>
      <c r="AZ786" s="5" t="n"/>
      <c r="BA786" s="5" t="n"/>
      <c r="BB786" s="5" t="n"/>
      <c r="BC786" s="5" t="n"/>
      <c r="BD786" s="5" t="n"/>
      <c r="BE786" s="5" t="n"/>
      <c r="BF786" s="5" t="n"/>
      <c r="BG786" s="5" t="n"/>
      <c r="BH786" s="5" t="n"/>
      <c r="BI786" s="5" t="n"/>
      <c r="BJ786" s="5" t="n"/>
      <c r="BK786" s="5" t="n"/>
      <c r="BL786" s="5" t="n"/>
      <c r="BM786" s="5" t="n"/>
      <c r="BN786" s="5" t="n"/>
      <c r="BO786" s="5" t="n"/>
      <c r="BP786" s="5" t="n"/>
      <c r="BQ786" s="5" t="n"/>
      <c r="BR786" s="5" t="n"/>
      <c r="BS786" s="5" t="n"/>
      <c r="BT786" s="5" t="n"/>
      <c r="BU786" s="5" t="n"/>
      <c r="BV786" s="5" t="n"/>
      <c r="BW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  <c r="AY787" s="5" t="n"/>
      <c r="AZ787" s="5" t="n"/>
      <c r="BA787" s="5" t="n"/>
      <c r="BB787" s="5" t="n"/>
      <c r="BC787" s="5" t="n"/>
      <c r="BD787" s="5" t="n"/>
      <c r="BE787" s="5" t="n"/>
      <c r="BF787" s="5" t="n"/>
      <c r="BG787" s="5" t="n"/>
      <c r="BH787" s="5" t="n"/>
      <c r="BI787" s="5" t="n"/>
      <c r="BJ787" s="5" t="n"/>
      <c r="BK787" s="5" t="n"/>
      <c r="BL787" s="5" t="n"/>
      <c r="BM787" s="5" t="n"/>
      <c r="BN787" s="5" t="n"/>
      <c r="BO787" s="5" t="n"/>
      <c r="BP787" s="5" t="n"/>
      <c r="BQ787" s="5" t="n"/>
      <c r="BR787" s="5" t="n"/>
      <c r="BS787" s="5" t="n"/>
      <c r="BT787" s="5" t="n"/>
      <c r="BU787" s="5" t="n"/>
      <c r="BV787" s="5" t="n"/>
      <c r="BW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  <c r="AY788" s="5" t="n"/>
      <c r="AZ788" s="5" t="n"/>
      <c r="BA788" s="5" t="n"/>
      <c r="BB788" s="5" t="n"/>
      <c r="BC788" s="5" t="n"/>
      <c r="BD788" s="5" t="n"/>
      <c r="BE788" s="5" t="n"/>
      <c r="BF788" s="5" t="n"/>
      <c r="BG788" s="5" t="n"/>
      <c r="BH788" s="5" t="n"/>
      <c r="BI788" s="5" t="n"/>
      <c r="BJ788" s="5" t="n"/>
      <c r="BK788" s="5" t="n"/>
      <c r="BL788" s="5" t="n"/>
      <c r="BM788" s="5" t="n"/>
      <c r="BN788" s="5" t="n"/>
      <c r="BO788" s="5" t="n"/>
      <c r="BP788" s="5" t="n"/>
      <c r="BQ788" s="5" t="n"/>
      <c r="BR788" s="5" t="n"/>
      <c r="BS788" s="5" t="n"/>
      <c r="BT788" s="5" t="n"/>
      <c r="BU788" s="5" t="n"/>
      <c r="BV788" s="5" t="n"/>
      <c r="BW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  <c r="AY789" s="5" t="n"/>
      <c r="AZ789" s="5" t="n"/>
      <c r="BA789" s="5" t="n"/>
      <c r="BB789" s="5" t="n"/>
      <c r="BC789" s="5" t="n"/>
      <c r="BD789" s="5" t="n"/>
      <c r="BE789" s="5" t="n"/>
      <c r="BF789" s="5" t="n"/>
      <c r="BG789" s="5" t="n"/>
      <c r="BH789" s="5" t="n"/>
      <c r="BI789" s="5" t="n"/>
      <c r="BJ789" s="5" t="n"/>
      <c r="BK789" s="5" t="n"/>
      <c r="BL789" s="5" t="n"/>
      <c r="BM789" s="5" t="n"/>
      <c r="BN789" s="5" t="n"/>
      <c r="BO789" s="5" t="n"/>
      <c r="BP789" s="5" t="n"/>
      <c r="BQ789" s="5" t="n"/>
      <c r="BR789" s="5" t="n"/>
      <c r="BS789" s="5" t="n"/>
      <c r="BT789" s="5" t="n"/>
      <c r="BU789" s="5" t="n"/>
      <c r="BV789" s="5" t="n"/>
      <c r="BW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  <c r="AY790" s="5" t="n"/>
      <c r="AZ790" s="5" t="n"/>
      <c r="BA790" s="5" t="n"/>
      <c r="BB790" s="5" t="n"/>
      <c r="BC790" s="5" t="n"/>
      <c r="BD790" s="5" t="n"/>
      <c r="BE790" s="5" t="n"/>
      <c r="BF790" s="5" t="n"/>
      <c r="BG790" s="5" t="n"/>
      <c r="BH790" s="5" t="n"/>
      <c r="BI790" s="5" t="n"/>
      <c r="BJ790" s="5" t="n"/>
      <c r="BK790" s="5" t="n"/>
      <c r="BL790" s="5" t="n"/>
      <c r="BM790" s="5" t="n"/>
      <c r="BN790" s="5" t="n"/>
      <c r="BO790" s="5" t="n"/>
      <c r="BP790" s="5" t="n"/>
      <c r="BQ790" s="5" t="n"/>
      <c r="BR790" s="5" t="n"/>
      <c r="BS790" s="5" t="n"/>
      <c r="BT790" s="5" t="n"/>
      <c r="BU790" s="5" t="n"/>
      <c r="BV790" s="5" t="n"/>
      <c r="BW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  <c r="AY791" s="5" t="n"/>
      <c r="AZ791" s="5" t="n"/>
      <c r="BA791" s="5" t="n"/>
      <c r="BB791" s="5" t="n"/>
      <c r="BC791" s="5" t="n"/>
      <c r="BD791" s="5" t="n"/>
      <c r="BE791" s="5" t="n"/>
      <c r="BF791" s="5" t="n"/>
      <c r="BG791" s="5" t="n"/>
      <c r="BH791" s="5" t="n"/>
      <c r="BI791" s="5" t="n"/>
      <c r="BJ791" s="5" t="n"/>
      <c r="BK791" s="5" t="n"/>
      <c r="BL791" s="5" t="n"/>
      <c r="BM791" s="5" t="n"/>
      <c r="BN791" s="5" t="n"/>
      <c r="BO791" s="5" t="n"/>
      <c r="BP791" s="5" t="n"/>
      <c r="BQ791" s="5" t="n"/>
      <c r="BR791" s="5" t="n"/>
      <c r="BS791" s="5" t="n"/>
      <c r="BT791" s="5" t="n"/>
      <c r="BU791" s="5" t="n"/>
      <c r="BV791" s="5" t="n"/>
      <c r="BW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  <c r="AY792" s="5" t="n"/>
      <c r="AZ792" s="5" t="n"/>
      <c r="BA792" s="5" t="n"/>
      <c r="BB792" s="5" t="n"/>
      <c r="BC792" s="5" t="n"/>
      <c r="BD792" s="5" t="n"/>
      <c r="BE792" s="5" t="n"/>
      <c r="BF792" s="5" t="n"/>
      <c r="BG792" s="5" t="n"/>
      <c r="BH792" s="5" t="n"/>
      <c r="BI792" s="5" t="n"/>
      <c r="BJ792" s="5" t="n"/>
      <c r="BK792" s="5" t="n"/>
      <c r="BL792" s="5" t="n"/>
      <c r="BM792" s="5" t="n"/>
      <c r="BN792" s="5" t="n"/>
      <c r="BO792" s="5" t="n"/>
      <c r="BP792" s="5" t="n"/>
      <c r="BQ792" s="5" t="n"/>
      <c r="BR792" s="5" t="n"/>
      <c r="BS792" s="5" t="n"/>
      <c r="BT792" s="5" t="n"/>
      <c r="BU792" s="5" t="n"/>
      <c r="BV792" s="5" t="n"/>
      <c r="BW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  <c r="AY793" s="5" t="n"/>
      <c r="AZ793" s="5" t="n"/>
      <c r="BA793" s="5" t="n"/>
      <c r="BB793" s="5" t="n"/>
      <c r="BC793" s="5" t="n"/>
      <c r="BD793" s="5" t="n"/>
      <c r="BE793" s="5" t="n"/>
      <c r="BF793" s="5" t="n"/>
      <c r="BG793" s="5" t="n"/>
      <c r="BH793" s="5" t="n"/>
      <c r="BI793" s="5" t="n"/>
      <c r="BJ793" s="5" t="n"/>
      <c r="BK793" s="5" t="n"/>
      <c r="BL793" s="5" t="n"/>
      <c r="BM793" s="5" t="n"/>
      <c r="BN793" s="5" t="n"/>
      <c r="BO793" s="5" t="n"/>
      <c r="BP793" s="5" t="n"/>
      <c r="BQ793" s="5" t="n"/>
      <c r="BR793" s="5" t="n"/>
      <c r="BS793" s="5" t="n"/>
      <c r="BT793" s="5" t="n"/>
      <c r="BU793" s="5" t="n"/>
      <c r="BV793" s="5" t="n"/>
      <c r="BW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  <c r="AY794" s="5" t="n"/>
      <c r="AZ794" s="5" t="n"/>
      <c r="BA794" s="5" t="n"/>
      <c r="BB794" s="5" t="n"/>
      <c r="BC794" s="5" t="n"/>
      <c r="BD794" s="5" t="n"/>
      <c r="BE794" s="5" t="n"/>
      <c r="BF794" s="5" t="n"/>
      <c r="BG794" s="5" t="n"/>
      <c r="BH794" s="5" t="n"/>
      <c r="BI794" s="5" t="n"/>
      <c r="BJ794" s="5" t="n"/>
      <c r="BK794" s="5" t="n"/>
      <c r="BL794" s="5" t="n"/>
      <c r="BM794" s="5" t="n"/>
      <c r="BN794" s="5" t="n"/>
      <c r="BO794" s="5" t="n"/>
      <c r="BP794" s="5" t="n"/>
      <c r="BQ794" s="5" t="n"/>
      <c r="BR794" s="5" t="n"/>
      <c r="BS794" s="5" t="n"/>
      <c r="BT794" s="5" t="n"/>
      <c r="BU794" s="5" t="n"/>
      <c r="BV794" s="5" t="n"/>
      <c r="BW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  <c r="AY795" s="5" t="n"/>
      <c r="AZ795" s="5" t="n"/>
      <c r="BA795" s="5" t="n"/>
      <c r="BB795" s="5" t="n"/>
      <c r="BC795" s="5" t="n"/>
      <c r="BD795" s="5" t="n"/>
      <c r="BE795" s="5" t="n"/>
      <c r="BF795" s="5" t="n"/>
      <c r="BG795" s="5" t="n"/>
      <c r="BH795" s="5" t="n"/>
      <c r="BI795" s="5" t="n"/>
      <c r="BJ795" s="5" t="n"/>
      <c r="BK795" s="5" t="n"/>
      <c r="BL795" s="5" t="n"/>
      <c r="BM795" s="5" t="n"/>
      <c r="BN795" s="5" t="n"/>
      <c r="BO795" s="5" t="n"/>
      <c r="BP795" s="5" t="n"/>
      <c r="BQ795" s="5" t="n"/>
      <c r="BR795" s="5" t="n"/>
      <c r="BS795" s="5" t="n"/>
      <c r="BT795" s="5" t="n"/>
      <c r="BU795" s="5" t="n"/>
      <c r="BV795" s="5" t="n"/>
      <c r="BW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  <c r="AY796" s="5" t="n"/>
      <c r="AZ796" s="5" t="n"/>
      <c r="BA796" s="5" t="n"/>
      <c r="BB796" s="5" t="n"/>
      <c r="BC796" s="5" t="n"/>
      <c r="BD796" s="5" t="n"/>
      <c r="BE796" s="5" t="n"/>
      <c r="BF796" s="5" t="n"/>
      <c r="BG796" s="5" t="n"/>
      <c r="BH796" s="5" t="n"/>
      <c r="BI796" s="5" t="n"/>
      <c r="BJ796" s="5" t="n"/>
      <c r="BK796" s="5" t="n"/>
      <c r="BL796" s="5" t="n"/>
      <c r="BM796" s="5" t="n"/>
      <c r="BN796" s="5" t="n"/>
      <c r="BO796" s="5" t="n"/>
      <c r="BP796" s="5" t="n"/>
      <c r="BQ796" s="5" t="n"/>
      <c r="BR796" s="5" t="n"/>
      <c r="BS796" s="5" t="n"/>
      <c r="BT796" s="5" t="n"/>
      <c r="BU796" s="5" t="n"/>
      <c r="BV796" s="5" t="n"/>
      <c r="BW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  <c r="AY797" s="5" t="n"/>
      <c r="AZ797" s="5" t="n"/>
      <c r="BA797" s="5" t="n"/>
      <c r="BB797" s="5" t="n"/>
      <c r="BC797" s="5" t="n"/>
      <c r="BD797" s="5" t="n"/>
      <c r="BE797" s="5" t="n"/>
      <c r="BF797" s="5" t="n"/>
      <c r="BG797" s="5" t="n"/>
      <c r="BH797" s="5" t="n"/>
      <c r="BI797" s="5" t="n"/>
      <c r="BJ797" s="5" t="n"/>
      <c r="BK797" s="5" t="n"/>
      <c r="BL797" s="5" t="n"/>
      <c r="BM797" s="5" t="n"/>
      <c r="BN797" s="5" t="n"/>
      <c r="BO797" s="5" t="n"/>
      <c r="BP797" s="5" t="n"/>
      <c r="BQ797" s="5" t="n"/>
      <c r="BR797" s="5" t="n"/>
      <c r="BS797" s="5" t="n"/>
      <c r="BT797" s="5" t="n"/>
      <c r="BU797" s="5" t="n"/>
      <c r="BV797" s="5" t="n"/>
      <c r="BW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  <c r="AY798" s="5" t="n"/>
      <c r="AZ798" s="5" t="n"/>
      <c r="BA798" s="5" t="n"/>
      <c r="BB798" s="5" t="n"/>
      <c r="BC798" s="5" t="n"/>
      <c r="BD798" s="5" t="n"/>
      <c r="BE798" s="5" t="n"/>
      <c r="BF798" s="5" t="n"/>
      <c r="BG798" s="5" t="n"/>
      <c r="BH798" s="5" t="n"/>
      <c r="BI798" s="5" t="n"/>
      <c r="BJ798" s="5" t="n"/>
      <c r="BK798" s="5" t="n"/>
      <c r="BL798" s="5" t="n"/>
      <c r="BM798" s="5" t="n"/>
      <c r="BN798" s="5" t="n"/>
      <c r="BO798" s="5" t="n"/>
      <c r="BP798" s="5" t="n"/>
      <c r="BQ798" s="5" t="n"/>
      <c r="BR798" s="5" t="n"/>
      <c r="BS798" s="5" t="n"/>
      <c r="BT798" s="5" t="n"/>
      <c r="BU798" s="5" t="n"/>
      <c r="BV798" s="5" t="n"/>
      <c r="BW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  <c r="AY799" s="5" t="n"/>
      <c r="AZ799" s="5" t="n"/>
      <c r="BA799" s="5" t="n"/>
      <c r="BB799" s="5" t="n"/>
      <c r="BC799" s="5" t="n"/>
      <c r="BD799" s="5" t="n"/>
      <c r="BE799" s="5" t="n"/>
      <c r="BF799" s="5" t="n"/>
      <c r="BG799" s="5" t="n"/>
      <c r="BH799" s="5" t="n"/>
      <c r="BI799" s="5" t="n"/>
      <c r="BJ799" s="5" t="n"/>
      <c r="BK799" s="5" t="n"/>
      <c r="BL799" s="5" t="n"/>
      <c r="BM799" s="5" t="n"/>
      <c r="BN799" s="5" t="n"/>
      <c r="BO799" s="5" t="n"/>
      <c r="BP799" s="5" t="n"/>
      <c r="BQ799" s="5" t="n"/>
      <c r="BR799" s="5" t="n"/>
      <c r="BS799" s="5" t="n"/>
      <c r="BT799" s="5" t="n"/>
      <c r="BU799" s="5" t="n"/>
      <c r="BV799" s="5" t="n"/>
      <c r="BW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  <c r="AY800" s="5" t="n"/>
      <c r="AZ800" s="5" t="n"/>
      <c r="BA800" s="5" t="n"/>
      <c r="BB800" s="5" t="n"/>
      <c r="BC800" s="5" t="n"/>
      <c r="BD800" s="5" t="n"/>
      <c r="BE800" s="5" t="n"/>
      <c r="BF800" s="5" t="n"/>
      <c r="BG800" s="5" t="n"/>
      <c r="BH800" s="5" t="n"/>
      <c r="BI800" s="5" t="n"/>
      <c r="BJ800" s="5" t="n"/>
      <c r="BK800" s="5" t="n"/>
      <c r="BL800" s="5" t="n"/>
      <c r="BM800" s="5" t="n"/>
      <c r="BN800" s="5" t="n"/>
      <c r="BO800" s="5" t="n"/>
      <c r="BP800" s="5" t="n"/>
      <c r="BQ800" s="5" t="n"/>
      <c r="BR800" s="5" t="n"/>
      <c r="BS800" s="5" t="n"/>
      <c r="BT800" s="5" t="n"/>
      <c r="BU800" s="5" t="n"/>
      <c r="BV800" s="5" t="n"/>
      <c r="BW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  <c r="AY801" s="5" t="n"/>
      <c r="AZ801" s="5" t="n"/>
      <c r="BA801" s="5" t="n"/>
      <c r="BB801" s="5" t="n"/>
      <c r="BC801" s="5" t="n"/>
      <c r="BD801" s="5" t="n"/>
      <c r="BE801" s="5" t="n"/>
      <c r="BF801" s="5" t="n"/>
      <c r="BG801" s="5" t="n"/>
      <c r="BH801" s="5" t="n"/>
      <c r="BI801" s="5" t="n"/>
      <c r="BJ801" s="5" t="n"/>
      <c r="BK801" s="5" t="n"/>
      <c r="BL801" s="5" t="n"/>
      <c r="BM801" s="5" t="n"/>
      <c r="BN801" s="5" t="n"/>
      <c r="BO801" s="5" t="n"/>
      <c r="BP801" s="5" t="n"/>
      <c r="BQ801" s="5" t="n"/>
      <c r="BR801" s="5" t="n"/>
      <c r="BS801" s="5" t="n"/>
      <c r="BT801" s="5" t="n"/>
      <c r="BU801" s="5" t="n"/>
      <c r="BV801" s="5" t="n"/>
      <c r="BW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  <c r="AY802" s="5" t="n"/>
      <c r="AZ802" s="5" t="n"/>
      <c r="BA802" s="5" t="n"/>
      <c r="BB802" s="5" t="n"/>
      <c r="BC802" s="5" t="n"/>
      <c r="BD802" s="5" t="n"/>
      <c r="BE802" s="5" t="n"/>
      <c r="BF802" s="5" t="n"/>
      <c r="BG802" s="5" t="n"/>
      <c r="BH802" s="5" t="n"/>
      <c r="BI802" s="5" t="n"/>
      <c r="BJ802" s="5" t="n"/>
      <c r="BK802" s="5" t="n"/>
      <c r="BL802" s="5" t="n"/>
      <c r="BM802" s="5" t="n"/>
      <c r="BN802" s="5" t="n"/>
      <c r="BO802" s="5" t="n"/>
      <c r="BP802" s="5" t="n"/>
      <c r="BQ802" s="5" t="n"/>
      <c r="BR802" s="5" t="n"/>
      <c r="BS802" s="5" t="n"/>
      <c r="BT802" s="5" t="n"/>
      <c r="BU802" s="5" t="n"/>
      <c r="BV802" s="5" t="n"/>
      <c r="BW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  <c r="AY803" s="5" t="n"/>
      <c r="AZ803" s="5" t="n"/>
      <c r="BA803" s="5" t="n"/>
      <c r="BB803" s="5" t="n"/>
      <c r="BC803" s="5" t="n"/>
      <c r="BD803" s="5" t="n"/>
      <c r="BE803" s="5" t="n"/>
      <c r="BF803" s="5" t="n"/>
      <c r="BG803" s="5" t="n"/>
      <c r="BH803" s="5" t="n"/>
      <c r="BI803" s="5" t="n"/>
      <c r="BJ803" s="5" t="n"/>
      <c r="BK803" s="5" t="n"/>
      <c r="BL803" s="5" t="n"/>
      <c r="BM803" s="5" t="n"/>
      <c r="BN803" s="5" t="n"/>
      <c r="BO803" s="5" t="n"/>
      <c r="BP803" s="5" t="n"/>
      <c r="BQ803" s="5" t="n"/>
      <c r="BR803" s="5" t="n"/>
      <c r="BS803" s="5" t="n"/>
      <c r="BT803" s="5" t="n"/>
      <c r="BU803" s="5" t="n"/>
      <c r="BV803" s="5" t="n"/>
      <c r="BW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  <c r="AY804" s="5" t="n"/>
      <c r="AZ804" s="5" t="n"/>
      <c r="BA804" s="5" t="n"/>
      <c r="BB804" s="5" t="n"/>
      <c r="BC804" s="5" t="n"/>
      <c r="BD804" s="5" t="n"/>
      <c r="BE804" s="5" t="n"/>
      <c r="BF804" s="5" t="n"/>
      <c r="BG804" s="5" t="n"/>
      <c r="BH804" s="5" t="n"/>
      <c r="BI804" s="5" t="n"/>
      <c r="BJ804" s="5" t="n"/>
      <c r="BK804" s="5" t="n"/>
      <c r="BL804" s="5" t="n"/>
      <c r="BM804" s="5" t="n"/>
      <c r="BN804" s="5" t="n"/>
      <c r="BO804" s="5" t="n"/>
      <c r="BP804" s="5" t="n"/>
      <c r="BQ804" s="5" t="n"/>
      <c r="BR804" s="5" t="n"/>
      <c r="BS804" s="5" t="n"/>
      <c r="BT804" s="5" t="n"/>
      <c r="BU804" s="5" t="n"/>
      <c r="BV804" s="5" t="n"/>
      <c r="BW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  <c r="AY805" s="5" t="n"/>
      <c r="AZ805" s="5" t="n"/>
      <c r="BA805" s="5" t="n"/>
      <c r="BB805" s="5" t="n"/>
      <c r="BC805" s="5" t="n"/>
      <c r="BD805" s="5" t="n"/>
      <c r="BE805" s="5" t="n"/>
      <c r="BF805" s="5" t="n"/>
      <c r="BG805" s="5" t="n"/>
      <c r="BH805" s="5" t="n"/>
      <c r="BI805" s="5" t="n"/>
      <c r="BJ805" s="5" t="n"/>
      <c r="BK805" s="5" t="n"/>
      <c r="BL805" s="5" t="n"/>
      <c r="BM805" s="5" t="n"/>
      <c r="BN805" s="5" t="n"/>
      <c r="BO805" s="5" t="n"/>
      <c r="BP805" s="5" t="n"/>
      <c r="BQ805" s="5" t="n"/>
      <c r="BR805" s="5" t="n"/>
      <c r="BS805" s="5" t="n"/>
      <c r="BT805" s="5" t="n"/>
      <c r="BU805" s="5" t="n"/>
      <c r="BV805" s="5" t="n"/>
      <c r="BW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  <c r="AY806" s="5" t="n"/>
      <c r="AZ806" s="5" t="n"/>
      <c r="BA806" s="5" t="n"/>
      <c r="BB806" s="5" t="n"/>
      <c r="BC806" s="5" t="n"/>
      <c r="BD806" s="5" t="n"/>
      <c r="BE806" s="5" t="n"/>
      <c r="BF806" s="5" t="n"/>
      <c r="BG806" s="5" t="n"/>
      <c r="BH806" s="5" t="n"/>
      <c r="BI806" s="5" t="n"/>
      <c r="BJ806" s="5" t="n"/>
      <c r="BK806" s="5" t="n"/>
      <c r="BL806" s="5" t="n"/>
      <c r="BM806" s="5" t="n"/>
      <c r="BN806" s="5" t="n"/>
      <c r="BO806" s="5" t="n"/>
      <c r="BP806" s="5" t="n"/>
      <c r="BQ806" s="5" t="n"/>
      <c r="BR806" s="5" t="n"/>
      <c r="BS806" s="5" t="n"/>
      <c r="BT806" s="5" t="n"/>
      <c r="BU806" s="5" t="n"/>
      <c r="BV806" s="5" t="n"/>
      <c r="BW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  <c r="AY807" s="5" t="n"/>
      <c r="AZ807" s="5" t="n"/>
      <c r="BA807" s="5" t="n"/>
      <c r="BB807" s="5" t="n"/>
      <c r="BC807" s="5" t="n"/>
      <c r="BD807" s="5" t="n"/>
      <c r="BE807" s="5" t="n"/>
      <c r="BF807" s="5" t="n"/>
      <c r="BG807" s="5" t="n"/>
      <c r="BH807" s="5" t="n"/>
      <c r="BI807" s="5" t="n"/>
      <c r="BJ807" s="5" t="n"/>
      <c r="BK807" s="5" t="n"/>
      <c r="BL807" s="5" t="n"/>
      <c r="BM807" s="5" t="n"/>
      <c r="BN807" s="5" t="n"/>
      <c r="BO807" s="5" t="n"/>
      <c r="BP807" s="5" t="n"/>
      <c r="BQ807" s="5" t="n"/>
      <c r="BR807" s="5" t="n"/>
      <c r="BS807" s="5" t="n"/>
      <c r="BT807" s="5" t="n"/>
      <c r="BU807" s="5" t="n"/>
      <c r="BV807" s="5" t="n"/>
      <c r="BW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  <c r="AY808" s="5" t="n"/>
      <c r="AZ808" s="5" t="n"/>
      <c r="BA808" s="5" t="n"/>
      <c r="BB808" s="5" t="n"/>
      <c r="BC808" s="5" t="n"/>
      <c r="BD808" s="5" t="n"/>
      <c r="BE808" s="5" t="n"/>
      <c r="BF808" s="5" t="n"/>
      <c r="BG808" s="5" t="n"/>
      <c r="BH808" s="5" t="n"/>
      <c r="BI808" s="5" t="n"/>
      <c r="BJ808" s="5" t="n"/>
      <c r="BK808" s="5" t="n"/>
      <c r="BL808" s="5" t="n"/>
      <c r="BM808" s="5" t="n"/>
      <c r="BN808" s="5" t="n"/>
      <c r="BO808" s="5" t="n"/>
      <c r="BP808" s="5" t="n"/>
      <c r="BQ808" s="5" t="n"/>
      <c r="BR808" s="5" t="n"/>
      <c r="BS808" s="5" t="n"/>
      <c r="BT808" s="5" t="n"/>
      <c r="BU808" s="5" t="n"/>
      <c r="BV808" s="5" t="n"/>
      <c r="BW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  <c r="AY809" s="5" t="n"/>
      <c r="AZ809" s="5" t="n"/>
      <c r="BA809" s="5" t="n"/>
      <c r="BB809" s="5" t="n"/>
      <c r="BC809" s="5" t="n"/>
      <c r="BD809" s="5" t="n"/>
      <c r="BE809" s="5" t="n"/>
      <c r="BF809" s="5" t="n"/>
      <c r="BG809" s="5" t="n"/>
      <c r="BH809" s="5" t="n"/>
      <c r="BI809" s="5" t="n"/>
      <c r="BJ809" s="5" t="n"/>
      <c r="BK809" s="5" t="n"/>
      <c r="BL809" s="5" t="n"/>
      <c r="BM809" s="5" t="n"/>
      <c r="BN809" s="5" t="n"/>
      <c r="BO809" s="5" t="n"/>
      <c r="BP809" s="5" t="n"/>
      <c r="BQ809" s="5" t="n"/>
      <c r="BR809" s="5" t="n"/>
      <c r="BS809" s="5" t="n"/>
      <c r="BT809" s="5" t="n"/>
      <c r="BU809" s="5" t="n"/>
      <c r="BV809" s="5" t="n"/>
      <c r="BW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  <c r="AY810" s="5" t="n"/>
      <c r="AZ810" s="5" t="n"/>
      <c r="BA810" s="5" t="n"/>
      <c r="BB810" s="5" t="n"/>
      <c r="BC810" s="5" t="n"/>
      <c r="BD810" s="5" t="n"/>
      <c r="BE810" s="5" t="n"/>
      <c r="BF810" s="5" t="n"/>
      <c r="BG810" s="5" t="n"/>
      <c r="BH810" s="5" t="n"/>
      <c r="BI810" s="5" t="n"/>
      <c r="BJ810" s="5" t="n"/>
      <c r="BK810" s="5" t="n"/>
      <c r="BL810" s="5" t="n"/>
      <c r="BM810" s="5" t="n"/>
      <c r="BN810" s="5" t="n"/>
      <c r="BO810" s="5" t="n"/>
      <c r="BP810" s="5" t="n"/>
      <c r="BQ810" s="5" t="n"/>
      <c r="BR810" s="5" t="n"/>
      <c r="BS810" s="5" t="n"/>
      <c r="BT810" s="5" t="n"/>
      <c r="BU810" s="5" t="n"/>
      <c r="BV810" s="5" t="n"/>
      <c r="BW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  <c r="AY811" s="5" t="n"/>
      <c r="AZ811" s="5" t="n"/>
      <c r="BA811" s="5" t="n"/>
      <c r="BB811" s="5" t="n"/>
      <c r="BC811" s="5" t="n"/>
      <c r="BD811" s="5" t="n"/>
      <c r="BE811" s="5" t="n"/>
      <c r="BF811" s="5" t="n"/>
      <c r="BG811" s="5" t="n"/>
      <c r="BH811" s="5" t="n"/>
      <c r="BI811" s="5" t="n"/>
      <c r="BJ811" s="5" t="n"/>
      <c r="BK811" s="5" t="n"/>
      <c r="BL811" s="5" t="n"/>
      <c r="BM811" s="5" t="n"/>
      <c r="BN811" s="5" t="n"/>
      <c r="BO811" s="5" t="n"/>
      <c r="BP811" s="5" t="n"/>
      <c r="BQ811" s="5" t="n"/>
      <c r="BR811" s="5" t="n"/>
      <c r="BS811" s="5" t="n"/>
      <c r="BT811" s="5" t="n"/>
      <c r="BU811" s="5" t="n"/>
      <c r="BV811" s="5" t="n"/>
      <c r="BW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  <c r="AY812" s="5" t="n"/>
      <c r="AZ812" s="5" t="n"/>
      <c r="BA812" s="5" t="n"/>
      <c r="BB812" s="5" t="n"/>
      <c r="BC812" s="5" t="n"/>
      <c r="BD812" s="5" t="n"/>
      <c r="BE812" s="5" t="n"/>
      <c r="BF812" s="5" t="n"/>
      <c r="BG812" s="5" t="n"/>
      <c r="BH812" s="5" t="n"/>
      <c r="BI812" s="5" t="n"/>
      <c r="BJ812" s="5" t="n"/>
      <c r="BK812" s="5" t="n"/>
      <c r="BL812" s="5" t="n"/>
      <c r="BM812" s="5" t="n"/>
      <c r="BN812" s="5" t="n"/>
      <c r="BO812" s="5" t="n"/>
      <c r="BP812" s="5" t="n"/>
      <c r="BQ812" s="5" t="n"/>
      <c r="BR812" s="5" t="n"/>
      <c r="BS812" s="5" t="n"/>
      <c r="BT812" s="5" t="n"/>
      <c r="BU812" s="5" t="n"/>
      <c r="BV812" s="5" t="n"/>
      <c r="BW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  <c r="AY813" s="5" t="n"/>
      <c r="AZ813" s="5" t="n"/>
      <c r="BA813" s="5" t="n"/>
      <c r="BB813" s="5" t="n"/>
      <c r="BC813" s="5" t="n"/>
      <c r="BD813" s="5" t="n"/>
      <c r="BE813" s="5" t="n"/>
      <c r="BF813" s="5" t="n"/>
      <c r="BG813" s="5" t="n"/>
      <c r="BH813" s="5" t="n"/>
      <c r="BI813" s="5" t="n"/>
      <c r="BJ813" s="5" t="n"/>
      <c r="BK813" s="5" t="n"/>
      <c r="BL813" s="5" t="n"/>
      <c r="BM813" s="5" t="n"/>
      <c r="BN813" s="5" t="n"/>
      <c r="BO813" s="5" t="n"/>
      <c r="BP813" s="5" t="n"/>
      <c r="BQ813" s="5" t="n"/>
      <c r="BR813" s="5" t="n"/>
      <c r="BS813" s="5" t="n"/>
      <c r="BT813" s="5" t="n"/>
      <c r="BU813" s="5" t="n"/>
      <c r="BV813" s="5" t="n"/>
      <c r="BW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  <c r="AY814" s="5" t="n"/>
      <c r="AZ814" s="5" t="n"/>
      <c r="BA814" s="5" t="n"/>
      <c r="BB814" s="5" t="n"/>
      <c r="BC814" s="5" t="n"/>
      <c r="BD814" s="5" t="n"/>
      <c r="BE814" s="5" t="n"/>
      <c r="BF814" s="5" t="n"/>
      <c r="BG814" s="5" t="n"/>
      <c r="BH814" s="5" t="n"/>
      <c r="BI814" s="5" t="n"/>
      <c r="BJ814" s="5" t="n"/>
      <c r="BK814" s="5" t="n"/>
      <c r="BL814" s="5" t="n"/>
      <c r="BM814" s="5" t="n"/>
      <c r="BN814" s="5" t="n"/>
      <c r="BO814" s="5" t="n"/>
      <c r="BP814" s="5" t="n"/>
      <c r="BQ814" s="5" t="n"/>
      <c r="BR814" s="5" t="n"/>
      <c r="BS814" s="5" t="n"/>
      <c r="BT814" s="5" t="n"/>
      <c r="BU814" s="5" t="n"/>
      <c r="BV814" s="5" t="n"/>
      <c r="BW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  <c r="AY815" s="5" t="n"/>
      <c r="AZ815" s="5" t="n"/>
      <c r="BA815" s="5" t="n"/>
      <c r="BB815" s="5" t="n"/>
      <c r="BC815" s="5" t="n"/>
      <c r="BD815" s="5" t="n"/>
      <c r="BE815" s="5" t="n"/>
      <c r="BF815" s="5" t="n"/>
      <c r="BG815" s="5" t="n"/>
      <c r="BH815" s="5" t="n"/>
      <c r="BI815" s="5" t="n"/>
      <c r="BJ815" s="5" t="n"/>
      <c r="BK815" s="5" t="n"/>
      <c r="BL815" s="5" t="n"/>
      <c r="BM815" s="5" t="n"/>
      <c r="BN815" s="5" t="n"/>
      <c r="BO815" s="5" t="n"/>
      <c r="BP815" s="5" t="n"/>
      <c r="BQ815" s="5" t="n"/>
      <c r="BR815" s="5" t="n"/>
      <c r="BS815" s="5" t="n"/>
      <c r="BT815" s="5" t="n"/>
      <c r="BU815" s="5" t="n"/>
      <c r="BV815" s="5" t="n"/>
      <c r="BW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  <c r="AY816" s="5" t="n"/>
      <c r="AZ816" s="5" t="n"/>
      <c r="BA816" s="5" t="n"/>
      <c r="BB816" s="5" t="n"/>
      <c r="BC816" s="5" t="n"/>
      <c r="BD816" s="5" t="n"/>
      <c r="BE816" s="5" t="n"/>
      <c r="BF816" s="5" t="n"/>
      <c r="BG816" s="5" t="n"/>
      <c r="BH816" s="5" t="n"/>
      <c r="BI816" s="5" t="n"/>
      <c r="BJ816" s="5" t="n"/>
      <c r="BK816" s="5" t="n"/>
      <c r="BL816" s="5" t="n"/>
      <c r="BM816" s="5" t="n"/>
      <c r="BN816" s="5" t="n"/>
      <c r="BO816" s="5" t="n"/>
      <c r="BP816" s="5" t="n"/>
      <c r="BQ816" s="5" t="n"/>
      <c r="BR816" s="5" t="n"/>
      <c r="BS816" s="5" t="n"/>
      <c r="BT816" s="5" t="n"/>
      <c r="BU816" s="5" t="n"/>
      <c r="BV816" s="5" t="n"/>
      <c r="BW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  <c r="AY817" s="5" t="n"/>
      <c r="AZ817" s="5" t="n"/>
      <c r="BA817" s="5" t="n"/>
      <c r="BB817" s="5" t="n"/>
      <c r="BC817" s="5" t="n"/>
      <c r="BD817" s="5" t="n"/>
      <c r="BE817" s="5" t="n"/>
      <c r="BF817" s="5" t="n"/>
      <c r="BG817" s="5" t="n"/>
      <c r="BH817" s="5" t="n"/>
      <c r="BI817" s="5" t="n"/>
      <c r="BJ817" s="5" t="n"/>
      <c r="BK817" s="5" t="n"/>
      <c r="BL817" s="5" t="n"/>
      <c r="BM817" s="5" t="n"/>
      <c r="BN817" s="5" t="n"/>
      <c r="BO817" s="5" t="n"/>
      <c r="BP817" s="5" t="n"/>
      <c r="BQ817" s="5" t="n"/>
      <c r="BR817" s="5" t="n"/>
      <c r="BS817" s="5" t="n"/>
      <c r="BT817" s="5" t="n"/>
      <c r="BU817" s="5" t="n"/>
      <c r="BV817" s="5" t="n"/>
      <c r="BW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  <c r="AY818" s="5" t="n"/>
      <c r="AZ818" s="5" t="n"/>
      <c r="BA818" s="5" t="n"/>
      <c r="BB818" s="5" t="n"/>
      <c r="BC818" s="5" t="n"/>
      <c r="BD818" s="5" t="n"/>
      <c r="BE818" s="5" t="n"/>
      <c r="BF818" s="5" t="n"/>
      <c r="BG818" s="5" t="n"/>
      <c r="BH818" s="5" t="n"/>
      <c r="BI818" s="5" t="n"/>
      <c r="BJ818" s="5" t="n"/>
      <c r="BK818" s="5" t="n"/>
      <c r="BL818" s="5" t="n"/>
      <c r="BM818" s="5" t="n"/>
      <c r="BN818" s="5" t="n"/>
      <c r="BO818" s="5" t="n"/>
      <c r="BP818" s="5" t="n"/>
      <c r="BQ818" s="5" t="n"/>
      <c r="BR818" s="5" t="n"/>
      <c r="BS818" s="5" t="n"/>
      <c r="BT818" s="5" t="n"/>
      <c r="BU818" s="5" t="n"/>
      <c r="BV818" s="5" t="n"/>
      <c r="BW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  <c r="AY819" s="5" t="n"/>
      <c r="AZ819" s="5" t="n"/>
      <c r="BA819" s="5" t="n"/>
      <c r="BB819" s="5" t="n"/>
      <c r="BC819" s="5" t="n"/>
      <c r="BD819" s="5" t="n"/>
      <c r="BE819" s="5" t="n"/>
      <c r="BF819" s="5" t="n"/>
      <c r="BG819" s="5" t="n"/>
      <c r="BH819" s="5" t="n"/>
      <c r="BI819" s="5" t="n"/>
      <c r="BJ819" s="5" t="n"/>
      <c r="BK819" s="5" t="n"/>
      <c r="BL819" s="5" t="n"/>
      <c r="BM819" s="5" t="n"/>
      <c r="BN819" s="5" t="n"/>
      <c r="BO819" s="5" t="n"/>
      <c r="BP819" s="5" t="n"/>
      <c r="BQ819" s="5" t="n"/>
      <c r="BR819" s="5" t="n"/>
      <c r="BS819" s="5" t="n"/>
      <c r="BT819" s="5" t="n"/>
      <c r="BU819" s="5" t="n"/>
      <c r="BV819" s="5" t="n"/>
      <c r="BW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  <c r="AY820" s="5" t="n"/>
      <c r="AZ820" s="5" t="n"/>
      <c r="BA820" s="5" t="n"/>
      <c r="BB820" s="5" t="n"/>
      <c r="BC820" s="5" t="n"/>
      <c r="BD820" s="5" t="n"/>
      <c r="BE820" s="5" t="n"/>
      <c r="BF820" s="5" t="n"/>
      <c r="BG820" s="5" t="n"/>
      <c r="BH820" s="5" t="n"/>
      <c r="BI820" s="5" t="n"/>
      <c r="BJ820" s="5" t="n"/>
      <c r="BK820" s="5" t="n"/>
      <c r="BL820" s="5" t="n"/>
      <c r="BM820" s="5" t="n"/>
      <c r="BN820" s="5" t="n"/>
      <c r="BO820" s="5" t="n"/>
      <c r="BP820" s="5" t="n"/>
      <c r="BQ820" s="5" t="n"/>
      <c r="BR820" s="5" t="n"/>
      <c r="BS820" s="5" t="n"/>
      <c r="BT820" s="5" t="n"/>
      <c r="BU820" s="5" t="n"/>
      <c r="BV820" s="5" t="n"/>
      <c r="BW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  <c r="AY821" s="5" t="n"/>
      <c r="AZ821" s="5" t="n"/>
      <c r="BA821" s="5" t="n"/>
      <c r="BB821" s="5" t="n"/>
      <c r="BC821" s="5" t="n"/>
      <c r="BD821" s="5" t="n"/>
      <c r="BE821" s="5" t="n"/>
      <c r="BF821" s="5" t="n"/>
      <c r="BG821" s="5" t="n"/>
      <c r="BH821" s="5" t="n"/>
      <c r="BI821" s="5" t="n"/>
      <c r="BJ821" s="5" t="n"/>
      <c r="BK821" s="5" t="n"/>
      <c r="BL821" s="5" t="n"/>
      <c r="BM821" s="5" t="n"/>
      <c r="BN821" s="5" t="n"/>
      <c r="BO821" s="5" t="n"/>
      <c r="BP821" s="5" t="n"/>
      <c r="BQ821" s="5" t="n"/>
      <c r="BR821" s="5" t="n"/>
      <c r="BS821" s="5" t="n"/>
      <c r="BT821" s="5" t="n"/>
      <c r="BU821" s="5" t="n"/>
      <c r="BV821" s="5" t="n"/>
      <c r="BW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  <c r="AY822" s="5" t="n"/>
      <c r="AZ822" s="5" t="n"/>
      <c r="BA822" s="5" t="n"/>
      <c r="BB822" s="5" t="n"/>
      <c r="BC822" s="5" t="n"/>
      <c r="BD822" s="5" t="n"/>
      <c r="BE822" s="5" t="n"/>
      <c r="BF822" s="5" t="n"/>
      <c r="BG822" s="5" t="n"/>
      <c r="BH822" s="5" t="n"/>
      <c r="BI822" s="5" t="n"/>
      <c r="BJ822" s="5" t="n"/>
      <c r="BK822" s="5" t="n"/>
      <c r="BL822" s="5" t="n"/>
      <c r="BM822" s="5" t="n"/>
      <c r="BN822" s="5" t="n"/>
      <c r="BO822" s="5" t="n"/>
      <c r="BP822" s="5" t="n"/>
      <c r="BQ822" s="5" t="n"/>
      <c r="BR822" s="5" t="n"/>
      <c r="BS822" s="5" t="n"/>
      <c r="BT822" s="5" t="n"/>
      <c r="BU822" s="5" t="n"/>
      <c r="BV822" s="5" t="n"/>
      <c r="BW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  <c r="AY823" s="5" t="n"/>
      <c r="AZ823" s="5" t="n"/>
      <c r="BA823" s="5" t="n"/>
      <c r="BB823" s="5" t="n"/>
      <c r="BC823" s="5" t="n"/>
      <c r="BD823" s="5" t="n"/>
      <c r="BE823" s="5" t="n"/>
      <c r="BF823" s="5" t="n"/>
      <c r="BG823" s="5" t="n"/>
      <c r="BH823" s="5" t="n"/>
      <c r="BI823" s="5" t="n"/>
      <c r="BJ823" s="5" t="n"/>
      <c r="BK823" s="5" t="n"/>
      <c r="BL823" s="5" t="n"/>
      <c r="BM823" s="5" t="n"/>
      <c r="BN823" s="5" t="n"/>
      <c r="BO823" s="5" t="n"/>
      <c r="BP823" s="5" t="n"/>
      <c r="BQ823" s="5" t="n"/>
      <c r="BR823" s="5" t="n"/>
      <c r="BS823" s="5" t="n"/>
      <c r="BT823" s="5" t="n"/>
      <c r="BU823" s="5" t="n"/>
      <c r="BV823" s="5" t="n"/>
      <c r="BW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  <c r="AY824" s="5" t="n"/>
      <c r="AZ824" s="5" t="n"/>
      <c r="BA824" s="5" t="n"/>
      <c r="BB824" s="5" t="n"/>
      <c r="BC824" s="5" t="n"/>
      <c r="BD824" s="5" t="n"/>
      <c r="BE824" s="5" t="n"/>
      <c r="BF824" s="5" t="n"/>
      <c r="BG824" s="5" t="n"/>
      <c r="BH824" s="5" t="n"/>
      <c r="BI824" s="5" t="n"/>
      <c r="BJ824" s="5" t="n"/>
      <c r="BK824" s="5" t="n"/>
      <c r="BL824" s="5" t="n"/>
      <c r="BM824" s="5" t="n"/>
      <c r="BN824" s="5" t="n"/>
      <c r="BO824" s="5" t="n"/>
      <c r="BP824" s="5" t="n"/>
      <c r="BQ824" s="5" t="n"/>
      <c r="BR824" s="5" t="n"/>
      <c r="BS824" s="5" t="n"/>
      <c r="BT824" s="5" t="n"/>
      <c r="BU824" s="5" t="n"/>
      <c r="BV824" s="5" t="n"/>
      <c r="BW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  <c r="AY825" s="5" t="n"/>
      <c r="AZ825" s="5" t="n"/>
      <c r="BA825" s="5" t="n"/>
      <c r="BB825" s="5" t="n"/>
      <c r="BC825" s="5" t="n"/>
      <c r="BD825" s="5" t="n"/>
      <c r="BE825" s="5" t="n"/>
      <c r="BF825" s="5" t="n"/>
      <c r="BG825" s="5" t="n"/>
      <c r="BH825" s="5" t="n"/>
      <c r="BI825" s="5" t="n"/>
      <c r="BJ825" s="5" t="n"/>
      <c r="BK825" s="5" t="n"/>
      <c r="BL825" s="5" t="n"/>
      <c r="BM825" s="5" t="n"/>
      <c r="BN825" s="5" t="n"/>
      <c r="BO825" s="5" t="n"/>
      <c r="BP825" s="5" t="n"/>
      <c r="BQ825" s="5" t="n"/>
      <c r="BR825" s="5" t="n"/>
      <c r="BS825" s="5" t="n"/>
      <c r="BT825" s="5" t="n"/>
      <c r="BU825" s="5" t="n"/>
      <c r="BV825" s="5" t="n"/>
      <c r="BW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  <c r="AY826" s="5" t="n"/>
      <c r="AZ826" s="5" t="n"/>
      <c r="BA826" s="5" t="n"/>
      <c r="BB826" s="5" t="n"/>
      <c r="BC826" s="5" t="n"/>
      <c r="BD826" s="5" t="n"/>
      <c r="BE826" s="5" t="n"/>
      <c r="BF826" s="5" t="n"/>
      <c r="BG826" s="5" t="n"/>
      <c r="BH826" s="5" t="n"/>
      <c r="BI826" s="5" t="n"/>
      <c r="BJ826" s="5" t="n"/>
      <c r="BK826" s="5" t="n"/>
      <c r="BL826" s="5" t="n"/>
      <c r="BM826" s="5" t="n"/>
      <c r="BN826" s="5" t="n"/>
      <c r="BO826" s="5" t="n"/>
      <c r="BP826" s="5" t="n"/>
      <c r="BQ826" s="5" t="n"/>
      <c r="BR826" s="5" t="n"/>
      <c r="BS826" s="5" t="n"/>
      <c r="BT826" s="5" t="n"/>
      <c r="BU826" s="5" t="n"/>
      <c r="BV826" s="5" t="n"/>
      <c r="BW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  <c r="AY827" s="5" t="n"/>
      <c r="AZ827" s="5" t="n"/>
      <c r="BA827" s="5" t="n"/>
      <c r="BB827" s="5" t="n"/>
      <c r="BC827" s="5" t="n"/>
      <c r="BD827" s="5" t="n"/>
      <c r="BE827" s="5" t="n"/>
      <c r="BF827" s="5" t="n"/>
      <c r="BG827" s="5" t="n"/>
      <c r="BH827" s="5" t="n"/>
      <c r="BI827" s="5" t="n"/>
      <c r="BJ827" s="5" t="n"/>
      <c r="BK827" s="5" t="n"/>
      <c r="BL827" s="5" t="n"/>
      <c r="BM827" s="5" t="n"/>
      <c r="BN827" s="5" t="n"/>
      <c r="BO827" s="5" t="n"/>
      <c r="BP827" s="5" t="n"/>
      <c r="BQ827" s="5" t="n"/>
      <c r="BR827" s="5" t="n"/>
      <c r="BS827" s="5" t="n"/>
      <c r="BT827" s="5" t="n"/>
      <c r="BU827" s="5" t="n"/>
      <c r="BV827" s="5" t="n"/>
      <c r="BW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  <c r="AY828" s="5" t="n"/>
      <c r="AZ828" s="5" t="n"/>
      <c r="BA828" s="5" t="n"/>
      <c r="BB828" s="5" t="n"/>
      <c r="BC828" s="5" t="n"/>
      <c r="BD828" s="5" t="n"/>
      <c r="BE828" s="5" t="n"/>
      <c r="BF828" s="5" t="n"/>
      <c r="BG828" s="5" t="n"/>
      <c r="BH828" s="5" t="n"/>
      <c r="BI828" s="5" t="n"/>
      <c r="BJ828" s="5" t="n"/>
      <c r="BK828" s="5" t="n"/>
      <c r="BL828" s="5" t="n"/>
      <c r="BM828" s="5" t="n"/>
      <c r="BN828" s="5" t="n"/>
      <c r="BO828" s="5" t="n"/>
      <c r="BP828" s="5" t="n"/>
      <c r="BQ828" s="5" t="n"/>
      <c r="BR828" s="5" t="n"/>
      <c r="BS828" s="5" t="n"/>
      <c r="BT828" s="5" t="n"/>
      <c r="BU828" s="5" t="n"/>
      <c r="BV828" s="5" t="n"/>
      <c r="BW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  <c r="AY829" s="5" t="n"/>
      <c r="AZ829" s="5" t="n"/>
      <c r="BA829" s="5" t="n"/>
      <c r="BB829" s="5" t="n"/>
      <c r="BC829" s="5" t="n"/>
      <c r="BD829" s="5" t="n"/>
      <c r="BE829" s="5" t="n"/>
      <c r="BF829" s="5" t="n"/>
      <c r="BG829" s="5" t="n"/>
      <c r="BH829" s="5" t="n"/>
      <c r="BI829" s="5" t="n"/>
      <c r="BJ829" s="5" t="n"/>
      <c r="BK829" s="5" t="n"/>
      <c r="BL829" s="5" t="n"/>
      <c r="BM829" s="5" t="n"/>
      <c r="BN829" s="5" t="n"/>
      <c r="BO829" s="5" t="n"/>
      <c r="BP829" s="5" t="n"/>
      <c r="BQ829" s="5" t="n"/>
      <c r="BR829" s="5" t="n"/>
      <c r="BS829" s="5" t="n"/>
      <c r="BT829" s="5" t="n"/>
      <c r="BU829" s="5" t="n"/>
      <c r="BV829" s="5" t="n"/>
      <c r="BW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  <c r="AY830" s="5" t="n"/>
      <c r="AZ830" s="5" t="n"/>
      <c r="BA830" s="5" t="n"/>
      <c r="BB830" s="5" t="n"/>
      <c r="BC830" s="5" t="n"/>
      <c r="BD830" s="5" t="n"/>
      <c r="BE830" s="5" t="n"/>
      <c r="BF830" s="5" t="n"/>
      <c r="BG830" s="5" t="n"/>
      <c r="BH830" s="5" t="n"/>
      <c r="BI830" s="5" t="n"/>
      <c r="BJ830" s="5" t="n"/>
      <c r="BK830" s="5" t="n"/>
      <c r="BL830" s="5" t="n"/>
      <c r="BM830" s="5" t="n"/>
      <c r="BN830" s="5" t="n"/>
      <c r="BO830" s="5" t="n"/>
      <c r="BP830" s="5" t="n"/>
      <c r="BQ830" s="5" t="n"/>
      <c r="BR830" s="5" t="n"/>
      <c r="BS830" s="5" t="n"/>
      <c r="BT830" s="5" t="n"/>
      <c r="BU830" s="5" t="n"/>
      <c r="BV830" s="5" t="n"/>
      <c r="BW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  <c r="AY831" s="5" t="n"/>
      <c r="AZ831" s="5" t="n"/>
      <c r="BA831" s="5" t="n"/>
      <c r="BB831" s="5" t="n"/>
      <c r="BC831" s="5" t="n"/>
      <c r="BD831" s="5" t="n"/>
      <c r="BE831" s="5" t="n"/>
      <c r="BF831" s="5" t="n"/>
      <c r="BG831" s="5" t="n"/>
      <c r="BH831" s="5" t="n"/>
      <c r="BI831" s="5" t="n"/>
      <c r="BJ831" s="5" t="n"/>
      <c r="BK831" s="5" t="n"/>
      <c r="BL831" s="5" t="n"/>
      <c r="BM831" s="5" t="n"/>
      <c r="BN831" s="5" t="n"/>
      <c r="BO831" s="5" t="n"/>
      <c r="BP831" s="5" t="n"/>
      <c r="BQ831" s="5" t="n"/>
      <c r="BR831" s="5" t="n"/>
      <c r="BS831" s="5" t="n"/>
      <c r="BT831" s="5" t="n"/>
      <c r="BU831" s="5" t="n"/>
      <c r="BV831" s="5" t="n"/>
      <c r="BW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  <c r="AY832" s="5" t="n"/>
      <c r="AZ832" s="5" t="n"/>
      <c r="BA832" s="5" t="n"/>
      <c r="BB832" s="5" t="n"/>
      <c r="BC832" s="5" t="n"/>
      <c r="BD832" s="5" t="n"/>
      <c r="BE832" s="5" t="n"/>
      <c r="BF832" s="5" t="n"/>
      <c r="BG832" s="5" t="n"/>
      <c r="BH832" s="5" t="n"/>
      <c r="BI832" s="5" t="n"/>
      <c r="BJ832" s="5" t="n"/>
      <c r="BK832" s="5" t="n"/>
      <c r="BL832" s="5" t="n"/>
      <c r="BM832" s="5" t="n"/>
      <c r="BN832" s="5" t="n"/>
      <c r="BO832" s="5" t="n"/>
      <c r="BP832" s="5" t="n"/>
      <c r="BQ832" s="5" t="n"/>
      <c r="BR832" s="5" t="n"/>
      <c r="BS832" s="5" t="n"/>
      <c r="BT832" s="5" t="n"/>
      <c r="BU832" s="5" t="n"/>
      <c r="BV832" s="5" t="n"/>
      <c r="BW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  <c r="AY833" s="5" t="n"/>
      <c r="AZ833" s="5" t="n"/>
      <c r="BA833" s="5" t="n"/>
      <c r="BB833" s="5" t="n"/>
      <c r="BC833" s="5" t="n"/>
      <c r="BD833" s="5" t="n"/>
      <c r="BE833" s="5" t="n"/>
      <c r="BF833" s="5" t="n"/>
      <c r="BG833" s="5" t="n"/>
      <c r="BH833" s="5" t="n"/>
      <c r="BI833" s="5" t="n"/>
      <c r="BJ833" s="5" t="n"/>
      <c r="BK833" s="5" t="n"/>
      <c r="BL833" s="5" t="n"/>
      <c r="BM833" s="5" t="n"/>
      <c r="BN833" s="5" t="n"/>
      <c r="BO833" s="5" t="n"/>
      <c r="BP833" s="5" t="n"/>
      <c r="BQ833" s="5" t="n"/>
      <c r="BR833" s="5" t="n"/>
      <c r="BS833" s="5" t="n"/>
      <c r="BT833" s="5" t="n"/>
      <c r="BU833" s="5" t="n"/>
      <c r="BV833" s="5" t="n"/>
      <c r="BW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  <c r="AY834" s="5" t="n"/>
      <c r="AZ834" s="5" t="n"/>
      <c r="BA834" s="5" t="n"/>
      <c r="BB834" s="5" t="n"/>
      <c r="BC834" s="5" t="n"/>
      <c r="BD834" s="5" t="n"/>
      <c r="BE834" s="5" t="n"/>
      <c r="BF834" s="5" t="n"/>
      <c r="BG834" s="5" t="n"/>
      <c r="BH834" s="5" t="n"/>
      <c r="BI834" s="5" t="n"/>
      <c r="BJ834" s="5" t="n"/>
      <c r="BK834" s="5" t="n"/>
      <c r="BL834" s="5" t="n"/>
      <c r="BM834" s="5" t="n"/>
      <c r="BN834" s="5" t="n"/>
      <c r="BO834" s="5" t="n"/>
      <c r="BP834" s="5" t="n"/>
      <c r="BQ834" s="5" t="n"/>
      <c r="BR834" s="5" t="n"/>
      <c r="BS834" s="5" t="n"/>
      <c r="BT834" s="5" t="n"/>
      <c r="BU834" s="5" t="n"/>
      <c r="BV834" s="5" t="n"/>
      <c r="BW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5" t="n"/>
      <c r="AZ835" s="5" t="n"/>
      <c r="BA835" s="5" t="n"/>
      <c r="BB835" s="5" t="n"/>
      <c r="BC835" s="5" t="n"/>
      <c r="BD835" s="5" t="n"/>
      <c r="BE835" s="5" t="n"/>
      <c r="BF835" s="5" t="n"/>
      <c r="BG835" s="5" t="n"/>
      <c r="BH835" s="5" t="n"/>
      <c r="BI835" s="5" t="n"/>
      <c r="BJ835" s="5" t="n"/>
      <c r="BK835" s="5" t="n"/>
      <c r="BL835" s="5" t="n"/>
      <c r="BM835" s="5" t="n"/>
      <c r="BN835" s="5" t="n"/>
      <c r="BO835" s="5" t="n"/>
      <c r="BP835" s="5" t="n"/>
      <c r="BQ835" s="5" t="n"/>
      <c r="BR835" s="5" t="n"/>
      <c r="BS835" s="5" t="n"/>
      <c r="BT835" s="5" t="n"/>
      <c r="BU835" s="5" t="n"/>
      <c r="BV835" s="5" t="n"/>
      <c r="BW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5" t="n"/>
      <c r="AZ836" s="5" t="n"/>
      <c r="BA836" s="5" t="n"/>
      <c r="BB836" s="5" t="n"/>
      <c r="BC836" s="5" t="n"/>
      <c r="BD836" s="5" t="n"/>
      <c r="BE836" s="5" t="n"/>
      <c r="BF836" s="5" t="n"/>
      <c r="BG836" s="5" t="n"/>
      <c r="BH836" s="5" t="n"/>
      <c r="BI836" s="5" t="n"/>
      <c r="BJ836" s="5" t="n"/>
      <c r="BK836" s="5" t="n"/>
      <c r="BL836" s="5" t="n"/>
      <c r="BM836" s="5" t="n"/>
      <c r="BN836" s="5" t="n"/>
      <c r="BO836" s="5" t="n"/>
      <c r="BP836" s="5" t="n"/>
      <c r="BQ836" s="5" t="n"/>
      <c r="BR836" s="5" t="n"/>
      <c r="BS836" s="5" t="n"/>
      <c r="BT836" s="5" t="n"/>
      <c r="BU836" s="5" t="n"/>
      <c r="BV836" s="5" t="n"/>
      <c r="BW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5" t="n"/>
      <c r="AZ837" s="5" t="n"/>
      <c r="BA837" s="5" t="n"/>
      <c r="BB837" s="5" t="n"/>
      <c r="BC837" s="5" t="n"/>
      <c r="BD837" s="5" t="n"/>
      <c r="BE837" s="5" t="n"/>
      <c r="BF837" s="5" t="n"/>
      <c r="BG837" s="5" t="n"/>
      <c r="BH837" s="5" t="n"/>
      <c r="BI837" s="5" t="n"/>
      <c r="BJ837" s="5" t="n"/>
      <c r="BK837" s="5" t="n"/>
      <c r="BL837" s="5" t="n"/>
      <c r="BM837" s="5" t="n"/>
      <c r="BN837" s="5" t="n"/>
      <c r="BO837" s="5" t="n"/>
      <c r="BP837" s="5" t="n"/>
      <c r="BQ837" s="5" t="n"/>
      <c r="BR837" s="5" t="n"/>
      <c r="BS837" s="5" t="n"/>
      <c r="BT837" s="5" t="n"/>
      <c r="BU837" s="5" t="n"/>
      <c r="BV837" s="5" t="n"/>
      <c r="BW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  <c r="AY838" s="5" t="n"/>
      <c r="AZ838" s="5" t="n"/>
      <c r="BA838" s="5" t="n"/>
      <c r="BB838" s="5" t="n"/>
      <c r="BC838" s="5" t="n"/>
      <c r="BD838" s="5" t="n"/>
      <c r="BE838" s="5" t="n"/>
      <c r="BF838" s="5" t="n"/>
      <c r="BG838" s="5" t="n"/>
      <c r="BH838" s="5" t="n"/>
      <c r="BI838" s="5" t="n"/>
      <c r="BJ838" s="5" t="n"/>
      <c r="BK838" s="5" t="n"/>
      <c r="BL838" s="5" t="n"/>
      <c r="BM838" s="5" t="n"/>
      <c r="BN838" s="5" t="n"/>
      <c r="BO838" s="5" t="n"/>
      <c r="BP838" s="5" t="n"/>
      <c r="BQ838" s="5" t="n"/>
      <c r="BR838" s="5" t="n"/>
      <c r="BS838" s="5" t="n"/>
      <c r="BT838" s="5" t="n"/>
      <c r="BU838" s="5" t="n"/>
      <c r="BV838" s="5" t="n"/>
      <c r="BW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  <c r="AY839" s="5" t="n"/>
      <c r="AZ839" s="5" t="n"/>
      <c r="BA839" s="5" t="n"/>
      <c r="BB839" s="5" t="n"/>
      <c r="BC839" s="5" t="n"/>
      <c r="BD839" s="5" t="n"/>
      <c r="BE839" s="5" t="n"/>
      <c r="BF839" s="5" t="n"/>
      <c r="BG839" s="5" t="n"/>
      <c r="BH839" s="5" t="n"/>
      <c r="BI839" s="5" t="n"/>
      <c r="BJ839" s="5" t="n"/>
      <c r="BK839" s="5" t="n"/>
      <c r="BL839" s="5" t="n"/>
      <c r="BM839" s="5" t="n"/>
      <c r="BN839" s="5" t="n"/>
      <c r="BO839" s="5" t="n"/>
      <c r="BP839" s="5" t="n"/>
      <c r="BQ839" s="5" t="n"/>
      <c r="BR839" s="5" t="n"/>
      <c r="BS839" s="5" t="n"/>
      <c r="BT839" s="5" t="n"/>
      <c r="BU839" s="5" t="n"/>
      <c r="BV839" s="5" t="n"/>
      <c r="BW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  <c r="AY840" s="5" t="n"/>
      <c r="AZ840" s="5" t="n"/>
      <c r="BA840" s="5" t="n"/>
      <c r="BB840" s="5" t="n"/>
      <c r="BC840" s="5" t="n"/>
      <c r="BD840" s="5" t="n"/>
      <c r="BE840" s="5" t="n"/>
      <c r="BF840" s="5" t="n"/>
      <c r="BG840" s="5" t="n"/>
      <c r="BH840" s="5" t="n"/>
      <c r="BI840" s="5" t="n"/>
      <c r="BJ840" s="5" t="n"/>
      <c r="BK840" s="5" t="n"/>
      <c r="BL840" s="5" t="n"/>
      <c r="BM840" s="5" t="n"/>
      <c r="BN840" s="5" t="n"/>
      <c r="BO840" s="5" t="n"/>
      <c r="BP840" s="5" t="n"/>
      <c r="BQ840" s="5" t="n"/>
      <c r="BR840" s="5" t="n"/>
      <c r="BS840" s="5" t="n"/>
      <c r="BT840" s="5" t="n"/>
      <c r="BU840" s="5" t="n"/>
      <c r="BV840" s="5" t="n"/>
      <c r="BW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  <c r="AY841" s="5" t="n"/>
      <c r="AZ841" s="5" t="n"/>
      <c r="BA841" s="5" t="n"/>
      <c r="BB841" s="5" t="n"/>
      <c r="BC841" s="5" t="n"/>
      <c r="BD841" s="5" t="n"/>
      <c r="BE841" s="5" t="n"/>
      <c r="BF841" s="5" t="n"/>
      <c r="BG841" s="5" t="n"/>
      <c r="BH841" s="5" t="n"/>
      <c r="BI841" s="5" t="n"/>
      <c r="BJ841" s="5" t="n"/>
      <c r="BK841" s="5" t="n"/>
      <c r="BL841" s="5" t="n"/>
      <c r="BM841" s="5" t="n"/>
      <c r="BN841" s="5" t="n"/>
      <c r="BO841" s="5" t="n"/>
      <c r="BP841" s="5" t="n"/>
      <c r="BQ841" s="5" t="n"/>
      <c r="BR841" s="5" t="n"/>
      <c r="BS841" s="5" t="n"/>
      <c r="BT841" s="5" t="n"/>
      <c r="BU841" s="5" t="n"/>
      <c r="BV841" s="5" t="n"/>
      <c r="BW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  <c r="AY842" s="5" t="n"/>
      <c r="AZ842" s="5" t="n"/>
      <c r="BA842" s="5" t="n"/>
      <c r="BB842" s="5" t="n"/>
      <c r="BC842" s="5" t="n"/>
      <c r="BD842" s="5" t="n"/>
      <c r="BE842" s="5" t="n"/>
      <c r="BF842" s="5" t="n"/>
      <c r="BG842" s="5" t="n"/>
      <c r="BH842" s="5" t="n"/>
      <c r="BI842" s="5" t="n"/>
      <c r="BJ842" s="5" t="n"/>
      <c r="BK842" s="5" t="n"/>
      <c r="BL842" s="5" t="n"/>
      <c r="BM842" s="5" t="n"/>
      <c r="BN842" s="5" t="n"/>
      <c r="BO842" s="5" t="n"/>
      <c r="BP842" s="5" t="n"/>
      <c r="BQ842" s="5" t="n"/>
      <c r="BR842" s="5" t="n"/>
      <c r="BS842" s="5" t="n"/>
      <c r="BT842" s="5" t="n"/>
      <c r="BU842" s="5" t="n"/>
      <c r="BV842" s="5" t="n"/>
      <c r="BW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  <c r="AY843" s="5" t="n"/>
      <c r="AZ843" s="5" t="n"/>
      <c r="BA843" s="5" t="n"/>
      <c r="BB843" s="5" t="n"/>
      <c r="BC843" s="5" t="n"/>
      <c r="BD843" s="5" t="n"/>
      <c r="BE843" s="5" t="n"/>
      <c r="BF843" s="5" t="n"/>
      <c r="BG843" s="5" t="n"/>
      <c r="BH843" s="5" t="n"/>
      <c r="BI843" s="5" t="n"/>
      <c r="BJ843" s="5" t="n"/>
      <c r="BK843" s="5" t="n"/>
      <c r="BL843" s="5" t="n"/>
      <c r="BM843" s="5" t="n"/>
      <c r="BN843" s="5" t="n"/>
      <c r="BO843" s="5" t="n"/>
      <c r="BP843" s="5" t="n"/>
      <c r="BQ843" s="5" t="n"/>
      <c r="BR843" s="5" t="n"/>
      <c r="BS843" s="5" t="n"/>
      <c r="BT843" s="5" t="n"/>
      <c r="BU843" s="5" t="n"/>
      <c r="BV843" s="5" t="n"/>
      <c r="BW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  <c r="AY844" s="5" t="n"/>
      <c r="AZ844" s="5" t="n"/>
      <c r="BA844" s="5" t="n"/>
      <c r="BB844" s="5" t="n"/>
      <c r="BC844" s="5" t="n"/>
      <c r="BD844" s="5" t="n"/>
      <c r="BE844" s="5" t="n"/>
      <c r="BF844" s="5" t="n"/>
      <c r="BG844" s="5" t="n"/>
      <c r="BH844" s="5" t="n"/>
      <c r="BI844" s="5" t="n"/>
      <c r="BJ844" s="5" t="n"/>
      <c r="BK844" s="5" t="n"/>
      <c r="BL844" s="5" t="n"/>
      <c r="BM844" s="5" t="n"/>
      <c r="BN844" s="5" t="n"/>
      <c r="BO844" s="5" t="n"/>
      <c r="BP844" s="5" t="n"/>
      <c r="BQ844" s="5" t="n"/>
      <c r="BR844" s="5" t="n"/>
      <c r="BS844" s="5" t="n"/>
      <c r="BT844" s="5" t="n"/>
      <c r="BU844" s="5" t="n"/>
      <c r="BV844" s="5" t="n"/>
      <c r="BW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  <c r="AY845" s="5" t="n"/>
      <c r="AZ845" s="5" t="n"/>
      <c r="BA845" s="5" t="n"/>
      <c r="BB845" s="5" t="n"/>
      <c r="BC845" s="5" t="n"/>
      <c r="BD845" s="5" t="n"/>
      <c r="BE845" s="5" t="n"/>
      <c r="BF845" s="5" t="n"/>
      <c r="BG845" s="5" t="n"/>
      <c r="BH845" s="5" t="n"/>
      <c r="BI845" s="5" t="n"/>
      <c r="BJ845" s="5" t="n"/>
      <c r="BK845" s="5" t="n"/>
      <c r="BL845" s="5" t="n"/>
      <c r="BM845" s="5" t="n"/>
      <c r="BN845" s="5" t="n"/>
      <c r="BO845" s="5" t="n"/>
      <c r="BP845" s="5" t="n"/>
      <c r="BQ845" s="5" t="n"/>
      <c r="BR845" s="5" t="n"/>
      <c r="BS845" s="5" t="n"/>
      <c r="BT845" s="5" t="n"/>
      <c r="BU845" s="5" t="n"/>
      <c r="BV845" s="5" t="n"/>
      <c r="BW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  <c r="AY846" s="5" t="n"/>
      <c r="AZ846" s="5" t="n"/>
      <c r="BA846" s="5" t="n"/>
      <c r="BB846" s="5" t="n"/>
      <c r="BC846" s="5" t="n"/>
      <c r="BD846" s="5" t="n"/>
      <c r="BE846" s="5" t="n"/>
      <c r="BF846" s="5" t="n"/>
      <c r="BG846" s="5" t="n"/>
      <c r="BH846" s="5" t="n"/>
      <c r="BI846" s="5" t="n"/>
      <c r="BJ846" s="5" t="n"/>
      <c r="BK846" s="5" t="n"/>
      <c r="BL846" s="5" t="n"/>
      <c r="BM846" s="5" t="n"/>
      <c r="BN846" s="5" t="n"/>
      <c r="BO846" s="5" t="n"/>
      <c r="BP846" s="5" t="n"/>
      <c r="BQ846" s="5" t="n"/>
      <c r="BR846" s="5" t="n"/>
      <c r="BS846" s="5" t="n"/>
      <c r="BT846" s="5" t="n"/>
      <c r="BU846" s="5" t="n"/>
      <c r="BV846" s="5" t="n"/>
      <c r="BW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  <c r="AY847" s="5" t="n"/>
      <c r="AZ847" s="5" t="n"/>
      <c r="BA847" s="5" t="n"/>
      <c r="BB847" s="5" t="n"/>
      <c r="BC847" s="5" t="n"/>
      <c r="BD847" s="5" t="n"/>
      <c r="BE847" s="5" t="n"/>
      <c r="BF847" s="5" t="n"/>
      <c r="BG847" s="5" t="n"/>
      <c r="BH847" s="5" t="n"/>
      <c r="BI847" s="5" t="n"/>
      <c r="BJ847" s="5" t="n"/>
      <c r="BK847" s="5" t="n"/>
      <c r="BL847" s="5" t="n"/>
      <c r="BM847" s="5" t="n"/>
      <c r="BN847" s="5" t="n"/>
      <c r="BO847" s="5" t="n"/>
      <c r="BP847" s="5" t="n"/>
      <c r="BQ847" s="5" t="n"/>
      <c r="BR847" s="5" t="n"/>
      <c r="BS847" s="5" t="n"/>
      <c r="BT847" s="5" t="n"/>
      <c r="BU847" s="5" t="n"/>
      <c r="BV847" s="5" t="n"/>
      <c r="BW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  <c r="AY848" s="5" t="n"/>
      <c r="AZ848" s="5" t="n"/>
      <c r="BA848" s="5" t="n"/>
      <c r="BB848" s="5" t="n"/>
      <c r="BC848" s="5" t="n"/>
      <c r="BD848" s="5" t="n"/>
      <c r="BE848" s="5" t="n"/>
      <c r="BF848" s="5" t="n"/>
      <c r="BG848" s="5" t="n"/>
      <c r="BH848" s="5" t="n"/>
      <c r="BI848" s="5" t="n"/>
      <c r="BJ848" s="5" t="n"/>
      <c r="BK848" s="5" t="n"/>
      <c r="BL848" s="5" t="n"/>
      <c r="BM848" s="5" t="n"/>
      <c r="BN848" s="5" t="n"/>
      <c r="BO848" s="5" t="n"/>
      <c r="BP848" s="5" t="n"/>
      <c r="BQ848" s="5" t="n"/>
      <c r="BR848" s="5" t="n"/>
      <c r="BS848" s="5" t="n"/>
      <c r="BT848" s="5" t="n"/>
      <c r="BU848" s="5" t="n"/>
      <c r="BV848" s="5" t="n"/>
      <c r="BW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  <c r="AY849" s="5" t="n"/>
      <c r="AZ849" s="5" t="n"/>
      <c r="BA849" s="5" t="n"/>
      <c r="BB849" s="5" t="n"/>
      <c r="BC849" s="5" t="n"/>
      <c r="BD849" s="5" t="n"/>
      <c r="BE849" s="5" t="n"/>
      <c r="BF849" s="5" t="n"/>
      <c r="BG849" s="5" t="n"/>
      <c r="BH849" s="5" t="n"/>
      <c r="BI849" s="5" t="n"/>
      <c r="BJ849" s="5" t="n"/>
      <c r="BK849" s="5" t="n"/>
      <c r="BL849" s="5" t="n"/>
      <c r="BM849" s="5" t="n"/>
      <c r="BN849" s="5" t="n"/>
      <c r="BO849" s="5" t="n"/>
      <c r="BP849" s="5" t="n"/>
      <c r="BQ849" s="5" t="n"/>
      <c r="BR849" s="5" t="n"/>
      <c r="BS849" s="5" t="n"/>
      <c r="BT849" s="5" t="n"/>
      <c r="BU849" s="5" t="n"/>
      <c r="BV849" s="5" t="n"/>
      <c r="BW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  <c r="AY850" s="5" t="n"/>
      <c r="AZ850" s="5" t="n"/>
      <c r="BA850" s="5" t="n"/>
      <c r="BB850" s="5" t="n"/>
      <c r="BC850" s="5" t="n"/>
      <c r="BD850" s="5" t="n"/>
      <c r="BE850" s="5" t="n"/>
      <c r="BF850" s="5" t="n"/>
      <c r="BG850" s="5" t="n"/>
      <c r="BH850" s="5" t="n"/>
      <c r="BI850" s="5" t="n"/>
      <c r="BJ850" s="5" t="n"/>
      <c r="BK850" s="5" t="n"/>
      <c r="BL850" s="5" t="n"/>
      <c r="BM850" s="5" t="n"/>
      <c r="BN850" s="5" t="n"/>
      <c r="BO850" s="5" t="n"/>
      <c r="BP850" s="5" t="n"/>
      <c r="BQ850" s="5" t="n"/>
      <c r="BR850" s="5" t="n"/>
      <c r="BS850" s="5" t="n"/>
      <c r="BT850" s="5" t="n"/>
      <c r="BU850" s="5" t="n"/>
      <c r="BV850" s="5" t="n"/>
      <c r="BW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  <c r="AY851" s="5" t="n"/>
      <c r="AZ851" s="5" t="n"/>
      <c r="BA851" s="5" t="n"/>
      <c r="BB851" s="5" t="n"/>
      <c r="BC851" s="5" t="n"/>
      <c r="BD851" s="5" t="n"/>
      <c r="BE851" s="5" t="n"/>
      <c r="BF851" s="5" t="n"/>
      <c r="BG851" s="5" t="n"/>
      <c r="BH851" s="5" t="n"/>
      <c r="BI851" s="5" t="n"/>
      <c r="BJ851" s="5" t="n"/>
      <c r="BK851" s="5" t="n"/>
      <c r="BL851" s="5" t="n"/>
      <c r="BM851" s="5" t="n"/>
      <c r="BN851" s="5" t="n"/>
      <c r="BO851" s="5" t="n"/>
      <c r="BP851" s="5" t="n"/>
      <c r="BQ851" s="5" t="n"/>
      <c r="BR851" s="5" t="n"/>
      <c r="BS851" s="5" t="n"/>
      <c r="BT851" s="5" t="n"/>
      <c r="BU851" s="5" t="n"/>
      <c r="BV851" s="5" t="n"/>
      <c r="BW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  <c r="AY852" s="5" t="n"/>
      <c r="AZ852" s="5" t="n"/>
      <c r="BA852" s="5" t="n"/>
      <c r="BB852" s="5" t="n"/>
      <c r="BC852" s="5" t="n"/>
      <c r="BD852" s="5" t="n"/>
      <c r="BE852" s="5" t="n"/>
      <c r="BF852" s="5" t="n"/>
      <c r="BG852" s="5" t="n"/>
      <c r="BH852" s="5" t="n"/>
      <c r="BI852" s="5" t="n"/>
      <c r="BJ852" s="5" t="n"/>
      <c r="BK852" s="5" t="n"/>
      <c r="BL852" s="5" t="n"/>
      <c r="BM852" s="5" t="n"/>
      <c r="BN852" s="5" t="n"/>
      <c r="BO852" s="5" t="n"/>
      <c r="BP852" s="5" t="n"/>
      <c r="BQ852" s="5" t="n"/>
      <c r="BR852" s="5" t="n"/>
      <c r="BS852" s="5" t="n"/>
      <c r="BT852" s="5" t="n"/>
      <c r="BU852" s="5" t="n"/>
      <c r="BV852" s="5" t="n"/>
      <c r="BW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  <c r="AY853" s="5" t="n"/>
      <c r="AZ853" s="5" t="n"/>
      <c r="BA853" s="5" t="n"/>
      <c r="BB853" s="5" t="n"/>
      <c r="BC853" s="5" t="n"/>
      <c r="BD853" s="5" t="n"/>
      <c r="BE853" s="5" t="n"/>
      <c r="BF853" s="5" t="n"/>
      <c r="BG853" s="5" t="n"/>
      <c r="BH853" s="5" t="n"/>
      <c r="BI853" s="5" t="n"/>
      <c r="BJ853" s="5" t="n"/>
      <c r="BK853" s="5" t="n"/>
      <c r="BL853" s="5" t="n"/>
      <c r="BM853" s="5" t="n"/>
      <c r="BN853" s="5" t="n"/>
      <c r="BO853" s="5" t="n"/>
      <c r="BP853" s="5" t="n"/>
      <c r="BQ853" s="5" t="n"/>
      <c r="BR853" s="5" t="n"/>
      <c r="BS853" s="5" t="n"/>
      <c r="BT853" s="5" t="n"/>
      <c r="BU853" s="5" t="n"/>
      <c r="BV853" s="5" t="n"/>
      <c r="BW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  <c r="AY854" s="5" t="n"/>
      <c r="AZ854" s="5" t="n"/>
      <c r="BA854" s="5" t="n"/>
      <c r="BB854" s="5" t="n"/>
      <c r="BC854" s="5" t="n"/>
      <c r="BD854" s="5" t="n"/>
      <c r="BE854" s="5" t="n"/>
      <c r="BF854" s="5" t="n"/>
      <c r="BG854" s="5" t="n"/>
      <c r="BH854" s="5" t="n"/>
      <c r="BI854" s="5" t="n"/>
      <c r="BJ854" s="5" t="n"/>
      <c r="BK854" s="5" t="n"/>
      <c r="BL854" s="5" t="n"/>
      <c r="BM854" s="5" t="n"/>
      <c r="BN854" s="5" t="n"/>
      <c r="BO854" s="5" t="n"/>
      <c r="BP854" s="5" t="n"/>
      <c r="BQ854" s="5" t="n"/>
      <c r="BR854" s="5" t="n"/>
      <c r="BS854" s="5" t="n"/>
      <c r="BT854" s="5" t="n"/>
      <c r="BU854" s="5" t="n"/>
      <c r="BV854" s="5" t="n"/>
      <c r="BW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  <c r="AY855" s="5" t="n"/>
      <c r="AZ855" s="5" t="n"/>
      <c r="BA855" s="5" t="n"/>
      <c r="BB855" s="5" t="n"/>
      <c r="BC855" s="5" t="n"/>
      <c r="BD855" s="5" t="n"/>
      <c r="BE855" s="5" t="n"/>
      <c r="BF855" s="5" t="n"/>
      <c r="BG855" s="5" t="n"/>
      <c r="BH855" s="5" t="n"/>
      <c r="BI855" s="5" t="n"/>
      <c r="BJ855" s="5" t="n"/>
      <c r="BK855" s="5" t="n"/>
      <c r="BL855" s="5" t="n"/>
      <c r="BM855" s="5" t="n"/>
      <c r="BN855" s="5" t="n"/>
      <c r="BO855" s="5" t="n"/>
      <c r="BP855" s="5" t="n"/>
      <c r="BQ855" s="5" t="n"/>
      <c r="BR855" s="5" t="n"/>
      <c r="BS855" s="5" t="n"/>
      <c r="BT855" s="5" t="n"/>
      <c r="BU855" s="5" t="n"/>
      <c r="BV855" s="5" t="n"/>
      <c r="BW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  <c r="AY856" s="5" t="n"/>
      <c r="AZ856" s="5" t="n"/>
      <c r="BA856" s="5" t="n"/>
      <c r="BB856" s="5" t="n"/>
      <c r="BC856" s="5" t="n"/>
      <c r="BD856" s="5" t="n"/>
      <c r="BE856" s="5" t="n"/>
      <c r="BF856" s="5" t="n"/>
      <c r="BG856" s="5" t="n"/>
      <c r="BH856" s="5" t="n"/>
      <c r="BI856" s="5" t="n"/>
      <c r="BJ856" s="5" t="n"/>
      <c r="BK856" s="5" t="n"/>
      <c r="BL856" s="5" t="n"/>
      <c r="BM856" s="5" t="n"/>
      <c r="BN856" s="5" t="n"/>
      <c r="BO856" s="5" t="n"/>
      <c r="BP856" s="5" t="n"/>
      <c r="BQ856" s="5" t="n"/>
      <c r="BR856" s="5" t="n"/>
      <c r="BS856" s="5" t="n"/>
      <c r="BT856" s="5" t="n"/>
      <c r="BU856" s="5" t="n"/>
      <c r="BV856" s="5" t="n"/>
      <c r="BW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  <c r="AY857" s="5" t="n"/>
      <c r="AZ857" s="5" t="n"/>
      <c r="BA857" s="5" t="n"/>
      <c r="BB857" s="5" t="n"/>
      <c r="BC857" s="5" t="n"/>
      <c r="BD857" s="5" t="n"/>
      <c r="BE857" s="5" t="n"/>
      <c r="BF857" s="5" t="n"/>
      <c r="BG857" s="5" t="n"/>
      <c r="BH857" s="5" t="n"/>
      <c r="BI857" s="5" t="n"/>
      <c r="BJ857" s="5" t="n"/>
      <c r="BK857" s="5" t="n"/>
      <c r="BL857" s="5" t="n"/>
      <c r="BM857" s="5" t="n"/>
      <c r="BN857" s="5" t="n"/>
      <c r="BO857" s="5" t="n"/>
      <c r="BP857" s="5" t="n"/>
      <c r="BQ857" s="5" t="n"/>
      <c r="BR857" s="5" t="n"/>
      <c r="BS857" s="5" t="n"/>
      <c r="BT857" s="5" t="n"/>
      <c r="BU857" s="5" t="n"/>
      <c r="BV857" s="5" t="n"/>
      <c r="BW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  <c r="AY858" s="5" t="n"/>
      <c r="AZ858" s="5" t="n"/>
      <c r="BA858" s="5" t="n"/>
      <c r="BB858" s="5" t="n"/>
      <c r="BC858" s="5" t="n"/>
      <c r="BD858" s="5" t="n"/>
      <c r="BE858" s="5" t="n"/>
      <c r="BF858" s="5" t="n"/>
      <c r="BG858" s="5" t="n"/>
      <c r="BH858" s="5" t="n"/>
      <c r="BI858" s="5" t="n"/>
      <c r="BJ858" s="5" t="n"/>
      <c r="BK858" s="5" t="n"/>
      <c r="BL858" s="5" t="n"/>
      <c r="BM858" s="5" t="n"/>
      <c r="BN858" s="5" t="n"/>
      <c r="BO858" s="5" t="n"/>
      <c r="BP858" s="5" t="n"/>
      <c r="BQ858" s="5" t="n"/>
      <c r="BR858" s="5" t="n"/>
      <c r="BS858" s="5" t="n"/>
      <c r="BT858" s="5" t="n"/>
      <c r="BU858" s="5" t="n"/>
      <c r="BV858" s="5" t="n"/>
      <c r="BW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  <c r="AY859" s="5" t="n"/>
      <c r="AZ859" s="5" t="n"/>
      <c r="BA859" s="5" t="n"/>
      <c r="BB859" s="5" t="n"/>
      <c r="BC859" s="5" t="n"/>
      <c r="BD859" s="5" t="n"/>
      <c r="BE859" s="5" t="n"/>
      <c r="BF859" s="5" t="n"/>
      <c r="BG859" s="5" t="n"/>
      <c r="BH859" s="5" t="n"/>
      <c r="BI859" s="5" t="n"/>
      <c r="BJ859" s="5" t="n"/>
      <c r="BK859" s="5" t="n"/>
      <c r="BL859" s="5" t="n"/>
      <c r="BM859" s="5" t="n"/>
      <c r="BN859" s="5" t="n"/>
      <c r="BO859" s="5" t="n"/>
      <c r="BP859" s="5" t="n"/>
      <c r="BQ859" s="5" t="n"/>
      <c r="BR859" s="5" t="n"/>
      <c r="BS859" s="5" t="n"/>
      <c r="BT859" s="5" t="n"/>
      <c r="BU859" s="5" t="n"/>
      <c r="BV859" s="5" t="n"/>
      <c r="BW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  <c r="AY860" s="5" t="n"/>
      <c r="AZ860" s="5" t="n"/>
      <c r="BA860" s="5" t="n"/>
      <c r="BB860" s="5" t="n"/>
      <c r="BC860" s="5" t="n"/>
      <c r="BD860" s="5" t="n"/>
      <c r="BE860" s="5" t="n"/>
      <c r="BF860" s="5" t="n"/>
      <c r="BG860" s="5" t="n"/>
      <c r="BH860" s="5" t="n"/>
      <c r="BI860" s="5" t="n"/>
      <c r="BJ860" s="5" t="n"/>
      <c r="BK860" s="5" t="n"/>
      <c r="BL860" s="5" t="n"/>
      <c r="BM860" s="5" t="n"/>
      <c r="BN860" s="5" t="n"/>
      <c r="BO860" s="5" t="n"/>
      <c r="BP860" s="5" t="n"/>
      <c r="BQ860" s="5" t="n"/>
      <c r="BR860" s="5" t="n"/>
      <c r="BS860" s="5" t="n"/>
      <c r="BT860" s="5" t="n"/>
      <c r="BU860" s="5" t="n"/>
      <c r="BV860" s="5" t="n"/>
      <c r="BW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  <c r="AY861" s="5" t="n"/>
      <c r="AZ861" s="5" t="n"/>
      <c r="BA861" s="5" t="n"/>
      <c r="BB861" s="5" t="n"/>
      <c r="BC861" s="5" t="n"/>
      <c r="BD861" s="5" t="n"/>
      <c r="BE861" s="5" t="n"/>
      <c r="BF861" s="5" t="n"/>
      <c r="BG861" s="5" t="n"/>
      <c r="BH861" s="5" t="n"/>
      <c r="BI861" s="5" t="n"/>
      <c r="BJ861" s="5" t="n"/>
      <c r="BK861" s="5" t="n"/>
      <c r="BL861" s="5" t="n"/>
      <c r="BM861" s="5" t="n"/>
      <c r="BN861" s="5" t="n"/>
      <c r="BO861" s="5" t="n"/>
      <c r="BP861" s="5" t="n"/>
      <c r="BQ861" s="5" t="n"/>
      <c r="BR861" s="5" t="n"/>
      <c r="BS861" s="5" t="n"/>
      <c r="BT861" s="5" t="n"/>
      <c r="BU861" s="5" t="n"/>
      <c r="BV861" s="5" t="n"/>
      <c r="BW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  <c r="AY862" s="5" t="n"/>
      <c r="AZ862" s="5" t="n"/>
      <c r="BA862" s="5" t="n"/>
      <c r="BB862" s="5" t="n"/>
      <c r="BC862" s="5" t="n"/>
      <c r="BD862" s="5" t="n"/>
      <c r="BE862" s="5" t="n"/>
      <c r="BF862" s="5" t="n"/>
      <c r="BG862" s="5" t="n"/>
      <c r="BH862" s="5" t="n"/>
      <c r="BI862" s="5" t="n"/>
      <c r="BJ862" s="5" t="n"/>
      <c r="BK862" s="5" t="n"/>
      <c r="BL862" s="5" t="n"/>
      <c r="BM862" s="5" t="n"/>
      <c r="BN862" s="5" t="n"/>
      <c r="BO862" s="5" t="n"/>
      <c r="BP862" s="5" t="n"/>
      <c r="BQ862" s="5" t="n"/>
      <c r="BR862" s="5" t="n"/>
      <c r="BS862" s="5" t="n"/>
      <c r="BT862" s="5" t="n"/>
      <c r="BU862" s="5" t="n"/>
      <c r="BV862" s="5" t="n"/>
      <c r="BW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  <c r="AY863" s="5" t="n"/>
      <c r="AZ863" s="5" t="n"/>
      <c r="BA863" s="5" t="n"/>
      <c r="BB863" s="5" t="n"/>
      <c r="BC863" s="5" t="n"/>
      <c r="BD863" s="5" t="n"/>
      <c r="BE863" s="5" t="n"/>
      <c r="BF863" s="5" t="n"/>
      <c r="BG863" s="5" t="n"/>
      <c r="BH863" s="5" t="n"/>
      <c r="BI863" s="5" t="n"/>
      <c r="BJ863" s="5" t="n"/>
      <c r="BK863" s="5" t="n"/>
      <c r="BL863" s="5" t="n"/>
      <c r="BM863" s="5" t="n"/>
      <c r="BN863" s="5" t="n"/>
      <c r="BO863" s="5" t="n"/>
      <c r="BP863" s="5" t="n"/>
      <c r="BQ863" s="5" t="n"/>
      <c r="BR863" s="5" t="n"/>
      <c r="BS863" s="5" t="n"/>
      <c r="BT863" s="5" t="n"/>
      <c r="BU863" s="5" t="n"/>
      <c r="BV863" s="5" t="n"/>
      <c r="BW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  <c r="AY864" s="5" t="n"/>
      <c r="AZ864" s="5" t="n"/>
      <c r="BA864" s="5" t="n"/>
      <c r="BB864" s="5" t="n"/>
      <c r="BC864" s="5" t="n"/>
      <c r="BD864" s="5" t="n"/>
      <c r="BE864" s="5" t="n"/>
      <c r="BF864" s="5" t="n"/>
      <c r="BG864" s="5" t="n"/>
      <c r="BH864" s="5" t="n"/>
      <c r="BI864" s="5" t="n"/>
      <c r="BJ864" s="5" t="n"/>
      <c r="BK864" s="5" t="n"/>
      <c r="BL864" s="5" t="n"/>
      <c r="BM864" s="5" t="n"/>
      <c r="BN864" s="5" t="n"/>
      <c r="BO864" s="5" t="n"/>
      <c r="BP864" s="5" t="n"/>
      <c r="BQ864" s="5" t="n"/>
      <c r="BR864" s="5" t="n"/>
      <c r="BS864" s="5" t="n"/>
      <c r="BT864" s="5" t="n"/>
      <c r="BU864" s="5" t="n"/>
      <c r="BV864" s="5" t="n"/>
      <c r="BW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  <c r="AY865" s="5" t="n"/>
      <c r="AZ865" s="5" t="n"/>
      <c r="BA865" s="5" t="n"/>
      <c r="BB865" s="5" t="n"/>
      <c r="BC865" s="5" t="n"/>
      <c r="BD865" s="5" t="n"/>
      <c r="BE865" s="5" t="n"/>
      <c r="BF865" s="5" t="n"/>
      <c r="BG865" s="5" t="n"/>
      <c r="BH865" s="5" t="n"/>
      <c r="BI865" s="5" t="n"/>
      <c r="BJ865" s="5" t="n"/>
      <c r="BK865" s="5" t="n"/>
      <c r="BL865" s="5" t="n"/>
      <c r="BM865" s="5" t="n"/>
      <c r="BN865" s="5" t="n"/>
      <c r="BO865" s="5" t="n"/>
      <c r="BP865" s="5" t="n"/>
      <c r="BQ865" s="5" t="n"/>
      <c r="BR865" s="5" t="n"/>
      <c r="BS865" s="5" t="n"/>
      <c r="BT865" s="5" t="n"/>
      <c r="BU865" s="5" t="n"/>
      <c r="BV865" s="5" t="n"/>
      <c r="BW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  <c r="AY866" s="5" t="n"/>
      <c r="AZ866" s="5" t="n"/>
      <c r="BA866" s="5" t="n"/>
      <c r="BB866" s="5" t="n"/>
      <c r="BC866" s="5" t="n"/>
      <c r="BD866" s="5" t="n"/>
      <c r="BE866" s="5" t="n"/>
      <c r="BF866" s="5" t="n"/>
      <c r="BG866" s="5" t="n"/>
      <c r="BH866" s="5" t="n"/>
      <c r="BI866" s="5" t="n"/>
      <c r="BJ866" s="5" t="n"/>
      <c r="BK866" s="5" t="n"/>
      <c r="BL866" s="5" t="n"/>
      <c r="BM866" s="5" t="n"/>
      <c r="BN866" s="5" t="n"/>
      <c r="BO866" s="5" t="n"/>
      <c r="BP866" s="5" t="n"/>
      <c r="BQ866" s="5" t="n"/>
      <c r="BR866" s="5" t="n"/>
      <c r="BS866" s="5" t="n"/>
      <c r="BT866" s="5" t="n"/>
      <c r="BU866" s="5" t="n"/>
      <c r="BV866" s="5" t="n"/>
      <c r="BW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  <c r="AY867" s="5" t="n"/>
      <c r="AZ867" s="5" t="n"/>
      <c r="BA867" s="5" t="n"/>
      <c r="BB867" s="5" t="n"/>
      <c r="BC867" s="5" t="n"/>
      <c r="BD867" s="5" t="n"/>
      <c r="BE867" s="5" t="n"/>
      <c r="BF867" s="5" t="n"/>
      <c r="BG867" s="5" t="n"/>
      <c r="BH867" s="5" t="n"/>
      <c r="BI867" s="5" t="n"/>
      <c r="BJ867" s="5" t="n"/>
      <c r="BK867" s="5" t="n"/>
      <c r="BL867" s="5" t="n"/>
      <c r="BM867" s="5" t="n"/>
      <c r="BN867" s="5" t="n"/>
      <c r="BO867" s="5" t="n"/>
      <c r="BP867" s="5" t="n"/>
      <c r="BQ867" s="5" t="n"/>
      <c r="BR867" s="5" t="n"/>
      <c r="BS867" s="5" t="n"/>
      <c r="BT867" s="5" t="n"/>
      <c r="BU867" s="5" t="n"/>
      <c r="BV867" s="5" t="n"/>
      <c r="BW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  <c r="AY868" s="5" t="n"/>
      <c r="AZ868" s="5" t="n"/>
      <c r="BA868" s="5" t="n"/>
      <c r="BB868" s="5" t="n"/>
      <c r="BC868" s="5" t="n"/>
      <c r="BD868" s="5" t="n"/>
      <c r="BE868" s="5" t="n"/>
      <c r="BF868" s="5" t="n"/>
      <c r="BG868" s="5" t="n"/>
      <c r="BH868" s="5" t="n"/>
      <c r="BI868" s="5" t="n"/>
      <c r="BJ868" s="5" t="n"/>
      <c r="BK868" s="5" t="n"/>
      <c r="BL868" s="5" t="n"/>
      <c r="BM868" s="5" t="n"/>
      <c r="BN868" s="5" t="n"/>
      <c r="BO868" s="5" t="n"/>
      <c r="BP868" s="5" t="n"/>
      <c r="BQ868" s="5" t="n"/>
      <c r="BR868" s="5" t="n"/>
      <c r="BS868" s="5" t="n"/>
      <c r="BT868" s="5" t="n"/>
      <c r="BU868" s="5" t="n"/>
      <c r="BV868" s="5" t="n"/>
      <c r="BW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  <c r="AY869" s="5" t="n"/>
      <c r="AZ869" s="5" t="n"/>
      <c r="BA869" s="5" t="n"/>
      <c r="BB869" s="5" t="n"/>
      <c r="BC869" s="5" t="n"/>
      <c r="BD869" s="5" t="n"/>
      <c r="BE869" s="5" t="n"/>
      <c r="BF869" s="5" t="n"/>
      <c r="BG869" s="5" t="n"/>
      <c r="BH869" s="5" t="n"/>
      <c r="BI869" s="5" t="n"/>
      <c r="BJ869" s="5" t="n"/>
      <c r="BK869" s="5" t="n"/>
      <c r="BL869" s="5" t="n"/>
      <c r="BM869" s="5" t="n"/>
      <c r="BN869" s="5" t="n"/>
      <c r="BO869" s="5" t="n"/>
      <c r="BP869" s="5" t="n"/>
      <c r="BQ869" s="5" t="n"/>
      <c r="BR869" s="5" t="n"/>
      <c r="BS869" s="5" t="n"/>
      <c r="BT869" s="5" t="n"/>
      <c r="BU869" s="5" t="n"/>
      <c r="BV869" s="5" t="n"/>
      <c r="BW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  <c r="AY870" s="5" t="n"/>
      <c r="AZ870" s="5" t="n"/>
      <c r="BA870" s="5" t="n"/>
      <c r="BB870" s="5" t="n"/>
      <c r="BC870" s="5" t="n"/>
      <c r="BD870" s="5" t="n"/>
      <c r="BE870" s="5" t="n"/>
      <c r="BF870" s="5" t="n"/>
      <c r="BG870" s="5" t="n"/>
      <c r="BH870" s="5" t="n"/>
      <c r="BI870" s="5" t="n"/>
      <c r="BJ870" s="5" t="n"/>
      <c r="BK870" s="5" t="n"/>
      <c r="BL870" s="5" t="n"/>
      <c r="BM870" s="5" t="n"/>
      <c r="BN870" s="5" t="n"/>
      <c r="BO870" s="5" t="n"/>
      <c r="BP870" s="5" t="n"/>
      <c r="BQ870" s="5" t="n"/>
      <c r="BR870" s="5" t="n"/>
      <c r="BS870" s="5" t="n"/>
      <c r="BT870" s="5" t="n"/>
      <c r="BU870" s="5" t="n"/>
      <c r="BV870" s="5" t="n"/>
      <c r="BW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  <c r="AY871" s="5" t="n"/>
      <c r="AZ871" s="5" t="n"/>
      <c r="BA871" s="5" t="n"/>
      <c r="BB871" s="5" t="n"/>
      <c r="BC871" s="5" t="n"/>
      <c r="BD871" s="5" t="n"/>
      <c r="BE871" s="5" t="n"/>
      <c r="BF871" s="5" t="n"/>
      <c r="BG871" s="5" t="n"/>
      <c r="BH871" s="5" t="n"/>
      <c r="BI871" s="5" t="n"/>
      <c r="BJ871" s="5" t="n"/>
      <c r="BK871" s="5" t="n"/>
      <c r="BL871" s="5" t="n"/>
      <c r="BM871" s="5" t="n"/>
      <c r="BN871" s="5" t="n"/>
      <c r="BO871" s="5" t="n"/>
      <c r="BP871" s="5" t="n"/>
      <c r="BQ871" s="5" t="n"/>
      <c r="BR871" s="5" t="n"/>
      <c r="BS871" s="5" t="n"/>
      <c r="BT871" s="5" t="n"/>
      <c r="BU871" s="5" t="n"/>
      <c r="BV871" s="5" t="n"/>
      <c r="BW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  <c r="AY872" s="5" t="n"/>
      <c r="AZ872" s="5" t="n"/>
      <c r="BA872" s="5" t="n"/>
      <c r="BB872" s="5" t="n"/>
      <c r="BC872" s="5" t="n"/>
      <c r="BD872" s="5" t="n"/>
      <c r="BE872" s="5" t="n"/>
      <c r="BF872" s="5" t="n"/>
      <c r="BG872" s="5" t="n"/>
      <c r="BH872" s="5" t="n"/>
      <c r="BI872" s="5" t="n"/>
      <c r="BJ872" s="5" t="n"/>
      <c r="BK872" s="5" t="n"/>
      <c r="BL872" s="5" t="n"/>
      <c r="BM872" s="5" t="n"/>
      <c r="BN872" s="5" t="n"/>
      <c r="BO872" s="5" t="n"/>
      <c r="BP872" s="5" t="n"/>
      <c r="BQ872" s="5" t="n"/>
      <c r="BR872" s="5" t="n"/>
      <c r="BS872" s="5" t="n"/>
      <c r="BT872" s="5" t="n"/>
      <c r="BU872" s="5" t="n"/>
      <c r="BV872" s="5" t="n"/>
      <c r="BW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  <c r="AY873" s="5" t="n"/>
      <c r="AZ873" s="5" t="n"/>
      <c r="BA873" s="5" t="n"/>
      <c r="BB873" s="5" t="n"/>
      <c r="BC873" s="5" t="n"/>
      <c r="BD873" s="5" t="n"/>
      <c r="BE873" s="5" t="n"/>
      <c r="BF873" s="5" t="n"/>
      <c r="BG873" s="5" t="n"/>
      <c r="BH873" s="5" t="n"/>
      <c r="BI873" s="5" t="n"/>
      <c r="BJ873" s="5" t="n"/>
      <c r="BK873" s="5" t="n"/>
      <c r="BL873" s="5" t="n"/>
      <c r="BM873" s="5" t="n"/>
      <c r="BN873" s="5" t="n"/>
      <c r="BO873" s="5" t="n"/>
      <c r="BP873" s="5" t="n"/>
      <c r="BQ873" s="5" t="n"/>
      <c r="BR873" s="5" t="n"/>
      <c r="BS873" s="5" t="n"/>
      <c r="BT873" s="5" t="n"/>
      <c r="BU873" s="5" t="n"/>
      <c r="BV873" s="5" t="n"/>
      <c r="BW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  <c r="AY874" s="5" t="n"/>
      <c r="AZ874" s="5" t="n"/>
      <c r="BA874" s="5" t="n"/>
      <c r="BB874" s="5" t="n"/>
      <c r="BC874" s="5" t="n"/>
      <c r="BD874" s="5" t="n"/>
      <c r="BE874" s="5" t="n"/>
      <c r="BF874" s="5" t="n"/>
      <c r="BG874" s="5" t="n"/>
      <c r="BH874" s="5" t="n"/>
      <c r="BI874" s="5" t="n"/>
      <c r="BJ874" s="5" t="n"/>
      <c r="BK874" s="5" t="n"/>
      <c r="BL874" s="5" t="n"/>
      <c r="BM874" s="5" t="n"/>
      <c r="BN874" s="5" t="n"/>
      <c r="BO874" s="5" t="n"/>
      <c r="BP874" s="5" t="n"/>
      <c r="BQ874" s="5" t="n"/>
      <c r="BR874" s="5" t="n"/>
      <c r="BS874" s="5" t="n"/>
      <c r="BT874" s="5" t="n"/>
      <c r="BU874" s="5" t="n"/>
      <c r="BV874" s="5" t="n"/>
      <c r="BW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  <c r="AY875" s="5" t="n"/>
      <c r="AZ875" s="5" t="n"/>
      <c r="BA875" s="5" t="n"/>
      <c r="BB875" s="5" t="n"/>
      <c r="BC875" s="5" t="n"/>
      <c r="BD875" s="5" t="n"/>
      <c r="BE875" s="5" t="n"/>
      <c r="BF875" s="5" t="n"/>
      <c r="BG875" s="5" t="n"/>
      <c r="BH875" s="5" t="n"/>
      <c r="BI875" s="5" t="n"/>
      <c r="BJ875" s="5" t="n"/>
      <c r="BK875" s="5" t="n"/>
      <c r="BL875" s="5" t="n"/>
      <c r="BM875" s="5" t="n"/>
      <c r="BN875" s="5" t="n"/>
      <c r="BO875" s="5" t="n"/>
      <c r="BP875" s="5" t="n"/>
      <c r="BQ875" s="5" t="n"/>
      <c r="BR875" s="5" t="n"/>
      <c r="BS875" s="5" t="n"/>
      <c r="BT875" s="5" t="n"/>
      <c r="BU875" s="5" t="n"/>
      <c r="BV875" s="5" t="n"/>
      <c r="BW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  <c r="AY876" s="5" t="n"/>
      <c r="AZ876" s="5" t="n"/>
      <c r="BA876" s="5" t="n"/>
      <c r="BB876" s="5" t="n"/>
      <c r="BC876" s="5" t="n"/>
      <c r="BD876" s="5" t="n"/>
      <c r="BE876" s="5" t="n"/>
      <c r="BF876" s="5" t="n"/>
      <c r="BG876" s="5" t="n"/>
      <c r="BH876" s="5" t="n"/>
      <c r="BI876" s="5" t="n"/>
      <c r="BJ876" s="5" t="n"/>
      <c r="BK876" s="5" t="n"/>
      <c r="BL876" s="5" t="n"/>
      <c r="BM876" s="5" t="n"/>
      <c r="BN876" s="5" t="n"/>
      <c r="BO876" s="5" t="n"/>
      <c r="BP876" s="5" t="n"/>
      <c r="BQ876" s="5" t="n"/>
      <c r="BR876" s="5" t="n"/>
      <c r="BS876" s="5" t="n"/>
      <c r="BT876" s="5" t="n"/>
      <c r="BU876" s="5" t="n"/>
      <c r="BV876" s="5" t="n"/>
      <c r="BW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  <c r="AY877" s="5" t="n"/>
      <c r="AZ877" s="5" t="n"/>
      <c r="BA877" s="5" t="n"/>
      <c r="BB877" s="5" t="n"/>
      <c r="BC877" s="5" t="n"/>
      <c r="BD877" s="5" t="n"/>
      <c r="BE877" s="5" t="n"/>
      <c r="BF877" s="5" t="n"/>
      <c r="BG877" s="5" t="n"/>
      <c r="BH877" s="5" t="n"/>
      <c r="BI877" s="5" t="n"/>
      <c r="BJ877" s="5" t="n"/>
      <c r="BK877" s="5" t="n"/>
      <c r="BL877" s="5" t="n"/>
      <c r="BM877" s="5" t="n"/>
      <c r="BN877" s="5" t="n"/>
      <c r="BO877" s="5" t="n"/>
      <c r="BP877" s="5" t="n"/>
      <c r="BQ877" s="5" t="n"/>
      <c r="BR877" s="5" t="n"/>
      <c r="BS877" s="5" t="n"/>
      <c r="BT877" s="5" t="n"/>
      <c r="BU877" s="5" t="n"/>
      <c r="BV877" s="5" t="n"/>
      <c r="BW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  <c r="AY878" s="5" t="n"/>
      <c r="AZ878" s="5" t="n"/>
      <c r="BA878" s="5" t="n"/>
      <c r="BB878" s="5" t="n"/>
      <c r="BC878" s="5" t="n"/>
      <c r="BD878" s="5" t="n"/>
      <c r="BE878" s="5" t="n"/>
      <c r="BF878" s="5" t="n"/>
      <c r="BG878" s="5" t="n"/>
      <c r="BH878" s="5" t="n"/>
      <c r="BI878" s="5" t="n"/>
      <c r="BJ878" s="5" t="n"/>
      <c r="BK878" s="5" t="n"/>
      <c r="BL878" s="5" t="n"/>
      <c r="BM878" s="5" t="n"/>
      <c r="BN878" s="5" t="n"/>
      <c r="BO878" s="5" t="n"/>
      <c r="BP878" s="5" t="n"/>
      <c r="BQ878" s="5" t="n"/>
      <c r="BR878" s="5" t="n"/>
      <c r="BS878" s="5" t="n"/>
      <c r="BT878" s="5" t="n"/>
      <c r="BU878" s="5" t="n"/>
      <c r="BV878" s="5" t="n"/>
      <c r="BW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  <c r="AY879" s="5" t="n"/>
      <c r="AZ879" s="5" t="n"/>
      <c r="BA879" s="5" t="n"/>
      <c r="BB879" s="5" t="n"/>
      <c r="BC879" s="5" t="n"/>
      <c r="BD879" s="5" t="n"/>
      <c r="BE879" s="5" t="n"/>
      <c r="BF879" s="5" t="n"/>
      <c r="BG879" s="5" t="n"/>
      <c r="BH879" s="5" t="n"/>
      <c r="BI879" s="5" t="n"/>
      <c r="BJ879" s="5" t="n"/>
      <c r="BK879" s="5" t="n"/>
      <c r="BL879" s="5" t="n"/>
      <c r="BM879" s="5" t="n"/>
      <c r="BN879" s="5" t="n"/>
      <c r="BO879" s="5" t="n"/>
      <c r="BP879" s="5" t="n"/>
      <c r="BQ879" s="5" t="n"/>
      <c r="BR879" s="5" t="n"/>
      <c r="BS879" s="5" t="n"/>
      <c r="BT879" s="5" t="n"/>
      <c r="BU879" s="5" t="n"/>
      <c r="BV879" s="5" t="n"/>
      <c r="BW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  <c r="AY880" s="5" t="n"/>
      <c r="AZ880" s="5" t="n"/>
      <c r="BA880" s="5" t="n"/>
      <c r="BB880" s="5" t="n"/>
      <c r="BC880" s="5" t="n"/>
      <c r="BD880" s="5" t="n"/>
      <c r="BE880" s="5" t="n"/>
      <c r="BF880" s="5" t="n"/>
      <c r="BG880" s="5" t="n"/>
      <c r="BH880" s="5" t="n"/>
      <c r="BI880" s="5" t="n"/>
      <c r="BJ880" s="5" t="n"/>
      <c r="BK880" s="5" t="n"/>
      <c r="BL880" s="5" t="n"/>
      <c r="BM880" s="5" t="n"/>
      <c r="BN880" s="5" t="n"/>
      <c r="BO880" s="5" t="n"/>
      <c r="BP880" s="5" t="n"/>
      <c r="BQ880" s="5" t="n"/>
      <c r="BR880" s="5" t="n"/>
      <c r="BS880" s="5" t="n"/>
      <c r="BT880" s="5" t="n"/>
      <c r="BU880" s="5" t="n"/>
      <c r="BV880" s="5" t="n"/>
      <c r="BW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  <c r="AY881" s="5" t="n"/>
      <c r="AZ881" s="5" t="n"/>
      <c r="BA881" s="5" t="n"/>
      <c r="BB881" s="5" t="n"/>
      <c r="BC881" s="5" t="n"/>
      <c r="BD881" s="5" t="n"/>
      <c r="BE881" s="5" t="n"/>
      <c r="BF881" s="5" t="n"/>
      <c r="BG881" s="5" t="n"/>
      <c r="BH881" s="5" t="n"/>
      <c r="BI881" s="5" t="n"/>
      <c r="BJ881" s="5" t="n"/>
      <c r="BK881" s="5" t="n"/>
      <c r="BL881" s="5" t="n"/>
      <c r="BM881" s="5" t="n"/>
      <c r="BN881" s="5" t="n"/>
      <c r="BO881" s="5" t="n"/>
      <c r="BP881" s="5" t="n"/>
      <c r="BQ881" s="5" t="n"/>
      <c r="BR881" s="5" t="n"/>
      <c r="BS881" s="5" t="n"/>
      <c r="BT881" s="5" t="n"/>
      <c r="BU881" s="5" t="n"/>
      <c r="BV881" s="5" t="n"/>
      <c r="BW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  <c r="AY882" s="5" t="n"/>
      <c r="AZ882" s="5" t="n"/>
      <c r="BA882" s="5" t="n"/>
      <c r="BB882" s="5" t="n"/>
      <c r="BC882" s="5" t="n"/>
      <c r="BD882" s="5" t="n"/>
      <c r="BE882" s="5" t="n"/>
      <c r="BF882" s="5" t="n"/>
      <c r="BG882" s="5" t="n"/>
      <c r="BH882" s="5" t="n"/>
      <c r="BI882" s="5" t="n"/>
      <c r="BJ882" s="5" t="n"/>
      <c r="BK882" s="5" t="n"/>
      <c r="BL882" s="5" t="n"/>
      <c r="BM882" s="5" t="n"/>
      <c r="BN882" s="5" t="n"/>
      <c r="BO882" s="5" t="n"/>
      <c r="BP882" s="5" t="n"/>
      <c r="BQ882" s="5" t="n"/>
      <c r="BR882" s="5" t="n"/>
      <c r="BS882" s="5" t="n"/>
      <c r="BT882" s="5" t="n"/>
      <c r="BU882" s="5" t="n"/>
      <c r="BV882" s="5" t="n"/>
      <c r="BW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  <c r="AY883" s="5" t="n"/>
      <c r="AZ883" s="5" t="n"/>
      <c r="BA883" s="5" t="n"/>
      <c r="BB883" s="5" t="n"/>
      <c r="BC883" s="5" t="n"/>
      <c r="BD883" s="5" t="n"/>
      <c r="BE883" s="5" t="n"/>
      <c r="BF883" s="5" t="n"/>
      <c r="BG883" s="5" t="n"/>
      <c r="BH883" s="5" t="n"/>
      <c r="BI883" s="5" t="n"/>
      <c r="BJ883" s="5" t="n"/>
      <c r="BK883" s="5" t="n"/>
      <c r="BL883" s="5" t="n"/>
      <c r="BM883" s="5" t="n"/>
      <c r="BN883" s="5" t="n"/>
      <c r="BO883" s="5" t="n"/>
      <c r="BP883" s="5" t="n"/>
      <c r="BQ883" s="5" t="n"/>
      <c r="BR883" s="5" t="n"/>
      <c r="BS883" s="5" t="n"/>
      <c r="BT883" s="5" t="n"/>
      <c r="BU883" s="5" t="n"/>
      <c r="BV883" s="5" t="n"/>
      <c r="BW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  <c r="AY884" s="5" t="n"/>
      <c r="AZ884" s="5" t="n"/>
      <c r="BA884" s="5" t="n"/>
      <c r="BB884" s="5" t="n"/>
      <c r="BC884" s="5" t="n"/>
      <c r="BD884" s="5" t="n"/>
      <c r="BE884" s="5" t="n"/>
      <c r="BF884" s="5" t="n"/>
      <c r="BG884" s="5" t="n"/>
      <c r="BH884" s="5" t="n"/>
      <c r="BI884" s="5" t="n"/>
      <c r="BJ884" s="5" t="n"/>
      <c r="BK884" s="5" t="n"/>
      <c r="BL884" s="5" t="n"/>
      <c r="BM884" s="5" t="n"/>
      <c r="BN884" s="5" t="n"/>
      <c r="BO884" s="5" t="n"/>
      <c r="BP884" s="5" t="n"/>
      <c r="BQ884" s="5" t="n"/>
      <c r="BR884" s="5" t="n"/>
      <c r="BS884" s="5" t="n"/>
      <c r="BT884" s="5" t="n"/>
      <c r="BU884" s="5" t="n"/>
      <c r="BV884" s="5" t="n"/>
      <c r="BW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  <c r="AY885" s="5" t="n"/>
      <c r="AZ885" s="5" t="n"/>
      <c r="BA885" s="5" t="n"/>
      <c r="BB885" s="5" t="n"/>
      <c r="BC885" s="5" t="n"/>
      <c r="BD885" s="5" t="n"/>
      <c r="BE885" s="5" t="n"/>
      <c r="BF885" s="5" t="n"/>
      <c r="BG885" s="5" t="n"/>
      <c r="BH885" s="5" t="n"/>
      <c r="BI885" s="5" t="n"/>
      <c r="BJ885" s="5" t="n"/>
      <c r="BK885" s="5" t="n"/>
      <c r="BL885" s="5" t="n"/>
      <c r="BM885" s="5" t="n"/>
      <c r="BN885" s="5" t="n"/>
      <c r="BO885" s="5" t="n"/>
      <c r="BP885" s="5" t="n"/>
      <c r="BQ885" s="5" t="n"/>
      <c r="BR885" s="5" t="n"/>
      <c r="BS885" s="5" t="n"/>
      <c r="BT885" s="5" t="n"/>
      <c r="BU885" s="5" t="n"/>
      <c r="BV885" s="5" t="n"/>
      <c r="BW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  <c r="AY886" s="5" t="n"/>
      <c r="AZ886" s="5" t="n"/>
      <c r="BA886" s="5" t="n"/>
      <c r="BB886" s="5" t="n"/>
      <c r="BC886" s="5" t="n"/>
      <c r="BD886" s="5" t="n"/>
      <c r="BE886" s="5" t="n"/>
      <c r="BF886" s="5" t="n"/>
      <c r="BG886" s="5" t="n"/>
      <c r="BH886" s="5" t="n"/>
      <c r="BI886" s="5" t="n"/>
      <c r="BJ886" s="5" t="n"/>
      <c r="BK886" s="5" t="n"/>
      <c r="BL886" s="5" t="n"/>
      <c r="BM886" s="5" t="n"/>
      <c r="BN886" s="5" t="n"/>
      <c r="BO886" s="5" t="n"/>
      <c r="BP886" s="5" t="n"/>
      <c r="BQ886" s="5" t="n"/>
      <c r="BR886" s="5" t="n"/>
      <c r="BS886" s="5" t="n"/>
      <c r="BT886" s="5" t="n"/>
      <c r="BU886" s="5" t="n"/>
      <c r="BV886" s="5" t="n"/>
      <c r="BW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  <c r="AY887" s="5" t="n"/>
      <c r="AZ887" s="5" t="n"/>
      <c r="BA887" s="5" t="n"/>
      <c r="BB887" s="5" t="n"/>
      <c r="BC887" s="5" t="n"/>
      <c r="BD887" s="5" t="n"/>
      <c r="BE887" s="5" t="n"/>
      <c r="BF887" s="5" t="n"/>
      <c r="BG887" s="5" t="n"/>
      <c r="BH887" s="5" t="n"/>
      <c r="BI887" s="5" t="n"/>
      <c r="BJ887" s="5" t="n"/>
      <c r="BK887" s="5" t="n"/>
      <c r="BL887" s="5" t="n"/>
      <c r="BM887" s="5" t="n"/>
      <c r="BN887" s="5" t="n"/>
      <c r="BO887" s="5" t="n"/>
      <c r="BP887" s="5" t="n"/>
      <c r="BQ887" s="5" t="n"/>
      <c r="BR887" s="5" t="n"/>
      <c r="BS887" s="5" t="n"/>
      <c r="BT887" s="5" t="n"/>
      <c r="BU887" s="5" t="n"/>
      <c r="BV887" s="5" t="n"/>
      <c r="BW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  <c r="AY888" s="5" t="n"/>
      <c r="AZ888" s="5" t="n"/>
      <c r="BA888" s="5" t="n"/>
      <c r="BB888" s="5" t="n"/>
      <c r="BC888" s="5" t="n"/>
      <c r="BD888" s="5" t="n"/>
      <c r="BE888" s="5" t="n"/>
      <c r="BF888" s="5" t="n"/>
      <c r="BG888" s="5" t="n"/>
      <c r="BH888" s="5" t="n"/>
      <c r="BI888" s="5" t="n"/>
      <c r="BJ888" s="5" t="n"/>
      <c r="BK888" s="5" t="n"/>
      <c r="BL888" s="5" t="n"/>
      <c r="BM888" s="5" t="n"/>
      <c r="BN888" s="5" t="n"/>
      <c r="BO888" s="5" t="n"/>
      <c r="BP888" s="5" t="n"/>
      <c r="BQ888" s="5" t="n"/>
      <c r="BR888" s="5" t="n"/>
      <c r="BS888" s="5" t="n"/>
      <c r="BT888" s="5" t="n"/>
      <c r="BU888" s="5" t="n"/>
      <c r="BV888" s="5" t="n"/>
      <c r="BW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5" t="n"/>
      <c r="AZ889" s="5" t="n"/>
      <c r="BA889" s="5" t="n"/>
      <c r="BB889" s="5" t="n"/>
      <c r="BC889" s="5" t="n"/>
      <c r="BD889" s="5" t="n"/>
      <c r="BE889" s="5" t="n"/>
      <c r="BF889" s="5" t="n"/>
      <c r="BG889" s="5" t="n"/>
      <c r="BH889" s="5" t="n"/>
      <c r="BI889" s="5" t="n"/>
      <c r="BJ889" s="5" t="n"/>
      <c r="BK889" s="5" t="n"/>
      <c r="BL889" s="5" t="n"/>
      <c r="BM889" s="5" t="n"/>
      <c r="BN889" s="5" t="n"/>
      <c r="BO889" s="5" t="n"/>
      <c r="BP889" s="5" t="n"/>
      <c r="BQ889" s="5" t="n"/>
      <c r="BR889" s="5" t="n"/>
      <c r="BS889" s="5" t="n"/>
      <c r="BT889" s="5" t="n"/>
      <c r="BU889" s="5" t="n"/>
      <c r="BV889" s="5" t="n"/>
      <c r="BW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  <c r="AY890" s="5" t="n"/>
      <c r="AZ890" s="5" t="n"/>
      <c r="BA890" s="5" t="n"/>
      <c r="BB890" s="5" t="n"/>
      <c r="BC890" s="5" t="n"/>
      <c r="BD890" s="5" t="n"/>
      <c r="BE890" s="5" t="n"/>
      <c r="BF890" s="5" t="n"/>
      <c r="BG890" s="5" t="n"/>
      <c r="BH890" s="5" t="n"/>
      <c r="BI890" s="5" t="n"/>
      <c r="BJ890" s="5" t="n"/>
      <c r="BK890" s="5" t="n"/>
      <c r="BL890" s="5" t="n"/>
      <c r="BM890" s="5" t="n"/>
      <c r="BN890" s="5" t="n"/>
      <c r="BO890" s="5" t="n"/>
      <c r="BP890" s="5" t="n"/>
      <c r="BQ890" s="5" t="n"/>
      <c r="BR890" s="5" t="n"/>
      <c r="BS890" s="5" t="n"/>
      <c r="BT890" s="5" t="n"/>
      <c r="BU890" s="5" t="n"/>
      <c r="BV890" s="5" t="n"/>
      <c r="BW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  <c r="AY891" s="5" t="n"/>
      <c r="AZ891" s="5" t="n"/>
      <c r="BA891" s="5" t="n"/>
      <c r="BB891" s="5" t="n"/>
      <c r="BC891" s="5" t="n"/>
      <c r="BD891" s="5" t="n"/>
      <c r="BE891" s="5" t="n"/>
      <c r="BF891" s="5" t="n"/>
      <c r="BG891" s="5" t="n"/>
      <c r="BH891" s="5" t="n"/>
      <c r="BI891" s="5" t="n"/>
      <c r="BJ891" s="5" t="n"/>
      <c r="BK891" s="5" t="n"/>
      <c r="BL891" s="5" t="n"/>
      <c r="BM891" s="5" t="n"/>
      <c r="BN891" s="5" t="n"/>
      <c r="BO891" s="5" t="n"/>
      <c r="BP891" s="5" t="n"/>
      <c r="BQ891" s="5" t="n"/>
      <c r="BR891" s="5" t="n"/>
      <c r="BS891" s="5" t="n"/>
      <c r="BT891" s="5" t="n"/>
      <c r="BU891" s="5" t="n"/>
      <c r="BV891" s="5" t="n"/>
      <c r="BW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  <c r="AY892" s="5" t="n"/>
      <c r="AZ892" s="5" t="n"/>
      <c r="BA892" s="5" t="n"/>
      <c r="BB892" s="5" t="n"/>
      <c r="BC892" s="5" t="n"/>
      <c r="BD892" s="5" t="n"/>
      <c r="BE892" s="5" t="n"/>
      <c r="BF892" s="5" t="n"/>
      <c r="BG892" s="5" t="n"/>
      <c r="BH892" s="5" t="n"/>
      <c r="BI892" s="5" t="n"/>
      <c r="BJ892" s="5" t="n"/>
      <c r="BK892" s="5" t="n"/>
      <c r="BL892" s="5" t="n"/>
      <c r="BM892" s="5" t="n"/>
      <c r="BN892" s="5" t="n"/>
      <c r="BO892" s="5" t="n"/>
      <c r="BP892" s="5" t="n"/>
      <c r="BQ892" s="5" t="n"/>
      <c r="BR892" s="5" t="n"/>
      <c r="BS892" s="5" t="n"/>
      <c r="BT892" s="5" t="n"/>
      <c r="BU892" s="5" t="n"/>
      <c r="BV892" s="5" t="n"/>
      <c r="BW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  <c r="AY893" s="5" t="n"/>
      <c r="AZ893" s="5" t="n"/>
      <c r="BA893" s="5" t="n"/>
      <c r="BB893" s="5" t="n"/>
      <c r="BC893" s="5" t="n"/>
      <c r="BD893" s="5" t="n"/>
      <c r="BE893" s="5" t="n"/>
      <c r="BF893" s="5" t="n"/>
      <c r="BG893" s="5" t="n"/>
      <c r="BH893" s="5" t="n"/>
      <c r="BI893" s="5" t="n"/>
      <c r="BJ893" s="5" t="n"/>
      <c r="BK893" s="5" t="n"/>
      <c r="BL893" s="5" t="n"/>
      <c r="BM893" s="5" t="n"/>
      <c r="BN893" s="5" t="n"/>
      <c r="BO893" s="5" t="n"/>
      <c r="BP893" s="5" t="n"/>
      <c r="BQ893" s="5" t="n"/>
      <c r="BR893" s="5" t="n"/>
      <c r="BS893" s="5" t="n"/>
      <c r="BT893" s="5" t="n"/>
      <c r="BU893" s="5" t="n"/>
      <c r="BV893" s="5" t="n"/>
      <c r="BW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  <c r="AY894" s="5" t="n"/>
      <c r="AZ894" s="5" t="n"/>
      <c r="BA894" s="5" t="n"/>
      <c r="BB894" s="5" t="n"/>
      <c r="BC894" s="5" t="n"/>
      <c r="BD894" s="5" t="n"/>
      <c r="BE894" s="5" t="n"/>
      <c r="BF894" s="5" t="n"/>
      <c r="BG894" s="5" t="n"/>
      <c r="BH894" s="5" t="n"/>
      <c r="BI894" s="5" t="n"/>
      <c r="BJ894" s="5" t="n"/>
      <c r="BK894" s="5" t="n"/>
      <c r="BL894" s="5" t="n"/>
      <c r="BM894" s="5" t="n"/>
      <c r="BN894" s="5" t="n"/>
      <c r="BO894" s="5" t="n"/>
      <c r="BP894" s="5" t="n"/>
      <c r="BQ894" s="5" t="n"/>
      <c r="BR894" s="5" t="n"/>
      <c r="BS894" s="5" t="n"/>
      <c r="BT894" s="5" t="n"/>
      <c r="BU894" s="5" t="n"/>
      <c r="BV894" s="5" t="n"/>
      <c r="BW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  <c r="AY895" s="5" t="n"/>
      <c r="AZ895" s="5" t="n"/>
      <c r="BA895" s="5" t="n"/>
      <c r="BB895" s="5" t="n"/>
      <c r="BC895" s="5" t="n"/>
      <c r="BD895" s="5" t="n"/>
      <c r="BE895" s="5" t="n"/>
      <c r="BF895" s="5" t="n"/>
      <c r="BG895" s="5" t="n"/>
      <c r="BH895" s="5" t="n"/>
      <c r="BI895" s="5" t="n"/>
      <c r="BJ895" s="5" t="n"/>
      <c r="BK895" s="5" t="n"/>
      <c r="BL895" s="5" t="n"/>
      <c r="BM895" s="5" t="n"/>
      <c r="BN895" s="5" t="n"/>
      <c r="BO895" s="5" t="n"/>
      <c r="BP895" s="5" t="n"/>
      <c r="BQ895" s="5" t="n"/>
      <c r="BR895" s="5" t="n"/>
      <c r="BS895" s="5" t="n"/>
      <c r="BT895" s="5" t="n"/>
      <c r="BU895" s="5" t="n"/>
      <c r="BV895" s="5" t="n"/>
      <c r="BW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  <c r="AY896" s="5" t="n"/>
      <c r="AZ896" s="5" t="n"/>
      <c r="BA896" s="5" t="n"/>
      <c r="BB896" s="5" t="n"/>
      <c r="BC896" s="5" t="n"/>
      <c r="BD896" s="5" t="n"/>
      <c r="BE896" s="5" t="n"/>
      <c r="BF896" s="5" t="n"/>
      <c r="BG896" s="5" t="n"/>
      <c r="BH896" s="5" t="n"/>
      <c r="BI896" s="5" t="n"/>
      <c r="BJ896" s="5" t="n"/>
      <c r="BK896" s="5" t="n"/>
      <c r="BL896" s="5" t="n"/>
      <c r="BM896" s="5" t="n"/>
      <c r="BN896" s="5" t="n"/>
      <c r="BO896" s="5" t="n"/>
      <c r="BP896" s="5" t="n"/>
      <c r="BQ896" s="5" t="n"/>
      <c r="BR896" s="5" t="n"/>
      <c r="BS896" s="5" t="n"/>
      <c r="BT896" s="5" t="n"/>
      <c r="BU896" s="5" t="n"/>
      <c r="BV896" s="5" t="n"/>
      <c r="BW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  <c r="AY897" s="5" t="n"/>
      <c r="AZ897" s="5" t="n"/>
      <c r="BA897" s="5" t="n"/>
      <c r="BB897" s="5" t="n"/>
      <c r="BC897" s="5" t="n"/>
      <c r="BD897" s="5" t="n"/>
      <c r="BE897" s="5" t="n"/>
      <c r="BF897" s="5" t="n"/>
      <c r="BG897" s="5" t="n"/>
      <c r="BH897" s="5" t="n"/>
      <c r="BI897" s="5" t="n"/>
      <c r="BJ897" s="5" t="n"/>
      <c r="BK897" s="5" t="n"/>
      <c r="BL897" s="5" t="n"/>
      <c r="BM897" s="5" t="n"/>
      <c r="BN897" s="5" t="n"/>
      <c r="BO897" s="5" t="n"/>
      <c r="BP897" s="5" t="n"/>
      <c r="BQ897" s="5" t="n"/>
      <c r="BR897" s="5" t="n"/>
      <c r="BS897" s="5" t="n"/>
      <c r="BT897" s="5" t="n"/>
      <c r="BU897" s="5" t="n"/>
      <c r="BV897" s="5" t="n"/>
      <c r="BW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  <c r="AY898" s="5" t="n"/>
      <c r="AZ898" s="5" t="n"/>
      <c r="BA898" s="5" t="n"/>
      <c r="BB898" s="5" t="n"/>
      <c r="BC898" s="5" t="n"/>
      <c r="BD898" s="5" t="n"/>
      <c r="BE898" s="5" t="n"/>
      <c r="BF898" s="5" t="n"/>
      <c r="BG898" s="5" t="n"/>
      <c r="BH898" s="5" t="n"/>
      <c r="BI898" s="5" t="n"/>
      <c r="BJ898" s="5" t="n"/>
      <c r="BK898" s="5" t="n"/>
      <c r="BL898" s="5" t="n"/>
      <c r="BM898" s="5" t="n"/>
      <c r="BN898" s="5" t="n"/>
      <c r="BO898" s="5" t="n"/>
      <c r="BP898" s="5" t="n"/>
      <c r="BQ898" s="5" t="n"/>
      <c r="BR898" s="5" t="n"/>
      <c r="BS898" s="5" t="n"/>
      <c r="BT898" s="5" t="n"/>
      <c r="BU898" s="5" t="n"/>
      <c r="BV898" s="5" t="n"/>
      <c r="BW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  <c r="AY899" s="5" t="n"/>
      <c r="AZ899" s="5" t="n"/>
      <c r="BA899" s="5" t="n"/>
      <c r="BB899" s="5" t="n"/>
      <c r="BC899" s="5" t="n"/>
      <c r="BD899" s="5" t="n"/>
      <c r="BE899" s="5" t="n"/>
      <c r="BF899" s="5" t="n"/>
      <c r="BG899" s="5" t="n"/>
      <c r="BH899" s="5" t="n"/>
      <c r="BI899" s="5" t="n"/>
      <c r="BJ899" s="5" t="n"/>
      <c r="BK899" s="5" t="n"/>
      <c r="BL899" s="5" t="n"/>
      <c r="BM899" s="5" t="n"/>
      <c r="BN899" s="5" t="n"/>
      <c r="BO899" s="5" t="n"/>
      <c r="BP899" s="5" t="n"/>
      <c r="BQ899" s="5" t="n"/>
      <c r="BR899" s="5" t="n"/>
      <c r="BS899" s="5" t="n"/>
      <c r="BT899" s="5" t="n"/>
      <c r="BU899" s="5" t="n"/>
      <c r="BV899" s="5" t="n"/>
      <c r="BW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  <c r="AY900" s="5" t="n"/>
      <c r="AZ900" s="5" t="n"/>
      <c r="BA900" s="5" t="n"/>
      <c r="BB900" s="5" t="n"/>
      <c r="BC900" s="5" t="n"/>
      <c r="BD900" s="5" t="n"/>
      <c r="BE900" s="5" t="n"/>
      <c r="BF900" s="5" t="n"/>
      <c r="BG900" s="5" t="n"/>
      <c r="BH900" s="5" t="n"/>
      <c r="BI900" s="5" t="n"/>
      <c r="BJ900" s="5" t="n"/>
      <c r="BK900" s="5" t="n"/>
      <c r="BL900" s="5" t="n"/>
      <c r="BM900" s="5" t="n"/>
      <c r="BN900" s="5" t="n"/>
      <c r="BO900" s="5" t="n"/>
      <c r="BP900" s="5" t="n"/>
      <c r="BQ900" s="5" t="n"/>
      <c r="BR900" s="5" t="n"/>
      <c r="BS900" s="5" t="n"/>
      <c r="BT900" s="5" t="n"/>
      <c r="BU900" s="5" t="n"/>
      <c r="BV900" s="5" t="n"/>
      <c r="BW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  <c r="AY901" s="5" t="n"/>
      <c r="AZ901" s="5" t="n"/>
      <c r="BA901" s="5" t="n"/>
      <c r="BB901" s="5" t="n"/>
      <c r="BC901" s="5" t="n"/>
      <c r="BD901" s="5" t="n"/>
      <c r="BE901" s="5" t="n"/>
      <c r="BF901" s="5" t="n"/>
      <c r="BG901" s="5" t="n"/>
      <c r="BH901" s="5" t="n"/>
      <c r="BI901" s="5" t="n"/>
      <c r="BJ901" s="5" t="n"/>
      <c r="BK901" s="5" t="n"/>
      <c r="BL901" s="5" t="n"/>
      <c r="BM901" s="5" t="n"/>
      <c r="BN901" s="5" t="n"/>
      <c r="BO901" s="5" t="n"/>
      <c r="BP901" s="5" t="n"/>
      <c r="BQ901" s="5" t="n"/>
      <c r="BR901" s="5" t="n"/>
      <c r="BS901" s="5" t="n"/>
      <c r="BT901" s="5" t="n"/>
      <c r="BU901" s="5" t="n"/>
      <c r="BV901" s="5" t="n"/>
      <c r="BW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  <c r="AY902" s="5" t="n"/>
      <c r="AZ902" s="5" t="n"/>
      <c r="BA902" s="5" t="n"/>
      <c r="BB902" s="5" t="n"/>
      <c r="BC902" s="5" t="n"/>
      <c r="BD902" s="5" t="n"/>
      <c r="BE902" s="5" t="n"/>
      <c r="BF902" s="5" t="n"/>
      <c r="BG902" s="5" t="n"/>
      <c r="BH902" s="5" t="n"/>
      <c r="BI902" s="5" t="n"/>
      <c r="BJ902" s="5" t="n"/>
      <c r="BK902" s="5" t="n"/>
      <c r="BL902" s="5" t="n"/>
      <c r="BM902" s="5" t="n"/>
      <c r="BN902" s="5" t="n"/>
      <c r="BO902" s="5" t="n"/>
      <c r="BP902" s="5" t="n"/>
      <c r="BQ902" s="5" t="n"/>
      <c r="BR902" s="5" t="n"/>
      <c r="BS902" s="5" t="n"/>
      <c r="BT902" s="5" t="n"/>
      <c r="BU902" s="5" t="n"/>
      <c r="BV902" s="5" t="n"/>
      <c r="BW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  <c r="AY903" s="5" t="n"/>
      <c r="AZ903" s="5" t="n"/>
      <c r="BA903" s="5" t="n"/>
      <c r="BB903" s="5" t="n"/>
      <c r="BC903" s="5" t="n"/>
      <c r="BD903" s="5" t="n"/>
      <c r="BE903" s="5" t="n"/>
      <c r="BF903" s="5" t="n"/>
      <c r="BG903" s="5" t="n"/>
      <c r="BH903" s="5" t="n"/>
      <c r="BI903" s="5" t="n"/>
      <c r="BJ903" s="5" t="n"/>
      <c r="BK903" s="5" t="n"/>
      <c r="BL903" s="5" t="n"/>
      <c r="BM903" s="5" t="n"/>
      <c r="BN903" s="5" t="n"/>
      <c r="BO903" s="5" t="n"/>
      <c r="BP903" s="5" t="n"/>
      <c r="BQ903" s="5" t="n"/>
      <c r="BR903" s="5" t="n"/>
      <c r="BS903" s="5" t="n"/>
      <c r="BT903" s="5" t="n"/>
      <c r="BU903" s="5" t="n"/>
      <c r="BV903" s="5" t="n"/>
      <c r="BW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  <c r="AY904" s="5" t="n"/>
      <c r="AZ904" s="5" t="n"/>
      <c r="BA904" s="5" t="n"/>
      <c r="BB904" s="5" t="n"/>
      <c r="BC904" s="5" t="n"/>
      <c r="BD904" s="5" t="n"/>
      <c r="BE904" s="5" t="n"/>
      <c r="BF904" s="5" t="n"/>
      <c r="BG904" s="5" t="n"/>
      <c r="BH904" s="5" t="n"/>
      <c r="BI904" s="5" t="n"/>
      <c r="BJ904" s="5" t="n"/>
      <c r="BK904" s="5" t="n"/>
      <c r="BL904" s="5" t="n"/>
      <c r="BM904" s="5" t="n"/>
      <c r="BN904" s="5" t="n"/>
      <c r="BO904" s="5" t="n"/>
      <c r="BP904" s="5" t="n"/>
      <c r="BQ904" s="5" t="n"/>
      <c r="BR904" s="5" t="n"/>
      <c r="BS904" s="5" t="n"/>
      <c r="BT904" s="5" t="n"/>
      <c r="BU904" s="5" t="n"/>
      <c r="BV904" s="5" t="n"/>
      <c r="BW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  <c r="AY905" s="5" t="n"/>
      <c r="AZ905" s="5" t="n"/>
      <c r="BA905" s="5" t="n"/>
      <c r="BB905" s="5" t="n"/>
      <c r="BC905" s="5" t="n"/>
      <c r="BD905" s="5" t="n"/>
      <c r="BE905" s="5" t="n"/>
      <c r="BF905" s="5" t="n"/>
      <c r="BG905" s="5" t="n"/>
      <c r="BH905" s="5" t="n"/>
      <c r="BI905" s="5" t="n"/>
      <c r="BJ905" s="5" t="n"/>
      <c r="BK905" s="5" t="n"/>
      <c r="BL905" s="5" t="n"/>
      <c r="BM905" s="5" t="n"/>
      <c r="BN905" s="5" t="n"/>
      <c r="BO905" s="5" t="n"/>
      <c r="BP905" s="5" t="n"/>
      <c r="BQ905" s="5" t="n"/>
      <c r="BR905" s="5" t="n"/>
      <c r="BS905" s="5" t="n"/>
      <c r="BT905" s="5" t="n"/>
      <c r="BU905" s="5" t="n"/>
      <c r="BV905" s="5" t="n"/>
      <c r="BW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  <c r="AY906" s="5" t="n"/>
      <c r="AZ906" s="5" t="n"/>
      <c r="BA906" s="5" t="n"/>
      <c r="BB906" s="5" t="n"/>
      <c r="BC906" s="5" t="n"/>
      <c r="BD906" s="5" t="n"/>
      <c r="BE906" s="5" t="n"/>
      <c r="BF906" s="5" t="n"/>
      <c r="BG906" s="5" t="n"/>
      <c r="BH906" s="5" t="n"/>
      <c r="BI906" s="5" t="n"/>
      <c r="BJ906" s="5" t="n"/>
      <c r="BK906" s="5" t="n"/>
      <c r="BL906" s="5" t="n"/>
      <c r="BM906" s="5" t="n"/>
      <c r="BN906" s="5" t="n"/>
      <c r="BO906" s="5" t="n"/>
      <c r="BP906" s="5" t="n"/>
      <c r="BQ906" s="5" t="n"/>
      <c r="BR906" s="5" t="n"/>
      <c r="BS906" s="5" t="n"/>
      <c r="BT906" s="5" t="n"/>
      <c r="BU906" s="5" t="n"/>
      <c r="BV906" s="5" t="n"/>
      <c r="BW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  <c r="AY907" s="5" t="n"/>
      <c r="AZ907" s="5" t="n"/>
      <c r="BA907" s="5" t="n"/>
      <c r="BB907" s="5" t="n"/>
      <c r="BC907" s="5" t="n"/>
      <c r="BD907" s="5" t="n"/>
      <c r="BE907" s="5" t="n"/>
      <c r="BF907" s="5" t="n"/>
      <c r="BG907" s="5" t="n"/>
      <c r="BH907" s="5" t="n"/>
      <c r="BI907" s="5" t="n"/>
      <c r="BJ907" s="5" t="n"/>
      <c r="BK907" s="5" t="n"/>
      <c r="BL907" s="5" t="n"/>
      <c r="BM907" s="5" t="n"/>
      <c r="BN907" s="5" t="n"/>
      <c r="BO907" s="5" t="n"/>
      <c r="BP907" s="5" t="n"/>
      <c r="BQ907" s="5" t="n"/>
      <c r="BR907" s="5" t="n"/>
      <c r="BS907" s="5" t="n"/>
      <c r="BT907" s="5" t="n"/>
      <c r="BU907" s="5" t="n"/>
      <c r="BV907" s="5" t="n"/>
      <c r="BW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  <c r="AY908" s="5" t="n"/>
      <c r="AZ908" s="5" t="n"/>
      <c r="BA908" s="5" t="n"/>
      <c r="BB908" s="5" t="n"/>
      <c r="BC908" s="5" t="n"/>
      <c r="BD908" s="5" t="n"/>
      <c r="BE908" s="5" t="n"/>
      <c r="BF908" s="5" t="n"/>
      <c r="BG908" s="5" t="n"/>
      <c r="BH908" s="5" t="n"/>
      <c r="BI908" s="5" t="n"/>
      <c r="BJ908" s="5" t="n"/>
      <c r="BK908" s="5" t="n"/>
      <c r="BL908" s="5" t="n"/>
      <c r="BM908" s="5" t="n"/>
      <c r="BN908" s="5" t="n"/>
      <c r="BO908" s="5" t="n"/>
      <c r="BP908" s="5" t="n"/>
      <c r="BQ908" s="5" t="n"/>
      <c r="BR908" s="5" t="n"/>
      <c r="BS908" s="5" t="n"/>
      <c r="BT908" s="5" t="n"/>
      <c r="BU908" s="5" t="n"/>
      <c r="BV908" s="5" t="n"/>
      <c r="BW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  <c r="AY909" s="5" t="n"/>
      <c r="AZ909" s="5" t="n"/>
      <c r="BA909" s="5" t="n"/>
      <c r="BB909" s="5" t="n"/>
      <c r="BC909" s="5" t="n"/>
      <c r="BD909" s="5" t="n"/>
      <c r="BE909" s="5" t="n"/>
      <c r="BF909" s="5" t="n"/>
      <c r="BG909" s="5" t="n"/>
      <c r="BH909" s="5" t="n"/>
      <c r="BI909" s="5" t="n"/>
      <c r="BJ909" s="5" t="n"/>
      <c r="BK909" s="5" t="n"/>
      <c r="BL909" s="5" t="n"/>
      <c r="BM909" s="5" t="n"/>
      <c r="BN909" s="5" t="n"/>
      <c r="BO909" s="5" t="n"/>
      <c r="BP909" s="5" t="n"/>
      <c r="BQ909" s="5" t="n"/>
      <c r="BR909" s="5" t="n"/>
      <c r="BS909" s="5" t="n"/>
      <c r="BT909" s="5" t="n"/>
      <c r="BU909" s="5" t="n"/>
      <c r="BV909" s="5" t="n"/>
      <c r="BW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  <c r="AY910" s="5" t="n"/>
      <c r="AZ910" s="5" t="n"/>
      <c r="BA910" s="5" t="n"/>
      <c r="BB910" s="5" t="n"/>
      <c r="BC910" s="5" t="n"/>
      <c r="BD910" s="5" t="n"/>
      <c r="BE910" s="5" t="n"/>
      <c r="BF910" s="5" t="n"/>
      <c r="BG910" s="5" t="n"/>
      <c r="BH910" s="5" t="n"/>
      <c r="BI910" s="5" t="n"/>
      <c r="BJ910" s="5" t="n"/>
      <c r="BK910" s="5" t="n"/>
      <c r="BL910" s="5" t="n"/>
      <c r="BM910" s="5" t="n"/>
      <c r="BN910" s="5" t="n"/>
      <c r="BO910" s="5" t="n"/>
      <c r="BP910" s="5" t="n"/>
      <c r="BQ910" s="5" t="n"/>
      <c r="BR910" s="5" t="n"/>
      <c r="BS910" s="5" t="n"/>
      <c r="BT910" s="5" t="n"/>
      <c r="BU910" s="5" t="n"/>
      <c r="BV910" s="5" t="n"/>
      <c r="BW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  <c r="AY911" s="5" t="n"/>
      <c r="AZ911" s="5" t="n"/>
      <c r="BA911" s="5" t="n"/>
      <c r="BB911" s="5" t="n"/>
      <c r="BC911" s="5" t="n"/>
      <c r="BD911" s="5" t="n"/>
      <c r="BE911" s="5" t="n"/>
      <c r="BF911" s="5" t="n"/>
      <c r="BG911" s="5" t="n"/>
      <c r="BH911" s="5" t="n"/>
      <c r="BI911" s="5" t="n"/>
      <c r="BJ911" s="5" t="n"/>
      <c r="BK911" s="5" t="n"/>
      <c r="BL911" s="5" t="n"/>
      <c r="BM911" s="5" t="n"/>
      <c r="BN911" s="5" t="n"/>
      <c r="BO911" s="5" t="n"/>
      <c r="BP911" s="5" t="n"/>
      <c r="BQ911" s="5" t="n"/>
      <c r="BR911" s="5" t="n"/>
      <c r="BS911" s="5" t="n"/>
      <c r="BT911" s="5" t="n"/>
      <c r="BU911" s="5" t="n"/>
      <c r="BV911" s="5" t="n"/>
      <c r="BW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  <c r="AY912" s="5" t="n"/>
      <c r="AZ912" s="5" t="n"/>
      <c r="BA912" s="5" t="n"/>
      <c r="BB912" s="5" t="n"/>
      <c r="BC912" s="5" t="n"/>
      <c r="BD912" s="5" t="n"/>
      <c r="BE912" s="5" t="n"/>
      <c r="BF912" s="5" t="n"/>
      <c r="BG912" s="5" t="n"/>
      <c r="BH912" s="5" t="n"/>
      <c r="BI912" s="5" t="n"/>
      <c r="BJ912" s="5" t="n"/>
      <c r="BK912" s="5" t="n"/>
      <c r="BL912" s="5" t="n"/>
      <c r="BM912" s="5" t="n"/>
      <c r="BN912" s="5" t="n"/>
      <c r="BO912" s="5" t="n"/>
      <c r="BP912" s="5" t="n"/>
      <c r="BQ912" s="5" t="n"/>
      <c r="BR912" s="5" t="n"/>
      <c r="BS912" s="5" t="n"/>
      <c r="BT912" s="5" t="n"/>
      <c r="BU912" s="5" t="n"/>
      <c r="BV912" s="5" t="n"/>
      <c r="BW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  <c r="AY913" s="5" t="n"/>
      <c r="AZ913" s="5" t="n"/>
      <c r="BA913" s="5" t="n"/>
      <c r="BB913" s="5" t="n"/>
      <c r="BC913" s="5" t="n"/>
      <c r="BD913" s="5" t="n"/>
      <c r="BE913" s="5" t="n"/>
      <c r="BF913" s="5" t="n"/>
      <c r="BG913" s="5" t="n"/>
      <c r="BH913" s="5" t="n"/>
      <c r="BI913" s="5" t="n"/>
      <c r="BJ913" s="5" t="n"/>
      <c r="BK913" s="5" t="n"/>
      <c r="BL913" s="5" t="n"/>
      <c r="BM913" s="5" t="n"/>
      <c r="BN913" s="5" t="n"/>
      <c r="BO913" s="5" t="n"/>
      <c r="BP913" s="5" t="n"/>
      <c r="BQ913" s="5" t="n"/>
      <c r="BR913" s="5" t="n"/>
      <c r="BS913" s="5" t="n"/>
      <c r="BT913" s="5" t="n"/>
      <c r="BU913" s="5" t="n"/>
      <c r="BV913" s="5" t="n"/>
      <c r="BW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  <c r="AY914" s="5" t="n"/>
      <c r="AZ914" s="5" t="n"/>
      <c r="BA914" s="5" t="n"/>
      <c r="BB914" s="5" t="n"/>
      <c r="BC914" s="5" t="n"/>
      <c r="BD914" s="5" t="n"/>
      <c r="BE914" s="5" t="n"/>
      <c r="BF914" s="5" t="n"/>
      <c r="BG914" s="5" t="n"/>
      <c r="BH914" s="5" t="n"/>
      <c r="BI914" s="5" t="n"/>
      <c r="BJ914" s="5" t="n"/>
      <c r="BK914" s="5" t="n"/>
      <c r="BL914" s="5" t="n"/>
      <c r="BM914" s="5" t="n"/>
      <c r="BN914" s="5" t="n"/>
      <c r="BO914" s="5" t="n"/>
      <c r="BP914" s="5" t="n"/>
      <c r="BQ914" s="5" t="n"/>
      <c r="BR914" s="5" t="n"/>
      <c r="BS914" s="5" t="n"/>
      <c r="BT914" s="5" t="n"/>
      <c r="BU914" s="5" t="n"/>
      <c r="BV914" s="5" t="n"/>
      <c r="BW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  <c r="AY915" s="5" t="n"/>
      <c r="AZ915" s="5" t="n"/>
      <c r="BA915" s="5" t="n"/>
      <c r="BB915" s="5" t="n"/>
      <c r="BC915" s="5" t="n"/>
      <c r="BD915" s="5" t="n"/>
      <c r="BE915" s="5" t="n"/>
      <c r="BF915" s="5" t="n"/>
      <c r="BG915" s="5" t="n"/>
      <c r="BH915" s="5" t="n"/>
      <c r="BI915" s="5" t="n"/>
      <c r="BJ915" s="5" t="n"/>
      <c r="BK915" s="5" t="n"/>
      <c r="BL915" s="5" t="n"/>
      <c r="BM915" s="5" t="n"/>
      <c r="BN915" s="5" t="n"/>
      <c r="BO915" s="5" t="n"/>
      <c r="BP915" s="5" t="n"/>
      <c r="BQ915" s="5" t="n"/>
      <c r="BR915" s="5" t="n"/>
      <c r="BS915" s="5" t="n"/>
      <c r="BT915" s="5" t="n"/>
      <c r="BU915" s="5" t="n"/>
      <c r="BV915" s="5" t="n"/>
      <c r="BW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  <c r="AY916" s="5" t="n"/>
      <c r="AZ916" s="5" t="n"/>
      <c r="BA916" s="5" t="n"/>
      <c r="BB916" s="5" t="n"/>
      <c r="BC916" s="5" t="n"/>
      <c r="BD916" s="5" t="n"/>
      <c r="BE916" s="5" t="n"/>
      <c r="BF916" s="5" t="n"/>
      <c r="BG916" s="5" t="n"/>
      <c r="BH916" s="5" t="n"/>
      <c r="BI916" s="5" t="n"/>
      <c r="BJ916" s="5" t="n"/>
      <c r="BK916" s="5" t="n"/>
      <c r="BL916" s="5" t="n"/>
      <c r="BM916" s="5" t="n"/>
      <c r="BN916" s="5" t="n"/>
      <c r="BO916" s="5" t="n"/>
      <c r="BP916" s="5" t="n"/>
      <c r="BQ916" s="5" t="n"/>
      <c r="BR916" s="5" t="n"/>
      <c r="BS916" s="5" t="n"/>
      <c r="BT916" s="5" t="n"/>
      <c r="BU916" s="5" t="n"/>
      <c r="BV916" s="5" t="n"/>
      <c r="BW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  <c r="AY917" s="5" t="n"/>
      <c r="AZ917" s="5" t="n"/>
      <c r="BA917" s="5" t="n"/>
      <c r="BB917" s="5" t="n"/>
      <c r="BC917" s="5" t="n"/>
      <c r="BD917" s="5" t="n"/>
      <c r="BE917" s="5" t="n"/>
      <c r="BF917" s="5" t="n"/>
      <c r="BG917" s="5" t="n"/>
      <c r="BH917" s="5" t="n"/>
      <c r="BI917" s="5" t="n"/>
      <c r="BJ917" s="5" t="n"/>
      <c r="BK917" s="5" t="n"/>
      <c r="BL917" s="5" t="n"/>
      <c r="BM917" s="5" t="n"/>
      <c r="BN917" s="5" t="n"/>
      <c r="BO917" s="5" t="n"/>
      <c r="BP917" s="5" t="n"/>
      <c r="BQ917" s="5" t="n"/>
      <c r="BR917" s="5" t="n"/>
      <c r="BS917" s="5" t="n"/>
      <c r="BT917" s="5" t="n"/>
      <c r="BU917" s="5" t="n"/>
      <c r="BV917" s="5" t="n"/>
      <c r="BW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  <c r="AY918" s="5" t="n"/>
      <c r="AZ918" s="5" t="n"/>
      <c r="BA918" s="5" t="n"/>
      <c r="BB918" s="5" t="n"/>
      <c r="BC918" s="5" t="n"/>
      <c r="BD918" s="5" t="n"/>
      <c r="BE918" s="5" t="n"/>
      <c r="BF918" s="5" t="n"/>
      <c r="BG918" s="5" t="n"/>
      <c r="BH918" s="5" t="n"/>
      <c r="BI918" s="5" t="n"/>
      <c r="BJ918" s="5" t="n"/>
      <c r="BK918" s="5" t="n"/>
      <c r="BL918" s="5" t="n"/>
      <c r="BM918" s="5" t="n"/>
      <c r="BN918" s="5" t="n"/>
      <c r="BO918" s="5" t="n"/>
      <c r="BP918" s="5" t="n"/>
      <c r="BQ918" s="5" t="n"/>
      <c r="BR918" s="5" t="n"/>
      <c r="BS918" s="5" t="n"/>
      <c r="BT918" s="5" t="n"/>
      <c r="BU918" s="5" t="n"/>
      <c r="BV918" s="5" t="n"/>
      <c r="BW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  <c r="AY919" s="5" t="n"/>
      <c r="AZ919" s="5" t="n"/>
      <c r="BA919" s="5" t="n"/>
      <c r="BB919" s="5" t="n"/>
      <c r="BC919" s="5" t="n"/>
      <c r="BD919" s="5" t="n"/>
      <c r="BE919" s="5" t="n"/>
      <c r="BF919" s="5" t="n"/>
      <c r="BG919" s="5" t="n"/>
      <c r="BH919" s="5" t="n"/>
      <c r="BI919" s="5" t="n"/>
      <c r="BJ919" s="5" t="n"/>
      <c r="BK919" s="5" t="n"/>
      <c r="BL919" s="5" t="n"/>
      <c r="BM919" s="5" t="n"/>
      <c r="BN919" s="5" t="n"/>
      <c r="BO919" s="5" t="n"/>
      <c r="BP919" s="5" t="n"/>
      <c r="BQ919" s="5" t="n"/>
      <c r="BR919" s="5" t="n"/>
      <c r="BS919" s="5" t="n"/>
      <c r="BT919" s="5" t="n"/>
      <c r="BU919" s="5" t="n"/>
      <c r="BV919" s="5" t="n"/>
      <c r="BW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  <c r="AY920" s="5" t="n"/>
      <c r="AZ920" s="5" t="n"/>
      <c r="BA920" s="5" t="n"/>
      <c r="BB920" s="5" t="n"/>
      <c r="BC920" s="5" t="n"/>
      <c r="BD920" s="5" t="n"/>
      <c r="BE920" s="5" t="n"/>
      <c r="BF920" s="5" t="n"/>
      <c r="BG920" s="5" t="n"/>
      <c r="BH920" s="5" t="n"/>
      <c r="BI920" s="5" t="n"/>
      <c r="BJ920" s="5" t="n"/>
      <c r="BK920" s="5" t="n"/>
      <c r="BL920" s="5" t="n"/>
      <c r="BM920" s="5" t="n"/>
      <c r="BN920" s="5" t="n"/>
      <c r="BO920" s="5" t="n"/>
      <c r="BP920" s="5" t="n"/>
      <c r="BQ920" s="5" t="n"/>
      <c r="BR920" s="5" t="n"/>
      <c r="BS920" s="5" t="n"/>
      <c r="BT920" s="5" t="n"/>
      <c r="BU920" s="5" t="n"/>
      <c r="BV920" s="5" t="n"/>
      <c r="BW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  <c r="AY921" s="5" t="n"/>
      <c r="AZ921" s="5" t="n"/>
      <c r="BA921" s="5" t="n"/>
      <c r="BB921" s="5" t="n"/>
      <c r="BC921" s="5" t="n"/>
      <c r="BD921" s="5" t="n"/>
      <c r="BE921" s="5" t="n"/>
      <c r="BF921" s="5" t="n"/>
      <c r="BG921" s="5" t="n"/>
      <c r="BH921" s="5" t="n"/>
      <c r="BI921" s="5" t="n"/>
      <c r="BJ921" s="5" t="n"/>
      <c r="BK921" s="5" t="n"/>
      <c r="BL921" s="5" t="n"/>
      <c r="BM921" s="5" t="n"/>
      <c r="BN921" s="5" t="n"/>
      <c r="BO921" s="5" t="n"/>
      <c r="BP921" s="5" t="n"/>
      <c r="BQ921" s="5" t="n"/>
      <c r="BR921" s="5" t="n"/>
      <c r="BS921" s="5" t="n"/>
      <c r="BT921" s="5" t="n"/>
      <c r="BU921" s="5" t="n"/>
      <c r="BV921" s="5" t="n"/>
      <c r="BW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  <c r="AY922" s="5" t="n"/>
      <c r="AZ922" s="5" t="n"/>
      <c r="BA922" s="5" t="n"/>
      <c r="BB922" s="5" t="n"/>
      <c r="BC922" s="5" t="n"/>
      <c r="BD922" s="5" t="n"/>
      <c r="BE922" s="5" t="n"/>
      <c r="BF922" s="5" t="n"/>
      <c r="BG922" s="5" t="n"/>
      <c r="BH922" s="5" t="n"/>
      <c r="BI922" s="5" t="n"/>
      <c r="BJ922" s="5" t="n"/>
      <c r="BK922" s="5" t="n"/>
      <c r="BL922" s="5" t="n"/>
      <c r="BM922" s="5" t="n"/>
      <c r="BN922" s="5" t="n"/>
      <c r="BO922" s="5" t="n"/>
      <c r="BP922" s="5" t="n"/>
      <c r="BQ922" s="5" t="n"/>
      <c r="BR922" s="5" t="n"/>
      <c r="BS922" s="5" t="n"/>
      <c r="BT922" s="5" t="n"/>
      <c r="BU922" s="5" t="n"/>
      <c r="BV922" s="5" t="n"/>
      <c r="BW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  <c r="AY923" s="5" t="n"/>
      <c r="AZ923" s="5" t="n"/>
      <c r="BA923" s="5" t="n"/>
      <c r="BB923" s="5" t="n"/>
      <c r="BC923" s="5" t="n"/>
      <c r="BD923" s="5" t="n"/>
      <c r="BE923" s="5" t="n"/>
      <c r="BF923" s="5" t="n"/>
      <c r="BG923" s="5" t="n"/>
      <c r="BH923" s="5" t="n"/>
      <c r="BI923" s="5" t="n"/>
      <c r="BJ923" s="5" t="n"/>
      <c r="BK923" s="5" t="n"/>
      <c r="BL923" s="5" t="n"/>
      <c r="BM923" s="5" t="n"/>
      <c r="BN923" s="5" t="n"/>
      <c r="BO923" s="5" t="n"/>
      <c r="BP923" s="5" t="n"/>
      <c r="BQ923" s="5" t="n"/>
      <c r="BR923" s="5" t="n"/>
      <c r="BS923" s="5" t="n"/>
      <c r="BT923" s="5" t="n"/>
      <c r="BU923" s="5" t="n"/>
      <c r="BV923" s="5" t="n"/>
      <c r="BW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  <c r="AY924" s="5" t="n"/>
      <c r="AZ924" s="5" t="n"/>
      <c r="BA924" s="5" t="n"/>
      <c r="BB924" s="5" t="n"/>
      <c r="BC924" s="5" t="n"/>
      <c r="BD924" s="5" t="n"/>
      <c r="BE924" s="5" t="n"/>
      <c r="BF924" s="5" t="n"/>
      <c r="BG924" s="5" t="n"/>
      <c r="BH924" s="5" t="n"/>
      <c r="BI924" s="5" t="n"/>
      <c r="BJ924" s="5" t="n"/>
      <c r="BK924" s="5" t="n"/>
      <c r="BL924" s="5" t="n"/>
      <c r="BM924" s="5" t="n"/>
      <c r="BN924" s="5" t="n"/>
      <c r="BO924" s="5" t="n"/>
      <c r="BP924" s="5" t="n"/>
      <c r="BQ924" s="5" t="n"/>
      <c r="BR924" s="5" t="n"/>
      <c r="BS924" s="5" t="n"/>
      <c r="BT924" s="5" t="n"/>
      <c r="BU924" s="5" t="n"/>
      <c r="BV924" s="5" t="n"/>
      <c r="BW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  <c r="AY925" s="5" t="n"/>
      <c r="AZ925" s="5" t="n"/>
      <c r="BA925" s="5" t="n"/>
      <c r="BB925" s="5" t="n"/>
      <c r="BC925" s="5" t="n"/>
      <c r="BD925" s="5" t="n"/>
      <c r="BE925" s="5" t="n"/>
      <c r="BF925" s="5" t="n"/>
      <c r="BG925" s="5" t="n"/>
      <c r="BH925" s="5" t="n"/>
      <c r="BI925" s="5" t="n"/>
      <c r="BJ925" s="5" t="n"/>
      <c r="BK925" s="5" t="n"/>
      <c r="BL925" s="5" t="n"/>
      <c r="BM925" s="5" t="n"/>
      <c r="BN925" s="5" t="n"/>
      <c r="BO925" s="5" t="n"/>
      <c r="BP925" s="5" t="n"/>
      <c r="BQ925" s="5" t="n"/>
      <c r="BR925" s="5" t="n"/>
      <c r="BS925" s="5" t="n"/>
      <c r="BT925" s="5" t="n"/>
      <c r="BU925" s="5" t="n"/>
      <c r="BV925" s="5" t="n"/>
      <c r="BW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  <c r="AY926" s="5" t="n"/>
      <c r="AZ926" s="5" t="n"/>
      <c r="BA926" s="5" t="n"/>
      <c r="BB926" s="5" t="n"/>
      <c r="BC926" s="5" t="n"/>
      <c r="BD926" s="5" t="n"/>
      <c r="BE926" s="5" t="n"/>
      <c r="BF926" s="5" t="n"/>
      <c r="BG926" s="5" t="n"/>
      <c r="BH926" s="5" t="n"/>
      <c r="BI926" s="5" t="n"/>
      <c r="BJ926" s="5" t="n"/>
      <c r="BK926" s="5" t="n"/>
      <c r="BL926" s="5" t="n"/>
      <c r="BM926" s="5" t="n"/>
      <c r="BN926" s="5" t="n"/>
      <c r="BO926" s="5" t="n"/>
      <c r="BP926" s="5" t="n"/>
      <c r="BQ926" s="5" t="n"/>
      <c r="BR926" s="5" t="n"/>
      <c r="BS926" s="5" t="n"/>
      <c r="BT926" s="5" t="n"/>
      <c r="BU926" s="5" t="n"/>
      <c r="BV926" s="5" t="n"/>
      <c r="BW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  <c r="AY927" s="5" t="n"/>
      <c r="AZ927" s="5" t="n"/>
      <c r="BA927" s="5" t="n"/>
      <c r="BB927" s="5" t="n"/>
      <c r="BC927" s="5" t="n"/>
      <c r="BD927" s="5" t="n"/>
      <c r="BE927" s="5" t="n"/>
      <c r="BF927" s="5" t="n"/>
      <c r="BG927" s="5" t="n"/>
      <c r="BH927" s="5" t="n"/>
      <c r="BI927" s="5" t="n"/>
      <c r="BJ927" s="5" t="n"/>
      <c r="BK927" s="5" t="n"/>
      <c r="BL927" s="5" t="n"/>
      <c r="BM927" s="5" t="n"/>
      <c r="BN927" s="5" t="n"/>
      <c r="BO927" s="5" t="n"/>
      <c r="BP927" s="5" t="n"/>
      <c r="BQ927" s="5" t="n"/>
      <c r="BR927" s="5" t="n"/>
      <c r="BS927" s="5" t="n"/>
      <c r="BT927" s="5" t="n"/>
      <c r="BU927" s="5" t="n"/>
      <c r="BV927" s="5" t="n"/>
      <c r="BW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  <c r="AY928" s="5" t="n"/>
      <c r="AZ928" s="5" t="n"/>
      <c r="BA928" s="5" t="n"/>
      <c r="BB928" s="5" t="n"/>
      <c r="BC928" s="5" t="n"/>
      <c r="BD928" s="5" t="n"/>
      <c r="BE928" s="5" t="n"/>
      <c r="BF928" s="5" t="n"/>
      <c r="BG928" s="5" t="n"/>
      <c r="BH928" s="5" t="n"/>
      <c r="BI928" s="5" t="n"/>
      <c r="BJ928" s="5" t="n"/>
      <c r="BK928" s="5" t="n"/>
      <c r="BL928" s="5" t="n"/>
      <c r="BM928" s="5" t="n"/>
      <c r="BN928" s="5" t="n"/>
      <c r="BO928" s="5" t="n"/>
      <c r="BP928" s="5" t="n"/>
      <c r="BQ928" s="5" t="n"/>
      <c r="BR928" s="5" t="n"/>
      <c r="BS928" s="5" t="n"/>
      <c r="BT928" s="5" t="n"/>
      <c r="BU928" s="5" t="n"/>
      <c r="BV928" s="5" t="n"/>
      <c r="BW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  <c r="AY929" s="5" t="n"/>
      <c r="AZ929" s="5" t="n"/>
      <c r="BA929" s="5" t="n"/>
      <c r="BB929" s="5" t="n"/>
      <c r="BC929" s="5" t="n"/>
      <c r="BD929" s="5" t="n"/>
      <c r="BE929" s="5" t="n"/>
      <c r="BF929" s="5" t="n"/>
      <c r="BG929" s="5" t="n"/>
      <c r="BH929" s="5" t="n"/>
      <c r="BI929" s="5" t="n"/>
      <c r="BJ929" s="5" t="n"/>
      <c r="BK929" s="5" t="n"/>
      <c r="BL929" s="5" t="n"/>
      <c r="BM929" s="5" t="n"/>
      <c r="BN929" s="5" t="n"/>
      <c r="BO929" s="5" t="n"/>
      <c r="BP929" s="5" t="n"/>
      <c r="BQ929" s="5" t="n"/>
      <c r="BR929" s="5" t="n"/>
      <c r="BS929" s="5" t="n"/>
      <c r="BT929" s="5" t="n"/>
      <c r="BU929" s="5" t="n"/>
      <c r="BV929" s="5" t="n"/>
      <c r="BW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  <c r="AY930" s="5" t="n"/>
      <c r="AZ930" s="5" t="n"/>
      <c r="BA930" s="5" t="n"/>
      <c r="BB930" s="5" t="n"/>
      <c r="BC930" s="5" t="n"/>
      <c r="BD930" s="5" t="n"/>
      <c r="BE930" s="5" t="n"/>
      <c r="BF930" s="5" t="n"/>
      <c r="BG930" s="5" t="n"/>
      <c r="BH930" s="5" t="n"/>
      <c r="BI930" s="5" t="n"/>
      <c r="BJ930" s="5" t="n"/>
      <c r="BK930" s="5" t="n"/>
      <c r="BL930" s="5" t="n"/>
      <c r="BM930" s="5" t="n"/>
      <c r="BN930" s="5" t="n"/>
      <c r="BO930" s="5" t="n"/>
      <c r="BP930" s="5" t="n"/>
      <c r="BQ930" s="5" t="n"/>
      <c r="BR930" s="5" t="n"/>
      <c r="BS930" s="5" t="n"/>
      <c r="BT930" s="5" t="n"/>
      <c r="BU930" s="5" t="n"/>
      <c r="BV930" s="5" t="n"/>
      <c r="BW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  <c r="AY931" s="5" t="n"/>
      <c r="AZ931" s="5" t="n"/>
      <c r="BA931" s="5" t="n"/>
      <c r="BB931" s="5" t="n"/>
      <c r="BC931" s="5" t="n"/>
      <c r="BD931" s="5" t="n"/>
      <c r="BE931" s="5" t="n"/>
      <c r="BF931" s="5" t="n"/>
      <c r="BG931" s="5" t="n"/>
      <c r="BH931" s="5" t="n"/>
      <c r="BI931" s="5" t="n"/>
      <c r="BJ931" s="5" t="n"/>
      <c r="BK931" s="5" t="n"/>
      <c r="BL931" s="5" t="n"/>
      <c r="BM931" s="5" t="n"/>
      <c r="BN931" s="5" t="n"/>
      <c r="BO931" s="5" t="n"/>
      <c r="BP931" s="5" t="n"/>
      <c r="BQ931" s="5" t="n"/>
      <c r="BR931" s="5" t="n"/>
      <c r="BS931" s="5" t="n"/>
      <c r="BT931" s="5" t="n"/>
      <c r="BU931" s="5" t="n"/>
      <c r="BV931" s="5" t="n"/>
      <c r="BW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  <c r="AY932" s="5" t="n"/>
      <c r="AZ932" s="5" t="n"/>
      <c r="BA932" s="5" t="n"/>
      <c r="BB932" s="5" t="n"/>
      <c r="BC932" s="5" t="n"/>
      <c r="BD932" s="5" t="n"/>
      <c r="BE932" s="5" t="n"/>
      <c r="BF932" s="5" t="n"/>
      <c r="BG932" s="5" t="n"/>
      <c r="BH932" s="5" t="n"/>
      <c r="BI932" s="5" t="n"/>
      <c r="BJ932" s="5" t="n"/>
      <c r="BK932" s="5" t="n"/>
      <c r="BL932" s="5" t="n"/>
      <c r="BM932" s="5" t="n"/>
      <c r="BN932" s="5" t="n"/>
      <c r="BO932" s="5" t="n"/>
      <c r="BP932" s="5" t="n"/>
      <c r="BQ932" s="5" t="n"/>
      <c r="BR932" s="5" t="n"/>
      <c r="BS932" s="5" t="n"/>
      <c r="BT932" s="5" t="n"/>
      <c r="BU932" s="5" t="n"/>
      <c r="BV932" s="5" t="n"/>
      <c r="BW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  <c r="AY933" s="5" t="n"/>
      <c r="AZ933" s="5" t="n"/>
      <c r="BA933" s="5" t="n"/>
      <c r="BB933" s="5" t="n"/>
      <c r="BC933" s="5" t="n"/>
      <c r="BD933" s="5" t="n"/>
      <c r="BE933" s="5" t="n"/>
      <c r="BF933" s="5" t="n"/>
      <c r="BG933" s="5" t="n"/>
      <c r="BH933" s="5" t="n"/>
      <c r="BI933" s="5" t="n"/>
      <c r="BJ933" s="5" t="n"/>
      <c r="BK933" s="5" t="n"/>
      <c r="BL933" s="5" t="n"/>
      <c r="BM933" s="5" t="n"/>
      <c r="BN933" s="5" t="n"/>
      <c r="BO933" s="5" t="n"/>
      <c r="BP933" s="5" t="n"/>
      <c r="BQ933" s="5" t="n"/>
      <c r="BR933" s="5" t="n"/>
      <c r="BS933" s="5" t="n"/>
      <c r="BT933" s="5" t="n"/>
      <c r="BU933" s="5" t="n"/>
      <c r="BV933" s="5" t="n"/>
      <c r="BW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  <c r="AY934" s="5" t="n"/>
      <c r="AZ934" s="5" t="n"/>
      <c r="BA934" s="5" t="n"/>
      <c r="BB934" s="5" t="n"/>
      <c r="BC934" s="5" t="n"/>
      <c r="BD934" s="5" t="n"/>
      <c r="BE934" s="5" t="n"/>
      <c r="BF934" s="5" t="n"/>
      <c r="BG934" s="5" t="n"/>
      <c r="BH934" s="5" t="n"/>
      <c r="BI934" s="5" t="n"/>
      <c r="BJ934" s="5" t="n"/>
      <c r="BK934" s="5" t="n"/>
      <c r="BL934" s="5" t="n"/>
      <c r="BM934" s="5" t="n"/>
      <c r="BN934" s="5" t="n"/>
      <c r="BO934" s="5" t="n"/>
      <c r="BP934" s="5" t="n"/>
      <c r="BQ934" s="5" t="n"/>
      <c r="BR934" s="5" t="n"/>
      <c r="BS934" s="5" t="n"/>
      <c r="BT934" s="5" t="n"/>
      <c r="BU934" s="5" t="n"/>
      <c r="BV934" s="5" t="n"/>
      <c r="BW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  <c r="AY935" s="5" t="n"/>
      <c r="AZ935" s="5" t="n"/>
      <c r="BA935" s="5" t="n"/>
      <c r="BB935" s="5" t="n"/>
      <c r="BC935" s="5" t="n"/>
      <c r="BD935" s="5" t="n"/>
      <c r="BE935" s="5" t="n"/>
      <c r="BF935" s="5" t="n"/>
      <c r="BG935" s="5" t="n"/>
      <c r="BH935" s="5" t="n"/>
      <c r="BI935" s="5" t="n"/>
      <c r="BJ935" s="5" t="n"/>
      <c r="BK935" s="5" t="n"/>
      <c r="BL935" s="5" t="n"/>
      <c r="BM935" s="5" t="n"/>
      <c r="BN935" s="5" t="n"/>
      <c r="BO935" s="5" t="n"/>
      <c r="BP935" s="5" t="n"/>
      <c r="BQ935" s="5" t="n"/>
      <c r="BR935" s="5" t="n"/>
      <c r="BS935" s="5" t="n"/>
      <c r="BT935" s="5" t="n"/>
      <c r="BU935" s="5" t="n"/>
      <c r="BV935" s="5" t="n"/>
      <c r="BW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  <c r="AY936" s="5" t="n"/>
      <c r="AZ936" s="5" t="n"/>
      <c r="BA936" s="5" t="n"/>
      <c r="BB936" s="5" t="n"/>
      <c r="BC936" s="5" t="n"/>
      <c r="BD936" s="5" t="n"/>
      <c r="BE936" s="5" t="n"/>
      <c r="BF936" s="5" t="n"/>
      <c r="BG936" s="5" t="n"/>
      <c r="BH936" s="5" t="n"/>
      <c r="BI936" s="5" t="n"/>
      <c r="BJ936" s="5" t="n"/>
      <c r="BK936" s="5" t="n"/>
      <c r="BL936" s="5" t="n"/>
      <c r="BM936" s="5" t="n"/>
      <c r="BN936" s="5" t="n"/>
      <c r="BO936" s="5" t="n"/>
      <c r="BP936" s="5" t="n"/>
      <c r="BQ936" s="5" t="n"/>
      <c r="BR936" s="5" t="n"/>
      <c r="BS936" s="5" t="n"/>
      <c r="BT936" s="5" t="n"/>
      <c r="BU936" s="5" t="n"/>
      <c r="BV936" s="5" t="n"/>
      <c r="BW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  <c r="AY937" s="5" t="n"/>
      <c r="AZ937" s="5" t="n"/>
      <c r="BA937" s="5" t="n"/>
      <c r="BB937" s="5" t="n"/>
      <c r="BC937" s="5" t="n"/>
      <c r="BD937" s="5" t="n"/>
      <c r="BE937" s="5" t="n"/>
      <c r="BF937" s="5" t="n"/>
      <c r="BG937" s="5" t="n"/>
      <c r="BH937" s="5" t="n"/>
      <c r="BI937" s="5" t="n"/>
      <c r="BJ937" s="5" t="n"/>
      <c r="BK937" s="5" t="n"/>
      <c r="BL937" s="5" t="n"/>
      <c r="BM937" s="5" t="n"/>
      <c r="BN937" s="5" t="n"/>
      <c r="BO937" s="5" t="n"/>
      <c r="BP937" s="5" t="n"/>
      <c r="BQ937" s="5" t="n"/>
      <c r="BR937" s="5" t="n"/>
      <c r="BS937" s="5" t="n"/>
      <c r="BT937" s="5" t="n"/>
      <c r="BU937" s="5" t="n"/>
      <c r="BV937" s="5" t="n"/>
      <c r="BW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  <c r="AY938" s="5" t="n"/>
      <c r="AZ938" s="5" t="n"/>
      <c r="BA938" s="5" t="n"/>
      <c r="BB938" s="5" t="n"/>
      <c r="BC938" s="5" t="n"/>
      <c r="BD938" s="5" t="n"/>
      <c r="BE938" s="5" t="n"/>
      <c r="BF938" s="5" t="n"/>
      <c r="BG938" s="5" t="n"/>
      <c r="BH938" s="5" t="n"/>
      <c r="BI938" s="5" t="n"/>
      <c r="BJ938" s="5" t="n"/>
      <c r="BK938" s="5" t="n"/>
      <c r="BL938" s="5" t="n"/>
      <c r="BM938" s="5" t="n"/>
      <c r="BN938" s="5" t="n"/>
      <c r="BO938" s="5" t="n"/>
      <c r="BP938" s="5" t="n"/>
      <c r="BQ938" s="5" t="n"/>
      <c r="BR938" s="5" t="n"/>
      <c r="BS938" s="5" t="n"/>
      <c r="BT938" s="5" t="n"/>
      <c r="BU938" s="5" t="n"/>
      <c r="BV938" s="5" t="n"/>
      <c r="BW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  <c r="AY939" s="5" t="n"/>
      <c r="AZ939" s="5" t="n"/>
      <c r="BA939" s="5" t="n"/>
      <c r="BB939" s="5" t="n"/>
      <c r="BC939" s="5" t="n"/>
      <c r="BD939" s="5" t="n"/>
      <c r="BE939" s="5" t="n"/>
      <c r="BF939" s="5" t="n"/>
      <c r="BG939" s="5" t="n"/>
      <c r="BH939" s="5" t="n"/>
      <c r="BI939" s="5" t="n"/>
      <c r="BJ939" s="5" t="n"/>
      <c r="BK939" s="5" t="n"/>
      <c r="BL939" s="5" t="n"/>
      <c r="BM939" s="5" t="n"/>
      <c r="BN939" s="5" t="n"/>
      <c r="BO939" s="5" t="n"/>
      <c r="BP939" s="5" t="n"/>
      <c r="BQ939" s="5" t="n"/>
      <c r="BR939" s="5" t="n"/>
      <c r="BS939" s="5" t="n"/>
      <c r="BT939" s="5" t="n"/>
      <c r="BU939" s="5" t="n"/>
      <c r="BV939" s="5" t="n"/>
      <c r="BW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  <c r="AY940" s="5" t="n"/>
      <c r="AZ940" s="5" t="n"/>
      <c r="BA940" s="5" t="n"/>
      <c r="BB940" s="5" t="n"/>
      <c r="BC940" s="5" t="n"/>
      <c r="BD940" s="5" t="n"/>
      <c r="BE940" s="5" t="n"/>
      <c r="BF940" s="5" t="n"/>
      <c r="BG940" s="5" t="n"/>
      <c r="BH940" s="5" t="n"/>
      <c r="BI940" s="5" t="n"/>
      <c r="BJ940" s="5" t="n"/>
      <c r="BK940" s="5" t="n"/>
      <c r="BL940" s="5" t="n"/>
      <c r="BM940" s="5" t="n"/>
      <c r="BN940" s="5" t="n"/>
      <c r="BO940" s="5" t="n"/>
      <c r="BP940" s="5" t="n"/>
      <c r="BQ940" s="5" t="n"/>
      <c r="BR940" s="5" t="n"/>
      <c r="BS940" s="5" t="n"/>
      <c r="BT940" s="5" t="n"/>
      <c r="BU940" s="5" t="n"/>
      <c r="BV940" s="5" t="n"/>
      <c r="BW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  <c r="AY941" s="5" t="n"/>
      <c r="AZ941" s="5" t="n"/>
      <c r="BA941" s="5" t="n"/>
      <c r="BB941" s="5" t="n"/>
      <c r="BC941" s="5" t="n"/>
      <c r="BD941" s="5" t="n"/>
      <c r="BE941" s="5" t="n"/>
      <c r="BF941" s="5" t="n"/>
      <c r="BG941" s="5" t="n"/>
      <c r="BH941" s="5" t="n"/>
      <c r="BI941" s="5" t="n"/>
      <c r="BJ941" s="5" t="n"/>
      <c r="BK941" s="5" t="n"/>
      <c r="BL941" s="5" t="n"/>
      <c r="BM941" s="5" t="n"/>
      <c r="BN941" s="5" t="n"/>
      <c r="BO941" s="5" t="n"/>
      <c r="BP941" s="5" t="n"/>
      <c r="BQ941" s="5" t="n"/>
      <c r="BR941" s="5" t="n"/>
      <c r="BS941" s="5" t="n"/>
      <c r="BT941" s="5" t="n"/>
      <c r="BU941" s="5" t="n"/>
      <c r="BV941" s="5" t="n"/>
      <c r="BW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  <c r="AY942" s="5" t="n"/>
      <c r="AZ942" s="5" t="n"/>
      <c r="BA942" s="5" t="n"/>
      <c r="BB942" s="5" t="n"/>
      <c r="BC942" s="5" t="n"/>
      <c r="BD942" s="5" t="n"/>
      <c r="BE942" s="5" t="n"/>
      <c r="BF942" s="5" t="n"/>
      <c r="BG942" s="5" t="n"/>
      <c r="BH942" s="5" t="n"/>
      <c r="BI942" s="5" t="n"/>
      <c r="BJ942" s="5" t="n"/>
      <c r="BK942" s="5" t="n"/>
      <c r="BL942" s="5" t="n"/>
      <c r="BM942" s="5" t="n"/>
      <c r="BN942" s="5" t="n"/>
      <c r="BO942" s="5" t="n"/>
      <c r="BP942" s="5" t="n"/>
      <c r="BQ942" s="5" t="n"/>
      <c r="BR942" s="5" t="n"/>
      <c r="BS942" s="5" t="n"/>
      <c r="BT942" s="5" t="n"/>
      <c r="BU942" s="5" t="n"/>
      <c r="BV942" s="5" t="n"/>
      <c r="BW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  <c r="AY943" s="5" t="n"/>
      <c r="AZ943" s="5" t="n"/>
      <c r="BA943" s="5" t="n"/>
      <c r="BB943" s="5" t="n"/>
      <c r="BC943" s="5" t="n"/>
      <c r="BD943" s="5" t="n"/>
      <c r="BE943" s="5" t="n"/>
      <c r="BF943" s="5" t="n"/>
      <c r="BG943" s="5" t="n"/>
      <c r="BH943" s="5" t="n"/>
      <c r="BI943" s="5" t="n"/>
      <c r="BJ943" s="5" t="n"/>
      <c r="BK943" s="5" t="n"/>
      <c r="BL943" s="5" t="n"/>
      <c r="BM943" s="5" t="n"/>
      <c r="BN943" s="5" t="n"/>
      <c r="BO943" s="5" t="n"/>
      <c r="BP943" s="5" t="n"/>
      <c r="BQ943" s="5" t="n"/>
      <c r="BR943" s="5" t="n"/>
      <c r="BS943" s="5" t="n"/>
      <c r="BT943" s="5" t="n"/>
      <c r="BU943" s="5" t="n"/>
      <c r="BV943" s="5" t="n"/>
      <c r="BW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  <c r="AY944" s="5" t="n"/>
      <c r="AZ944" s="5" t="n"/>
      <c r="BA944" s="5" t="n"/>
      <c r="BB944" s="5" t="n"/>
      <c r="BC944" s="5" t="n"/>
      <c r="BD944" s="5" t="n"/>
      <c r="BE944" s="5" t="n"/>
      <c r="BF944" s="5" t="n"/>
      <c r="BG944" s="5" t="n"/>
      <c r="BH944" s="5" t="n"/>
      <c r="BI944" s="5" t="n"/>
      <c r="BJ944" s="5" t="n"/>
      <c r="BK944" s="5" t="n"/>
      <c r="BL944" s="5" t="n"/>
      <c r="BM944" s="5" t="n"/>
      <c r="BN944" s="5" t="n"/>
      <c r="BO944" s="5" t="n"/>
      <c r="BP944" s="5" t="n"/>
      <c r="BQ944" s="5" t="n"/>
      <c r="BR944" s="5" t="n"/>
      <c r="BS944" s="5" t="n"/>
      <c r="BT944" s="5" t="n"/>
      <c r="BU944" s="5" t="n"/>
      <c r="BV944" s="5" t="n"/>
      <c r="BW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  <c r="AY945" s="5" t="n"/>
      <c r="AZ945" s="5" t="n"/>
      <c r="BA945" s="5" t="n"/>
      <c r="BB945" s="5" t="n"/>
      <c r="BC945" s="5" t="n"/>
      <c r="BD945" s="5" t="n"/>
      <c r="BE945" s="5" t="n"/>
      <c r="BF945" s="5" t="n"/>
      <c r="BG945" s="5" t="n"/>
      <c r="BH945" s="5" t="n"/>
      <c r="BI945" s="5" t="n"/>
      <c r="BJ945" s="5" t="n"/>
      <c r="BK945" s="5" t="n"/>
      <c r="BL945" s="5" t="n"/>
      <c r="BM945" s="5" t="n"/>
      <c r="BN945" s="5" t="n"/>
      <c r="BO945" s="5" t="n"/>
      <c r="BP945" s="5" t="n"/>
      <c r="BQ945" s="5" t="n"/>
      <c r="BR945" s="5" t="n"/>
      <c r="BS945" s="5" t="n"/>
      <c r="BT945" s="5" t="n"/>
      <c r="BU945" s="5" t="n"/>
      <c r="BV945" s="5" t="n"/>
      <c r="BW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  <c r="AY946" s="5" t="n"/>
      <c r="AZ946" s="5" t="n"/>
      <c r="BA946" s="5" t="n"/>
      <c r="BB946" s="5" t="n"/>
      <c r="BC946" s="5" t="n"/>
      <c r="BD946" s="5" t="n"/>
      <c r="BE946" s="5" t="n"/>
      <c r="BF946" s="5" t="n"/>
      <c r="BG946" s="5" t="n"/>
      <c r="BH946" s="5" t="n"/>
      <c r="BI946" s="5" t="n"/>
      <c r="BJ946" s="5" t="n"/>
      <c r="BK946" s="5" t="n"/>
      <c r="BL946" s="5" t="n"/>
      <c r="BM946" s="5" t="n"/>
      <c r="BN946" s="5" t="n"/>
      <c r="BO946" s="5" t="n"/>
      <c r="BP946" s="5" t="n"/>
      <c r="BQ946" s="5" t="n"/>
      <c r="BR946" s="5" t="n"/>
      <c r="BS946" s="5" t="n"/>
      <c r="BT946" s="5" t="n"/>
      <c r="BU946" s="5" t="n"/>
      <c r="BV946" s="5" t="n"/>
      <c r="BW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  <c r="AY947" s="5" t="n"/>
      <c r="AZ947" s="5" t="n"/>
      <c r="BA947" s="5" t="n"/>
      <c r="BB947" s="5" t="n"/>
      <c r="BC947" s="5" t="n"/>
      <c r="BD947" s="5" t="n"/>
      <c r="BE947" s="5" t="n"/>
      <c r="BF947" s="5" t="n"/>
      <c r="BG947" s="5" t="n"/>
      <c r="BH947" s="5" t="n"/>
      <c r="BI947" s="5" t="n"/>
      <c r="BJ947" s="5" t="n"/>
      <c r="BK947" s="5" t="n"/>
      <c r="BL947" s="5" t="n"/>
      <c r="BM947" s="5" t="n"/>
      <c r="BN947" s="5" t="n"/>
      <c r="BO947" s="5" t="n"/>
      <c r="BP947" s="5" t="n"/>
      <c r="BQ947" s="5" t="n"/>
      <c r="BR947" s="5" t="n"/>
      <c r="BS947" s="5" t="n"/>
      <c r="BT947" s="5" t="n"/>
      <c r="BU947" s="5" t="n"/>
      <c r="BV947" s="5" t="n"/>
      <c r="BW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  <c r="AY948" s="5" t="n"/>
      <c r="AZ948" s="5" t="n"/>
      <c r="BA948" s="5" t="n"/>
      <c r="BB948" s="5" t="n"/>
      <c r="BC948" s="5" t="n"/>
      <c r="BD948" s="5" t="n"/>
      <c r="BE948" s="5" t="n"/>
      <c r="BF948" s="5" t="n"/>
      <c r="BG948" s="5" t="n"/>
      <c r="BH948" s="5" t="n"/>
      <c r="BI948" s="5" t="n"/>
      <c r="BJ948" s="5" t="n"/>
      <c r="BK948" s="5" t="n"/>
      <c r="BL948" s="5" t="n"/>
      <c r="BM948" s="5" t="n"/>
      <c r="BN948" s="5" t="n"/>
      <c r="BO948" s="5" t="n"/>
      <c r="BP948" s="5" t="n"/>
      <c r="BQ948" s="5" t="n"/>
      <c r="BR948" s="5" t="n"/>
      <c r="BS948" s="5" t="n"/>
      <c r="BT948" s="5" t="n"/>
      <c r="BU948" s="5" t="n"/>
      <c r="BV948" s="5" t="n"/>
      <c r="BW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  <c r="AY949" s="5" t="n"/>
      <c r="AZ949" s="5" t="n"/>
      <c r="BA949" s="5" t="n"/>
      <c r="BB949" s="5" t="n"/>
      <c r="BC949" s="5" t="n"/>
      <c r="BD949" s="5" t="n"/>
      <c r="BE949" s="5" t="n"/>
      <c r="BF949" s="5" t="n"/>
      <c r="BG949" s="5" t="n"/>
      <c r="BH949" s="5" t="n"/>
      <c r="BI949" s="5" t="n"/>
      <c r="BJ949" s="5" t="n"/>
      <c r="BK949" s="5" t="n"/>
      <c r="BL949" s="5" t="n"/>
      <c r="BM949" s="5" t="n"/>
      <c r="BN949" s="5" t="n"/>
      <c r="BO949" s="5" t="n"/>
      <c r="BP949" s="5" t="n"/>
      <c r="BQ949" s="5" t="n"/>
      <c r="BR949" s="5" t="n"/>
      <c r="BS949" s="5" t="n"/>
      <c r="BT949" s="5" t="n"/>
      <c r="BU949" s="5" t="n"/>
      <c r="BV949" s="5" t="n"/>
      <c r="BW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  <c r="AY950" s="5" t="n"/>
      <c r="AZ950" s="5" t="n"/>
      <c r="BA950" s="5" t="n"/>
      <c r="BB950" s="5" t="n"/>
      <c r="BC950" s="5" t="n"/>
      <c r="BD950" s="5" t="n"/>
      <c r="BE950" s="5" t="n"/>
      <c r="BF950" s="5" t="n"/>
      <c r="BG950" s="5" t="n"/>
      <c r="BH950" s="5" t="n"/>
      <c r="BI950" s="5" t="n"/>
      <c r="BJ950" s="5" t="n"/>
      <c r="BK950" s="5" t="n"/>
      <c r="BL950" s="5" t="n"/>
      <c r="BM950" s="5" t="n"/>
      <c r="BN950" s="5" t="n"/>
      <c r="BO950" s="5" t="n"/>
      <c r="BP950" s="5" t="n"/>
      <c r="BQ950" s="5" t="n"/>
      <c r="BR950" s="5" t="n"/>
      <c r="BS950" s="5" t="n"/>
      <c r="BT950" s="5" t="n"/>
      <c r="BU950" s="5" t="n"/>
      <c r="BV950" s="5" t="n"/>
      <c r="BW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  <c r="AY951" s="5" t="n"/>
      <c r="AZ951" s="5" t="n"/>
      <c r="BA951" s="5" t="n"/>
      <c r="BB951" s="5" t="n"/>
      <c r="BC951" s="5" t="n"/>
      <c r="BD951" s="5" t="n"/>
      <c r="BE951" s="5" t="n"/>
      <c r="BF951" s="5" t="n"/>
      <c r="BG951" s="5" t="n"/>
      <c r="BH951" s="5" t="n"/>
      <c r="BI951" s="5" t="n"/>
      <c r="BJ951" s="5" t="n"/>
      <c r="BK951" s="5" t="n"/>
      <c r="BL951" s="5" t="n"/>
      <c r="BM951" s="5" t="n"/>
      <c r="BN951" s="5" t="n"/>
      <c r="BO951" s="5" t="n"/>
      <c r="BP951" s="5" t="n"/>
      <c r="BQ951" s="5" t="n"/>
      <c r="BR951" s="5" t="n"/>
      <c r="BS951" s="5" t="n"/>
      <c r="BT951" s="5" t="n"/>
      <c r="BU951" s="5" t="n"/>
      <c r="BV951" s="5" t="n"/>
      <c r="BW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  <c r="AY952" s="5" t="n"/>
      <c r="AZ952" s="5" t="n"/>
      <c r="BA952" s="5" t="n"/>
      <c r="BB952" s="5" t="n"/>
      <c r="BC952" s="5" t="n"/>
      <c r="BD952" s="5" t="n"/>
      <c r="BE952" s="5" t="n"/>
      <c r="BF952" s="5" t="n"/>
      <c r="BG952" s="5" t="n"/>
      <c r="BH952" s="5" t="n"/>
      <c r="BI952" s="5" t="n"/>
      <c r="BJ952" s="5" t="n"/>
      <c r="BK952" s="5" t="n"/>
      <c r="BL952" s="5" t="n"/>
      <c r="BM952" s="5" t="n"/>
      <c r="BN952" s="5" t="n"/>
      <c r="BO952" s="5" t="n"/>
      <c r="BP952" s="5" t="n"/>
      <c r="BQ952" s="5" t="n"/>
      <c r="BR952" s="5" t="n"/>
      <c r="BS952" s="5" t="n"/>
      <c r="BT952" s="5" t="n"/>
      <c r="BU952" s="5" t="n"/>
      <c r="BV952" s="5" t="n"/>
      <c r="BW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  <c r="AY953" s="5" t="n"/>
      <c r="AZ953" s="5" t="n"/>
      <c r="BA953" s="5" t="n"/>
      <c r="BB953" s="5" t="n"/>
      <c r="BC953" s="5" t="n"/>
      <c r="BD953" s="5" t="n"/>
      <c r="BE953" s="5" t="n"/>
      <c r="BF953" s="5" t="n"/>
      <c r="BG953" s="5" t="n"/>
      <c r="BH953" s="5" t="n"/>
      <c r="BI953" s="5" t="n"/>
      <c r="BJ953" s="5" t="n"/>
      <c r="BK953" s="5" t="n"/>
      <c r="BL953" s="5" t="n"/>
      <c r="BM953" s="5" t="n"/>
      <c r="BN953" s="5" t="n"/>
      <c r="BO953" s="5" t="n"/>
      <c r="BP953" s="5" t="n"/>
      <c r="BQ953" s="5" t="n"/>
      <c r="BR953" s="5" t="n"/>
      <c r="BS953" s="5" t="n"/>
      <c r="BT953" s="5" t="n"/>
      <c r="BU953" s="5" t="n"/>
      <c r="BV953" s="5" t="n"/>
      <c r="BW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  <c r="AY954" s="5" t="n"/>
      <c r="AZ954" s="5" t="n"/>
      <c r="BA954" s="5" t="n"/>
      <c r="BB954" s="5" t="n"/>
      <c r="BC954" s="5" t="n"/>
      <c r="BD954" s="5" t="n"/>
      <c r="BE954" s="5" t="n"/>
      <c r="BF954" s="5" t="n"/>
      <c r="BG954" s="5" t="n"/>
      <c r="BH954" s="5" t="n"/>
      <c r="BI954" s="5" t="n"/>
      <c r="BJ954" s="5" t="n"/>
      <c r="BK954" s="5" t="n"/>
      <c r="BL954" s="5" t="n"/>
      <c r="BM954" s="5" t="n"/>
      <c r="BN954" s="5" t="n"/>
      <c r="BO954" s="5" t="n"/>
      <c r="BP954" s="5" t="n"/>
      <c r="BQ954" s="5" t="n"/>
      <c r="BR954" s="5" t="n"/>
      <c r="BS954" s="5" t="n"/>
      <c r="BT954" s="5" t="n"/>
      <c r="BU954" s="5" t="n"/>
      <c r="BV954" s="5" t="n"/>
      <c r="BW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  <c r="AY955" s="5" t="n"/>
      <c r="AZ955" s="5" t="n"/>
      <c r="BA955" s="5" t="n"/>
      <c r="BB955" s="5" t="n"/>
      <c r="BC955" s="5" t="n"/>
      <c r="BD955" s="5" t="n"/>
      <c r="BE955" s="5" t="n"/>
      <c r="BF955" s="5" t="n"/>
      <c r="BG955" s="5" t="n"/>
      <c r="BH955" s="5" t="n"/>
      <c r="BI955" s="5" t="n"/>
      <c r="BJ955" s="5" t="n"/>
      <c r="BK955" s="5" t="n"/>
      <c r="BL955" s="5" t="n"/>
      <c r="BM955" s="5" t="n"/>
      <c r="BN955" s="5" t="n"/>
      <c r="BO955" s="5" t="n"/>
      <c r="BP955" s="5" t="n"/>
      <c r="BQ955" s="5" t="n"/>
      <c r="BR955" s="5" t="n"/>
      <c r="BS955" s="5" t="n"/>
      <c r="BT955" s="5" t="n"/>
      <c r="BU955" s="5" t="n"/>
      <c r="BV955" s="5" t="n"/>
      <c r="BW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  <c r="AY956" s="5" t="n"/>
      <c r="AZ956" s="5" t="n"/>
      <c r="BA956" s="5" t="n"/>
      <c r="BB956" s="5" t="n"/>
      <c r="BC956" s="5" t="n"/>
      <c r="BD956" s="5" t="n"/>
      <c r="BE956" s="5" t="n"/>
      <c r="BF956" s="5" t="n"/>
      <c r="BG956" s="5" t="n"/>
      <c r="BH956" s="5" t="n"/>
      <c r="BI956" s="5" t="n"/>
      <c r="BJ956" s="5" t="n"/>
      <c r="BK956" s="5" t="n"/>
      <c r="BL956" s="5" t="n"/>
      <c r="BM956" s="5" t="n"/>
      <c r="BN956" s="5" t="n"/>
      <c r="BO956" s="5" t="n"/>
      <c r="BP956" s="5" t="n"/>
      <c r="BQ956" s="5" t="n"/>
      <c r="BR956" s="5" t="n"/>
      <c r="BS956" s="5" t="n"/>
      <c r="BT956" s="5" t="n"/>
      <c r="BU956" s="5" t="n"/>
      <c r="BV956" s="5" t="n"/>
      <c r="BW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  <c r="AY957" s="5" t="n"/>
      <c r="AZ957" s="5" t="n"/>
      <c r="BA957" s="5" t="n"/>
      <c r="BB957" s="5" t="n"/>
      <c r="BC957" s="5" t="n"/>
      <c r="BD957" s="5" t="n"/>
      <c r="BE957" s="5" t="n"/>
      <c r="BF957" s="5" t="n"/>
      <c r="BG957" s="5" t="n"/>
      <c r="BH957" s="5" t="n"/>
      <c r="BI957" s="5" t="n"/>
      <c r="BJ957" s="5" t="n"/>
      <c r="BK957" s="5" t="n"/>
      <c r="BL957" s="5" t="n"/>
      <c r="BM957" s="5" t="n"/>
      <c r="BN957" s="5" t="n"/>
      <c r="BO957" s="5" t="n"/>
      <c r="BP957" s="5" t="n"/>
      <c r="BQ957" s="5" t="n"/>
      <c r="BR957" s="5" t="n"/>
      <c r="BS957" s="5" t="n"/>
      <c r="BT957" s="5" t="n"/>
      <c r="BU957" s="5" t="n"/>
      <c r="BV957" s="5" t="n"/>
      <c r="BW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  <c r="AY958" s="5" t="n"/>
      <c r="AZ958" s="5" t="n"/>
      <c r="BA958" s="5" t="n"/>
      <c r="BB958" s="5" t="n"/>
      <c r="BC958" s="5" t="n"/>
      <c r="BD958" s="5" t="n"/>
      <c r="BE958" s="5" t="n"/>
      <c r="BF958" s="5" t="n"/>
      <c r="BG958" s="5" t="n"/>
      <c r="BH958" s="5" t="n"/>
      <c r="BI958" s="5" t="n"/>
      <c r="BJ958" s="5" t="n"/>
      <c r="BK958" s="5" t="n"/>
      <c r="BL958" s="5" t="n"/>
      <c r="BM958" s="5" t="n"/>
      <c r="BN958" s="5" t="n"/>
      <c r="BO958" s="5" t="n"/>
      <c r="BP958" s="5" t="n"/>
      <c r="BQ958" s="5" t="n"/>
      <c r="BR958" s="5" t="n"/>
      <c r="BS958" s="5" t="n"/>
      <c r="BT958" s="5" t="n"/>
      <c r="BU958" s="5" t="n"/>
      <c r="BV958" s="5" t="n"/>
      <c r="BW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  <c r="AY959" s="5" t="n"/>
      <c r="AZ959" s="5" t="n"/>
      <c r="BA959" s="5" t="n"/>
      <c r="BB959" s="5" t="n"/>
      <c r="BC959" s="5" t="n"/>
      <c r="BD959" s="5" t="n"/>
      <c r="BE959" s="5" t="n"/>
      <c r="BF959" s="5" t="n"/>
      <c r="BG959" s="5" t="n"/>
      <c r="BH959" s="5" t="n"/>
      <c r="BI959" s="5" t="n"/>
      <c r="BJ959" s="5" t="n"/>
      <c r="BK959" s="5" t="n"/>
      <c r="BL959" s="5" t="n"/>
      <c r="BM959" s="5" t="n"/>
      <c r="BN959" s="5" t="n"/>
      <c r="BO959" s="5" t="n"/>
      <c r="BP959" s="5" t="n"/>
      <c r="BQ959" s="5" t="n"/>
      <c r="BR959" s="5" t="n"/>
      <c r="BS959" s="5" t="n"/>
      <c r="BT959" s="5" t="n"/>
      <c r="BU959" s="5" t="n"/>
      <c r="BV959" s="5" t="n"/>
      <c r="BW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  <c r="AY960" s="5" t="n"/>
      <c r="AZ960" s="5" t="n"/>
      <c r="BA960" s="5" t="n"/>
      <c r="BB960" s="5" t="n"/>
      <c r="BC960" s="5" t="n"/>
      <c r="BD960" s="5" t="n"/>
      <c r="BE960" s="5" t="n"/>
      <c r="BF960" s="5" t="n"/>
      <c r="BG960" s="5" t="n"/>
      <c r="BH960" s="5" t="n"/>
      <c r="BI960" s="5" t="n"/>
      <c r="BJ960" s="5" t="n"/>
      <c r="BK960" s="5" t="n"/>
      <c r="BL960" s="5" t="n"/>
      <c r="BM960" s="5" t="n"/>
      <c r="BN960" s="5" t="n"/>
      <c r="BO960" s="5" t="n"/>
      <c r="BP960" s="5" t="n"/>
      <c r="BQ960" s="5" t="n"/>
      <c r="BR960" s="5" t="n"/>
      <c r="BS960" s="5" t="n"/>
      <c r="BT960" s="5" t="n"/>
      <c r="BU960" s="5" t="n"/>
      <c r="BV960" s="5" t="n"/>
      <c r="BW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  <c r="AY961" s="5" t="n"/>
      <c r="AZ961" s="5" t="n"/>
      <c r="BA961" s="5" t="n"/>
      <c r="BB961" s="5" t="n"/>
      <c r="BC961" s="5" t="n"/>
      <c r="BD961" s="5" t="n"/>
      <c r="BE961" s="5" t="n"/>
      <c r="BF961" s="5" t="n"/>
      <c r="BG961" s="5" t="n"/>
      <c r="BH961" s="5" t="n"/>
      <c r="BI961" s="5" t="n"/>
      <c r="BJ961" s="5" t="n"/>
      <c r="BK961" s="5" t="n"/>
      <c r="BL961" s="5" t="n"/>
      <c r="BM961" s="5" t="n"/>
      <c r="BN961" s="5" t="n"/>
      <c r="BO961" s="5" t="n"/>
      <c r="BP961" s="5" t="n"/>
      <c r="BQ961" s="5" t="n"/>
      <c r="BR961" s="5" t="n"/>
      <c r="BS961" s="5" t="n"/>
      <c r="BT961" s="5" t="n"/>
      <c r="BU961" s="5" t="n"/>
      <c r="BV961" s="5" t="n"/>
      <c r="BW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  <c r="AY962" s="5" t="n"/>
      <c r="AZ962" s="5" t="n"/>
      <c r="BA962" s="5" t="n"/>
      <c r="BB962" s="5" t="n"/>
      <c r="BC962" s="5" t="n"/>
      <c r="BD962" s="5" t="n"/>
      <c r="BE962" s="5" t="n"/>
      <c r="BF962" s="5" t="n"/>
      <c r="BG962" s="5" t="n"/>
      <c r="BH962" s="5" t="n"/>
      <c r="BI962" s="5" t="n"/>
      <c r="BJ962" s="5" t="n"/>
      <c r="BK962" s="5" t="n"/>
      <c r="BL962" s="5" t="n"/>
      <c r="BM962" s="5" t="n"/>
      <c r="BN962" s="5" t="n"/>
      <c r="BO962" s="5" t="n"/>
      <c r="BP962" s="5" t="n"/>
      <c r="BQ962" s="5" t="n"/>
      <c r="BR962" s="5" t="n"/>
      <c r="BS962" s="5" t="n"/>
      <c r="BT962" s="5" t="n"/>
      <c r="BU962" s="5" t="n"/>
      <c r="BV962" s="5" t="n"/>
      <c r="BW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  <c r="AY963" s="5" t="n"/>
      <c r="AZ963" s="5" t="n"/>
      <c r="BA963" s="5" t="n"/>
      <c r="BB963" s="5" t="n"/>
      <c r="BC963" s="5" t="n"/>
      <c r="BD963" s="5" t="n"/>
      <c r="BE963" s="5" t="n"/>
      <c r="BF963" s="5" t="n"/>
      <c r="BG963" s="5" t="n"/>
      <c r="BH963" s="5" t="n"/>
      <c r="BI963" s="5" t="n"/>
      <c r="BJ963" s="5" t="n"/>
      <c r="BK963" s="5" t="n"/>
      <c r="BL963" s="5" t="n"/>
      <c r="BM963" s="5" t="n"/>
      <c r="BN963" s="5" t="n"/>
      <c r="BO963" s="5" t="n"/>
      <c r="BP963" s="5" t="n"/>
      <c r="BQ963" s="5" t="n"/>
      <c r="BR963" s="5" t="n"/>
      <c r="BS963" s="5" t="n"/>
      <c r="BT963" s="5" t="n"/>
      <c r="BU963" s="5" t="n"/>
      <c r="BV963" s="5" t="n"/>
      <c r="BW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  <c r="AY964" s="5" t="n"/>
      <c r="AZ964" s="5" t="n"/>
      <c r="BA964" s="5" t="n"/>
      <c r="BB964" s="5" t="n"/>
      <c r="BC964" s="5" t="n"/>
      <c r="BD964" s="5" t="n"/>
      <c r="BE964" s="5" t="n"/>
      <c r="BF964" s="5" t="n"/>
      <c r="BG964" s="5" t="n"/>
      <c r="BH964" s="5" t="n"/>
      <c r="BI964" s="5" t="n"/>
      <c r="BJ964" s="5" t="n"/>
      <c r="BK964" s="5" t="n"/>
      <c r="BL964" s="5" t="n"/>
      <c r="BM964" s="5" t="n"/>
      <c r="BN964" s="5" t="n"/>
      <c r="BO964" s="5" t="n"/>
      <c r="BP964" s="5" t="n"/>
      <c r="BQ964" s="5" t="n"/>
      <c r="BR964" s="5" t="n"/>
      <c r="BS964" s="5" t="n"/>
      <c r="BT964" s="5" t="n"/>
      <c r="BU964" s="5" t="n"/>
      <c r="BV964" s="5" t="n"/>
      <c r="BW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  <c r="AY965" s="5" t="n"/>
      <c r="AZ965" s="5" t="n"/>
      <c r="BA965" s="5" t="n"/>
      <c r="BB965" s="5" t="n"/>
      <c r="BC965" s="5" t="n"/>
      <c r="BD965" s="5" t="n"/>
      <c r="BE965" s="5" t="n"/>
      <c r="BF965" s="5" t="n"/>
      <c r="BG965" s="5" t="n"/>
      <c r="BH965" s="5" t="n"/>
      <c r="BI965" s="5" t="n"/>
      <c r="BJ965" s="5" t="n"/>
      <c r="BK965" s="5" t="n"/>
      <c r="BL965" s="5" t="n"/>
      <c r="BM965" s="5" t="n"/>
      <c r="BN965" s="5" t="n"/>
      <c r="BO965" s="5" t="n"/>
      <c r="BP965" s="5" t="n"/>
      <c r="BQ965" s="5" t="n"/>
      <c r="BR965" s="5" t="n"/>
      <c r="BS965" s="5" t="n"/>
      <c r="BT965" s="5" t="n"/>
      <c r="BU965" s="5" t="n"/>
      <c r="BV965" s="5" t="n"/>
      <c r="BW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  <c r="AY966" s="5" t="n"/>
      <c r="AZ966" s="5" t="n"/>
      <c r="BA966" s="5" t="n"/>
      <c r="BB966" s="5" t="n"/>
      <c r="BC966" s="5" t="n"/>
      <c r="BD966" s="5" t="n"/>
      <c r="BE966" s="5" t="n"/>
      <c r="BF966" s="5" t="n"/>
      <c r="BG966" s="5" t="n"/>
      <c r="BH966" s="5" t="n"/>
      <c r="BI966" s="5" t="n"/>
      <c r="BJ966" s="5" t="n"/>
      <c r="BK966" s="5" t="n"/>
      <c r="BL966" s="5" t="n"/>
      <c r="BM966" s="5" t="n"/>
      <c r="BN966" s="5" t="n"/>
      <c r="BO966" s="5" t="n"/>
      <c r="BP966" s="5" t="n"/>
      <c r="BQ966" s="5" t="n"/>
      <c r="BR966" s="5" t="n"/>
      <c r="BS966" s="5" t="n"/>
      <c r="BT966" s="5" t="n"/>
      <c r="BU966" s="5" t="n"/>
      <c r="BV966" s="5" t="n"/>
      <c r="BW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  <c r="AY967" s="5" t="n"/>
      <c r="AZ967" s="5" t="n"/>
      <c r="BA967" s="5" t="n"/>
      <c r="BB967" s="5" t="n"/>
      <c r="BC967" s="5" t="n"/>
      <c r="BD967" s="5" t="n"/>
      <c r="BE967" s="5" t="n"/>
      <c r="BF967" s="5" t="n"/>
      <c r="BG967" s="5" t="n"/>
      <c r="BH967" s="5" t="n"/>
      <c r="BI967" s="5" t="n"/>
      <c r="BJ967" s="5" t="n"/>
      <c r="BK967" s="5" t="n"/>
      <c r="BL967" s="5" t="n"/>
      <c r="BM967" s="5" t="n"/>
      <c r="BN967" s="5" t="n"/>
      <c r="BO967" s="5" t="n"/>
      <c r="BP967" s="5" t="n"/>
      <c r="BQ967" s="5" t="n"/>
      <c r="BR967" s="5" t="n"/>
      <c r="BS967" s="5" t="n"/>
      <c r="BT967" s="5" t="n"/>
      <c r="BU967" s="5" t="n"/>
      <c r="BV967" s="5" t="n"/>
      <c r="BW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  <c r="AY968" s="5" t="n"/>
      <c r="AZ968" s="5" t="n"/>
      <c r="BA968" s="5" t="n"/>
      <c r="BB968" s="5" t="n"/>
      <c r="BC968" s="5" t="n"/>
      <c r="BD968" s="5" t="n"/>
      <c r="BE968" s="5" t="n"/>
      <c r="BF968" s="5" t="n"/>
      <c r="BG968" s="5" t="n"/>
      <c r="BH968" s="5" t="n"/>
      <c r="BI968" s="5" t="n"/>
      <c r="BJ968" s="5" t="n"/>
      <c r="BK968" s="5" t="n"/>
      <c r="BL968" s="5" t="n"/>
      <c r="BM968" s="5" t="n"/>
      <c r="BN968" s="5" t="n"/>
      <c r="BO968" s="5" t="n"/>
      <c r="BP968" s="5" t="n"/>
      <c r="BQ968" s="5" t="n"/>
      <c r="BR968" s="5" t="n"/>
      <c r="BS968" s="5" t="n"/>
      <c r="BT968" s="5" t="n"/>
      <c r="BU968" s="5" t="n"/>
      <c r="BV968" s="5" t="n"/>
      <c r="BW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  <c r="AY969" s="5" t="n"/>
      <c r="AZ969" s="5" t="n"/>
      <c r="BA969" s="5" t="n"/>
      <c r="BB969" s="5" t="n"/>
      <c r="BC969" s="5" t="n"/>
      <c r="BD969" s="5" t="n"/>
      <c r="BE969" s="5" t="n"/>
      <c r="BF969" s="5" t="n"/>
      <c r="BG969" s="5" t="n"/>
      <c r="BH969" s="5" t="n"/>
      <c r="BI969" s="5" t="n"/>
      <c r="BJ969" s="5" t="n"/>
      <c r="BK969" s="5" t="n"/>
      <c r="BL969" s="5" t="n"/>
      <c r="BM969" s="5" t="n"/>
      <c r="BN969" s="5" t="n"/>
      <c r="BO969" s="5" t="n"/>
      <c r="BP969" s="5" t="n"/>
      <c r="BQ969" s="5" t="n"/>
      <c r="BR969" s="5" t="n"/>
      <c r="BS969" s="5" t="n"/>
      <c r="BT969" s="5" t="n"/>
      <c r="BU969" s="5" t="n"/>
      <c r="BV969" s="5" t="n"/>
      <c r="BW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  <c r="AY970" s="5" t="n"/>
      <c r="AZ970" s="5" t="n"/>
      <c r="BA970" s="5" t="n"/>
      <c r="BB970" s="5" t="n"/>
      <c r="BC970" s="5" t="n"/>
      <c r="BD970" s="5" t="n"/>
      <c r="BE970" s="5" t="n"/>
      <c r="BF970" s="5" t="n"/>
      <c r="BG970" s="5" t="n"/>
      <c r="BH970" s="5" t="n"/>
      <c r="BI970" s="5" t="n"/>
      <c r="BJ970" s="5" t="n"/>
      <c r="BK970" s="5" t="n"/>
      <c r="BL970" s="5" t="n"/>
      <c r="BM970" s="5" t="n"/>
      <c r="BN970" s="5" t="n"/>
      <c r="BO970" s="5" t="n"/>
      <c r="BP970" s="5" t="n"/>
      <c r="BQ970" s="5" t="n"/>
      <c r="BR970" s="5" t="n"/>
      <c r="BS970" s="5" t="n"/>
      <c r="BT970" s="5" t="n"/>
      <c r="BU970" s="5" t="n"/>
      <c r="BV970" s="5" t="n"/>
      <c r="BW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  <c r="AY971" s="5" t="n"/>
      <c r="AZ971" s="5" t="n"/>
      <c r="BA971" s="5" t="n"/>
      <c r="BB971" s="5" t="n"/>
      <c r="BC971" s="5" t="n"/>
      <c r="BD971" s="5" t="n"/>
      <c r="BE971" s="5" t="n"/>
      <c r="BF971" s="5" t="n"/>
      <c r="BG971" s="5" t="n"/>
      <c r="BH971" s="5" t="n"/>
      <c r="BI971" s="5" t="n"/>
      <c r="BJ971" s="5" t="n"/>
      <c r="BK971" s="5" t="n"/>
      <c r="BL971" s="5" t="n"/>
      <c r="BM971" s="5" t="n"/>
      <c r="BN971" s="5" t="n"/>
      <c r="BO971" s="5" t="n"/>
      <c r="BP971" s="5" t="n"/>
      <c r="BQ971" s="5" t="n"/>
      <c r="BR971" s="5" t="n"/>
      <c r="BS971" s="5" t="n"/>
      <c r="BT971" s="5" t="n"/>
      <c r="BU971" s="5" t="n"/>
      <c r="BV971" s="5" t="n"/>
      <c r="BW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  <c r="AY972" s="5" t="n"/>
      <c r="AZ972" s="5" t="n"/>
      <c r="BA972" s="5" t="n"/>
      <c r="BB972" s="5" t="n"/>
      <c r="BC972" s="5" t="n"/>
      <c r="BD972" s="5" t="n"/>
      <c r="BE972" s="5" t="n"/>
      <c r="BF972" s="5" t="n"/>
      <c r="BG972" s="5" t="n"/>
      <c r="BH972" s="5" t="n"/>
      <c r="BI972" s="5" t="n"/>
      <c r="BJ972" s="5" t="n"/>
      <c r="BK972" s="5" t="n"/>
      <c r="BL972" s="5" t="n"/>
      <c r="BM972" s="5" t="n"/>
      <c r="BN972" s="5" t="n"/>
      <c r="BO972" s="5" t="n"/>
      <c r="BP972" s="5" t="n"/>
      <c r="BQ972" s="5" t="n"/>
      <c r="BR972" s="5" t="n"/>
      <c r="BS972" s="5" t="n"/>
      <c r="BT972" s="5" t="n"/>
      <c r="BU972" s="5" t="n"/>
      <c r="BV972" s="5" t="n"/>
      <c r="BW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  <c r="AY973" s="5" t="n"/>
      <c r="AZ973" s="5" t="n"/>
      <c r="BA973" s="5" t="n"/>
      <c r="BB973" s="5" t="n"/>
      <c r="BC973" s="5" t="n"/>
      <c r="BD973" s="5" t="n"/>
      <c r="BE973" s="5" t="n"/>
      <c r="BF973" s="5" t="n"/>
      <c r="BG973" s="5" t="n"/>
      <c r="BH973" s="5" t="n"/>
      <c r="BI973" s="5" t="n"/>
      <c r="BJ973" s="5" t="n"/>
      <c r="BK973" s="5" t="n"/>
      <c r="BL973" s="5" t="n"/>
      <c r="BM973" s="5" t="n"/>
      <c r="BN973" s="5" t="n"/>
      <c r="BO973" s="5" t="n"/>
      <c r="BP973" s="5" t="n"/>
      <c r="BQ973" s="5" t="n"/>
      <c r="BR973" s="5" t="n"/>
      <c r="BS973" s="5" t="n"/>
      <c r="BT973" s="5" t="n"/>
      <c r="BU973" s="5" t="n"/>
      <c r="BV973" s="5" t="n"/>
      <c r="BW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  <c r="AY974" s="5" t="n"/>
      <c r="AZ974" s="5" t="n"/>
      <c r="BA974" s="5" t="n"/>
      <c r="BB974" s="5" t="n"/>
      <c r="BC974" s="5" t="n"/>
      <c r="BD974" s="5" t="n"/>
      <c r="BE974" s="5" t="n"/>
      <c r="BF974" s="5" t="n"/>
      <c r="BG974" s="5" t="n"/>
      <c r="BH974" s="5" t="n"/>
      <c r="BI974" s="5" t="n"/>
      <c r="BJ974" s="5" t="n"/>
      <c r="BK974" s="5" t="n"/>
      <c r="BL974" s="5" t="n"/>
      <c r="BM974" s="5" t="n"/>
      <c r="BN974" s="5" t="n"/>
      <c r="BO974" s="5" t="n"/>
      <c r="BP974" s="5" t="n"/>
      <c r="BQ974" s="5" t="n"/>
      <c r="BR974" s="5" t="n"/>
      <c r="BS974" s="5" t="n"/>
      <c r="BT974" s="5" t="n"/>
      <c r="BU974" s="5" t="n"/>
      <c r="BV974" s="5" t="n"/>
      <c r="BW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  <c r="AY975" s="5" t="n"/>
      <c r="AZ975" s="5" t="n"/>
      <c r="BA975" s="5" t="n"/>
      <c r="BB975" s="5" t="n"/>
      <c r="BC975" s="5" t="n"/>
      <c r="BD975" s="5" t="n"/>
      <c r="BE975" s="5" t="n"/>
      <c r="BF975" s="5" t="n"/>
      <c r="BG975" s="5" t="n"/>
      <c r="BH975" s="5" t="n"/>
      <c r="BI975" s="5" t="n"/>
      <c r="BJ975" s="5" t="n"/>
      <c r="BK975" s="5" t="n"/>
      <c r="BL975" s="5" t="n"/>
      <c r="BM975" s="5" t="n"/>
      <c r="BN975" s="5" t="n"/>
      <c r="BO975" s="5" t="n"/>
      <c r="BP975" s="5" t="n"/>
      <c r="BQ975" s="5" t="n"/>
      <c r="BR975" s="5" t="n"/>
      <c r="BS975" s="5" t="n"/>
      <c r="BT975" s="5" t="n"/>
      <c r="BU975" s="5" t="n"/>
      <c r="BV975" s="5" t="n"/>
      <c r="BW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  <c r="AY976" s="5" t="n"/>
      <c r="AZ976" s="5" t="n"/>
      <c r="BA976" s="5" t="n"/>
      <c r="BB976" s="5" t="n"/>
      <c r="BC976" s="5" t="n"/>
      <c r="BD976" s="5" t="n"/>
      <c r="BE976" s="5" t="n"/>
      <c r="BF976" s="5" t="n"/>
      <c r="BG976" s="5" t="n"/>
      <c r="BH976" s="5" t="n"/>
      <c r="BI976" s="5" t="n"/>
      <c r="BJ976" s="5" t="n"/>
      <c r="BK976" s="5" t="n"/>
      <c r="BL976" s="5" t="n"/>
      <c r="BM976" s="5" t="n"/>
      <c r="BN976" s="5" t="n"/>
      <c r="BO976" s="5" t="n"/>
      <c r="BP976" s="5" t="n"/>
      <c r="BQ976" s="5" t="n"/>
      <c r="BR976" s="5" t="n"/>
      <c r="BS976" s="5" t="n"/>
      <c r="BT976" s="5" t="n"/>
      <c r="BU976" s="5" t="n"/>
      <c r="BV976" s="5" t="n"/>
      <c r="BW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5" t="n"/>
      <c r="AZ977" s="5" t="n"/>
      <c r="BA977" s="5" t="n"/>
      <c r="BB977" s="5" t="n"/>
      <c r="BC977" s="5" t="n"/>
      <c r="BD977" s="5" t="n"/>
      <c r="BE977" s="5" t="n"/>
      <c r="BF977" s="5" t="n"/>
      <c r="BG977" s="5" t="n"/>
      <c r="BH977" s="5" t="n"/>
      <c r="BI977" s="5" t="n"/>
      <c r="BJ977" s="5" t="n"/>
      <c r="BK977" s="5" t="n"/>
      <c r="BL977" s="5" t="n"/>
      <c r="BM977" s="5" t="n"/>
      <c r="BN977" s="5" t="n"/>
      <c r="BO977" s="5" t="n"/>
      <c r="BP977" s="5" t="n"/>
      <c r="BQ977" s="5" t="n"/>
      <c r="BR977" s="5" t="n"/>
      <c r="BS977" s="5" t="n"/>
      <c r="BT977" s="5" t="n"/>
      <c r="BU977" s="5" t="n"/>
      <c r="BV977" s="5" t="n"/>
      <c r="BW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5" t="n"/>
      <c r="AZ978" s="5" t="n"/>
      <c r="BA978" s="5" t="n"/>
      <c r="BB978" s="5" t="n"/>
      <c r="BC978" s="5" t="n"/>
      <c r="BD978" s="5" t="n"/>
      <c r="BE978" s="5" t="n"/>
      <c r="BF978" s="5" t="n"/>
      <c r="BG978" s="5" t="n"/>
      <c r="BH978" s="5" t="n"/>
      <c r="BI978" s="5" t="n"/>
      <c r="BJ978" s="5" t="n"/>
      <c r="BK978" s="5" t="n"/>
      <c r="BL978" s="5" t="n"/>
      <c r="BM978" s="5" t="n"/>
      <c r="BN978" s="5" t="n"/>
      <c r="BO978" s="5" t="n"/>
      <c r="BP978" s="5" t="n"/>
      <c r="BQ978" s="5" t="n"/>
      <c r="BR978" s="5" t="n"/>
      <c r="BS978" s="5" t="n"/>
      <c r="BT978" s="5" t="n"/>
      <c r="BU978" s="5" t="n"/>
      <c r="BV978" s="5" t="n"/>
      <c r="BW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5" t="n"/>
      <c r="AZ979" s="5" t="n"/>
      <c r="BA979" s="5" t="n"/>
      <c r="BB979" s="5" t="n"/>
      <c r="BC979" s="5" t="n"/>
      <c r="BD979" s="5" t="n"/>
      <c r="BE979" s="5" t="n"/>
      <c r="BF979" s="5" t="n"/>
      <c r="BG979" s="5" t="n"/>
      <c r="BH979" s="5" t="n"/>
      <c r="BI979" s="5" t="n"/>
      <c r="BJ979" s="5" t="n"/>
      <c r="BK979" s="5" t="n"/>
      <c r="BL979" s="5" t="n"/>
      <c r="BM979" s="5" t="n"/>
      <c r="BN979" s="5" t="n"/>
      <c r="BO979" s="5" t="n"/>
      <c r="BP979" s="5" t="n"/>
      <c r="BQ979" s="5" t="n"/>
      <c r="BR979" s="5" t="n"/>
      <c r="BS979" s="5" t="n"/>
      <c r="BT979" s="5" t="n"/>
      <c r="BU979" s="5" t="n"/>
      <c r="BV979" s="5" t="n"/>
      <c r="BW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  <c r="AY980" s="5" t="n"/>
      <c r="AZ980" s="5" t="n"/>
      <c r="BA980" s="5" t="n"/>
      <c r="BB980" s="5" t="n"/>
      <c r="BC980" s="5" t="n"/>
      <c r="BD980" s="5" t="n"/>
      <c r="BE980" s="5" t="n"/>
      <c r="BF980" s="5" t="n"/>
      <c r="BG980" s="5" t="n"/>
      <c r="BH980" s="5" t="n"/>
      <c r="BI980" s="5" t="n"/>
      <c r="BJ980" s="5" t="n"/>
      <c r="BK980" s="5" t="n"/>
      <c r="BL980" s="5" t="n"/>
      <c r="BM980" s="5" t="n"/>
      <c r="BN980" s="5" t="n"/>
      <c r="BO980" s="5" t="n"/>
      <c r="BP980" s="5" t="n"/>
      <c r="BQ980" s="5" t="n"/>
      <c r="BR980" s="5" t="n"/>
      <c r="BS980" s="5" t="n"/>
      <c r="BT980" s="5" t="n"/>
      <c r="BU980" s="5" t="n"/>
      <c r="BV980" s="5" t="n"/>
      <c r="BW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  <c r="AY981" s="5" t="n"/>
      <c r="AZ981" s="5" t="n"/>
      <c r="BA981" s="5" t="n"/>
      <c r="BB981" s="5" t="n"/>
      <c r="BC981" s="5" t="n"/>
      <c r="BD981" s="5" t="n"/>
      <c r="BE981" s="5" t="n"/>
      <c r="BF981" s="5" t="n"/>
      <c r="BG981" s="5" t="n"/>
      <c r="BH981" s="5" t="n"/>
      <c r="BI981" s="5" t="n"/>
      <c r="BJ981" s="5" t="n"/>
      <c r="BK981" s="5" t="n"/>
      <c r="BL981" s="5" t="n"/>
      <c r="BM981" s="5" t="n"/>
      <c r="BN981" s="5" t="n"/>
      <c r="BO981" s="5" t="n"/>
      <c r="BP981" s="5" t="n"/>
      <c r="BQ981" s="5" t="n"/>
      <c r="BR981" s="5" t="n"/>
      <c r="BS981" s="5" t="n"/>
      <c r="BT981" s="5" t="n"/>
      <c r="BU981" s="5" t="n"/>
      <c r="BV981" s="5" t="n"/>
      <c r="BW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  <c r="AY982" s="5" t="n"/>
      <c r="AZ982" s="5" t="n"/>
      <c r="BA982" s="5" t="n"/>
      <c r="BB982" s="5" t="n"/>
      <c r="BC982" s="5" t="n"/>
      <c r="BD982" s="5" t="n"/>
      <c r="BE982" s="5" t="n"/>
      <c r="BF982" s="5" t="n"/>
      <c r="BG982" s="5" t="n"/>
      <c r="BH982" s="5" t="n"/>
      <c r="BI982" s="5" t="n"/>
      <c r="BJ982" s="5" t="n"/>
      <c r="BK982" s="5" t="n"/>
      <c r="BL982" s="5" t="n"/>
      <c r="BM982" s="5" t="n"/>
      <c r="BN982" s="5" t="n"/>
      <c r="BO982" s="5" t="n"/>
      <c r="BP982" s="5" t="n"/>
      <c r="BQ982" s="5" t="n"/>
      <c r="BR982" s="5" t="n"/>
      <c r="BS982" s="5" t="n"/>
      <c r="BT982" s="5" t="n"/>
      <c r="BU982" s="5" t="n"/>
      <c r="BV982" s="5" t="n"/>
      <c r="BW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  <c r="AY983" s="5" t="n"/>
      <c r="AZ983" s="5" t="n"/>
      <c r="BA983" s="5" t="n"/>
      <c r="BB983" s="5" t="n"/>
      <c r="BC983" s="5" t="n"/>
      <c r="BD983" s="5" t="n"/>
      <c r="BE983" s="5" t="n"/>
      <c r="BF983" s="5" t="n"/>
      <c r="BG983" s="5" t="n"/>
      <c r="BH983" s="5" t="n"/>
      <c r="BI983" s="5" t="n"/>
      <c r="BJ983" s="5" t="n"/>
      <c r="BK983" s="5" t="n"/>
      <c r="BL983" s="5" t="n"/>
      <c r="BM983" s="5" t="n"/>
      <c r="BN983" s="5" t="n"/>
      <c r="BO983" s="5" t="n"/>
      <c r="BP983" s="5" t="n"/>
      <c r="BQ983" s="5" t="n"/>
      <c r="BR983" s="5" t="n"/>
      <c r="BS983" s="5" t="n"/>
      <c r="BT983" s="5" t="n"/>
      <c r="BU983" s="5" t="n"/>
      <c r="BV983" s="5" t="n"/>
      <c r="BW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  <c r="AY984" s="5" t="n"/>
      <c r="AZ984" s="5" t="n"/>
      <c r="BA984" s="5" t="n"/>
      <c r="BB984" s="5" t="n"/>
      <c r="BC984" s="5" t="n"/>
      <c r="BD984" s="5" t="n"/>
      <c r="BE984" s="5" t="n"/>
      <c r="BF984" s="5" t="n"/>
      <c r="BG984" s="5" t="n"/>
      <c r="BH984" s="5" t="n"/>
      <c r="BI984" s="5" t="n"/>
      <c r="BJ984" s="5" t="n"/>
      <c r="BK984" s="5" t="n"/>
      <c r="BL984" s="5" t="n"/>
      <c r="BM984" s="5" t="n"/>
      <c r="BN984" s="5" t="n"/>
      <c r="BO984" s="5" t="n"/>
      <c r="BP984" s="5" t="n"/>
      <c r="BQ984" s="5" t="n"/>
      <c r="BR984" s="5" t="n"/>
      <c r="BS984" s="5" t="n"/>
      <c r="BT984" s="5" t="n"/>
      <c r="BU984" s="5" t="n"/>
      <c r="BV984" s="5" t="n"/>
      <c r="BW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  <c r="AY985" s="5" t="n"/>
      <c r="AZ985" s="5" t="n"/>
      <c r="BA985" s="5" t="n"/>
      <c r="BB985" s="5" t="n"/>
      <c r="BC985" s="5" t="n"/>
      <c r="BD985" s="5" t="n"/>
      <c r="BE985" s="5" t="n"/>
      <c r="BF985" s="5" t="n"/>
      <c r="BG985" s="5" t="n"/>
      <c r="BH985" s="5" t="n"/>
      <c r="BI985" s="5" t="n"/>
      <c r="BJ985" s="5" t="n"/>
      <c r="BK985" s="5" t="n"/>
      <c r="BL985" s="5" t="n"/>
      <c r="BM985" s="5" t="n"/>
      <c r="BN985" s="5" t="n"/>
      <c r="BO985" s="5" t="n"/>
      <c r="BP985" s="5" t="n"/>
      <c r="BQ985" s="5" t="n"/>
      <c r="BR985" s="5" t="n"/>
      <c r="BS985" s="5" t="n"/>
      <c r="BT985" s="5" t="n"/>
      <c r="BU985" s="5" t="n"/>
      <c r="BV985" s="5" t="n"/>
      <c r="BW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  <c r="AY986" s="5" t="n"/>
      <c r="AZ986" s="5" t="n"/>
      <c r="BA986" s="5" t="n"/>
      <c r="BB986" s="5" t="n"/>
      <c r="BC986" s="5" t="n"/>
      <c r="BD986" s="5" t="n"/>
      <c r="BE986" s="5" t="n"/>
      <c r="BF986" s="5" t="n"/>
      <c r="BG986" s="5" t="n"/>
      <c r="BH986" s="5" t="n"/>
      <c r="BI986" s="5" t="n"/>
      <c r="BJ986" s="5" t="n"/>
      <c r="BK986" s="5" t="n"/>
      <c r="BL986" s="5" t="n"/>
      <c r="BM986" s="5" t="n"/>
      <c r="BN986" s="5" t="n"/>
      <c r="BO986" s="5" t="n"/>
      <c r="BP986" s="5" t="n"/>
      <c r="BQ986" s="5" t="n"/>
      <c r="BR986" s="5" t="n"/>
      <c r="BS986" s="5" t="n"/>
      <c r="BT986" s="5" t="n"/>
      <c r="BU986" s="5" t="n"/>
      <c r="BV986" s="5" t="n"/>
      <c r="BW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  <c r="AY987" s="5" t="n"/>
      <c r="AZ987" s="5" t="n"/>
      <c r="BA987" s="5" t="n"/>
      <c r="BB987" s="5" t="n"/>
      <c r="BC987" s="5" t="n"/>
      <c r="BD987" s="5" t="n"/>
      <c r="BE987" s="5" t="n"/>
      <c r="BF987" s="5" t="n"/>
      <c r="BG987" s="5" t="n"/>
      <c r="BH987" s="5" t="n"/>
      <c r="BI987" s="5" t="n"/>
      <c r="BJ987" s="5" t="n"/>
      <c r="BK987" s="5" t="n"/>
      <c r="BL987" s="5" t="n"/>
      <c r="BM987" s="5" t="n"/>
      <c r="BN987" s="5" t="n"/>
      <c r="BO987" s="5" t="n"/>
      <c r="BP987" s="5" t="n"/>
      <c r="BQ987" s="5" t="n"/>
      <c r="BR987" s="5" t="n"/>
      <c r="BS987" s="5" t="n"/>
      <c r="BT987" s="5" t="n"/>
      <c r="BU987" s="5" t="n"/>
      <c r="BV987" s="5" t="n"/>
      <c r="BW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  <c r="AY988" s="5" t="n"/>
      <c r="AZ988" s="5" t="n"/>
      <c r="BA988" s="5" t="n"/>
      <c r="BB988" s="5" t="n"/>
      <c r="BC988" s="5" t="n"/>
      <c r="BD988" s="5" t="n"/>
      <c r="BE988" s="5" t="n"/>
      <c r="BF988" s="5" t="n"/>
      <c r="BG988" s="5" t="n"/>
      <c r="BH988" s="5" t="n"/>
      <c r="BI988" s="5" t="n"/>
      <c r="BJ988" s="5" t="n"/>
      <c r="BK988" s="5" t="n"/>
      <c r="BL988" s="5" t="n"/>
      <c r="BM988" s="5" t="n"/>
      <c r="BN988" s="5" t="n"/>
      <c r="BO988" s="5" t="n"/>
      <c r="BP988" s="5" t="n"/>
      <c r="BQ988" s="5" t="n"/>
      <c r="BR988" s="5" t="n"/>
      <c r="BS988" s="5" t="n"/>
      <c r="BT988" s="5" t="n"/>
      <c r="BU988" s="5" t="n"/>
      <c r="BV988" s="5" t="n"/>
      <c r="BW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  <c r="AY989" s="5" t="n"/>
      <c r="AZ989" s="5" t="n"/>
      <c r="BA989" s="5" t="n"/>
      <c r="BB989" s="5" t="n"/>
      <c r="BC989" s="5" t="n"/>
      <c r="BD989" s="5" t="n"/>
      <c r="BE989" s="5" t="n"/>
      <c r="BF989" s="5" t="n"/>
      <c r="BG989" s="5" t="n"/>
      <c r="BH989" s="5" t="n"/>
      <c r="BI989" s="5" t="n"/>
      <c r="BJ989" s="5" t="n"/>
      <c r="BK989" s="5" t="n"/>
      <c r="BL989" s="5" t="n"/>
      <c r="BM989" s="5" t="n"/>
      <c r="BN989" s="5" t="n"/>
      <c r="BO989" s="5" t="n"/>
      <c r="BP989" s="5" t="n"/>
      <c r="BQ989" s="5" t="n"/>
      <c r="BR989" s="5" t="n"/>
      <c r="BS989" s="5" t="n"/>
      <c r="BT989" s="5" t="n"/>
      <c r="BU989" s="5" t="n"/>
      <c r="BV989" s="5" t="n"/>
      <c r="BW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  <c r="AY990" s="5" t="n"/>
      <c r="AZ990" s="5" t="n"/>
      <c r="BA990" s="5" t="n"/>
      <c r="BB990" s="5" t="n"/>
      <c r="BC990" s="5" t="n"/>
      <c r="BD990" s="5" t="n"/>
      <c r="BE990" s="5" t="n"/>
      <c r="BF990" s="5" t="n"/>
      <c r="BG990" s="5" t="n"/>
      <c r="BH990" s="5" t="n"/>
      <c r="BI990" s="5" t="n"/>
      <c r="BJ990" s="5" t="n"/>
      <c r="BK990" s="5" t="n"/>
      <c r="BL990" s="5" t="n"/>
      <c r="BM990" s="5" t="n"/>
      <c r="BN990" s="5" t="n"/>
      <c r="BO990" s="5" t="n"/>
      <c r="BP990" s="5" t="n"/>
      <c r="BQ990" s="5" t="n"/>
      <c r="BR990" s="5" t="n"/>
      <c r="BS990" s="5" t="n"/>
      <c r="BT990" s="5" t="n"/>
      <c r="BU990" s="5" t="n"/>
      <c r="BV990" s="5" t="n"/>
      <c r="BW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  <c r="AY991" s="5" t="n"/>
      <c r="AZ991" s="5" t="n"/>
      <c r="BA991" s="5" t="n"/>
      <c r="BB991" s="5" t="n"/>
      <c r="BC991" s="5" t="n"/>
      <c r="BD991" s="5" t="n"/>
      <c r="BE991" s="5" t="n"/>
      <c r="BF991" s="5" t="n"/>
      <c r="BG991" s="5" t="n"/>
      <c r="BH991" s="5" t="n"/>
      <c r="BI991" s="5" t="n"/>
      <c r="BJ991" s="5" t="n"/>
      <c r="BK991" s="5" t="n"/>
      <c r="BL991" s="5" t="n"/>
      <c r="BM991" s="5" t="n"/>
      <c r="BN991" s="5" t="n"/>
      <c r="BO991" s="5" t="n"/>
      <c r="BP991" s="5" t="n"/>
      <c r="BQ991" s="5" t="n"/>
      <c r="BR991" s="5" t="n"/>
      <c r="BS991" s="5" t="n"/>
      <c r="BT991" s="5" t="n"/>
      <c r="BU991" s="5" t="n"/>
      <c r="BV991" s="5" t="n"/>
      <c r="BW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  <c r="AY992" s="5" t="n"/>
      <c r="AZ992" s="5" t="n"/>
      <c r="BA992" s="5" t="n"/>
      <c r="BB992" s="5" t="n"/>
      <c r="BC992" s="5" t="n"/>
      <c r="BD992" s="5" t="n"/>
      <c r="BE992" s="5" t="n"/>
      <c r="BF992" s="5" t="n"/>
      <c r="BG992" s="5" t="n"/>
      <c r="BH992" s="5" t="n"/>
      <c r="BI992" s="5" t="n"/>
      <c r="BJ992" s="5" t="n"/>
      <c r="BK992" s="5" t="n"/>
      <c r="BL992" s="5" t="n"/>
      <c r="BM992" s="5" t="n"/>
      <c r="BN992" s="5" t="n"/>
      <c r="BO992" s="5" t="n"/>
      <c r="BP992" s="5" t="n"/>
      <c r="BQ992" s="5" t="n"/>
      <c r="BR992" s="5" t="n"/>
      <c r="BS992" s="5" t="n"/>
      <c r="BT992" s="5" t="n"/>
      <c r="BU992" s="5" t="n"/>
      <c r="BV992" s="5" t="n"/>
      <c r="BW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  <c r="AY993" s="5" t="n"/>
      <c r="AZ993" s="5" t="n"/>
      <c r="BA993" s="5" t="n"/>
      <c r="BB993" s="5" t="n"/>
      <c r="BC993" s="5" t="n"/>
      <c r="BD993" s="5" t="n"/>
      <c r="BE993" s="5" t="n"/>
      <c r="BF993" s="5" t="n"/>
      <c r="BG993" s="5" t="n"/>
      <c r="BH993" s="5" t="n"/>
      <c r="BI993" s="5" t="n"/>
      <c r="BJ993" s="5" t="n"/>
      <c r="BK993" s="5" t="n"/>
      <c r="BL993" s="5" t="n"/>
      <c r="BM993" s="5" t="n"/>
      <c r="BN993" s="5" t="n"/>
      <c r="BO993" s="5" t="n"/>
      <c r="BP993" s="5" t="n"/>
      <c r="BQ993" s="5" t="n"/>
      <c r="BR993" s="5" t="n"/>
      <c r="BS993" s="5" t="n"/>
      <c r="BT993" s="5" t="n"/>
      <c r="BU993" s="5" t="n"/>
      <c r="BV993" s="5" t="n"/>
      <c r="BW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  <c r="AY994" s="5" t="n"/>
      <c r="AZ994" s="5" t="n"/>
      <c r="BA994" s="5" t="n"/>
      <c r="BB994" s="5" t="n"/>
      <c r="BC994" s="5" t="n"/>
      <c r="BD994" s="5" t="n"/>
      <c r="BE994" s="5" t="n"/>
      <c r="BF994" s="5" t="n"/>
      <c r="BG994" s="5" t="n"/>
      <c r="BH994" s="5" t="n"/>
      <c r="BI994" s="5" t="n"/>
      <c r="BJ994" s="5" t="n"/>
      <c r="BK994" s="5" t="n"/>
      <c r="BL994" s="5" t="n"/>
      <c r="BM994" s="5" t="n"/>
      <c r="BN994" s="5" t="n"/>
      <c r="BO994" s="5" t="n"/>
      <c r="BP994" s="5" t="n"/>
      <c r="BQ994" s="5" t="n"/>
      <c r="BR994" s="5" t="n"/>
      <c r="BS994" s="5" t="n"/>
      <c r="BT994" s="5" t="n"/>
      <c r="BU994" s="5" t="n"/>
      <c r="BV994" s="5" t="n"/>
      <c r="BW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  <c r="AY995" s="5" t="n"/>
      <c r="AZ995" s="5" t="n"/>
      <c r="BA995" s="5" t="n"/>
      <c r="BB995" s="5" t="n"/>
      <c r="BC995" s="5" t="n"/>
      <c r="BD995" s="5" t="n"/>
      <c r="BE995" s="5" t="n"/>
      <c r="BF995" s="5" t="n"/>
      <c r="BG995" s="5" t="n"/>
      <c r="BH995" s="5" t="n"/>
      <c r="BI995" s="5" t="n"/>
      <c r="BJ995" s="5" t="n"/>
      <c r="BK995" s="5" t="n"/>
      <c r="BL995" s="5" t="n"/>
      <c r="BM995" s="5" t="n"/>
      <c r="BN995" s="5" t="n"/>
      <c r="BO995" s="5" t="n"/>
      <c r="BP995" s="5" t="n"/>
      <c r="BQ995" s="5" t="n"/>
      <c r="BR995" s="5" t="n"/>
      <c r="BS995" s="5" t="n"/>
      <c r="BT995" s="5" t="n"/>
      <c r="BU995" s="5" t="n"/>
      <c r="BV995" s="5" t="n"/>
      <c r="BW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  <c r="AY996" s="5" t="n"/>
      <c r="AZ996" s="5" t="n"/>
      <c r="BA996" s="5" t="n"/>
      <c r="BB996" s="5" t="n"/>
      <c r="BC996" s="5" t="n"/>
      <c r="BD996" s="5" t="n"/>
      <c r="BE996" s="5" t="n"/>
      <c r="BF996" s="5" t="n"/>
      <c r="BG996" s="5" t="n"/>
      <c r="BH996" s="5" t="n"/>
      <c r="BI996" s="5" t="n"/>
      <c r="BJ996" s="5" t="n"/>
      <c r="BK996" s="5" t="n"/>
      <c r="BL996" s="5" t="n"/>
      <c r="BM996" s="5" t="n"/>
      <c r="BN996" s="5" t="n"/>
      <c r="BO996" s="5" t="n"/>
      <c r="BP996" s="5" t="n"/>
      <c r="BQ996" s="5" t="n"/>
      <c r="BR996" s="5" t="n"/>
      <c r="BS996" s="5" t="n"/>
      <c r="BT996" s="5" t="n"/>
      <c r="BU996" s="5" t="n"/>
      <c r="BV996" s="5" t="n"/>
      <c r="BW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  <c r="AY997" s="5" t="n"/>
      <c r="AZ997" s="5" t="n"/>
      <c r="BA997" s="5" t="n"/>
      <c r="BB997" s="5" t="n"/>
      <c r="BC997" s="5" t="n"/>
      <c r="BD997" s="5" t="n"/>
      <c r="BE997" s="5" t="n"/>
      <c r="BF997" s="5" t="n"/>
      <c r="BG997" s="5" t="n"/>
      <c r="BH997" s="5" t="n"/>
      <c r="BI997" s="5" t="n"/>
      <c r="BJ997" s="5" t="n"/>
      <c r="BK997" s="5" t="n"/>
      <c r="BL997" s="5" t="n"/>
      <c r="BM997" s="5" t="n"/>
      <c r="BN997" s="5" t="n"/>
      <c r="BO997" s="5" t="n"/>
      <c r="BP997" s="5" t="n"/>
      <c r="BQ997" s="5" t="n"/>
      <c r="BR997" s="5" t="n"/>
      <c r="BS997" s="5" t="n"/>
      <c r="BT997" s="5" t="n"/>
      <c r="BU997" s="5" t="n"/>
      <c r="BV997" s="5" t="n"/>
      <c r="BW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  <c r="AY998" s="5" t="n"/>
      <c r="AZ998" s="5" t="n"/>
      <c r="BA998" s="5" t="n"/>
      <c r="BB998" s="5" t="n"/>
      <c r="BC998" s="5" t="n"/>
      <c r="BD998" s="5" t="n"/>
      <c r="BE998" s="5" t="n"/>
      <c r="BF998" s="5" t="n"/>
      <c r="BG998" s="5" t="n"/>
      <c r="BH998" s="5" t="n"/>
      <c r="BI998" s="5" t="n"/>
      <c r="BJ998" s="5" t="n"/>
      <c r="BK998" s="5" t="n"/>
      <c r="BL998" s="5" t="n"/>
      <c r="BM998" s="5" t="n"/>
      <c r="BN998" s="5" t="n"/>
      <c r="BO998" s="5" t="n"/>
      <c r="BP998" s="5" t="n"/>
      <c r="BQ998" s="5" t="n"/>
      <c r="BR998" s="5" t="n"/>
      <c r="BS998" s="5" t="n"/>
      <c r="BT998" s="5" t="n"/>
      <c r="BU998" s="5" t="n"/>
      <c r="BV998" s="5" t="n"/>
      <c r="BW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  <c r="AY999" s="5" t="n"/>
      <c r="AZ999" s="5" t="n"/>
      <c r="BA999" s="5" t="n"/>
      <c r="BB999" s="5" t="n"/>
      <c r="BC999" s="5" t="n"/>
      <c r="BD999" s="5" t="n"/>
      <c r="BE999" s="5" t="n"/>
      <c r="BF999" s="5" t="n"/>
      <c r="BG999" s="5" t="n"/>
      <c r="BH999" s="5" t="n"/>
      <c r="BI999" s="5" t="n"/>
      <c r="BJ999" s="5" t="n"/>
      <c r="BK999" s="5" t="n"/>
      <c r="BL999" s="5" t="n"/>
      <c r="BM999" s="5" t="n"/>
      <c r="BN999" s="5" t="n"/>
      <c r="BO999" s="5" t="n"/>
      <c r="BP999" s="5" t="n"/>
      <c r="BQ999" s="5" t="n"/>
      <c r="BR999" s="5" t="n"/>
      <c r="BS999" s="5" t="n"/>
      <c r="BT999" s="5" t="n"/>
      <c r="BU999" s="5" t="n"/>
      <c r="BV999" s="5" t="n"/>
      <c r="BW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  <c r="AQ1000" s="5" t="n"/>
      <c r="AR1000" s="5" t="n"/>
      <c r="AS1000" s="5" t="n"/>
      <c r="AT1000" s="5" t="n"/>
      <c r="AU1000" s="5" t="n"/>
      <c r="AV1000" s="5" t="n"/>
      <c r="AW1000" s="5" t="n"/>
      <c r="AX1000" s="5" t="n"/>
      <c r="AY1000" s="5" t="n"/>
      <c r="AZ1000" s="5" t="n"/>
      <c r="BA1000" s="5" t="n"/>
      <c r="BB1000" s="5" t="n"/>
      <c r="BC1000" s="5" t="n"/>
      <c r="BD1000" s="5" t="n"/>
      <c r="BE1000" s="5" t="n"/>
      <c r="BF1000" s="5" t="n"/>
      <c r="BG1000" s="5" t="n"/>
      <c r="BH1000" s="5" t="n"/>
      <c r="BI1000" s="5" t="n"/>
      <c r="BJ1000" s="5" t="n"/>
      <c r="BK1000" s="5" t="n"/>
      <c r="BL1000" s="5" t="n"/>
      <c r="BM1000" s="5" t="n"/>
      <c r="BN1000" s="5" t="n"/>
      <c r="BO1000" s="5" t="n"/>
      <c r="BP1000" s="5" t="n"/>
      <c r="BQ1000" s="5" t="n"/>
      <c r="BR1000" s="5" t="n"/>
      <c r="BS1000" s="5" t="n"/>
      <c r="BT1000" s="5" t="n"/>
      <c r="BU1000" s="5" t="n"/>
      <c r="BV1000" s="5" t="n"/>
      <c r="BW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/>
      <c r="AL1001" s="5" t="n"/>
      <c r="AM1001" s="5" t="n"/>
      <c r="AN1001" s="5" t="n"/>
      <c r="AO1001" s="5" t="n"/>
      <c r="AP1001" s="5" t="n"/>
      <c r="AQ1001" s="5" t="n"/>
      <c r="AR1001" s="5" t="n"/>
      <c r="AS1001" s="5" t="n"/>
      <c r="AT1001" s="5" t="n"/>
      <c r="AU1001" s="5" t="n"/>
      <c r="AV1001" s="5" t="n"/>
      <c r="AW1001" s="5" t="n"/>
      <c r="AX1001" s="5" t="n"/>
      <c r="AY1001" s="5" t="n"/>
      <c r="AZ1001" s="5" t="n"/>
      <c r="BA1001" s="5" t="n"/>
      <c r="BB1001" s="5" t="n"/>
      <c r="BC1001" s="5" t="n"/>
      <c r="BD1001" s="5" t="n"/>
      <c r="BE1001" s="5" t="n"/>
      <c r="BF1001" s="5" t="n"/>
      <c r="BG1001" s="5" t="n"/>
      <c r="BH1001" s="5" t="n"/>
      <c r="BI1001" s="5" t="n"/>
      <c r="BJ1001" s="5" t="n"/>
      <c r="BK1001" s="5" t="n"/>
      <c r="BL1001" s="5" t="n"/>
      <c r="BM1001" s="5" t="n"/>
      <c r="BN1001" s="5" t="n"/>
      <c r="BO1001" s="5" t="n"/>
      <c r="BP1001" s="5" t="n"/>
      <c r="BQ1001" s="5" t="n"/>
      <c r="BR1001" s="5" t="n"/>
      <c r="BS1001" s="5" t="n"/>
      <c r="BT1001" s="5" t="n"/>
      <c r="BU1001" s="5" t="n"/>
      <c r="BV1001" s="5" t="n"/>
      <c r="BW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5" t="n"/>
      <c r="AI1002" s="5" t="n"/>
      <c r="AJ1002" s="5" t="n"/>
      <c r="AK1002" s="5" t="n"/>
      <c r="AL1002" s="5" t="n"/>
      <c r="AM1002" s="5" t="n"/>
      <c r="AN1002" s="5" t="n"/>
      <c r="AO1002" s="5" t="n"/>
      <c r="AP1002" s="5" t="n"/>
      <c r="AQ1002" s="5" t="n"/>
      <c r="AR1002" s="5" t="n"/>
      <c r="AS1002" s="5" t="n"/>
      <c r="AT1002" s="5" t="n"/>
      <c r="AU1002" s="5" t="n"/>
      <c r="AV1002" s="5" t="n"/>
      <c r="AW1002" s="5" t="n"/>
      <c r="AX1002" s="5" t="n"/>
      <c r="AY1002" s="5" t="n"/>
      <c r="AZ1002" s="5" t="n"/>
      <c r="BA1002" s="5" t="n"/>
      <c r="BB1002" s="5" t="n"/>
      <c r="BC1002" s="5" t="n"/>
      <c r="BD1002" s="5" t="n"/>
      <c r="BE1002" s="5" t="n"/>
      <c r="BF1002" s="5" t="n"/>
      <c r="BG1002" s="5" t="n"/>
      <c r="BH1002" s="5" t="n"/>
      <c r="BI1002" s="5" t="n"/>
      <c r="BJ1002" s="5" t="n"/>
      <c r="BK1002" s="5" t="n"/>
      <c r="BL1002" s="5" t="n"/>
      <c r="BM1002" s="5" t="n"/>
      <c r="BN1002" s="5" t="n"/>
      <c r="BO1002" s="5" t="n"/>
      <c r="BP1002" s="5" t="n"/>
      <c r="BQ1002" s="5" t="n"/>
      <c r="BR1002" s="5" t="n"/>
      <c r="BS1002" s="5" t="n"/>
      <c r="BT1002" s="5" t="n"/>
      <c r="BU1002" s="5" t="n"/>
      <c r="BV1002" s="5" t="n"/>
      <c r="BW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5" t="n"/>
      <c r="AI1003" s="5" t="n"/>
      <c r="AJ1003" s="5" t="n"/>
      <c r="AK1003" s="5" t="n"/>
      <c r="AL1003" s="5" t="n"/>
      <c r="AM1003" s="5" t="n"/>
      <c r="AN1003" s="5" t="n"/>
      <c r="AO1003" s="5" t="n"/>
      <c r="AP1003" s="5" t="n"/>
      <c r="AQ1003" s="5" t="n"/>
      <c r="AR1003" s="5" t="n"/>
      <c r="AS1003" s="5" t="n"/>
      <c r="AT1003" s="5" t="n"/>
      <c r="AU1003" s="5" t="n"/>
      <c r="AV1003" s="5" t="n"/>
      <c r="AW1003" s="5" t="n"/>
      <c r="AX1003" s="5" t="n"/>
      <c r="AY1003" s="5" t="n"/>
      <c r="AZ1003" s="5" t="n"/>
      <c r="BA1003" s="5" t="n"/>
      <c r="BB1003" s="5" t="n"/>
      <c r="BC1003" s="5" t="n"/>
      <c r="BD1003" s="5" t="n"/>
      <c r="BE1003" s="5" t="n"/>
      <c r="BF1003" s="5" t="n"/>
      <c r="BG1003" s="5" t="n"/>
      <c r="BH1003" s="5" t="n"/>
      <c r="BI1003" s="5" t="n"/>
      <c r="BJ1003" s="5" t="n"/>
      <c r="BK1003" s="5" t="n"/>
      <c r="BL1003" s="5" t="n"/>
      <c r="BM1003" s="5" t="n"/>
      <c r="BN1003" s="5" t="n"/>
      <c r="BO1003" s="5" t="n"/>
      <c r="BP1003" s="5" t="n"/>
      <c r="BQ1003" s="5" t="n"/>
      <c r="BR1003" s="5" t="n"/>
      <c r="BS1003" s="5" t="n"/>
      <c r="BT1003" s="5" t="n"/>
      <c r="BU1003" s="5" t="n"/>
      <c r="BV1003" s="5" t="n"/>
      <c r="BW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5" t="n"/>
      <c r="AI1004" s="5" t="n"/>
      <c r="AJ1004" s="5" t="n"/>
      <c r="AK1004" s="5" t="n"/>
      <c r="AL1004" s="5" t="n"/>
      <c r="AM1004" s="5" t="n"/>
      <c r="AN1004" s="5" t="n"/>
      <c r="AO1004" s="5" t="n"/>
      <c r="AP1004" s="5" t="n"/>
      <c r="AQ1004" s="5" t="n"/>
      <c r="AR1004" s="5" t="n"/>
      <c r="AS1004" s="5" t="n"/>
      <c r="AT1004" s="5" t="n"/>
      <c r="AU1004" s="5" t="n"/>
      <c r="AV1004" s="5" t="n"/>
      <c r="AW1004" s="5" t="n"/>
      <c r="AX1004" s="5" t="n"/>
      <c r="AY1004" s="5" t="n"/>
      <c r="AZ1004" s="5" t="n"/>
      <c r="BA1004" s="5" t="n"/>
      <c r="BB1004" s="5" t="n"/>
      <c r="BC1004" s="5" t="n"/>
      <c r="BD1004" s="5" t="n"/>
      <c r="BE1004" s="5" t="n"/>
      <c r="BF1004" s="5" t="n"/>
      <c r="BG1004" s="5" t="n"/>
      <c r="BH1004" s="5" t="n"/>
      <c r="BI1004" s="5" t="n"/>
      <c r="BJ1004" s="5" t="n"/>
      <c r="BK1004" s="5" t="n"/>
      <c r="BL1004" s="5" t="n"/>
      <c r="BM1004" s="5" t="n"/>
      <c r="BN1004" s="5" t="n"/>
      <c r="BO1004" s="5" t="n"/>
      <c r="BP1004" s="5" t="n"/>
      <c r="BQ1004" s="5" t="n"/>
      <c r="BR1004" s="5" t="n"/>
      <c r="BS1004" s="5" t="n"/>
      <c r="BT1004" s="5" t="n"/>
      <c r="BU1004" s="5" t="n"/>
      <c r="BV1004" s="5" t="n"/>
      <c r="BW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  <c r="AD1005" s="5" t="n"/>
      <c r="AE1005" s="5" t="n"/>
      <c r="AF1005" s="5" t="n"/>
      <c r="AG1005" s="5" t="n"/>
      <c r="AH1005" s="5" t="n"/>
      <c r="AI1005" s="5" t="n"/>
      <c r="AJ1005" s="5" t="n"/>
      <c r="AK1005" s="5" t="n"/>
      <c r="AL1005" s="5" t="n"/>
      <c r="AM1005" s="5" t="n"/>
      <c r="AN1005" s="5" t="n"/>
      <c r="AO1005" s="5" t="n"/>
      <c r="AP1005" s="5" t="n"/>
      <c r="AQ1005" s="5" t="n"/>
      <c r="AR1005" s="5" t="n"/>
      <c r="AS1005" s="5" t="n"/>
      <c r="AT1005" s="5" t="n"/>
      <c r="AU1005" s="5" t="n"/>
      <c r="AV1005" s="5" t="n"/>
      <c r="AW1005" s="5" t="n"/>
      <c r="AX1005" s="5" t="n"/>
      <c r="AY1005" s="5" t="n"/>
      <c r="AZ1005" s="5" t="n"/>
      <c r="BA1005" s="5" t="n"/>
      <c r="BB1005" s="5" t="n"/>
      <c r="BC1005" s="5" t="n"/>
      <c r="BD1005" s="5" t="n"/>
      <c r="BE1005" s="5" t="n"/>
      <c r="BF1005" s="5" t="n"/>
      <c r="BG1005" s="5" t="n"/>
      <c r="BH1005" s="5" t="n"/>
      <c r="BI1005" s="5" t="n"/>
      <c r="BJ1005" s="5" t="n"/>
      <c r="BK1005" s="5" t="n"/>
      <c r="BL1005" s="5" t="n"/>
      <c r="BM1005" s="5" t="n"/>
      <c r="BN1005" s="5" t="n"/>
      <c r="BO1005" s="5" t="n"/>
      <c r="BP1005" s="5" t="n"/>
      <c r="BQ1005" s="5" t="n"/>
      <c r="BR1005" s="5" t="n"/>
      <c r="BS1005" s="5" t="n"/>
      <c r="BT1005" s="5" t="n"/>
      <c r="BU1005" s="5" t="n"/>
      <c r="BV1005" s="5" t="n"/>
      <c r="BW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5" t="n"/>
      <c r="AI1006" s="5" t="n"/>
      <c r="AJ1006" s="5" t="n"/>
      <c r="AK1006" s="5" t="n"/>
      <c r="AL1006" s="5" t="n"/>
      <c r="AM1006" s="5" t="n"/>
      <c r="AN1006" s="5" t="n"/>
      <c r="AO1006" s="5" t="n"/>
      <c r="AP1006" s="5" t="n"/>
      <c r="AQ1006" s="5" t="n"/>
      <c r="AR1006" s="5" t="n"/>
      <c r="AS1006" s="5" t="n"/>
      <c r="AT1006" s="5" t="n"/>
      <c r="AU1006" s="5" t="n"/>
      <c r="AV1006" s="5" t="n"/>
      <c r="AW1006" s="5" t="n"/>
      <c r="AX1006" s="5" t="n"/>
      <c r="AY1006" s="5" t="n"/>
      <c r="AZ1006" s="5" t="n"/>
      <c r="BA1006" s="5" t="n"/>
      <c r="BB1006" s="5" t="n"/>
      <c r="BC1006" s="5" t="n"/>
      <c r="BD1006" s="5" t="n"/>
      <c r="BE1006" s="5" t="n"/>
      <c r="BF1006" s="5" t="n"/>
      <c r="BG1006" s="5" t="n"/>
      <c r="BH1006" s="5" t="n"/>
      <c r="BI1006" s="5" t="n"/>
      <c r="BJ1006" s="5" t="n"/>
      <c r="BK1006" s="5" t="n"/>
      <c r="BL1006" s="5" t="n"/>
      <c r="BM1006" s="5" t="n"/>
      <c r="BN1006" s="5" t="n"/>
      <c r="BO1006" s="5" t="n"/>
      <c r="BP1006" s="5" t="n"/>
      <c r="BQ1006" s="5" t="n"/>
      <c r="BR1006" s="5" t="n"/>
      <c r="BS1006" s="5" t="n"/>
      <c r="BT1006" s="5" t="n"/>
      <c r="BU1006" s="5" t="n"/>
      <c r="BV1006" s="5" t="n"/>
      <c r="BW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  <c r="AD1007" s="5" t="n"/>
      <c r="AE1007" s="5" t="n"/>
      <c r="AF1007" s="5" t="n"/>
      <c r="AG1007" s="5" t="n"/>
      <c r="AH1007" s="5" t="n"/>
      <c r="AI1007" s="5" t="n"/>
      <c r="AJ1007" s="5" t="n"/>
      <c r="AK1007" s="5" t="n"/>
      <c r="AL1007" s="5" t="n"/>
      <c r="AM1007" s="5" t="n"/>
      <c r="AN1007" s="5" t="n"/>
      <c r="AO1007" s="5" t="n"/>
      <c r="AP1007" s="5" t="n"/>
      <c r="AQ1007" s="5" t="n"/>
      <c r="AR1007" s="5" t="n"/>
      <c r="AS1007" s="5" t="n"/>
      <c r="AT1007" s="5" t="n"/>
      <c r="AU1007" s="5" t="n"/>
      <c r="AV1007" s="5" t="n"/>
      <c r="AW1007" s="5" t="n"/>
      <c r="AX1007" s="5" t="n"/>
      <c r="AY1007" s="5" t="n"/>
      <c r="AZ1007" s="5" t="n"/>
      <c r="BA1007" s="5" t="n"/>
      <c r="BB1007" s="5" t="n"/>
      <c r="BC1007" s="5" t="n"/>
      <c r="BD1007" s="5" t="n"/>
      <c r="BE1007" s="5" t="n"/>
      <c r="BF1007" s="5" t="n"/>
      <c r="BG1007" s="5" t="n"/>
      <c r="BH1007" s="5" t="n"/>
      <c r="BI1007" s="5" t="n"/>
      <c r="BJ1007" s="5" t="n"/>
      <c r="BK1007" s="5" t="n"/>
      <c r="BL1007" s="5" t="n"/>
      <c r="BM1007" s="5" t="n"/>
      <c r="BN1007" s="5" t="n"/>
      <c r="BO1007" s="5" t="n"/>
      <c r="BP1007" s="5" t="n"/>
      <c r="BQ1007" s="5" t="n"/>
      <c r="BR1007" s="5" t="n"/>
      <c r="BS1007" s="5" t="n"/>
      <c r="BT1007" s="5" t="n"/>
      <c r="BU1007" s="5" t="n"/>
      <c r="BV1007" s="5" t="n"/>
      <c r="BW1007" s="5" t="n"/>
    </row>
  </sheetData>
  <mergeCells count="1">
    <mergeCell ref="BS9:BT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2026-03-09T09:32:51Z</dcterms:created>
  <dcterms:modified xsi:type="dcterms:W3CDTF">2026-03-09T09:32:52Z</dcterms:modified>
</cp:coreProperties>
</file>